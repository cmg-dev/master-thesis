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15" yWindow="45" windowWidth="24465" windowHeight="12345" activeTab="3"/>
  </bookViews>
  <sheets>
    <sheet name="Messaufbau_Messdaten" sheetId="1" r:id="rId1"/>
    <sheet name="num.-Neues-Modell" sheetId="18" r:id="rId2"/>
    <sheet name="Ref0_Alle-Kombinationen" sheetId="20" r:id="rId3"/>
    <sheet name="Tabelle2" sheetId="21" r:id="rId4"/>
    <sheet name="numerisch" sheetId="15" r:id="rId5"/>
    <sheet name="analytisch" sheetId="14" r:id="rId6"/>
    <sheet name="Modell+Rechnung" sheetId="4" r:id="rId7"/>
    <sheet name="Tabelle1" sheetId="19" r:id="rId8"/>
  </sheets>
  <definedNames>
    <definedName name="A_1" localSheetId="2">'Ref0_Alle-Kombinationen'!$E$7</definedName>
    <definedName name="A_1">'num.-Neues-Modell'!$E$7</definedName>
    <definedName name="A_2" localSheetId="2">'Ref0_Alle-Kombinationen'!$F$7</definedName>
    <definedName name="A_2">'num.-Neues-Modell'!$F$7</definedName>
    <definedName name="d_10">Messaufbau_Messdaten!$I$9</definedName>
    <definedName name="d_20">Messaufbau_Messdaten!$I$10</definedName>
    <definedName name="d_30">Messaufbau_Messdaten!$I$11</definedName>
    <definedName name="OFFSET">Messaufbau_Messdaten!$I$4</definedName>
    <definedName name="SCALING">Messaufbau_Messdaten!$K$62</definedName>
    <definedName name="solver_adj" localSheetId="1" hidden="1">'num.-Neues-Modell'!$H$22:$H$28</definedName>
    <definedName name="solver_adj" localSheetId="4" hidden="1">numerisch!$K$18:$K$20</definedName>
    <definedName name="solver_adj" localSheetId="2" hidden="1">'Ref0_Alle-Kombinationen'!$H$22:$H$28</definedName>
    <definedName name="solver_cvg" localSheetId="1" hidden="1">0.0001</definedName>
    <definedName name="solver_cvg" localSheetId="4" hidden="1">0.0001</definedName>
    <definedName name="solver_cvg" localSheetId="2" hidden="1">0.0001</definedName>
    <definedName name="solver_drv" localSheetId="1" hidden="1">1</definedName>
    <definedName name="solver_drv" localSheetId="4" hidden="1">1</definedName>
    <definedName name="solver_drv" localSheetId="2" hidden="1">1</definedName>
    <definedName name="solver_est" localSheetId="1" hidden="1">1</definedName>
    <definedName name="solver_est" localSheetId="4" hidden="1">1</definedName>
    <definedName name="solver_est" localSheetId="2" hidden="1">1</definedName>
    <definedName name="solver_itr" localSheetId="1" hidden="1">100</definedName>
    <definedName name="solver_itr" localSheetId="4" hidden="1">100</definedName>
    <definedName name="solver_itr" localSheetId="2" hidden="1">100</definedName>
    <definedName name="solver_lhs1" localSheetId="1" hidden="1">'num.-Neues-Modell'!$H$22:$H$25</definedName>
    <definedName name="solver_lhs1" localSheetId="4" hidden="1">numerisch!$K$20</definedName>
    <definedName name="solver_lhs1" localSheetId="2" hidden="1">'Ref0_Alle-Kombinationen'!$H$22:$H$25</definedName>
    <definedName name="solver_lhs10" localSheetId="4" hidden="1">numerisch!$E$18</definedName>
    <definedName name="solver_lhs11" localSheetId="4" hidden="1">numerisch!$F$18</definedName>
    <definedName name="solver_lhs12" localSheetId="4" hidden="1">numerisch!$G$18</definedName>
    <definedName name="solver_lhs13" localSheetId="4" hidden="1">numerisch!$H$18</definedName>
    <definedName name="solver_lhs14" localSheetId="4" hidden="1">numerisch!$ID$18</definedName>
    <definedName name="solver_lhs15" localSheetId="4" hidden="1">numerisch!$J$18</definedName>
    <definedName name="solver_lhs16" localSheetId="4" hidden="1">numerisch!$K$18</definedName>
    <definedName name="solver_lhs17" localSheetId="4" hidden="1">numerisch!$D$18</definedName>
    <definedName name="solver_lhs18" localSheetId="4" hidden="1">numerisch!$E$18</definedName>
    <definedName name="solver_lhs19" localSheetId="4" hidden="1">numerisch!$F$18</definedName>
    <definedName name="solver_lhs2" localSheetId="1" hidden="1">'num.-Neues-Modell'!$D$22:$D$25</definedName>
    <definedName name="solver_lhs2" localSheetId="4" hidden="1">numerisch!$E$18</definedName>
    <definedName name="solver_lhs2" localSheetId="2" hidden="1">'Ref0_Alle-Kombinationen'!$D$22:$D$25</definedName>
    <definedName name="solver_lhs20" localSheetId="4" hidden="1">numerisch!$G$18</definedName>
    <definedName name="solver_lhs21" localSheetId="4" hidden="1">numerisch!$H$18</definedName>
    <definedName name="solver_lhs22" localSheetId="4" hidden="1">numerisch!$ID$18</definedName>
    <definedName name="solver_lhs23" localSheetId="4" hidden="1">numerisch!$J$18</definedName>
    <definedName name="solver_lhs24" localSheetId="4" hidden="1">numerisch!$K$18</definedName>
    <definedName name="solver_lhs3" localSheetId="1" hidden="1">'num.-Neues-Modell'!$D$28</definedName>
    <definedName name="solver_lhs3" localSheetId="4" hidden="1">numerisch!$F$18</definedName>
    <definedName name="solver_lhs3" localSheetId="2" hidden="1">'Ref0_Alle-Kombinationen'!$D$28</definedName>
    <definedName name="solver_lhs4" localSheetId="1" hidden="1">'num.-Neues-Modell'!$D$25</definedName>
    <definedName name="solver_lhs4" localSheetId="4" hidden="1">numerisch!$G$18</definedName>
    <definedName name="solver_lhs4" localSheetId="2" hidden="1">'Ref0_Alle-Kombinationen'!$D$25</definedName>
    <definedName name="solver_lhs5" localSheetId="4" hidden="1">numerisch!$H$18</definedName>
    <definedName name="solver_lhs6" localSheetId="4" hidden="1">numerisch!$ID$18</definedName>
    <definedName name="solver_lhs7" localSheetId="4" hidden="1">numerisch!$J$18</definedName>
    <definedName name="solver_lhs8" localSheetId="4" hidden="1">numerisch!$K$18</definedName>
    <definedName name="solver_lhs9" localSheetId="4" hidden="1">numerisch!$D$18</definedName>
    <definedName name="solver_lin" localSheetId="1" hidden="1">2</definedName>
    <definedName name="solver_lin" localSheetId="4" hidden="1">2</definedName>
    <definedName name="solver_lin" localSheetId="2" hidden="1">2</definedName>
    <definedName name="solver_neg" localSheetId="1" hidden="1">2</definedName>
    <definedName name="solver_neg" localSheetId="4" hidden="1">2</definedName>
    <definedName name="solver_neg" localSheetId="2" hidden="1">2</definedName>
    <definedName name="solver_num" localSheetId="1" hidden="1">1</definedName>
    <definedName name="solver_num" localSheetId="4" hidden="1">1</definedName>
    <definedName name="solver_num" localSheetId="2" hidden="1">1</definedName>
    <definedName name="solver_nwt" localSheetId="1" hidden="1">1</definedName>
    <definedName name="solver_nwt" localSheetId="4" hidden="1">1</definedName>
    <definedName name="solver_nwt" localSheetId="2" hidden="1">1</definedName>
    <definedName name="solver_opt" localSheetId="1" hidden="1">'num.-Neues-Modell'!$H$57</definedName>
    <definedName name="solver_opt" localSheetId="4" hidden="1">numerisch!$K$14</definedName>
    <definedName name="solver_opt" localSheetId="2" hidden="1">'Ref0_Alle-Kombinationen'!$H$57</definedName>
    <definedName name="solver_pre" localSheetId="1" hidden="1">0.00000001</definedName>
    <definedName name="solver_pre" localSheetId="4" hidden="1">0.000001</definedName>
    <definedName name="solver_pre" localSheetId="2" hidden="1">0.00000001</definedName>
    <definedName name="solver_rel1" localSheetId="1" hidden="1">3</definedName>
    <definedName name="solver_rel1" localSheetId="4" hidden="1">3</definedName>
    <definedName name="solver_rel1" localSheetId="2" hidden="1">3</definedName>
    <definedName name="solver_rel10" localSheetId="4" hidden="1">3</definedName>
    <definedName name="solver_rel11" localSheetId="4" hidden="1">3</definedName>
    <definedName name="solver_rel12" localSheetId="4" hidden="1">3</definedName>
    <definedName name="solver_rel13" localSheetId="4" hidden="1">3</definedName>
    <definedName name="solver_rel14" localSheetId="4" hidden="1">3</definedName>
    <definedName name="solver_rel15" localSheetId="4" hidden="1">3</definedName>
    <definedName name="solver_rel16" localSheetId="4" hidden="1">3</definedName>
    <definedName name="solver_rel17" localSheetId="4" hidden="1">3</definedName>
    <definedName name="solver_rel18" localSheetId="4" hidden="1">3</definedName>
    <definedName name="solver_rel19" localSheetId="4" hidden="1">3</definedName>
    <definedName name="solver_rel2" localSheetId="1" hidden="1">3</definedName>
    <definedName name="solver_rel2" localSheetId="4" hidden="1">3</definedName>
    <definedName name="solver_rel2" localSheetId="2" hidden="1">3</definedName>
    <definedName name="solver_rel20" localSheetId="4" hidden="1">3</definedName>
    <definedName name="solver_rel21" localSheetId="4" hidden="1">3</definedName>
    <definedName name="solver_rel22" localSheetId="4" hidden="1">3</definedName>
    <definedName name="solver_rel23" localSheetId="4" hidden="1">3</definedName>
    <definedName name="solver_rel24" localSheetId="4" hidden="1">3</definedName>
    <definedName name="solver_rel3" localSheetId="1" hidden="1">1</definedName>
    <definedName name="solver_rel3" localSheetId="4" hidden="1">3</definedName>
    <definedName name="solver_rel3" localSheetId="2" hidden="1">1</definedName>
    <definedName name="solver_rel4" localSheetId="1" hidden="1">3</definedName>
    <definedName name="solver_rel4" localSheetId="4" hidden="1">3</definedName>
    <definedName name="solver_rel4" localSheetId="2" hidden="1">3</definedName>
    <definedName name="solver_rel5" localSheetId="4" hidden="1">3</definedName>
    <definedName name="solver_rel6" localSheetId="4" hidden="1">3</definedName>
    <definedName name="solver_rel7" localSheetId="4" hidden="1">3</definedName>
    <definedName name="solver_rel8" localSheetId="4" hidden="1">3</definedName>
    <definedName name="solver_rel9" localSheetId="4" hidden="1">3</definedName>
    <definedName name="solver_rhs1" localSheetId="1" hidden="1">0</definedName>
    <definedName name="solver_rhs1" localSheetId="4" hidden="1">0</definedName>
    <definedName name="solver_rhs1" localSheetId="2" hidden="1">0</definedName>
    <definedName name="solver_rhs10" localSheetId="4" hidden="1">0</definedName>
    <definedName name="solver_rhs11" localSheetId="4" hidden="1">0</definedName>
    <definedName name="solver_rhs12" localSheetId="4" hidden="1">0</definedName>
    <definedName name="solver_rhs13" localSheetId="4" hidden="1">0</definedName>
    <definedName name="solver_rhs14" localSheetId="4" hidden="1">0</definedName>
    <definedName name="solver_rhs15" localSheetId="4" hidden="1">0</definedName>
    <definedName name="solver_rhs16" localSheetId="4" hidden="1">0</definedName>
    <definedName name="solver_rhs17" localSheetId="4" hidden="1">0</definedName>
    <definedName name="solver_rhs18" localSheetId="4" hidden="1">0</definedName>
    <definedName name="solver_rhs19" localSheetId="4" hidden="1">0</definedName>
    <definedName name="solver_rhs2" localSheetId="1" hidden="1">0</definedName>
    <definedName name="solver_rhs2" localSheetId="4" hidden="1">0</definedName>
    <definedName name="solver_rhs2" localSheetId="2" hidden="1">3</definedName>
    <definedName name="solver_rhs20" localSheetId="4" hidden="1">0</definedName>
    <definedName name="solver_rhs21" localSheetId="4" hidden="1">0</definedName>
    <definedName name="solver_rhs22" localSheetId="4" hidden="1">0</definedName>
    <definedName name="solver_rhs23" localSheetId="4" hidden="1">0</definedName>
    <definedName name="solver_rhs24" localSheetId="4" hidden="1">0</definedName>
    <definedName name="solver_rhs3" localSheetId="1" hidden="1">0</definedName>
    <definedName name="solver_rhs3" localSheetId="4" hidden="1">0</definedName>
    <definedName name="solver_rhs3" localSheetId="2" hidden="1">0</definedName>
    <definedName name="solver_rhs4" localSheetId="1" hidden="1">0</definedName>
    <definedName name="solver_rhs4" localSheetId="4" hidden="1">0</definedName>
    <definedName name="solver_rhs4" localSheetId="2" hidden="1">0</definedName>
    <definedName name="solver_rhs5" localSheetId="4" hidden="1">0</definedName>
    <definedName name="solver_rhs6" localSheetId="4" hidden="1">0</definedName>
    <definedName name="solver_rhs7" localSheetId="4" hidden="1">0</definedName>
    <definedName name="solver_rhs8" localSheetId="4" hidden="1">0</definedName>
    <definedName name="solver_rhs9" localSheetId="4" hidden="1">0</definedName>
    <definedName name="solver_scl" localSheetId="1" hidden="1">2</definedName>
    <definedName name="solver_scl" localSheetId="4" hidden="1">2</definedName>
    <definedName name="solver_scl" localSheetId="2" hidden="1">2</definedName>
    <definedName name="solver_sho" localSheetId="1" hidden="1">2</definedName>
    <definedName name="solver_sho" localSheetId="4" hidden="1">2</definedName>
    <definedName name="solver_sho" localSheetId="2" hidden="1">2</definedName>
    <definedName name="solver_tim" localSheetId="1" hidden="1">100</definedName>
    <definedName name="solver_tim" localSheetId="4" hidden="1">100</definedName>
    <definedName name="solver_tim" localSheetId="2" hidden="1">100</definedName>
    <definedName name="solver_tol" localSheetId="1" hidden="1">0.05</definedName>
    <definedName name="solver_tol" localSheetId="4" hidden="1">0.05</definedName>
    <definedName name="solver_tol" localSheetId="2" hidden="1">0.05</definedName>
    <definedName name="solver_typ" localSheetId="1" hidden="1">2</definedName>
    <definedName name="solver_typ" localSheetId="4" hidden="1">2</definedName>
    <definedName name="solver_typ" localSheetId="2" hidden="1">2</definedName>
    <definedName name="solver_val" localSheetId="1" hidden="1">0</definedName>
    <definedName name="solver_val" localSheetId="4" hidden="1">0</definedName>
    <definedName name="solver_val" localSheetId="2" hidden="1">0</definedName>
    <definedName name="T_0" localSheetId="2">'Ref0_Alle-Kombinationen'!$B$149</definedName>
    <definedName name="T_0">'num.-Neues-Modell'!$B$149</definedName>
    <definedName name="T_1" localSheetId="2">'Ref0_Alle-Kombinationen'!$B$150</definedName>
    <definedName name="T_1">'num.-Neues-Modell'!$B$150</definedName>
    <definedName name="T_2" localSheetId="2">'Ref0_Alle-Kombinationen'!$B$151</definedName>
    <definedName name="T_2">'num.-Neues-Modell'!$B$151</definedName>
    <definedName name="T_3" localSheetId="2">'Ref0_Alle-Kombinationen'!$B$152</definedName>
    <definedName name="T_3">'num.-Neues-Modell'!$B$152</definedName>
    <definedName name="T_4" localSheetId="2">'Ref0_Alle-Kombinationen'!$B$153</definedName>
    <definedName name="T_4">'num.-Neues-Modell'!$B$153</definedName>
    <definedName name="T_5" localSheetId="2">'Ref0_Alle-Kombinationen'!$B$154</definedName>
    <definedName name="T_5">'num.-Neues-Modell'!$B$154</definedName>
    <definedName name="T_6" localSheetId="2">'Ref0_Alle-Kombinationen'!$B$155</definedName>
    <definedName name="T_6">'num.-Neues-Modell'!$B$155</definedName>
    <definedName name="T_7" localSheetId="2">'Ref0_Alle-Kombinationen'!$B$156</definedName>
    <definedName name="T_7">'num.-Neues-Modell'!$B$156</definedName>
    <definedName name="THETA_0" localSheetId="2">'Ref0_Alle-Kombinationen'!$H$10</definedName>
    <definedName name="THETA_0">'num.-Neues-Modell'!$H$10</definedName>
    <definedName name="THETA_1" localSheetId="2">'Ref0_Alle-Kombinationen'!$H$7</definedName>
    <definedName name="THETA_1">'num.-Neues-Modell'!$H$7</definedName>
    <definedName name="THETA_1_alt" localSheetId="2">'Ref0_Alle-Kombinationen'!$H$7</definedName>
    <definedName name="THETA_1_alt">'num.-Neues-Modell'!$H$7</definedName>
    <definedName name="THETA_1dasd" localSheetId="2">'Ref0_Alle-Kombinationen'!$H$7</definedName>
    <definedName name="THETA_1dasd">'num.-Neues-Modell'!$H$7</definedName>
    <definedName name="THETA_2" localSheetId="2">'Ref0_Alle-Kombinationen'!$H$8</definedName>
    <definedName name="THETA_2">'num.-Neues-Modell'!$H$8</definedName>
    <definedName name="THETA_3" localSheetId="2">'Ref0_Alle-Kombinationen'!$H$9</definedName>
    <definedName name="THETA_3">'num.-Neues-Modell'!$H$9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E7" i="18"/>
  <c r="L90" i="1"/>
  <c r="L91"/>
  <c r="L92"/>
  <c r="L93"/>
  <c r="L94"/>
  <c r="L95"/>
  <c r="L96"/>
  <c r="L89"/>
  <c r="K90"/>
  <c r="K91"/>
  <c r="K92"/>
  <c r="K93"/>
  <c r="K94"/>
  <c r="K95"/>
  <c r="K96"/>
  <c r="K89"/>
  <c r="J90"/>
  <c r="J91"/>
  <c r="J92"/>
  <c r="J93"/>
  <c r="J94"/>
  <c r="J95"/>
  <c r="J96"/>
  <c r="J89"/>
  <c r="I90"/>
  <c r="I91"/>
  <c r="I92"/>
  <c r="I93"/>
  <c r="I94"/>
  <c r="I95"/>
  <c r="I96"/>
  <c r="I89"/>
  <c r="I72"/>
  <c r="I73"/>
  <c r="I74"/>
  <c r="I75"/>
  <c r="I76"/>
  <c r="I77"/>
  <c r="I78"/>
  <c r="I71"/>
  <c r="J80" s="1"/>
  <c r="K80" s="1"/>
  <c r="M63"/>
  <c r="M64"/>
  <c r="M65"/>
  <c r="M66"/>
  <c r="M67"/>
  <c r="M68"/>
  <c r="M69"/>
  <c r="M62"/>
  <c r="M58"/>
  <c r="M57"/>
  <c r="M56"/>
  <c r="M55"/>
  <c r="M54"/>
  <c r="M53"/>
  <c r="M52"/>
  <c r="M51"/>
  <c r="M74"/>
  <c r="M73"/>
  <c r="M72"/>
  <c r="M71"/>
  <c r="J81"/>
  <c r="K81" s="1"/>
  <c r="J82"/>
  <c r="K82" s="1"/>
  <c r="J83"/>
  <c r="K83" s="1"/>
  <c r="J84"/>
  <c r="K84" s="1"/>
  <c r="J85"/>
  <c r="K85" s="1"/>
  <c r="J86"/>
  <c r="K86" s="1"/>
  <c r="J87"/>
  <c r="K87" s="1"/>
  <c r="J18" i="21" a="1"/>
  <c r="F21" a="1"/>
  <c r="B21" a="1"/>
  <c r="L18" l="1"/>
  <c r="J20"/>
  <c r="K21"/>
  <c r="L22"/>
  <c r="J24"/>
  <c r="K25"/>
  <c r="L26"/>
  <c r="J25"/>
  <c r="J19"/>
  <c r="L21"/>
  <c r="J23"/>
  <c r="K24"/>
  <c r="L25"/>
  <c r="K18"/>
  <c r="L19"/>
  <c r="J21"/>
  <c r="K22"/>
  <c r="L23"/>
  <c r="K26"/>
  <c r="J18"/>
  <c r="K19"/>
  <c r="L20"/>
  <c r="J22"/>
  <c r="K23"/>
  <c r="L24"/>
  <c r="J26"/>
  <c r="K20"/>
  <c r="H21"/>
  <c r="F23"/>
  <c r="H22"/>
  <c r="F22"/>
  <c r="G23"/>
  <c r="G21"/>
  <c r="F21"/>
  <c r="H31" s="1"/>
  <c r="G22"/>
  <c r="H23"/>
  <c r="D21"/>
  <c r="B23"/>
  <c r="B21"/>
  <c r="C22"/>
  <c r="D23"/>
  <c r="B22"/>
  <c r="C23"/>
  <c r="C21"/>
  <c r="D22"/>
  <c r="K52" i="1"/>
  <c r="K53"/>
  <c r="K54"/>
  <c r="K55"/>
  <c r="K56"/>
  <c r="K57"/>
  <c r="K58"/>
  <c r="K51"/>
  <c r="J58"/>
  <c r="J57"/>
  <c r="J56"/>
  <c r="J55"/>
  <c r="J54"/>
  <c r="J53"/>
  <c r="J52"/>
  <c r="J51"/>
  <c r="L38" i="20"/>
  <c r="J42" i="18"/>
  <c r="J41"/>
  <c r="J40"/>
  <c r="J39"/>
  <c r="J38"/>
  <c r="J42" i="20"/>
  <c r="J41"/>
  <c r="J40"/>
  <c r="J39"/>
  <c r="B34" i="21" l="1" a="1"/>
  <c r="M25" i="20"/>
  <c r="M24"/>
  <c r="M23"/>
  <c r="M22"/>
  <c r="J38"/>
  <c r="D34" i="21" l="1"/>
  <c r="I35"/>
  <c r="E36"/>
  <c r="G34"/>
  <c r="I34"/>
  <c r="F34"/>
  <c r="G35"/>
  <c r="E34"/>
  <c r="I36"/>
  <c r="B35"/>
  <c r="H35"/>
  <c r="E35"/>
  <c r="B36"/>
  <c r="D35"/>
  <c r="B34"/>
  <c r="F35"/>
  <c r="G36"/>
  <c r="D36"/>
  <c r="F36"/>
  <c r="H34"/>
  <c r="C36"/>
  <c r="J34"/>
  <c r="J35"/>
  <c r="C34"/>
  <c r="H36"/>
  <c r="J36"/>
  <c r="C35"/>
  <c r="E79" i="20"/>
  <c r="Q28" s="1"/>
  <c r="E78"/>
  <c r="Q27" s="1"/>
  <c r="E77"/>
  <c r="Q26" s="1"/>
  <c r="D12"/>
  <c r="D17"/>
  <c r="C45"/>
  <c r="C47"/>
  <c r="C49"/>
  <c r="B44"/>
  <c r="B49"/>
  <c r="D108"/>
  <c r="C44" s="1"/>
  <c r="E108"/>
  <c r="D44" s="1"/>
  <c r="D109"/>
  <c r="E109"/>
  <c r="D45" s="1"/>
  <c r="C108"/>
  <c r="C109"/>
  <c r="B45" s="1"/>
  <c r="D104"/>
  <c r="E104"/>
  <c r="D105"/>
  <c r="E105"/>
  <c r="C105"/>
  <c r="C104"/>
  <c r="D112"/>
  <c r="C48" s="1"/>
  <c r="E112"/>
  <c r="D48" s="1"/>
  <c r="D113"/>
  <c r="E113"/>
  <c r="D49" s="1"/>
  <c r="C113"/>
  <c r="C112"/>
  <c r="B48" s="1"/>
  <c r="D111"/>
  <c r="E111"/>
  <c r="D47" s="1"/>
  <c r="D107"/>
  <c r="C43" s="1"/>
  <c r="E107"/>
  <c r="D43" s="1"/>
  <c r="D103"/>
  <c r="E103"/>
  <c r="C111"/>
  <c r="B47" s="1"/>
  <c r="C107"/>
  <c r="C103"/>
  <c r="D101"/>
  <c r="E101"/>
  <c r="C101"/>
  <c r="D100"/>
  <c r="E100"/>
  <c r="C100"/>
  <c r="D99"/>
  <c r="E99"/>
  <c r="C99"/>
  <c r="C156"/>
  <c r="C155"/>
  <c r="C154"/>
  <c r="C153"/>
  <c r="C152"/>
  <c r="C151"/>
  <c r="C150"/>
  <c r="C149"/>
  <c r="H144"/>
  <c r="I142"/>
  <c r="H142"/>
  <c r="G142"/>
  <c r="F142"/>
  <c r="E142"/>
  <c r="D142"/>
  <c r="C142"/>
  <c r="B142"/>
  <c r="I141"/>
  <c r="H141"/>
  <c r="G141"/>
  <c r="F141"/>
  <c r="E141"/>
  <c r="D141"/>
  <c r="C141"/>
  <c r="B141"/>
  <c r="I140"/>
  <c r="I144" s="1"/>
  <c r="H140"/>
  <c r="G140"/>
  <c r="G144" s="1"/>
  <c r="F140"/>
  <c r="F144" s="1"/>
  <c r="E140"/>
  <c r="E144" s="1"/>
  <c r="D140"/>
  <c r="D144" s="1"/>
  <c r="C140"/>
  <c r="C144" s="1"/>
  <c r="B140"/>
  <c r="B144" s="1"/>
  <c r="I135"/>
  <c r="H135"/>
  <c r="G135"/>
  <c r="F135"/>
  <c r="E135"/>
  <c r="D135"/>
  <c r="C135"/>
  <c r="B135"/>
  <c r="I134"/>
  <c r="H134"/>
  <c r="G134"/>
  <c r="F134"/>
  <c r="E134"/>
  <c r="D134"/>
  <c r="C134"/>
  <c r="B134"/>
  <c r="I133"/>
  <c r="I137" s="1"/>
  <c r="H133"/>
  <c r="H137" s="1"/>
  <c r="G133"/>
  <c r="G137" s="1"/>
  <c r="F133"/>
  <c r="F137" s="1"/>
  <c r="E133"/>
  <c r="E137" s="1"/>
  <c r="D133"/>
  <c r="D137" s="1"/>
  <c r="C133"/>
  <c r="C137" s="1"/>
  <c r="B133"/>
  <c r="B137" s="1"/>
  <c r="I128"/>
  <c r="H128"/>
  <c r="G128"/>
  <c r="F128"/>
  <c r="E128"/>
  <c r="D128"/>
  <c r="C128"/>
  <c r="B128"/>
  <c r="I127"/>
  <c r="H127"/>
  <c r="G127"/>
  <c r="F127"/>
  <c r="E127"/>
  <c r="D127"/>
  <c r="C127"/>
  <c r="B127"/>
  <c r="I126"/>
  <c r="I130" s="1"/>
  <c r="H126"/>
  <c r="H130" s="1"/>
  <c r="G126"/>
  <c r="G130" s="1"/>
  <c r="F126"/>
  <c r="F130" s="1"/>
  <c r="E126"/>
  <c r="E130" s="1"/>
  <c r="D126"/>
  <c r="D130" s="1"/>
  <c r="C126"/>
  <c r="C130" s="1"/>
  <c r="B126"/>
  <c r="B130" s="1"/>
  <c r="I121"/>
  <c r="H121"/>
  <c r="G121"/>
  <c r="F121"/>
  <c r="E121"/>
  <c r="D121"/>
  <c r="C121"/>
  <c r="B121"/>
  <c r="I120"/>
  <c r="H120"/>
  <c r="G120"/>
  <c r="F120"/>
  <c r="E120"/>
  <c r="D120"/>
  <c r="C120"/>
  <c r="B120"/>
  <c r="I119"/>
  <c r="I123" s="1"/>
  <c r="D18" s="1"/>
  <c r="H119"/>
  <c r="G119"/>
  <c r="G123" s="1"/>
  <c r="D16" s="1"/>
  <c r="F119"/>
  <c r="F123" s="1"/>
  <c r="D15" s="1"/>
  <c r="E119"/>
  <c r="E123" s="1"/>
  <c r="D14" s="1"/>
  <c r="D119"/>
  <c r="D123" s="1"/>
  <c r="D13" s="1"/>
  <c r="C119"/>
  <c r="B119"/>
  <c r="B123" s="1"/>
  <c r="C41"/>
  <c r="B40"/>
  <c r="D37"/>
  <c r="C36"/>
  <c r="B35"/>
  <c r="E54" s="1" a="1"/>
  <c r="E56" s="1"/>
  <c r="E97"/>
  <c r="D97"/>
  <c r="C97"/>
  <c r="E96"/>
  <c r="D32" s="1"/>
  <c r="D96"/>
  <c r="C96"/>
  <c r="L95"/>
  <c r="E95"/>
  <c r="D95"/>
  <c r="C31" s="1"/>
  <c r="C95"/>
  <c r="S93"/>
  <c r="R93"/>
  <c r="Q93"/>
  <c r="P93"/>
  <c r="O93"/>
  <c r="N93"/>
  <c r="M93"/>
  <c r="S92"/>
  <c r="R92"/>
  <c r="Q92"/>
  <c r="P92"/>
  <c r="O92"/>
  <c r="N92"/>
  <c r="M92"/>
  <c r="S91"/>
  <c r="S95" s="1"/>
  <c r="R91"/>
  <c r="R95" s="1"/>
  <c r="Q91"/>
  <c r="P91"/>
  <c r="O91"/>
  <c r="O95" s="1"/>
  <c r="N91"/>
  <c r="N95" s="1"/>
  <c r="M91"/>
  <c r="K79"/>
  <c r="J79"/>
  <c r="I79"/>
  <c r="H79"/>
  <c r="T28" s="1"/>
  <c r="G79"/>
  <c r="S28" s="1"/>
  <c r="F79"/>
  <c r="R28" s="1"/>
  <c r="D79"/>
  <c r="P28" s="1"/>
  <c r="K78"/>
  <c r="J78"/>
  <c r="I78"/>
  <c r="H78"/>
  <c r="T27" s="1"/>
  <c r="G78"/>
  <c r="S27" s="1"/>
  <c r="F78"/>
  <c r="R27" s="1"/>
  <c r="D78"/>
  <c r="P27" s="1"/>
  <c r="K77"/>
  <c r="J77"/>
  <c r="J84" s="1"/>
  <c r="I77"/>
  <c r="I84" s="1"/>
  <c r="H77"/>
  <c r="G77"/>
  <c r="F77"/>
  <c r="R26" s="1"/>
  <c r="D77"/>
  <c r="B43"/>
  <c r="D41"/>
  <c r="B41"/>
  <c r="D40"/>
  <c r="C40"/>
  <c r="D39"/>
  <c r="C39"/>
  <c r="B39"/>
  <c r="C37"/>
  <c r="B37"/>
  <c r="D36"/>
  <c r="B36"/>
  <c r="D35"/>
  <c r="C35"/>
  <c r="D33"/>
  <c r="C33"/>
  <c r="B33"/>
  <c r="C32"/>
  <c r="B32"/>
  <c r="D31"/>
  <c r="B31"/>
  <c r="M28"/>
  <c r="M27"/>
  <c r="M26"/>
  <c r="C4"/>
  <c r="E7" s="1"/>
  <c r="J14" s="1"/>
  <c r="H54" i="18" a="1"/>
  <c r="H56" s="1"/>
  <c r="H77"/>
  <c r="T26" s="1"/>
  <c r="E78"/>
  <c r="Q27" s="1"/>
  <c r="F78"/>
  <c r="R27" s="1"/>
  <c r="G78"/>
  <c r="S27" s="1"/>
  <c r="E79"/>
  <c r="Q28" s="1"/>
  <c r="F79"/>
  <c r="R28" s="1"/>
  <c r="G79"/>
  <c r="S28" s="1"/>
  <c r="D79"/>
  <c r="P28" s="1"/>
  <c r="E77"/>
  <c r="Q26" s="1"/>
  <c r="F77"/>
  <c r="R26" s="1"/>
  <c r="G77"/>
  <c r="S26" s="1"/>
  <c r="D78"/>
  <c r="P27" s="1"/>
  <c r="D77"/>
  <c r="P26" s="1"/>
  <c r="C99"/>
  <c r="C95"/>
  <c r="A16" i="19"/>
  <c r="B16"/>
  <c r="A17"/>
  <c r="B17"/>
  <c r="A15"/>
  <c r="A12"/>
  <c r="B12"/>
  <c r="A13"/>
  <c r="B13"/>
  <c r="A11"/>
  <c r="A8"/>
  <c r="B8"/>
  <c r="A9"/>
  <c r="B9"/>
  <c r="A7"/>
  <c r="C12"/>
  <c r="D12"/>
  <c r="C13"/>
  <c r="D13"/>
  <c r="C11"/>
  <c r="D11"/>
  <c r="B11"/>
  <c r="C16"/>
  <c r="D16"/>
  <c r="C17"/>
  <c r="D17"/>
  <c r="C15"/>
  <c r="D15"/>
  <c r="B15"/>
  <c r="C7"/>
  <c r="D7"/>
  <c r="C8"/>
  <c r="D8"/>
  <c r="C9"/>
  <c r="D9"/>
  <c r="B7"/>
  <c r="E101" i="18"/>
  <c r="D37" s="1"/>
  <c r="B35"/>
  <c r="C104"/>
  <c r="C152"/>
  <c r="C153"/>
  <c r="C149"/>
  <c r="C107"/>
  <c r="C115"/>
  <c r="C114"/>
  <c r="C113"/>
  <c r="C112"/>
  <c r="C111"/>
  <c r="C109"/>
  <c r="C108"/>
  <c r="C105"/>
  <c r="C103"/>
  <c r="C101"/>
  <c r="B37" s="1"/>
  <c r="C100"/>
  <c r="B36" s="1"/>
  <c r="B43"/>
  <c r="D109"/>
  <c r="D96"/>
  <c r="E96"/>
  <c r="D97"/>
  <c r="E97"/>
  <c r="C97"/>
  <c r="C96"/>
  <c r="D95"/>
  <c r="E95"/>
  <c r="E115"/>
  <c r="E114"/>
  <c r="E113"/>
  <c r="E112"/>
  <c r="E111"/>
  <c r="E109"/>
  <c r="E108"/>
  <c r="D44" s="1"/>
  <c r="E107"/>
  <c r="D43" s="1"/>
  <c r="E105"/>
  <c r="E104"/>
  <c r="E103"/>
  <c r="D39" s="1"/>
  <c r="D101"/>
  <c r="C37" s="1"/>
  <c r="D100"/>
  <c r="C36" s="1"/>
  <c r="D99"/>
  <c r="C35" s="1"/>
  <c r="C140"/>
  <c r="C144" s="1"/>
  <c r="D140"/>
  <c r="E140"/>
  <c r="F140"/>
  <c r="G140"/>
  <c r="G144" s="1"/>
  <c r="H140"/>
  <c r="I140"/>
  <c r="C141"/>
  <c r="D141"/>
  <c r="E141"/>
  <c r="F141"/>
  <c r="G141"/>
  <c r="H141"/>
  <c r="I141"/>
  <c r="C142"/>
  <c r="D142"/>
  <c r="E142"/>
  <c r="F142"/>
  <c r="G142"/>
  <c r="H142"/>
  <c r="I142"/>
  <c r="B141"/>
  <c r="B142"/>
  <c r="B140"/>
  <c r="B133"/>
  <c r="B137" s="1"/>
  <c r="F13" s="1"/>
  <c r="B134"/>
  <c r="B135"/>
  <c r="C134"/>
  <c r="D134"/>
  <c r="E134"/>
  <c r="F134"/>
  <c r="G134"/>
  <c r="H134"/>
  <c r="I134"/>
  <c r="C135"/>
  <c r="D135"/>
  <c r="E135"/>
  <c r="F135"/>
  <c r="G135"/>
  <c r="H135"/>
  <c r="I135"/>
  <c r="D133"/>
  <c r="E133"/>
  <c r="F133"/>
  <c r="G133"/>
  <c r="G137" s="1"/>
  <c r="H133"/>
  <c r="I133"/>
  <c r="C133"/>
  <c r="C137" s="1"/>
  <c r="B127"/>
  <c r="C127"/>
  <c r="D127"/>
  <c r="E127"/>
  <c r="F127"/>
  <c r="G127"/>
  <c r="H127"/>
  <c r="I127"/>
  <c r="B128"/>
  <c r="C128"/>
  <c r="D128"/>
  <c r="E128"/>
  <c r="F128"/>
  <c r="G128"/>
  <c r="H128"/>
  <c r="I128"/>
  <c r="D126"/>
  <c r="D130" s="1"/>
  <c r="E126"/>
  <c r="E130" s="1"/>
  <c r="E13" s="1"/>
  <c r="F126"/>
  <c r="G126"/>
  <c r="H126"/>
  <c r="H130" s="1"/>
  <c r="I126"/>
  <c r="I130" s="1"/>
  <c r="B126"/>
  <c r="C126"/>
  <c r="B120"/>
  <c r="C120"/>
  <c r="B121"/>
  <c r="C121"/>
  <c r="B119"/>
  <c r="B123" s="1"/>
  <c r="D120"/>
  <c r="E120"/>
  <c r="F120"/>
  <c r="G120"/>
  <c r="H120"/>
  <c r="I120"/>
  <c r="D121"/>
  <c r="E121"/>
  <c r="F121"/>
  <c r="G121"/>
  <c r="H121"/>
  <c r="I121"/>
  <c r="D119"/>
  <c r="D123" s="1"/>
  <c r="H13" s="1"/>
  <c r="E119"/>
  <c r="F119"/>
  <c r="G119"/>
  <c r="G123" s="1"/>
  <c r="H119"/>
  <c r="H123" s="1"/>
  <c r="I119"/>
  <c r="C119"/>
  <c r="D112"/>
  <c r="D113"/>
  <c r="D114"/>
  <c r="D115"/>
  <c r="D111"/>
  <c r="C45"/>
  <c r="B45"/>
  <c r="D108"/>
  <c r="C44" s="1"/>
  <c r="B44"/>
  <c r="D107"/>
  <c r="C43" s="1"/>
  <c r="D104"/>
  <c r="C40" s="1"/>
  <c r="D40"/>
  <c r="D41"/>
  <c r="D105"/>
  <c r="C41" s="1"/>
  <c r="B41"/>
  <c r="D103"/>
  <c r="B39"/>
  <c r="F54" s="1" a="1"/>
  <c r="F56" s="1"/>
  <c r="E100"/>
  <c r="D36" s="1"/>
  <c r="E99"/>
  <c r="D35" s="1"/>
  <c r="B31"/>
  <c r="B40"/>
  <c r="D45"/>
  <c r="C39"/>
  <c r="N91"/>
  <c r="O91"/>
  <c r="P91"/>
  <c r="Q91"/>
  <c r="R91"/>
  <c r="S91"/>
  <c r="N92"/>
  <c r="O92"/>
  <c r="P92"/>
  <c r="Q92"/>
  <c r="R92"/>
  <c r="S92"/>
  <c r="N93"/>
  <c r="O93"/>
  <c r="P93"/>
  <c r="Q93"/>
  <c r="R93"/>
  <c r="S93"/>
  <c r="M92"/>
  <c r="M93"/>
  <c r="M91"/>
  <c r="C33"/>
  <c r="B33"/>
  <c r="D32"/>
  <c r="C32"/>
  <c r="B32"/>
  <c r="D31"/>
  <c r="C31"/>
  <c r="M23"/>
  <c r="M24"/>
  <c r="M25"/>
  <c r="M26"/>
  <c r="M27"/>
  <c r="M28"/>
  <c r="M22"/>
  <c r="N11" i="15"/>
  <c r="M20"/>
  <c r="M19"/>
  <c r="M18"/>
  <c r="I77" i="18"/>
  <c r="J77"/>
  <c r="K77"/>
  <c r="H78"/>
  <c r="T27" s="1"/>
  <c r="I78"/>
  <c r="J78"/>
  <c r="K78"/>
  <c r="H79"/>
  <c r="T28" s="1"/>
  <c r="I79"/>
  <c r="J79"/>
  <c r="K79"/>
  <c r="C4"/>
  <c r="K14" s="1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K83" i="20" s="1"/>
  <c r="J15" i="4"/>
  <c r="H54" i="20" l="1" a="1"/>
  <c r="H54" s="1"/>
  <c r="G54" i="18" a="1"/>
  <c r="G56" s="1"/>
  <c r="C123"/>
  <c r="F123"/>
  <c r="C130"/>
  <c r="G130"/>
  <c r="F137"/>
  <c r="F14" s="1"/>
  <c r="B144"/>
  <c r="G14" s="1"/>
  <c r="F144"/>
  <c r="N13"/>
  <c r="K84" i="20"/>
  <c r="P95"/>
  <c r="K12"/>
  <c r="L14"/>
  <c r="N14"/>
  <c r="J13"/>
  <c r="K86"/>
  <c r="D12" i="18"/>
  <c r="N12"/>
  <c r="J83" i="20"/>
  <c r="J86" s="1"/>
  <c r="L12"/>
  <c r="L13"/>
  <c r="N13"/>
  <c r="H137" i="18"/>
  <c r="D137"/>
  <c r="F12" s="1"/>
  <c r="H144"/>
  <c r="D144"/>
  <c r="G12" s="1"/>
  <c r="D61"/>
  <c r="M12" i="20"/>
  <c r="K14"/>
  <c r="M13"/>
  <c r="I123" i="18"/>
  <c r="E123"/>
  <c r="B130"/>
  <c r="E12" s="1"/>
  <c r="F130"/>
  <c r="E14" s="1"/>
  <c r="I137"/>
  <c r="E137"/>
  <c r="I144"/>
  <c r="E144"/>
  <c r="G13" s="1"/>
  <c r="N14"/>
  <c r="F54" i="20" a="1"/>
  <c r="F56" s="1"/>
  <c r="M95"/>
  <c r="Q95"/>
  <c r="N12"/>
  <c r="K13"/>
  <c r="M14"/>
  <c r="H84"/>
  <c r="H85" s="1"/>
  <c r="H87" s="1"/>
  <c r="G84"/>
  <c r="G86" s="1"/>
  <c r="S25" s="1"/>
  <c r="E54"/>
  <c r="E55"/>
  <c r="T26"/>
  <c r="S26"/>
  <c r="D84"/>
  <c r="D86" s="1"/>
  <c r="P25" s="1"/>
  <c r="P26"/>
  <c r="F84"/>
  <c r="F86" s="1"/>
  <c r="R25" s="1"/>
  <c r="G54" a="1"/>
  <c r="G54" s="1"/>
  <c r="K62"/>
  <c r="G62"/>
  <c r="K61"/>
  <c r="G61"/>
  <c r="K60"/>
  <c r="G60"/>
  <c r="J12"/>
  <c r="I62"/>
  <c r="E61"/>
  <c r="H62"/>
  <c r="D62"/>
  <c r="H61"/>
  <c r="D61"/>
  <c r="H60"/>
  <c r="D60"/>
  <c r="E62"/>
  <c r="I61"/>
  <c r="E60"/>
  <c r="F7"/>
  <c r="J62"/>
  <c r="F62"/>
  <c r="J61"/>
  <c r="F61"/>
  <c r="J60"/>
  <c r="F60"/>
  <c r="I60"/>
  <c r="K54"/>
  <c r="I56"/>
  <c r="K56"/>
  <c r="K85"/>
  <c r="K87" s="1"/>
  <c r="I55"/>
  <c r="J56"/>
  <c r="J54"/>
  <c r="K55"/>
  <c r="I83"/>
  <c r="I86" s="1"/>
  <c r="E84"/>
  <c r="D54" a="1"/>
  <c r="I54"/>
  <c r="J55"/>
  <c r="H54" i="18"/>
  <c r="H55"/>
  <c r="F54"/>
  <c r="F55"/>
  <c r="E54" a="1"/>
  <c r="E56" s="1"/>
  <c r="G60"/>
  <c r="F61"/>
  <c r="D60"/>
  <c r="E62"/>
  <c r="K13"/>
  <c r="E60"/>
  <c r="G61"/>
  <c r="J12"/>
  <c r="K12"/>
  <c r="F62"/>
  <c r="D62"/>
  <c r="F60"/>
  <c r="G62"/>
  <c r="E61"/>
  <c r="C154"/>
  <c r="C150"/>
  <c r="C155"/>
  <c r="C151"/>
  <c r="C156"/>
  <c r="J62"/>
  <c r="I61"/>
  <c r="H60"/>
  <c r="K62"/>
  <c r="J61"/>
  <c r="I60"/>
  <c r="H62"/>
  <c r="K61"/>
  <c r="J60"/>
  <c r="I62"/>
  <c r="H61"/>
  <c r="K60"/>
  <c r="F7"/>
  <c r="L95"/>
  <c r="Q95"/>
  <c r="M95"/>
  <c r="P95"/>
  <c r="R95"/>
  <c r="N95"/>
  <c r="S95"/>
  <c r="O95"/>
  <c r="K84"/>
  <c r="D33"/>
  <c r="I55" s="1"/>
  <c r="J84"/>
  <c r="I84"/>
  <c r="F84"/>
  <c r="G84"/>
  <c r="E84"/>
  <c r="H84"/>
  <c r="D84"/>
  <c r="D22" i="15"/>
  <c r="E14"/>
  <c r="K83" i="18"/>
  <c r="J83"/>
  <c r="I83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G16"/>
  <c r="J15"/>
  <c r="F15"/>
  <c r="J32"/>
  <c r="F32"/>
  <c r="F22" i="15"/>
  <c r="J22"/>
  <c r="F23"/>
  <c r="J23"/>
  <c r="F24"/>
  <c r="J24"/>
  <c r="F39"/>
  <c r="J39"/>
  <c r="D16" i="14"/>
  <c r="I17"/>
  <c r="E17"/>
  <c r="H16"/>
  <c r="K15"/>
  <c r="G15"/>
  <c r="K32"/>
  <c r="G32"/>
  <c r="I22" i="15"/>
  <c r="I23"/>
  <c r="I24"/>
  <c r="E39"/>
  <c r="I39"/>
  <c r="D15" i="14"/>
  <c r="D11" s="1"/>
  <c r="D28" s="1"/>
  <c r="J17"/>
  <c r="J11" s="1"/>
  <c r="J28" s="1"/>
  <c r="F17"/>
  <c r="I16"/>
  <c r="E16"/>
  <c r="E10" s="1"/>
  <c r="E27" s="1"/>
  <c r="H15"/>
  <c r="D32"/>
  <c r="H32"/>
  <c r="H22" i="15"/>
  <c r="D23"/>
  <c r="H23"/>
  <c r="D24"/>
  <c r="H24"/>
  <c r="D39"/>
  <c r="H39"/>
  <c r="K10" i="14"/>
  <c r="K27" s="1"/>
  <c r="K9"/>
  <c r="K26" s="1"/>
  <c r="J10"/>
  <c r="J27" s="1"/>
  <c r="Q31" i="1"/>
  <c r="G24" i="4"/>
  <c r="H10" s="1"/>
  <c r="G23"/>
  <c r="H9" s="1"/>
  <c r="G25"/>
  <c r="H11" s="1"/>
  <c r="K11" i="14" l="1"/>
  <c r="K28" s="1"/>
  <c r="G54" i="18"/>
  <c r="G55"/>
  <c r="H56" i="20"/>
  <c r="H55"/>
  <c r="F54"/>
  <c r="F55"/>
  <c r="G65"/>
  <c r="G68" s="1"/>
  <c r="F64"/>
  <c r="F67" s="1"/>
  <c r="E63"/>
  <c r="E66" s="1"/>
  <c r="H63"/>
  <c r="H66" s="1"/>
  <c r="F65"/>
  <c r="F68" s="1"/>
  <c r="E64"/>
  <c r="E67" s="1"/>
  <c r="D63"/>
  <c r="D66" s="1"/>
  <c r="H64"/>
  <c r="H67" s="1"/>
  <c r="G63"/>
  <c r="G66" s="1"/>
  <c r="E65"/>
  <c r="E68" s="1"/>
  <c r="D64"/>
  <c r="D67" s="1"/>
  <c r="H65"/>
  <c r="H68" s="1"/>
  <c r="G64"/>
  <c r="G67" s="1"/>
  <c r="F63"/>
  <c r="F66" s="1"/>
  <c r="D65"/>
  <c r="D68" s="1"/>
  <c r="D14" i="18"/>
  <c r="H12"/>
  <c r="J85" i="20"/>
  <c r="J87" s="1"/>
  <c r="H14" i="18"/>
  <c r="D13"/>
  <c r="H64"/>
  <c r="H67" s="1"/>
  <c r="H65"/>
  <c r="H68" s="1"/>
  <c r="G63"/>
  <c r="H63"/>
  <c r="I10" i="14"/>
  <c r="I27" s="1"/>
  <c r="H86" i="20"/>
  <c r="T25" s="1"/>
  <c r="G85"/>
  <c r="G87" s="1"/>
  <c r="F85"/>
  <c r="F87" s="1"/>
  <c r="D85"/>
  <c r="D87" s="1"/>
  <c r="G55"/>
  <c r="G56"/>
  <c r="K65"/>
  <c r="K68" s="1"/>
  <c r="K64"/>
  <c r="K67" s="1"/>
  <c r="K63"/>
  <c r="K66" s="1"/>
  <c r="I63"/>
  <c r="I66" s="1"/>
  <c r="I65"/>
  <c r="I68" s="1"/>
  <c r="I64"/>
  <c r="I67" s="1"/>
  <c r="J65"/>
  <c r="J68" s="1"/>
  <c r="J64"/>
  <c r="J67" s="1"/>
  <c r="J63"/>
  <c r="J66" s="1"/>
  <c r="E86"/>
  <c r="Q25" s="1"/>
  <c r="E85"/>
  <c r="E87" s="1"/>
  <c r="H10" i="14"/>
  <c r="H27" s="1"/>
  <c r="I85" i="20"/>
  <c r="I87" s="1"/>
  <c r="D54"/>
  <c r="D55"/>
  <c r="D56"/>
  <c r="E63" i="18"/>
  <c r="E66" s="1"/>
  <c r="F63"/>
  <c r="E64"/>
  <c r="E65"/>
  <c r="E54"/>
  <c r="E55"/>
  <c r="D54" a="1"/>
  <c r="H11" i="14"/>
  <c r="H28" s="1"/>
  <c r="J9"/>
  <c r="J26" s="1"/>
  <c r="J33" s="1"/>
  <c r="J35" s="1"/>
  <c r="I9"/>
  <c r="I26" s="1"/>
  <c r="G11"/>
  <c r="G28" s="1"/>
  <c r="F9"/>
  <c r="F26" s="1"/>
  <c r="H9"/>
  <c r="H26" s="1"/>
  <c r="E11"/>
  <c r="E28" s="1"/>
  <c r="J63" i="18"/>
  <c r="K65"/>
  <c r="K64"/>
  <c r="I63"/>
  <c r="J64"/>
  <c r="J65"/>
  <c r="I64"/>
  <c r="I65"/>
  <c r="K63"/>
  <c r="K54"/>
  <c r="I54"/>
  <c r="K55"/>
  <c r="J55"/>
  <c r="J54"/>
  <c r="F10" i="14"/>
  <c r="F27" s="1"/>
  <c r="G10"/>
  <c r="G27" s="1"/>
  <c r="E9"/>
  <c r="E26" s="1"/>
  <c r="E33" s="1"/>
  <c r="E35" s="1"/>
  <c r="G9"/>
  <c r="G26" s="1"/>
  <c r="F11"/>
  <c r="F28" s="1"/>
  <c r="I11"/>
  <c r="I28" s="1"/>
  <c r="I33" s="1"/>
  <c r="I35" s="1"/>
  <c r="K86" i="18"/>
  <c r="J56"/>
  <c r="I56"/>
  <c r="K56"/>
  <c r="J86"/>
  <c r="H86"/>
  <c r="T25" s="1"/>
  <c r="I86"/>
  <c r="F86"/>
  <c r="R25" s="1"/>
  <c r="G86"/>
  <c r="S25" s="1"/>
  <c r="E86"/>
  <c r="Q25" s="1"/>
  <c r="D86"/>
  <c r="P25" s="1"/>
  <c r="D14" i="15"/>
  <c r="I85" i="18"/>
  <c r="I87" s="1"/>
  <c r="I14" i="15"/>
  <c r="F14"/>
  <c r="G14"/>
  <c r="D85" i="18"/>
  <c r="D87" s="1"/>
  <c r="G85"/>
  <c r="G87" s="1"/>
  <c r="D10" i="14"/>
  <c r="D27" s="1"/>
  <c r="D9"/>
  <c r="D26" s="1"/>
  <c r="J14" i="15"/>
  <c r="K14"/>
  <c r="H85" i="18"/>
  <c r="H87" s="1"/>
  <c r="E85"/>
  <c r="E87" s="1"/>
  <c r="F85"/>
  <c r="F87" s="1"/>
  <c r="K85"/>
  <c r="K87" s="1"/>
  <c r="H14" i="15"/>
  <c r="J85" i="18"/>
  <c r="J87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K33" i="14"/>
  <c r="K35" s="1"/>
  <c r="D17" i="4"/>
  <c r="D36" s="1"/>
  <c r="D16"/>
  <c r="D35" s="1"/>
  <c r="D15"/>
  <c r="H66" i="18" l="1"/>
  <c r="H57" s="1"/>
  <c r="J57" i="20"/>
  <c r="F33" i="14"/>
  <c r="F35" s="1"/>
  <c r="E57" i="20"/>
  <c r="H57"/>
  <c r="K57"/>
  <c r="I57"/>
  <c r="G33" i="14"/>
  <c r="G34" s="1"/>
  <c r="D57" i="20"/>
  <c r="G57"/>
  <c r="H33" i="14"/>
  <c r="H34" s="1"/>
  <c r="F57" i="20"/>
  <c r="D56" i="18"/>
  <c r="D55"/>
  <c r="D54"/>
  <c r="D33" i="14"/>
  <c r="D35" s="1"/>
  <c r="I66" i="18"/>
  <c r="K68"/>
  <c r="K67"/>
  <c r="J67"/>
  <c r="J68"/>
  <c r="K66"/>
  <c r="I68"/>
  <c r="J66"/>
  <c r="I67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I34"/>
  <c r="E34"/>
  <c r="J34"/>
  <c r="J18" i="4"/>
  <c r="D34"/>
  <c r="J19"/>
  <c r="J20"/>
  <c r="F34" i="14" l="1"/>
  <c r="H35"/>
  <c r="G35"/>
  <c r="D34"/>
  <c r="J41" i="15"/>
  <c r="J43" s="1"/>
  <c r="J42"/>
  <c r="F41"/>
  <c r="F43" s="1"/>
  <c r="F42"/>
  <c r="J57" i="18"/>
  <c r="I57"/>
  <c r="K57"/>
  <c r="I41" i="15"/>
  <c r="I43" s="1"/>
  <c r="E41"/>
  <c r="E43" s="1"/>
  <c r="K41"/>
  <c r="K43" s="1"/>
  <c r="H41"/>
  <c r="H43" s="1"/>
  <c r="G41"/>
  <c r="G43" s="1"/>
  <c r="D41"/>
  <c r="D43" s="1"/>
  <c r="D64" i="18" l="1"/>
  <c r="L14"/>
  <c r="D65" l="1"/>
  <c r="F64"/>
  <c r="F65"/>
  <c r="F68" s="1"/>
  <c r="L13"/>
  <c r="M13"/>
  <c r="J14"/>
  <c r="J13"/>
  <c r="D67" s="1"/>
  <c r="L12"/>
  <c r="M12"/>
  <c r="G66" s="1"/>
  <c r="G64"/>
  <c r="G65"/>
  <c r="D63"/>
  <c r="D66" s="1"/>
  <c r="M14"/>
  <c r="G67" l="1"/>
  <c r="G68"/>
  <c r="F66"/>
  <c r="D68"/>
  <c r="D57" s="1"/>
  <c r="E68"/>
  <c r="E67"/>
  <c r="F67"/>
  <c r="G57" l="1"/>
  <c r="F57"/>
  <c r="E57"/>
</calcChain>
</file>

<file path=xl/comments1.xml><?xml version="1.0" encoding="utf-8"?>
<comments xmlns="http://schemas.openxmlformats.org/spreadsheetml/2006/main">
  <authors>
    <author>cg</author>
  </authors>
  <commentList>
    <comment ref="M22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nie &lt; 0
</t>
        </r>
      </text>
    </comment>
    <comment ref="M26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darf &lt; 0 sein</t>
        </r>
      </text>
    </comment>
  </commentList>
</comments>
</file>

<file path=xl/sharedStrings.xml><?xml version="1.0" encoding="utf-8"?>
<sst xmlns="http://schemas.openxmlformats.org/spreadsheetml/2006/main" count="474" uniqueCount="182">
  <si>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</si>
  <si>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</si>
  <si>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</si>
  <si>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</si>
  <si>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</si>
  <si>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</si>
  <si>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</si>
  <si>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</si>
  <si>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</si>
  <si>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</si>
  <si>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</si>
  <si>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</si>
  <si>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</si>
  <si>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</si>
  <si>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</si>
  <si>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</si>
  <si>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</si>
  <si>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</si>
  <si>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</si>
  <si>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</si>
  <si>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</si>
  <si>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</si>
  <si>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</si>
  <si>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</si>
  <si>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</si>
  <si>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</si>
  <si>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</si>
  <si>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</si>
  <si>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</si>
  <si>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</si>
  <si>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</si>
  <si>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</si>
  <si>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</si>
  <si>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</si>
  <si>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</si>
  <si>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</si>
  <si>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</si>
  <si>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</si>
  <si>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</si>
  <si>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</si>
  <si>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</si>
  <si>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</si>
  <si>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</si>
  <si>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</si>
  <si>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</si>
  <si>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</si>
  <si>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</si>
  <si>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</si>
  <si>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</si>
  <si>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</si>
  <si>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</si>
  <si>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</si>
  <si>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</si>
  <si>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</si>
  <si>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</si>
  <si>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</si>
  <si>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</si>
  <si>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</si>
  <si>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</si>
  <si>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</si>
  <si>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</si>
  <si>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</si>
  <si>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</si>
  <si>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</si>
  <si>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</si>
  <si>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</si>
  <si>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</si>
  <si>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</si>
  <si>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</si>
  <si>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</si>
  <si>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</si>
  <si>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</si>
  <si>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</si>
  <si>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</si>
  <si>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</si>
  <si>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</si>
  <si>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</si>
  <si>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</si>
  <si>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</si>
  <si>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</si>
  <si>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</si>
  <si>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</si>
  <si>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</si>
  <si>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</si>
  <si>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</si>
  <si>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</si>
  <si>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</si>
  <si>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</si>
  <si>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</si>
  <si>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</si>
  <si>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</si>
  <si>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</si>
  <si>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</si>
  <si>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</si>
  <si>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</si>
  <si>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</si>
  <si>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</si>
  <si>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</si>
  <si>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</si>
  <si>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</si>
  <si>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</si>
  <si>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</si>
  <si>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</si>
  <si>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</si>
  <si>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</si>
  <si>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</si>
  <si>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</si>
  <si>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</si>
  <si>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</si>
  <si>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</si>
  <si>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</si>
  <si>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</si>
  <si>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</si>
  <si>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</si>
  <si>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</si>
  <si>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</si>
  <si>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</si>
  <si>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</si>
  <si>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</si>
  <si>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</si>
  <si>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</si>
  <si>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</si>
  <si>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</si>
  <si>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</si>
  <si>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</si>
  <si>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</si>
  <si>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</si>
  <si>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</si>
  <si>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</si>
  <si>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</si>
  <si>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</si>
  <si>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</si>
  <si>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</si>
  <si>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</t>
  </si>
  <si>
    <t>A_023457</t>
  </si>
  <si>
    <t>0243</t>
  </si>
  <si>
    <t>2043</t>
  </si>
  <si>
    <t>3204</t>
  </si>
  <si>
    <t>4230</t>
  </si>
  <si>
    <t>…</t>
  </si>
  <si>
    <t>A_2034</t>
  </si>
  <si>
    <t>A_3204</t>
  </si>
  <si>
    <t>A_4230</t>
  </si>
  <si>
    <t>Koordinaten bezogen auf (0,0,0) des Kalibrieraufbaus</t>
  </si>
  <si>
    <t>d_k2</t>
  </si>
  <si>
    <t>d_k3</t>
  </si>
  <si>
    <t>d_k4</t>
  </si>
  <si>
    <t>Referenz</t>
  </si>
  <si>
    <t>Verwendet</t>
  </si>
  <si>
    <t>Keine Daten</t>
  </si>
  <si>
    <t>Der Solver solves hier</t>
  </si>
  <si>
    <t>d_Referenz</t>
  </si>
  <si>
    <t>Lineare Modelel für die Koordinatenberechnung</t>
  </si>
  <si>
    <t>Theta_mess</t>
  </si>
  <si>
    <t>a_3k2</t>
  </si>
  <si>
    <t>a_3k3</t>
  </si>
  <si>
    <t>a_3k4</t>
  </si>
  <si>
    <t>a_2k</t>
  </si>
  <si>
    <t>a_3k</t>
  </si>
  <si>
    <t>a_4k</t>
  </si>
  <si>
    <t>P1</t>
  </si>
  <si>
    <t>P2</t>
  </si>
  <si>
    <t>P3</t>
  </si>
  <si>
    <t>P0</t>
  </si>
  <si>
    <t>a_0423</t>
  </si>
  <si>
    <t>0423</t>
  </si>
  <si>
    <t>a_0257</t>
  </si>
  <si>
    <t>a_0245</t>
  </si>
  <si>
    <t>a_0237</t>
  </si>
  <si>
    <t>a_0235</t>
  </si>
  <si>
    <t>n_0^2-n_1^2</t>
  </si>
  <si>
    <t>ϴ_0n_0-ϴ_1n_1</t>
  </si>
  <si>
    <t>ϴ_0n_0-ϴ_3n_3</t>
  </si>
  <si>
    <t>ϴ_0n_0-ϴ_2n_2</t>
  </si>
  <si>
    <t>n_0^2-n_3^2</t>
  </si>
  <si>
    <t>n_0^2-n_2^2</t>
  </si>
  <si>
    <t>Condition Number over SVD</t>
  </si>
  <si>
    <t>Linear Equation</t>
  </si>
  <si>
    <t>U</t>
  </si>
  <si>
    <t>D</t>
  </si>
  <si>
    <t>V</t>
  </si>
  <si>
    <t>Kontrolle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</si>
</sst>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00E+00"/>
    <numFmt numFmtId="166" formatCode="0.0000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78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Fill="1"/>
    <xf numFmtId="0" fontId="1" fillId="9" borderId="18" xfId="0" applyFont="1" applyFill="1" applyBorder="1"/>
    <xf numFmtId="0" fontId="1" fillId="10" borderId="18" xfId="0" applyFont="1" applyFill="1" applyBorder="1"/>
    <xf numFmtId="164" fontId="0" fillId="9" borderId="18" xfId="0" applyNumberFormat="1" applyFill="1" applyBorder="1"/>
    <xf numFmtId="164" fontId="0" fillId="10" borderId="18" xfId="0" applyNumberFormat="1" applyFill="1" applyBorder="1"/>
    <xf numFmtId="164" fontId="1" fillId="9" borderId="18" xfId="0" applyNumberFormat="1" applyFont="1" applyFill="1" applyBorder="1"/>
    <xf numFmtId="164" fontId="1" fillId="6" borderId="18" xfId="0" applyNumberFormat="1" applyFont="1" applyFill="1" applyBorder="1"/>
    <xf numFmtId="164" fontId="1" fillId="10" borderId="18" xfId="0" applyNumberFormat="1" applyFont="1" applyFill="1" applyBorder="1"/>
    <xf numFmtId="0" fontId="0" fillId="9" borderId="18" xfId="0" applyFill="1" applyBorder="1"/>
    <xf numFmtId="0" fontId="0" fillId="10" borderId="18" xfId="0" applyFill="1" applyBorder="1"/>
    <xf numFmtId="0" fontId="0" fillId="6" borderId="18" xfId="0" applyFill="1" applyBorder="1"/>
    <xf numFmtId="0" fontId="1" fillId="0" borderId="13" xfId="0" applyFont="1" applyBorder="1"/>
    <xf numFmtId="0" fontId="11" fillId="0" borderId="7" xfId="0" applyFont="1" applyBorder="1"/>
    <xf numFmtId="164" fontId="7" fillId="0" borderId="0" xfId="0" applyNumberFormat="1" applyFont="1" applyBorder="1"/>
    <xf numFmtId="0" fontId="7" fillId="3" borderId="0" xfId="0" applyFont="1" applyFill="1"/>
    <xf numFmtId="164" fontId="7" fillId="3" borderId="0" xfId="0" applyNumberFormat="1" applyFont="1" applyFill="1" applyBorder="1"/>
    <xf numFmtId="10" fontId="11" fillId="3" borderId="0" xfId="0" applyNumberFormat="1" applyFont="1" applyFill="1" applyBorder="1"/>
    <xf numFmtId="0" fontId="7" fillId="0" borderId="0" xfId="0" applyFont="1"/>
    <xf numFmtId="164" fontId="7" fillId="5" borderId="0" xfId="0" applyNumberFormat="1" applyFont="1" applyFill="1"/>
    <xf numFmtId="0" fontId="0" fillId="0" borderId="21" xfId="0" applyBorder="1"/>
    <xf numFmtId="0" fontId="11" fillId="0" borderId="0" xfId="0" applyFont="1" applyFill="1" applyBorder="1"/>
    <xf numFmtId="0" fontId="0" fillId="11" borderId="0" xfId="0" applyFill="1"/>
    <xf numFmtId="10" fontId="0" fillId="0" borderId="0" xfId="0" applyNumberFormat="1"/>
    <xf numFmtId="0" fontId="8" fillId="0" borderId="0" xfId="0" applyFont="1" applyBorder="1"/>
    <xf numFmtId="0" fontId="14" fillId="12" borderId="0" xfId="0" applyFont="1" applyFill="1" applyBorder="1"/>
    <xf numFmtId="0" fontId="0" fillId="12" borderId="0" xfId="0" applyFill="1" applyBorder="1"/>
    <xf numFmtId="0" fontId="12" fillId="6" borderId="18" xfId="0" applyFont="1" applyFill="1" applyBorder="1"/>
    <xf numFmtId="164" fontId="13" fillId="6" borderId="18" xfId="0" applyNumberFormat="1" applyFont="1" applyFill="1" applyBorder="1"/>
    <xf numFmtId="0" fontId="13" fillId="0" borderId="0" xfId="0" applyFont="1"/>
    <xf numFmtId="0" fontId="12" fillId="6" borderId="16" xfId="0" applyFont="1" applyFill="1" applyBorder="1"/>
    <xf numFmtId="164" fontId="13" fillId="6" borderId="10" xfId="0" applyNumberFormat="1" applyFont="1" applyFill="1" applyBorder="1"/>
    <xf numFmtId="0" fontId="12" fillId="8" borderId="18" xfId="0" applyFont="1" applyFill="1" applyBorder="1"/>
    <xf numFmtId="164" fontId="13" fillId="8" borderId="18" xfId="0" applyNumberFormat="1" applyFont="1" applyFill="1" applyBorder="1"/>
    <xf numFmtId="0" fontId="13" fillId="8" borderId="0" xfId="0" applyFont="1" applyFill="1"/>
    <xf numFmtId="165" fontId="0" fillId="4" borderId="0" xfId="0" applyNumberFormat="1" applyFill="1" applyBorder="1"/>
    <xf numFmtId="165" fontId="7" fillId="4" borderId="0" xfId="0" applyNumberFormat="1" applyFont="1" applyFill="1" applyBorder="1"/>
    <xf numFmtId="165" fontId="0" fillId="6" borderId="0" xfId="0" applyNumberFormat="1" applyFill="1" applyBorder="1"/>
    <xf numFmtId="165" fontId="8" fillId="6" borderId="0" xfId="0" applyNumberFormat="1" applyFont="1" applyFill="1" applyBorder="1"/>
    <xf numFmtId="0" fontId="0" fillId="0" borderId="0" xfId="0" applyFont="1" applyBorder="1"/>
    <xf numFmtId="0" fontId="7" fillId="0" borderId="0" xfId="0" applyFont="1" applyBorder="1"/>
    <xf numFmtId="49" fontId="10" fillId="0" borderId="7" xfId="0" applyNumberFormat="1" applyFont="1" applyBorder="1"/>
    <xf numFmtId="0" fontId="12" fillId="8" borderId="20" xfId="0" applyFont="1" applyFill="1" applyBorder="1"/>
    <xf numFmtId="164" fontId="13" fillId="8" borderId="20" xfId="0" applyNumberFormat="1" applyFont="1" applyFill="1" applyBorder="1"/>
    <xf numFmtId="164" fontId="1" fillId="8" borderId="18" xfId="0" applyNumberFormat="1" applyFont="1" applyFill="1" applyBorder="1"/>
    <xf numFmtId="0" fontId="12" fillId="8" borderId="19" xfId="0" applyFont="1" applyFill="1" applyBorder="1"/>
    <xf numFmtId="164" fontId="13" fillId="8" borderId="19" xfId="0" applyNumberFormat="1" applyFont="1" applyFill="1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right"/>
    </xf>
    <xf numFmtId="164" fontId="1" fillId="0" borderId="22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11" borderId="0" xfId="0" applyNumberFormat="1" applyFill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 applyAlignment="1">
      <alignment horizontal="center"/>
    </xf>
    <xf numFmtId="0" fontId="11" fillId="8" borderId="18" xfId="0" applyFont="1" applyFill="1" applyBorder="1"/>
    <xf numFmtId="164" fontId="7" fillId="8" borderId="18" xfId="0" applyNumberFormat="1" applyFont="1" applyFill="1" applyBorder="1"/>
    <xf numFmtId="0" fontId="7" fillId="8" borderId="0" xfId="0" applyFont="1" applyFill="1"/>
    <xf numFmtId="164" fontId="11" fillId="8" borderId="18" xfId="0" applyNumberFormat="1" applyFont="1" applyFill="1" applyBorder="1"/>
    <xf numFmtId="0" fontId="11" fillId="8" borderId="19" xfId="0" applyFont="1" applyFill="1" applyBorder="1"/>
    <xf numFmtId="164" fontId="7" fillId="8" borderId="19" xfId="0" applyNumberFormat="1" applyFont="1" applyFill="1" applyBorder="1"/>
    <xf numFmtId="0" fontId="11" fillId="8" borderId="20" xfId="0" applyFont="1" applyFill="1" applyBorder="1"/>
    <xf numFmtId="164" fontId="7" fillId="8" borderId="20" xfId="0" applyNumberFormat="1" applyFont="1" applyFill="1" applyBorder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 vertical="center" textRotation="90" wrapText="1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Alignment="1"/>
    <xf numFmtId="0" fontId="0" fillId="0" borderId="0" xfId="0" applyAlignment="1">
      <alignment horizontal="lef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2" fontId="0" fillId="0" borderId="0" xfId="0" applyNumberFormat="1"/>
    <xf numFmtId="0" fontId="1" fillId="0" borderId="2" xfId="0" applyFont="1" applyFill="1" applyBorder="1" applyAlignment="1">
      <alignment horizontal="center"/>
    </xf>
    <xf numFmtId="0" fontId="17" fillId="0" borderId="23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0" fontId="18" fillId="0" borderId="0" xfId="0" applyFont="1"/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96"/>
  <sheetViews>
    <sheetView topLeftCell="F63" zoomScale="115" zoomScaleNormal="115" workbookViewId="0">
      <selection activeCell="L89" sqref="L89:L96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158" t="s">
        <v>6</v>
      </c>
      <c r="C1" s="158"/>
      <c r="D1" s="158"/>
      <c r="E1" s="158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157" t="s">
        <v>5</v>
      </c>
      <c r="I6" s="157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119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118</v>
      </c>
    </row>
    <row r="19" spans="1:27">
      <c r="B19" s="158" t="s">
        <v>9</v>
      </c>
      <c r="C19" s="158"/>
      <c r="D19" s="158"/>
      <c r="E19" s="158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117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120</v>
      </c>
      <c r="K48" t="s">
        <v>121</v>
      </c>
      <c r="M48" t="s">
        <v>122</v>
      </c>
      <c r="O48" t="s">
        <v>123</v>
      </c>
      <c r="Q48" t="s">
        <v>127</v>
      </c>
      <c r="S48" t="s">
        <v>126</v>
      </c>
      <c r="U48" t="s">
        <v>125</v>
      </c>
      <c r="W48" t="s">
        <v>124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120</v>
      </c>
      <c r="I51">
        <v>-30.441860465116278</v>
      </c>
      <c r="J51">
        <f>I49/J49</f>
        <v>1.8584150748580277</v>
      </c>
      <c r="K51">
        <f>1/J51</f>
        <v>0.53809292311966117</v>
      </c>
      <c r="M51">
        <f>ABS(I49)/ABS(J49)</f>
        <v>1.8584150748580277</v>
      </c>
    </row>
    <row r="52" spans="8:24">
      <c r="H52" t="s">
        <v>121</v>
      </c>
      <c r="I52" t="e">
        <v>#DIV/0!</v>
      </c>
      <c r="J52" t="e">
        <f>K49/L49</f>
        <v>#DIV/0!</v>
      </c>
      <c r="K52" t="e">
        <f t="shared" ref="K52:K58" si="2">1/J52</f>
        <v>#DIV/0!</v>
      </c>
      <c r="M52" t="e">
        <f t="shared" ref="M52:M58" si="3">ABS(I50)/ABS(J50)</f>
        <v>#DIV/0!</v>
      </c>
    </row>
    <row r="53" spans="8:24">
      <c r="H53" t="s">
        <v>122</v>
      </c>
      <c r="I53">
        <v>-12.232758620689655</v>
      </c>
      <c r="J53">
        <f>M49/N49</f>
        <v>-3.3309859154929575</v>
      </c>
      <c r="K53">
        <f t="shared" si="2"/>
        <v>-0.30021141649048627</v>
      </c>
      <c r="M53">
        <f>ABS(M49)/ABS(N49)</f>
        <v>3.3309859154929575</v>
      </c>
    </row>
    <row r="54" spans="8:24">
      <c r="H54" t="s">
        <v>123</v>
      </c>
      <c r="I54">
        <v>-4.4375</v>
      </c>
      <c r="J54">
        <f>O49/P49</f>
        <v>12.909090909090908</v>
      </c>
      <c r="K54">
        <f t="shared" si="2"/>
        <v>7.7464788732394374E-2</v>
      </c>
      <c r="M54">
        <f>ABS(O49)/ABS(P49)</f>
        <v>12.909090909090908</v>
      </c>
    </row>
    <row r="55" spans="8:24">
      <c r="H55" t="s">
        <v>127</v>
      </c>
      <c r="I55">
        <v>14.42443729903537</v>
      </c>
      <c r="J55">
        <f>Q49/R49</f>
        <v>-1.0114994363021421</v>
      </c>
      <c r="K55">
        <f t="shared" si="2"/>
        <v>-0.98863129736959421</v>
      </c>
      <c r="M55">
        <f>ABS(Q49)/ABS(R49)</f>
        <v>1.0114994363021421</v>
      </c>
    </row>
    <row r="56" spans="8:24">
      <c r="H56" t="s">
        <v>126</v>
      </c>
      <c r="I56">
        <v>38.125</v>
      </c>
      <c r="J56">
        <f>S49/T49</f>
        <v>-1.2973122919492048</v>
      </c>
      <c r="K56">
        <f t="shared" si="2"/>
        <v>-0.77082442385364691</v>
      </c>
      <c r="M56">
        <f>ABS(S49)/ABS(T49)</f>
        <v>1.2973122919492048</v>
      </c>
    </row>
    <row r="57" spans="8:24">
      <c r="H57" t="s">
        <v>125</v>
      </c>
      <c r="I57" t="e">
        <v>#DIV/0!</v>
      </c>
      <c r="J57" t="e">
        <f>U49/V49</f>
        <v>#DIV/0!</v>
      </c>
      <c r="K57" t="e">
        <f t="shared" si="2"/>
        <v>#DIV/0!</v>
      </c>
      <c r="M57" t="e">
        <f>ABS(U49)/ABS(V49)</f>
        <v>#DIV/0!</v>
      </c>
    </row>
    <row r="58" spans="8:24">
      <c r="H58" t="s">
        <v>124</v>
      </c>
      <c r="I58">
        <v>-18.798816568047336</v>
      </c>
      <c r="J58">
        <f>W49/X49</f>
        <v>0.61911721718795665</v>
      </c>
      <c r="K58">
        <f t="shared" si="2"/>
        <v>1.6152030217186026</v>
      </c>
      <c r="M58">
        <f>ABS(W49)/ABS(X49)</f>
        <v>0.61911721718795665</v>
      </c>
    </row>
    <row r="62" spans="8:24">
      <c r="H62" t="s">
        <v>120</v>
      </c>
      <c r="I62" s="169">
        <v>-30.441860465116278</v>
      </c>
      <c r="J62" s="169">
        <v>-16.380549682875266</v>
      </c>
      <c r="K62">
        <v>1</v>
      </c>
      <c r="M62">
        <f>ABS(I62)/ABS(J62)</f>
        <v>1.8584150748580277</v>
      </c>
    </row>
    <row r="63" spans="8:24">
      <c r="H63" t="s">
        <v>121</v>
      </c>
      <c r="I63" s="169" t="e">
        <v>#DIV/0!</v>
      </c>
      <c r="J63" s="169" t="e">
        <v>#DIV/0!</v>
      </c>
      <c r="M63" t="e">
        <f t="shared" ref="M63:M69" si="4">ABS(I63)/ABS(J63)</f>
        <v>#DIV/0!</v>
      </c>
    </row>
    <row r="64" spans="8:24">
      <c r="H64" t="s">
        <v>122</v>
      </c>
      <c r="I64" s="169">
        <v>-12.232758620689655</v>
      </c>
      <c r="J64" s="169">
        <v>3.6724137931034484</v>
      </c>
      <c r="M64">
        <f t="shared" si="4"/>
        <v>3.3309859154929575</v>
      </c>
    </row>
    <row r="65" spans="8:13">
      <c r="H65" t="s">
        <v>123</v>
      </c>
      <c r="I65" s="169">
        <v>-4.4375</v>
      </c>
      <c r="J65" s="169">
        <v>-0.34375</v>
      </c>
      <c r="M65">
        <f t="shared" si="4"/>
        <v>12.909090909090908</v>
      </c>
    </row>
    <row r="66" spans="8:13">
      <c r="H66" t="s">
        <v>127</v>
      </c>
      <c r="I66" s="169">
        <v>14.42443729903537</v>
      </c>
      <c r="J66" s="169">
        <v>-14.260450160771704</v>
      </c>
      <c r="M66">
        <f t="shared" si="4"/>
        <v>1.0114994363021421</v>
      </c>
    </row>
    <row r="67" spans="8:13">
      <c r="H67" t="s">
        <v>126</v>
      </c>
      <c r="I67" s="169">
        <v>38.125</v>
      </c>
      <c r="J67" s="169">
        <v>-29.387681159420289</v>
      </c>
      <c r="M67">
        <f t="shared" si="4"/>
        <v>1.2973122919492048</v>
      </c>
    </row>
    <row r="68" spans="8:13">
      <c r="H68" t="s">
        <v>125</v>
      </c>
      <c r="I68" s="169" t="e">
        <v>#DIV/0!</v>
      </c>
      <c r="J68" s="169" t="e">
        <v>#DIV/0!</v>
      </c>
      <c r="M68" t="e">
        <f t="shared" si="4"/>
        <v>#DIV/0!</v>
      </c>
    </row>
    <row r="69" spans="8:13">
      <c r="H69" t="s">
        <v>124</v>
      </c>
      <c r="I69" s="169">
        <v>-18.798816568047336</v>
      </c>
      <c r="J69" s="169">
        <v>-30.363905325443788</v>
      </c>
      <c r="M69">
        <f t="shared" si="4"/>
        <v>0.61911721718795665</v>
      </c>
    </row>
    <row r="71" spans="8:13">
      <c r="I71" s="41" t="str">
        <f>COMPLEX(I62,J62*M62)</f>
        <v>-30,4418604651163-30,4418604651163i</v>
      </c>
      <c r="M71">
        <f>PI()/2</f>
        <v>1.5707963267948966</v>
      </c>
    </row>
    <row r="72" spans="8:13">
      <c r="I72" s="41" t="e">
        <f t="shared" ref="I72:I78" si="5">COMPLEX(I63,J63*M63)</f>
        <v>#DIV/0!</v>
      </c>
      <c r="M72">
        <f>PI()</f>
        <v>3.1415926535897931</v>
      </c>
    </row>
    <row r="73" spans="8:13">
      <c r="I73" s="41" t="str">
        <f t="shared" si="5"/>
        <v>-12,2327586206897+12,2327586206897i</v>
      </c>
      <c r="M73">
        <f>M72+M71</f>
        <v>4.7123889803846897</v>
      </c>
    </row>
    <row r="74" spans="8:13">
      <c r="I74" s="41" t="str">
        <f t="shared" si="5"/>
        <v>-4,4375-4,4375i</v>
      </c>
      <c r="M74">
        <f>2*M72</f>
        <v>6.2831853071795862</v>
      </c>
    </row>
    <row r="75" spans="8:13">
      <c r="I75" s="41" t="str">
        <f t="shared" si="5"/>
        <v>14,4244372990354-14,4244372990354i</v>
      </c>
    </row>
    <row r="76" spans="8:13">
      <c r="I76" s="41" t="str">
        <f t="shared" si="5"/>
        <v>38,125-38,125i</v>
      </c>
    </row>
    <row r="77" spans="8:13">
      <c r="I77" s="41" t="e">
        <f t="shared" si="5"/>
        <v>#DIV/0!</v>
      </c>
    </row>
    <row r="78" spans="8:13">
      <c r="I78" s="41" t="str">
        <f t="shared" si="5"/>
        <v>-18,7988165680473-18,7988165680473i</v>
      </c>
    </row>
    <row r="79" spans="8:13">
      <c r="I79" s="41"/>
    </row>
    <row r="80" spans="8:13">
      <c r="I80" s="41"/>
      <c r="J80">
        <f>IMARGUMENT(I71)</f>
        <v>-2.3561944901923448</v>
      </c>
      <c r="K80" s="169">
        <f>IF(J80&lt;0,(-2*PI()+J80*-1)*-1,J80)</f>
        <v>3.9269908169872414</v>
      </c>
    </row>
    <row r="81" spans="9:12">
      <c r="I81" s="41"/>
      <c r="J81" t="e">
        <f>IMARGUMENT(I72)</f>
        <v>#DIV/0!</v>
      </c>
      <c r="K81" s="169" t="e">
        <f t="shared" ref="K81:K87" si="6">IF(J81&lt;0,(-2*PI()+J81*-1)*-1,J81)</f>
        <v>#DIV/0!</v>
      </c>
    </row>
    <row r="82" spans="9:12">
      <c r="J82">
        <f>IMARGUMENT(I73)</f>
        <v>2.3561944901923448</v>
      </c>
      <c r="K82" s="169">
        <f t="shared" si="6"/>
        <v>2.3561944901923448</v>
      </c>
    </row>
    <row r="83" spans="9:12">
      <c r="J83">
        <f>IMARGUMENT(I74)</f>
        <v>-2.3561944901923448</v>
      </c>
      <c r="K83" s="169">
        <f t="shared" si="6"/>
        <v>3.9269908169872414</v>
      </c>
    </row>
    <row r="84" spans="9:12">
      <c r="J84">
        <f>IMARGUMENT(I75)</f>
        <v>-0.78539816339744828</v>
      </c>
      <c r="K84" s="169">
        <f t="shared" si="6"/>
        <v>5.497787143782138</v>
      </c>
    </row>
    <row r="85" spans="9:12">
      <c r="J85">
        <f>IMARGUMENT(I76)</f>
        <v>-0.78539816339744828</v>
      </c>
      <c r="K85" s="169">
        <f t="shared" si="6"/>
        <v>5.497787143782138</v>
      </c>
    </row>
    <row r="86" spans="9:12">
      <c r="J86" t="e">
        <f>IMARGUMENT(I77)</f>
        <v>#DIV/0!</v>
      </c>
      <c r="K86" s="169" t="e">
        <f t="shared" si="6"/>
        <v>#DIV/0!</v>
      </c>
    </row>
    <row r="87" spans="9:12">
      <c r="J87">
        <f>IMARGUMENT(I78)</f>
        <v>-2.3561944901923448</v>
      </c>
      <c r="K87" s="169">
        <f t="shared" si="6"/>
        <v>3.9269908169872414</v>
      </c>
    </row>
    <row r="89" spans="9:12">
      <c r="I89">
        <f>ASIN(I62/100)</f>
        <v>-0.30932800545732669</v>
      </c>
      <c r="J89">
        <f>IF(J62&gt;0,-1*I89+PI(),I89)</f>
        <v>-0.30932800545732669</v>
      </c>
      <c r="K89" s="169">
        <f>IF(J89&lt;0,J89+2*PI(),J89)</f>
        <v>5.9738573017222594</v>
      </c>
      <c r="L89">
        <f>K89*0.95</f>
        <v>5.6751644366361464</v>
      </c>
    </row>
    <row r="90" spans="9:12">
      <c r="I90" t="e">
        <f t="shared" ref="I90:I96" si="7">ASIN(I63/100)</f>
        <v>#DIV/0!</v>
      </c>
      <c r="J90" t="e">
        <f t="shared" ref="J90:J96" si="8">IF(J63&gt;0,-1*I90+PI(),I90)</f>
        <v>#DIV/0!</v>
      </c>
      <c r="K90" s="169" t="e">
        <f t="shared" ref="K90:K96" si="9">IF(J90&lt;0,J90+2*PI(),J90)</f>
        <v>#DIV/0!</v>
      </c>
      <c r="L90" t="e">
        <f t="shared" ref="L90:L96" si="10">K90*0.95</f>
        <v>#DIV/0!</v>
      </c>
    </row>
    <row r="91" spans="9:12">
      <c r="I91">
        <f t="shared" si="7"/>
        <v>-0.12263474486785807</v>
      </c>
      <c r="J91">
        <f t="shared" si="8"/>
        <v>3.2642273984576513</v>
      </c>
      <c r="K91" s="169">
        <f t="shared" si="9"/>
        <v>3.2642273984576513</v>
      </c>
      <c r="L91">
        <f t="shared" si="10"/>
        <v>3.1010160285347688</v>
      </c>
    </row>
    <row r="92" spans="9:12">
      <c r="I92">
        <f t="shared" si="7"/>
        <v>-4.4389576355872519E-2</v>
      </c>
      <c r="J92">
        <f t="shared" si="8"/>
        <v>-4.4389576355872519E-2</v>
      </c>
      <c r="K92" s="169">
        <f t="shared" si="9"/>
        <v>6.2387957308237141</v>
      </c>
      <c r="L92">
        <f t="shared" si="10"/>
        <v>5.9268559442825284</v>
      </c>
    </row>
    <row r="93" spans="9:12">
      <c r="I93">
        <f t="shared" si="7"/>
        <v>0.14474931712766034</v>
      </c>
      <c r="J93">
        <f t="shared" si="8"/>
        <v>0.14474931712766034</v>
      </c>
      <c r="K93" s="169">
        <f t="shared" si="9"/>
        <v>0.14474931712766034</v>
      </c>
      <c r="L93">
        <f t="shared" si="10"/>
        <v>0.13751185127127732</v>
      </c>
    </row>
    <row r="94" spans="9:12">
      <c r="I94">
        <f t="shared" si="7"/>
        <v>0.39114804330605585</v>
      </c>
      <c r="J94">
        <f t="shared" si="8"/>
        <v>0.39114804330605585</v>
      </c>
      <c r="K94" s="169">
        <f t="shared" si="9"/>
        <v>0.39114804330605585</v>
      </c>
      <c r="L94">
        <f t="shared" si="10"/>
        <v>0.37159064114075302</v>
      </c>
    </row>
    <row r="95" spans="9:12">
      <c r="I95" t="e">
        <f t="shared" si="7"/>
        <v>#DIV/0!</v>
      </c>
      <c r="J95" t="e">
        <f t="shared" si="8"/>
        <v>#DIV/0!</v>
      </c>
      <c r="K95" s="169" t="e">
        <f t="shared" si="9"/>
        <v>#DIV/0!</v>
      </c>
      <c r="L95" t="e">
        <f t="shared" si="10"/>
        <v>#DIV/0!</v>
      </c>
    </row>
    <row r="96" spans="9:12">
      <c r="I96">
        <f t="shared" si="7"/>
        <v>-0.18911338958626631</v>
      </c>
      <c r="J96">
        <f t="shared" si="8"/>
        <v>-0.18911338958626631</v>
      </c>
      <c r="K96" s="169">
        <f t="shared" si="9"/>
        <v>6.09407191759332</v>
      </c>
      <c r="L96">
        <f t="shared" si="10"/>
        <v>5.7893683217136536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T158"/>
  <sheetViews>
    <sheetView topLeftCell="A22" workbookViewId="0">
      <selection activeCell="F62" sqref="F62"/>
    </sheetView>
  </sheetViews>
  <sheetFormatPr baseColWidth="10" defaultRowHeight="15"/>
  <sheetData>
    <row r="1" spans="1:15">
      <c r="A1" s="161">
        <v>0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5">
      <c r="B2" s="42" t="s">
        <v>97</v>
      </c>
      <c r="C2" s="43">
        <v>300000000</v>
      </c>
      <c r="D2" s="44" t="s">
        <v>98</v>
      </c>
      <c r="E2" s="44"/>
      <c r="F2" s="44"/>
      <c r="G2" s="44"/>
      <c r="H2" s="44"/>
      <c r="I2" s="44"/>
      <c r="J2" s="44"/>
      <c r="K2" s="45"/>
    </row>
    <row r="3" spans="1:15">
      <c r="B3" s="46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0"/>
    </row>
    <row r="4" spans="1:15">
      <c r="B4" s="46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0"/>
    </row>
    <row r="5" spans="1:15">
      <c r="B5" s="46"/>
      <c r="C5" s="2"/>
      <c r="I5" s="2"/>
      <c r="J5" s="2"/>
      <c r="K5" s="20"/>
    </row>
    <row r="6" spans="1:15">
      <c r="A6" s="20"/>
      <c r="B6" s="54" t="s">
        <v>78</v>
      </c>
      <c r="C6" s="21"/>
      <c r="D6" s="12" t="s">
        <v>77</v>
      </c>
      <c r="E6" s="12" t="s">
        <v>75</v>
      </c>
      <c r="F6" s="12" t="s">
        <v>76</v>
      </c>
      <c r="G6" s="12" t="s">
        <v>79</v>
      </c>
      <c r="H6" s="12" t="s">
        <v>80</v>
      </c>
      <c r="I6" s="12"/>
      <c r="J6" s="12"/>
      <c r="K6" s="48"/>
    </row>
    <row r="7" spans="1:15">
      <c r="A7" s="20"/>
      <c r="B7" s="53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0"/>
      <c r="L7" s="2"/>
      <c r="M7" s="2"/>
      <c r="N7" s="2"/>
      <c r="O7" s="2"/>
    </row>
    <row r="8" spans="1:15">
      <c r="A8" s="20"/>
      <c r="B8" s="51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0"/>
      <c r="L8" s="2"/>
      <c r="M8" s="2"/>
      <c r="N8" s="2"/>
      <c r="O8" s="2"/>
    </row>
    <row r="9" spans="1:15">
      <c r="A9" s="20"/>
      <c r="B9" s="51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0"/>
      <c r="L9" s="2"/>
      <c r="M9" s="2"/>
      <c r="N9" s="2"/>
      <c r="O9" s="2"/>
    </row>
    <row r="10" spans="1:15">
      <c r="A10" s="20"/>
      <c r="B10" s="51">
        <v>0</v>
      </c>
      <c r="C10" s="52"/>
      <c r="D10" s="61"/>
      <c r="E10" s="61"/>
      <c r="F10" s="61"/>
      <c r="G10" s="61"/>
      <c r="H10" s="116"/>
      <c r="I10" s="2"/>
      <c r="J10" s="81"/>
      <c r="K10" s="20"/>
      <c r="L10" s="2"/>
      <c r="M10" s="2"/>
      <c r="N10" s="2"/>
      <c r="O10" s="2"/>
    </row>
    <row r="11" spans="1:15">
      <c r="A11" s="2"/>
      <c r="B11" s="102"/>
      <c r="C11" s="52"/>
      <c r="D11" s="111" t="s">
        <v>77</v>
      </c>
      <c r="E11" s="111" t="s">
        <v>157</v>
      </c>
      <c r="F11" s="111" t="s">
        <v>158</v>
      </c>
      <c r="G11" s="111" t="s">
        <v>159</v>
      </c>
      <c r="H11" s="2"/>
      <c r="I11" s="2"/>
      <c r="J11" s="26" t="s">
        <v>79</v>
      </c>
      <c r="K11" s="26" t="s">
        <v>154</v>
      </c>
      <c r="L11" s="26" t="s">
        <v>155</v>
      </c>
      <c r="M11" s="26" t="s">
        <v>156</v>
      </c>
      <c r="N11" s="2"/>
      <c r="O11" s="2"/>
    </row>
    <row r="12" spans="1:15">
      <c r="A12" s="2"/>
      <c r="B12" s="102"/>
      <c r="C12" s="108">
        <v>1</v>
      </c>
      <c r="D12" s="2">
        <f>0.5*D123^2</f>
        <v>0.84198942471462679</v>
      </c>
      <c r="E12" s="2">
        <f>0.5*B130^2</f>
        <v>0.84198942471462679</v>
      </c>
      <c r="F12" s="2">
        <f>0.5*D137^2</f>
        <v>3.355750123931859</v>
      </c>
      <c r="G12" s="2">
        <f>0.5*D144^2</f>
        <v>0.66775267347450074</v>
      </c>
      <c r="H12" s="2">
        <f>0.5*F123^2</f>
        <v>1.8954667052703305</v>
      </c>
      <c r="I12" s="129">
        <v>1</v>
      </c>
      <c r="J12" s="2">
        <f>A_1*(1/(2*PI())^2)*(T_0^2-T_2^2)</f>
        <v>-2.9016804505667053E-3</v>
      </c>
      <c r="K12" s="2">
        <f>A_1*(1/(2*PI())^2)*(T_2^2-T_0^2)</f>
        <v>2.9016804505667053E-3</v>
      </c>
      <c r="L12" s="2">
        <f>A_1*(1/(2*PI())^2)*(T_3^2-T_2^2)</f>
        <v>5.906413250206563E-2</v>
      </c>
      <c r="M12" s="2">
        <f>A_1*(1/(2*PI())^2)*(T_4^2-T_2^2)</f>
        <v>-3.8246030262793821E-3</v>
      </c>
      <c r="N12" s="2">
        <f>A_1*(1/(2*PI())^2)*(T_0^2-T_4^2)</f>
        <v>9.2292257571267736E-4</v>
      </c>
      <c r="O12" s="2"/>
    </row>
    <row r="13" spans="1:15">
      <c r="A13" s="2"/>
      <c r="B13" s="102"/>
      <c r="C13" s="130">
        <v>2</v>
      </c>
      <c r="D13" s="2">
        <f>0.5*E123^2</f>
        <v>1.5747328563547551</v>
      </c>
      <c r="E13" s="2">
        <f>0.5*E130^2</f>
        <v>3.355750123931859</v>
      </c>
      <c r="F13" s="2">
        <f>0.5*B137^2</f>
        <v>1.5747328563547551</v>
      </c>
      <c r="G13" s="2">
        <f>0.5*E144^2</f>
        <v>4.0754124436814498</v>
      </c>
      <c r="H13" s="2">
        <f>0.5*D123^2</f>
        <v>0.84198942471462679</v>
      </c>
      <c r="I13" s="2">
        <v>2</v>
      </c>
      <c r="J13" s="2">
        <f>A_1*(1/(2*PI())^2)*(T_0^2-T_3^2)</f>
        <v>-6.1965812952632343E-2</v>
      </c>
      <c r="K13" s="2">
        <f>A_1*(1/(2*PI())^2)*(T_2^2-T_3^2)</f>
        <v>-5.906413250206563E-2</v>
      </c>
      <c r="L13" s="2">
        <f>A_1*(1/(2*PI())^2)*(T_3^2-T_0^2)</f>
        <v>6.1965812952632343E-2</v>
      </c>
      <c r="M13" s="2">
        <f>A_1*(1/(2*PI())^2)*(T_4^2-T_3^2)</f>
        <v>-6.2888735528345022E-2</v>
      </c>
      <c r="N13" s="2">
        <f>A_1*(1/(2*PI())^2)*(T_0^2-T_2^2)</f>
        <v>-2.9016804505667053E-3</v>
      </c>
      <c r="O13" s="2"/>
    </row>
    <row r="14" spans="1:15">
      <c r="A14" s="2"/>
      <c r="B14" s="102"/>
      <c r="C14" s="130">
        <v>3</v>
      </c>
      <c r="D14" s="2">
        <f>0.5*F123^2</f>
        <v>1.8954667052703305</v>
      </c>
      <c r="E14" s="2">
        <f>0.5*F130^2</f>
        <v>0.66775267347450074</v>
      </c>
      <c r="F14" s="2">
        <f>0.5*F137^2</f>
        <v>4.0754124436814498</v>
      </c>
      <c r="G14" s="2">
        <f>0.5*B144^2</f>
        <v>1.8954667052703305</v>
      </c>
      <c r="H14" s="2">
        <f>0.5*E123^2</f>
        <v>1.5747328563547551</v>
      </c>
      <c r="I14" s="2">
        <v>3</v>
      </c>
      <c r="J14" s="2">
        <f>A_1*(1/(2*PI())^2)*(T_0^2-T_4^2)</f>
        <v>9.2292257571267736E-4</v>
      </c>
      <c r="K14" s="2">
        <f>A_1*(1/(2*PI())^2)*(T_2^2-T_4^2)</f>
        <v>3.8246030262793821E-3</v>
      </c>
      <c r="L14" s="2">
        <f>A_1*(1/(2*PI())^2)*(T_3^2-T_4^2)</f>
        <v>6.2888735528345022E-2</v>
      </c>
      <c r="M14" s="2">
        <f>A_1*(1/(2*PI())^2)*(T_4^2-T_0^2)</f>
        <v>-9.2292257571267736E-4</v>
      </c>
      <c r="N14" s="2">
        <f>A_1*(1/(2*PI())^2)*(T_0^2-T_3^2)</f>
        <v>-6.1965812952632343E-2</v>
      </c>
      <c r="O14" s="2"/>
    </row>
    <row r="15" spans="1:15">
      <c r="A15" s="2"/>
      <c r="B15" s="102"/>
      <c r="C15" s="52"/>
      <c r="D15" s="2"/>
      <c r="E15" s="2"/>
      <c r="F15" s="2"/>
      <c r="G15" s="2"/>
      <c r="H15" s="114">
        <v>3.6315946901900333</v>
      </c>
      <c r="I15" s="2"/>
      <c r="J15" s="81"/>
      <c r="K15" s="20"/>
      <c r="L15" s="2"/>
      <c r="M15" s="2"/>
      <c r="N15" s="2"/>
      <c r="O15" s="2"/>
    </row>
    <row r="16" spans="1:15">
      <c r="A16" s="2"/>
      <c r="B16" s="102"/>
      <c r="C16" s="52"/>
      <c r="D16" s="2"/>
      <c r="E16" s="2"/>
      <c r="F16" s="2"/>
      <c r="G16" s="2"/>
      <c r="H16" s="114">
        <v>2.216073124166746</v>
      </c>
      <c r="I16" s="2"/>
      <c r="J16" s="81"/>
      <c r="K16" s="20"/>
      <c r="L16" s="2"/>
      <c r="M16" s="2"/>
      <c r="N16" s="2"/>
      <c r="O16" s="2"/>
    </row>
    <row r="17" spans="1:20">
      <c r="B17" s="49"/>
      <c r="C17" s="21"/>
      <c r="D17" s="21"/>
      <c r="E17" s="21"/>
      <c r="F17" s="21"/>
      <c r="G17" s="21"/>
      <c r="H17" s="21"/>
      <c r="I17" s="21"/>
      <c r="J17" s="21"/>
      <c r="K17" s="11"/>
    </row>
    <row r="18" spans="1:20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20">
      <c r="B19" s="2"/>
      <c r="C19" s="2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0.63133684209528462</v>
      </c>
      <c r="E22" s="126">
        <v>0</v>
      </c>
      <c r="F22" s="126">
        <v>0.63551506959318182</v>
      </c>
      <c r="G22" s="126">
        <v>0.75011859604783826</v>
      </c>
      <c r="H22" s="126">
        <v>0</v>
      </c>
      <c r="I22" s="70">
        <v>-0.15855509315995797</v>
      </c>
      <c r="J22" s="70">
        <v>-0.85603789680002773</v>
      </c>
      <c r="K22" s="70">
        <v>0.65342120690916317</v>
      </c>
      <c r="L22" s="162" t="s">
        <v>150</v>
      </c>
      <c r="M22" s="78">
        <f ca="1">RAND()-RAND()</f>
        <v>-0.28091973692219274</v>
      </c>
    </row>
    <row r="23" spans="1:20">
      <c r="B23" s="2" t="s">
        <v>82</v>
      </c>
      <c r="C23" s="2"/>
      <c r="D23" s="125">
        <v>7.6979139390737902E-2</v>
      </c>
      <c r="E23" s="126">
        <v>0.2218066346168576</v>
      </c>
      <c r="F23" s="126">
        <v>0</v>
      </c>
      <c r="G23" s="126">
        <v>0</v>
      </c>
      <c r="H23" s="126">
        <v>0.2321259737260698</v>
      </c>
      <c r="I23" s="70">
        <v>-0.3582528703161334</v>
      </c>
      <c r="J23" s="70">
        <v>0.54958182007341416</v>
      </c>
      <c r="K23" s="70">
        <v>-0.40737763775813596</v>
      </c>
      <c r="L23" s="162"/>
      <c r="M23" s="78">
        <f t="shared" ref="M23:M28" ca="1" si="0">RAND()-RAND()</f>
        <v>-0.17929653334740703</v>
      </c>
    </row>
    <row r="24" spans="1:20">
      <c r="B24" s="2" t="s">
        <v>83</v>
      </c>
      <c r="C24" s="2"/>
      <c r="D24" s="125">
        <v>0</v>
      </c>
      <c r="E24" s="126">
        <v>0</v>
      </c>
      <c r="F24" s="126">
        <v>0.13371555220586218</v>
      </c>
      <c r="G24" s="126">
        <v>0</v>
      </c>
      <c r="H24" s="126">
        <v>0.30296553957210076</v>
      </c>
      <c r="I24" s="70">
        <v>-2.4909669184959959E-2</v>
      </c>
      <c r="J24" s="70">
        <v>-0.36477405011057273</v>
      </c>
      <c r="K24" s="70">
        <v>0.20797765241452781</v>
      </c>
      <c r="L24" s="162"/>
      <c r="M24" s="78">
        <f t="shared" ca="1" si="0"/>
        <v>-0.2214093332649858</v>
      </c>
    </row>
    <row r="25" spans="1:20">
      <c r="B25" s="50" t="s">
        <v>84</v>
      </c>
      <c r="C25" s="2" t="s">
        <v>27</v>
      </c>
      <c r="D25" s="125">
        <v>9.9473534587796536E-2</v>
      </c>
      <c r="E25" s="126">
        <v>0</v>
      </c>
      <c r="F25" s="126">
        <v>0.1020912484200384</v>
      </c>
      <c r="G25" s="126">
        <v>1.3193599454025878E-2</v>
      </c>
      <c r="H25" s="126">
        <v>0.41859148737833973</v>
      </c>
      <c r="I25" s="70">
        <v>-0.60127917735887881</v>
      </c>
      <c r="J25" s="70">
        <v>7.3809363778690518E-2</v>
      </c>
      <c r="K25" s="70">
        <v>0.45904960287541474</v>
      </c>
      <c r="L25" s="162"/>
      <c r="M25" s="78">
        <f t="shared" ca="1" si="0"/>
        <v>0.20470971627419576</v>
      </c>
      <c r="P25" s="113">
        <f>D86</f>
        <v>0.23887175153031459</v>
      </c>
      <c r="Q25" s="113">
        <f>E86</f>
        <v>-0.25101878076058237</v>
      </c>
      <c r="R25" s="113">
        <f t="shared" ref="R25:T25" si="1">F86</f>
        <v>-0.42861060951290186</v>
      </c>
      <c r="S25" s="113">
        <f t="shared" si="1"/>
        <v>-0.19454926920916504</v>
      </c>
      <c r="T25" s="113">
        <f t="shared" si="1"/>
        <v>0.22491986479301973</v>
      </c>
    </row>
    <row r="26" spans="1:20">
      <c r="B26" s="2" t="s">
        <v>48</v>
      </c>
      <c r="C26" s="2"/>
      <c r="D26" s="125">
        <v>-1.5281532423178226E-2</v>
      </c>
      <c r="E26" s="126">
        <v>-1.0566625264410034</v>
      </c>
      <c r="F26" s="126">
        <v>1.4048749942792476</v>
      </c>
      <c r="G26" s="126">
        <v>-1.4603180121041786</v>
      </c>
      <c r="H26" s="125">
        <v>-4.887391857791243E-3</v>
      </c>
      <c r="I26" s="70">
        <v>-0.64147819789622496</v>
      </c>
      <c r="J26" s="70">
        <v>-2.6436636559469484E-2</v>
      </c>
      <c r="K26" s="70">
        <v>-1.0305960682470916E-2</v>
      </c>
      <c r="L26" s="162"/>
      <c r="M26" s="78">
        <f t="shared" ca="1" si="0"/>
        <v>-0.21406341492893777</v>
      </c>
      <c r="P26" s="35">
        <f>D77</f>
        <v>-1.5281532423178226E-2</v>
      </c>
      <c r="Q26" s="35">
        <f t="shared" ref="Q26:T28" si="2">E77</f>
        <v>-1.0566625264410034</v>
      </c>
      <c r="R26" s="35">
        <f t="shared" si="2"/>
        <v>1.4048749942792476</v>
      </c>
      <c r="S26" s="35">
        <f t="shared" si="2"/>
        <v>-1.4603180121041786</v>
      </c>
      <c r="T26" s="35">
        <f t="shared" si="2"/>
        <v>-4.887391857791243E-3</v>
      </c>
    </row>
    <row r="27" spans="1:20">
      <c r="B27" t="s">
        <v>47</v>
      </c>
      <c r="D27" s="125">
        <v>0.9562783156398077</v>
      </c>
      <c r="E27" s="126">
        <v>0.99643143506690712</v>
      </c>
      <c r="F27" s="126">
        <v>0.13453570285931396</v>
      </c>
      <c r="G27" s="126">
        <v>-9.7426512875753782E-2</v>
      </c>
      <c r="H27" s="125">
        <v>0.95629134652133252</v>
      </c>
      <c r="I27" s="70">
        <v>4.8639647915487139E-2</v>
      </c>
      <c r="J27" s="70">
        <v>-0.42478485919807984</v>
      </c>
      <c r="K27" s="70">
        <v>5.2954891334215048E-2</v>
      </c>
      <c r="L27" s="162"/>
      <c r="M27" s="78">
        <f t="shared" ca="1" si="0"/>
        <v>0.12705523258499074</v>
      </c>
      <c r="P27" s="35">
        <f t="shared" ref="P27:P28" si="3">D78</f>
        <v>0.9562783156398077</v>
      </c>
      <c r="Q27" s="35">
        <f t="shared" si="2"/>
        <v>0.99643143506690712</v>
      </c>
      <c r="R27" s="35">
        <f t="shared" si="2"/>
        <v>0.13453570285931396</v>
      </c>
      <c r="S27" s="35">
        <f t="shared" si="2"/>
        <v>-9.7426512875753782E-2</v>
      </c>
      <c r="T27" s="35">
        <f t="shared" si="2"/>
        <v>0.95629134652133252</v>
      </c>
    </row>
    <row r="28" spans="1:20">
      <c r="B28" t="s">
        <v>52</v>
      </c>
      <c r="C28" s="2"/>
      <c r="D28" s="125">
        <v>1.178157965339047</v>
      </c>
      <c r="E28" s="126">
        <v>0.39513947309721981</v>
      </c>
      <c r="F28" s="126">
        <v>0.42344958655893555</v>
      </c>
      <c r="G28" s="126">
        <v>0.3791070636490706</v>
      </c>
      <c r="H28" s="125">
        <v>1.142840812579669</v>
      </c>
      <c r="I28" s="70">
        <v>-0.12219530665103107</v>
      </c>
      <c r="J28" s="70">
        <v>-0.2246402934383831</v>
      </c>
      <c r="K28" s="70">
        <v>-9.8948905880472005E-2</v>
      </c>
      <c r="L28" s="162"/>
      <c r="M28" s="78">
        <f t="shared" ca="1" si="0"/>
        <v>0.12997527640414308</v>
      </c>
      <c r="P28" s="35">
        <f t="shared" si="3"/>
        <v>1.178157965339047</v>
      </c>
      <c r="Q28" s="35">
        <f t="shared" si="2"/>
        <v>0.39513947309721981</v>
      </c>
      <c r="R28" s="35">
        <f t="shared" si="2"/>
        <v>0.42344958655893555</v>
      </c>
      <c r="S28" s="35">
        <f t="shared" si="2"/>
        <v>0.3791070636490706</v>
      </c>
      <c r="T28" s="35">
        <f t="shared" si="2"/>
        <v>1.142840812579669</v>
      </c>
    </row>
    <row r="29" spans="1:20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20">
      <c r="A30" s="161" t="s">
        <v>152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2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>
        <v>0</v>
      </c>
    </row>
    <row r="33" spans="1:13">
      <c r="A33" s="5"/>
      <c r="B33" s="79">
        <f t="shared" ref="B33:D33" si="6">C97</f>
        <v>1.4421025939282253</v>
      </c>
      <c r="C33" s="79">
        <f t="shared" si="6"/>
        <v>1.0431877148697888</v>
      </c>
      <c r="D33" s="85">
        <f t="shared" si="6"/>
        <v>0.78932433807079116</v>
      </c>
      <c r="E33" s="86"/>
      <c r="F33" s="88" t="s">
        <v>52</v>
      </c>
      <c r="G33" s="5"/>
      <c r="H33" s="89" t="s">
        <v>42</v>
      </c>
    </row>
    <row r="34" spans="1:13">
      <c r="D34" s="2"/>
      <c r="E34" s="2"/>
      <c r="F34" s="2"/>
      <c r="G34" s="2"/>
      <c r="H34" s="2"/>
    </row>
    <row r="35" spans="1:13">
      <c r="A35" s="5"/>
      <c r="B35" s="79">
        <f>C99</f>
        <v>-1.0419123890112216</v>
      </c>
      <c r="C35" s="79">
        <f t="shared" ref="C35:D35" si="7">D99</f>
        <v>4.0818532431212473E-2</v>
      </c>
      <c r="D35" s="79">
        <f t="shared" si="7"/>
        <v>-0.77248383184656022</v>
      </c>
      <c r="E35" s="137"/>
      <c r="F35" s="68"/>
      <c r="G35" s="2"/>
      <c r="H35" s="66"/>
      <c r="I35" s="2"/>
    </row>
    <row r="36" spans="1:13">
      <c r="A36" s="5" t="s">
        <v>130</v>
      </c>
      <c r="B36" s="79">
        <f t="shared" ref="B36:D36" si="8">C100</f>
        <v>-2.44475956514645</v>
      </c>
      <c r="C36" s="79">
        <f t="shared" si="8"/>
        <v>0.85548399177677847</v>
      </c>
      <c r="D36" s="79">
        <f t="shared" si="8"/>
        <v>-5.2896656816179721E-2</v>
      </c>
      <c r="E36" s="138"/>
      <c r="F36" s="68"/>
      <c r="G36" s="139"/>
      <c r="H36" s="66"/>
      <c r="I36" s="139"/>
    </row>
    <row r="37" spans="1:13">
      <c r="A37" s="5"/>
      <c r="B37" s="79">
        <f t="shared" ref="B37:D37" si="9">C101</f>
        <v>0.40019020491700363</v>
      </c>
      <c r="C37" s="79">
        <f t="shared" si="9"/>
        <v>1.0840062473010013</v>
      </c>
      <c r="D37" s="79">
        <f t="shared" si="9"/>
        <v>1.6840506224230944E-2</v>
      </c>
      <c r="E37" s="137"/>
      <c r="F37" s="68"/>
      <c r="G37" s="2"/>
      <c r="H37" s="66"/>
      <c r="I37" s="2"/>
      <c r="M37" s="31"/>
    </row>
    <row r="38" spans="1:13">
      <c r="D38" s="2"/>
      <c r="E38" s="2"/>
      <c r="F38" s="2"/>
      <c r="G38" s="2"/>
      <c r="H38" s="2"/>
      <c r="I38" s="2"/>
      <c r="J38">
        <f>MCond(B31:D33)</f>
        <v>4.1121618081555962</v>
      </c>
      <c r="M38" s="31"/>
    </row>
    <row r="39" spans="1:13">
      <c r="A39" s="5"/>
      <c r="B39" s="79">
        <f>C103</f>
        <v>2.44475956514645</v>
      </c>
      <c r="C39" s="79">
        <f t="shared" ref="C39:C41" si="10">D103</f>
        <v>-0.85548399177677847</v>
      </c>
      <c r="D39" s="85">
        <f t="shared" ref="D39:D41" si="11">E103</f>
        <v>5.2896656816179721E-2</v>
      </c>
      <c r="E39" s="137"/>
      <c r="F39" s="68"/>
      <c r="G39" s="2"/>
      <c r="H39" s="66"/>
      <c r="I39" s="2"/>
      <c r="J39">
        <f>MCond(B35:D37)</f>
        <v>4.2243239500446652</v>
      </c>
      <c r="M39" s="31"/>
    </row>
    <row r="40" spans="1:13">
      <c r="A40" s="5" t="s">
        <v>131</v>
      </c>
      <c r="B40" s="79">
        <f t="shared" ref="B40:B41" si="12">C104</f>
        <v>1.4028471761352286</v>
      </c>
      <c r="C40" s="79">
        <f t="shared" si="10"/>
        <v>-0.814665459345566</v>
      </c>
      <c r="D40" s="85">
        <f t="shared" si="11"/>
        <v>-0.7195871750303805</v>
      </c>
      <c r="E40" s="138"/>
      <c r="F40" s="68"/>
      <c r="G40" s="139"/>
      <c r="H40" s="66"/>
      <c r="I40" s="139"/>
      <c r="J40">
        <f>MCond(B39:D41)</f>
        <v>8.2529665998791568</v>
      </c>
    </row>
    <row r="41" spans="1:13">
      <c r="A41" s="5"/>
      <c r="B41" s="79">
        <f t="shared" si="12"/>
        <v>2.8449497700634536</v>
      </c>
      <c r="C41" s="79">
        <f t="shared" si="10"/>
        <v>0.22852225552422287</v>
      </c>
      <c r="D41" s="85">
        <f t="shared" si="11"/>
        <v>6.9737163040410666E-2</v>
      </c>
      <c r="E41" s="137"/>
      <c r="F41" s="68"/>
      <c r="G41" s="2"/>
      <c r="H41" s="66"/>
      <c r="I41" s="2"/>
      <c r="J41">
        <f>MCond(B43:D45)</f>
        <v>6.5952649754803758</v>
      </c>
    </row>
    <row r="42" spans="1:13">
      <c r="A42" s="2"/>
      <c r="B42" s="79"/>
      <c r="C42" s="79"/>
      <c r="D42" s="79"/>
      <c r="E42" s="2"/>
      <c r="F42" s="68"/>
      <c r="G42" s="2"/>
      <c r="H42" s="66"/>
      <c r="I42" s="2"/>
      <c r="J42">
        <f>MCond(B47:D49)</f>
        <v>4.1121618081555971</v>
      </c>
    </row>
    <row r="43" spans="1:13">
      <c r="A43" s="5"/>
      <c r="B43" s="79">
        <f>C107</f>
        <v>-0.40019020491700363</v>
      </c>
      <c r="C43" s="79">
        <f t="shared" ref="C43:C45" si="13">D107</f>
        <v>-1.0840062473010013</v>
      </c>
      <c r="D43" s="85">
        <f t="shared" ref="D43:D45" si="14">E107</f>
        <v>-1.6840506224230944E-2</v>
      </c>
      <c r="E43" s="137"/>
      <c r="F43" s="68"/>
      <c r="G43" s="2"/>
      <c r="H43" s="66"/>
      <c r="I43" s="2"/>
    </row>
    <row r="44" spans="1:13">
      <c r="A44" s="5" t="s">
        <v>132</v>
      </c>
      <c r="B44" s="79">
        <f t="shared" ref="B44:B45" si="15">C108</f>
        <v>-2.8449497700634536</v>
      </c>
      <c r="C44" s="79">
        <f t="shared" si="13"/>
        <v>-0.22852225552422287</v>
      </c>
      <c r="D44" s="85">
        <f t="shared" si="14"/>
        <v>-6.9737163040410666E-2</v>
      </c>
      <c r="E44" s="138"/>
      <c r="F44" s="68"/>
      <c r="G44" s="139"/>
      <c r="H44" s="66"/>
      <c r="I44" s="139"/>
    </row>
    <row r="45" spans="1:13">
      <c r="A45" s="5"/>
      <c r="B45" s="79">
        <f t="shared" si="15"/>
        <v>-1.4421025939282253</v>
      </c>
      <c r="C45" s="79">
        <f t="shared" si="13"/>
        <v>-1.0431877148697888</v>
      </c>
      <c r="D45" s="85">
        <f t="shared" si="14"/>
        <v>-0.78932433807079116</v>
      </c>
      <c r="E45" s="137"/>
      <c r="F45" s="68"/>
      <c r="G45" s="2"/>
      <c r="H45" s="66"/>
      <c r="I45" s="2"/>
      <c r="J45" s="2"/>
    </row>
    <row r="46" spans="1:13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3" ht="14.25" customHeight="1">
      <c r="A47" s="5"/>
      <c r="B47" s="145">
        <v>1.4421025939282253</v>
      </c>
      <c r="C47" s="145">
        <v>1.0431877148697888</v>
      </c>
      <c r="D47" s="145">
        <v>0.78932433807079116</v>
      </c>
      <c r="H47" s="66"/>
      <c r="I47" s="2"/>
    </row>
    <row r="48" spans="1:13" ht="14.25" customHeight="1">
      <c r="A48" s="5"/>
      <c r="B48" s="143">
        <v>1.0419123890112216</v>
      </c>
      <c r="C48" s="144">
        <v>-4.0818532431212473E-2</v>
      </c>
      <c r="D48" s="144">
        <v>0.77248383184656022</v>
      </c>
      <c r="E48" s="138"/>
      <c r="F48" s="68"/>
      <c r="G48" s="139"/>
      <c r="H48" s="66"/>
      <c r="I48" s="139"/>
    </row>
    <row r="49" spans="1:16">
      <c r="A49" s="5" t="s">
        <v>164</v>
      </c>
      <c r="B49" s="143">
        <v>-1.4028471761352286</v>
      </c>
      <c r="C49" s="144">
        <v>0.814665459345566</v>
      </c>
      <c r="D49" s="144">
        <v>0.7195871750303805</v>
      </c>
      <c r="E49" s="138"/>
      <c r="F49" s="68"/>
      <c r="G49" s="140"/>
      <c r="H49" s="66"/>
      <c r="I49" s="140"/>
      <c r="O49" s="35"/>
      <c r="P49" s="35"/>
    </row>
    <row r="50" spans="1:16">
      <c r="A50" s="5"/>
      <c r="B50" s="79"/>
      <c r="C50" s="79"/>
      <c r="D50" s="85"/>
      <c r="E50" s="137"/>
      <c r="F50" s="68"/>
      <c r="G50" s="2"/>
      <c r="H50" s="66"/>
      <c r="I50" s="2"/>
      <c r="O50" s="35"/>
      <c r="P50" s="35"/>
    </row>
    <row r="51" spans="1:16">
      <c r="A51" s="5"/>
      <c r="B51" s="79"/>
      <c r="C51" s="79"/>
      <c r="D51" s="85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165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0.85515208419065913</v>
      </c>
      <c r="E54" s="109">
        <f t="array" ref="E54:E56">MMULT($B$35:$D$37,E$26:E$28)</f>
        <v>0.83638379185856604</v>
      </c>
      <c r="F54" s="109">
        <f t="array" ref="F54:F56">MMULT($B$39:$D$41,F$26:F$28)</f>
        <v>3.3418875074398349</v>
      </c>
      <c r="G54" s="109">
        <f t="array" ref="G54:G56">MMULT($B$43:$D$45,G$26:G$28)</f>
        <v>0.68363155825299915</v>
      </c>
      <c r="H54" s="109">
        <f t="array" ref="H54:H56">MMULT($B$47:$D$49,H$26:H$28)</f>
        <v>1.8926153319614101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1.6482719298976485</v>
      </c>
      <c r="E55" s="109">
        <v>3.4148154031484084</v>
      </c>
      <c r="F55" s="109">
        <v>1.5565144366196493</v>
      </c>
      <c r="G55" s="109">
        <v>4.1503576681180627</v>
      </c>
      <c r="H55" s="109">
        <v>0.83869940662392517</v>
      </c>
      <c r="I55" s="71">
        <f t="shared" ref="I55:K56" si="16">INDEX(MMULT($B$31:$D$33,I$26:I$28),ROW($A1))</f>
        <v>-0.76474337943000381</v>
      </c>
      <c r="J55" s="71">
        <f t="shared" si="16"/>
        <v>-0.18373655926605126</v>
      </c>
      <c r="K55" s="71">
        <f t="shared" si="16"/>
        <v>-8.9335879036617633E-2</v>
      </c>
      <c r="O55" s="35"/>
    </row>
    <row r="56" spans="1:16">
      <c r="B56" t="s">
        <v>94</v>
      </c>
      <c r="D56" s="37">
        <v>1.9054890094592314</v>
      </c>
      <c r="E56" s="109">
        <v>0.66392625639121827</v>
      </c>
      <c r="F56" s="109">
        <v>4.0570733670658425</v>
      </c>
      <c r="G56" s="109">
        <v>1.9083241024773712</v>
      </c>
      <c r="H56" s="109">
        <v>1.6082873847819885</v>
      </c>
      <c r="I56" s="71">
        <f t="shared" si="16"/>
        <v>0.85159074406752489</v>
      </c>
      <c r="J56" s="71">
        <f t="shared" si="16"/>
        <v>-0.47061926565100198</v>
      </c>
      <c r="K56" s="71">
        <f t="shared" si="16"/>
        <v>-1.3604154940728003E-2</v>
      </c>
      <c r="O56" s="35"/>
    </row>
    <row r="57" spans="1:16">
      <c r="B57" t="s">
        <v>95</v>
      </c>
      <c r="D57" s="127">
        <f>(D$66-D$54)^2+(D$67-D$55)^2+(D$68-D$56)^2</f>
        <v>1.0467591980732123E-13</v>
      </c>
      <c r="E57" s="127">
        <f>(E$66-E$54)^2+(E$67-E$55)^2+(E$68-E$56)^2</f>
        <v>4.814672834646616E-12</v>
      </c>
      <c r="F57" s="127">
        <f>(F$66-F$54)^2+(F$67-F$55)^2+(F$68-F$56)^2</f>
        <v>4.9333718106690707E-12</v>
      </c>
      <c r="G57" s="127">
        <f>(G$66-G$54)^2+(G$67-G$55)^2+(G$68-G$56)^2</f>
        <v>3.8603999168651867E-12</v>
      </c>
      <c r="H57" s="127">
        <f>(H$66-H$54)^2+(H$67-H$55)^2+(H$68-H$56)^2</f>
        <v>5.789253322191499E-13</v>
      </c>
      <c r="I57" s="128" t="e">
        <f t="shared" ref="I57:K57" si="17">(I$54-I$66)^2+(I$55-I$67)^2+(I$56-I$68)^2</f>
        <v>#REF!</v>
      </c>
      <c r="J57" s="128" t="e">
        <f t="shared" si="17"/>
        <v>#REF!</v>
      </c>
      <c r="K57" s="128" t="e">
        <f t="shared" si="17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5.8861729794498236E-3</v>
      </c>
      <c r="E60" s="80">
        <f>A_1*($E$22^2-E23^2)</f>
        <v>-7.375049824074007E-4</v>
      </c>
      <c r="F60" s="80">
        <f t="shared" ref="F60:K62" si="18">A_1*(F$22^2-F23^2)</f>
        <v>6.0543510628576136E-3</v>
      </c>
      <c r="G60" s="80">
        <f t="shared" si="18"/>
        <v>8.4348188101053285E-3</v>
      </c>
      <c r="H60" s="80">
        <f t="shared" si="18"/>
        <v>-8.0772471308245247E-4</v>
      </c>
      <c r="I60" s="80">
        <f t="shared" si="18"/>
        <v>-1.5470997696558767E-3</v>
      </c>
      <c r="J60" s="80">
        <f t="shared" si="18"/>
        <v>6.4573149834864655E-3</v>
      </c>
      <c r="K60" s="80">
        <f t="shared" si="18"/>
        <v>3.9125594545225302E-3</v>
      </c>
      <c r="L60" s="162" t="s">
        <v>96</v>
      </c>
    </row>
    <row r="61" spans="1:16" ht="18.75">
      <c r="B61" s="56" t="s">
        <v>88</v>
      </c>
      <c r="C61" s="57"/>
      <c r="D61" s="80">
        <f>A_1*($D$22^2-D24^2)</f>
        <v>5.9750034569434514E-3</v>
      </c>
      <c r="E61" s="80">
        <f>A_1*($E$22^2-E24^2)</f>
        <v>0</v>
      </c>
      <c r="F61" s="80">
        <f t="shared" si="18"/>
        <v>5.786323326816843E-3</v>
      </c>
      <c r="G61" s="80">
        <f t="shared" si="18"/>
        <v>8.4348188101053285E-3</v>
      </c>
      <c r="H61" s="80">
        <f t="shared" si="18"/>
        <v>-1.3759490722376486E-3</v>
      </c>
      <c r="I61" s="80">
        <f t="shared" si="18"/>
        <v>3.6755526606819416E-4</v>
      </c>
      <c r="J61" s="80">
        <f t="shared" si="18"/>
        <v>8.9904093997263575E-3</v>
      </c>
      <c r="K61" s="80">
        <f t="shared" si="18"/>
        <v>5.7519203713529404E-3</v>
      </c>
      <c r="L61" s="162"/>
    </row>
    <row r="62" spans="1:16" ht="18.75">
      <c r="B62" s="56" t="s">
        <v>89</v>
      </c>
      <c r="C62" s="57"/>
      <c r="D62" s="80">
        <f>A_1*($D$22^2-D25^2)</f>
        <v>5.8266727749221149E-3</v>
      </c>
      <c r="E62" s="80">
        <f>A_1*($E$22^2-E25^2)</f>
        <v>0</v>
      </c>
      <c r="F62" s="80">
        <f t="shared" si="18"/>
        <v>5.8981108136970141E-3</v>
      </c>
      <c r="G62" s="80">
        <f t="shared" si="18"/>
        <v>8.4322093991346346E-3</v>
      </c>
      <c r="H62" s="80">
        <f t="shared" si="18"/>
        <v>-2.6266165592760521E-3</v>
      </c>
      <c r="I62" s="80">
        <f t="shared" si="18"/>
        <v>-5.0427555888347027E-3</v>
      </c>
      <c r="J62" s="80">
        <f t="shared" si="18"/>
        <v>1.0903380373299632E-2</v>
      </c>
      <c r="K62" s="80">
        <f t="shared" si="18"/>
        <v>3.2414351450327505E-3</v>
      </c>
      <c r="L62" s="162"/>
    </row>
    <row r="63" spans="1:16">
      <c r="B63" s="56" t="s">
        <v>86</v>
      </c>
      <c r="C63" s="58"/>
      <c r="D63" s="80">
        <f>A_2*(T_0*$D$22-T_2*D23)</f>
        <v>4.3749544467501979E-3</v>
      </c>
      <c r="E63" s="80">
        <f>A_2*(T_2*$E$22-T_0*E23)</f>
        <v>-1.9669044962940131E-3</v>
      </c>
      <c r="F63" s="80">
        <f>A_2*(T_3*F$22-T_2*F23)</f>
        <v>3.9146012762892674E-2</v>
      </c>
      <c r="G63" s="80">
        <f>A_2*(T_4*G$22-T_2*G23)</f>
        <v>3.620442031095991E-3</v>
      </c>
      <c r="H63" s="80">
        <f>A_2*(T_0*H$22-T_4*H23)</f>
        <v>-1.1203543495852102E-3</v>
      </c>
      <c r="I63" s="80">
        <f t="shared" ref="I63:K65" si="19">A_2*(THETA_0*I$22-THETA_1*I23)</f>
        <v>0</v>
      </c>
      <c r="J63" s="80">
        <f t="shared" si="19"/>
        <v>0</v>
      </c>
      <c r="K63" s="80">
        <f t="shared" si="19"/>
        <v>0</v>
      </c>
      <c r="L63" s="162"/>
    </row>
    <row r="64" spans="1:16">
      <c r="B64" s="56" t="s">
        <v>91</v>
      </c>
      <c r="C64" s="58" t="s">
        <v>27</v>
      </c>
      <c r="D64" s="80">
        <f>A_2*(T_0*$D$22-T_3*D24)</f>
        <v>5.5984766891138873E-3</v>
      </c>
      <c r="E64" s="80">
        <f>A_2*(T_2*$E$22-T_3*E24)</f>
        <v>0</v>
      </c>
      <c r="F64" s="80">
        <f>A_2*(T_3*F$22-T_0*F24)</f>
        <v>3.7960269508131805E-2</v>
      </c>
      <c r="G64" s="80">
        <f>A_2*(T_4*G$22-T_3*G24)</f>
        <v>3.620442031095991E-3</v>
      </c>
      <c r="H64" s="80">
        <f>A_2*(T_0*H$22-T_2*H24)</f>
        <v>-4.8153964732526276E-3</v>
      </c>
      <c r="I64" s="80">
        <f t="shared" si="19"/>
        <v>0</v>
      </c>
      <c r="J64" s="80">
        <f t="shared" si="19"/>
        <v>0</v>
      </c>
      <c r="K64" s="80">
        <f t="shared" si="19"/>
        <v>0</v>
      </c>
      <c r="L64" s="162"/>
    </row>
    <row r="65" spans="1:12">
      <c r="B65" s="56" t="s">
        <v>90</v>
      </c>
      <c r="C65" s="58"/>
      <c r="D65" s="80">
        <f>A_2*(T_0*$D$22-T_4*D25)</f>
        <v>5.1183683869056688E-3</v>
      </c>
      <c r="E65" s="80">
        <f>A_2*(T_2*$E$22-T_4*E25)</f>
        <v>0</v>
      </c>
      <c r="F65" s="80">
        <f>A_2*(T_3*F$22-T_4*F25)</f>
        <v>3.8653270083622536E-2</v>
      </c>
      <c r="G65" s="80">
        <f>A_2*(T_4*G$22-T_0*G25)</f>
        <v>3.503445755789565E-3</v>
      </c>
      <c r="H65" s="80">
        <f>A_2*(T_0*H$22-T_3*H25)</f>
        <v>-2.5784105666983092E-2</v>
      </c>
      <c r="I65" s="80">
        <f t="shared" si="19"/>
        <v>0</v>
      </c>
      <c r="J65" s="80">
        <f t="shared" si="19"/>
        <v>0</v>
      </c>
      <c r="K65" s="80">
        <f t="shared" si="19"/>
        <v>0</v>
      </c>
      <c r="L65" s="162"/>
    </row>
    <row r="66" spans="1:12">
      <c r="B66" t="s">
        <v>45</v>
      </c>
      <c r="C66" s="2"/>
      <c r="D66" s="55">
        <f t="shared" ref="D66:G67" si="20">D12+D60+D63-J12</f>
        <v>0.8551522325913935</v>
      </c>
      <c r="E66" s="55">
        <f t="shared" si="20"/>
        <v>0.83638333478535865</v>
      </c>
      <c r="F66" s="55">
        <f t="shared" si="20"/>
        <v>3.3418863552555438</v>
      </c>
      <c r="G66" s="55">
        <f t="shared" si="20"/>
        <v>0.68363253734198148</v>
      </c>
      <c r="H66" s="142">
        <f>H12+H60+H63-$N$12</f>
        <v>1.8926157036319502</v>
      </c>
      <c r="I66" s="72">
        <f t="shared" ref="I66:K66" si="21">$D$7+$G$7+I60+I63</f>
        <v>-1.5470997696558767E-3</v>
      </c>
      <c r="J66" s="72">
        <f t="shared" si="21"/>
        <v>6.4573149834864655E-3</v>
      </c>
      <c r="K66" s="72">
        <f t="shared" si="21"/>
        <v>3.9125594545225302E-3</v>
      </c>
      <c r="L66" s="162"/>
    </row>
    <row r="67" spans="1:12">
      <c r="B67" t="s">
        <v>43</v>
      </c>
      <c r="D67" s="55">
        <f t="shared" si="20"/>
        <v>1.6482721494534449</v>
      </c>
      <c r="E67" s="55">
        <f t="shared" si="20"/>
        <v>3.4148142564339246</v>
      </c>
      <c r="F67" s="55">
        <f t="shared" si="20"/>
        <v>1.5565136362370715</v>
      </c>
      <c r="G67" s="55">
        <f t="shared" si="20"/>
        <v>4.150356440050996</v>
      </c>
      <c r="H67" s="142">
        <f>H13+H61+H64-$N$13</f>
        <v>0.83869975961970322</v>
      </c>
      <c r="I67" s="72">
        <f t="shared" ref="I67:K68" si="22">$D$7+$G$7+I61+I64</f>
        <v>3.6755526606819416E-4</v>
      </c>
      <c r="J67" s="72">
        <f t="shared" si="22"/>
        <v>8.9904093997263575E-3</v>
      </c>
      <c r="K67" s="72">
        <f t="shared" si="22"/>
        <v>5.7519203713529404E-3</v>
      </c>
      <c r="L67" s="162"/>
    </row>
    <row r="68" spans="1:12">
      <c r="B68" t="s">
        <v>42</v>
      </c>
      <c r="C68" s="2"/>
      <c r="D68" s="55">
        <f t="shared" ref="D68" si="23">D14+D62+D65-J14</f>
        <v>1.9054888238564456</v>
      </c>
      <c r="E68" s="55">
        <f>E14+E62+E65-K14</f>
        <v>0.66392807044822133</v>
      </c>
      <c r="F68" s="55">
        <f>F14+F62+F65-L14</f>
        <v>4.0570750890504241</v>
      </c>
      <c r="G68" s="55">
        <f>G14+G62+G65-M14</f>
        <v>1.9083252830009674</v>
      </c>
      <c r="H68" s="142">
        <f>H14+H62+H65-$N$14</f>
        <v>1.6082879470811282</v>
      </c>
      <c r="I68" s="72">
        <f t="shared" si="22"/>
        <v>-5.0427555888347027E-3</v>
      </c>
      <c r="J68" s="72">
        <f t="shared" si="22"/>
        <v>1.0903380373299632E-2</v>
      </c>
      <c r="K68" s="72">
        <f t="shared" si="22"/>
        <v>3.2414351450327505E-3</v>
      </c>
      <c r="L68" s="162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61" t="s">
        <v>62</v>
      </c>
      <c r="B70" s="161"/>
      <c r="C70" s="161"/>
      <c r="D70" s="161"/>
      <c r="E70" s="161"/>
      <c r="F70" s="161"/>
      <c r="G70" s="161"/>
      <c r="H70" s="161"/>
      <c r="I70" s="161"/>
      <c r="J70" s="161"/>
      <c r="K70" s="161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61" t="s">
        <v>64</v>
      </c>
      <c r="B75" s="161"/>
      <c r="C75" s="161"/>
      <c r="D75" s="161"/>
      <c r="E75" s="161"/>
      <c r="F75" s="161"/>
      <c r="G75" s="161"/>
      <c r="H75" s="161"/>
      <c r="I75" s="161"/>
      <c r="J75" s="161"/>
      <c r="K75" s="161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-1.5281532423178226E-2</v>
      </c>
      <c r="E77" s="32">
        <f t="shared" ref="E77:G77" si="24">E26+E71</f>
        <v>-1.0566625264410034</v>
      </c>
      <c r="F77" s="32">
        <f t="shared" si="24"/>
        <v>1.4048749942792476</v>
      </c>
      <c r="G77" s="32">
        <f t="shared" si="24"/>
        <v>-1.4603180121041786</v>
      </c>
      <c r="H77" s="104">
        <f>H26+$D$71</f>
        <v>-4.887391857791243E-3</v>
      </c>
      <c r="I77" s="73">
        <f t="shared" ref="H77:K79" si="25">I26+$D$71</f>
        <v>-0.64147819789622496</v>
      </c>
      <c r="J77" s="73">
        <f t="shared" si="25"/>
        <v>-2.6436636559469484E-2</v>
      </c>
      <c r="K77" s="73">
        <f t="shared" si="25"/>
        <v>-1.0305960682470916E-2</v>
      </c>
    </row>
    <row r="78" spans="1:12">
      <c r="B78" s="26" t="s">
        <v>60</v>
      </c>
      <c r="C78" s="26" t="s">
        <v>27</v>
      </c>
      <c r="D78" s="32">
        <f t="shared" ref="D78:D79" si="26">D27+D72</f>
        <v>0.9562783156398077</v>
      </c>
      <c r="E78" s="32">
        <f t="shared" ref="E78:G78" si="27">E27+E72</f>
        <v>0.99643143506690712</v>
      </c>
      <c r="F78" s="32">
        <f t="shared" si="27"/>
        <v>0.13453570285931396</v>
      </c>
      <c r="G78" s="32">
        <f t="shared" si="27"/>
        <v>-9.7426512875753782E-2</v>
      </c>
      <c r="H78" s="104">
        <f t="shared" si="25"/>
        <v>0.95629134652133252</v>
      </c>
      <c r="I78" s="73">
        <f t="shared" si="25"/>
        <v>4.8639647915487139E-2</v>
      </c>
      <c r="J78" s="73">
        <f t="shared" si="25"/>
        <v>-0.42478485919807984</v>
      </c>
      <c r="K78" s="73">
        <f t="shared" si="25"/>
        <v>5.2954891334215048E-2</v>
      </c>
    </row>
    <row r="79" spans="1:12">
      <c r="B79" s="26" t="s">
        <v>61</v>
      </c>
      <c r="C79" s="26"/>
      <c r="D79" s="32">
        <f t="shared" si="26"/>
        <v>1.178157965339047</v>
      </c>
      <c r="E79" s="32">
        <f t="shared" ref="E79:G79" si="28">E28+E73</f>
        <v>0.39513947309721981</v>
      </c>
      <c r="F79" s="32">
        <f t="shared" si="28"/>
        <v>0.42344958655893555</v>
      </c>
      <c r="G79" s="32">
        <f t="shared" si="28"/>
        <v>0.3791070636490706</v>
      </c>
      <c r="H79" s="104">
        <f t="shared" si="25"/>
        <v>1.142840812579669</v>
      </c>
      <c r="I79" s="73">
        <f t="shared" si="25"/>
        <v>-0.12219530665103107</v>
      </c>
      <c r="J79" s="73">
        <f t="shared" si="25"/>
        <v>-0.2246402934383831</v>
      </c>
      <c r="K79" s="73">
        <f t="shared" si="25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61" t="s">
        <v>67</v>
      </c>
      <c r="B81" s="161"/>
      <c r="C81" s="161"/>
      <c r="D81" s="161"/>
      <c r="E81" s="161"/>
      <c r="F81" s="161"/>
      <c r="G81" s="161"/>
      <c r="H81" s="161"/>
      <c r="I81" s="161"/>
      <c r="J81" s="161"/>
      <c r="K81" s="161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63" t="s">
        <v>71</v>
      </c>
      <c r="C83" s="163"/>
      <c r="D83" s="38">
        <v>1.155</v>
      </c>
      <c r="E83" s="38">
        <v>1.883</v>
      </c>
      <c r="F83" s="105">
        <v>2.105</v>
      </c>
      <c r="G83" s="105">
        <v>1.806</v>
      </c>
      <c r="H83" s="105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59" t="s">
        <v>70</v>
      </c>
      <c r="C84" s="159"/>
      <c r="D84" s="36">
        <f>SQRT(D77^2+D78^2+D79^2)</f>
        <v>1.5174840801431664</v>
      </c>
      <c r="E84" s="106">
        <f t="shared" ref="E84:K84" si="29">SQRT(E77^2+E78^2+E79^2)</f>
        <v>1.505173246763883</v>
      </c>
      <c r="F84" s="106">
        <f t="shared" si="29"/>
        <v>1.4734595879262855</v>
      </c>
      <c r="G84" s="106">
        <f t="shared" si="29"/>
        <v>1.5118673181187725</v>
      </c>
      <c r="H84" s="106">
        <f t="shared" si="29"/>
        <v>1.4901684968246085</v>
      </c>
      <c r="I84" s="75">
        <f t="shared" si="29"/>
        <v>0.65482195037511559</v>
      </c>
      <c r="J84" s="75">
        <f t="shared" si="29"/>
        <v>0.48125287925641846</v>
      </c>
      <c r="K84" s="75">
        <f t="shared" si="29"/>
        <v>0.1127001300653627</v>
      </c>
    </row>
    <row r="85" spans="1:19">
      <c r="B85" s="159" t="s">
        <v>69</v>
      </c>
      <c r="C85" s="159"/>
      <c r="D85" s="36">
        <f>D84-D83</f>
        <v>0.36248408014316635</v>
      </c>
      <c r="E85" s="106">
        <f t="shared" ref="E85:K85" si="30">E84-E83</f>
        <v>-0.37782675323611703</v>
      </c>
      <c r="F85" s="106">
        <f t="shared" si="30"/>
        <v>-0.63154041207371447</v>
      </c>
      <c r="G85" s="106">
        <f t="shared" si="30"/>
        <v>-0.29413268188122754</v>
      </c>
      <c r="H85" s="106">
        <f t="shared" si="30"/>
        <v>0.33516849682460848</v>
      </c>
      <c r="I85" s="75">
        <f t="shared" si="30"/>
        <v>-1.1961780496248844</v>
      </c>
      <c r="J85" s="75">
        <f t="shared" si="30"/>
        <v>-1.5737471207435818</v>
      </c>
      <c r="K85" s="75">
        <f t="shared" si="30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60" t="s">
        <v>68</v>
      </c>
      <c r="C86" s="160"/>
      <c r="D86" s="39">
        <f>1-D83/D84</f>
        <v>0.23887175153031459</v>
      </c>
      <c r="E86" s="107">
        <f t="shared" ref="E86:K86" si="31">1-E83/E84</f>
        <v>-0.25101878076058237</v>
      </c>
      <c r="F86" s="107">
        <f t="shared" si="31"/>
        <v>-0.42861060951290186</v>
      </c>
      <c r="G86" s="107">
        <f t="shared" si="31"/>
        <v>-0.19454926920916504</v>
      </c>
      <c r="H86" s="107">
        <f t="shared" si="31"/>
        <v>0.22491986479301973</v>
      </c>
      <c r="I86" s="76">
        <f t="shared" si="31"/>
        <v>-1.8267225906823255</v>
      </c>
      <c r="J86" s="76">
        <f t="shared" si="31"/>
        <v>-3.2701043226487725</v>
      </c>
      <c r="K86" s="76">
        <f t="shared" si="31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0.13139470835723746</v>
      </c>
      <c r="E87" s="108">
        <f t="shared" ref="E87:K87" si="32">E85*E85</f>
        <v>0.14275305546094566</v>
      </c>
      <c r="F87" s="108">
        <f t="shared" si="32"/>
        <v>0.39884329208223707</v>
      </c>
      <c r="G87" s="108">
        <f t="shared" si="32"/>
        <v>8.6514034550643396E-2</v>
      </c>
      <c r="H87" s="108">
        <f t="shared" si="32"/>
        <v>0.11233792126366758</v>
      </c>
      <c r="I87" s="77">
        <f t="shared" si="32"/>
        <v>1.4308419264043923</v>
      </c>
      <c r="J87" s="77">
        <f t="shared" si="32"/>
        <v>2.4766800000487139</v>
      </c>
      <c r="K87" s="77">
        <f t="shared" si="32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33">D91-$C91</f>
        <v>-1.253875629566908</v>
      </c>
      <c r="N91" s="35">
        <f t="shared" si="33"/>
        <v>1.0419123890112216</v>
      </c>
      <c r="O91" s="35">
        <f t="shared" si="33"/>
        <v>-1.4028471761352286</v>
      </c>
      <c r="P91" s="35">
        <f t="shared" si="33"/>
        <v>1.4421025939282253</v>
      </c>
      <c r="Q91" s="35">
        <f t="shared" si="33"/>
        <v>-1.0351585166444344</v>
      </c>
      <c r="R91" s="35">
        <f t="shared" si="33"/>
        <v>0.58367185674448252</v>
      </c>
      <c r="S91" s="35">
        <f t="shared" si="33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33"/>
        <v>-3.2592166127769939E-2</v>
      </c>
      <c r="N92" s="35">
        <f t="shared" si="33"/>
        <v>-4.0818532431212473E-2</v>
      </c>
      <c r="O92" s="35">
        <f t="shared" si="33"/>
        <v>0.814665459345566</v>
      </c>
      <c r="P92" s="35">
        <f t="shared" si="33"/>
        <v>1.0431877148697888</v>
      </c>
      <c r="Q92" s="35">
        <f t="shared" si="33"/>
        <v>2.1037449841221099</v>
      </c>
      <c r="R92" s="35">
        <f t="shared" si="33"/>
        <v>2.0841504898711007</v>
      </c>
      <c r="S92" s="35">
        <f t="shared" si="33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33"/>
        <v>0.73934661383723232</v>
      </c>
      <c r="N93" s="35">
        <f t="shared" si="33"/>
        <v>0.77248383184656022</v>
      </c>
      <c r="O93" s="35">
        <f t="shared" si="33"/>
        <v>0.7195871750303805</v>
      </c>
      <c r="P93" s="35">
        <f t="shared" si="33"/>
        <v>0.78932433807079116</v>
      </c>
      <c r="Q93" s="35">
        <f t="shared" si="33"/>
        <v>0.82913701269133588</v>
      </c>
      <c r="R93" s="35">
        <f t="shared" si="33"/>
        <v>0.75171422039661484</v>
      </c>
      <c r="S93" s="35">
        <f t="shared" si="33"/>
        <v>6.368425350466822E-2</v>
      </c>
    </row>
    <row r="94" spans="1:19">
      <c r="E94" s="2"/>
      <c r="F94" s="2"/>
    </row>
    <row r="95" spans="1:19">
      <c r="B95" s="5"/>
      <c r="C95" s="79">
        <f>L$101-L$99</f>
        <v>1.0419123890112216</v>
      </c>
      <c r="D95" s="79">
        <f t="shared" ref="D95:E95" si="34">M$101-M$99</f>
        <v>-4.0818532431212473E-2</v>
      </c>
      <c r="E95" s="85">
        <f t="shared" si="34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35">SQRT(N91^2+N92^2+N93^2)</f>
        <v>1.2976821064610753</v>
      </c>
      <c r="O95" s="35">
        <f t="shared" si="35"/>
        <v>1.7746734101545305</v>
      </c>
      <c r="P95" s="35">
        <f t="shared" si="35"/>
        <v>1.9470319490292554</v>
      </c>
      <c r="Q95" s="35">
        <f t="shared" si="35"/>
        <v>2.4869186353025614</v>
      </c>
      <c r="R95" s="35">
        <f t="shared" si="35"/>
        <v>2.2911635406343196</v>
      </c>
      <c r="S95" s="35">
        <f t="shared" si="35"/>
        <v>2.3677593547081863</v>
      </c>
    </row>
    <row r="96" spans="1:19">
      <c r="A96" t="s">
        <v>133</v>
      </c>
      <c r="B96" s="5" t="s">
        <v>27</v>
      </c>
      <c r="C96" s="79">
        <f>L$102-L$99</f>
        <v>-1.4028471761352286</v>
      </c>
      <c r="D96" s="79">
        <f t="shared" ref="D96:E96" si="36">M$102-M$99</f>
        <v>0.814665459345566</v>
      </c>
      <c r="E96" s="85">
        <f t="shared" si="36"/>
        <v>0.7195871750303805</v>
      </c>
      <c r="J96" s="79"/>
    </row>
    <row r="97" spans="1:14">
      <c r="B97" s="5"/>
      <c r="C97" s="79">
        <f>L$103-L$99</f>
        <v>1.4421025939282253</v>
      </c>
      <c r="D97" s="79">
        <f t="shared" ref="D97:E97" si="37">M$103-M$99</f>
        <v>1.0431877148697888</v>
      </c>
      <c r="E97" s="85">
        <f t="shared" si="37"/>
        <v>0.78932433807079116</v>
      </c>
      <c r="J97" s="79"/>
    </row>
    <row r="98" spans="1:14">
      <c r="L98" t="s">
        <v>56</v>
      </c>
      <c r="M98" t="s">
        <v>57</v>
      </c>
      <c r="N98" t="s">
        <v>58</v>
      </c>
    </row>
    <row r="99" spans="1:14">
      <c r="B99" s="5"/>
      <c r="C99" s="79">
        <f>L$99-L$101</f>
        <v>-1.0419123890112216</v>
      </c>
      <c r="D99" s="79">
        <f>M$99-M$101</f>
        <v>4.0818532431212473E-2</v>
      </c>
      <c r="E99" s="85">
        <f t="shared" ref="E99" si="38">N$99-N$101</f>
        <v>-0.77248383184656022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t="s">
        <v>140</v>
      </c>
      <c r="B100" s="5" t="s">
        <v>27</v>
      </c>
      <c r="C100" s="79">
        <f>L$102-L$101</f>
        <v>-2.44475956514645</v>
      </c>
      <c r="D100" s="79">
        <f>M$102-M$101</f>
        <v>0.85548399177677847</v>
      </c>
      <c r="E100" s="85">
        <f>N$102-N$101</f>
        <v>-5.2896656816179721E-2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B101" s="5"/>
      <c r="C101" s="79">
        <f>L$103-L$101</f>
        <v>0.40019020491700363</v>
      </c>
      <c r="D101" s="79">
        <f>M$103-M$101</f>
        <v>1.0840062473010013</v>
      </c>
      <c r="E101" s="85">
        <f>N$103-N$101</f>
        <v>1.6840506224230944E-2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B103" s="5"/>
      <c r="C103" s="79">
        <f>L$101-L$102</f>
        <v>2.44475956514645</v>
      </c>
      <c r="D103" s="79">
        <f t="shared" ref="D103" si="39">M$101-M$102</f>
        <v>-0.85548399177677847</v>
      </c>
      <c r="E103" s="85">
        <f>N$101-N$102</f>
        <v>5.2896656816179721E-2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t="s">
        <v>141</v>
      </c>
      <c r="B104" s="5" t="s">
        <v>27</v>
      </c>
      <c r="C104" s="79">
        <f>L$99-L$102</f>
        <v>1.4028471761352286</v>
      </c>
      <c r="D104" s="79">
        <f>M$99-M$102</f>
        <v>-0.814665459345566</v>
      </c>
      <c r="E104" s="85">
        <f>N$99-N$102</f>
        <v>-0.7195871750303805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B105" s="5"/>
      <c r="C105" s="79">
        <f>L$103-L$102</f>
        <v>2.8449497700634536</v>
      </c>
      <c r="D105" s="79">
        <f>M$103-M$102</f>
        <v>0.22852225552422287</v>
      </c>
      <c r="E105" s="85">
        <f>N$103-N$102</f>
        <v>6.9737163040410666E-2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B107" s="5"/>
      <c r="C107" s="79">
        <f>L$101-L$103</f>
        <v>-0.40019020491700363</v>
      </c>
      <c r="D107" s="79">
        <f t="shared" ref="D107" si="40">M$101-M$103</f>
        <v>-1.0840062473010013</v>
      </c>
      <c r="E107" s="85">
        <f>N$101-N$103</f>
        <v>-1.6840506224230944E-2</v>
      </c>
    </row>
    <row r="108" spans="1:14">
      <c r="A108" t="s">
        <v>142</v>
      </c>
      <c r="B108" s="5" t="s">
        <v>27</v>
      </c>
      <c r="C108" s="79">
        <f>L$102-L$103</f>
        <v>-2.8449497700634536</v>
      </c>
      <c r="D108" s="79">
        <f>M$102-M$103</f>
        <v>-0.22852225552422287</v>
      </c>
      <c r="E108" s="85">
        <f>N$102-N$103</f>
        <v>-6.9737163040410666E-2</v>
      </c>
    </row>
    <row r="109" spans="1:14">
      <c r="B109" s="5"/>
      <c r="C109" s="79">
        <f>L$99-L$103</f>
        <v>-1.4421025939282253</v>
      </c>
      <c r="D109" s="79">
        <f>M$99-M$103</f>
        <v>-1.0431877148697888</v>
      </c>
      <c r="E109" s="85">
        <f>N$99-N$103</f>
        <v>-0.78932433807079116</v>
      </c>
    </row>
    <row r="111" spans="1:14">
      <c r="B111" s="5"/>
      <c r="C111" s="79">
        <f>L$101-L$99</f>
        <v>1.0419123890112216</v>
      </c>
      <c r="D111" s="79">
        <f t="shared" ref="D111" si="41">M$101-M$99</f>
        <v>-4.0818532431212473E-2</v>
      </c>
      <c r="E111" s="85">
        <f>N$101-N$99</f>
        <v>0.77248383184656022</v>
      </c>
    </row>
    <row r="112" spans="1:14">
      <c r="B112" s="5"/>
      <c r="C112" s="79">
        <f>L$102-L$99</f>
        <v>-1.4028471761352286</v>
      </c>
      <c r="D112" s="79">
        <f t="shared" ref="D112" si="42">M$102-M$99</f>
        <v>0.814665459345566</v>
      </c>
      <c r="E112" s="85">
        <f>N$102-N$99</f>
        <v>0.7195871750303805</v>
      </c>
    </row>
    <row r="113" spans="1:13">
      <c r="A113" t="s">
        <v>134</v>
      </c>
      <c r="B113" s="5" t="s">
        <v>27</v>
      </c>
      <c r="C113" s="79">
        <f>L$103-L$99</f>
        <v>1.4421025939282253</v>
      </c>
      <c r="D113" s="79">
        <f t="shared" ref="D113" si="43">M$103-M$99</f>
        <v>1.0431877148697888</v>
      </c>
      <c r="E113" s="85">
        <f>N$103-N$99</f>
        <v>0.78932433807079116</v>
      </c>
    </row>
    <row r="114" spans="1:13">
      <c r="B114" s="5"/>
      <c r="C114" s="79">
        <f>L$104-L$99</f>
        <v>-1.0351585166444344</v>
      </c>
      <c r="D114" s="79">
        <f t="shared" ref="D114" si="44">M$104-M$99</f>
        <v>2.1037449841221099</v>
      </c>
      <c r="E114" s="85">
        <f>N$104-N$99</f>
        <v>0.82913701269133588</v>
      </c>
    </row>
    <row r="115" spans="1:13">
      <c r="B115" s="5"/>
      <c r="C115" s="79">
        <f>L$106-L$99</f>
        <v>-2.5457845528396139E-2</v>
      </c>
      <c r="D115" s="79">
        <f t="shared" ref="D115" si="45">M$106-M$99</f>
        <v>2.3667658472617719</v>
      </c>
      <c r="E115" s="85">
        <f>N$106-N$99</f>
        <v>6.368425350466822E-2</v>
      </c>
    </row>
    <row r="117" spans="1:13">
      <c r="A117" s="23" t="s">
        <v>143</v>
      </c>
    </row>
    <row r="118" spans="1:13">
      <c r="B118" s="92">
        <v>0</v>
      </c>
      <c r="C118" s="117">
        <v>1</v>
      </c>
      <c r="D118" s="93">
        <v>2</v>
      </c>
      <c r="E118" s="93">
        <v>3</v>
      </c>
      <c r="F118" s="93">
        <v>4</v>
      </c>
      <c r="G118" s="135">
        <v>5</v>
      </c>
      <c r="H118" s="120">
        <v>6</v>
      </c>
      <c r="I118" s="132">
        <v>7</v>
      </c>
    </row>
    <row r="119" spans="1:13">
      <c r="B119" s="94">
        <f>C91-$C91</f>
        <v>0</v>
      </c>
      <c r="C119" s="118">
        <f>D91-$C91</f>
        <v>-1.253875629566908</v>
      </c>
      <c r="D119" s="95">
        <f t="shared" ref="D119:I119" si="46">E91-$C91</f>
        <v>1.0419123890112216</v>
      </c>
      <c r="E119" s="95">
        <f t="shared" si="46"/>
        <v>-1.4028471761352286</v>
      </c>
      <c r="F119" s="95">
        <f t="shared" si="46"/>
        <v>1.4421025939282253</v>
      </c>
      <c r="G119" s="136">
        <f t="shared" si="46"/>
        <v>-1.0351585166444344</v>
      </c>
      <c r="H119" s="118">
        <f t="shared" si="46"/>
        <v>0.58367185674448252</v>
      </c>
      <c r="I119" s="133">
        <f t="shared" si="46"/>
        <v>-2.5457845528396139E-2</v>
      </c>
      <c r="K119" s="99" t="s">
        <v>147</v>
      </c>
    </row>
    <row r="120" spans="1:13">
      <c r="B120" s="94">
        <f t="shared" ref="B120:C120" si="47">C92-$C92</f>
        <v>0</v>
      </c>
      <c r="C120" s="118">
        <f t="shared" si="47"/>
        <v>-3.2592166127769939E-2</v>
      </c>
      <c r="D120" s="95">
        <f t="shared" ref="D120:I120" si="48">E92-$C92</f>
        <v>-4.0818532431212473E-2</v>
      </c>
      <c r="E120" s="95">
        <f t="shared" si="48"/>
        <v>0.814665459345566</v>
      </c>
      <c r="F120" s="95">
        <f t="shared" si="48"/>
        <v>1.0431877148697888</v>
      </c>
      <c r="G120" s="136">
        <f t="shared" si="48"/>
        <v>2.1037449841221099</v>
      </c>
      <c r="H120" s="121">
        <f t="shared" si="48"/>
        <v>2.0841504898711007</v>
      </c>
      <c r="I120" s="133">
        <f t="shared" si="48"/>
        <v>2.3667658472617719</v>
      </c>
      <c r="K120" s="100" t="s">
        <v>148</v>
      </c>
    </row>
    <row r="121" spans="1:13">
      <c r="B121" s="94">
        <f t="shared" ref="B121:C121" si="49">C93-$C93</f>
        <v>0</v>
      </c>
      <c r="C121" s="118">
        <f t="shared" si="49"/>
        <v>0.73934661383723232</v>
      </c>
      <c r="D121" s="95">
        <f t="shared" ref="D121:I121" si="50">E93-$C93</f>
        <v>0.77248383184656022</v>
      </c>
      <c r="E121" s="95">
        <f t="shared" si="50"/>
        <v>0.7195871750303805</v>
      </c>
      <c r="F121" s="95">
        <f t="shared" si="50"/>
        <v>0.78932433807079116</v>
      </c>
      <c r="G121" s="136">
        <f t="shared" si="50"/>
        <v>0.82913701269133588</v>
      </c>
      <c r="H121" s="118">
        <f t="shared" si="50"/>
        <v>0.75171422039661484</v>
      </c>
      <c r="I121" s="133">
        <f t="shared" si="50"/>
        <v>6.368425350466822E-2</v>
      </c>
      <c r="K121" s="101" t="s">
        <v>149</v>
      </c>
    </row>
    <row r="122" spans="1:13">
      <c r="C122" s="119"/>
      <c r="G122" s="124"/>
      <c r="H122" s="119"/>
      <c r="I122" s="124"/>
    </row>
    <row r="123" spans="1:13">
      <c r="A123" s="16" t="s">
        <v>128</v>
      </c>
      <c r="B123" s="96">
        <f>SQRT(B119^2+B120^2+B121^2)</f>
        <v>0</v>
      </c>
      <c r="C123" s="97">
        <f t="shared" ref="C123:I123" si="51">SQRT(C119^2+C120^2+C121^2)</f>
        <v>1.4559875545853034</v>
      </c>
      <c r="D123" s="98">
        <f t="shared" si="51"/>
        <v>1.2976821064610753</v>
      </c>
      <c r="E123" s="98">
        <f t="shared" si="51"/>
        <v>1.7746734101545305</v>
      </c>
      <c r="F123" s="98">
        <f t="shared" si="51"/>
        <v>1.9470319490292554</v>
      </c>
      <c r="G123" s="134">
        <f t="shared" si="51"/>
        <v>2.4869186353025614</v>
      </c>
      <c r="H123" s="97">
        <f t="shared" si="51"/>
        <v>2.2911635406343196</v>
      </c>
      <c r="I123" s="134">
        <f t="shared" si="51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52">E91-$E91</f>
        <v>0</v>
      </c>
      <c r="E126" s="95">
        <f t="shared" si="52"/>
        <v>-2.44475956514645</v>
      </c>
      <c r="F126" s="95">
        <f t="shared" si="52"/>
        <v>0.40019020491700363</v>
      </c>
      <c r="G126" s="123">
        <f t="shared" si="52"/>
        <v>-2.0770709056556558</v>
      </c>
      <c r="H126" s="118">
        <f t="shared" si="52"/>
        <v>-0.45824053226673911</v>
      </c>
      <c r="I126" s="123">
        <f t="shared" si="52"/>
        <v>-1.0673702345396179</v>
      </c>
    </row>
    <row r="127" spans="1:13">
      <c r="B127" s="95">
        <f t="shared" ref="B127:I127" si="53">C92-$E92</f>
        <v>4.0818532431212473E-2</v>
      </c>
      <c r="C127" s="118">
        <f t="shared" si="53"/>
        <v>8.2263663034425338E-3</v>
      </c>
      <c r="D127" s="94">
        <f t="shared" si="53"/>
        <v>0</v>
      </c>
      <c r="E127" s="95">
        <f t="shared" si="53"/>
        <v>0.85548399177677847</v>
      </c>
      <c r="F127" s="95">
        <f t="shared" si="53"/>
        <v>1.0840062473010013</v>
      </c>
      <c r="G127" s="123">
        <f t="shared" si="53"/>
        <v>2.1445635165533226</v>
      </c>
      <c r="H127" s="118">
        <f t="shared" si="53"/>
        <v>2.124969022302313</v>
      </c>
      <c r="I127" s="123">
        <f t="shared" si="53"/>
        <v>2.4075843796929846</v>
      </c>
    </row>
    <row r="128" spans="1:13">
      <c r="B128" s="95">
        <f t="shared" ref="B128:I128" si="54">C93-$E93</f>
        <v>-0.77248383184656022</v>
      </c>
      <c r="C128" s="118">
        <f t="shared" si="54"/>
        <v>-3.3137218009327896E-2</v>
      </c>
      <c r="D128" s="94">
        <f t="shared" si="54"/>
        <v>0</v>
      </c>
      <c r="E128" s="95">
        <f t="shared" si="54"/>
        <v>-5.2896656816179721E-2</v>
      </c>
      <c r="F128" s="95">
        <f t="shared" si="54"/>
        <v>1.6840506224230944E-2</v>
      </c>
      <c r="G128" s="123">
        <f t="shared" si="54"/>
        <v>5.6653180844775664E-2</v>
      </c>
      <c r="H128" s="118">
        <f t="shared" si="54"/>
        <v>-2.076961144994538E-2</v>
      </c>
      <c r="I128" s="123">
        <f t="shared" si="54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55">SQRT(C126^2+C127^2+C128^2)</f>
        <v>2.2960418930339337</v>
      </c>
      <c r="D130" s="96">
        <f t="shared" si="55"/>
        <v>0</v>
      </c>
      <c r="E130" s="98">
        <f t="shared" si="55"/>
        <v>2.5906563353451029</v>
      </c>
      <c r="F130" s="98">
        <f t="shared" si="55"/>
        <v>1.1556406651502886</v>
      </c>
      <c r="G130" s="134">
        <f t="shared" si="55"/>
        <v>2.9860652716497325</v>
      </c>
      <c r="H130" s="97">
        <f t="shared" si="55"/>
        <v>2.1739156165583644</v>
      </c>
      <c r="I130" s="134">
        <f t="shared" si="55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" si="56">C91-$F91</f>
        <v>1.4028471761352286</v>
      </c>
      <c r="C133" s="118">
        <f>D91-$F91</f>
        <v>0.14897154656832046</v>
      </c>
      <c r="D133" s="95">
        <f t="shared" ref="D133:I133" si="57">E91-$F91</f>
        <v>2.44475956514645</v>
      </c>
      <c r="E133" s="94">
        <f t="shared" si="57"/>
        <v>0</v>
      </c>
      <c r="F133" s="95">
        <f t="shared" si="57"/>
        <v>2.8449497700634536</v>
      </c>
      <c r="G133" s="123">
        <f t="shared" si="57"/>
        <v>0.36768865949079421</v>
      </c>
      <c r="H133" s="118">
        <f t="shared" si="57"/>
        <v>1.9865190328797109</v>
      </c>
      <c r="I133" s="123">
        <f t="shared" si="57"/>
        <v>1.3773893306068323</v>
      </c>
    </row>
    <row r="134" spans="1:13">
      <c r="B134" s="95">
        <f t="shared" ref="B134" si="58">C92-$F92</f>
        <v>-0.814665459345566</v>
      </c>
      <c r="C134" s="118">
        <f t="shared" ref="C134:I134" si="59">D92-$F92</f>
        <v>-0.84725762547333594</v>
      </c>
      <c r="D134" s="95">
        <f t="shared" si="59"/>
        <v>-0.85548399177677847</v>
      </c>
      <c r="E134" s="94">
        <f t="shared" si="59"/>
        <v>0</v>
      </c>
      <c r="F134" s="95">
        <f t="shared" si="59"/>
        <v>0.22852225552422287</v>
      </c>
      <c r="G134" s="123">
        <f t="shared" si="59"/>
        <v>1.2890795247765441</v>
      </c>
      <c r="H134" s="118">
        <f t="shared" si="59"/>
        <v>1.2694850305255347</v>
      </c>
      <c r="I134" s="123">
        <f t="shared" si="59"/>
        <v>1.5521003879162059</v>
      </c>
    </row>
    <row r="135" spans="1:13">
      <c r="B135" s="95">
        <f t="shared" ref="B135" si="60">C93-$F93</f>
        <v>-0.7195871750303805</v>
      </c>
      <c r="C135" s="118">
        <f t="shared" ref="C135:I135" si="61">D93-$F93</f>
        <v>1.9759438806851826E-2</v>
      </c>
      <c r="D135" s="95">
        <f t="shared" si="61"/>
        <v>5.2896656816179721E-2</v>
      </c>
      <c r="E135" s="94">
        <f t="shared" si="61"/>
        <v>0</v>
      </c>
      <c r="F135" s="95">
        <f t="shared" si="61"/>
        <v>6.9737163040410666E-2</v>
      </c>
      <c r="G135" s="123">
        <f t="shared" si="61"/>
        <v>0.10954983766095538</v>
      </c>
      <c r="H135" s="118">
        <f t="shared" si="61"/>
        <v>3.2127045366234341E-2</v>
      </c>
      <c r="I135" s="123">
        <f t="shared" si="61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62">SQRT(C133^2+C134^2+C135^2)</f>
        <v>0.86048151696107611</v>
      </c>
      <c r="D137" s="98">
        <f t="shared" si="62"/>
        <v>2.5906563353451029</v>
      </c>
      <c r="E137" s="96">
        <f t="shared" si="62"/>
        <v>0</v>
      </c>
      <c r="F137" s="98">
        <f t="shared" si="62"/>
        <v>2.8549649537889077</v>
      </c>
      <c r="G137" s="134">
        <f t="shared" si="62"/>
        <v>1.3449617609611804</v>
      </c>
      <c r="H137" s="97">
        <f t="shared" si="62"/>
        <v>2.3577281984498817</v>
      </c>
      <c r="I137" s="134">
        <f t="shared" si="62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63">D91-$G91</f>
        <v>-2.6959782234951333</v>
      </c>
      <c r="D140" s="95">
        <f t="shared" si="63"/>
        <v>-0.40019020491700363</v>
      </c>
      <c r="E140" s="95">
        <f t="shared" si="63"/>
        <v>-2.8449497700634536</v>
      </c>
      <c r="F140" s="94">
        <f t="shared" si="63"/>
        <v>0</v>
      </c>
      <c r="G140" s="123">
        <f t="shared" si="63"/>
        <v>-2.4772611105726594</v>
      </c>
      <c r="H140" s="118">
        <f t="shared" si="63"/>
        <v>-0.85843073718374274</v>
      </c>
      <c r="I140" s="123">
        <f t="shared" si="63"/>
        <v>-1.4675604394566215</v>
      </c>
    </row>
    <row r="141" spans="1:13">
      <c r="B141" s="95">
        <f t="shared" ref="B141:I142" si="64">C92-$G92</f>
        <v>-1.0431877148697888</v>
      </c>
      <c r="C141" s="118">
        <f t="shared" si="64"/>
        <v>-1.0757798809975587</v>
      </c>
      <c r="D141" s="95">
        <f t="shared" si="64"/>
        <v>-1.0840062473010013</v>
      </c>
      <c r="E141" s="95">
        <f t="shared" si="64"/>
        <v>-0.22852225552422287</v>
      </c>
      <c r="F141" s="94">
        <f t="shared" si="64"/>
        <v>0</v>
      </c>
      <c r="G141" s="123">
        <f t="shared" si="64"/>
        <v>1.0605572692523213</v>
      </c>
      <c r="H141" s="118">
        <f t="shared" si="64"/>
        <v>1.040962775001312</v>
      </c>
      <c r="I141" s="123">
        <f t="shared" si="64"/>
        <v>1.3235781323919831</v>
      </c>
    </row>
    <row r="142" spans="1:13">
      <c r="B142" s="95">
        <f t="shared" si="64"/>
        <v>-0.78932433807079116</v>
      </c>
      <c r="C142" s="118">
        <f t="shared" si="64"/>
        <v>-4.997772423355884E-2</v>
      </c>
      <c r="D142" s="95">
        <f t="shared" si="64"/>
        <v>-1.6840506224230944E-2</v>
      </c>
      <c r="E142" s="95">
        <f t="shared" si="64"/>
        <v>-6.9737163040410666E-2</v>
      </c>
      <c r="F142" s="94">
        <f t="shared" si="64"/>
        <v>0</v>
      </c>
      <c r="G142" s="123">
        <f t="shared" si="64"/>
        <v>3.9812674620544719E-2</v>
      </c>
      <c r="H142" s="118">
        <f t="shared" si="64"/>
        <v>-3.7610117674176324E-2</v>
      </c>
      <c r="I142" s="123">
        <f t="shared" si="64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65">SQRT(C140^2+C141^2+C142^2)</f>
        <v>2.9031187896534068</v>
      </c>
      <c r="D144" s="98">
        <f t="shared" si="65"/>
        <v>1.1556406651502886</v>
      </c>
      <c r="E144" s="98">
        <f t="shared" si="65"/>
        <v>2.8549649537889077</v>
      </c>
      <c r="F144" s="96">
        <f t="shared" si="65"/>
        <v>0</v>
      </c>
      <c r="G144" s="134">
        <f t="shared" si="65"/>
        <v>2.6950304971150265</v>
      </c>
      <c r="H144" s="97">
        <f t="shared" si="65"/>
        <v>1.3497856683309841</v>
      </c>
      <c r="I144" s="134">
        <f t="shared" si="65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1.8584150748580277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46" t="e">
        <v>#DIV/0!</v>
      </c>
      <c r="C150" s="146" t="e">
        <f t="shared" ref="C150:C156" si="66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 s="35">
        <v>3.3309859154929575</v>
      </c>
      <c r="C151" s="35">
        <f t="shared" si="66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 s="35">
        <v>12.909090909090908</v>
      </c>
      <c r="C152" s="35">
        <f t="shared" si="66"/>
        <v>-0.22535211267605634</v>
      </c>
      <c r="D152">
        <v>-4.4375</v>
      </c>
    </row>
    <row r="153" spans="1:9">
      <c r="A153" t="s">
        <v>127</v>
      </c>
      <c r="B153" s="35">
        <v>1.0114994363021421</v>
      </c>
      <c r="C153" s="35">
        <f t="shared" si="66"/>
        <v>6.9326794471689698E-2</v>
      </c>
      <c r="D153">
        <v>14.42443729903537</v>
      </c>
    </row>
    <row r="154" spans="1:9">
      <c r="A154" t="s">
        <v>126</v>
      </c>
      <c r="B154">
        <v>1.2973122919492048</v>
      </c>
      <c r="C154">
        <f t="shared" si="66"/>
        <v>2.6229508196721311E-2</v>
      </c>
      <c r="D154">
        <v>38.125</v>
      </c>
    </row>
    <row r="155" spans="1:9">
      <c r="A155" s="112" t="s">
        <v>125</v>
      </c>
      <c r="B155" s="146" t="e">
        <v>#DIV/0!</v>
      </c>
      <c r="C155" s="146" t="e">
        <f t="shared" si="66"/>
        <v>#DIV/0!</v>
      </c>
      <c r="D155" s="112"/>
    </row>
    <row r="156" spans="1:9">
      <c r="A156" t="s">
        <v>124</v>
      </c>
      <c r="B156" s="35">
        <v>0.61911721718795665</v>
      </c>
      <c r="C156" s="35">
        <f t="shared" si="66"/>
        <v>-5.3194837897387479E-2</v>
      </c>
      <c r="D156">
        <v>-18.798816568047336</v>
      </c>
    </row>
    <row r="158" spans="1:9">
      <c r="B158">
        <v>1</v>
      </c>
    </row>
  </sheetData>
  <mergeCells count="11">
    <mergeCell ref="L60:L68"/>
    <mergeCell ref="L22:L28"/>
    <mergeCell ref="A30:K30"/>
    <mergeCell ref="B83:C83"/>
    <mergeCell ref="B84:C84"/>
    <mergeCell ref="B85:C85"/>
    <mergeCell ref="B86:C86"/>
    <mergeCell ref="A1:K1"/>
    <mergeCell ref="A81:K81"/>
    <mergeCell ref="A75:K75"/>
    <mergeCell ref="A70:K70"/>
  </mergeCells>
  <pageMargins left="0.7" right="0.7" top="0.78740157499999996" bottom="0.78740157499999996" header="0.3" footer="0.3"/>
  <pageSetup paperSize="9" orientation="landscape" r:id="rId1"/>
  <ignoredErrors>
    <ignoredError sqref="D53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7"/>
  <dimension ref="A1:T158"/>
  <sheetViews>
    <sheetView topLeftCell="A10" workbookViewId="0">
      <selection activeCell="A31" sqref="A31:J33"/>
    </sheetView>
  </sheetViews>
  <sheetFormatPr baseColWidth="10" defaultRowHeight="15"/>
  <sheetData>
    <row r="1" spans="1:15">
      <c r="A1" s="161">
        <v>0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5">
      <c r="B2" s="2" t="s">
        <v>97</v>
      </c>
      <c r="C2" s="47">
        <v>300000000</v>
      </c>
      <c r="D2" s="2" t="s">
        <v>98</v>
      </c>
      <c r="E2" s="2"/>
      <c r="F2" s="2"/>
      <c r="G2" s="2"/>
      <c r="H2" s="2"/>
      <c r="I2" s="2"/>
      <c r="J2" s="2"/>
      <c r="K2" s="2"/>
    </row>
    <row r="3" spans="1:15">
      <c r="B3" s="2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"/>
    </row>
    <row r="4" spans="1:15">
      <c r="B4" s="2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"/>
    </row>
    <row r="5" spans="1:15"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>
      <c r="A6" s="2"/>
      <c r="B6" s="147" t="s">
        <v>78</v>
      </c>
      <c r="C6" s="2"/>
      <c r="D6" s="26" t="s">
        <v>77</v>
      </c>
      <c r="E6" s="26" t="s">
        <v>75</v>
      </c>
      <c r="F6" s="26" t="s">
        <v>76</v>
      </c>
      <c r="G6" s="26" t="s">
        <v>79</v>
      </c>
      <c r="H6" s="26" t="s">
        <v>80</v>
      </c>
      <c r="I6" s="26"/>
      <c r="J6" s="26"/>
      <c r="K6" s="26"/>
    </row>
    <row r="7" spans="1:15">
      <c r="A7" s="2"/>
      <c r="B7" s="26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"/>
      <c r="L7" s="2"/>
      <c r="M7" s="2"/>
      <c r="N7" s="2"/>
      <c r="O7" s="2"/>
    </row>
    <row r="8" spans="1:15">
      <c r="A8" s="2"/>
      <c r="B8" s="26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"/>
      <c r="L8" s="2"/>
      <c r="M8" s="2"/>
      <c r="N8" s="2"/>
      <c r="O8" s="2"/>
    </row>
    <row r="9" spans="1:15">
      <c r="A9" s="2"/>
      <c r="B9" s="26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"/>
      <c r="L9" s="2"/>
      <c r="M9" s="2"/>
      <c r="N9" s="2"/>
      <c r="O9" s="2"/>
    </row>
    <row r="10" spans="1:15">
      <c r="A10" s="2"/>
      <c r="B10" s="26">
        <v>0</v>
      </c>
      <c r="C10" s="52"/>
      <c r="D10" s="61"/>
      <c r="E10" s="61"/>
      <c r="F10" s="61"/>
      <c r="G10" s="61"/>
      <c r="H10" s="116"/>
      <c r="I10" s="2"/>
      <c r="J10" s="81"/>
      <c r="K10" s="2"/>
      <c r="L10" s="2"/>
      <c r="M10" s="2"/>
      <c r="N10" s="2"/>
      <c r="O10" s="2"/>
    </row>
    <row r="11" spans="1:15">
      <c r="A11" s="2"/>
      <c r="B11" s="26"/>
      <c r="C11" s="52"/>
      <c r="D11" s="111" t="s">
        <v>77</v>
      </c>
      <c r="E11" s="111"/>
      <c r="F11" s="111"/>
      <c r="G11" s="111"/>
      <c r="H11" s="2"/>
      <c r="I11" s="2"/>
      <c r="J11" s="26" t="s">
        <v>79</v>
      </c>
      <c r="K11" s="26" t="s">
        <v>79</v>
      </c>
      <c r="L11" s="26" t="s">
        <v>79</v>
      </c>
      <c r="M11" s="26" t="s">
        <v>79</v>
      </c>
      <c r="N11" s="2"/>
      <c r="O11" s="2"/>
    </row>
    <row r="12" spans="1:15">
      <c r="A12" s="2"/>
      <c r="B12" s="26"/>
      <c r="C12" s="130">
        <v>1</v>
      </c>
      <c r="D12" s="2">
        <f>0.5*$C$123^2</f>
        <v>0</v>
      </c>
      <c r="E12" s="2"/>
      <c r="F12" s="2"/>
      <c r="G12" s="2"/>
      <c r="H12" s="2"/>
      <c r="I12" s="129">
        <v>1</v>
      </c>
      <c r="J12" s="2">
        <f>A_1*(1/(2*PI())^2)*(T_0^2-T_2^2)</f>
        <v>0.29506271563788528</v>
      </c>
      <c r="K12" s="2">
        <f>A_1*(1/(2*PI())^2)*(T_0^2-T_2^2)</f>
        <v>0.29506271563788528</v>
      </c>
      <c r="L12" s="2">
        <f>A_1*(1/(2*PI())^2)*(T_0^2-T_2^2)</f>
        <v>0.29506271563788528</v>
      </c>
      <c r="M12" s="2">
        <f>A_1*(1/(2*PI())^2)*(T_0^2-T_2^2)</f>
        <v>0.29506271563788528</v>
      </c>
      <c r="N12" s="2">
        <f>A_1*(1/(2*PI())^2)*(T_0^2-T_2^2)</f>
        <v>0.29506271563788528</v>
      </c>
      <c r="O12" s="2"/>
    </row>
    <row r="13" spans="1:15">
      <c r="A13" s="2"/>
      <c r="B13" s="26"/>
      <c r="C13" s="130">
        <v>2</v>
      </c>
      <c r="D13" s="2">
        <f>0.5*$D$123^2</f>
        <v>0.84198942471462679</v>
      </c>
      <c r="E13" s="2"/>
      <c r="F13" s="2"/>
      <c r="G13" s="2"/>
      <c r="H13" s="2"/>
      <c r="I13" s="2">
        <v>2</v>
      </c>
      <c r="J13" s="2">
        <f>A_1*(1/(2*PI())^2)*(T_0^2-T_3^2)</f>
        <v>0.34440611012014449</v>
      </c>
      <c r="K13" s="2">
        <f>A_1*(1/(2*PI())^2)*(T_0^2-T_5^2)</f>
        <v>-0.20003645154081437</v>
      </c>
      <c r="L13" s="2">
        <f>A_1*(1/(2*PI())^2)*(T_0^2-T_4^2)</f>
        <v>0.27287832502747572</v>
      </c>
      <c r="M13" s="2">
        <f>A_1*(1/(2*PI())^2)*(T_0^2-T_3^2)</f>
        <v>0.34440611012014449</v>
      </c>
      <c r="N13" s="2">
        <f>A_1*(1/(2*PI())^2)*(T_0^2-T_3^2)</f>
        <v>0.34440611012014449</v>
      </c>
      <c r="O13" s="2"/>
    </row>
    <row r="14" spans="1:15">
      <c r="A14" s="2"/>
      <c r="B14" s="26"/>
      <c r="C14" s="130">
        <v>3</v>
      </c>
      <c r="D14" s="2">
        <f>0.5*E$123^2</f>
        <v>1.5747328563547551</v>
      </c>
      <c r="E14" s="2"/>
      <c r="F14" s="2"/>
      <c r="G14" s="2"/>
      <c r="H14" s="2"/>
      <c r="I14" s="2">
        <v>3</v>
      </c>
      <c r="J14" s="2">
        <f>A_1*(1/(2*PI())^2)*(T_0^2-T_4^2)</f>
        <v>0.27287832502747572</v>
      </c>
      <c r="K14" s="2">
        <f>A_1*(1/(2*PI())^2)*(T_0^2-T_7^2)</f>
        <v>0.21769412434432645</v>
      </c>
      <c r="L14" s="2">
        <f>A_1*(1/(2*PI())^2)*(T_0^2-T_5^2)</f>
        <v>-0.20003645154081437</v>
      </c>
      <c r="M14" s="2">
        <f>A_1*(1/(2*PI())^2)*(T_0^2-T_7^2)</f>
        <v>0.21769412434432645</v>
      </c>
      <c r="N14" s="2">
        <f>A_1*(1/(2*PI())^2)*(T_0^2-T_5^2)</f>
        <v>-0.20003645154081437</v>
      </c>
      <c r="O14" s="2"/>
    </row>
    <row r="15" spans="1:15">
      <c r="A15" s="2"/>
      <c r="B15" s="26"/>
      <c r="C15" s="130">
        <v>4</v>
      </c>
      <c r="D15" s="2">
        <f>0.5*$F$123^2</f>
        <v>1.8954667052703305</v>
      </c>
      <c r="E15" s="2"/>
      <c r="F15" s="2"/>
      <c r="G15" s="2"/>
      <c r="H15" s="114"/>
      <c r="I15" s="2"/>
      <c r="J15" s="81"/>
      <c r="K15" s="2"/>
      <c r="L15" s="2"/>
      <c r="M15" s="2"/>
      <c r="N15" s="2"/>
      <c r="O15" s="2"/>
    </row>
    <row r="16" spans="1:15">
      <c r="A16" s="2"/>
      <c r="B16" s="26"/>
      <c r="C16" s="130">
        <v>5</v>
      </c>
      <c r="D16" s="2">
        <f>0.5*$G$123^2</f>
        <v>3.0923821493075772</v>
      </c>
      <c r="E16" s="2"/>
      <c r="F16" s="2"/>
      <c r="G16" s="2"/>
      <c r="H16" s="114"/>
      <c r="I16" s="2"/>
      <c r="J16" s="81"/>
      <c r="K16" s="2"/>
      <c r="L16" s="2"/>
      <c r="M16" s="2"/>
      <c r="N16" s="2"/>
      <c r="O16" s="2"/>
    </row>
    <row r="17" spans="1:20">
      <c r="B17" s="2"/>
      <c r="C17" s="130">
        <v>6</v>
      </c>
      <c r="D17" s="2">
        <f>0.5*$H$123^2</f>
        <v>0</v>
      </c>
      <c r="E17" s="2"/>
      <c r="F17" s="2"/>
      <c r="G17" s="2"/>
      <c r="H17" s="2"/>
      <c r="I17" s="2"/>
      <c r="J17" s="2"/>
      <c r="K17" s="2"/>
    </row>
    <row r="18" spans="1:20">
      <c r="B18" s="2"/>
      <c r="C18" s="130">
        <v>7</v>
      </c>
      <c r="D18" s="2">
        <f>0.5*$I$123^2</f>
        <v>2.8031421809040635</v>
      </c>
      <c r="E18" s="2"/>
      <c r="F18" s="2"/>
      <c r="G18" s="2"/>
      <c r="H18" s="2"/>
      <c r="I18" s="2"/>
      <c r="J18" s="2"/>
      <c r="K18" s="2"/>
    </row>
    <row r="19" spans="1:20">
      <c r="B19" s="2"/>
      <c r="C19" s="130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0.17044069214804358</v>
      </c>
      <c r="E22" s="126">
        <v>0.28148385606806042</v>
      </c>
      <c r="F22" s="126">
        <v>0.32299315855765565</v>
      </c>
      <c r="G22" s="126">
        <v>0.63338739898038177</v>
      </c>
      <c r="H22" s="126">
        <v>0.59575301728655083</v>
      </c>
      <c r="I22" s="70">
        <v>-0.15855509315995797</v>
      </c>
      <c r="J22" s="70">
        <v>-0.85603789680002773</v>
      </c>
      <c r="K22" s="70">
        <v>0.65342120690916317</v>
      </c>
      <c r="L22" s="162" t="s">
        <v>150</v>
      </c>
      <c r="M22" s="78">
        <f ca="1">RAND()</f>
        <v>0.72166507099333255</v>
      </c>
    </row>
    <row r="23" spans="1:20">
      <c r="B23" s="2" t="s">
        <v>82</v>
      </c>
      <c r="C23" s="2"/>
      <c r="D23" s="125">
        <v>0.4865348401622106</v>
      </c>
      <c r="E23" s="126">
        <v>0.51804063433576442</v>
      </c>
      <c r="F23" s="126">
        <v>0.48637631606396331</v>
      </c>
      <c r="G23" s="126">
        <v>0.65143894198304164</v>
      </c>
      <c r="H23" s="126">
        <v>0.4411300453248343</v>
      </c>
      <c r="I23" s="70">
        <v>-0.3582528703161334</v>
      </c>
      <c r="J23" s="70">
        <v>0.54958182007341416</v>
      </c>
      <c r="K23" s="70">
        <v>-0.40737763775813596</v>
      </c>
      <c r="L23" s="162"/>
      <c r="M23" s="78">
        <f ca="1">RAND()</f>
        <v>0.348751844813177</v>
      </c>
    </row>
    <row r="24" spans="1:20">
      <c r="B24" s="2" t="s">
        <v>83</v>
      </c>
      <c r="C24" s="2"/>
      <c r="D24" s="125">
        <v>0.40782182039511206</v>
      </c>
      <c r="E24" s="126">
        <v>0.99163918185716127</v>
      </c>
      <c r="F24" s="126">
        <v>5.6854579115011385E-2</v>
      </c>
      <c r="G24" s="126">
        <v>0.81890784649696025</v>
      </c>
      <c r="H24" s="126">
        <v>0.97474434217664485</v>
      </c>
      <c r="I24" s="70">
        <v>-2.4909669184959959E-2</v>
      </c>
      <c r="J24" s="70">
        <v>-0.36477405011057273</v>
      </c>
      <c r="K24" s="70">
        <v>0.20797765241452781</v>
      </c>
      <c r="L24" s="162"/>
      <c r="M24" s="78">
        <f ca="1">RAND()</f>
        <v>0.56093418029995679</v>
      </c>
    </row>
    <row r="25" spans="1:20">
      <c r="B25" s="50" t="s">
        <v>84</v>
      </c>
      <c r="C25" s="2" t="s">
        <v>27</v>
      </c>
      <c r="D25" s="125">
        <v>1.0258793571687073</v>
      </c>
      <c r="E25" s="126">
        <v>0.71669674186902688</v>
      </c>
      <c r="F25" s="126">
        <v>0.49416700992430346</v>
      </c>
      <c r="G25" s="126">
        <v>0.22344778357198677</v>
      </c>
      <c r="H25" s="126">
        <v>0.43563931486406166</v>
      </c>
      <c r="I25" s="70">
        <v>-0.60127917735887881</v>
      </c>
      <c r="J25" s="70">
        <v>7.3809363778690518E-2</v>
      </c>
      <c r="K25" s="70">
        <v>0.45904960287541474</v>
      </c>
      <c r="L25" s="162"/>
      <c r="M25" s="78">
        <f ca="1">RAND()</f>
        <v>0.69220517754354516</v>
      </c>
      <c r="P25" s="113">
        <f>D86</f>
        <v>-1.48279874762276E-2</v>
      </c>
      <c r="Q25" s="113">
        <f>E86</f>
        <v>0.16165207782078173</v>
      </c>
      <c r="R25" s="113">
        <f t="shared" ref="R25:T25" si="0">F86</f>
        <v>0.19230849217144408</v>
      </c>
      <c r="S25" s="113">
        <f t="shared" si="0"/>
        <v>3.857343470584873E-2</v>
      </c>
      <c r="T25" s="113">
        <f t="shared" si="0"/>
        <v>0.23377174059983075</v>
      </c>
    </row>
    <row r="26" spans="1:20">
      <c r="B26" s="2" t="s">
        <v>48</v>
      </c>
      <c r="C26" s="2"/>
      <c r="D26" s="125">
        <v>1.7394225442122276E-2</v>
      </c>
      <c r="E26" s="126">
        <v>-8.1316915439917842E-2</v>
      </c>
      <c r="F26" s="126">
        <v>-0.18579848718625816</v>
      </c>
      <c r="G26" s="126">
        <v>8.5195650355251465E-2</v>
      </c>
      <c r="H26" s="125">
        <v>0.21983447548348592</v>
      </c>
      <c r="I26" s="70">
        <v>-0.64147819789622496</v>
      </c>
      <c r="J26" s="70">
        <v>-2.6436636559469484E-2</v>
      </c>
      <c r="K26" s="70">
        <v>-1.0305960682470916E-2</v>
      </c>
      <c r="L26" s="162"/>
      <c r="M26" s="78">
        <f t="shared" ref="M26:M28" ca="1" si="1">RAND()-RAND()</f>
        <v>-8.2203486661970082E-2</v>
      </c>
      <c r="P26" s="35">
        <f>D77</f>
        <v>1.7394225442122276E-2</v>
      </c>
      <c r="Q26" s="35">
        <f t="shared" ref="Q26:T28" si="2">E77</f>
        <v>-8.1316915439917842E-2</v>
      </c>
      <c r="R26" s="35">
        <f t="shared" si="2"/>
        <v>-0.18579848718625816</v>
      </c>
      <c r="S26" s="35">
        <f t="shared" si="2"/>
        <v>8.5195650355251465E-2</v>
      </c>
      <c r="T26" s="35">
        <f t="shared" si="2"/>
        <v>0.21983447548348592</v>
      </c>
    </row>
    <row r="27" spans="1:20">
      <c r="B27" t="s">
        <v>47</v>
      </c>
      <c r="D27" s="125">
        <v>0.87190340089992857</v>
      </c>
      <c r="E27" s="126">
        <v>1.0755957605158302</v>
      </c>
      <c r="F27" s="126">
        <v>1.0190033908030607</v>
      </c>
      <c r="G27" s="126">
        <v>1.0495745525058144</v>
      </c>
      <c r="H27" s="125">
        <v>1.4333232401798957</v>
      </c>
      <c r="I27" s="70">
        <v>4.8639647915487139E-2</v>
      </c>
      <c r="J27" s="70">
        <v>-0.42478485919807984</v>
      </c>
      <c r="K27" s="70">
        <v>5.2954891334215048E-2</v>
      </c>
      <c r="L27" s="162"/>
      <c r="M27" s="78">
        <f t="shared" ca="1" si="1"/>
        <v>0.281687457895754</v>
      </c>
      <c r="P27" s="35">
        <f t="shared" ref="P27:P28" si="3">D78</f>
        <v>0.87190340089992857</v>
      </c>
      <c r="Q27" s="35">
        <f t="shared" si="2"/>
        <v>1.0755957605158302</v>
      </c>
      <c r="R27" s="35">
        <f t="shared" si="2"/>
        <v>1.0190033908030607</v>
      </c>
      <c r="S27" s="35">
        <f t="shared" si="2"/>
        <v>1.0495745525058144</v>
      </c>
      <c r="T27" s="35">
        <f t="shared" si="2"/>
        <v>1.4333232401798957</v>
      </c>
    </row>
    <row r="28" spans="1:20">
      <c r="B28" t="s">
        <v>52</v>
      </c>
      <c r="C28" s="2"/>
      <c r="D28" s="125">
        <v>0.7313056416266257</v>
      </c>
      <c r="E28" s="126">
        <v>0.85706774829086085</v>
      </c>
      <c r="F28" s="126">
        <v>0.98590824210815953</v>
      </c>
      <c r="G28" s="126">
        <v>0.57823203023677694</v>
      </c>
      <c r="H28" s="125">
        <v>0.41165878593620336</v>
      </c>
      <c r="I28" s="70">
        <v>-0.12219530665103107</v>
      </c>
      <c r="J28" s="70">
        <v>-0.2246402934383831</v>
      </c>
      <c r="K28" s="70">
        <v>-9.8948905880472005E-2</v>
      </c>
      <c r="L28" s="162"/>
      <c r="M28" s="78">
        <f t="shared" ca="1" si="1"/>
        <v>0.68282309296723787</v>
      </c>
      <c r="P28" s="35">
        <f t="shared" si="3"/>
        <v>0.7313056416266257</v>
      </c>
      <c r="Q28" s="35">
        <f t="shared" si="2"/>
        <v>0.85706774829086085</v>
      </c>
      <c r="R28" s="35">
        <f t="shared" si="2"/>
        <v>0.98590824210815953</v>
      </c>
      <c r="S28" s="35">
        <f t="shared" si="2"/>
        <v>0.57823203023677694</v>
      </c>
      <c r="T28" s="35">
        <f t="shared" si="2"/>
        <v>0.41165878593620336</v>
      </c>
    </row>
    <row r="29" spans="1:20">
      <c r="B29" s="2"/>
      <c r="C29" s="2"/>
      <c r="D29" s="2"/>
      <c r="E29" s="2"/>
      <c r="F29" s="2">
        <v>0</v>
      </c>
      <c r="G29" s="2"/>
      <c r="H29" s="2"/>
      <c r="I29" s="2"/>
      <c r="J29" s="2"/>
      <c r="K29" s="2"/>
    </row>
    <row r="30" spans="1:20">
      <c r="A30" s="161" t="s">
        <v>152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3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 s="16">
        <v>0</v>
      </c>
    </row>
    <row r="33" spans="1:16">
      <c r="A33" s="5"/>
      <c r="B33" s="79">
        <f t="shared" si="5"/>
        <v>1.4421025939282253</v>
      </c>
      <c r="C33" s="79">
        <f t="shared" si="5"/>
        <v>1.0431877148697888</v>
      </c>
      <c r="D33" s="85">
        <f t="shared" si="5"/>
        <v>0.78932433807079116</v>
      </c>
      <c r="E33" s="86"/>
      <c r="F33" s="88" t="s">
        <v>52</v>
      </c>
      <c r="G33" s="5"/>
      <c r="H33" s="89" t="s">
        <v>42</v>
      </c>
      <c r="P33" s="35"/>
    </row>
    <row r="34" spans="1:16">
      <c r="D34" s="2"/>
      <c r="E34" s="2"/>
      <c r="F34" s="2"/>
      <c r="G34" s="2"/>
      <c r="H34" s="2"/>
      <c r="P34" s="35"/>
    </row>
    <row r="35" spans="1:16">
      <c r="A35" s="5"/>
      <c r="B35" s="79">
        <f>C99</f>
        <v>1.0419123890112216</v>
      </c>
      <c r="C35" s="79">
        <f t="shared" ref="C35:D35" si="6">D99</f>
        <v>-4.0818532431212473E-2</v>
      </c>
      <c r="D35" s="79">
        <f t="shared" si="6"/>
        <v>0.77248383184656022</v>
      </c>
      <c r="E35" s="137"/>
      <c r="F35" s="68"/>
      <c r="G35" s="2"/>
      <c r="H35" s="66"/>
      <c r="I35" s="2"/>
      <c r="P35" s="35"/>
    </row>
    <row r="36" spans="1:16">
      <c r="A36" s="5" t="s">
        <v>166</v>
      </c>
      <c r="B36" s="79">
        <f t="shared" ref="B36:D37" si="7">C100</f>
        <v>-1.0351585166444344</v>
      </c>
      <c r="C36" s="79">
        <f t="shared" si="7"/>
        <v>2.1037449841221099</v>
      </c>
      <c r="D36" s="79">
        <f t="shared" si="7"/>
        <v>0.82913701269133588</v>
      </c>
      <c r="E36" s="138"/>
      <c r="F36" s="68"/>
      <c r="G36" s="139"/>
      <c r="H36" s="66"/>
      <c r="I36" s="139"/>
      <c r="P36" s="35"/>
    </row>
    <row r="37" spans="1:16">
      <c r="A37" s="5"/>
      <c r="B37" s="79">
        <f t="shared" si="7"/>
        <v>-2.5457845528396139E-2</v>
      </c>
      <c r="C37" s="79">
        <f t="shared" si="7"/>
        <v>2.3667658472617719</v>
      </c>
      <c r="D37" s="79">
        <f t="shared" si="7"/>
        <v>6.368425350466822E-2</v>
      </c>
      <c r="E37" s="137"/>
      <c r="F37" s="68"/>
      <c r="G37" s="2"/>
      <c r="H37" s="66"/>
      <c r="I37" s="2"/>
      <c r="M37" s="31"/>
    </row>
    <row r="38" spans="1:16">
      <c r="D38" s="2"/>
      <c r="E38" s="2"/>
      <c r="F38" s="2"/>
      <c r="G38" s="2"/>
      <c r="H38" s="2"/>
      <c r="I38" s="2"/>
      <c r="J38">
        <f>MCond(B31:D33)</f>
        <v>4.1121618081555962</v>
      </c>
      <c r="L38">
        <f>SVDD(B31:D33)</f>
        <v>2.3451521789295224</v>
      </c>
      <c r="M38" s="31"/>
    </row>
    <row r="39" spans="1:16">
      <c r="A39" s="5"/>
      <c r="B39" s="79">
        <f>C103</f>
        <v>1.0419123890112216</v>
      </c>
      <c r="C39" s="79">
        <f t="shared" ref="C39:D41" si="8">D103</f>
        <v>-4.0818532431212473E-2</v>
      </c>
      <c r="D39" s="85">
        <f t="shared" si="8"/>
        <v>0.77248383184656022</v>
      </c>
      <c r="E39" s="137"/>
      <c r="F39" s="68"/>
      <c r="G39" s="2"/>
      <c r="H39" s="66"/>
      <c r="I39" s="2"/>
      <c r="J39">
        <f>MCond(B35:D37)</f>
        <v>3.8811004351956027</v>
      </c>
      <c r="M39" s="31"/>
    </row>
    <row r="40" spans="1:16">
      <c r="A40" s="5" t="s">
        <v>167</v>
      </c>
      <c r="B40" s="79">
        <f t="shared" ref="B40:B41" si="9">C104</f>
        <v>1.4421025939282253</v>
      </c>
      <c r="C40" s="79">
        <f t="shared" si="8"/>
        <v>1.0431877148697888</v>
      </c>
      <c r="D40" s="85">
        <f t="shared" si="8"/>
        <v>0.78932433807079116</v>
      </c>
      <c r="E40" s="138"/>
      <c r="F40" s="68"/>
      <c r="G40" s="139"/>
      <c r="H40" s="66"/>
      <c r="I40" s="139"/>
      <c r="J40">
        <f>MCond(B39:D41)</f>
        <v>6.0546724397063061</v>
      </c>
    </row>
    <row r="41" spans="1:16">
      <c r="A41" s="5"/>
      <c r="B41" s="79">
        <f t="shared" si="9"/>
        <v>-1.0351585166444344</v>
      </c>
      <c r="C41" s="79">
        <f t="shared" si="8"/>
        <v>2.1037449841221099</v>
      </c>
      <c r="D41" s="85">
        <f t="shared" si="8"/>
        <v>0.82913701269133588</v>
      </c>
      <c r="E41" s="137"/>
      <c r="F41" s="68"/>
      <c r="G41" s="2"/>
      <c r="H41" s="66"/>
      <c r="I41" s="2"/>
      <c r="J41">
        <f>MCond(B43:D45)</f>
        <v>2.5761959575841629</v>
      </c>
    </row>
    <row r="42" spans="1:16">
      <c r="A42" s="2"/>
      <c r="B42" s="79"/>
      <c r="C42" s="79"/>
      <c r="D42" s="79"/>
      <c r="E42" s="2"/>
      <c r="F42" s="68"/>
      <c r="G42" s="2"/>
      <c r="H42" s="66"/>
      <c r="I42" s="2"/>
      <c r="J42">
        <f>MCond(B47:D49)</f>
        <v>4.6589206831506358</v>
      </c>
    </row>
    <row r="43" spans="1:16">
      <c r="A43" s="5"/>
      <c r="B43" s="79">
        <f>C107</f>
        <v>1.0419123890112216</v>
      </c>
      <c r="C43" s="79">
        <f t="shared" ref="C43:D43" si="10">D107</f>
        <v>-4.0818532431212473E-2</v>
      </c>
      <c r="D43" s="79">
        <f t="shared" si="10"/>
        <v>0.77248383184656022</v>
      </c>
      <c r="E43" s="137"/>
      <c r="F43" s="68"/>
      <c r="G43" s="2"/>
      <c r="H43" s="66"/>
      <c r="I43" s="2"/>
    </row>
    <row r="44" spans="1:16">
      <c r="A44" s="5" t="s">
        <v>168</v>
      </c>
      <c r="B44" s="79">
        <f t="shared" ref="B44:D49" si="11">C108</f>
        <v>-1.4028471761352286</v>
      </c>
      <c r="C44" s="79">
        <f t="shared" si="11"/>
        <v>0.814665459345566</v>
      </c>
      <c r="D44" s="79">
        <f t="shared" si="11"/>
        <v>0.7195871750303805</v>
      </c>
      <c r="E44" s="138"/>
      <c r="F44" s="68"/>
      <c r="G44" s="139"/>
      <c r="H44" s="66"/>
      <c r="I44" s="139"/>
    </row>
    <row r="45" spans="1:16">
      <c r="A45" s="5"/>
      <c r="B45" s="79">
        <f t="shared" si="11"/>
        <v>-2.5457845528396139E-2</v>
      </c>
      <c r="C45" s="79">
        <f t="shared" si="11"/>
        <v>2.3667658472617719</v>
      </c>
      <c r="D45" s="79">
        <f t="shared" si="11"/>
        <v>6.368425350466822E-2</v>
      </c>
      <c r="E45" s="137"/>
      <c r="F45" s="68"/>
      <c r="G45" s="2"/>
      <c r="H45" s="66"/>
      <c r="I45" s="2"/>
      <c r="J45" s="2"/>
    </row>
    <row r="46" spans="1:16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6" ht="14.25" customHeight="1">
      <c r="A47" s="5"/>
      <c r="B47" s="79">
        <f t="shared" si="11"/>
        <v>1.0419123890112216</v>
      </c>
      <c r="C47" s="79">
        <f t="shared" si="11"/>
        <v>-4.0818532431212473E-2</v>
      </c>
      <c r="D47" s="85">
        <f t="shared" si="11"/>
        <v>0.77248383184656022</v>
      </c>
      <c r="H47" s="66"/>
      <c r="I47" s="2"/>
    </row>
    <row r="48" spans="1:16" ht="14.25" customHeight="1">
      <c r="A48" s="5" t="s">
        <v>169</v>
      </c>
      <c r="B48" s="79">
        <f t="shared" si="11"/>
        <v>-1.4028471761352286</v>
      </c>
      <c r="C48" s="79">
        <f t="shared" si="11"/>
        <v>0.814665459345566</v>
      </c>
      <c r="D48" s="85">
        <f t="shared" si="11"/>
        <v>0.7195871750303805</v>
      </c>
      <c r="E48" s="140"/>
      <c r="F48" s="68"/>
      <c r="G48" s="139"/>
      <c r="H48" s="66"/>
      <c r="I48" s="139"/>
    </row>
    <row r="49" spans="1:16">
      <c r="A49" s="5"/>
      <c r="B49" s="79">
        <f t="shared" si="11"/>
        <v>-1.0351585166444344</v>
      </c>
      <c r="C49" s="79">
        <f t="shared" si="11"/>
        <v>2.1037449841221099</v>
      </c>
      <c r="D49" s="79">
        <f t="shared" si="11"/>
        <v>0.82913701269133588</v>
      </c>
      <c r="E49" s="138"/>
      <c r="F49" s="68"/>
      <c r="G49" s="140"/>
      <c r="H49" s="66"/>
      <c r="I49" s="140"/>
      <c r="O49" s="35"/>
      <c r="P49" s="35"/>
    </row>
    <row r="50" spans="1:16">
      <c r="A50" s="2"/>
      <c r="B50" s="148"/>
      <c r="C50" s="148"/>
      <c r="D50" s="148"/>
      <c r="E50" s="2"/>
      <c r="F50" s="68"/>
      <c r="G50" s="2"/>
      <c r="H50" s="66"/>
      <c r="I50" s="2"/>
      <c r="O50" s="35"/>
      <c r="P50" s="35"/>
    </row>
    <row r="51" spans="1:16">
      <c r="A51" s="2"/>
      <c r="B51" s="148"/>
      <c r="C51" s="148"/>
      <c r="D51" s="148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165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0.5474552260336264</v>
      </c>
      <c r="E54" s="109">
        <f t="array" ref="E54:E56">MMULT($B$35:$D$37,E$26:E$28)</f>
        <v>0.53344163628530905</v>
      </c>
      <c r="F54" s="109">
        <f t="array" ref="F54:F56">MMULT($B$39:$D$41,F$26:F$28)</f>
        <v>0.52641820809890194</v>
      </c>
      <c r="G54" s="109">
        <f t="array" ref="G54:G56">MMULT($B$43:$D$45,G$26:G$28)</f>
        <v>0.49259920509829241</v>
      </c>
      <c r="H54" s="109">
        <f t="array" ref="H54:H56">MMULT($B$47:$D$49,H$26:H$28)</f>
        <v>0.48854186874763528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1.2121463052984442</v>
      </c>
      <c r="E55" s="109">
        <v>3.0575816761850438</v>
      </c>
      <c r="F55" s="109">
        <v>1.5732727089777288</v>
      </c>
      <c r="G55" s="109">
        <v>1.1516240105648614</v>
      </c>
      <c r="H55" s="109">
        <v>1.155509145550921</v>
      </c>
      <c r="I55" s="71">
        <f t="shared" ref="I55:K56" si="12">INDEX(MMULT($B$31:$D$33,I$26:I$28),ROW($A1))</f>
        <v>-0.76474337943000381</v>
      </c>
      <c r="J55" s="71">
        <f t="shared" si="12"/>
        <v>-0.18373655926605126</v>
      </c>
      <c r="K55" s="71">
        <f t="shared" si="12"/>
        <v>-8.9335879036617633E-2</v>
      </c>
      <c r="O55" s="35"/>
    </row>
    <row r="56" spans="1:16">
      <c r="B56" t="s">
        <v>94</v>
      </c>
      <c r="D56" s="37">
        <v>1.5118805155058221</v>
      </c>
      <c r="E56" s="109">
        <v>2.6023351846733642</v>
      </c>
      <c r="F56" s="109">
        <v>3.1535071732451936</v>
      </c>
      <c r="G56" s="109">
        <v>2.5187525825175014</v>
      </c>
      <c r="H56" s="109">
        <v>3.1291045836245983</v>
      </c>
      <c r="I56" s="71">
        <f t="shared" si="12"/>
        <v>0.85159074406752489</v>
      </c>
      <c r="J56" s="71">
        <f t="shared" si="12"/>
        <v>-0.47061926565100198</v>
      </c>
      <c r="K56" s="71">
        <f t="shared" si="12"/>
        <v>-1.3604154940728003E-2</v>
      </c>
      <c r="O56" s="35"/>
    </row>
    <row r="57" spans="1:16">
      <c r="B57" t="s">
        <v>95</v>
      </c>
      <c r="D57" s="127">
        <f>(D$66-D$54)^2+(D$67-D$55)^2+(D$68-D$56)^2</f>
        <v>9.0380695085366914E-14</v>
      </c>
      <c r="E57" s="127">
        <f>(E$66-E$54)^2+(E$67-E$55)^2+(E$68-E$56)^2</f>
        <v>3.0477865965463654E-12</v>
      </c>
      <c r="F57" s="127">
        <f>(F$66-F$54)^2+(F$67-F$55)^2+(F$68-F$56)^2</f>
        <v>1.8809817245337768E-12</v>
      </c>
      <c r="G57" s="127">
        <f>(G$66-G$54)^2+(G$67-G$55)^2+(G$68-G$56)^2</f>
        <v>5.7411816000857969E-13</v>
      </c>
      <c r="H57" s="127">
        <f>(H$66-H$54)^2+(H$67-H$55)^2+(H$68-H$56)^2</f>
        <v>1.0526853399922608E-11</v>
      </c>
      <c r="I57" s="128" t="e">
        <f t="shared" ref="I57:K57" si="13">(I$54-I$66)^2+(I$55-I$67)^2+(I$56-I$68)^2</f>
        <v>#REF!</v>
      </c>
      <c r="J57" s="128" t="e">
        <f t="shared" si="13"/>
        <v>#REF!</v>
      </c>
      <c r="K57" s="128" t="e">
        <f t="shared" si="13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-3.1130173756292378E-3</v>
      </c>
      <c r="E60" s="80">
        <f>A_1*($E$22^2-E23^2)</f>
        <v>-2.8351958315340456E-3</v>
      </c>
      <c r="F60" s="80">
        <f t="shared" ref="F60:K62" si="14">A_1*(F$22^2-F23^2)</f>
        <v>-1.9823028231202816E-3</v>
      </c>
      <c r="G60" s="80">
        <f t="shared" si="14"/>
        <v>-3.4767595453968377E-4</v>
      </c>
      <c r="H60" s="80">
        <f t="shared" si="14"/>
        <v>2.4033647686503524E-3</v>
      </c>
      <c r="I60" s="80">
        <f t="shared" si="14"/>
        <v>-1.5470997696558767E-3</v>
      </c>
      <c r="J60" s="80">
        <f t="shared" si="14"/>
        <v>6.4573149834864655E-3</v>
      </c>
      <c r="K60" s="80">
        <f t="shared" si="14"/>
        <v>3.9125594545225302E-3</v>
      </c>
      <c r="L60" s="162" t="s">
        <v>96</v>
      </c>
    </row>
    <row r="61" spans="1:16" ht="18.75">
      <c r="B61" s="56" t="s">
        <v>88</v>
      </c>
      <c r="C61" s="57"/>
      <c r="D61" s="80">
        <f>A_1*($D$22^2-D24^2)</f>
        <v>-2.0577239964533526E-3</v>
      </c>
      <c r="E61" s="80">
        <f>A_1*($E$22^2-E24^2)</f>
        <v>-1.3553130468334292E-2</v>
      </c>
      <c r="F61" s="80">
        <f t="shared" si="14"/>
        <v>1.515420898874073E-3</v>
      </c>
      <c r="G61" s="80">
        <f t="shared" si="14"/>
        <v>-4.0388952752160451E-3</v>
      </c>
      <c r="H61" s="80">
        <f t="shared" si="14"/>
        <v>-8.9224140541350454E-3</v>
      </c>
      <c r="I61" s="80">
        <f t="shared" si="14"/>
        <v>3.6755526606819416E-4</v>
      </c>
      <c r="J61" s="80">
        <f t="shared" si="14"/>
        <v>8.9904093997263575E-3</v>
      </c>
      <c r="K61" s="80">
        <f t="shared" si="14"/>
        <v>5.7519203713529404E-3</v>
      </c>
      <c r="L61" s="162"/>
    </row>
    <row r="62" spans="1:16" ht="18.75">
      <c r="B62" s="56" t="s">
        <v>89</v>
      </c>
      <c r="C62" s="57"/>
      <c r="D62" s="80">
        <f>A_1*($D$22^2-D25^2)</f>
        <v>-1.5340946342520407E-2</v>
      </c>
      <c r="E62" s="80">
        <f>A_1*($E$22^2-E25^2)</f>
        <v>-6.512185503318244E-3</v>
      </c>
      <c r="F62" s="80">
        <f t="shared" si="14"/>
        <v>-2.0968168852382842E-3</v>
      </c>
      <c r="G62" s="80">
        <f t="shared" si="14"/>
        <v>5.2654206674487662E-3</v>
      </c>
      <c r="H62" s="80">
        <f t="shared" si="14"/>
        <v>2.475530560752079E-3</v>
      </c>
      <c r="I62" s="80">
        <f t="shared" si="14"/>
        <v>-5.0427555888347027E-3</v>
      </c>
      <c r="J62" s="80">
        <f t="shared" si="14"/>
        <v>1.0903380373299632E-2</v>
      </c>
      <c r="K62" s="80">
        <f t="shared" si="14"/>
        <v>3.2414351450327505E-3</v>
      </c>
      <c r="L62" s="162"/>
    </row>
    <row r="63" spans="1:16">
      <c r="B63" s="56" t="s">
        <v>86</v>
      </c>
      <c r="C63" s="58"/>
      <c r="D63" s="80">
        <f>A_2*(T_0*D$22-T_2*D23)</f>
        <v>3.6413749227317388E-3</v>
      </c>
      <c r="E63" s="80">
        <f>A_2*(T_0*$E$22-T_2*E23)</f>
        <v>-1.0649430881190209E-2</v>
      </c>
      <c r="F63" s="80">
        <f>A_2*(T_0*$F$22-T_2*F23)</f>
        <v>-1.852719897833981E-2</v>
      </c>
      <c r="G63" s="80">
        <f>A_2*(T_0*$G$22-T_2*G23)</f>
        <v>-5.3979428095152673E-2</v>
      </c>
      <c r="H63" s="80">
        <f>A_2*(T_0*$H$22-T_2*H23)</f>
        <v>-6.0788519973776801E-2</v>
      </c>
      <c r="I63" s="80">
        <f t="shared" ref="I63:K65" si="15">A_2*(THETA_0*I$22-THETA_1*I23)</f>
        <v>0</v>
      </c>
      <c r="J63" s="80">
        <f t="shared" si="15"/>
        <v>0</v>
      </c>
      <c r="K63" s="80">
        <f t="shared" si="15"/>
        <v>0</v>
      </c>
      <c r="L63" s="162"/>
    </row>
    <row r="64" spans="1:16">
      <c r="B64" s="56" t="s">
        <v>91</v>
      </c>
      <c r="C64" s="58" t="s">
        <v>27</v>
      </c>
      <c r="D64" s="80">
        <f>A_2*(T_0*D$22-T_3*D24)</f>
        <v>-1.6122463068470545E-2</v>
      </c>
      <c r="E64" s="80">
        <f>A_2*(T_0*$E$22-T_5*E24)</f>
        <v>-0.22128461379684902</v>
      </c>
      <c r="F64" s="80">
        <f>A_2*(T_0*$F$22-T_4*F24)</f>
        <v>-5.0830217249414909E-2</v>
      </c>
      <c r="G64" s="80">
        <f>A_2*(T_0*$G$22-T_3*G24)</f>
        <v>-7.4664369629833346E-2</v>
      </c>
      <c r="H64" s="80">
        <f>A_2*(T_0*$H$22-T_3*H24)</f>
        <v>-6.5898017275660567E-2</v>
      </c>
      <c r="I64" s="80">
        <f t="shared" si="15"/>
        <v>0</v>
      </c>
      <c r="J64" s="80">
        <f t="shared" si="15"/>
        <v>0</v>
      </c>
      <c r="K64" s="80">
        <f t="shared" si="15"/>
        <v>0</v>
      </c>
      <c r="L64" s="162"/>
    </row>
    <row r="65" spans="1:12">
      <c r="B65" s="56" t="s">
        <v>90</v>
      </c>
      <c r="C65" s="58"/>
      <c r="D65" s="80">
        <f>A_2*(T_0*D$22-T_4*D25)</f>
        <v>-9.5366895621529585E-2</v>
      </c>
      <c r="E65" s="80">
        <f>A_2*(T_0*$E$22-T_7*E25)</f>
        <v>2.3400789101006212E-2</v>
      </c>
      <c r="F65" s="80">
        <f>A_2*(T_0*$F$22-T_5*F25)</f>
        <v>-0.13681494814687647</v>
      </c>
      <c r="G65" s="80">
        <f>A_2*(T_0*$G$22-T_7*G25)</f>
        <v>-7.1960528533296861E-2</v>
      </c>
      <c r="H65" s="80">
        <f>A_2*(T_0*$H$22-T_5*H25)</f>
        <v>-0.16578799370954253</v>
      </c>
      <c r="I65" s="80">
        <f t="shared" si="15"/>
        <v>0</v>
      </c>
      <c r="J65" s="80">
        <f t="shared" si="15"/>
        <v>0</v>
      </c>
      <c r="K65" s="80">
        <f t="shared" si="15"/>
        <v>0</v>
      </c>
      <c r="L65" s="162"/>
    </row>
    <row r="66" spans="1:12">
      <c r="B66" t="s">
        <v>45</v>
      </c>
      <c r="C66" s="2"/>
      <c r="D66" s="55">
        <f>D13+D60+D63-J12</f>
        <v>0.54745506662384402</v>
      </c>
      <c r="E66" s="55">
        <f>D13+E60+E63-K12</f>
        <v>0.53344208236401736</v>
      </c>
      <c r="F66" s="55">
        <f>$D13+F60+F63-L12</f>
        <v>0.52641720727528152</v>
      </c>
      <c r="G66" s="55">
        <f>$D13+G60+G63-M12</f>
        <v>0.49259960502704919</v>
      </c>
      <c r="H66" s="55">
        <f t="shared" ref="H66" si="16">$D13+H60+H63-N12</f>
        <v>0.48854155387161508</v>
      </c>
      <c r="I66" s="72">
        <f t="shared" ref="I66:K68" si="17">$D$7+$G$7+I60+I63</f>
        <v>-1.5470997696558767E-3</v>
      </c>
      <c r="J66" s="72">
        <f t="shared" si="17"/>
        <v>6.4573149834864655E-3</v>
      </c>
      <c r="K66" s="72">
        <f t="shared" si="17"/>
        <v>3.9125594545225302E-3</v>
      </c>
      <c r="L66" s="162"/>
    </row>
    <row r="67" spans="1:12">
      <c r="B67" t="s">
        <v>43</v>
      </c>
      <c r="D67" s="55">
        <f>D14+D61+D64-J13</f>
        <v>1.2121465591696865</v>
      </c>
      <c r="E67" s="55">
        <f>D16+E61+E64-K13</f>
        <v>3.0575808565832081</v>
      </c>
      <c r="F67" s="55">
        <f>D15+F61+F64-L13</f>
        <v>1.573273583892314</v>
      </c>
      <c r="G67" s="55">
        <f>D14+G61+G64-M13</f>
        <v>1.1516234813295614</v>
      </c>
      <c r="H67" s="142">
        <f>D14+H61+H64-N13</f>
        <v>1.155506314904815</v>
      </c>
      <c r="I67" s="72">
        <f t="shared" si="17"/>
        <v>3.6755526606819416E-4</v>
      </c>
      <c r="J67" s="72">
        <f t="shared" si="17"/>
        <v>8.9904093997263575E-3</v>
      </c>
      <c r="K67" s="72">
        <f t="shared" si="17"/>
        <v>5.7519203713529404E-3</v>
      </c>
      <c r="L67" s="162"/>
    </row>
    <row r="68" spans="1:12">
      <c r="B68" t="s">
        <v>42</v>
      </c>
      <c r="C68" s="2"/>
      <c r="D68" s="55">
        <f>D15+D62+D65-J14</f>
        <v>1.5118805382788045</v>
      </c>
      <c r="E68" s="55">
        <f>D18+E62+E65-K14</f>
        <v>2.6023366601574249</v>
      </c>
      <c r="F68" s="55">
        <f>D16+F62+F65-L14</f>
        <v>3.1535068358162768</v>
      </c>
      <c r="G68" s="55">
        <f>D18+G62+G65-M14</f>
        <v>2.5187529486938889</v>
      </c>
      <c r="H68" s="142">
        <f>D16+H62+H65-N14</f>
        <v>3.1291061376996012</v>
      </c>
      <c r="I68" s="72">
        <f t="shared" si="17"/>
        <v>-5.0427555888347027E-3</v>
      </c>
      <c r="J68" s="72">
        <f t="shared" si="17"/>
        <v>1.0903380373299632E-2</v>
      </c>
      <c r="K68" s="72">
        <f t="shared" si="17"/>
        <v>3.2414351450327505E-3</v>
      </c>
      <c r="L68" s="162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61" t="s">
        <v>62</v>
      </c>
      <c r="B70" s="161"/>
      <c r="C70" s="161"/>
      <c r="D70" s="161"/>
      <c r="E70" s="161"/>
      <c r="F70" s="161"/>
      <c r="G70" s="161"/>
      <c r="H70" s="161"/>
      <c r="I70" s="161"/>
      <c r="J70" s="161"/>
      <c r="K70" s="161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61" t="s">
        <v>64</v>
      </c>
      <c r="B75" s="161"/>
      <c r="C75" s="161"/>
      <c r="D75" s="161"/>
      <c r="E75" s="161"/>
      <c r="F75" s="161"/>
      <c r="G75" s="161"/>
      <c r="H75" s="161"/>
      <c r="I75" s="161"/>
      <c r="J75" s="161"/>
      <c r="K75" s="161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1.7394225442122276E-2</v>
      </c>
      <c r="E77" s="32">
        <f>E26+E71</f>
        <v>-8.1316915439917842E-2</v>
      </c>
      <c r="F77" s="32">
        <f t="shared" ref="F77:G79" si="18">F26+F71</f>
        <v>-0.18579848718625816</v>
      </c>
      <c r="G77" s="32">
        <f t="shared" si="18"/>
        <v>8.5195650355251465E-2</v>
      </c>
      <c r="H77" s="104">
        <f>H26+$D$71</f>
        <v>0.21983447548348592</v>
      </c>
      <c r="I77" s="73">
        <f t="shared" ref="H77:K79" si="19">I26+$D$71</f>
        <v>-0.64147819789622496</v>
      </c>
      <c r="J77" s="73">
        <f t="shared" si="19"/>
        <v>-2.6436636559469484E-2</v>
      </c>
      <c r="K77" s="73">
        <f t="shared" si="19"/>
        <v>-1.0305960682470916E-2</v>
      </c>
    </row>
    <row r="78" spans="1:12">
      <c r="B78" s="26" t="s">
        <v>60</v>
      </c>
      <c r="C78" s="26" t="s">
        <v>27</v>
      </c>
      <c r="D78" s="32">
        <f t="shared" ref="D78:E79" si="20">D27+D72</f>
        <v>0.87190340089992857</v>
      </c>
      <c r="E78" s="32">
        <f t="shared" si="20"/>
        <v>1.0755957605158302</v>
      </c>
      <c r="F78" s="32">
        <f t="shared" si="18"/>
        <v>1.0190033908030607</v>
      </c>
      <c r="G78" s="32">
        <f t="shared" si="18"/>
        <v>1.0495745525058144</v>
      </c>
      <c r="H78" s="104">
        <f t="shared" si="19"/>
        <v>1.4333232401798957</v>
      </c>
      <c r="I78" s="73">
        <f t="shared" si="19"/>
        <v>4.8639647915487139E-2</v>
      </c>
      <c r="J78" s="73">
        <f t="shared" si="19"/>
        <v>-0.42478485919807984</v>
      </c>
      <c r="K78" s="73">
        <f t="shared" si="19"/>
        <v>5.2954891334215048E-2</v>
      </c>
    </row>
    <row r="79" spans="1:12">
      <c r="B79" s="26" t="s">
        <v>61</v>
      </c>
      <c r="C79" s="26"/>
      <c r="D79" s="32">
        <f t="shared" si="20"/>
        <v>0.7313056416266257</v>
      </c>
      <c r="E79" s="32">
        <f t="shared" si="20"/>
        <v>0.85706774829086085</v>
      </c>
      <c r="F79" s="32">
        <f t="shared" si="18"/>
        <v>0.98590824210815953</v>
      </c>
      <c r="G79" s="32">
        <f t="shared" si="18"/>
        <v>0.57823203023677694</v>
      </c>
      <c r="H79" s="104">
        <f t="shared" si="19"/>
        <v>0.41165878593620336</v>
      </c>
      <c r="I79" s="73">
        <f t="shared" si="19"/>
        <v>-0.12219530665103107</v>
      </c>
      <c r="J79" s="73">
        <f t="shared" si="19"/>
        <v>-0.2246402934383831</v>
      </c>
      <c r="K79" s="73">
        <f t="shared" si="19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61" t="s">
        <v>67</v>
      </c>
      <c r="B81" s="161"/>
      <c r="C81" s="161"/>
      <c r="D81" s="161"/>
      <c r="E81" s="161"/>
      <c r="F81" s="161"/>
      <c r="G81" s="161"/>
      <c r="H81" s="161"/>
      <c r="I81" s="161"/>
      <c r="J81" s="161"/>
      <c r="K81" s="161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63" t="s">
        <v>71</v>
      </c>
      <c r="C83" s="163"/>
      <c r="D83" s="38">
        <v>1.155</v>
      </c>
      <c r="E83" s="38">
        <v>1.155</v>
      </c>
      <c r="F83" s="38">
        <v>1.155</v>
      </c>
      <c r="G83" s="38">
        <v>1.155</v>
      </c>
      <c r="H83" s="38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59" t="s">
        <v>70</v>
      </c>
      <c r="C84" s="159"/>
      <c r="D84" s="36">
        <f>SQRT(D77^2+D78^2+D79^2)</f>
        <v>1.1381239128735163</v>
      </c>
      <c r="E84" s="106">
        <f t="shared" ref="E84:K84" si="21">SQRT(E77^2+E78^2+E79^2)</f>
        <v>1.3777096232285875</v>
      </c>
      <c r="F84" s="106">
        <f t="shared" si="21"/>
        <v>1.4300014161411305</v>
      </c>
      <c r="G84" s="106">
        <f t="shared" si="21"/>
        <v>1.2013398024285136</v>
      </c>
      <c r="H84" s="106">
        <f t="shared" si="21"/>
        <v>1.5073837147486249</v>
      </c>
      <c r="I84" s="75">
        <f t="shared" si="21"/>
        <v>0.65482195037511559</v>
      </c>
      <c r="J84" s="75">
        <f t="shared" si="21"/>
        <v>0.48125287925641846</v>
      </c>
      <c r="K84" s="75">
        <f t="shared" si="21"/>
        <v>0.1127001300653627</v>
      </c>
    </row>
    <row r="85" spans="1:19">
      <c r="B85" s="159" t="s">
        <v>69</v>
      </c>
      <c r="C85" s="159"/>
      <c r="D85" s="36">
        <f>D84-D83</f>
        <v>-1.6876087126483696E-2</v>
      </c>
      <c r="E85" s="106">
        <f t="shared" ref="E85:K85" si="22">E84-E83</f>
        <v>0.22270962322858745</v>
      </c>
      <c r="F85" s="106">
        <f t="shared" si="22"/>
        <v>0.27500141614113049</v>
      </c>
      <c r="G85" s="106">
        <f t="shared" si="22"/>
        <v>4.6339802428513543E-2</v>
      </c>
      <c r="H85" s="106">
        <f t="shared" si="22"/>
        <v>0.35238371474862484</v>
      </c>
      <c r="I85" s="75">
        <f t="shared" si="22"/>
        <v>-1.1961780496248844</v>
      </c>
      <c r="J85" s="75">
        <f t="shared" si="22"/>
        <v>-1.5737471207435818</v>
      </c>
      <c r="K85" s="75">
        <f t="shared" si="22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60" t="s">
        <v>68</v>
      </c>
      <c r="C86" s="160"/>
      <c r="D86" s="39">
        <f>1-D83/D84</f>
        <v>-1.48279874762276E-2</v>
      </c>
      <c r="E86" s="107">
        <f t="shared" ref="E86:K86" si="23">1-E83/E84</f>
        <v>0.16165207782078173</v>
      </c>
      <c r="F86" s="107">
        <f t="shared" si="23"/>
        <v>0.19230849217144408</v>
      </c>
      <c r="G86" s="107">
        <f t="shared" si="23"/>
        <v>3.857343470584873E-2</v>
      </c>
      <c r="H86" s="107">
        <f t="shared" si="23"/>
        <v>0.23377174059983075</v>
      </c>
      <c r="I86" s="76">
        <f t="shared" si="23"/>
        <v>-1.8267225906823255</v>
      </c>
      <c r="J86" s="76">
        <f t="shared" si="23"/>
        <v>-3.2701043226487725</v>
      </c>
      <c r="K86" s="76">
        <f t="shared" si="23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2.8480231670066874E-4</v>
      </c>
      <c r="E87" s="108">
        <f t="shared" ref="E87:K87" si="24">E85*E85</f>
        <v>4.9599576278619377E-2</v>
      </c>
      <c r="F87" s="108">
        <f t="shared" si="24"/>
        <v>7.5625778879627223E-2</v>
      </c>
      <c r="G87" s="108">
        <f t="shared" si="24"/>
        <v>2.1473772891136699E-3</v>
      </c>
      <c r="H87" s="108">
        <f t="shared" si="24"/>
        <v>0.12417428242004021</v>
      </c>
      <c r="I87" s="77">
        <f t="shared" si="24"/>
        <v>1.4308419264043923</v>
      </c>
      <c r="J87" s="77">
        <f t="shared" si="24"/>
        <v>2.4766800000487139</v>
      </c>
      <c r="K87" s="77">
        <f t="shared" si="24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25">D91-$C91</f>
        <v>-1.253875629566908</v>
      </c>
      <c r="N91" s="35">
        <f t="shared" si="25"/>
        <v>1.0419123890112216</v>
      </c>
      <c r="O91" s="35">
        <f t="shared" si="25"/>
        <v>-1.4028471761352286</v>
      </c>
      <c r="P91" s="35">
        <f t="shared" si="25"/>
        <v>1.4421025939282253</v>
      </c>
      <c r="Q91" s="35">
        <f t="shared" si="25"/>
        <v>-1.0351585166444344</v>
      </c>
      <c r="R91" s="35">
        <f t="shared" si="25"/>
        <v>0.58367185674448252</v>
      </c>
      <c r="S91" s="35">
        <f t="shared" si="25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25"/>
        <v>-3.2592166127769939E-2</v>
      </c>
      <c r="N92" s="35">
        <f t="shared" si="25"/>
        <v>-4.0818532431212473E-2</v>
      </c>
      <c r="O92" s="35">
        <f t="shared" si="25"/>
        <v>0.814665459345566</v>
      </c>
      <c r="P92" s="35">
        <f t="shared" si="25"/>
        <v>1.0431877148697888</v>
      </c>
      <c r="Q92" s="35">
        <f t="shared" si="25"/>
        <v>2.1037449841221099</v>
      </c>
      <c r="R92" s="35">
        <f t="shared" si="25"/>
        <v>2.0841504898711007</v>
      </c>
      <c r="S92" s="35">
        <f t="shared" si="25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25"/>
        <v>0.73934661383723232</v>
      </c>
      <c r="N93" s="35">
        <f t="shared" si="25"/>
        <v>0.77248383184656022</v>
      </c>
      <c r="O93" s="35">
        <f t="shared" si="25"/>
        <v>0.7195871750303805</v>
      </c>
      <c r="P93" s="35">
        <f t="shared" si="25"/>
        <v>0.78932433807079116</v>
      </c>
      <c r="Q93" s="35">
        <f t="shared" si="25"/>
        <v>0.82913701269133588</v>
      </c>
      <c r="R93" s="35">
        <f t="shared" si="25"/>
        <v>0.75171422039661484</v>
      </c>
      <c r="S93" s="35">
        <f t="shared" si="25"/>
        <v>6.368425350466822E-2</v>
      </c>
    </row>
    <row r="94" spans="1:19">
      <c r="E94" s="2"/>
      <c r="F94" s="2"/>
    </row>
    <row r="95" spans="1:19">
      <c r="A95" s="2"/>
      <c r="B95" s="5"/>
      <c r="C95" s="79">
        <f>L$101-L$99</f>
        <v>1.0419123890112216</v>
      </c>
      <c r="D95" s="79">
        <f t="shared" ref="D95:E95" si="26">M$101-M$99</f>
        <v>-4.0818532431212473E-2</v>
      </c>
      <c r="E95" s="85">
        <f t="shared" si="26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27">SQRT(N91^2+N92^2+N93^2)</f>
        <v>1.2976821064610753</v>
      </c>
      <c r="O95" s="35">
        <f t="shared" si="27"/>
        <v>1.7746734101545305</v>
      </c>
      <c r="P95" s="35">
        <f t="shared" si="27"/>
        <v>1.9470319490292554</v>
      </c>
      <c r="Q95" s="35">
        <f t="shared" si="27"/>
        <v>2.4869186353025614</v>
      </c>
      <c r="R95" s="35">
        <f t="shared" si="27"/>
        <v>2.2911635406343196</v>
      </c>
      <c r="S95" s="35">
        <f t="shared" si="27"/>
        <v>2.3677593547081863</v>
      </c>
    </row>
    <row r="96" spans="1:19">
      <c r="A96" s="2" t="s">
        <v>129</v>
      </c>
      <c r="B96" s="5" t="s">
        <v>27</v>
      </c>
      <c r="C96" s="79">
        <f>L$102-L$99</f>
        <v>-1.4028471761352286</v>
      </c>
      <c r="D96" s="79">
        <f t="shared" ref="D96:E96" si="28">M$102-M$99</f>
        <v>0.814665459345566</v>
      </c>
      <c r="E96" s="85">
        <f t="shared" si="28"/>
        <v>0.7195871750303805</v>
      </c>
      <c r="J96" s="79"/>
    </row>
    <row r="97" spans="1:14">
      <c r="A97" s="2"/>
      <c r="B97" s="5"/>
      <c r="C97" s="79">
        <f>L$103-L$99</f>
        <v>1.4421025939282253</v>
      </c>
      <c r="D97" s="79">
        <f t="shared" ref="D97:E97" si="29">M$103-M$99</f>
        <v>1.0431877148697888</v>
      </c>
      <c r="E97" s="85">
        <f t="shared" si="29"/>
        <v>0.78932433807079116</v>
      </c>
      <c r="J97" s="79"/>
    </row>
    <row r="98" spans="1:14">
      <c r="A98" s="2"/>
      <c r="L98" t="s">
        <v>56</v>
      </c>
      <c r="M98" t="s">
        <v>57</v>
      </c>
      <c r="N98" t="s">
        <v>58</v>
      </c>
    </row>
    <row r="99" spans="1:14">
      <c r="A99" s="2"/>
      <c r="B99" s="5"/>
      <c r="C99" s="79">
        <f>L$101-L$99</f>
        <v>1.0419123890112216</v>
      </c>
      <c r="D99" s="79">
        <f t="shared" ref="D99:E99" si="30">M$101-M$99</f>
        <v>-4.0818532431212473E-2</v>
      </c>
      <c r="E99" s="85">
        <f t="shared" si="30"/>
        <v>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s="2" t="s">
        <v>166</v>
      </c>
      <c r="B100" s="5" t="s">
        <v>27</v>
      </c>
      <c r="C100" s="79">
        <f>L$104-L$99</f>
        <v>-1.0351585166444344</v>
      </c>
      <c r="D100" s="79">
        <f t="shared" ref="D100:E100" si="31">M$104-M$99</f>
        <v>2.1037449841221099</v>
      </c>
      <c r="E100" s="85">
        <f t="shared" si="31"/>
        <v>0.82913701269133588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A101" s="2"/>
      <c r="B101" s="5"/>
      <c r="C101" s="79">
        <f>L$106-L$99</f>
        <v>-2.5457845528396139E-2</v>
      </c>
      <c r="D101" s="79">
        <f t="shared" ref="D101:E101" si="32">M$106-M$99</f>
        <v>2.3667658472617719</v>
      </c>
      <c r="E101" s="85">
        <f t="shared" si="32"/>
        <v>6.368425350466822E-2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A102" s="2"/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A103" s="2"/>
      <c r="B103" s="5"/>
      <c r="C103" s="79">
        <f>L$101-L$99</f>
        <v>1.0419123890112216</v>
      </c>
      <c r="D103" s="79">
        <f t="shared" ref="D103:E103" si="33">M$101-M$99</f>
        <v>-4.0818532431212473E-2</v>
      </c>
      <c r="E103" s="85">
        <f t="shared" si="33"/>
        <v>0.77248383184656022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s="2" t="s">
        <v>167</v>
      </c>
      <c r="B104" s="5" t="s">
        <v>27</v>
      </c>
      <c r="C104" s="79">
        <f>L$103-L$99</f>
        <v>1.4421025939282253</v>
      </c>
      <c r="D104" s="79">
        <f t="shared" ref="D104:E104" si="34">M$103-M$99</f>
        <v>1.0431877148697888</v>
      </c>
      <c r="E104" s="85">
        <f t="shared" si="34"/>
        <v>0.78932433807079116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A105" s="2"/>
      <c r="B105" s="5"/>
      <c r="C105" s="79">
        <f>L$104-L$99</f>
        <v>-1.0351585166444344</v>
      </c>
      <c r="D105" s="79">
        <f t="shared" ref="D105:E105" si="35">M$104-M$99</f>
        <v>2.1037449841221099</v>
      </c>
      <c r="E105" s="85">
        <f t="shared" si="35"/>
        <v>0.82913701269133588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A106" s="2"/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A107" s="2"/>
      <c r="B107" s="5"/>
      <c r="C107" s="79">
        <f>L$101-L$99</f>
        <v>1.0419123890112216</v>
      </c>
      <c r="D107" s="79">
        <f t="shared" ref="D107:E107" si="36">M$101-M$99</f>
        <v>-4.0818532431212473E-2</v>
      </c>
      <c r="E107" s="85">
        <f t="shared" si="36"/>
        <v>0.77248383184656022</v>
      </c>
    </row>
    <row r="108" spans="1:14">
      <c r="A108" s="2" t="s">
        <v>168</v>
      </c>
      <c r="B108" s="5" t="s">
        <v>27</v>
      </c>
      <c r="C108" s="79">
        <f>L$102-L$99</f>
        <v>-1.4028471761352286</v>
      </c>
      <c r="D108" s="79">
        <f t="shared" ref="D108:E108" si="37">M$102-M$99</f>
        <v>0.814665459345566</v>
      </c>
      <c r="E108" s="85">
        <f t="shared" si="37"/>
        <v>0.7195871750303805</v>
      </c>
    </row>
    <row r="109" spans="1:14">
      <c r="A109" s="2"/>
      <c r="B109" s="5"/>
      <c r="C109" s="79">
        <f>L$106-L$99</f>
        <v>-2.5457845528396139E-2</v>
      </c>
      <c r="D109" s="79">
        <f t="shared" ref="D109:E109" si="38">M$106-M$99</f>
        <v>2.3667658472617719</v>
      </c>
      <c r="E109" s="85">
        <f t="shared" si="38"/>
        <v>6.368425350466822E-2</v>
      </c>
    </row>
    <row r="110" spans="1:14">
      <c r="A110" s="2"/>
    </row>
    <row r="111" spans="1:14">
      <c r="A111" s="2"/>
      <c r="B111" s="5"/>
      <c r="C111" s="79">
        <f>L$101-L$99</f>
        <v>1.0419123890112216</v>
      </c>
      <c r="D111" s="79">
        <f t="shared" ref="D111:E111" si="39">M$101-M$99</f>
        <v>-4.0818532431212473E-2</v>
      </c>
      <c r="E111" s="85">
        <f t="shared" si="39"/>
        <v>0.77248383184656022</v>
      </c>
    </row>
    <row r="112" spans="1:14">
      <c r="A112" s="2" t="s">
        <v>169</v>
      </c>
      <c r="B112" s="5" t="s">
        <v>27</v>
      </c>
      <c r="C112" s="79">
        <f>L$102-L$99</f>
        <v>-1.4028471761352286</v>
      </c>
      <c r="D112" s="79">
        <f t="shared" ref="D112:E112" si="40">M$102-M$99</f>
        <v>0.814665459345566</v>
      </c>
      <c r="E112" s="85">
        <f t="shared" si="40"/>
        <v>0.7195871750303805</v>
      </c>
    </row>
    <row r="113" spans="1:13">
      <c r="A113" s="2"/>
      <c r="C113" s="79">
        <f>L$104-L$99</f>
        <v>-1.0351585166444344</v>
      </c>
      <c r="D113" s="79">
        <f t="shared" ref="D113:E113" si="41">M$104-M$99</f>
        <v>2.1037449841221099</v>
      </c>
      <c r="E113" s="85">
        <f t="shared" si="41"/>
        <v>0.82913701269133588</v>
      </c>
    </row>
    <row r="114" spans="1:13">
      <c r="B114" s="2"/>
      <c r="C114" s="148"/>
      <c r="D114" s="148"/>
      <c r="E114" s="148"/>
      <c r="F114" s="2"/>
    </row>
    <row r="115" spans="1:13">
      <c r="B115" s="2"/>
      <c r="C115" s="148"/>
      <c r="D115" s="148"/>
      <c r="E115" s="148"/>
      <c r="F115" s="2"/>
    </row>
    <row r="117" spans="1:13">
      <c r="A117" s="23" t="s">
        <v>143</v>
      </c>
    </row>
    <row r="118" spans="1:13">
      <c r="B118" s="92">
        <v>0</v>
      </c>
      <c r="C118" s="117">
        <v>1</v>
      </c>
      <c r="D118" s="149">
        <v>2</v>
      </c>
      <c r="E118" s="149">
        <v>3</v>
      </c>
      <c r="F118" s="149">
        <v>4</v>
      </c>
      <c r="G118" s="153">
        <v>5</v>
      </c>
      <c r="H118" s="120">
        <v>6</v>
      </c>
      <c r="I118" s="155">
        <v>7</v>
      </c>
    </row>
    <row r="119" spans="1:13">
      <c r="B119" s="94">
        <f>C91-$C91</f>
        <v>0</v>
      </c>
      <c r="C119" s="118">
        <f>D91-$C91</f>
        <v>-1.253875629566908</v>
      </c>
      <c r="D119" s="150">
        <f t="shared" ref="D119:I121" si="42">E91-$C91</f>
        <v>1.0419123890112216</v>
      </c>
      <c r="E119" s="150">
        <f t="shared" si="42"/>
        <v>-1.4028471761352286</v>
      </c>
      <c r="F119" s="150">
        <f t="shared" si="42"/>
        <v>1.4421025939282253</v>
      </c>
      <c r="G119" s="154">
        <f t="shared" si="42"/>
        <v>-1.0351585166444344</v>
      </c>
      <c r="H119" s="118">
        <f t="shared" si="42"/>
        <v>0.58367185674448252</v>
      </c>
      <c r="I119" s="156">
        <f t="shared" si="42"/>
        <v>-2.5457845528396139E-2</v>
      </c>
      <c r="K119" s="99" t="s">
        <v>147</v>
      </c>
    </row>
    <row r="120" spans="1:13">
      <c r="B120" s="94">
        <f t="shared" ref="B120:C121" si="43">C92-$C92</f>
        <v>0</v>
      </c>
      <c r="C120" s="118">
        <f t="shared" si="43"/>
        <v>-3.2592166127769939E-2</v>
      </c>
      <c r="D120" s="150">
        <f t="shared" si="42"/>
        <v>-4.0818532431212473E-2</v>
      </c>
      <c r="E120" s="150">
        <f t="shared" si="42"/>
        <v>0.814665459345566</v>
      </c>
      <c r="F120" s="150">
        <f t="shared" si="42"/>
        <v>1.0431877148697888</v>
      </c>
      <c r="G120" s="154">
        <f t="shared" si="42"/>
        <v>2.1037449841221099</v>
      </c>
      <c r="H120" s="121">
        <f t="shared" si="42"/>
        <v>2.0841504898711007</v>
      </c>
      <c r="I120" s="156">
        <f t="shared" si="42"/>
        <v>2.3667658472617719</v>
      </c>
      <c r="K120" s="100" t="s">
        <v>148</v>
      </c>
    </row>
    <row r="121" spans="1:13">
      <c r="B121" s="94">
        <f t="shared" si="43"/>
        <v>0</v>
      </c>
      <c r="C121" s="118">
        <f t="shared" si="43"/>
        <v>0.73934661383723232</v>
      </c>
      <c r="D121" s="150">
        <f t="shared" si="42"/>
        <v>0.77248383184656022</v>
      </c>
      <c r="E121" s="150">
        <f t="shared" si="42"/>
        <v>0.7195871750303805</v>
      </c>
      <c r="F121" s="150">
        <f t="shared" si="42"/>
        <v>0.78932433807079116</v>
      </c>
      <c r="G121" s="154">
        <f t="shared" si="42"/>
        <v>0.82913701269133588</v>
      </c>
      <c r="H121" s="118">
        <f t="shared" si="42"/>
        <v>0.75171422039661484</v>
      </c>
      <c r="I121" s="156">
        <f t="shared" si="42"/>
        <v>6.368425350466822E-2</v>
      </c>
      <c r="K121" s="101" t="s">
        <v>149</v>
      </c>
    </row>
    <row r="122" spans="1:13">
      <c r="C122" s="119"/>
      <c r="D122" s="151"/>
      <c r="E122" s="151"/>
      <c r="F122" s="151"/>
      <c r="G122" s="151"/>
      <c r="H122" s="119"/>
      <c r="I122" s="151"/>
    </row>
    <row r="123" spans="1:13">
      <c r="A123" s="16" t="s">
        <v>128</v>
      </c>
      <c r="B123" s="96">
        <f>SQRT(B119^2+B120^2+B121^2)</f>
        <v>0</v>
      </c>
      <c r="C123" s="97">
        <v>0</v>
      </c>
      <c r="D123" s="152">
        <f t="shared" ref="D123:I123" si="44">SQRT(D119^2+D120^2+D121^2)</f>
        <v>1.2976821064610753</v>
      </c>
      <c r="E123" s="152">
        <f t="shared" si="44"/>
        <v>1.7746734101545305</v>
      </c>
      <c r="F123" s="152">
        <f t="shared" si="44"/>
        <v>1.9470319490292554</v>
      </c>
      <c r="G123" s="152">
        <f t="shared" si="44"/>
        <v>2.4869186353025614</v>
      </c>
      <c r="H123" s="97">
        <v>0</v>
      </c>
      <c r="I123" s="152">
        <f t="shared" si="44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45">E91-$E91</f>
        <v>0</v>
      </c>
      <c r="E126" s="95">
        <f t="shared" si="45"/>
        <v>-2.44475956514645</v>
      </c>
      <c r="F126" s="95">
        <f t="shared" si="45"/>
        <v>0.40019020491700363</v>
      </c>
      <c r="G126" s="123">
        <f t="shared" si="45"/>
        <v>-2.0770709056556558</v>
      </c>
      <c r="H126" s="118">
        <f t="shared" si="45"/>
        <v>-0.45824053226673911</v>
      </c>
      <c r="I126" s="123">
        <f t="shared" si="45"/>
        <v>-1.0673702345396179</v>
      </c>
    </row>
    <row r="127" spans="1:13">
      <c r="B127" s="95">
        <f t="shared" ref="B127:I128" si="46">C92-$E92</f>
        <v>4.0818532431212473E-2</v>
      </c>
      <c r="C127" s="118">
        <f t="shared" si="46"/>
        <v>8.2263663034425338E-3</v>
      </c>
      <c r="D127" s="94">
        <f t="shared" si="46"/>
        <v>0</v>
      </c>
      <c r="E127" s="95">
        <f t="shared" si="46"/>
        <v>0.85548399177677847</v>
      </c>
      <c r="F127" s="95">
        <f t="shared" si="46"/>
        <v>1.0840062473010013</v>
      </c>
      <c r="G127" s="123">
        <f t="shared" si="46"/>
        <v>2.1445635165533226</v>
      </c>
      <c r="H127" s="118">
        <f t="shared" si="46"/>
        <v>2.124969022302313</v>
      </c>
      <c r="I127" s="123">
        <f t="shared" si="46"/>
        <v>2.4075843796929846</v>
      </c>
    </row>
    <row r="128" spans="1:13">
      <c r="B128" s="95">
        <f t="shared" si="46"/>
        <v>-0.77248383184656022</v>
      </c>
      <c r="C128" s="118">
        <f t="shared" si="46"/>
        <v>-3.3137218009327896E-2</v>
      </c>
      <c r="D128" s="94">
        <f t="shared" si="46"/>
        <v>0</v>
      </c>
      <c r="E128" s="95">
        <f t="shared" si="46"/>
        <v>-5.2896656816179721E-2</v>
      </c>
      <c r="F128" s="95">
        <f t="shared" si="46"/>
        <v>1.6840506224230944E-2</v>
      </c>
      <c r="G128" s="123">
        <f t="shared" si="46"/>
        <v>5.6653180844775664E-2</v>
      </c>
      <c r="H128" s="118">
        <f t="shared" si="46"/>
        <v>-2.076961144994538E-2</v>
      </c>
      <c r="I128" s="123">
        <f t="shared" si="46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47">SQRT(C126^2+C127^2+C128^2)</f>
        <v>2.2960418930339337</v>
      </c>
      <c r="D130" s="96">
        <f t="shared" si="47"/>
        <v>0</v>
      </c>
      <c r="E130" s="98">
        <f t="shared" si="47"/>
        <v>2.5906563353451029</v>
      </c>
      <c r="F130" s="98">
        <f t="shared" si="47"/>
        <v>1.1556406651502886</v>
      </c>
      <c r="G130" s="134">
        <f t="shared" si="47"/>
        <v>2.9860652716497325</v>
      </c>
      <c r="H130" s="97">
        <f t="shared" si="47"/>
        <v>2.1739156165583644</v>
      </c>
      <c r="I130" s="134">
        <f t="shared" si="47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:I135" si="48">C91-$F91</f>
        <v>1.4028471761352286</v>
      </c>
      <c r="C133" s="118">
        <f>D91-$F91</f>
        <v>0.14897154656832046</v>
      </c>
      <c r="D133" s="95">
        <f t="shared" ref="D133:I133" si="49">E91-$F91</f>
        <v>2.44475956514645</v>
      </c>
      <c r="E133" s="94">
        <f t="shared" si="49"/>
        <v>0</v>
      </c>
      <c r="F133" s="95">
        <f t="shared" si="49"/>
        <v>2.8449497700634536</v>
      </c>
      <c r="G133" s="123">
        <f t="shared" si="49"/>
        <v>0.36768865949079421</v>
      </c>
      <c r="H133" s="118">
        <f t="shared" si="49"/>
        <v>1.9865190328797109</v>
      </c>
      <c r="I133" s="123">
        <f t="shared" si="49"/>
        <v>1.3773893306068323</v>
      </c>
    </row>
    <row r="134" spans="1:13">
      <c r="B134" s="95">
        <f t="shared" si="48"/>
        <v>-0.814665459345566</v>
      </c>
      <c r="C134" s="118">
        <f t="shared" si="48"/>
        <v>-0.84725762547333594</v>
      </c>
      <c r="D134" s="95">
        <f t="shared" si="48"/>
        <v>-0.85548399177677847</v>
      </c>
      <c r="E134" s="94">
        <f t="shared" si="48"/>
        <v>0</v>
      </c>
      <c r="F134" s="95">
        <f t="shared" si="48"/>
        <v>0.22852225552422287</v>
      </c>
      <c r="G134" s="123">
        <f t="shared" si="48"/>
        <v>1.2890795247765441</v>
      </c>
      <c r="H134" s="118">
        <f t="shared" si="48"/>
        <v>1.2694850305255347</v>
      </c>
      <c r="I134" s="123">
        <f t="shared" si="48"/>
        <v>1.5521003879162059</v>
      </c>
    </row>
    <row r="135" spans="1:13">
      <c r="B135" s="95">
        <f t="shared" si="48"/>
        <v>-0.7195871750303805</v>
      </c>
      <c r="C135" s="118">
        <f t="shared" si="48"/>
        <v>1.9759438806851826E-2</v>
      </c>
      <c r="D135" s="95">
        <f t="shared" si="48"/>
        <v>5.2896656816179721E-2</v>
      </c>
      <c r="E135" s="94">
        <f t="shared" si="48"/>
        <v>0</v>
      </c>
      <c r="F135" s="95">
        <f t="shared" si="48"/>
        <v>6.9737163040410666E-2</v>
      </c>
      <c r="G135" s="123">
        <f t="shared" si="48"/>
        <v>0.10954983766095538</v>
      </c>
      <c r="H135" s="118">
        <f t="shared" si="48"/>
        <v>3.2127045366234341E-2</v>
      </c>
      <c r="I135" s="123">
        <f t="shared" si="48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50">SQRT(C133^2+C134^2+C135^2)</f>
        <v>0.86048151696107611</v>
      </c>
      <c r="D137" s="98">
        <f t="shared" si="50"/>
        <v>2.5906563353451029</v>
      </c>
      <c r="E137" s="96">
        <f t="shared" si="50"/>
        <v>0</v>
      </c>
      <c r="F137" s="98">
        <f t="shared" si="50"/>
        <v>2.8549649537889077</v>
      </c>
      <c r="G137" s="134">
        <f t="shared" si="50"/>
        <v>1.3449617609611804</v>
      </c>
      <c r="H137" s="97">
        <f t="shared" si="50"/>
        <v>2.3577281984498817</v>
      </c>
      <c r="I137" s="134">
        <f t="shared" si="5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51">D91-$G91</f>
        <v>-2.6959782234951333</v>
      </c>
      <c r="D140" s="95">
        <f t="shared" si="51"/>
        <v>-0.40019020491700363</v>
      </c>
      <c r="E140" s="95">
        <f t="shared" si="51"/>
        <v>-2.8449497700634536</v>
      </c>
      <c r="F140" s="94">
        <f t="shared" si="51"/>
        <v>0</v>
      </c>
      <c r="G140" s="123">
        <f t="shared" si="51"/>
        <v>-2.4772611105726594</v>
      </c>
      <c r="H140" s="118">
        <f t="shared" si="51"/>
        <v>-0.85843073718374274</v>
      </c>
      <c r="I140" s="123">
        <f t="shared" si="51"/>
        <v>-1.4675604394566215</v>
      </c>
    </row>
    <row r="141" spans="1:13">
      <c r="B141" s="95">
        <f t="shared" ref="B141:I142" si="52">C92-$G92</f>
        <v>-1.0431877148697888</v>
      </c>
      <c r="C141" s="118">
        <f t="shared" si="52"/>
        <v>-1.0757798809975587</v>
      </c>
      <c r="D141" s="95">
        <f t="shared" si="52"/>
        <v>-1.0840062473010013</v>
      </c>
      <c r="E141" s="95">
        <f t="shared" si="52"/>
        <v>-0.22852225552422287</v>
      </c>
      <c r="F141" s="94">
        <f t="shared" si="52"/>
        <v>0</v>
      </c>
      <c r="G141" s="123">
        <f t="shared" si="52"/>
        <v>1.0605572692523213</v>
      </c>
      <c r="H141" s="118">
        <f t="shared" si="52"/>
        <v>1.040962775001312</v>
      </c>
      <c r="I141" s="123">
        <f t="shared" si="52"/>
        <v>1.3235781323919831</v>
      </c>
    </row>
    <row r="142" spans="1:13">
      <c r="B142" s="95">
        <f t="shared" si="52"/>
        <v>-0.78932433807079116</v>
      </c>
      <c r="C142" s="118">
        <f t="shared" si="52"/>
        <v>-4.997772423355884E-2</v>
      </c>
      <c r="D142" s="95">
        <f t="shared" si="52"/>
        <v>-1.6840506224230944E-2</v>
      </c>
      <c r="E142" s="95">
        <f t="shared" si="52"/>
        <v>-6.9737163040410666E-2</v>
      </c>
      <c r="F142" s="94">
        <f t="shared" si="52"/>
        <v>0</v>
      </c>
      <c r="G142" s="123">
        <f t="shared" si="52"/>
        <v>3.9812674620544719E-2</v>
      </c>
      <c r="H142" s="118">
        <f t="shared" si="52"/>
        <v>-3.7610117674176324E-2</v>
      </c>
      <c r="I142" s="123">
        <f t="shared" si="5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53">SQRT(C140^2+C141^2+C142^2)</f>
        <v>2.9031187896534068</v>
      </c>
      <c r="D144" s="98">
        <f t="shared" si="53"/>
        <v>1.1556406651502886</v>
      </c>
      <c r="E144" s="98">
        <f t="shared" si="53"/>
        <v>2.8549649537889077</v>
      </c>
      <c r="F144" s="96">
        <f t="shared" si="53"/>
        <v>0</v>
      </c>
      <c r="G144" s="134">
        <f t="shared" si="53"/>
        <v>2.6950304971150265</v>
      </c>
      <c r="H144" s="97">
        <f t="shared" si="53"/>
        <v>1.3497856683309841</v>
      </c>
      <c r="I144" s="134">
        <f t="shared" si="5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>
        <v>1.8584150748580277</v>
      </c>
      <c r="F149" s="35"/>
      <c r="G149" s="35">
        <v>-30.441860465116278</v>
      </c>
      <c r="H149">
        <v>4.1095573256748086</v>
      </c>
      <c r="I149" s="35"/>
    </row>
    <row r="150" spans="1:9">
      <c r="A150" s="112" t="s">
        <v>121</v>
      </c>
      <c r="B150" s="146"/>
      <c r="C150" s="146" t="e">
        <f t="shared" ref="C150:C156" si="54">$B$158/$D150</f>
        <v>#DIV/0!</v>
      </c>
      <c r="D150" s="112"/>
      <c r="E150" t="e">
        <v>#DIV/0!</v>
      </c>
      <c r="F150" s="91"/>
      <c r="G150" s="146"/>
      <c r="H150" t="e">
        <v>#DIV/0!</v>
      </c>
      <c r="I150" s="35"/>
    </row>
    <row r="151" spans="1:9">
      <c r="A151" t="s">
        <v>122</v>
      </c>
      <c r="B151" s="35">
        <v>-12.232758620689655</v>
      </c>
      <c r="C151" s="35">
        <f t="shared" si="54"/>
        <v>-8.1747709654686404E-2</v>
      </c>
      <c r="D151">
        <v>-12.232758620689655</v>
      </c>
      <c r="E151">
        <v>-3.3309859154929575</v>
      </c>
      <c r="F151" s="35"/>
      <c r="G151" s="35">
        <v>-12.232758620689655</v>
      </c>
      <c r="H151">
        <v>2.4604392409065263</v>
      </c>
      <c r="I151" s="35"/>
    </row>
    <row r="152" spans="1:9">
      <c r="A152" t="s">
        <v>123</v>
      </c>
      <c r="B152" s="35">
        <v>-4.4375</v>
      </c>
      <c r="C152" s="35">
        <f t="shared" si="54"/>
        <v>-0.22535211267605634</v>
      </c>
      <c r="D152">
        <v>-4.4375</v>
      </c>
      <c r="E152">
        <v>12.909090909090908</v>
      </c>
      <c r="G152" s="35">
        <v>-4.4375</v>
      </c>
      <c r="H152">
        <v>3.3477753334927605</v>
      </c>
    </row>
    <row r="153" spans="1:9">
      <c r="A153" t="s">
        <v>127</v>
      </c>
      <c r="B153" s="35">
        <v>14.42443729903537</v>
      </c>
      <c r="C153" s="35">
        <f t="shared" si="54"/>
        <v>6.9326794471689698E-2</v>
      </c>
      <c r="D153">
        <v>14.42443729903537</v>
      </c>
      <c r="E153">
        <v>-1.0114994363021421</v>
      </c>
      <c r="G153" s="35">
        <v>14.42443729903537</v>
      </c>
      <c r="H153">
        <v>5.0708347197717192</v>
      </c>
    </row>
    <row r="154" spans="1:9">
      <c r="A154" t="s">
        <v>126</v>
      </c>
      <c r="B154">
        <v>38.125</v>
      </c>
      <c r="C154">
        <f t="shared" si="54"/>
        <v>2.6229508196721311E-2</v>
      </c>
      <c r="D154">
        <v>38.125</v>
      </c>
      <c r="E154">
        <v>-1.2973122919492048</v>
      </c>
      <c r="G154">
        <v>38.125</v>
      </c>
      <c r="H154">
        <v>5.160303901811746</v>
      </c>
    </row>
    <row r="155" spans="1:9">
      <c r="A155" s="112" t="s">
        <v>125</v>
      </c>
      <c r="B155" s="146"/>
      <c r="C155" s="146" t="e">
        <f t="shared" si="54"/>
        <v>#DIV/0!</v>
      </c>
      <c r="D155" s="112"/>
      <c r="E155" t="e">
        <v>#DIV/0!</v>
      </c>
      <c r="G155" s="146"/>
      <c r="H155" t="e">
        <v>#DIV/0!</v>
      </c>
    </row>
    <row r="156" spans="1:9">
      <c r="A156" t="s">
        <v>124</v>
      </c>
      <c r="B156" s="35">
        <v>-18.798816568047336</v>
      </c>
      <c r="C156" s="35">
        <f t="shared" si="54"/>
        <v>-5.3194837897387479E-2</v>
      </c>
      <c r="D156">
        <v>-18.798816568047336</v>
      </c>
      <c r="E156">
        <v>0.61911721718795665</v>
      </c>
      <c r="G156" s="35">
        <v>-18.798816568047336</v>
      </c>
      <c r="H156">
        <v>4.4869829849289369</v>
      </c>
    </row>
    <row r="158" spans="1:9">
      <c r="B158">
        <v>1</v>
      </c>
    </row>
  </sheetData>
  <mergeCells count="11">
    <mergeCell ref="A81:K81"/>
    <mergeCell ref="B83:C83"/>
    <mergeCell ref="B84:C84"/>
    <mergeCell ref="B85:C85"/>
    <mergeCell ref="B86:C86"/>
    <mergeCell ref="A75:K75"/>
    <mergeCell ref="A1:K1"/>
    <mergeCell ref="L22:L28"/>
    <mergeCell ref="A30:K30"/>
    <mergeCell ref="L60:L68"/>
    <mergeCell ref="A70:K70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8"/>
  <dimension ref="A3:P36"/>
  <sheetViews>
    <sheetView tabSelected="1" topLeftCell="A4" workbookViewId="0">
      <selection activeCell="J14" sqref="J14"/>
    </sheetView>
  </sheetViews>
  <sheetFormatPr baseColWidth="10" defaultRowHeight="15"/>
  <cols>
    <col min="2" max="2" width="12.7109375" bestFit="1" customWidth="1"/>
    <col min="3" max="3" width="12" bestFit="1" customWidth="1"/>
    <col min="4" max="4" width="12.7109375" bestFit="1" customWidth="1"/>
    <col min="5" max="5" width="12.85546875" bestFit="1" customWidth="1"/>
    <col min="6" max="6" width="12.140625" bestFit="1" customWidth="1"/>
    <col min="7" max="9" width="12.85546875" bestFit="1" customWidth="1"/>
    <col min="10" max="10" width="12" bestFit="1" customWidth="1"/>
    <col min="12" max="12" width="14.85546875" bestFit="1" customWidth="1"/>
    <col min="18" max="20" width="11.5703125" bestFit="1" customWidth="1"/>
    <col min="21" max="21" width="12.7109375" bestFit="1" customWidth="1"/>
    <col min="22" max="22" width="12" bestFit="1" customWidth="1"/>
    <col min="23" max="26" width="12.7109375" bestFit="1" customWidth="1"/>
  </cols>
  <sheetData>
    <row r="3" spans="1:16" ht="18.75">
      <c r="A3" s="173" t="s">
        <v>177</v>
      </c>
      <c r="D3" s="2"/>
      <c r="E3" s="2"/>
    </row>
    <row r="4" spans="1:16">
      <c r="L4" s="88" t="s">
        <v>48</v>
      </c>
    </row>
    <row r="5" spans="1:16">
      <c r="L5" s="88" t="s">
        <v>47</v>
      </c>
    </row>
    <row r="6" spans="1:16">
      <c r="L6" s="88" t="s">
        <v>52</v>
      </c>
    </row>
    <row r="7" spans="1:16">
      <c r="A7" s="5"/>
      <c r="B7" s="145">
        <v>-1.0419123890112216</v>
      </c>
      <c r="C7" s="145">
        <v>4.0818532431212473E-2</v>
      </c>
      <c r="D7" s="145">
        <v>-0.77248383184656022</v>
      </c>
      <c r="E7" s="145">
        <v>1.4990492230334603E-2</v>
      </c>
      <c r="F7" s="144">
        <v>0</v>
      </c>
      <c r="G7" s="144">
        <v>0</v>
      </c>
      <c r="H7" s="145">
        <v>4.7716218756768064E-3</v>
      </c>
      <c r="I7" s="144">
        <v>0</v>
      </c>
      <c r="J7" s="176">
        <v>0</v>
      </c>
      <c r="K7" s="86"/>
      <c r="L7" s="170" t="s">
        <v>170</v>
      </c>
      <c r="M7" s="5"/>
      <c r="N7" s="89" t="s">
        <v>109</v>
      </c>
    </row>
    <row r="8" spans="1:16">
      <c r="A8" s="5" t="s">
        <v>129</v>
      </c>
      <c r="B8" s="145">
        <v>-2.44475956514645</v>
      </c>
      <c r="C8" s="145">
        <v>0.85548399177677847</v>
      </c>
      <c r="D8" s="145">
        <v>-5.2896656816179721E-2</v>
      </c>
      <c r="E8" s="144">
        <v>0</v>
      </c>
      <c r="F8" s="145">
        <v>1.4990492230334603E-2</v>
      </c>
      <c r="G8" s="144">
        <v>0</v>
      </c>
      <c r="H8" s="144">
        <v>0</v>
      </c>
      <c r="I8" s="145">
        <v>4.7716218756768064E-3</v>
      </c>
      <c r="J8" s="145">
        <v>0</v>
      </c>
      <c r="K8" s="87" t="s">
        <v>63</v>
      </c>
      <c r="L8" s="170" t="s">
        <v>175</v>
      </c>
      <c r="M8" s="90" t="s">
        <v>103</v>
      </c>
      <c r="N8" s="89" t="s">
        <v>110</v>
      </c>
      <c r="O8" s="60" t="s">
        <v>27</v>
      </c>
      <c r="P8" s="16">
        <v>0</v>
      </c>
    </row>
    <row r="9" spans="1:16">
      <c r="A9" s="5"/>
      <c r="B9" s="145">
        <v>0.40019020491700363</v>
      </c>
      <c r="C9" s="145">
        <v>1.0840062473010013</v>
      </c>
      <c r="D9" s="145">
        <v>1.6840506224230944E-2</v>
      </c>
      <c r="E9" s="144">
        <v>0</v>
      </c>
      <c r="F9" s="144">
        <v>0</v>
      </c>
      <c r="G9" s="145">
        <v>1.4990492230334603E-2</v>
      </c>
      <c r="H9" s="144">
        <v>0</v>
      </c>
      <c r="I9" s="144">
        <v>0</v>
      </c>
      <c r="J9" s="145">
        <v>4.7716218756768064E-3</v>
      </c>
      <c r="K9" s="86"/>
      <c r="L9" s="170" t="s">
        <v>174</v>
      </c>
      <c r="M9" s="5"/>
      <c r="N9" s="89" t="s">
        <v>111</v>
      </c>
    </row>
    <row r="10" spans="1:16">
      <c r="K10" s="5"/>
      <c r="L10" s="170" t="s">
        <v>171</v>
      </c>
    </row>
    <row r="11" spans="1:16">
      <c r="K11" s="5"/>
      <c r="L11" s="170" t="s">
        <v>173</v>
      </c>
    </row>
    <row r="12" spans="1:16">
      <c r="K12" s="5"/>
      <c r="L12" s="170" t="s">
        <v>172</v>
      </c>
    </row>
    <row r="17" spans="1:14" ht="18.75">
      <c r="A17" s="173" t="s">
        <v>176</v>
      </c>
    </row>
    <row r="18" spans="1:14">
      <c r="I18" s="5"/>
      <c r="J18">
        <f t="array" ref="J18:L26">SVDV(B7:J9)</f>
        <v>0.953225214758744</v>
      </c>
      <c r="K18">
        <v>-0.24569044900914541</v>
      </c>
      <c r="L18" s="5">
        <v>0.1759019463226123</v>
      </c>
    </row>
    <row r="19" spans="1:14">
      <c r="I19" s="5"/>
      <c r="J19">
        <v>-0.27461896357065402</v>
      </c>
      <c r="K19">
        <v>-0.94722149337043282</v>
      </c>
      <c r="L19" s="5">
        <v>0.16488039399208451</v>
      </c>
    </row>
    <row r="20" spans="1:14">
      <c r="I20" s="5"/>
      <c r="J20">
        <v>0.12615283048372355</v>
      </c>
      <c r="K20">
        <v>-0.20551781248907947</v>
      </c>
      <c r="L20" s="5">
        <v>-0.97021118891515856</v>
      </c>
    </row>
    <row r="21" spans="1:14">
      <c r="A21" s="5"/>
      <c r="B21">
        <f t="array" ref="B21:D23">SVDU(B7:J9)</f>
        <v>-0.39359706256109217</v>
      </c>
      <c r="C21">
        <v>0.31182017051555777</v>
      </c>
      <c r="D21" s="5">
        <v>0.86478294016644941</v>
      </c>
      <c r="E21" s="86"/>
      <c r="F21">
        <f t="array" ref="F21:H23">SVDD(B7:J9)</f>
        <v>2.7994937606221484</v>
      </c>
      <c r="G21">
        <v>0</v>
      </c>
      <c r="H21" s="5">
        <v>0</v>
      </c>
      <c r="I21" s="5"/>
      <c r="J21">
        <v>-2.1076002351558473E-3</v>
      </c>
      <c r="K21">
        <v>3.8749564475236936E-3</v>
      </c>
      <c r="L21" s="5">
        <v>1.9556234762064112E-2</v>
      </c>
    </row>
    <row r="22" spans="1:14">
      <c r="A22" s="5"/>
      <c r="B22">
        <v>-0.91877071126364662</v>
      </c>
      <c r="C22">
        <v>-0.16483652702163518</v>
      </c>
      <c r="D22" s="5">
        <v>-0.35873290828071491</v>
      </c>
      <c r="E22" s="87" t="s">
        <v>63</v>
      </c>
      <c r="F22">
        <v>0</v>
      </c>
      <c r="G22">
        <v>1.2062942917364237</v>
      </c>
      <c r="H22" s="5">
        <v>0</v>
      </c>
      <c r="I22" s="175" t="s">
        <v>63</v>
      </c>
      <c r="J22">
        <v>-4.9197556366747759E-3</v>
      </c>
      <c r="K22">
        <v>-2.0484061762708521E-3</v>
      </c>
      <c r="L22" s="5">
        <v>-8.1123998235503245E-3</v>
      </c>
      <c r="M22" s="60" t="s">
        <v>27</v>
      </c>
      <c r="N22" s="174" t="s">
        <v>107</v>
      </c>
    </row>
    <row r="23" spans="1:14">
      <c r="A23" s="5"/>
      <c r="B23">
        <v>3.0687659854961531E-2</v>
      </c>
      <c r="C23">
        <v>-0.93573345596868363</v>
      </c>
      <c r="D23" s="5">
        <v>0.35137041268941799</v>
      </c>
      <c r="E23" s="86"/>
      <c r="F23">
        <v>0</v>
      </c>
      <c r="G23">
        <v>0</v>
      </c>
      <c r="H23" s="5">
        <v>0.66288434881331049</v>
      </c>
      <c r="I23" s="5"/>
      <c r="J23">
        <v>1.6432368347937237E-4</v>
      </c>
      <c r="K23">
        <v>-1.1628261194182657E-2</v>
      </c>
      <c r="L23" s="5">
        <v>7.9459040642903926E-3</v>
      </c>
    </row>
    <row r="24" spans="1:14">
      <c r="I24" s="5"/>
      <c r="J24">
        <v>-6.7086999097338792E-4</v>
      </c>
      <c r="K24">
        <v>1.2334369457784138E-3</v>
      </c>
      <c r="L24" s="5">
        <v>6.2249428612961176E-3</v>
      </c>
    </row>
    <row r="25" spans="1:14">
      <c r="I25" s="5"/>
      <c r="J25">
        <v>-1.5660068567620099E-3</v>
      </c>
      <c r="K25">
        <v>-6.5202793682694979E-4</v>
      </c>
      <c r="L25" s="5">
        <v>-2.5822570645117151E-3</v>
      </c>
    </row>
    <row r="26" spans="1:14">
      <c r="I26" s="5"/>
      <c r="J26">
        <v>5.2305852985620357E-5</v>
      </c>
      <c r="K26">
        <v>-3.7013904972356682E-3</v>
      </c>
      <c r="L26" s="5">
        <v>2.5292598183315981E-3</v>
      </c>
    </row>
    <row r="27" spans="1:14" ht="15.75" thickBot="1">
      <c r="B27" s="3"/>
      <c r="C27" s="3"/>
      <c r="D27" s="3"/>
      <c r="F27" s="3"/>
      <c r="G27" s="3"/>
      <c r="H27" s="3"/>
      <c r="J27" s="3"/>
      <c r="K27" s="3"/>
      <c r="L27" s="3"/>
    </row>
    <row r="28" spans="1:14" ht="15.75">
      <c r="B28" s="171" t="s">
        <v>178</v>
      </c>
      <c r="C28" s="171"/>
      <c r="D28" s="171"/>
      <c r="F28" s="171" t="s">
        <v>179</v>
      </c>
      <c r="G28" s="171"/>
      <c r="H28" s="171"/>
      <c r="J28" s="171" t="s">
        <v>180</v>
      </c>
      <c r="K28" s="171"/>
      <c r="L28" s="171"/>
    </row>
    <row r="31" spans="1:14">
      <c r="F31" t="s">
        <v>33</v>
      </c>
      <c r="G31" t="s">
        <v>27</v>
      </c>
      <c r="H31">
        <f>MAX(F21,G22,H23)/MIN(F21,G22,H23)</f>
        <v>4.2232008730237434</v>
      </c>
    </row>
    <row r="33" spans="1:10" ht="18.75">
      <c r="A33" s="173" t="s">
        <v>181</v>
      </c>
    </row>
    <row r="34" spans="1:10">
      <c r="A34" s="5"/>
      <c r="B34" s="172">
        <f t="array" ref="B34:J36">MMULT(B21:D23,MMULT(F21:H23,TRANSPOSE(J18:L26)))</f>
        <v>-1.0419123890112219</v>
      </c>
      <c r="C34" s="172">
        <v>4.0818532431212085E-2</v>
      </c>
      <c r="D34" s="172">
        <v>-0.77248383184656155</v>
      </c>
      <c r="E34" s="172">
        <v>1.4990492230334629E-2</v>
      </c>
      <c r="F34" s="172">
        <v>1.5612511283791264E-17</v>
      </c>
      <c r="G34" s="172">
        <v>-1.5612511283791264E-17</v>
      </c>
      <c r="H34" s="172">
        <v>4.7716218756768142E-3</v>
      </c>
      <c r="I34" s="172">
        <v>-4.3368086899420177E-19</v>
      </c>
      <c r="J34" s="177">
        <v>-2.1684043449710089E-18</v>
      </c>
    </row>
    <row r="35" spans="1:10">
      <c r="A35" s="5"/>
      <c r="B35" s="172">
        <v>-2.4447595651464504</v>
      </c>
      <c r="C35" s="172">
        <v>0.85548399177677892</v>
      </c>
      <c r="D35" s="172">
        <v>-5.2896656816179416E-2</v>
      </c>
      <c r="E35" s="172">
        <v>-1.214306433183765E-17</v>
      </c>
      <c r="F35" s="172">
        <v>1.4990492230334603E-2</v>
      </c>
      <c r="G35" s="172">
        <v>7.8062556418956319E-18</v>
      </c>
      <c r="H35" s="172">
        <v>-4.7704895589362195E-18</v>
      </c>
      <c r="I35" s="172">
        <v>4.7716218756768064E-3</v>
      </c>
      <c r="J35" s="177">
        <v>9.7578195523695399E-19</v>
      </c>
    </row>
    <row r="36" spans="1:10">
      <c r="A36" s="5"/>
      <c r="B36" s="172">
        <v>0.40019020491700441</v>
      </c>
      <c r="C36" s="172">
        <v>1.0840062473010044</v>
      </c>
      <c r="D36" s="172">
        <v>1.6840506224230861E-2</v>
      </c>
      <c r="E36" s="172">
        <v>1.7347234759768071E-18</v>
      </c>
      <c r="F36" s="172">
        <v>1.1709383462843448E-17</v>
      </c>
      <c r="G36" s="172">
        <v>1.499049223033464E-2</v>
      </c>
      <c r="H36" s="172">
        <v>-1.3010426069826053E-18</v>
      </c>
      <c r="I36" s="172">
        <v>3.1441863002079629E-18</v>
      </c>
      <c r="J36" s="177">
        <v>4.7716218756768151E-3</v>
      </c>
    </row>
  </sheetData>
  <mergeCells count="3">
    <mergeCell ref="F28:H28"/>
    <mergeCell ref="J28:L28"/>
    <mergeCell ref="B28:D28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zoomScale="115" zoomScaleNormal="115" workbookViewId="0">
      <selection activeCell="L11" sqref="L11"/>
    </sheetView>
  </sheetViews>
  <sheetFormatPr baseColWidth="10" defaultRowHeight="15"/>
  <sheetData>
    <row r="2" spans="1:14">
      <c r="A2" s="161" t="s">
        <v>108</v>
      </c>
      <c r="B2" s="166"/>
      <c r="C2" s="166"/>
      <c r="D2" s="166"/>
      <c r="E2" s="166"/>
      <c r="F2" s="166"/>
      <c r="G2" s="166"/>
      <c r="H2" s="166"/>
      <c r="I2" s="166"/>
      <c r="J2" s="166"/>
      <c r="K2" s="166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59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6"/>
      <c r="E6" s="2"/>
      <c r="F6" s="68"/>
      <c r="G6" s="2"/>
      <c r="H6" s="66"/>
    </row>
    <row r="7" spans="1:14">
      <c r="B7" s="158" t="s">
        <v>107</v>
      </c>
      <c r="C7" s="158"/>
      <c r="D7" s="158"/>
      <c r="E7" s="67" t="s">
        <v>63</v>
      </c>
      <c r="F7" s="64" t="s">
        <v>56</v>
      </c>
      <c r="G7" s="67" t="s">
        <v>27</v>
      </c>
      <c r="H7" s="65" t="s">
        <v>106</v>
      </c>
      <c r="I7" s="16"/>
    </row>
    <row r="8" spans="1:14">
      <c r="A8" s="165"/>
      <c r="B8" s="165"/>
      <c r="C8" s="165"/>
      <c r="D8" s="165"/>
      <c r="E8" s="165"/>
      <c r="F8" s="165"/>
      <c r="G8" s="165"/>
      <c r="H8" s="165"/>
      <c r="I8" s="165"/>
      <c r="J8" s="165"/>
      <c r="K8" s="165"/>
    </row>
    <row r="9" spans="1:14">
      <c r="A9" s="161" t="s">
        <v>112</v>
      </c>
      <c r="B9" s="161"/>
      <c r="C9" s="161"/>
      <c r="D9" s="161"/>
      <c r="E9" s="161"/>
      <c r="F9" s="161"/>
      <c r="G9" s="161"/>
      <c r="H9" s="161"/>
      <c r="I9" s="161"/>
      <c r="J9" s="161"/>
      <c r="K9" s="161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109</v>
      </c>
      <c r="D11" s="37">
        <f t="shared" ref="D11:K13" si="0">INDEX(MMULT($B$3:$D$5,D$18:D$20),ROW(A1))</f>
        <v>0.36899027443333487</v>
      </c>
      <c r="E11" s="37">
        <f t="shared" si="0"/>
        <v>-0.59649428893802736</v>
      </c>
      <c r="F11" s="37">
        <f t="shared" si="0"/>
        <v>1.1712628509354928</v>
      </c>
      <c r="G11" s="37">
        <f t="shared" si="0"/>
        <v>-0.71120201739443922</v>
      </c>
      <c r="H11" s="37">
        <f t="shared" si="0"/>
        <v>1.4794093713067082</v>
      </c>
      <c r="I11" s="37">
        <f t="shared" si="0"/>
        <v>-0.42808166780955986</v>
      </c>
      <c r="J11" s="37">
        <f t="shared" si="0"/>
        <v>0.81841764195495825</v>
      </c>
      <c r="K11" s="37">
        <f t="shared" si="0"/>
        <v>0.34938788065828258</v>
      </c>
      <c r="M11" s="31"/>
      <c r="N11">
        <f>MMULT(MINVERSE(B3:D5),B3:D5)</f>
        <v>1</v>
      </c>
    </row>
    <row r="12" spans="1:14">
      <c r="B12" t="s">
        <v>110</v>
      </c>
      <c r="D12" s="37">
        <f t="shared" si="0"/>
        <v>-0.77925418068807062</v>
      </c>
      <c r="E12" s="37">
        <f t="shared" si="0"/>
        <v>-0.804349887727275</v>
      </c>
      <c r="F12" s="37">
        <f t="shared" si="0"/>
        <v>-0.8106842988541888</v>
      </c>
      <c r="G12" s="37">
        <f t="shared" si="0"/>
        <v>-0.15196132163643955</v>
      </c>
      <c r="H12" s="37">
        <f t="shared" si="0"/>
        <v>2.4000416274763844E-2</v>
      </c>
      <c r="I12" s="37">
        <f t="shared" si="0"/>
        <v>0.84062956146257772</v>
      </c>
      <c r="J12" s="37">
        <f t="shared" si="0"/>
        <v>0.82554162786980689</v>
      </c>
      <c r="K12" s="37">
        <f t="shared" si="0"/>
        <v>1.0431555923559712</v>
      </c>
      <c r="M12" s="31"/>
    </row>
    <row r="13" spans="1:14">
      <c r="B13" t="s">
        <v>111</v>
      </c>
      <c r="D13" s="37">
        <f t="shared" si="0"/>
        <v>0.48534056470198134</v>
      </c>
      <c r="E13" s="37">
        <f t="shared" si="0"/>
        <v>1.0768177289685061</v>
      </c>
      <c r="F13" s="37">
        <f t="shared" si="0"/>
        <v>1.1033278353182276</v>
      </c>
      <c r="G13" s="37">
        <f t="shared" si="0"/>
        <v>1.0610103957237655</v>
      </c>
      <c r="H13" s="37">
        <f t="shared" si="0"/>
        <v>1.1168000508949951</v>
      </c>
      <c r="I13" s="37">
        <f t="shared" si="0"/>
        <v>1.1486500620909741</v>
      </c>
      <c r="J13" s="37">
        <f t="shared" si="0"/>
        <v>1.0867121456678466</v>
      </c>
      <c r="K13" s="37">
        <f t="shared" si="0"/>
        <v>0.53628775692783093</v>
      </c>
      <c r="M13" s="31"/>
    </row>
    <row r="14" spans="1:14">
      <c r="B14" t="s">
        <v>74</v>
      </c>
      <c r="D14" s="40">
        <f t="shared" ref="D14:K14" si="1">(D$11-D$22)^2+(D$12-D$23)^2+(D$13-D$24)^2</f>
        <v>8.7714845644660153E-14</v>
      </c>
      <c r="E14" s="40">
        <f t="shared" si="1"/>
        <v>1.6954841906913992E-13</v>
      </c>
      <c r="F14" s="40">
        <f t="shared" si="1"/>
        <v>5.3771864709851616E-13</v>
      </c>
      <c r="G14" s="40">
        <f t="shared" si="1"/>
        <v>4.2989659395430823E-14</v>
      </c>
      <c r="H14" s="40">
        <f t="shared" si="1"/>
        <v>6.0396047601711929E-13</v>
      </c>
      <c r="I14" s="40">
        <f t="shared" si="1"/>
        <v>4.1223943369370766E-13</v>
      </c>
      <c r="J14" s="40">
        <f t="shared" si="1"/>
        <v>3.9222840769521491E-13</v>
      </c>
      <c r="K14" s="40">
        <f t="shared" si="1"/>
        <v>2.3950017922882445E-13</v>
      </c>
    </row>
    <row r="15" spans="1:14">
      <c r="D15" s="31"/>
      <c r="E15" s="31"/>
      <c r="F15" s="2"/>
      <c r="G15" s="2"/>
      <c r="H15" s="2"/>
    </row>
    <row r="16" spans="1:14">
      <c r="A16" s="161" t="s">
        <v>66</v>
      </c>
      <c r="B16" s="166"/>
      <c r="C16" s="166"/>
      <c r="D16" s="166"/>
      <c r="E16" s="166"/>
      <c r="F16" s="166"/>
      <c r="G16" s="166"/>
      <c r="H16" s="166"/>
      <c r="I16" s="166"/>
      <c r="J16" s="166"/>
      <c r="K16" s="166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2">
        <v>0.47920814861472061</v>
      </c>
      <c r="E18" s="62">
        <v>-0.77466790771172378</v>
      </c>
      <c r="F18" s="62">
        <v>1.5211205856305101</v>
      </c>
      <c r="G18" s="62">
        <v>-0.92363898362914187</v>
      </c>
      <c r="H18" s="62">
        <v>1.9213108718268936</v>
      </c>
      <c r="I18" s="62">
        <v>-0.55595021793449328</v>
      </c>
      <c r="J18" s="62">
        <v>1.0628800544869588</v>
      </c>
      <c r="K18" s="62">
        <v>0.45375049436140596</v>
      </c>
      <c r="M18" s="63">
        <f ca="1">RAND()-RAND()</f>
        <v>0.31492447606737262</v>
      </c>
      <c r="ID18">
        <v>0</v>
      </c>
    </row>
    <row r="19" spans="1:238">
      <c r="B19" s="16" t="s">
        <v>113</v>
      </c>
      <c r="C19" s="2" t="s">
        <v>27</v>
      </c>
      <c r="D19" s="62">
        <v>-1.0120184164780137</v>
      </c>
      <c r="E19" s="62">
        <v>-1.0446102438016558</v>
      </c>
      <c r="F19" s="62">
        <v>-1.0528367517586867</v>
      </c>
      <c r="G19" s="62">
        <v>-0.1973523657616098</v>
      </c>
      <c r="H19" s="62">
        <v>3.1169371785407587E-2</v>
      </c>
      <c r="I19" s="62">
        <v>1.0917267031981528</v>
      </c>
      <c r="J19" s="62">
        <v>1.0721319842465025</v>
      </c>
      <c r="K19" s="62">
        <v>1.3547475225402223</v>
      </c>
      <c r="M19" s="63">
        <f t="shared" ref="M19" ca="1" si="2">RAND()-RAND()</f>
        <v>-0.18086782330175133</v>
      </c>
    </row>
    <row r="20" spans="1:238">
      <c r="C20" s="2"/>
      <c r="D20" s="62">
        <v>0.60667570587747666</v>
      </c>
      <c r="E20" s="62">
        <v>1.3460221612106327</v>
      </c>
      <c r="F20" s="62">
        <v>1.3791597941477844</v>
      </c>
      <c r="G20" s="62">
        <v>1.3262629946547069</v>
      </c>
      <c r="H20" s="62">
        <v>1.396000063618744</v>
      </c>
      <c r="I20" s="62">
        <v>1.4358125776137176</v>
      </c>
      <c r="J20" s="62">
        <v>1.3583901820848081</v>
      </c>
      <c r="K20" s="62">
        <v>0.67035969615978863</v>
      </c>
      <c r="M20" s="63">
        <f ca="1">IF(RAND()-RAND()&lt;0,-1*RAND()-RAND(),RAND()-RAND())</f>
        <v>-0.11581541955308627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114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61" t="s">
        <v>62</v>
      </c>
      <c r="B26" s="166"/>
      <c r="C26" s="166"/>
      <c r="D26" s="166"/>
      <c r="E26" s="166"/>
      <c r="F26" s="166"/>
      <c r="G26" s="166"/>
      <c r="H26" s="166"/>
      <c r="I26" s="166"/>
      <c r="J26" s="166"/>
      <c r="K26" s="166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61" t="s">
        <v>64</v>
      </c>
      <c r="B31" s="166"/>
      <c r="C31" s="166"/>
      <c r="D31" s="166"/>
      <c r="E31" s="166"/>
      <c r="F31" s="166"/>
      <c r="G31" s="166"/>
      <c r="H31" s="166"/>
      <c r="I31" s="166"/>
      <c r="J31" s="166"/>
      <c r="K31" s="166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113</v>
      </c>
      <c r="C33" s="26" t="s">
        <v>27</v>
      </c>
      <c r="D33" s="32">
        <f t="shared" ref="D33:K33" si="3">D18+$D$27</f>
        <v>0.47920814861472061</v>
      </c>
      <c r="E33" s="32">
        <f t="shared" si="3"/>
        <v>-0.77466790771172378</v>
      </c>
      <c r="F33" s="32">
        <f t="shared" si="3"/>
        <v>1.5211205856305101</v>
      </c>
      <c r="G33" s="32">
        <f t="shared" si="3"/>
        <v>-0.92363898362914187</v>
      </c>
      <c r="H33" s="32">
        <f t="shared" si="3"/>
        <v>1.9213108718268936</v>
      </c>
      <c r="I33" s="32">
        <f t="shared" si="3"/>
        <v>-0.55595021793449328</v>
      </c>
      <c r="J33" s="32">
        <f t="shared" si="3"/>
        <v>1.0628800544869588</v>
      </c>
      <c r="K33" s="32">
        <f t="shared" si="3"/>
        <v>0.45375049436140596</v>
      </c>
    </row>
    <row r="34" spans="1:11">
      <c r="B34" s="26" t="s">
        <v>115</v>
      </c>
      <c r="C34" s="26" t="s">
        <v>27</v>
      </c>
      <c r="D34" s="32">
        <f t="shared" ref="D34:E34" si="4">D19+$D$27</f>
        <v>-1.0120184164780137</v>
      </c>
      <c r="E34" s="32">
        <f t="shared" si="4"/>
        <v>-1.0446102438016558</v>
      </c>
      <c r="F34" s="32">
        <f t="shared" ref="F34:K35" si="5">F19+$D$27</f>
        <v>-1.0528367517586867</v>
      </c>
      <c r="G34" s="32">
        <f t="shared" si="5"/>
        <v>-0.1973523657616098</v>
      </c>
      <c r="H34" s="32">
        <f t="shared" si="5"/>
        <v>3.1169371785407587E-2</v>
      </c>
      <c r="I34" s="32">
        <f t="shared" si="5"/>
        <v>1.0917267031981528</v>
      </c>
      <c r="J34" s="32">
        <f t="shared" si="5"/>
        <v>1.0721319842465025</v>
      </c>
      <c r="K34" s="32">
        <f t="shared" si="5"/>
        <v>1.3547475225402223</v>
      </c>
    </row>
    <row r="35" spans="1:11">
      <c r="B35" s="26" t="s">
        <v>116</v>
      </c>
      <c r="C35" s="26" t="s">
        <v>27</v>
      </c>
      <c r="D35" s="32">
        <f t="shared" ref="D35:E35" si="6">D20+$D$27</f>
        <v>0.60667570587747666</v>
      </c>
      <c r="E35" s="32">
        <f t="shared" si="6"/>
        <v>1.3460221612106327</v>
      </c>
      <c r="F35" s="32">
        <f t="shared" si="5"/>
        <v>1.3791597941477844</v>
      </c>
      <c r="G35" s="32">
        <f t="shared" si="5"/>
        <v>1.3262629946547069</v>
      </c>
      <c r="H35" s="32">
        <f t="shared" si="5"/>
        <v>1.396000063618744</v>
      </c>
      <c r="I35" s="32">
        <f t="shared" si="5"/>
        <v>1.4358125776137176</v>
      </c>
      <c r="J35" s="32">
        <f t="shared" si="5"/>
        <v>1.3583901820848081</v>
      </c>
      <c r="K35" s="32">
        <f t="shared" si="5"/>
        <v>0.67035969615978863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61" t="s">
        <v>67</v>
      </c>
      <c r="B37" s="161"/>
      <c r="C37" s="161"/>
      <c r="D37" s="161"/>
      <c r="E37" s="161"/>
      <c r="F37" s="161"/>
      <c r="G37" s="161"/>
      <c r="H37" s="161"/>
      <c r="I37" s="161"/>
      <c r="J37" s="161"/>
      <c r="K37" s="161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63" t="s">
        <v>71</v>
      </c>
      <c r="C39" s="163"/>
      <c r="D39" s="38">
        <f>Messaufbau_Messdaten!J30</f>
        <v>1.2590000000000001</v>
      </c>
      <c r="E39" s="38">
        <f>Messaufbau_Messdaten!K30</f>
        <v>1.8940000000000001</v>
      </c>
      <c r="F39" s="38">
        <f>Messaufbau_Messdaten!L30</f>
        <v>2.3340000000000001</v>
      </c>
      <c r="G39" s="38">
        <f>Messaufbau_Messdaten!M30</f>
        <v>1.661</v>
      </c>
      <c r="H39" s="38">
        <f>Messaufbau_Messdaten!N30</f>
        <v>2.399</v>
      </c>
      <c r="I39" s="38">
        <f>Messaufbau_Messdaten!O30</f>
        <v>1.851</v>
      </c>
      <c r="J39" s="38">
        <f>Messaufbau_Messdaten!P30</f>
        <v>2.0550000000000002</v>
      </c>
      <c r="K39" s="38">
        <f>Messaufbau_Messdaten!Q30</f>
        <v>1.5740000000000001</v>
      </c>
    </row>
    <row r="40" spans="1:11">
      <c r="B40" s="159" t="s">
        <v>70</v>
      </c>
      <c r="C40" s="159"/>
      <c r="D40" s="36">
        <f>SQRT(D33^2+D34^2+D35^2)</f>
        <v>1.2735294017380789</v>
      </c>
      <c r="E40" s="36">
        <f t="shared" ref="E40:K40" si="7">SQRT(E33^2+E34^2+E35^2)</f>
        <v>1.8716561081469953</v>
      </c>
      <c r="F40" s="36">
        <f t="shared" si="7"/>
        <v>2.3074563483794117</v>
      </c>
      <c r="G40" s="36">
        <f t="shared" si="7"/>
        <v>1.6281985319185279</v>
      </c>
      <c r="H40" s="36">
        <f t="shared" si="7"/>
        <v>2.3751259279375594</v>
      </c>
      <c r="I40" s="36">
        <f t="shared" si="7"/>
        <v>1.8874600915863271</v>
      </c>
      <c r="J40" s="36">
        <f t="shared" si="7"/>
        <v>2.030863089588991</v>
      </c>
      <c r="K40" s="36">
        <f t="shared" si="7"/>
        <v>1.5781674446007099</v>
      </c>
    </row>
    <row r="41" spans="1:11">
      <c r="B41" s="159" t="s">
        <v>69</v>
      </c>
      <c r="C41" s="159"/>
      <c r="D41" s="36">
        <f>D40-D39</f>
        <v>1.4529401738078818E-2</v>
      </c>
      <c r="E41" s="36">
        <f t="shared" ref="E41:K41" si="8">E40-E39</f>
        <v>-2.2343891853004783E-2</v>
      </c>
      <c r="F41" s="36">
        <f t="shared" si="8"/>
        <v>-2.654365162058836E-2</v>
      </c>
      <c r="G41" s="36">
        <f t="shared" si="8"/>
        <v>-3.2801468081472107E-2</v>
      </c>
      <c r="H41" s="36">
        <f t="shared" si="8"/>
        <v>-2.3874072062440632E-2</v>
      </c>
      <c r="I41" s="36">
        <f t="shared" si="8"/>
        <v>3.6460091586327126E-2</v>
      </c>
      <c r="J41" s="36">
        <f t="shared" si="8"/>
        <v>-2.4136910411009183E-2</v>
      </c>
      <c r="K41" s="36">
        <f t="shared" si="8"/>
        <v>4.1674446007098354E-3</v>
      </c>
    </row>
    <row r="42" spans="1:11">
      <c r="B42" s="160" t="s">
        <v>68</v>
      </c>
      <c r="C42" s="160"/>
      <c r="D42" s="39">
        <f>ABS(1-D39/D40)</f>
        <v>1.1408768198244545E-2</v>
      </c>
      <c r="E42" s="39">
        <f t="shared" ref="E42:K42" si="9">ABS(1-E39/E40)</f>
        <v>1.193803271645133E-2</v>
      </c>
      <c r="F42" s="39">
        <f t="shared" si="9"/>
        <v>1.150342524972614E-2</v>
      </c>
      <c r="G42" s="39">
        <f t="shared" si="9"/>
        <v>2.0145865162291887E-2</v>
      </c>
      <c r="H42" s="39">
        <f t="shared" si="9"/>
        <v>1.0051707903829588E-2</v>
      </c>
      <c r="I42" s="39">
        <f t="shared" si="9"/>
        <v>1.9317013243805303E-2</v>
      </c>
      <c r="J42" s="39">
        <f t="shared" si="9"/>
        <v>1.1885050516080797E-2</v>
      </c>
      <c r="K42" s="39">
        <f t="shared" si="9"/>
        <v>2.6406859519043646E-3</v>
      </c>
    </row>
    <row r="43" spans="1:11">
      <c r="B43" s="164" t="s">
        <v>105</v>
      </c>
      <c r="C43" s="164"/>
      <c r="D43" s="41">
        <f>D41*D41</f>
        <v>2.1110351486648777E-4</v>
      </c>
      <c r="E43" s="41">
        <f t="shared" ref="E43:K43" si="10">E41*E41</f>
        <v>4.9924950313877349E-4</v>
      </c>
      <c r="F43" s="41">
        <f t="shared" si="10"/>
        <v>7.0456544135516302E-4</v>
      </c>
      <c r="G43" s="41">
        <f t="shared" si="10"/>
        <v>1.0759363082998334E-3</v>
      </c>
      <c r="H43" s="41">
        <f t="shared" si="10"/>
        <v>5.6997131684260831E-4</v>
      </c>
      <c r="I43" s="41">
        <f t="shared" si="10"/>
        <v>1.329338278483362E-3</v>
      </c>
      <c r="J43" s="41">
        <f t="shared" si="10"/>
        <v>5.8259044418908343E-4</v>
      </c>
      <c r="K43" s="41">
        <f t="shared" si="10"/>
        <v>1.7367594499985558E-5</v>
      </c>
    </row>
  </sheetData>
  <mergeCells count="13">
    <mergeCell ref="A37:K37"/>
    <mergeCell ref="B7:D7"/>
    <mergeCell ref="A9:K9"/>
    <mergeCell ref="A8:K8"/>
    <mergeCell ref="A2:K2"/>
    <mergeCell ref="A16:K16"/>
    <mergeCell ref="A26:K26"/>
    <mergeCell ref="A31:K31"/>
    <mergeCell ref="B39:C39"/>
    <mergeCell ref="B40:C40"/>
    <mergeCell ref="B41:C41"/>
    <mergeCell ref="B42:C42"/>
    <mergeCell ref="B43:C43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zoomScale="115" zoomScaleNormal="115" workbookViewId="0">
      <selection activeCell="E59" sqref="E59"/>
    </sheetView>
  </sheetViews>
  <sheetFormatPr baseColWidth="10" defaultRowHeight="15"/>
  <sheetData>
    <row r="2" spans="1:11">
      <c r="A2" s="161" t="s">
        <v>65</v>
      </c>
      <c r="B2" s="166"/>
      <c r="C2" s="166"/>
      <c r="D2" s="166"/>
      <c r="E2" s="166"/>
      <c r="F2" s="166"/>
      <c r="G2" s="166"/>
      <c r="H2" s="166"/>
      <c r="I2" s="166"/>
      <c r="J2" s="166"/>
      <c r="K2" s="166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61" t="s">
        <v>66</v>
      </c>
      <c r="B7" s="166"/>
      <c r="C7" s="166"/>
      <c r="D7" s="166"/>
      <c r="E7" s="166"/>
      <c r="F7" s="166"/>
      <c r="G7" s="166"/>
      <c r="H7" s="166"/>
      <c r="I7" s="166"/>
      <c r="J7" s="166"/>
      <c r="K7" s="166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67" t="s">
        <v>73</v>
      </c>
      <c r="E13" s="168"/>
      <c r="F13" s="168"/>
      <c r="G13" s="168"/>
      <c r="H13" s="168"/>
      <c r="I13" s="168"/>
      <c r="J13" s="168"/>
      <c r="K13" s="168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61" t="s">
        <v>62</v>
      </c>
      <c r="B19" s="166"/>
      <c r="C19" s="166"/>
      <c r="D19" s="166"/>
      <c r="E19" s="166"/>
      <c r="F19" s="166"/>
      <c r="G19" s="166"/>
      <c r="H19" s="166"/>
      <c r="I19" s="166"/>
      <c r="J19" s="166"/>
      <c r="K19" s="166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61" t="s">
        <v>64</v>
      </c>
      <c r="B24" s="166"/>
      <c r="C24" s="166"/>
      <c r="D24" s="166"/>
      <c r="E24" s="166"/>
      <c r="F24" s="166"/>
      <c r="G24" s="166"/>
      <c r="H24" s="166"/>
      <c r="I24" s="166"/>
      <c r="J24" s="166"/>
      <c r="K24" s="166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61" t="s">
        <v>67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63" t="s">
        <v>71</v>
      </c>
      <c r="C32" s="163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159" t="s">
        <v>70</v>
      </c>
      <c r="C33" s="159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159" t="s">
        <v>69</v>
      </c>
      <c r="C34" s="159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160" t="s">
        <v>68</v>
      </c>
      <c r="C35" s="160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B32:C32"/>
    <mergeCell ref="B33:C33"/>
    <mergeCell ref="B34:C34"/>
    <mergeCell ref="B35:C35"/>
    <mergeCell ref="D13:K13"/>
    <mergeCell ref="A2:K2"/>
    <mergeCell ref="A7:K7"/>
    <mergeCell ref="A19:K19"/>
    <mergeCell ref="A24:K24"/>
    <mergeCell ref="A30:K30"/>
  </mergeCells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H33" sqref="H3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5"/>
  <dimension ref="A2:D17"/>
  <sheetViews>
    <sheetView workbookViewId="0">
      <selection activeCell="B5" sqref="B5"/>
    </sheetView>
  </sheetViews>
  <sheetFormatPr baseColWidth="10" defaultRowHeight="15"/>
  <sheetData>
    <row r="2" spans="1:4">
      <c r="A2" t="s">
        <v>163</v>
      </c>
      <c r="B2" t="s">
        <v>160</v>
      </c>
      <c r="C2" t="s">
        <v>161</v>
      </c>
      <c r="D2" t="s">
        <v>162</v>
      </c>
    </row>
    <row r="3" spans="1:4">
      <c r="A3">
        <v>0</v>
      </c>
      <c r="B3">
        <v>-3</v>
      </c>
      <c r="C3">
        <v>3</v>
      </c>
      <c r="D3">
        <v>7</v>
      </c>
    </row>
    <row r="4" spans="1:4">
      <c r="A4">
        <v>0</v>
      </c>
      <c r="B4">
        <v>1</v>
      </c>
      <c r="C4">
        <v>6</v>
      </c>
      <c r="D4">
        <v>-1</v>
      </c>
    </row>
    <row r="5" spans="1:4">
      <c r="A5">
        <v>0</v>
      </c>
      <c r="B5">
        <v>0</v>
      </c>
      <c r="C5">
        <v>0</v>
      </c>
      <c r="D5">
        <v>0</v>
      </c>
    </row>
    <row r="7" spans="1:4">
      <c r="A7">
        <f>A3-$B3</f>
        <v>3</v>
      </c>
      <c r="B7">
        <f>B3-$B3</f>
        <v>0</v>
      </c>
      <c r="C7">
        <f t="shared" ref="C7:D7" si="0">C3-$B3</f>
        <v>6</v>
      </c>
      <c r="D7">
        <f t="shared" si="0"/>
        <v>10</v>
      </c>
    </row>
    <row r="8" spans="1:4">
      <c r="A8">
        <f t="shared" ref="A8:B8" si="1">A4-$B4</f>
        <v>-1</v>
      </c>
      <c r="B8">
        <f t="shared" si="1"/>
        <v>0</v>
      </c>
      <c r="C8">
        <f t="shared" ref="C8:D9" si="2">C4-$B4</f>
        <v>5</v>
      </c>
      <c r="D8">
        <f t="shared" si="2"/>
        <v>-2</v>
      </c>
    </row>
    <row r="9" spans="1:4">
      <c r="A9">
        <f t="shared" ref="A9:B9" si="3">A5-$B5</f>
        <v>0</v>
      </c>
      <c r="B9">
        <f t="shared" si="3"/>
        <v>0</v>
      </c>
      <c r="C9">
        <f t="shared" si="2"/>
        <v>0</v>
      </c>
      <c r="D9">
        <f t="shared" si="2"/>
        <v>0</v>
      </c>
    </row>
    <row r="11" spans="1:4">
      <c r="A11">
        <f>A3-$C3</f>
        <v>-3</v>
      </c>
      <c r="B11">
        <f>B3-$C3</f>
        <v>-6</v>
      </c>
      <c r="C11">
        <f t="shared" ref="C11:D11" si="4">C3-$C3</f>
        <v>0</v>
      </c>
      <c r="D11">
        <f t="shared" si="4"/>
        <v>4</v>
      </c>
    </row>
    <row r="12" spans="1:4">
      <c r="A12">
        <f t="shared" ref="A12:B12" si="5">A4-$C4</f>
        <v>-6</v>
      </c>
      <c r="B12">
        <f t="shared" si="5"/>
        <v>-5</v>
      </c>
      <c r="C12">
        <f t="shared" ref="C12:D12" si="6">C4-$C4</f>
        <v>0</v>
      </c>
      <c r="D12">
        <f t="shared" si="6"/>
        <v>-7</v>
      </c>
    </row>
    <row r="13" spans="1:4">
      <c r="A13">
        <f t="shared" ref="A13:B13" si="7">A5-$C5</f>
        <v>0</v>
      </c>
      <c r="B13">
        <f t="shared" si="7"/>
        <v>0</v>
      </c>
      <c r="C13">
        <f t="shared" ref="C13:D13" si="8">C5-$C5</f>
        <v>0</v>
      </c>
      <c r="D13">
        <f t="shared" si="8"/>
        <v>0</v>
      </c>
    </row>
    <row r="15" spans="1:4">
      <c r="A15">
        <f>A3-$D3</f>
        <v>-7</v>
      </c>
      <c r="B15">
        <f>B3-$D3</f>
        <v>-10</v>
      </c>
      <c r="C15">
        <f t="shared" ref="C15:D15" si="9">C3-$D3</f>
        <v>-4</v>
      </c>
      <c r="D15">
        <f t="shared" si="9"/>
        <v>0</v>
      </c>
    </row>
    <row r="16" spans="1:4">
      <c r="A16">
        <f t="shared" ref="A16:B16" si="10">A4-$D4</f>
        <v>1</v>
      </c>
      <c r="B16">
        <f t="shared" si="10"/>
        <v>2</v>
      </c>
      <c r="C16">
        <f t="shared" ref="C16:D16" si="11">C4-$D4</f>
        <v>7</v>
      </c>
      <c r="D16">
        <f t="shared" si="11"/>
        <v>0</v>
      </c>
    </row>
    <row r="17" spans="1:4">
      <c r="A17">
        <f t="shared" ref="A17:B17" si="12">A5-$D5</f>
        <v>0</v>
      </c>
      <c r="B17">
        <f t="shared" si="12"/>
        <v>0</v>
      </c>
      <c r="C17">
        <f t="shared" ref="C17:D17" si="13">C5-$D5</f>
        <v>0</v>
      </c>
      <c r="D17">
        <f t="shared" si="13"/>
        <v>0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45</vt:i4>
      </vt:variant>
    </vt:vector>
  </HeadingPairs>
  <TitlesOfParts>
    <vt:vector size="53" baseType="lpstr">
      <vt:lpstr>Messaufbau_Messdaten</vt:lpstr>
      <vt:lpstr>num.-Neues-Modell</vt:lpstr>
      <vt:lpstr>Ref0_Alle-Kombinationen</vt:lpstr>
      <vt:lpstr>Tabelle2</vt:lpstr>
      <vt:lpstr>numerisch</vt:lpstr>
      <vt:lpstr>analytisch</vt:lpstr>
      <vt:lpstr>Modell+Rechnung</vt:lpstr>
      <vt:lpstr>Tabelle1</vt:lpstr>
      <vt:lpstr>'Ref0_Alle-Kombinationen'!A_1</vt:lpstr>
      <vt:lpstr>A_1</vt:lpstr>
      <vt:lpstr>'Ref0_Alle-Kombinationen'!A_2</vt:lpstr>
      <vt:lpstr>A_2</vt:lpstr>
      <vt:lpstr>d_10</vt:lpstr>
      <vt:lpstr>d_20</vt:lpstr>
      <vt:lpstr>d_30</vt:lpstr>
      <vt:lpstr>OFFSET</vt:lpstr>
      <vt:lpstr>SCALING</vt:lpstr>
      <vt:lpstr>'Ref0_Alle-Kombinationen'!T_0</vt:lpstr>
      <vt:lpstr>T_0</vt:lpstr>
      <vt:lpstr>'Ref0_Alle-Kombinationen'!T_1</vt:lpstr>
      <vt:lpstr>T_1</vt:lpstr>
      <vt:lpstr>'Ref0_Alle-Kombinationen'!T_2</vt:lpstr>
      <vt:lpstr>T_2</vt:lpstr>
      <vt:lpstr>'Ref0_Alle-Kombinationen'!T_3</vt:lpstr>
      <vt:lpstr>T_3</vt:lpstr>
      <vt:lpstr>'Ref0_Alle-Kombinationen'!T_4</vt:lpstr>
      <vt:lpstr>T_4</vt:lpstr>
      <vt:lpstr>'Ref0_Alle-Kombinationen'!T_5</vt:lpstr>
      <vt:lpstr>T_5</vt:lpstr>
      <vt:lpstr>'Ref0_Alle-Kombinationen'!T_6</vt:lpstr>
      <vt:lpstr>T_6</vt:lpstr>
      <vt:lpstr>'Ref0_Alle-Kombinationen'!T_7</vt:lpstr>
      <vt:lpstr>T_7</vt:lpstr>
      <vt:lpstr>'Ref0_Alle-Kombinationen'!THETA_0</vt:lpstr>
      <vt:lpstr>THETA_0</vt:lpstr>
      <vt:lpstr>'Ref0_Alle-Kombinationen'!THETA_1</vt:lpstr>
      <vt:lpstr>THETA_1</vt:lpstr>
      <vt:lpstr>'Ref0_Alle-Kombinationen'!THETA_1_alt</vt:lpstr>
      <vt:lpstr>THETA_1_alt</vt:lpstr>
      <vt:lpstr>'Ref0_Alle-Kombinationen'!THETA_1dasd</vt:lpstr>
      <vt:lpstr>THETA_1dasd</vt:lpstr>
      <vt:lpstr>'Ref0_Alle-Kombinationen'!THETA_2</vt:lpstr>
      <vt:lpstr>THETA_2</vt:lpstr>
      <vt:lpstr>'Ref0_Alle-Kombinationen'!THETA_3</vt:lpstr>
      <vt:lpstr>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2013-05-29T07:02:31Z</cp:lastPrinted>
  <dcterms:created xsi:type="dcterms:W3CDTF">2013-05-15T11:03:42Z</dcterms:created>
  <dcterms:modified xsi:type="dcterms:W3CDTF">2013-06-05T11:37:34Z</dcterms:modified>
</cp:coreProperties>
</file>