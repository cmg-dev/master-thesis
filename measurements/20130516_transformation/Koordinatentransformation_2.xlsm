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15" yWindow="45" windowWidth="24465" windowHeight="12345" tabRatio="599" activeTab="1"/>
  </bookViews>
  <sheets>
    <sheet name="Messaufbau_Messdaten" sheetId="1" r:id="rId1"/>
    <sheet name="num.-Neues-Modell" sheetId="18" r:id="rId2"/>
    <sheet name="Ref0_Alle-Kombinationen" sheetId="20" r:id="rId3"/>
    <sheet name="ConditionAnalysis" sheetId="21" r:id="rId4"/>
    <sheet name="numerisch" sheetId="15" r:id="rId5"/>
    <sheet name="analytisch" sheetId="14" r:id="rId6"/>
    <sheet name="Modell+Rechnung" sheetId="4" r:id="rId7"/>
    <sheet name="AntennenPermutation" sheetId="19" r:id="rId8"/>
    <sheet name="Matrix_Konfiguration" sheetId="22" r:id="rId9"/>
    <sheet name="Tabelle2" sheetId="23" r:id="rId10"/>
  </sheets>
  <definedNames>
    <definedName name="_xlnm._FilterDatabase" localSheetId="8" hidden="1">Matrix_Konfiguration!$J$294:$K$573</definedName>
    <definedName name="A_1" localSheetId="2">'Ref0_Alle-Kombinationen'!$E$7</definedName>
    <definedName name="A_1">'num.-Neues-Modell'!$E$7</definedName>
    <definedName name="A_2" localSheetId="2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4" hidden="1">numerisch!$K$18:$K$20</definedName>
    <definedName name="solver_adj" localSheetId="2" hidden="1">'Ref0_Alle-Kombinationen'!$H$22:$H$28</definedName>
    <definedName name="solver_cvg" localSheetId="1" hidden="1">0.0001</definedName>
    <definedName name="solver_cvg" localSheetId="4" hidden="1">0.0001</definedName>
    <definedName name="solver_cvg" localSheetId="2" hidden="1">0.0001</definedName>
    <definedName name="solver_drv" localSheetId="1" hidden="1">1</definedName>
    <definedName name="solver_drv" localSheetId="4" hidden="1">1</definedName>
    <definedName name="solver_drv" localSheetId="2" hidden="1">1</definedName>
    <definedName name="solver_est" localSheetId="1" hidden="1">1</definedName>
    <definedName name="solver_est" localSheetId="4" hidden="1">1</definedName>
    <definedName name="solver_est" localSheetId="2" hidden="1">1</definedName>
    <definedName name="solver_itr" localSheetId="1" hidden="1">100</definedName>
    <definedName name="solver_itr" localSheetId="4" hidden="1">100</definedName>
    <definedName name="solver_itr" localSheetId="2" hidden="1">100</definedName>
    <definedName name="solver_lhs1" localSheetId="1" hidden="1">'num.-Neues-Modell'!$H$22:$H$25</definedName>
    <definedName name="solver_lhs1" localSheetId="4" hidden="1">numerisch!$K$20</definedName>
    <definedName name="solver_lhs1" localSheetId="2" hidden="1">'Ref0_Alle-Kombinationen'!$H$22:$H$25</definedName>
    <definedName name="solver_lhs10" localSheetId="4" hidden="1">numerisch!$E$18</definedName>
    <definedName name="solver_lhs11" localSheetId="4" hidden="1">numerisch!$F$18</definedName>
    <definedName name="solver_lhs12" localSheetId="4" hidden="1">numerisch!$G$18</definedName>
    <definedName name="solver_lhs13" localSheetId="4" hidden="1">numerisch!$H$18</definedName>
    <definedName name="solver_lhs14" localSheetId="4" hidden="1">numerisch!$ID$18</definedName>
    <definedName name="solver_lhs15" localSheetId="4" hidden="1">numerisch!$J$18</definedName>
    <definedName name="solver_lhs16" localSheetId="4" hidden="1">numerisch!$K$18</definedName>
    <definedName name="solver_lhs17" localSheetId="4" hidden="1">numerisch!$D$18</definedName>
    <definedName name="solver_lhs18" localSheetId="4" hidden="1">numerisch!$E$18</definedName>
    <definedName name="solver_lhs19" localSheetId="4" hidden="1">numerisch!$F$18</definedName>
    <definedName name="solver_lhs2" localSheetId="1" hidden="1">'num.-Neues-Modell'!$D$22:$D$25</definedName>
    <definedName name="solver_lhs2" localSheetId="4" hidden="1">numerisch!$E$18</definedName>
    <definedName name="solver_lhs2" localSheetId="2" hidden="1">'Ref0_Alle-Kombinationen'!$D$22:$D$25</definedName>
    <definedName name="solver_lhs20" localSheetId="4" hidden="1">numerisch!$G$18</definedName>
    <definedName name="solver_lhs21" localSheetId="4" hidden="1">numerisch!$H$18</definedName>
    <definedName name="solver_lhs22" localSheetId="4" hidden="1">numerisch!$ID$18</definedName>
    <definedName name="solver_lhs23" localSheetId="4" hidden="1">numerisch!$J$18</definedName>
    <definedName name="solver_lhs24" localSheetId="4" hidden="1">numerisch!$K$18</definedName>
    <definedName name="solver_lhs3" localSheetId="1" hidden="1">'num.-Neues-Modell'!$D$28</definedName>
    <definedName name="solver_lhs3" localSheetId="4" hidden="1">numerisch!$F$18</definedName>
    <definedName name="solver_lhs3" localSheetId="2" hidden="1">'Ref0_Alle-Kombinationen'!$D$28</definedName>
    <definedName name="solver_lhs4" localSheetId="1" hidden="1">'num.-Neues-Modell'!$D$25</definedName>
    <definedName name="solver_lhs4" localSheetId="4" hidden="1">numerisch!$G$18</definedName>
    <definedName name="solver_lhs4" localSheetId="2" hidden="1">'Ref0_Alle-Kombinationen'!$D$25</definedName>
    <definedName name="solver_lhs5" localSheetId="4" hidden="1">numerisch!$H$18</definedName>
    <definedName name="solver_lhs6" localSheetId="4" hidden="1">numerisch!$ID$18</definedName>
    <definedName name="solver_lhs7" localSheetId="4" hidden="1">numerisch!$J$18</definedName>
    <definedName name="solver_lhs8" localSheetId="4" hidden="1">numerisch!$K$18</definedName>
    <definedName name="solver_lhs9" localSheetId="4" hidden="1">numerisch!$D$18</definedName>
    <definedName name="solver_lin" localSheetId="1" hidden="1">2</definedName>
    <definedName name="solver_lin" localSheetId="4" hidden="1">2</definedName>
    <definedName name="solver_lin" localSheetId="2" hidden="1">2</definedName>
    <definedName name="solver_neg" localSheetId="1" hidden="1">2</definedName>
    <definedName name="solver_neg" localSheetId="4" hidden="1">2</definedName>
    <definedName name="solver_neg" localSheetId="2" hidden="1">2</definedName>
    <definedName name="solver_num" localSheetId="1" hidden="1">1</definedName>
    <definedName name="solver_num" localSheetId="4" hidden="1">1</definedName>
    <definedName name="solver_num" localSheetId="2" hidden="1">1</definedName>
    <definedName name="solver_nwt" localSheetId="1" hidden="1">1</definedName>
    <definedName name="solver_nwt" localSheetId="4" hidden="1">1</definedName>
    <definedName name="solver_nwt" localSheetId="2" hidden="1">1</definedName>
    <definedName name="solver_opt" localSheetId="1" hidden="1">'num.-Neues-Modell'!$H$57</definedName>
    <definedName name="solver_opt" localSheetId="4" hidden="1">numerisch!$K$14</definedName>
    <definedName name="solver_opt" localSheetId="2" hidden="1">'Ref0_Alle-Kombinationen'!$H$57</definedName>
    <definedName name="solver_pre" localSheetId="1" hidden="1">0.00000001</definedName>
    <definedName name="solver_pre" localSheetId="4" hidden="1">0.000001</definedName>
    <definedName name="solver_pre" localSheetId="2" hidden="1">0.00000001</definedName>
    <definedName name="solver_rel1" localSheetId="1" hidden="1">3</definedName>
    <definedName name="solver_rel1" localSheetId="4" hidden="1">3</definedName>
    <definedName name="solver_rel1" localSheetId="2" hidden="1">3</definedName>
    <definedName name="solver_rel10" localSheetId="4" hidden="1">3</definedName>
    <definedName name="solver_rel11" localSheetId="4" hidden="1">3</definedName>
    <definedName name="solver_rel12" localSheetId="4" hidden="1">3</definedName>
    <definedName name="solver_rel13" localSheetId="4" hidden="1">3</definedName>
    <definedName name="solver_rel14" localSheetId="4" hidden="1">3</definedName>
    <definedName name="solver_rel15" localSheetId="4" hidden="1">3</definedName>
    <definedName name="solver_rel16" localSheetId="4" hidden="1">3</definedName>
    <definedName name="solver_rel17" localSheetId="4" hidden="1">3</definedName>
    <definedName name="solver_rel18" localSheetId="4" hidden="1">3</definedName>
    <definedName name="solver_rel19" localSheetId="4" hidden="1">3</definedName>
    <definedName name="solver_rel2" localSheetId="1" hidden="1">3</definedName>
    <definedName name="solver_rel2" localSheetId="4" hidden="1">3</definedName>
    <definedName name="solver_rel2" localSheetId="2" hidden="1">3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3" localSheetId="1" hidden="1">1</definedName>
    <definedName name="solver_rel3" localSheetId="4" hidden="1">3</definedName>
    <definedName name="solver_rel3" localSheetId="2" hidden="1">1</definedName>
    <definedName name="solver_rel4" localSheetId="1" hidden="1">3</definedName>
    <definedName name="solver_rel4" localSheetId="4" hidden="1">3</definedName>
    <definedName name="solver_rel4" localSheetId="2" hidden="1">3</definedName>
    <definedName name="solver_rel5" localSheetId="4" hidden="1">3</definedName>
    <definedName name="solver_rel6" localSheetId="4" hidden="1">3</definedName>
    <definedName name="solver_rel7" localSheetId="4" hidden="1">3</definedName>
    <definedName name="solver_rel8" localSheetId="4" hidden="1">3</definedName>
    <definedName name="solver_rel9" localSheetId="4" hidden="1">3</definedName>
    <definedName name="solver_rhs1" localSheetId="1" hidden="1">0</definedName>
    <definedName name="solver_rhs1" localSheetId="4" hidden="1">0</definedName>
    <definedName name="solver_rhs1" localSheetId="2" hidden="1">0</definedName>
    <definedName name="solver_rhs10" localSheetId="4" hidden="1">0</definedName>
    <definedName name="solver_rhs11" localSheetId="4" hidden="1">0</definedName>
    <definedName name="solver_rhs12" localSheetId="4" hidden="1">0</definedName>
    <definedName name="solver_rhs13" localSheetId="4" hidden="1">0</definedName>
    <definedName name="solver_rhs14" localSheetId="4" hidden="1">0</definedName>
    <definedName name="solver_rhs15" localSheetId="4" hidden="1">0</definedName>
    <definedName name="solver_rhs16" localSheetId="4" hidden="1">0</definedName>
    <definedName name="solver_rhs17" localSheetId="4" hidden="1">0</definedName>
    <definedName name="solver_rhs18" localSheetId="4" hidden="1">0</definedName>
    <definedName name="solver_rhs19" localSheetId="4" hidden="1">0</definedName>
    <definedName name="solver_rhs2" localSheetId="1" hidden="1">0</definedName>
    <definedName name="solver_rhs2" localSheetId="4" hidden="1">0</definedName>
    <definedName name="solver_rhs2" localSheetId="2" hidden="1">3</definedName>
    <definedName name="solver_rhs20" localSheetId="4" hidden="1">0</definedName>
    <definedName name="solver_rhs21" localSheetId="4" hidden="1">0</definedName>
    <definedName name="solver_rhs22" localSheetId="4" hidden="1">0</definedName>
    <definedName name="solver_rhs23" localSheetId="4" hidden="1">0</definedName>
    <definedName name="solver_rhs24" localSheetId="4" hidden="1">0</definedName>
    <definedName name="solver_rhs3" localSheetId="1" hidden="1">0</definedName>
    <definedName name="solver_rhs3" localSheetId="4" hidden="1">0</definedName>
    <definedName name="solver_rhs3" localSheetId="2" hidden="1">0</definedName>
    <definedName name="solver_rhs4" localSheetId="1" hidden="1">0</definedName>
    <definedName name="solver_rhs4" localSheetId="4" hidden="1">0</definedName>
    <definedName name="solver_rhs4" localSheetId="2" hidden="1">0</definedName>
    <definedName name="solver_rhs5" localSheetId="4" hidden="1">0</definedName>
    <definedName name="solver_rhs6" localSheetId="4" hidden="1">0</definedName>
    <definedName name="solver_rhs7" localSheetId="4" hidden="1">0</definedName>
    <definedName name="solver_rhs8" localSheetId="4" hidden="1">0</definedName>
    <definedName name="solver_rhs9" localSheetId="4" hidden="1">0</definedName>
    <definedName name="solver_scl" localSheetId="1" hidden="1">2</definedName>
    <definedName name="solver_scl" localSheetId="4" hidden="1">2</definedName>
    <definedName name="solver_scl" localSheetId="2" hidden="1">2</definedName>
    <definedName name="solver_sho" localSheetId="1" hidden="1">2</definedName>
    <definedName name="solver_sho" localSheetId="4" hidden="1">2</definedName>
    <definedName name="solver_sho" localSheetId="2" hidden="1">2</definedName>
    <definedName name="solver_tim" localSheetId="1" hidden="1">100</definedName>
    <definedName name="solver_tim" localSheetId="4" hidden="1">100</definedName>
    <definedName name="solver_tim" localSheetId="2" hidden="1">100</definedName>
    <definedName name="solver_tol" localSheetId="1" hidden="1">0.05</definedName>
    <definedName name="solver_tol" localSheetId="4" hidden="1">0.05</definedName>
    <definedName name="solver_tol" localSheetId="2" hidden="1">0.05</definedName>
    <definedName name="solver_typ" localSheetId="1" hidden="1">2</definedName>
    <definedName name="solver_typ" localSheetId="4" hidden="1">2</definedName>
    <definedName name="solver_typ" localSheetId="2" hidden="1">2</definedName>
    <definedName name="solver_val" localSheetId="1" hidden="1">0</definedName>
    <definedName name="solver_val" localSheetId="4" hidden="1">0</definedName>
    <definedName name="solver_val" localSheetId="2" hidden="1">0</definedName>
    <definedName name="T_0" localSheetId="2">'Ref0_Alle-Kombinationen'!$B$149</definedName>
    <definedName name="T_0">'num.-Neues-Modell'!$B$149</definedName>
    <definedName name="T_1" localSheetId="2">'Ref0_Alle-Kombinationen'!$B$150</definedName>
    <definedName name="T_1">'num.-Neues-Modell'!$B$150</definedName>
    <definedName name="T_2" localSheetId="2">'Ref0_Alle-Kombinationen'!$B$151</definedName>
    <definedName name="T_2">'num.-Neues-Modell'!$B$151</definedName>
    <definedName name="T_3" localSheetId="2">'Ref0_Alle-Kombinationen'!$B$152</definedName>
    <definedName name="T_3">'num.-Neues-Modell'!$B$152</definedName>
    <definedName name="T_4" localSheetId="2">'Ref0_Alle-Kombinationen'!$B$153</definedName>
    <definedName name="T_4">'num.-Neues-Modell'!$B$153</definedName>
    <definedName name="T_5" localSheetId="2">'Ref0_Alle-Kombinationen'!$B$154</definedName>
    <definedName name="T_5">'num.-Neues-Modell'!$B$154</definedName>
    <definedName name="T_6" localSheetId="2">'Ref0_Alle-Kombinationen'!$B$155</definedName>
    <definedName name="T_6">'num.-Neues-Modell'!$B$155</definedName>
    <definedName name="T_7" localSheetId="2">'Ref0_Alle-Kombinationen'!$B$156</definedName>
    <definedName name="T_7">'num.-Neues-Modell'!$B$156</definedName>
    <definedName name="THETA_0" localSheetId="2">'Ref0_Alle-Kombinationen'!$H$10</definedName>
    <definedName name="THETA_0">'num.-Neues-Modell'!$H$10</definedName>
    <definedName name="THETA_1" localSheetId="2">'Ref0_Alle-Kombinationen'!$H$7</definedName>
    <definedName name="THETA_1">'num.-Neues-Modell'!$H$7</definedName>
    <definedName name="THETA_1_alt" localSheetId="2">'Ref0_Alle-Kombinationen'!$H$7</definedName>
    <definedName name="THETA_1_alt">'num.-Neues-Modell'!$H$7</definedName>
    <definedName name="THETA_1dasd" localSheetId="2">'Ref0_Alle-Kombinationen'!$H$7</definedName>
    <definedName name="THETA_1dasd">'num.-Neues-Modell'!$H$7</definedName>
    <definedName name="THETA_2" localSheetId="2">'Ref0_Alle-Kombinationen'!$H$8</definedName>
    <definedName name="THETA_2">'num.-Neues-Modell'!$H$8</definedName>
    <definedName name="THETA_3" localSheetId="2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E23" i="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L643" a="1"/>
  <c r="L11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5" a="1"/>
  <c r="L303" a="1"/>
  <c r="L311" a="1"/>
  <c r="L319" a="1"/>
  <c r="L327" a="1"/>
  <c r="L335" a="1"/>
  <c r="L343" a="1"/>
  <c r="L351" a="1"/>
  <c r="L359" a="1"/>
  <c r="L367" a="1"/>
  <c r="L375" a="1"/>
  <c r="L383" a="1"/>
  <c r="L391" a="1"/>
  <c r="L399" a="1"/>
  <c r="L407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299" a="1"/>
  <c r="L315" a="1"/>
  <c r="L331" a="1"/>
  <c r="L347" a="1"/>
  <c r="L363" a="1"/>
  <c r="L379" a="1"/>
  <c r="L395" a="1"/>
  <c r="L411" a="1"/>
  <c r="L415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291" a="1"/>
  <c r="L307" a="1"/>
  <c r="L323" a="1"/>
  <c r="L339" a="1"/>
  <c r="L355" a="1"/>
  <c r="L371" a="1"/>
  <c r="L387" a="1"/>
  <c r="L403" a="1"/>
  <c r="L539" a="1"/>
  <c r="L571" a="1"/>
  <c r="L603" a="1"/>
  <c r="L635" a="1"/>
  <c r="L655" a="1"/>
  <c r="L671" a="1"/>
  <c r="L687" a="1"/>
  <c r="L719" a="1"/>
  <c r="L723" a="1"/>
  <c r="L751" a="1"/>
  <c r="L755" a="1"/>
  <c r="L531" a="1"/>
  <c r="L563" a="1"/>
  <c r="L595" a="1"/>
  <c r="L627" a="1"/>
  <c r="L651" a="1"/>
  <c r="L667" a="1"/>
  <c r="L683" a="1"/>
  <c r="L699" a="1"/>
  <c r="L727" a="1"/>
  <c r="L731" a="1"/>
  <c r="L759" a="1"/>
  <c r="L763" a="1"/>
  <c r="L775" a="1"/>
  <c r="L783" a="1"/>
  <c r="L791" a="1"/>
  <c r="L799" a="1"/>
  <c r="L807" a="1"/>
  <c r="L815" a="1"/>
  <c r="L823" a="1"/>
  <c r="L831" a="1"/>
  <c r="L839" a="1"/>
  <c r="L847" a="1"/>
  <c r="L855" a="1"/>
  <c r="L863" a="1"/>
  <c r="L871" a="1"/>
  <c r="L879" a="1"/>
  <c r="L887" a="1"/>
  <c r="L895" a="1"/>
  <c r="L903" a="1"/>
  <c r="L911" a="1"/>
  <c r="L919" a="1"/>
  <c r="L927" a="1"/>
  <c r="L935" a="1"/>
  <c r="L943" a="1"/>
  <c r="L951" a="1"/>
  <c r="L959" a="1"/>
  <c r="L967" a="1"/>
  <c r="L975" a="1"/>
  <c r="L983" a="1"/>
  <c r="L991" a="1"/>
  <c r="L999" a="1"/>
  <c r="L1007" a="1"/>
  <c r="L523" a="1"/>
  <c r="L555" a="1"/>
  <c r="L587" a="1"/>
  <c r="L619" a="1"/>
  <c r="L663" a="1"/>
  <c r="L679" a="1"/>
  <c r="L695" a="1"/>
  <c r="L703" a="1"/>
  <c r="L707" a="1"/>
  <c r="L735" a="1"/>
  <c r="L739" a="1"/>
  <c r="L767" a="1"/>
  <c r="L771" a="1"/>
  <c r="L515" a="1"/>
  <c r="L547" a="1"/>
  <c r="L579" a="1"/>
  <c r="L611" a="1"/>
  <c r="L659" a="1"/>
  <c r="L675" a="1"/>
  <c r="L691" a="1"/>
  <c r="L711" a="1"/>
  <c r="L715" a="1"/>
  <c r="L743" a="1"/>
  <c r="L747" a="1"/>
  <c r="L779" a="1"/>
  <c r="L787" a="1"/>
  <c r="L795" a="1"/>
  <c r="L803" a="1"/>
  <c r="L811" a="1"/>
  <c r="L819" a="1"/>
  <c r="L827" a="1"/>
  <c r="L835" a="1"/>
  <c r="L843" a="1"/>
  <c r="L851" a="1"/>
  <c r="L859" a="1"/>
  <c r="L867" a="1"/>
  <c r="L875" a="1"/>
  <c r="L883" a="1"/>
  <c r="L891" a="1"/>
  <c r="L899" a="1"/>
  <c r="L907" a="1"/>
  <c r="L915" a="1"/>
  <c r="L923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1" a="1"/>
  <c r="L1059" a="1"/>
  <c r="L1067" a="1"/>
  <c r="L1075" a="1"/>
  <c r="L1039" a="1"/>
  <c r="L1071" a="1"/>
  <c r="L1087" a="1"/>
  <c r="L1091" a="1"/>
  <c r="L1119" a="1"/>
  <c r="L1031" a="1"/>
  <c r="L1063" a="1"/>
  <c r="L1095" a="1"/>
  <c r="L1099" a="1"/>
  <c r="L1023" a="1"/>
  <c r="L1055" a="1"/>
  <c r="L1083" a="1"/>
  <c r="L1103" a="1"/>
  <c r="L1107" a="1"/>
  <c r="L1015" a="1"/>
  <c r="L1047" a="1"/>
  <c r="L1079" a="1"/>
  <c r="L1111" a="1"/>
  <c r="L1115" a="1"/>
  <c r="L643" l="1"/>
  <c r="N644"/>
  <c r="L645"/>
  <c r="M643"/>
  <c r="N643"/>
  <c r="M645"/>
  <c r="L644"/>
  <c r="M644"/>
  <c r="N645"/>
  <c r="L1115"/>
  <c r="P1115" s="1"/>
  <c r="R281" s="1"/>
  <c r="M1116"/>
  <c r="N1117"/>
  <c r="L1116"/>
  <c r="N1115"/>
  <c r="M1117"/>
  <c r="M1115"/>
  <c r="L1117"/>
  <c r="N1116"/>
  <c r="N1111"/>
  <c r="L1113"/>
  <c r="L1112"/>
  <c r="N1113"/>
  <c r="M1111"/>
  <c r="M1113"/>
  <c r="L1111"/>
  <c r="N1112"/>
  <c r="M1112"/>
  <c r="L1079"/>
  <c r="M1080"/>
  <c r="N1081"/>
  <c r="N1079"/>
  <c r="L1081"/>
  <c r="N1080"/>
  <c r="L1080"/>
  <c r="M1079"/>
  <c r="M1081"/>
  <c r="L1047"/>
  <c r="M1048"/>
  <c r="N1049"/>
  <c r="N1047"/>
  <c r="L1049"/>
  <c r="M1047"/>
  <c r="N1048"/>
  <c r="M1049"/>
  <c r="L1048"/>
  <c r="L1015"/>
  <c r="P1015" s="1"/>
  <c r="R256" s="1"/>
  <c r="M1016"/>
  <c r="N1017"/>
  <c r="N1015"/>
  <c r="L1017"/>
  <c r="M1015"/>
  <c r="N1016"/>
  <c r="M1017"/>
  <c r="L1016"/>
  <c r="L1107"/>
  <c r="M1108"/>
  <c r="N1109"/>
  <c r="N1107"/>
  <c r="M1109"/>
  <c r="M1107"/>
  <c r="L1109"/>
  <c r="N1108"/>
  <c r="L1108"/>
  <c r="N1103"/>
  <c r="L1105"/>
  <c r="M1103"/>
  <c r="M1105"/>
  <c r="L1103"/>
  <c r="N1104"/>
  <c r="M1104"/>
  <c r="L1104"/>
  <c r="N1105"/>
  <c r="N1083"/>
  <c r="L1083"/>
  <c r="P1083" s="1"/>
  <c r="R273" s="1"/>
  <c r="M1084"/>
  <c r="N1085"/>
  <c r="L1084"/>
  <c r="M1083"/>
  <c r="M1085"/>
  <c r="L1085"/>
  <c r="N1084"/>
  <c r="L1055"/>
  <c r="P1055" s="1"/>
  <c r="R266" s="1"/>
  <c r="M1056"/>
  <c r="N1057"/>
  <c r="N1055"/>
  <c r="L1057"/>
  <c r="M1055"/>
  <c r="N1056"/>
  <c r="M1057"/>
  <c r="L1056"/>
  <c r="L1023"/>
  <c r="M1024"/>
  <c r="N1025"/>
  <c r="N1023"/>
  <c r="L1025"/>
  <c r="M1023"/>
  <c r="N1024"/>
  <c r="M1025"/>
  <c r="L1024"/>
  <c r="L1099"/>
  <c r="M1100"/>
  <c r="N1101"/>
  <c r="M1099"/>
  <c r="L1101"/>
  <c r="N1100"/>
  <c r="L1100"/>
  <c r="N1099"/>
  <c r="M1101"/>
  <c r="N1095"/>
  <c r="L1097"/>
  <c r="L1095"/>
  <c r="N1096"/>
  <c r="M1096"/>
  <c r="L1096"/>
  <c r="N1097"/>
  <c r="M1095"/>
  <c r="M1097"/>
  <c r="L1063"/>
  <c r="P1063" s="1"/>
  <c r="R268" s="1"/>
  <c r="M1064"/>
  <c r="N1065"/>
  <c r="N1063"/>
  <c r="L1065"/>
  <c r="M1063"/>
  <c r="N1064"/>
  <c r="L1064"/>
  <c r="M1065"/>
  <c r="L1031"/>
  <c r="M1032"/>
  <c r="N1033"/>
  <c r="N1031"/>
  <c r="L1033"/>
  <c r="M1031"/>
  <c r="N1032"/>
  <c r="L1032"/>
  <c r="M1033"/>
  <c r="N1119"/>
  <c r="L1121"/>
  <c r="M1120"/>
  <c r="L1120"/>
  <c r="N1121"/>
  <c r="M1119"/>
  <c r="M1121"/>
  <c r="L1119"/>
  <c r="N1120"/>
  <c r="L1091"/>
  <c r="M1092"/>
  <c r="N1093"/>
  <c r="N1092"/>
  <c r="L1092"/>
  <c r="N1091"/>
  <c r="M1093"/>
  <c r="M1091"/>
  <c r="L1093"/>
  <c r="N1087"/>
  <c r="L1089"/>
  <c r="M1088"/>
  <c r="L1088"/>
  <c r="N1089"/>
  <c r="M1087"/>
  <c r="M1089"/>
  <c r="L1087"/>
  <c r="N1088"/>
  <c r="L1071"/>
  <c r="M1072"/>
  <c r="N1073"/>
  <c r="N1071"/>
  <c r="L1073"/>
  <c r="M1071"/>
  <c r="N1072"/>
  <c r="M1073"/>
  <c r="L1072"/>
  <c r="L1039"/>
  <c r="M1040"/>
  <c r="N1041"/>
  <c r="N1039"/>
  <c r="L1041"/>
  <c r="M1039"/>
  <c r="N1040"/>
  <c r="M1041"/>
  <c r="L1040"/>
  <c r="N1075"/>
  <c r="L1077"/>
  <c r="L1075"/>
  <c r="M1076"/>
  <c r="N1077"/>
  <c r="L1076"/>
  <c r="M1077"/>
  <c r="N1076"/>
  <c r="M1075"/>
  <c r="N1067"/>
  <c r="L1069"/>
  <c r="L1067"/>
  <c r="M1068"/>
  <c r="N1069"/>
  <c r="L1068"/>
  <c r="M1069"/>
  <c r="N1068"/>
  <c r="M1067"/>
  <c r="N1059"/>
  <c r="L1061"/>
  <c r="L1059"/>
  <c r="M1060"/>
  <c r="N1061"/>
  <c r="L1060"/>
  <c r="M1061"/>
  <c r="N1060"/>
  <c r="M1059"/>
  <c r="N1051"/>
  <c r="L1053"/>
  <c r="L1051"/>
  <c r="P1051" s="1"/>
  <c r="R265" s="1"/>
  <c r="M1052"/>
  <c r="N1053"/>
  <c r="L1052"/>
  <c r="M1053"/>
  <c r="M1051"/>
  <c r="N1052"/>
  <c r="N1043"/>
  <c r="L1045"/>
  <c r="L1043"/>
  <c r="M1044"/>
  <c r="N1045"/>
  <c r="L1044"/>
  <c r="M1045"/>
  <c r="N1044"/>
  <c r="M1043"/>
  <c r="N1035"/>
  <c r="L1037"/>
  <c r="L1035"/>
  <c r="M1036"/>
  <c r="N1037"/>
  <c r="L1036"/>
  <c r="M1037"/>
  <c r="N1036"/>
  <c r="M1035"/>
  <c r="N1027"/>
  <c r="L1029"/>
  <c r="L1027"/>
  <c r="M1028"/>
  <c r="N1029"/>
  <c r="L1028"/>
  <c r="M1029"/>
  <c r="N1028"/>
  <c r="M1027"/>
  <c r="N1019"/>
  <c r="L1021"/>
  <c r="L1019"/>
  <c r="P1019" s="1"/>
  <c r="R257" s="1"/>
  <c r="M1020"/>
  <c r="N1021"/>
  <c r="L1020"/>
  <c r="M1021"/>
  <c r="M1019"/>
  <c r="N1020"/>
  <c r="N1011"/>
  <c r="L1013"/>
  <c r="L1011"/>
  <c r="M1012"/>
  <c r="N1013"/>
  <c r="L1012"/>
  <c r="M1013"/>
  <c r="N1012"/>
  <c r="M1011"/>
  <c r="N1003"/>
  <c r="L1005"/>
  <c r="M1003"/>
  <c r="N1004"/>
  <c r="L1003"/>
  <c r="P1003" s="1"/>
  <c r="R253" s="1"/>
  <c r="M1004"/>
  <c r="N1005"/>
  <c r="L1004"/>
  <c r="M1005"/>
  <c r="N995"/>
  <c r="L997"/>
  <c r="M995"/>
  <c r="N996"/>
  <c r="L995"/>
  <c r="M996"/>
  <c r="N997"/>
  <c r="L996"/>
  <c r="M997"/>
  <c r="N987"/>
  <c r="L989"/>
  <c r="M987"/>
  <c r="N988"/>
  <c r="L987"/>
  <c r="M988"/>
  <c r="N989"/>
  <c r="L988"/>
  <c r="M989"/>
  <c r="N979"/>
  <c r="L981"/>
  <c r="M979"/>
  <c r="N980"/>
  <c r="L979"/>
  <c r="M980"/>
  <c r="N981"/>
  <c r="L980"/>
  <c r="M981"/>
  <c r="N971"/>
  <c r="L973"/>
  <c r="M971"/>
  <c r="N972"/>
  <c r="L971"/>
  <c r="P971" s="1"/>
  <c r="R245" s="1"/>
  <c r="M972"/>
  <c r="N973"/>
  <c r="L972"/>
  <c r="M973"/>
  <c r="N963"/>
  <c r="L965"/>
  <c r="M963"/>
  <c r="N964"/>
  <c r="L963"/>
  <c r="M964"/>
  <c r="N965"/>
  <c r="L964"/>
  <c r="M965"/>
  <c r="N955"/>
  <c r="L957"/>
  <c r="M955"/>
  <c r="N956"/>
  <c r="L955"/>
  <c r="M956"/>
  <c r="N957"/>
  <c r="L956"/>
  <c r="M957"/>
  <c r="N947"/>
  <c r="L949"/>
  <c r="M947"/>
  <c r="N948"/>
  <c r="L947"/>
  <c r="M948"/>
  <c r="N949"/>
  <c r="L948"/>
  <c r="M949"/>
  <c r="N939"/>
  <c r="L941"/>
  <c r="M939"/>
  <c r="N940"/>
  <c r="L939"/>
  <c r="P939" s="1"/>
  <c r="R237" s="1"/>
  <c r="M940"/>
  <c r="N941"/>
  <c r="L940"/>
  <c r="M941"/>
  <c r="N931"/>
  <c r="L933"/>
  <c r="M931"/>
  <c r="N932"/>
  <c r="L931"/>
  <c r="M932"/>
  <c r="N933"/>
  <c r="L932"/>
  <c r="M933"/>
  <c r="N923"/>
  <c r="L925"/>
  <c r="M923"/>
  <c r="N924"/>
  <c r="L923"/>
  <c r="M924"/>
  <c r="N925"/>
  <c r="L924"/>
  <c r="M925"/>
  <c r="N915"/>
  <c r="L917"/>
  <c r="M915"/>
  <c r="N916"/>
  <c r="L915"/>
  <c r="M916"/>
  <c r="N917"/>
  <c r="L916"/>
  <c r="M917"/>
  <c r="N907"/>
  <c r="L909"/>
  <c r="M907"/>
  <c r="N908"/>
  <c r="L907"/>
  <c r="P907" s="1"/>
  <c r="R229" s="1"/>
  <c r="M908"/>
  <c r="N909"/>
  <c r="L908"/>
  <c r="M909"/>
  <c r="N899"/>
  <c r="L901"/>
  <c r="M899"/>
  <c r="N900"/>
  <c r="L899"/>
  <c r="M900"/>
  <c r="N901"/>
  <c r="L900"/>
  <c r="M901"/>
  <c r="N891"/>
  <c r="L893"/>
  <c r="M891"/>
  <c r="N892"/>
  <c r="L891"/>
  <c r="M892"/>
  <c r="N893"/>
  <c r="L892"/>
  <c r="M893"/>
  <c r="N883"/>
  <c r="L885"/>
  <c r="M883"/>
  <c r="N884"/>
  <c r="L883"/>
  <c r="M884"/>
  <c r="N885"/>
  <c r="L884"/>
  <c r="M885"/>
  <c r="N875"/>
  <c r="L877"/>
  <c r="M875"/>
  <c r="N876"/>
  <c r="L875"/>
  <c r="P875" s="1"/>
  <c r="R221" s="1"/>
  <c r="M876"/>
  <c r="N877"/>
  <c r="L876"/>
  <c r="M877"/>
  <c r="N867"/>
  <c r="L869"/>
  <c r="M867"/>
  <c r="N868"/>
  <c r="L867"/>
  <c r="M868"/>
  <c r="N869"/>
  <c r="L868"/>
  <c r="M869"/>
  <c r="N859"/>
  <c r="L861"/>
  <c r="M859"/>
  <c r="N860"/>
  <c r="L859"/>
  <c r="M860"/>
  <c r="N861"/>
  <c r="L860"/>
  <c r="M861"/>
  <c r="N851"/>
  <c r="L853"/>
  <c r="M851"/>
  <c r="N852"/>
  <c r="L851"/>
  <c r="M852"/>
  <c r="N853"/>
  <c r="L852"/>
  <c r="M853"/>
  <c r="N843"/>
  <c r="L845"/>
  <c r="M843"/>
  <c r="N844"/>
  <c r="L843"/>
  <c r="P843" s="1"/>
  <c r="R213" s="1"/>
  <c r="M844"/>
  <c r="N845"/>
  <c r="L844"/>
  <c r="M845"/>
  <c r="N835"/>
  <c r="L837"/>
  <c r="M835"/>
  <c r="N836"/>
  <c r="L835"/>
  <c r="M836"/>
  <c r="N837"/>
  <c r="L836"/>
  <c r="M837"/>
  <c r="N827"/>
  <c r="L829"/>
  <c r="M827"/>
  <c r="N828"/>
  <c r="L827"/>
  <c r="M828"/>
  <c r="N829"/>
  <c r="L828"/>
  <c r="M829"/>
  <c r="N819"/>
  <c r="L821"/>
  <c r="M819"/>
  <c r="N820"/>
  <c r="L819"/>
  <c r="M820"/>
  <c r="N821"/>
  <c r="L820"/>
  <c r="M821"/>
  <c r="N811"/>
  <c r="L813"/>
  <c r="M811"/>
  <c r="N812"/>
  <c r="L811"/>
  <c r="P811" s="1"/>
  <c r="R205" s="1"/>
  <c r="M812"/>
  <c r="N813"/>
  <c r="L812"/>
  <c r="M813"/>
  <c r="N803"/>
  <c r="L805"/>
  <c r="M803"/>
  <c r="N804"/>
  <c r="L803"/>
  <c r="M804"/>
  <c r="N805"/>
  <c r="L804"/>
  <c r="M805"/>
  <c r="N795"/>
  <c r="L797"/>
  <c r="M795"/>
  <c r="N796"/>
  <c r="L795"/>
  <c r="M796"/>
  <c r="N797"/>
  <c r="L796"/>
  <c r="M797"/>
  <c r="N787"/>
  <c r="L789"/>
  <c r="M787"/>
  <c r="N788"/>
  <c r="L787"/>
  <c r="M788"/>
  <c r="N789"/>
  <c r="L788"/>
  <c r="M789"/>
  <c r="N779"/>
  <c r="L781"/>
  <c r="M779"/>
  <c r="N780"/>
  <c r="L779"/>
  <c r="P779" s="1"/>
  <c r="R197" s="1"/>
  <c r="M780"/>
  <c r="N781"/>
  <c r="L780"/>
  <c r="M781"/>
  <c r="L747"/>
  <c r="M748"/>
  <c r="N749"/>
  <c r="L748"/>
  <c r="N747"/>
  <c r="M749"/>
  <c r="M747"/>
  <c r="L749"/>
  <c r="N748"/>
  <c r="N743"/>
  <c r="L745"/>
  <c r="L744"/>
  <c r="N745"/>
  <c r="M743"/>
  <c r="M745"/>
  <c r="L743"/>
  <c r="P743" s="1"/>
  <c r="R188" s="1"/>
  <c r="N744"/>
  <c r="M744"/>
  <c r="L715"/>
  <c r="M716"/>
  <c r="N717"/>
  <c r="L716"/>
  <c r="N715"/>
  <c r="M717"/>
  <c r="M715"/>
  <c r="L717"/>
  <c r="N716"/>
  <c r="N711"/>
  <c r="L713"/>
  <c r="L712"/>
  <c r="N713"/>
  <c r="M711"/>
  <c r="M713"/>
  <c r="L711"/>
  <c r="N712"/>
  <c r="M712"/>
  <c r="N691"/>
  <c r="L693"/>
  <c r="L691"/>
  <c r="M692"/>
  <c r="N693"/>
  <c r="N692"/>
  <c r="L692"/>
  <c r="M691"/>
  <c r="M693"/>
  <c r="N675"/>
  <c r="L677"/>
  <c r="L675"/>
  <c r="P675" s="1"/>
  <c r="R171" s="1"/>
  <c r="M676"/>
  <c r="N677"/>
  <c r="N676"/>
  <c r="L676"/>
  <c r="M675"/>
  <c r="M677"/>
  <c r="N659"/>
  <c r="L661"/>
  <c r="L659"/>
  <c r="M660"/>
  <c r="N661"/>
  <c r="N660"/>
  <c r="L660"/>
  <c r="M659"/>
  <c r="M661"/>
  <c r="N611"/>
  <c r="L613"/>
  <c r="M611"/>
  <c r="N612"/>
  <c r="L611"/>
  <c r="P611" s="1"/>
  <c r="R155" s="1"/>
  <c r="M612"/>
  <c r="N613"/>
  <c r="M613"/>
  <c r="L612"/>
  <c r="N579"/>
  <c r="L581"/>
  <c r="M579"/>
  <c r="N580"/>
  <c r="L579"/>
  <c r="M580"/>
  <c r="N581"/>
  <c r="M581"/>
  <c r="L580"/>
  <c r="N547"/>
  <c r="L549"/>
  <c r="M547"/>
  <c r="N548"/>
  <c r="L547"/>
  <c r="M548"/>
  <c r="N549"/>
  <c r="M549"/>
  <c r="L548"/>
  <c r="N515"/>
  <c r="L517"/>
  <c r="M515"/>
  <c r="N516"/>
  <c r="L515"/>
  <c r="M516"/>
  <c r="N517"/>
  <c r="M517"/>
  <c r="L516"/>
  <c r="L771"/>
  <c r="P771" s="1"/>
  <c r="R195" s="1"/>
  <c r="N771"/>
  <c r="L773"/>
  <c r="M771"/>
  <c r="N772"/>
  <c r="M772"/>
  <c r="N773"/>
  <c r="L772"/>
  <c r="M773"/>
  <c r="N767"/>
  <c r="L769"/>
  <c r="M767"/>
  <c r="M769"/>
  <c r="L767"/>
  <c r="N768"/>
  <c r="M768"/>
  <c r="L768"/>
  <c r="N769"/>
  <c r="L739"/>
  <c r="M740"/>
  <c r="N741"/>
  <c r="N739"/>
  <c r="M741"/>
  <c r="M739"/>
  <c r="L741"/>
  <c r="N740"/>
  <c r="L740"/>
  <c r="N735"/>
  <c r="L737"/>
  <c r="M735"/>
  <c r="M737"/>
  <c r="L735"/>
  <c r="N736"/>
  <c r="M736"/>
  <c r="L736"/>
  <c r="N737"/>
  <c r="L707"/>
  <c r="P707" s="1"/>
  <c r="R179" s="1"/>
  <c r="M708"/>
  <c r="N709"/>
  <c r="N707"/>
  <c r="M709"/>
  <c r="M707"/>
  <c r="L709"/>
  <c r="N708"/>
  <c r="L708"/>
  <c r="N703"/>
  <c r="L705"/>
  <c r="M703"/>
  <c r="M705"/>
  <c r="L703"/>
  <c r="N704"/>
  <c r="M704"/>
  <c r="L704"/>
  <c r="N705"/>
  <c r="L695"/>
  <c r="M696"/>
  <c r="N697"/>
  <c r="N695"/>
  <c r="L697"/>
  <c r="L696"/>
  <c r="M695"/>
  <c r="M697"/>
  <c r="N696"/>
  <c r="L679"/>
  <c r="M680"/>
  <c r="N681"/>
  <c r="N679"/>
  <c r="L681"/>
  <c r="L680"/>
  <c r="M679"/>
  <c r="M681"/>
  <c r="N680"/>
  <c r="L663"/>
  <c r="P663" s="1"/>
  <c r="R168" s="1"/>
  <c r="M664"/>
  <c r="N665"/>
  <c r="N663"/>
  <c r="L665"/>
  <c r="L664"/>
  <c r="M663"/>
  <c r="M665"/>
  <c r="N664"/>
  <c r="N619"/>
  <c r="L621"/>
  <c r="M619"/>
  <c r="N620"/>
  <c r="L619"/>
  <c r="M620"/>
  <c r="N621"/>
  <c r="M621"/>
  <c r="L620"/>
  <c r="N587"/>
  <c r="L589"/>
  <c r="M587"/>
  <c r="N588"/>
  <c r="L587"/>
  <c r="M588"/>
  <c r="N589"/>
  <c r="M589"/>
  <c r="L588"/>
  <c r="N555"/>
  <c r="L557"/>
  <c r="M555"/>
  <c r="N556"/>
  <c r="L555"/>
  <c r="M556"/>
  <c r="N557"/>
  <c r="M557"/>
  <c r="L556"/>
  <c r="N523"/>
  <c r="L525"/>
  <c r="M523"/>
  <c r="N524"/>
  <c r="L523"/>
  <c r="P523" s="1"/>
  <c r="R133" s="1"/>
  <c r="M524"/>
  <c r="N525"/>
  <c r="M525"/>
  <c r="L524"/>
  <c r="L1007"/>
  <c r="M1008"/>
  <c r="N1009"/>
  <c r="N1007"/>
  <c r="L1009"/>
  <c r="M1007"/>
  <c r="N1008"/>
  <c r="M1009"/>
  <c r="L1008"/>
  <c r="L999"/>
  <c r="M1000"/>
  <c r="N1001"/>
  <c r="L1000"/>
  <c r="M1001"/>
  <c r="N999"/>
  <c r="L1001"/>
  <c r="M999"/>
  <c r="N1000"/>
  <c r="L991"/>
  <c r="M992"/>
  <c r="N993"/>
  <c r="L992"/>
  <c r="M993"/>
  <c r="N991"/>
  <c r="L993"/>
  <c r="M991"/>
  <c r="N992"/>
  <c r="L983"/>
  <c r="P983" s="1"/>
  <c r="R248" s="1"/>
  <c r="M984"/>
  <c r="N985"/>
  <c r="L984"/>
  <c r="M985"/>
  <c r="N983"/>
  <c r="L985"/>
  <c r="M983"/>
  <c r="N984"/>
  <c r="L975"/>
  <c r="M976"/>
  <c r="N977"/>
  <c r="L976"/>
  <c r="M977"/>
  <c r="N975"/>
  <c r="L977"/>
  <c r="M975"/>
  <c r="N976"/>
  <c r="L967"/>
  <c r="M968"/>
  <c r="N969"/>
  <c r="L968"/>
  <c r="M969"/>
  <c r="N967"/>
  <c r="L969"/>
  <c r="M967"/>
  <c r="N968"/>
  <c r="L959"/>
  <c r="M960"/>
  <c r="N961"/>
  <c r="L960"/>
  <c r="M961"/>
  <c r="N959"/>
  <c r="L961"/>
  <c r="M959"/>
  <c r="N960"/>
  <c r="L951"/>
  <c r="P951" s="1"/>
  <c r="R240" s="1"/>
  <c r="M952"/>
  <c r="N953"/>
  <c r="L952"/>
  <c r="M953"/>
  <c r="N951"/>
  <c r="L953"/>
  <c r="M951"/>
  <c r="N952"/>
  <c r="L943"/>
  <c r="M944"/>
  <c r="N945"/>
  <c r="L944"/>
  <c r="M945"/>
  <c r="N943"/>
  <c r="L945"/>
  <c r="M943"/>
  <c r="N944"/>
  <c r="L935"/>
  <c r="M936"/>
  <c r="N937"/>
  <c r="L936"/>
  <c r="M937"/>
  <c r="N935"/>
  <c r="L937"/>
  <c r="M935"/>
  <c r="N936"/>
  <c r="L927"/>
  <c r="M928"/>
  <c r="N929"/>
  <c r="L928"/>
  <c r="M929"/>
  <c r="N927"/>
  <c r="L929"/>
  <c r="M927"/>
  <c r="N928"/>
  <c r="L919"/>
  <c r="P919" s="1"/>
  <c r="R232" s="1"/>
  <c r="M920"/>
  <c r="N921"/>
  <c r="L920"/>
  <c r="M921"/>
  <c r="N919"/>
  <c r="L921"/>
  <c r="M919"/>
  <c r="N920"/>
  <c r="L911"/>
  <c r="M912"/>
  <c r="N913"/>
  <c r="L912"/>
  <c r="M913"/>
  <c r="N911"/>
  <c r="L913"/>
  <c r="M911"/>
  <c r="N912"/>
  <c r="L903"/>
  <c r="M904"/>
  <c r="N905"/>
  <c r="L904"/>
  <c r="M905"/>
  <c r="N903"/>
  <c r="L905"/>
  <c r="M903"/>
  <c r="N904"/>
  <c r="L895"/>
  <c r="M896"/>
  <c r="N897"/>
  <c r="L896"/>
  <c r="M897"/>
  <c r="N895"/>
  <c r="L897"/>
  <c r="M895"/>
  <c r="N896"/>
  <c r="L887"/>
  <c r="P887" s="1"/>
  <c r="R224" s="1"/>
  <c r="M888"/>
  <c r="N889"/>
  <c r="L888"/>
  <c r="M889"/>
  <c r="N887"/>
  <c r="L889"/>
  <c r="M887"/>
  <c r="N888"/>
  <c r="L879"/>
  <c r="M880"/>
  <c r="N881"/>
  <c r="L880"/>
  <c r="M881"/>
  <c r="N879"/>
  <c r="L881"/>
  <c r="M879"/>
  <c r="N880"/>
  <c r="L871"/>
  <c r="M872"/>
  <c r="N873"/>
  <c r="L872"/>
  <c r="M873"/>
  <c r="N871"/>
  <c r="L873"/>
  <c r="M871"/>
  <c r="N872"/>
  <c r="L863"/>
  <c r="M864"/>
  <c r="N865"/>
  <c r="L864"/>
  <c r="M865"/>
  <c r="N863"/>
  <c r="L865"/>
  <c r="M863"/>
  <c r="N864"/>
  <c r="L855"/>
  <c r="P855" s="1"/>
  <c r="R216" s="1"/>
  <c r="M856"/>
  <c r="N857"/>
  <c r="L856"/>
  <c r="M857"/>
  <c r="N855"/>
  <c r="L857"/>
  <c r="M855"/>
  <c r="N856"/>
  <c r="L847"/>
  <c r="M848"/>
  <c r="N849"/>
  <c r="L848"/>
  <c r="M849"/>
  <c r="N847"/>
  <c r="L849"/>
  <c r="M847"/>
  <c r="N848"/>
  <c r="L839"/>
  <c r="M840"/>
  <c r="N841"/>
  <c r="L840"/>
  <c r="M841"/>
  <c r="N839"/>
  <c r="L841"/>
  <c r="M839"/>
  <c r="N840"/>
  <c r="L831"/>
  <c r="M832"/>
  <c r="N833"/>
  <c r="L832"/>
  <c r="M833"/>
  <c r="N831"/>
  <c r="L833"/>
  <c r="M831"/>
  <c r="N832"/>
  <c r="L823"/>
  <c r="P823" s="1"/>
  <c r="R208" s="1"/>
  <c r="M824"/>
  <c r="N825"/>
  <c r="L824"/>
  <c r="M825"/>
  <c r="N823"/>
  <c r="L825"/>
  <c r="M823"/>
  <c r="N824"/>
  <c r="L815"/>
  <c r="M816"/>
  <c r="N817"/>
  <c r="L816"/>
  <c r="M817"/>
  <c r="N815"/>
  <c r="L817"/>
  <c r="M815"/>
  <c r="N816"/>
  <c r="L807"/>
  <c r="M808"/>
  <c r="N809"/>
  <c r="L808"/>
  <c r="M809"/>
  <c r="N807"/>
  <c r="L809"/>
  <c r="M807"/>
  <c r="N808"/>
  <c r="L799"/>
  <c r="M800"/>
  <c r="N801"/>
  <c r="L800"/>
  <c r="M801"/>
  <c r="N799"/>
  <c r="L801"/>
  <c r="M799"/>
  <c r="N800"/>
  <c r="L791"/>
  <c r="P791" s="1"/>
  <c r="R200" s="1"/>
  <c r="M792"/>
  <c r="N793"/>
  <c r="L792"/>
  <c r="M793"/>
  <c r="N791"/>
  <c r="L793"/>
  <c r="M791"/>
  <c r="N792"/>
  <c r="L783"/>
  <c r="M784"/>
  <c r="N785"/>
  <c r="L784"/>
  <c r="M785"/>
  <c r="N783"/>
  <c r="L785"/>
  <c r="M783"/>
  <c r="N784"/>
  <c r="L775"/>
  <c r="M776"/>
  <c r="N777"/>
  <c r="L776"/>
  <c r="M777"/>
  <c r="N775"/>
  <c r="L777"/>
  <c r="M775"/>
  <c r="N776"/>
  <c r="L763"/>
  <c r="M764"/>
  <c r="N765"/>
  <c r="M763"/>
  <c r="L765"/>
  <c r="N764"/>
  <c r="L764"/>
  <c r="N763"/>
  <c r="M765"/>
  <c r="N759"/>
  <c r="L761"/>
  <c r="L759"/>
  <c r="N760"/>
  <c r="M760"/>
  <c r="L760"/>
  <c r="N761"/>
  <c r="M759"/>
  <c r="M761"/>
  <c r="L731"/>
  <c r="M732"/>
  <c r="N733"/>
  <c r="M731"/>
  <c r="L733"/>
  <c r="N732"/>
  <c r="L732"/>
  <c r="N731"/>
  <c r="M733"/>
  <c r="N727"/>
  <c r="L729"/>
  <c r="L727"/>
  <c r="N728"/>
  <c r="M728"/>
  <c r="L728"/>
  <c r="N729"/>
  <c r="M727"/>
  <c r="M729"/>
  <c r="L699"/>
  <c r="M700"/>
  <c r="N701"/>
  <c r="M699"/>
  <c r="L701"/>
  <c r="N700"/>
  <c r="L700"/>
  <c r="N699"/>
  <c r="M701"/>
  <c r="N683"/>
  <c r="L685"/>
  <c r="L683"/>
  <c r="M684"/>
  <c r="N685"/>
  <c r="M683"/>
  <c r="M685"/>
  <c r="N684"/>
  <c r="L684"/>
  <c r="N667"/>
  <c r="L669"/>
  <c r="L667"/>
  <c r="M668"/>
  <c r="N669"/>
  <c r="M667"/>
  <c r="M669"/>
  <c r="N668"/>
  <c r="L668"/>
  <c r="N651"/>
  <c r="L653"/>
  <c r="L651"/>
  <c r="P651" s="1"/>
  <c r="R165" s="1"/>
  <c r="M652"/>
  <c r="N653"/>
  <c r="M651"/>
  <c r="M653"/>
  <c r="N652"/>
  <c r="L652"/>
  <c r="N627"/>
  <c r="L629"/>
  <c r="M627"/>
  <c r="N628"/>
  <c r="L627"/>
  <c r="M628"/>
  <c r="N629"/>
  <c r="L628"/>
  <c r="M629"/>
  <c r="N595"/>
  <c r="L597"/>
  <c r="M595"/>
  <c r="N596"/>
  <c r="L595"/>
  <c r="P595" s="1"/>
  <c r="R151" s="1"/>
  <c r="M596"/>
  <c r="N597"/>
  <c r="L596"/>
  <c r="M597"/>
  <c r="N563"/>
  <c r="L565"/>
  <c r="M563"/>
  <c r="N564"/>
  <c r="L563"/>
  <c r="M564"/>
  <c r="N565"/>
  <c r="L564"/>
  <c r="M565"/>
  <c r="N531"/>
  <c r="L533"/>
  <c r="M531"/>
  <c r="N532"/>
  <c r="L531"/>
  <c r="M532"/>
  <c r="N533"/>
  <c r="L532"/>
  <c r="M533"/>
  <c r="L755"/>
  <c r="M756"/>
  <c r="N757"/>
  <c r="N756"/>
  <c r="L756"/>
  <c r="N755"/>
  <c r="M757"/>
  <c r="M755"/>
  <c r="L757"/>
  <c r="N751"/>
  <c r="L753"/>
  <c r="M752"/>
  <c r="L752"/>
  <c r="N753"/>
  <c r="M751"/>
  <c r="M753"/>
  <c r="L751"/>
  <c r="N752"/>
  <c r="L723"/>
  <c r="M724"/>
  <c r="N725"/>
  <c r="N724"/>
  <c r="L724"/>
  <c r="N723"/>
  <c r="M725"/>
  <c r="M723"/>
  <c r="L725"/>
  <c r="N719"/>
  <c r="L721"/>
  <c r="M720"/>
  <c r="L720"/>
  <c r="N721"/>
  <c r="M719"/>
  <c r="M721"/>
  <c r="L719"/>
  <c r="N720"/>
  <c r="L687"/>
  <c r="M688"/>
  <c r="N689"/>
  <c r="N687"/>
  <c r="L689"/>
  <c r="M689"/>
  <c r="N688"/>
  <c r="L688"/>
  <c r="M687"/>
  <c r="L671"/>
  <c r="P671" s="1"/>
  <c r="R170" s="1"/>
  <c r="M672"/>
  <c r="N673"/>
  <c r="N671"/>
  <c r="L673"/>
  <c r="M673"/>
  <c r="N672"/>
  <c r="L672"/>
  <c r="M671"/>
  <c r="L655"/>
  <c r="M656"/>
  <c r="N657"/>
  <c r="N655"/>
  <c r="L657"/>
  <c r="M657"/>
  <c r="N656"/>
  <c r="L656"/>
  <c r="M655"/>
  <c r="N635"/>
  <c r="L637"/>
  <c r="M635"/>
  <c r="N636"/>
  <c r="L635"/>
  <c r="M636"/>
  <c r="N637"/>
  <c r="M637"/>
  <c r="L636"/>
  <c r="N603"/>
  <c r="L605"/>
  <c r="M603"/>
  <c r="N604"/>
  <c r="L603"/>
  <c r="M604"/>
  <c r="N605"/>
  <c r="M605"/>
  <c r="L604"/>
  <c r="N571"/>
  <c r="L573"/>
  <c r="M571"/>
  <c r="N572"/>
  <c r="L571"/>
  <c r="P571" s="1"/>
  <c r="R145" s="1"/>
  <c r="M572"/>
  <c r="N573"/>
  <c r="M573"/>
  <c r="L572"/>
  <c r="N539"/>
  <c r="L541"/>
  <c r="M539"/>
  <c r="N540"/>
  <c r="L539"/>
  <c r="M540"/>
  <c r="N541"/>
  <c r="M541"/>
  <c r="L540"/>
  <c r="N403"/>
  <c r="L405"/>
  <c r="M403"/>
  <c r="M404"/>
  <c r="L404"/>
  <c r="N405"/>
  <c r="L403"/>
  <c r="P403" s="1"/>
  <c r="R103" s="1"/>
  <c r="M405"/>
  <c r="N404"/>
  <c r="N387"/>
  <c r="L389"/>
  <c r="M387"/>
  <c r="N388"/>
  <c r="M388"/>
  <c r="L388"/>
  <c r="L387"/>
  <c r="N389"/>
  <c r="M389"/>
  <c r="N371"/>
  <c r="L373"/>
  <c r="M371"/>
  <c r="N372"/>
  <c r="M372"/>
  <c r="L372"/>
  <c r="L371"/>
  <c r="N373"/>
  <c r="M373"/>
  <c r="N355"/>
  <c r="L357"/>
  <c r="M355"/>
  <c r="N356"/>
  <c r="M356"/>
  <c r="L356"/>
  <c r="L355"/>
  <c r="N357"/>
  <c r="M357"/>
  <c r="N339"/>
  <c r="L341"/>
  <c r="M339"/>
  <c r="N340"/>
  <c r="M340"/>
  <c r="L340"/>
  <c r="L339"/>
  <c r="P339" s="1"/>
  <c r="R87" s="1"/>
  <c r="N341"/>
  <c r="M341"/>
  <c r="N323"/>
  <c r="L325"/>
  <c r="M323"/>
  <c r="N324"/>
  <c r="M324"/>
  <c r="L324"/>
  <c r="L323"/>
  <c r="N325"/>
  <c r="M325"/>
  <c r="N307"/>
  <c r="L309"/>
  <c r="M307"/>
  <c r="N308"/>
  <c r="M308"/>
  <c r="L308"/>
  <c r="L307"/>
  <c r="N309"/>
  <c r="M309"/>
  <c r="N291"/>
  <c r="L293"/>
  <c r="M291"/>
  <c r="N292"/>
  <c r="M292"/>
  <c r="L292"/>
  <c r="L291"/>
  <c r="N293"/>
  <c r="M293"/>
  <c r="L647"/>
  <c r="M648"/>
  <c r="N649"/>
  <c r="L648"/>
  <c r="N647"/>
  <c r="L649"/>
  <c r="M647"/>
  <c r="M649"/>
  <c r="N648"/>
  <c r="L639"/>
  <c r="M640"/>
  <c r="N641"/>
  <c r="L640"/>
  <c r="M641"/>
  <c r="N639"/>
  <c r="L641"/>
  <c r="N640"/>
  <c r="M639"/>
  <c r="L631"/>
  <c r="P631" s="1"/>
  <c r="R160" s="1"/>
  <c r="M632"/>
  <c r="N633"/>
  <c r="L632"/>
  <c r="M633"/>
  <c r="N631"/>
  <c r="L633"/>
  <c r="N632"/>
  <c r="M631"/>
  <c r="L623"/>
  <c r="M624"/>
  <c r="N625"/>
  <c r="L624"/>
  <c r="M625"/>
  <c r="N623"/>
  <c r="L625"/>
  <c r="N624"/>
  <c r="M623"/>
  <c r="L615"/>
  <c r="M616"/>
  <c r="N617"/>
  <c r="L616"/>
  <c r="M617"/>
  <c r="N615"/>
  <c r="L617"/>
  <c r="M615"/>
  <c r="N616"/>
  <c r="L607"/>
  <c r="M608"/>
  <c r="N609"/>
  <c r="L608"/>
  <c r="M609"/>
  <c r="N607"/>
  <c r="L609"/>
  <c r="N608"/>
  <c r="M607"/>
  <c r="L599"/>
  <c r="P599" s="1"/>
  <c r="R152" s="1"/>
  <c r="M600"/>
  <c r="N601"/>
  <c r="L600"/>
  <c r="M601"/>
  <c r="N599"/>
  <c r="L601"/>
  <c r="N600"/>
  <c r="M599"/>
  <c r="L591"/>
  <c r="M592"/>
  <c r="N593"/>
  <c r="L592"/>
  <c r="M593"/>
  <c r="N591"/>
  <c r="L593"/>
  <c r="N592"/>
  <c r="M591"/>
  <c r="L583"/>
  <c r="M584"/>
  <c r="N585"/>
  <c r="L584"/>
  <c r="M585"/>
  <c r="N583"/>
  <c r="L585"/>
  <c r="M583"/>
  <c r="N584"/>
  <c r="L575"/>
  <c r="M576"/>
  <c r="N577"/>
  <c r="L576"/>
  <c r="M577"/>
  <c r="N575"/>
  <c r="L577"/>
  <c r="N576"/>
  <c r="M575"/>
  <c r="L567"/>
  <c r="P567" s="1"/>
  <c r="R144" s="1"/>
  <c r="M568"/>
  <c r="N569"/>
  <c r="L568"/>
  <c r="M569"/>
  <c r="N567"/>
  <c r="L569"/>
  <c r="N568"/>
  <c r="M567"/>
  <c r="L559"/>
  <c r="M560"/>
  <c r="N561"/>
  <c r="L560"/>
  <c r="M561"/>
  <c r="N559"/>
  <c r="L561"/>
  <c r="N560"/>
  <c r="M559"/>
  <c r="L551"/>
  <c r="M552"/>
  <c r="N553"/>
  <c r="L552"/>
  <c r="M553"/>
  <c r="N551"/>
  <c r="L553"/>
  <c r="M551"/>
  <c r="N552"/>
  <c r="L543"/>
  <c r="M544"/>
  <c r="N545"/>
  <c r="L544"/>
  <c r="M545"/>
  <c r="N543"/>
  <c r="L545"/>
  <c r="N544"/>
  <c r="M543"/>
  <c r="L535"/>
  <c r="P535" s="1"/>
  <c r="R136" s="1"/>
  <c r="M536"/>
  <c r="N537"/>
  <c r="L536"/>
  <c r="M537"/>
  <c r="N535"/>
  <c r="L537"/>
  <c r="N536"/>
  <c r="M535"/>
  <c r="L527"/>
  <c r="M528"/>
  <c r="N529"/>
  <c r="L528"/>
  <c r="M529"/>
  <c r="N527"/>
  <c r="L529"/>
  <c r="N528"/>
  <c r="M527"/>
  <c r="L519"/>
  <c r="M520"/>
  <c r="N521"/>
  <c r="L520"/>
  <c r="M521"/>
  <c r="N519"/>
  <c r="L521"/>
  <c r="M519"/>
  <c r="N520"/>
  <c r="L511"/>
  <c r="M512"/>
  <c r="N513"/>
  <c r="L512"/>
  <c r="M513"/>
  <c r="N511"/>
  <c r="L513"/>
  <c r="N512"/>
  <c r="M511"/>
  <c r="M503"/>
  <c r="N504"/>
  <c r="L503"/>
  <c r="M504"/>
  <c r="N505"/>
  <c r="L504"/>
  <c r="M505"/>
  <c r="N503"/>
  <c r="L505"/>
  <c r="M495"/>
  <c r="N496"/>
  <c r="L495"/>
  <c r="M496"/>
  <c r="N497"/>
  <c r="L496"/>
  <c r="M497"/>
  <c r="N495"/>
  <c r="L497"/>
  <c r="M487"/>
  <c r="N488"/>
  <c r="L487"/>
  <c r="P487" s="1"/>
  <c r="R124" s="1"/>
  <c r="M488"/>
  <c r="N489"/>
  <c r="L488"/>
  <c r="M489"/>
  <c r="N487"/>
  <c r="L489"/>
  <c r="M479"/>
  <c r="N480"/>
  <c r="L479"/>
  <c r="M480"/>
  <c r="N481"/>
  <c r="L480"/>
  <c r="M481"/>
  <c r="N479"/>
  <c r="L481"/>
  <c r="M471"/>
  <c r="N472"/>
  <c r="L471"/>
  <c r="M472"/>
  <c r="N473"/>
  <c r="L472"/>
  <c r="M473"/>
  <c r="N471"/>
  <c r="L473"/>
  <c r="M463"/>
  <c r="N464"/>
  <c r="L463"/>
  <c r="M464"/>
  <c r="N465"/>
  <c r="L464"/>
  <c r="M465"/>
  <c r="N463"/>
  <c r="L465"/>
  <c r="M455"/>
  <c r="N456"/>
  <c r="L455"/>
  <c r="P455" s="1"/>
  <c r="R116" s="1"/>
  <c r="M456"/>
  <c r="N457"/>
  <c r="L456"/>
  <c r="M457"/>
  <c r="N455"/>
  <c r="L457"/>
  <c r="M447"/>
  <c r="N448"/>
  <c r="L447"/>
  <c r="M448"/>
  <c r="N449"/>
  <c r="L448"/>
  <c r="M449"/>
  <c r="N447"/>
  <c r="L449"/>
  <c r="M439"/>
  <c r="N440"/>
  <c r="L439"/>
  <c r="M440"/>
  <c r="N441"/>
  <c r="L440"/>
  <c r="M441"/>
  <c r="N439"/>
  <c r="L441"/>
  <c r="M431"/>
  <c r="N432"/>
  <c r="L431"/>
  <c r="M432"/>
  <c r="N433"/>
  <c r="L432"/>
  <c r="M433"/>
  <c r="N431"/>
  <c r="L433"/>
  <c r="M423"/>
  <c r="N424"/>
  <c r="L423"/>
  <c r="P423" s="1"/>
  <c r="R108" s="1"/>
  <c r="M424"/>
  <c r="N425"/>
  <c r="L424"/>
  <c r="M425"/>
  <c r="N423"/>
  <c r="L425"/>
  <c r="L415"/>
  <c r="M415"/>
  <c r="N416"/>
  <c r="M416"/>
  <c r="N417"/>
  <c r="L416"/>
  <c r="M417"/>
  <c r="N415"/>
  <c r="L417"/>
  <c r="N411"/>
  <c r="L413"/>
  <c r="L411"/>
  <c r="N412"/>
  <c r="M412"/>
  <c r="L412"/>
  <c r="N413"/>
  <c r="M411"/>
  <c r="M413"/>
  <c r="N395"/>
  <c r="L397"/>
  <c r="M395"/>
  <c r="N396"/>
  <c r="L395"/>
  <c r="N397"/>
  <c r="M397"/>
  <c r="M396"/>
  <c r="L396"/>
  <c r="N379"/>
  <c r="L381"/>
  <c r="M379"/>
  <c r="N380"/>
  <c r="L379"/>
  <c r="N381"/>
  <c r="M381"/>
  <c r="M380"/>
  <c r="L380"/>
  <c r="N363"/>
  <c r="L365"/>
  <c r="M363"/>
  <c r="N364"/>
  <c r="L363"/>
  <c r="N365"/>
  <c r="M365"/>
  <c r="M364"/>
  <c r="L364"/>
  <c r="N347"/>
  <c r="L349"/>
  <c r="M347"/>
  <c r="N348"/>
  <c r="L347"/>
  <c r="P347" s="1"/>
  <c r="R89" s="1"/>
  <c r="N349"/>
  <c r="M349"/>
  <c r="M348"/>
  <c r="L348"/>
  <c r="N331"/>
  <c r="L333"/>
  <c r="M331"/>
  <c r="N332"/>
  <c r="L331"/>
  <c r="N333"/>
  <c r="M333"/>
  <c r="M332"/>
  <c r="L332"/>
  <c r="N315"/>
  <c r="L317"/>
  <c r="M315"/>
  <c r="N316"/>
  <c r="L315"/>
  <c r="N317"/>
  <c r="M317"/>
  <c r="M316"/>
  <c r="L316"/>
  <c r="N299"/>
  <c r="L301"/>
  <c r="M299"/>
  <c r="N300"/>
  <c r="L299"/>
  <c r="N301"/>
  <c r="M301"/>
  <c r="M300"/>
  <c r="L300"/>
  <c r="N507"/>
  <c r="L509"/>
  <c r="M507"/>
  <c r="N508"/>
  <c r="L507"/>
  <c r="P507" s="1"/>
  <c r="R129" s="1"/>
  <c r="M508"/>
  <c r="N509"/>
  <c r="M509"/>
  <c r="L508"/>
  <c r="L500"/>
  <c r="M501"/>
  <c r="N499"/>
  <c r="L501"/>
  <c r="M499"/>
  <c r="N500"/>
  <c r="L499"/>
  <c r="M500"/>
  <c r="N501"/>
  <c r="L492"/>
  <c r="M493"/>
  <c r="N491"/>
  <c r="L493"/>
  <c r="M491"/>
  <c r="N492"/>
  <c r="L491"/>
  <c r="P491" s="1"/>
  <c r="R125" s="1"/>
  <c r="M492"/>
  <c r="N493"/>
  <c r="L484"/>
  <c r="M485"/>
  <c r="N483"/>
  <c r="L485"/>
  <c r="M483"/>
  <c r="N484"/>
  <c r="L483"/>
  <c r="M484"/>
  <c r="N485"/>
  <c r="L476"/>
  <c r="M477"/>
  <c r="N475"/>
  <c r="L477"/>
  <c r="M475"/>
  <c r="N476"/>
  <c r="L475"/>
  <c r="M476"/>
  <c r="N477"/>
  <c r="L468"/>
  <c r="M469"/>
  <c r="N467"/>
  <c r="L469"/>
  <c r="M467"/>
  <c r="N468"/>
  <c r="L467"/>
  <c r="M468"/>
  <c r="N469"/>
  <c r="L460"/>
  <c r="M461"/>
  <c r="N459"/>
  <c r="L461"/>
  <c r="M459"/>
  <c r="N460"/>
  <c r="L459"/>
  <c r="P459" s="1"/>
  <c r="R117" s="1"/>
  <c r="M460"/>
  <c r="N461"/>
  <c r="L452"/>
  <c r="M453"/>
  <c r="N451"/>
  <c r="L453"/>
  <c r="M451"/>
  <c r="N452"/>
  <c r="L451"/>
  <c r="M452"/>
  <c r="N453"/>
  <c r="L444"/>
  <c r="M445"/>
  <c r="N443"/>
  <c r="L445"/>
  <c r="M443"/>
  <c r="N444"/>
  <c r="L443"/>
  <c r="M444"/>
  <c r="N445"/>
  <c r="L436"/>
  <c r="M437"/>
  <c r="N435"/>
  <c r="L437"/>
  <c r="M435"/>
  <c r="N436"/>
  <c r="L435"/>
  <c r="M436"/>
  <c r="N437"/>
  <c r="L428"/>
  <c r="M429"/>
  <c r="N427"/>
  <c r="L429"/>
  <c r="M427"/>
  <c r="N428"/>
  <c r="L427"/>
  <c r="P427" s="1"/>
  <c r="R109" s="1"/>
  <c r="M428"/>
  <c r="N429"/>
  <c r="L420"/>
  <c r="M421"/>
  <c r="N419"/>
  <c r="L421"/>
  <c r="M419"/>
  <c r="N420"/>
  <c r="L419"/>
  <c r="M420"/>
  <c r="N421"/>
  <c r="L407"/>
  <c r="P407" s="1"/>
  <c r="R104" s="1"/>
  <c r="M408"/>
  <c r="N409"/>
  <c r="N408"/>
  <c r="L408"/>
  <c r="N407"/>
  <c r="M409"/>
  <c r="M407"/>
  <c r="L409"/>
  <c r="L399"/>
  <c r="M400"/>
  <c r="N401"/>
  <c r="L400"/>
  <c r="M401"/>
  <c r="L401"/>
  <c r="N400"/>
  <c r="N399"/>
  <c r="M399"/>
  <c r="L391"/>
  <c r="M392"/>
  <c r="N393"/>
  <c r="L392"/>
  <c r="M393"/>
  <c r="N391"/>
  <c r="M391"/>
  <c r="L393"/>
  <c r="N392"/>
  <c r="L383"/>
  <c r="M384"/>
  <c r="N385"/>
  <c r="L384"/>
  <c r="M385"/>
  <c r="L385"/>
  <c r="N384"/>
  <c r="N383"/>
  <c r="M383"/>
  <c r="L375"/>
  <c r="P375" s="1"/>
  <c r="R96" s="1"/>
  <c r="M376"/>
  <c r="N377"/>
  <c r="L376"/>
  <c r="M377"/>
  <c r="N375"/>
  <c r="M375"/>
  <c r="L377"/>
  <c r="N376"/>
  <c r="L367"/>
  <c r="M368"/>
  <c r="N369"/>
  <c r="L368"/>
  <c r="M369"/>
  <c r="L369"/>
  <c r="N368"/>
  <c r="N367"/>
  <c r="M367"/>
  <c r="L359"/>
  <c r="M360"/>
  <c r="N361"/>
  <c r="L360"/>
  <c r="M361"/>
  <c r="N359"/>
  <c r="M359"/>
  <c r="L361"/>
  <c r="N360"/>
  <c r="L351"/>
  <c r="M352"/>
  <c r="N353"/>
  <c r="L352"/>
  <c r="M353"/>
  <c r="L353"/>
  <c r="N352"/>
  <c r="N351"/>
  <c r="M351"/>
  <c r="L343"/>
  <c r="P343" s="1"/>
  <c r="R88" s="1"/>
  <c r="M344"/>
  <c r="N345"/>
  <c r="L344"/>
  <c r="M345"/>
  <c r="N343"/>
  <c r="M343"/>
  <c r="L345"/>
  <c r="N344"/>
  <c r="L335"/>
  <c r="M336"/>
  <c r="N337"/>
  <c r="L336"/>
  <c r="M337"/>
  <c r="L337"/>
  <c r="N336"/>
  <c r="N335"/>
  <c r="M335"/>
  <c r="L327"/>
  <c r="M328"/>
  <c r="N329"/>
  <c r="L328"/>
  <c r="M329"/>
  <c r="N327"/>
  <c r="M327"/>
  <c r="L329"/>
  <c r="N328"/>
  <c r="L319"/>
  <c r="M320"/>
  <c r="N321"/>
  <c r="L320"/>
  <c r="M321"/>
  <c r="L321"/>
  <c r="N320"/>
  <c r="N319"/>
  <c r="M319"/>
  <c r="L311"/>
  <c r="P311" s="1"/>
  <c r="R80" s="1"/>
  <c r="M312"/>
  <c r="N313"/>
  <c r="L312"/>
  <c r="M313"/>
  <c r="N311"/>
  <c r="M311"/>
  <c r="L313"/>
  <c r="N312"/>
  <c r="L303"/>
  <c r="M304"/>
  <c r="N305"/>
  <c r="L304"/>
  <c r="M305"/>
  <c r="L305"/>
  <c r="N304"/>
  <c r="N303"/>
  <c r="M303"/>
  <c r="L295"/>
  <c r="M296"/>
  <c r="N297"/>
  <c r="L296"/>
  <c r="M297"/>
  <c r="N295"/>
  <c r="M295"/>
  <c r="L297"/>
  <c r="N296"/>
  <c r="N287"/>
  <c r="L289"/>
  <c r="M287"/>
  <c r="N288"/>
  <c r="L287"/>
  <c r="M288"/>
  <c r="N289"/>
  <c r="L288"/>
  <c r="M289"/>
  <c r="N279"/>
  <c r="L281"/>
  <c r="M279"/>
  <c r="N280"/>
  <c r="L279"/>
  <c r="P279" s="1"/>
  <c r="R72" s="1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P247" s="1"/>
  <c r="R64" s="1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P215" s="1"/>
  <c r="R56" s="1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P183" s="1"/>
  <c r="R48" s="1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P151" s="1"/>
  <c r="R40" s="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P119" s="1"/>
  <c r="R32" s="1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P87" s="1"/>
  <c r="R24" s="1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P55" s="1"/>
  <c r="R16" s="1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P23" s="1"/>
  <c r="R8" s="1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283"/>
  <c r="M284"/>
  <c r="N285"/>
  <c r="L284"/>
  <c r="M285"/>
  <c r="N283"/>
  <c r="L285"/>
  <c r="M283"/>
  <c r="N284"/>
  <c r="L275"/>
  <c r="P275" s="1"/>
  <c r="R71" s="1"/>
  <c r="M276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P243" s="1"/>
  <c r="R63" s="1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P211" s="1"/>
  <c r="R55" s="1"/>
  <c r="M212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P179" s="1"/>
  <c r="R47" s="1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P147" s="1"/>
  <c r="R39" s="1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P115" s="1"/>
  <c r="R31" s="1"/>
  <c r="M116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P83" s="1"/>
  <c r="R23" s="1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P51" s="1"/>
  <c r="R15" s="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P19" s="1"/>
  <c r="R7" s="1"/>
  <c r="M20"/>
  <c r="N21"/>
  <c r="L20"/>
  <c r="M21"/>
  <c r="N19"/>
  <c r="L21"/>
  <c r="M19"/>
  <c r="N20"/>
  <c r="L11"/>
  <c r="M12"/>
  <c r="N13"/>
  <c r="L12"/>
  <c r="M13"/>
  <c r="N11"/>
  <c r="L13"/>
  <c r="M11"/>
  <c r="N12"/>
  <c r="J5"/>
  <c r="I4"/>
  <c r="H3"/>
  <c r="G5"/>
  <c r="F4"/>
  <c r="E3"/>
  <c r="L3" a="1"/>
  <c r="N4" l="1"/>
  <c r="M3"/>
  <c r="M4"/>
  <c r="L3"/>
  <c r="L5"/>
  <c r="N5"/>
  <c r="M5"/>
  <c r="N3"/>
  <c r="L4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G149" i="22"/>
  <c r="H149"/>
  <c r="G150"/>
  <c r="H150"/>
  <c r="G148"/>
  <c r="H148"/>
  <c r="E7" i="18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K95" i="22"/>
  <c r="K159"/>
  <c r="K223"/>
  <c r="K287"/>
  <c r="F193"/>
  <c r="F449"/>
  <c r="K58"/>
  <c r="K122"/>
  <c r="K186"/>
  <c r="K250"/>
  <c r="F45"/>
  <c r="F301"/>
  <c r="F557"/>
  <c r="F813"/>
  <c r="F1069"/>
  <c r="F1129"/>
  <c r="K53"/>
  <c r="K117"/>
  <c r="K181"/>
  <c r="K245"/>
  <c r="K30"/>
  <c r="F281"/>
  <c r="F537"/>
  <c r="F793"/>
  <c r="F705"/>
  <c r="K52"/>
  <c r="K116"/>
  <c r="K180"/>
  <c r="F597"/>
  <c r="F901"/>
  <c r="K75"/>
  <c r="K139"/>
  <c r="K203"/>
  <c r="K267"/>
  <c r="F113"/>
  <c r="F369"/>
  <c r="K38"/>
  <c r="K102"/>
  <c r="K166"/>
  <c r="K230"/>
  <c r="K15"/>
  <c r="F221"/>
  <c r="F477"/>
  <c r="F733"/>
  <c r="F989"/>
  <c r="F1001"/>
  <c r="K33"/>
  <c r="K97"/>
  <c r="K161"/>
  <c r="K225"/>
  <c r="K289"/>
  <c r="F201"/>
  <c r="F457"/>
  <c r="F713"/>
  <c r="F25"/>
  <c r="K32"/>
  <c r="K96"/>
  <c r="K160"/>
  <c r="K224"/>
  <c r="K288"/>
  <c r="F709"/>
  <c r="K71"/>
  <c r="K135"/>
  <c r="K199"/>
  <c r="K263"/>
  <c r="F97"/>
  <c r="F353"/>
  <c r="K34"/>
  <c r="K98"/>
  <c r="K162"/>
  <c r="K226"/>
  <c r="K290"/>
  <c r="F205"/>
  <c r="F461"/>
  <c r="F717"/>
  <c r="F973"/>
  <c r="F985"/>
  <c r="F1105"/>
  <c r="K93"/>
  <c r="K157"/>
  <c r="K221"/>
  <c r="K285"/>
  <c r="F185"/>
  <c r="F441"/>
  <c r="F697"/>
  <c r="F1097"/>
  <c r="F21"/>
  <c r="K92"/>
  <c r="K156"/>
  <c r="K220"/>
  <c r="K284"/>
  <c r="F181"/>
  <c r="F437"/>
  <c r="F693"/>
  <c r="F949"/>
  <c r="F721"/>
  <c r="K29"/>
  <c r="F533"/>
  <c r="F833"/>
  <c r="F1109"/>
  <c r="K67"/>
  <c r="K131"/>
  <c r="K195"/>
  <c r="K259"/>
  <c r="F81"/>
  <c r="F337"/>
  <c r="F1121"/>
  <c r="K94"/>
  <c r="K158"/>
  <c r="K222"/>
  <c r="K286"/>
  <c r="F189"/>
  <c r="F445"/>
  <c r="F701"/>
  <c r="F957"/>
  <c r="F953"/>
  <c r="F1041"/>
  <c r="K89"/>
  <c r="K153"/>
  <c r="K217"/>
  <c r="K281"/>
  <c r="F169"/>
  <c r="F425"/>
  <c r="F681"/>
  <c r="F1049"/>
  <c r="F1089"/>
  <c r="K88"/>
  <c r="K152"/>
  <c r="K216"/>
  <c r="K280"/>
  <c r="F165"/>
  <c r="F421"/>
  <c r="F677"/>
  <c r="F933"/>
  <c r="F689"/>
  <c r="K292"/>
  <c r="F661"/>
  <c r="F657"/>
  <c r="F453"/>
  <c r="F769"/>
  <c r="F37"/>
  <c r="F549"/>
  <c r="F805"/>
  <c r="K212"/>
  <c r="F917"/>
  <c r="F773"/>
  <c r="K172"/>
  <c r="K110"/>
  <c r="K23"/>
  <c r="F1021"/>
  <c r="K169"/>
  <c r="F233"/>
  <c r="F745"/>
  <c r="K104"/>
  <c r="F229"/>
  <c r="F741"/>
  <c r="F897"/>
  <c r="F789"/>
  <c r="F581"/>
  <c r="K79"/>
  <c r="K143"/>
  <c r="K207"/>
  <c r="K271"/>
  <c r="F129"/>
  <c r="F385"/>
  <c r="K42"/>
  <c r="K106"/>
  <c r="K170"/>
  <c r="K234"/>
  <c r="K19"/>
  <c r="F237"/>
  <c r="F493"/>
  <c r="F749"/>
  <c r="F1005"/>
  <c r="F1033"/>
  <c r="K37"/>
  <c r="K101"/>
  <c r="K165"/>
  <c r="K229"/>
  <c r="K14"/>
  <c r="F217"/>
  <c r="F473"/>
  <c r="F729"/>
  <c r="F481"/>
  <c r="K36"/>
  <c r="K100"/>
  <c r="K164"/>
  <c r="F213"/>
  <c r="F645"/>
  <c r="K59"/>
  <c r="K123"/>
  <c r="K187"/>
  <c r="K251"/>
  <c r="F49"/>
  <c r="F305"/>
  <c r="F929"/>
  <c r="K86"/>
  <c r="K150"/>
  <c r="K214"/>
  <c r="K278"/>
  <c r="F157"/>
  <c r="F413"/>
  <c r="F669"/>
  <c r="F925"/>
  <c r="F905"/>
  <c r="F945"/>
  <c r="K81"/>
  <c r="K145"/>
  <c r="K209"/>
  <c r="K273"/>
  <c r="F137"/>
  <c r="F393"/>
  <c r="F649"/>
  <c r="F969"/>
  <c r="F1009"/>
  <c r="K80"/>
  <c r="K144"/>
  <c r="K208"/>
  <c r="K272"/>
  <c r="F325"/>
  <c r="K55"/>
  <c r="K119"/>
  <c r="K183"/>
  <c r="K247"/>
  <c r="K13"/>
  <c r="F289"/>
  <c r="F817"/>
  <c r="K82"/>
  <c r="K146"/>
  <c r="K210"/>
  <c r="K274"/>
  <c r="F141"/>
  <c r="F397"/>
  <c r="F653"/>
  <c r="F909"/>
  <c r="F873"/>
  <c r="F881"/>
  <c r="K77"/>
  <c r="K141"/>
  <c r="K205"/>
  <c r="K269"/>
  <c r="F121"/>
  <c r="F377"/>
  <c r="F633"/>
  <c r="F937"/>
  <c r="F961"/>
  <c r="K76"/>
  <c r="K140"/>
  <c r="K204"/>
  <c r="K268"/>
  <c r="F117"/>
  <c r="F373"/>
  <c r="F629"/>
  <c r="F885"/>
  <c r="F593"/>
  <c r="K260"/>
  <c r="F405"/>
  <c r="F1045"/>
  <c r="F837"/>
  <c r="K51"/>
  <c r="K115"/>
  <c r="K179"/>
  <c r="K243"/>
  <c r="K28"/>
  <c r="F273"/>
  <c r="F737"/>
  <c r="K78"/>
  <c r="K142"/>
  <c r="K206"/>
  <c r="K270"/>
  <c r="F125"/>
  <c r="F381"/>
  <c r="F637"/>
  <c r="F893"/>
  <c r="F33"/>
  <c r="F801"/>
  <c r="K73"/>
  <c r="K137"/>
  <c r="K201"/>
  <c r="K265"/>
  <c r="F105"/>
  <c r="F361"/>
  <c r="F617"/>
  <c r="F889"/>
  <c r="F913"/>
  <c r="K72"/>
  <c r="K136"/>
  <c r="K200"/>
  <c r="K264"/>
  <c r="F101"/>
  <c r="F357"/>
  <c r="F613"/>
  <c r="F869"/>
  <c r="F545"/>
  <c r="K244"/>
  <c r="F469"/>
  <c r="F981"/>
  <c r="F261"/>
  <c r="F965"/>
  <c r="K66"/>
  <c r="K130"/>
  <c r="K194"/>
  <c r="K258"/>
  <c r="F77"/>
  <c r="F333"/>
  <c r="F589"/>
  <c r="F845"/>
  <c r="F1101"/>
  <c r="F1093"/>
  <c r="K61"/>
  <c r="K125"/>
  <c r="K189"/>
  <c r="K253"/>
  <c r="F57"/>
  <c r="F313"/>
  <c r="F569"/>
  <c r="F825"/>
  <c r="F785"/>
  <c r="K60"/>
  <c r="K124"/>
  <c r="K188"/>
  <c r="K252"/>
  <c r="F53"/>
  <c r="F309"/>
  <c r="F565"/>
  <c r="F821"/>
  <c r="F1077"/>
  <c r="K196"/>
  <c r="F341"/>
  <c r="F853"/>
  <c r="F517"/>
  <c r="K35"/>
  <c r="K99"/>
  <c r="K163"/>
  <c r="K227"/>
  <c r="K291"/>
  <c r="F209"/>
  <c r="F465"/>
  <c r="K62"/>
  <c r="K126"/>
  <c r="K190"/>
  <c r="K254"/>
  <c r="F61"/>
  <c r="F317"/>
  <c r="F573"/>
  <c r="F829"/>
  <c r="F1085"/>
  <c r="F29"/>
  <c r="K57"/>
  <c r="K121"/>
  <c r="K185"/>
  <c r="K249"/>
  <c r="F41"/>
  <c r="F297"/>
  <c r="F553"/>
  <c r="F809"/>
  <c r="F753"/>
  <c r="K56"/>
  <c r="K120"/>
  <c r="K184"/>
  <c r="K248"/>
  <c r="F293"/>
  <c r="F1061"/>
  <c r="F277"/>
  <c r="F69"/>
  <c r="K21"/>
  <c r="F757"/>
  <c r="F1013"/>
  <c r="F149"/>
  <c r="K25"/>
  <c r="K147"/>
  <c r="K275"/>
  <c r="F145"/>
  <c r="K46"/>
  <c r="K238"/>
  <c r="F253"/>
  <c r="F765"/>
  <c r="F1065"/>
  <c r="K105"/>
  <c r="K233"/>
  <c r="F489"/>
  <c r="F577"/>
  <c r="K168"/>
  <c r="K232"/>
  <c r="F485"/>
  <c r="F997"/>
  <c r="F13"/>
  <c r="K63"/>
  <c r="K127"/>
  <c r="K191"/>
  <c r="K255"/>
  <c r="F65"/>
  <c r="F321"/>
  <c r="F1025"/>
  <c r="K90"/>
  <c r="K154"/>
  <c r="K218"/>
  <c r="K282"/>
  <c r="F173"/>
  <c r="F429"/>
  <c r="F685"/>
  <c r="F941"/>
  <c r="F921"/>
  <c r="F993"/>
  <c r="K85"/>
  <c r="K149"/>
  <c r="K213"/>
  <c r="K277"/>
  <c r="F153"/>
  <c r="F409"/>
  <c r="F665"/>
  <c r="F1017"/>
  <c r="F1057"/>
  <c r="K84"/>
  <c r="K148"/>
  <c r="K276"/>
  <c r="F389"/>
  <c r="K43"/>
  <c r="K107"/>
  <c r="K171"/>
  <c r="K235"/>
  <c r="K20"/>
  <c r="F241"/>
  <c r="F561"/>
  <c r="K70"/>
  <c r="K134"/>
  <c r="K198"/>
  <c r="K262"/>
  <c r="F93"/>
  <c r="F349"/>
  <c r="F605"/>
  <c r="F861"/>
  <c r="F1117"/>
  <c r="F1125"/>
  <c r="K65"/>
  <c r="K129"/>
  <c r="K193"/>
  <c r="K257"/>
  <c r="F73"/>
  <c r="F329"/>
  <c r="F585"/>
  <c r="F841"/>
  <c r="F849"/>
  <c r="K64"/>
  <c r="K128"/>
  <c r="K192"/>
  <c r="K256"/>
  <c r="F197"/>
  <c r="K39"/>
  <c r="K103"/>
  <c r="K167"/>
  <c r="K231"/>
  <c r="K16"/>
  <c r="F225"/>
  <c r="F529"/>
  <c r="K47"/>
  <c r="K111"/>
  <c r="K175"/>
  <c r="K239"/>
  <c r="K24"/>
  <c r="F257"/>
  <c r="F625"/>
  <c r="K74"/>
  <c r="K138"/>
  <c r="K202"/>
  <c r="K266"/>
  <c r="F109"/>
  <c r="F365"/>
  <c r="F621"/>
  <c r="F877"/>
  <c r="F17"/>
  <c r="F513"/>
  <c r="K69"/>
  <c r="K133"/>
  <c r="K197"/>
  <c r="K261"/>
  <c r="F89"/>
  <c r="F345"/>
  <c r="F601"/>
  <c r="F857"/>
  <c r="F865"/>
  <c r="K68"/>
  <c r="K132"/>
  <c r="K228"/>
  <c r="F497"/>
  <c r="F609"/>
  <c r="K91"/>
  <c r="K155"/>
  <c r="K219"/>
  <c r="K283"/>
  <c r="F177"/>
  <c r="F433"/>
  <c r="K54"/>
  <c r="K118"/>
  <c r="K182"/>
  <c r="K246"/>
  <c r="K31"/>
  <c r="F285"/>
  <c r="F541"/>
  <c r="F797"/>
  <c r="F1053"/>
  <c r="F1113"/>
  <c r="K49"/>
  <c r="K113"/>
  <c r="K177"/>
  <c r="K241"/>
  <c r="K26"/>
  <c r="F265"/>
  <c r="F521"/>
  <c r="F777"/>
  <c r="F673"/>
  <c r="K48"/>
  <c r="K112"/>
  <c r="K176"/>
  <c r="K240"/>
  <c r="F133"/>
  <c r="F1029"/>
  <c r="K87"/>
  <c r="K151"/>
  <c r="K215"/>
  <c r="K279"/>
  <c r="F161"/>
  <c r="F417"/>
  <c r="K50"/>
  <c r="K114"/>
  <c r="K178"/>
  <c r="K242"/>
  <c r="K27"/>
  <c r="F269"/>
  <c r="F525"/>
  <c r="F781"/>
  <c r="F1037"/>
  <c r="F1081"/>
  <c r="K45"/>
  <c r="K109"/>
  <c r="K173"/>
  <c r="K237"/>
  <c r="K22"/>
  <c r="F249"/>
  <c r="F505"/>
  <c r="F761"/>
  <c r="F641"/>
  <c r="K44"/>
  <c r="K108"/>
  <c r="K236"/>
  <c r="F245"/>
  <c r="F501"/>
  <c r="F977"/>
  <c r="F725"/>
  <c r="F1073"/>
  <c r="K83"/>
  <c r="K211"/>
  <c r="F401"/>
  <c r="K174"/>
  <c r="F509"/>
  <c r="K41"/>
  <c r="K18"/>
  <c r="K40"/>
  <c r="K17"/>
  <c r="F85"/>
  <c r="P3" i="23" l="1"/>
  <c r="R3" s="1"/>
  <c r="S3" s="1"/>
  <c r="Y23" s="1"/>
  <c r="S4"/>
  <c r="L13" i="22"/>
  <c r="M37" s="1"/>
  <c r="L1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38" i="18"/>
  <c r="J39"/>
  <c r="J42"/>
  <c r="J40"/>
  <c r="J41"/>
  <c r="AB25" i="23" l="1"/>
  <c r="AB9"/>
  <c r="AA28"/>
  <c r="AA12"/>
  <c r="Z31"/>
  <c r="Z15"/>
  <c r="Y30"/>
  <c r="Y13"/>
  <c r="X32"/>
  <c r="X16"/>
  <c r="W35"/>
  <c r="W19"/>
  <c r="V34"/>
  <c r="V18"/>
  <c r="U37"/>
  <c r="U21"/>
  <c r="U5"/>
  <c r="AB26"/>
  <c r="AB10"/>
  <c r="AA29"/>
  <c r="AA13"/>
  <c r="Z32"/>
  <c r="Z16"/>
  <c r="Y35"/>
  <c r="Y18"/>
  <c r="X37"/>
  <c r="X21"/>
  <c r="X5"/>
  <c r="W24"/>
  <c r="W8"/>
  <c r="V27"/>
  <c r="V11"/>
  <c r="U26"/>
  <c r="U10"/>
  <c r="AB27"/>
  <c r="AB11"/>
  <c r="AA26"/>
  <c r="AA10"/>
  <c r="Z29"/>
  <c r="Z13"/>
  <c r="Y32"/>
  <c r="Y15"/>
  <c r="X30"/>
  <c r="X14"/>
  <c r="W33"/>
  <c r="W17"/>
  <c r="V36"/>
  <c r="V20"/>
  <c r="V4"/>
  <c r="U23"/>
  <c r="U7"/>
  <c r="AB24"/>
  <c r="AB8"/>
  <c r="AA27"/>
  <c r="AA11"/>
  <c r="Z26"/>
  <c r="Z10"/>
  <c r="Y29"/>
  <c r="Y12"/>
  <c r="X31"/>
  <c r="X15"/>
  <c r="W30"/>
  <c r="W14"/>
  <c r="V33"/>
  <c r="V17"/>
  <c r="U36"/>
  <c r="U20"/>
  <c r="AB33"/>
  <c r="AA20"/>
  <c r="Z23"/>
  <c r="Y21"/>
  <c r="X24"/>
  <c r="W27"/>
  <c r="V26"/>
  <c r="V10"/>
  <c r="U13"/>
  <c r="AB18"/>
  <c r="AA21"/>
  <c r="Z24"/>
  <c r="Y27"/>
  <c r="X29"/>
  <c r="W32"/>
  <c r="V35"/>
  <c r="U34"/>
  <c r="AB35"/>
  <c r="AA34"/>
  <c r="Z37"/>
  <c r="Z5"/>
  <c r="Y7"/>
  <c r="X6"/>
  <c r="W9"/>
  <c r="V12"/>
  <c r="U15"/>
  <c r="AA35"/>
  <c r="AA19"/>
  <c r="Z18"/>
  <c r="Y20"/>
  <c r="X7"/>
  <c r="W6"/>
  <c r="V25"/>
  <c r="U28"/>
  <c r="AB29"/>
  <c r="AB13"/>
  <c r="AA32"/>
  <c r="AA16"/>
  <c r="Z35"/>
  <c r="Z19"/>
  <c r="Y34"/>
  <c r="Y17"/>
  <c r="X36"/>
  <c r="X20"/>
  <c r="X4"/>
  <c r="W23"/>
  <c r="W7"/>
  <c r="V22"/>
  <c r="V6"/>
  <c r="U25"/>
  <c r="U9"/>
  <c r="AB30"/>
  <c r="AB14"/>
  <c r="AA33"/>
  <c r="AA17"/>
  <c r="Z36"/>
  <c r="Z20"/>
  <c r="Z4"/>
  <c r="Y22"/>
  <c r="Y6"/>
  <c r="X25"/>
  <c r="X9"/>
  <c r="W28"/>
  <c r="W12"/>
  <c r="V31"/>
  <c r="V15"/>
  <c r="U30"/>
  <c r="U14"/>
  <c r="AB31"/>
  <c r="AB15"/>
  <c r="AA30"/>
  <c r="AA14"/>
  <c r="Z33"/>
  <c r="Z17"/>
  <c r="Y36"/>
  <c r="Y19"/>
  <c r="X34"/>
  <c r="X18"/>
  <c r="W37"/>
  <c r="W21"/>
  <c r="W5"/>
  <c r="V24"/>
  <c r="V8"/>
  <c r="U27"/>
  <c r="U11"/>
  <c r="AB28"/>
  <c r="AB12"/>
  <c r="AA31"/>
  <c r="AA15"/>
  <c r="Z30"/>
  <c r="Z14"/>
  <c r="Y33"/>
  <c r="Y16"/>
  <c r="X35"/>
  <c r="X19"/>
  <c r="W34"/>
  <c r="W18"/>
  <c r="V37"/>
  <c r="V21"/>
  <c r="V5"/>
  <c r="U24"/>
  <c r="U8"/>
  <c r="AB37"/>
  <c r="AB21"/>
  <c r="AB5"/>
  <c r="AA24"/>
  <c r="AA8"/>
  <c r="Z27"/>
  <c r="Z11"/>
  <c r="Y26"/>
  <c r="Y9"/>
  <c r="X28"/>
  <c r="X12"/>
  <c r="W31"/>
  <c r="W15"/>
  <c r="V30"/>
  <c r="V14"/>
  <c r="U33"/>
  <c r="U17"/>
  <c r="U4"/>
  <c r="AB22"/>
  <c r="AB6"/>
  <c r="AA25"/>
  <c r="AA9"/>
  <c r="Z28"/>
  <c r="Z12"/>
  <c r="Y31"/>
  <c r="Y14"/>
  <c r="X33"/>
  <c r="X17"/>
  <c r="W36"/>
  <c r="W20"/>
  <c r="W4"/>
  <c r="V23"/>
  <c r="V7"/>
  <c r="U22"/>
  <c r="U6"/>
  <c r="AB23"/>
  <c r="AB7"/>
  <c r="AA22"/>
  <c r="AA6"/>
  <c r="Z25"/>
  <c r="Z9"/>
  <c r="Y28"/>
  <c r="Y11"/>
  <c r="X26"/>
  <c r="X10"/>
  <c r="W29"/>
  <c r="W13"/>
  <c r="V32"/>
  <c r="V16"/>
  <c r="U35"/>
  <c r="U19"/>
  <c r="AB36"/>
  <c r="AB20"/>
  <c r="AB4"/>
  <c r="AA23"/>
  <c r="AA7"/>
  <c r="Z22"/>
  <c r="Z6"/>
  <c r="Y25"/>
  <c r="Y8"/>
  <c r="X27"/>
  <c r="X11"/>
  <c r="W26"/>
  <c r="W10"/>
  <c r="V29"/>
  <c r="V13"/>
  <c r="U32"/>
  <c r="U16"/>
  <c r="AB17"/>
  <c r="AA36"/>
  <c r="AA4"/>
  <c r="Z7"/>
  <c r="Y5"/>
  <c r="X8"/>
  <c r="W11"/>
  <c r="U29"/>
  <c r="AB34"/>
  <c r="AA37"/>
  <c r="AA5"/>
  <c r="Z8"/>
  <c r="Y10"/>
  <c r="X13"/>
  <c r="W16"/>
  <c r="V19"/>
  <c r="U18"/>
  <c r="AB19"/>
  <c r="AA18"/>
  <c r="Z21"/>
  <c r="Y24"/>
  <c r="X22"/>
  <c r="W25"/>
  <c r="V28"/>
  <c r="U31"/>
  <c r="AB32"/>
  <c r="AB16"/>
  <c r="Z34"/>
  <c r="Y37"/>
  <c r="Y4"/>
  <c r="X23"/>
  <c r="W22"/>
  <c r="V9"/>
  <c r="U12"/>
  <c r="U3"/>
  <c r="AB3"/>
  <c r="AA3"/>
  <c r="V3"/>
  <c r="X3"/>
  <c r="W3"/>
  <c r="Z3"/>
  <c r="Y3"/>
  <c r="M162" i="22"/>
  <c r="M28"/>
  <c r="P28" s="1"/>
  <c r="M287"/>
  <c r="M263"/>
  <c r="M243"/>
  <c r="M223"/>
  <c r="AB13" s="1"/>
  <c r="M199"/>
  <c r="M179"/>
  <c r="M159"/>
  <c r="M135"/>
  <c r="M111"/>
  <c r="M79"/>
  <c r="R44" s="1"/>
  <c r="M47"/>
  <c r="P47" s="1"/>
  <c r="M286"/>
  <c r="M222"/>
  <c r="M158"/>
  <c r="M98"/>
  <c r="M38"/>
  <c r="M280"/>
  <c r="M248"/>
  <c r="M216"/>
  <c r="M184"/>
  <c r="M152"/>
  <c r="M120"/>
  <c r="M88"/>
  <c r="M56"/>
  <c r="M19"/>
  <c r="M234"/>
  <c r="M174"/>
  <c r="X34" s="1"/>
  <c r="M102"/>
  <c r="M34"/>
  <c r="P34" s="1"/>
  <c r="M281"/>
  <c r="M249"/>
  <c r="M217"/>
  <c r="M185"/>
  <c r="X45" s="1"/>
  <c r="M153"/>
  <c r="X13" s="1"/>
  <c r="M121"/>
  <c r="M89"/>
  <c r="M57"/>
  <c r="M291"/>
  <c r="M271"/>
  <c r="M247"/>
  <c r="M227"/>
  <c r="M207"/>
  <c r="M183"/>
  <c r="M163"/>
  <c r="M143"/>
  <c r="M115"/>
  <c r="M83"/>
  <c r="T13" s="1"/>
  <c r="M51"/>
  <c r="M15"/>
  <c r="M230"/>
  <c r="AB20" s="1"/>
  <c r="M106"/>
  <c r="M46"/>
  <c r="M284"/>
  <c r="M252"/>
  <c r="M220"/>
  <c r="M188"/>
  <c r="Z13" s="1"/>
  <c r="M156"/>
  <c r="M124"/>
  <c r="M92"/>
  <c r="M60"/>
  <c r="R25" s="1"/>
  <c r="M27"/>
  <c r="M242"/>
  <c r="M182"/>
  <c r="X42" s="1"/>
  <c r="M110"/>
  <c r="T40" s="1"/>
  <c r="M42"/>
  <c r="M285"/>
  <c r="AD40" s="1"/>
  <c r="M253"/>
  <c r="M221"/>
  <c r="M189"/>
  <c r="M157"/>
  <c r="M125"/>
  <c r="M93"/>
  <c r="T23" s="1"/>
  <c r="M61"/>
  <c r="M16"/>
  <c r="P16" s="1"/>
  <c r="M275"/>
  <c r="AD30" s="1"/>
  <c r="M255"/>
  <c r="M231"/>
  <c r="M211"/>
  <c r="M191"/>
  <c r="Z16" s="1"/>
  <c r="M167"/>
  <c r="M147"/>
  <c r="M127"/>
  <c r="M95"/>
  <c r="T25" s="1"/>
  <c r="M63"/>
  <c r="R28" s="1"/>
  <c r="M13"/>
  <c r="P13" s="1"/>
  <c r="M254"/>
  <c r="AB44" s="1"/>
  <c r="M190"/>
  <c r="M130"/>
  <c r="V25" s="1"/>
  <c r="M70"/>
  <c r="M17"/>
  <c r="P17" s="1"/>
  <c r="M264"/>
  <c r="M232"/>
  <c r="M200"/>
  <c r="Z25" s="1"/>
  <c r="M168"/>
  <c r="M136"/>
  <c r="M104"/>
  <c r="T34" s="1"/>
  <c r="M72"/>
  <c r="R37" s="1"/>
  <c r="M40"/>
  <c r="M266"/>
  <c r="M202"/>
  <c r="M134"/>
  <c r="M66"/>
  <c r="M18"/>
  <c r="M265"/>
  <c r="M233"/>
  <c r="M201"/>
  <c r="Z26" s="1"/>
  <c r="M169"/>
  <c r="M137"/>
  <c r="V32" s="1"/>
  <c r="M105"/>
  <c r="M73"/>
  <c r="R38" s="1"/>
  <c r="M41"/>
  <c r="M24"/>
  <c r="M279"/>
  <c r="AD34" s="1"/>
  <c r="M259"/>
  <c r="AD14" s="1"/>
  <c r="M239"/>
  <c r="M215"/>
  <c r="Z40" s="1"/>
  <c r="M195"/>
  <c r="Z20" s="1"/>
  <c r="M175"/>
  <c r="M151"/>
  <c r="V46" s="1"/>
  <c r="M131"/>
  <c r="V26" s="1"/>
  <c r="M99"/>
  <c r="T29" s="1"/>
  <c r="M67"/>
  <c r="M35"/>
  <c r="M262"/>
  <c r="M198"/>
  <c r="Z23" s="1"/>
  <c r="M138"/>
  <c r="M78"/>
  <c r="R43" s="1"/>
  <c r="M21"/>
  <c r="M268"/>
  <c r="AD23" s="1"/>
  <c r="M236"/>
  <c r="M204"/>
  <c r="M172"/>
  <c r="X32" s="1"/>
  <c r="M140"/>
  <c r="V35" s="1"/>
  <c r="M108"/>
  <c r="M76"/>
  <c r="M44"/>
  <c r="P44" s="1"/>
  <c r="M274"/>
  <c r="AD29" s="1"/>
  <c r="M210"/>
  <c r="M142"/>
  <c r="V37" s="1"/>
  <c r="M74"/>
  <c r="M22"/>
  <c r="P22" s="1"/>
  <c r="M269"/>
  <c r="M237"/>
  <c r="AB27" s="1"/>
  <c r="M205"/>
  <c r="Z30" s="1"/>
  <c r="M173"/>
  <c r="X33" s="1"/>
  <c r="M141"/>
  <c r="V36" s="1"/>
  <c r="M109"/>
  <c r="M77"/>
  <c r="M45"/>
  <c r="P45" s="1"/>
  <c r="M119"/>
  <c r="M103"/>
  <c r="T33" s="1"/>
  <c r="M87"/>
  <c r="M71"/>
  <c r="R36" s="1"/>
  <c r="M55"/>
  <c r="M39"/>
  <c r="P39" s="1"/>
  <c r="M23"/>
  <c r="M270"/>
  <c r="AD25" s="1"/>
  <c r="M238"/>
  <c r="AB28" s="1"/>
  <c r="M206"/>
  <c r="Z31" s="1"/>
  <c r="M170"/>
  <c r="X30" s="1"/>
  <c r="M146"/>
  <c r="V41" s="1"/>
  <c r="M114"/>
  <c r="M86"/>
  <c r="M54"/>
  <c r="M25"/>
  <c r="P25" s="1"/>
  <c r="M288"/>
  <c r="M272"/>
  <c r="M256"/>
  <c r="AB46" s="1"/>
  <c r="M240"/>
  <c r="AB30" s="1"/>
  <c r="M224"/>
  <c r="AB14" s="1"/>
  <c r="M208"/>
  <c r="Z33" s="1"/>
  <c r="M192"/>
  <c r="Z17" s="1"/>
  <c r="M176"/>
  <c r="M160"/>
  <c r="M144"/>
  <c r="M128"/>
  <c r="V23" s="1"/>
  <c r="M112"/>
  <c r="T42" s="1"/>
  <c r="M96"/>
  <c r="M80"/>
  <c r="M64"/>
  <c r="R29" s="1"/>
  <c r="M48"/>
  <c r="R13" s="1"/>
  <c r="M32"/>
  <c r="M282"/>
  <c r="M250"/>
  <c r="M218"/>
  <c r="Z43" s="1"/>
  <c r="M186"/>
  <c r="X46" s="1"/>
  <c r="M154"/>
  <c r="X14" s="1"/>
  <c r="M118"/>
  <c r="V13" s="1"/>
  <c r="M82"/>
  <c r="R47" s="1"/>
  <c r="M50"/>
  <c r="R15" s="1"/>
  <c r="M26"/>
  <c r="P26" s="1"/>
  <c r="M289"/>
  <c r="AD44" s="1"/>
  <c r="M273"/>
  <c r="M257"/>
  <c r="AB47" s="1"/>
  <c r="M241"/>
  <c r="AB31" s="1"/>
  <c r="M225"/>
  <c r="AB15" s="1"/>
  <c r="M209"/>
  <c r="M193"/>
  <c r="Z18" s="1"/>
  <c r="M177"/>
  <c r="X37" s="1"/>
  <c r="M161"/>
  <c r="X21" s="1"/>
  <c r="M145"/>
  <c r="V40" s="1"/>
  <c r="M129"/>
  <c r="M113"/>
  <c r="T43" s="1"/>
  <c r="M97"/>
  <c r="T27" s="1"/>
  <c r="M81"/>
  <c r="R46" s="1"/>
  <c r="M65"/>
  <c r="R30" s="1"/>
  <c r="M49"/>
  <c r="R14" s="1"/>
  <c r="M33"/>
  <c r="P33" s="1"/>
  <c r="M20"/>
  <c r="P20" s="1"/>
  <c r="M283"/>
  <c r="AD38" s="1"/>
  <c r="M267"/>
  <c r="AD22" s="1"/>
  <c r="M251"/>
  <c r="AB41" s="1"/>
  <c r="M235"/>
  <c r="AB25" s="1"/>
  <c r="M219"/>
  <c r="M203"/>
  <c r="M187"/>
  <c r="X47" s="1"/>
  <c r="M171"/>
  <c r="X31" s="1"/>
  <c r="M155"/>
  <c r="X15" s="1"/>
  <c r="M139"/>
  <c r="V34" s="1"/>
  <c r="M123"/>
  <c r="V18" s="1"/>
  <c r="M107"/>
  <c r="T37" s="1"/>
  <c r="M91"/>
  <c r="T21" s="1"/>
  <c r="M75"/>
  <c r="R40" s="1"/>
  <c r="M59"/>
  <c r="R24" s="1"/>
  <c r="M43"/>
  <c r="P43" s="1"/>
  <c r="M31"/>
  <c r="P31" s="1"/>
  <c r="M278"/>
  <c r="AD33" s="1"/>
  <c r="M246"/>
  <c r="AB36" s="1"/>
  <c r="M214"/>
  <c r="Z39" s="1"/>
  <c r="M178"/>
  <c r="X38" s="1"/>
  <c r="M150"/>
  <c r="V45" s="1"/>
  <c r="M126"/>
  <c r="V21" s="1"/>
  <c r="M90"/>
  <c r="M62"/>
  <c r="M29"/>
  <c r="P29" s="1"/>
  <c r="M292"/>
  <c r="AD47" s="1"/>
  <c r="M276"/>
  <c r="M260"/>
  <c r="AD15" s="1"/>
  <c r="M244"/>
  <c r="M228"/>
  <c r="AB18" s="1"/>
  <c r="M212"/>
  <c r="Z37" s="1"/>
  <c r="M196"/>
  <c r="Z21" s="1"/>
  <c r="M180"/>
  <c r="M164"/>
  <c r="X24" s="1"/>
  <c r="M148"/>
  <c r="V43" s="1"/>
  <c r="M132"/>
  <c r="V27" s="1"/>
  <c r="M116"/>
  <c r="T46" s="1"/>
  <c r="M100"/>
  <c r="T30" s="1"/>
  <c r="M84"/>
  <c r="T14" s="1"/>
  <c r="M68"/>
  <c r="M52"/>
  <c r="R17" s="1"/>
  <c r="M36"/>
  <c r="P36" s="1"/>
  <c r="M290"/>
  <c r="AD45" s="1"/>
  <c r="M258"/>
  <c r="AD13" s="1"/>
  <c r="M226"/>
  <c r="AB16" s="1"/>
  <c r="M194"/>
  <c r="Z19" s="1"/>
  <c r="M166"/>
  <c r="X26" s="1"/>
  <c r="M122"/>
  <c r="V17" s="1"/>
  <c r="M94"/>
  <c r="T24" s="1"/>
  <c r="M58"/>
  <c r="R23" s="1"/>
  <c r="M30"/>
  <c r="P30" s="1"/>
  <c r="M14"/>
  <c r="P14" s="1"/>
  <c r="M277"/>
  <c r="AD32" s="1"/>
  <c r="M261"/>
  <c r="AD16" s="1"/>
  <c r="M245"/>
  <c r="AB35" s="1"/>
  <c r="M229"/>
  <c r="AB19" s="1"/>
  <c r="M213"/>
  <c r="Z38" s="1"/>
  <c r="M197"/>
  <c r="Z22" s="1"/>
  <c r="M181"/>
  <c r="X41" s="1"/>
  <c r="M165"/>
  <c r="X25" s="1"/>
  <c r="M149"/>
  <c r="V44" s="1"/>
  <c r="M133"/>
  <c r="V28" s="1"/>
  <c r="M117"/>
  <c r="T47" s="1"/>
  <c r="M101"/>
  <c r="T31" s="1"/>
  <c r="M85"/>
  <c r="T15" s="1"/>
  <c r="M69"/>
  <c r="R34" s="1"/>
  <c r="M53"/>
  <c r="R18" s="1"/>
  <c r="B34" i="21" a="1"/>
  <c r="M25" i="20"/>
  <c r="M24"/>
  <c r="M23"/>
  <c r="M22"/>
  <c r="R33" i="22" l="1"/>
  <c r="R27"/>
  <c r="Z44"/>
  <c r="V24"/>
  <c r="P32"/>
  <c r="T26"/>
  <c r="X20"/>
  <c r="AD43"/>
  <c r="T44"/>
  <c r="R20"/>
  <c r="V14"/>
  <c r="AD24"/>
  <c r="Z35"/>
  <c r="T38"/>
  <c r="AB26"/>
  <c r="V33"/>
  <c r="R32"/>
  <c r="X35"/>
  <c r="R31"/>
  <c r="P40"/>
  <c r="X28"/>
  <c r="V22"/>
  <c r="Z36"/>
  <c r="X17"/>
  <c r="AB32"/>
  <c r="V19"/>
  <c r="AB42"/>
  <c r="T45"/>
  <c r="Z32"/>
  <c r="AD46"/>
  <c r="AD36"/>
  <c r="AB24"/>
  <c r="V15"/>
  <c r="AB38"/>
  <c r="X18"/>
  <c r="X39"/>
  <c r="AD18"/>
  <c r="P37"/>
  <c r="X40"/>
  <c r="AB34"/>
  <c r="Z28"/>
  <c r="AD37"/>
  <c r="R45"/>
  <c r="V39"/>
  <c r="AD27"/>
  <c r="T16"/>
  <c r="T39"/>
  <c r="R41"/>
  <c r="Z29"/>
  <c r="P35"/>
  <c r="AB29"/>
  <c r="P41"/>
  <c r="X29"/>
  <c r="P18"/>
  <c r="AD21"/>
  <c r="V31"/>
  <c r="AD19"/>
  <c r="Z15"/>
  <c r="V20"/>
  <c r="AB43"/>
  <c r="T22"/>
  <c r="Z45"/>
  <c r="T36"/>
  <c r="X43"/>
  <c r="AD26"/>
  <c r="V16"/>
  <c r="AB39"/>
  <c r="T18"/>
  <c r="Z41"/>
  <c r="T28"/>
  <c r="X19"/>
  <c r="AB33"/>
  <c r="X22"/>
  <c r="AB40"/>
  <c r="R19"/>
  <c r="P23"/>
  <c r="T17"/>
  <c r="R42"/>
  <c r="R39"/>
  <c r="P21"/>
  <c r="AD17"/>
  <c r="P24"/>
  <c r="AD20"/>
  <c r="Z27"/>
  <c r="AB22"/>
  <c r="X27"/>
  <c r="AB45"/>
  <c r="Z46"/>
  <c r="P46"/>
  <c r="R16"/>
  <c r="X23"/>
  <c r="AB37"/>
  <c r="T19"/>
  <c r="Z42"/>
  <c r="T32"/>
  <c r="R21"/>
  <c r="X44"/>
  <c r="P38"/>
  <c r="AD41"/>
  <c r="V30"/>
  <c r="AD31"/>
  <c r="T20"/>
  <c r="Z34"/>
  <c r="AD28"/>
  <c r="X36"/>
  <c r="T35"/>
  <c r="AB23"/>
  <c r="V29"/>
  <c r="R35"/>
  <c r="V42"/>
  <c r="AB21"/>
  <c r="R26"/>
  <c r="Z14"/>
  <c r="P42"/>
  <c r="P27"/>
  <c r="X16"/>
  <c r="AD39"/>
  <c r="P15"/>
  <c r="V38"/>
  <c r="AB17"/>
  <c r="R22"/>
  <c r="P19"/>
  <c r="V47"/>
  <c r="AD35"/>
  <c r="Z47"/>
  <c r="T41"/>
  <c r="Z24"/>
  <c r="AD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D12"/>
  <c r="D17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I123" s="1"/>
  <c r="D18" s="1"/>
  <c r="H119"/>
  <c r="G119"/>
  <c r="G123" s="1"/>
  <c r="D16" s="1"/>
  <c r="F119"/>
  <c r="F123" s="1"/>
  <c r="D15" s="1"/>
  <c r="E119"/>
  <c r="E123" s="1"/>
  <c r="D14" s="1"/>
  <c r="D119"/>
  <c r="D123" s="1"/>
  <c r="D13" s="1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H54" i="20" l="1" a="1"/>
  <c r="H54" s="1"/>
  <c r="G54" i="18" a="1"/>
  <c r="G56" s="1"/>
  <c r="C123"/>
  <c r="F123"/>
  <c r="C130"/>
  <c r="G130"/>
  <c r="F137"/>
  <c r="F14" s="1"/>
  <c r="B144"/>
  <c r="G14" s="1"/>
  <c r="F144"/>
  <c r="N13"/>
  <c r="K84" i="20"/>
  <c r="P95"/>
  <c r="K12"/>
  <c r="L14"/>
  <c r="N14"/>
  <c r="J13"/>
  <c r="K86"/>
  <c r="D12" i="18"/>
  <c r="N12"/>
  <c r="J83" i="20"/>
  <c r="J86" s="1"/>
  <c r="L12"/>
  <c r="L13"/>
  <c r="N13"/>
  <c r="H137" i="18"/>
  <c r="D137"/>
  <c r="F12" s="1"/>
  <c r="H144"/>
  <c r="D144"/>
  <c r="G12" s="1"/>
  <c r="D6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K11" i="14" l="1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<sst xmlns="http://schemas.openxmlformats.org/spreadsheetml/2006/main" count="1078" uniqueCount="501">
  <si>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</si>
  <si>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</si>
  <si>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</si>
  <si>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</si>
  <si>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</si>
  <si>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</si>
  <si>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</si>
  <si>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</si>
  <si>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</si>
  <si>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</si>
  <si>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</si>
  <si>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</si>
  <si>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</si>
  <si>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</si>
  <si>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</si>
  <si>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</si>
  <si>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</si>
  <si>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</si>
  <si>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</si>
  <si>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</si>
  <si>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</si>
  <si>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</si>
  <si>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</si>
  <si>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</si>
  <si>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</si>
  <si>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</si>
  <si>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</si>
  <si>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</si>
  <si>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</si>
  <si>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</si>
  <si>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</si>
  <si>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</si>
  <si>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</si>
  <si>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</si>
  <si>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</si>
  <si>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</si>
  <si>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</si>
  <si>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</si>
  <si>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</si>
  <si>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</si>
  <si>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</si>
  <si>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</si>
  <si>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</si>
  <si>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</si>
  <si>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</si>
  <si>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</si>
  <si>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</si>
  <si>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</si>
  <si>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</si>
  <si>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</si>
  <si>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</si>
  <si>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</si>
  <si>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</si>
  <si>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</si>
  <si>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</si>
  <si>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</si>
  <si>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</si>
  <si>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</si>
  <si>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</si>
  <si>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</si>
  <si>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</si>
  <si>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</si>
  <si>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</si>
  <si>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</si>
  <si>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</si>
  <si>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</si>
  <si>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</si>
  <si>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</si>
  <si>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</si>
  <si>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</si>
  <si>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</si>
  <si>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</si>
  <si>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</si>
  <si>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</si>
  <si>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</si>
  <si>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</si>
  <si>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</si>
  <si>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</si>
  <si>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</si>
  <si>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</si>
  <si>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</si>
  <si>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</si>
  <si>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</si>
  <si>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</si>
  <si>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</si>
  <si>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</si>
  <si>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</si>
  <si>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</si>
  <si>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</si>
  <si>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</si>
  <si>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</si>
  <si>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</si>
  <si>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</si>
  <si>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</si>
  <si>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</si>
  <si>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</si>
  <si>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</si>
  <si>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</si>
  <si>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</si>
  <si>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</si>
  <si>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</si>
  <si>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</si>
  <si>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</si>
  <si>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</si>
  <si>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</si>
  <si>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</si>
  <si>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</si>
  <si>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</si>
  <si>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</si>
  <si>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</si>
  <si>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</si>
  <si>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</si>
  <si>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</si>
  <si>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</si>
  <si>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</si>
  <si>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</si>
  <si>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</si>
  <si>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</si>
  <si>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</si>
  <si>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</si>
  <si>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</si>
  <si>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</si>
  <si>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</si>
  <si>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</si>
  <si>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</si>
  <si>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</si>
  <si>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</si>
  <si>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</si>
  <si>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</si>
  <si>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</si>
  <si>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</si>
  <si>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</si>
  <si>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</si>
  <si>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</si>
  <si>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</si>
  <si>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</si>
  <si>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</si>
  <si>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</si>
  <si>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</si>
  <si>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</si>
  <si>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</si>
  <si>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</si>
  <si>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</si>
  <si>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</si>
  <si>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</si>
  <si>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</si>
  <si>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</si>
  <si>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</si>
  <si>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</si>
  <si>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</si>
  <si>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</si>
  <si>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</si>
  <si>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</si>
  <si>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</si>
  <si>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</si>
  <si>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</si>
  <si>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</si>
  <si>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</si>
  <si>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</si>
  <si>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</si>
  <si>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</si>
  <si>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</si>
  <si>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</si>
  <si>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</si>
  <si>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</si>
  <si>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</si>
  <si>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</si>
  <si>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</si>
  <si>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</si>
  <si>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</si>
  <si>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</si>
  <si>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</si>
  <si>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</si>
  <si>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</si>
  <si>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</si>
  <si>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</si>
  <si>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</si>
  <si>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</si>
  <si>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</si>
  <si>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</si>
  <si>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</si>
  <si>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</si>
  <si>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</si>
  <si>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</si>
  <si>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</si>
  <si>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</si>
  <si>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</si>
  <si>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</si>
  <si>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</si>
  <si>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</si>
  <si>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</si>
  <si>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</si>
  <si>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</si>
  <si>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</si>
  <si>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</si>
  <si>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</si>
  <si>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</si>
  <si>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</si>
  <si>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</si>
  <si>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</si>
  <si>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</si>
  <si>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</si>
  <si>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</si>
  <si>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</si>
  <si>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</si>
  <si>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</si>
  <si>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</si>
  <si>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</si>
  <si>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</si>
  <si>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</si>
  <si>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</si>
  <si>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</si>
  <si>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</si>
  <si>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</si>
  <si>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</si>
  <si>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</si>
  <si>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</si>
  <si>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</si>
  <si>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</si>
  <si>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</si>
  <si>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</si>
  <si>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</si>
  <si>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</si>
  <si>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</si>
  <si>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</si>
  <si>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</si>
  <si>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</si>
  <si>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</si>
  <si>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</si>
  <si>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</si>
  <si>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</si>
  <si>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</si>
  <si>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</si>
  <si>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</si>
  <si>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</si>
  <si>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</si>
  <si>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</si>
  <si>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</si>
  <si>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</si>
  <si>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</si>
  <si>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</si>
  <si>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</si>
  <si>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</si>
  <si>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</si>
  <si>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</si>
  <si>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</si>
  <si>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</si>
  <si>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</si>
  <si>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</si>
  <si>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</si>
  <si>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</si>
  <si>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</si>
  <si>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</si>
  <si>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</si>
  <si>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</si>
  <si>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</si>
  <si>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</si>
  <si>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</si>
  <si>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</si>
  <si>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</si>
  <si>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</si>
  <si>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</si>
  <si>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</si>
  <si>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</si>
  <si>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</si>
  <si>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</si>
  <si>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</si>
  <si>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</si>
  <si>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</si>
  <si>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</si>
  <si>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</si>
  <si>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</si>
  <si>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</si>
  <si>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</si>
  <si>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</si>
  <si>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</si>
  <si>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</si>
  <si>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</si>
  <si>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</si>
  <si>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</si>
  <si>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</si>
  <si>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</si>
  <si>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</si>
  <si>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</si>
  <si>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</si>
  <si>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</si>
  <si>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</si>
  <si>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</si>
  <si>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</si>
  <si>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</si>
  <si>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</si>
  <si>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</si>
  <si>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</si>
  <si>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</si>
  <si>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</si>
  <si>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</si>
  <si>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</si>
  <si>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</si>
  <si>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</si>
  <si>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</si>
  <si>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</si>
  <si>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</si>
  <si>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</si>
  <si>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</si>
  <si>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</si>
  <si>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</si>
  <si>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</si>
  <si>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</si>
  <si>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</si>
  <si>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</si>
  <si>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</si>
  <si>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</si>
  <si>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</si>
  <si>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</si>
  <si>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</si>
  <si>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</si>
  <si>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</si>
  <si>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</si>
  <si>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</si>
  <si>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</si>
  <si>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</si>
  <si>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</si>
  <si>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</si>
  <si>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</si>
  <si>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</si>
  <si>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</si>
  <si>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</si>
  <si>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</si>
  <si>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</si>
  <si>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</si>
  <si>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</si>
  <si>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</si>
  <si>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</si>
  <si>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</si>
  <si>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</si>
  <si>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</si>
  <si>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</si>
  <si>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</si>
  <si>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</si>
  <si>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</si>
  <si>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</si>
  <si>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</si>
  <si>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</si>
  <si>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</si>
  <si>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</si>
  <si>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</si>
  <si>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</si>
  <si>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</si>
  <si>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</si>
  <si>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</si>
  <si>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</si>
  <si>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</si>
  <si>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</si>
  <si>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</si>
  <si>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</si>
  <si>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</si>
  <si>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</si>
  <si>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</si>
  <si>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</si>
  <si>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</si>
  <si>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</si>
  <si>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</si>
  <si>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</si>
  <si>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</si>
  <si>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</si>
  <si>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</si>
  <si>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</si>
  <si>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</si>
  <si>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</si>
  <si>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</si>
  <si>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</si>
  <si>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</si>
  <si>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</si>
  <si>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</si>
  <si>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</si>
  <si>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</si>
  <si>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</si>
  <si>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</si>
  <si>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</si>
  <si>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</si>
  <si>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</si>
  <si>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</si>
  <si>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</si>
  <si>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</si>
  <si>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</si>
  <si>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</si>
  <si>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</si>
  <si>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</si>
  <si>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</si>
  <si>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</si>
  <si>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</si>
  <si>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</si>
  <si>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</si>
  <si>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</si>
  <si>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</si>
  <si>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</si>
  <si>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</si>
  <si>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</si>
  <si>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</si>
  <si>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</si>
  <si>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</si>
  <si>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</si>
  <si>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</si>
  <si>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</si>
  <si>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</si>
  <si>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</si>
  <si>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</si>
  <si>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</si>
  <si>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</si>
  <si>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</si>
  <si>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</si>
  <si>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</si>
  <si>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</si>
  <si>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</si>
  <si>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</si>
  <si>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</si>
  <si>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</si>
  <si>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</si>
  <si>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</si>
  <si>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</si>
  <si>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</si>
  <si>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</si>
  <si>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</si>
  <si>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</si>
  <si>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</si>
  <si>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</si>
  <si>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</si>
  <si>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</si>
  <si>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</si>
  <si>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</si>
  <si>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</si>
  <si>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</si>
  <si>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</si>
  <si>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</si>
  <si>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</si>
  <si>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</si>
  <si>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</si>
  <si>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</si>
  <si>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</si>
  <si>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</si>
  <si>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</si>
  <si>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</si>
  <si>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</si>
  <si>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</si>
  <si>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</si>
  <si>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</si>
  <si>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</si>
  <si>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</si>
  <si>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</si>
  <si>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</si>
  <si>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</si>
  <si>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</si>
  <si>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</si>
  <si>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</si>
  <si>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</si>
  <si>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</si>
  <si>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</si>
  <si>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</si>
  <si>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</si>
  <si>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</si>
  <si>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</si>
  <si>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</si>
  <si>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</si>
  <si>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</si>
  <si>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</si>
  <si>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</si>
  <si>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</si>
  <si>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</si>
  <si>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</si>
  <si>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</si>
  <si>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</si>
  <si>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</si>
  <si>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</si>
  <si>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</si>
  <si>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</si>
  <si>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</si>
  <si>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</si>
  <si>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</si>
  <si>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</si>
  <si>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</si>
  <si>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</si>
  <si>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</si>
  <si>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</si>
  <si>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</si>
  <si>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</si>
  <si>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</si>
  <si>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</si>
  <si>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</si>
  <si>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</si>
  <si>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</si>
  <si>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</si>
  <si>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</si>
  <si>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</si>
  <si>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</si>
  <si>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Auswertung</t>
  </si>
  <si>
    <t>Konditionszahlen Skaliert</t>
  </si>
  <si>
    <t>MAX|MIN</t>
  </si>
  <si>
    <t>Cond(A)</t>
  </si>
  <si>
    <t>Matrizen</t>
  </si>
  <si>
    <t>SVDD</t>
  </si>
  <si>
    <t>Kopierte Ergebnisse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</si>
</sst>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7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164" fontId="11" fillId="8" borderId="18" xfId="0" applyNumberFormat="1" applyFont="1" applyFill="1" applyBorder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</cellXfs>
  <cellStyles count="2">
    <cellStyle name="Schlecht" xfId="1" builtinId="27"/>
    <cellStyle name="Standard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Matrix_Konfiguration!$M$13:$M$292</c:f>
              <c:numCache>
                <c:formatCode>General</c:formatCode>
                <c:ptCount val="280"/>
                <c:pt idx="0">
                  <c:v>1.9249243896402272E-3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222721152"/>
        <c:axId val="222722688"/>
      </c:lineChart>
      <c:catAx>
        <c:axId val="222721152"/>
        <c:scaling>
          <c:orientation val="minMax"/>
        </c:scaling>
        <c:axPos val="b"/>
        <c:tickLblPos val="nextTo"/>
        <c:crossAx val="222722688"/>
        <c:crosses val="autoZero"/>
        <c:auto val="1"/>
        <c:lblAlgn val="ctr"/>
        <c:lblOffset val="100"/>
      </c:catAx>
      <c:valAx>
        <c:axId val="222722688"/>
        <c:scaling>
          <c:orientation val="minMax"/>
        </c:scaling>
        <c:axPos val="l"/>
        <c:majorGridlines/>
        <c:numFmt formatCode="General" sourceLinked="1"/>
        <c:tickLblPos val="nextTo"/>
        <c:crossAx val="222721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Matrix_Konfiguration!$K$13:$K$292</c:f>
              <c:numCache>
                <c:formatCode>0.000</c:formatCode>
                <c:ptCount val="280"/>
                <c:pt idx="0">
                  <c:v>4.136985868324337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224806784"/>
        <c:axId val="224808320"/>
      </c:lineChart>
      <c:catAx>
        <c:axId val="224806784"/>
        <c:scaling>
          <c:orientation val="minMax"/>
        </c:scaling>
        <c:axPos val="b"/>
        <c:tickLblPos val="nextTo"/>
        <c:crossAx val="224808320"/>
        <c:crosses val="autoZero"/>
        <c:auto val="1"/>
        <c:lblAlgn val="ctr"/>
        <c:lblOffset val="100"/>
      </c:catAx>
      <c:valAx>
        <c:axId val="224808320"/>
        <c:scaling>
          <c:orientation val="minMax"/>
        </c:scaling>
        <c:axPos val="l"/>
        <c:majorGridlines/>
        <c:numFmt formatCode="0.000" sourceLinked="1"/>
        <c:tickLblPos val="nextTo"/>
        <c:crossAx val="224806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Tabelle2!$R$3:$R$282</c:f>
              <c:numCache>
                <c:formatCode>0.000</c:formatCode>
                <c:ptCount val="280"/>
                <c:pt idx="0">
                  <c:v>4.1354433936190542</c:v>
                </c:pt>
                <c:pt idx="1">
                  <c:v>3.695188393935255</c:v>
                </c:pt>
                <c:pt idx="2">
                  <c:v>2.6535880650197381</c:v>
                </c:pt>
                <c:pt idx="3">
                  <c:v>2.3780972819345165</c:v>
                </c:pt>
                <c:pt idx="4">
                  <c:v>2.2220594231277939</c:v>
                </c:pt>
                <c:pt idx="5">
                  <c:v>5.3771388673477363</c:v>
                </c:pt>
                <c:pt idx="6">
                  <c:v>24.102001417683255</c:v>
                </c:pt>
                <c:pt idx="7">
                  <c:v>8.7943477489155359</c:v>
                </c:pt>
                <c:pt idx="8">
                  <c:v>36.233071045058026</c:v>
                </c:pt>
                <c:pt idx="9">
                  <c:v>3.6561116410493621</c:v>
                </c:pt>
                <c:pt idx="10">
                  <c:v>4.4961895496851163</c:v>
                </c:pt>
                <c:pt idx="11">
                  <c:v>2.7089134150747789</c:v>
                </c:pt>
                <c:pt idx="12">
                  <c:v>7.6360567302864579</c:v>
                </c:pt>
                <c:pt idx="13">
                  <c:v>35.082172573625854</c:v>
                </c:pt>
                <c:pt idx="14">
                  <c:v>4.8589141529747186</c:v>
                </c:pt>
                <c:pt idx="15">
                  <c:v>4.1106906545114148</c:v>
                </c:pt>
                <c:pt idx="16">
                  <c:v>4.6575730124244128</c:v>
                </c:pt>
                <c:pt idx="17">
                  <c:v>3.0886614750230454</c:v>
                </c:pt>
                <c:pt idx="18">
                  <c:v>2.5759313040446781</c:v>
                </c:pt>
                <c:pt idx="19">
                  <c:v>6.0507660010919153</c:v>
                </c:pt>
                <c:pt idx="20">
                  <c:v>12.111695063154006</c:v>
                </c:pt>
                <c:pt idx="21">
                  <c:v>17.926260578701314</c:v>
                </c:pt>
                <c:pt idx="22">
                  <c:v>5.8798725000747956</c:v>
                </c:pt>
                <c:pt idx="23">
                  <c:v>3.8804856131708196</c:v>
                </c:pt>
                <c:pt idx="24">
                  <c:v>24.669275971177594</c:v>
                </c:pt>
                <c:pt idx="25">
                  <c:v>7.3599631124017391</c:v>
                </c:pt>
                <c:pt idx="26">
                  <c:v>6.5785291732093709</c:v>
                </c:pt>
                <c:pt idx="27">
                  <c:v>3.1644138082772151</c:v>
                </c:pt>
                <c:pt idx="28">
                  <c:v>16.189935979563476</c:v>
                </c:pt>
                <c:pt idx="29">
                  <c:v>21.296368693023961</c:v>
                </c:pt>
                <c:pt idx="30">
                  <c:v>5.3118581440101593</c:v>
                </c:pt>
                <c:pt idx="31">
                  <c:v>13.879924968743053</c:v>
                </c:pt>
                <c:pt idx="32">
                  <c:v>4.7237806352474765</c:v>
                </c:pt>
                <c:pt idx="33">
                  <c:v>13.786758091944304</c:v>
                </c:pt>
                <c:pt idx="34">
                  <c:v>6.4206881815900845</c:v>
                </c:pt>
                <c:pt idx="35">
                  <c:v>4.0457781004846751</c:v>
                </c:pt>
                <c:pt idx="36">
                  <c:v>6.5539203995508677</c:v>
                </c:pt>
                <c:pt idx="37">
                  <c:v>4.0308357672671891</c:v>
                </c:pt>
                <c:pt idx="38">
                  <c:v>5.315806569312362</c:v>
                </c:pt>
                <c:pt idx="39">
                  <c:v>5.1731248882840752</c:v>
                </c:pt>
                <c:pt idx="40">
                  <c:v>5.3188046488284861</c:v>
                </c:pt>
                <c:pt idx="41">
                  <c:v>14.848261657059052</c:v>
                </c:pt>
                <c:pt idx="42">
                  <c:v>7.8816809547397835</c:v>
                </c:pt>
                <c:pt idx="43">
                  <c:v>31.111971140337332</c:v>
                </c:pt>
                <c:pt idx="44">
                  <c:v>5.1695115378029746</c:v>
                </c:pt>
                <c:pt idx="45">
                  <c:v>7.1648819291236823</c:v>
                </c:pt>
                <c:pt idx="46">
                  <c:v>5.0195612976123583</c:v>
                </c:pt>
                <c:pt idx="47">
                  <c:v>8.0126887993783455</c:v>
                </c:pt>
                <c:pt idx="48">
                  <c:v>35.38123328066434</c:v>
                </c:pt>
                <c:pt idx="49">
                  <c:v>6.0246086472506564</c:v>
                </c:pt>
                <c:pt idx="50">
                  <c:v>160.26757680652088</c:v>
                </c:pt>
                <c:pt idx="51">
                  <c:v>46.993344715890572</c:v>
                </c:pt>
                <c:pt idx="52">
                  <c:v>176.02698094377152</c:v>
                </c:pt>
                <c:pt idx="53">
                  <c:v>15.435613581200162</c:v>
                </c:pt>
                <c:pt idx="54">
                  <c:v>143.64870086965129</c:v>
                </c:pt>
                <c:pt idx="55">
                  <c:v>212.05508958099998</c:v>
                </c:pt>
                <c:pt idx="56">
                  <c:v>19.321800110909908</c:v>
                </c:pt>
                <c:pt idx="57">
                  <c:v>55.518790845095438</c:v>
                </c:pt>
                <c:pt idx="58">
                  <c:v>7.0828312033279532</c:v>
                </c:pt>
                <c:pt idx="59">
                  <c:v>9.7150883563615089</c:v>
                </c:pt>
                <c:pt idx="60">
                  <c:v>60.795211104433726</c:v>
                </c:pt>
                <c:pt idx="61">
                  <c:v>248.11023739424459</c:v>
                </c:pt>
                <c:pt idx="62">
                  <c:v>14.255041194768802</c:v>
                </c:pt>
                <c:pt idx="63">
                  <c:v>57.387633897654915</c:v>
                </c:pt>
                <c:pt idx="64">
                  <c:v>21.075722188208807</c:v>
                </c:pt>
                <c:pt idx="65">
                  <c:v>10.128578188634867</c:v>
                </c:pt>
                <c:pt idx="66">
                  <c:v>69.470509414782754</c:v>
                </c:pt>
                <c:pt idx="67">
                  <c:v>7.520000920680614</c:v>
                </c:pt>
                <c:pt idx="68">
                  <c:v>12.992643209090787</c:v>
                </c:pt>
                <c:pt idx="69">
                  <c:v>7.6441049713352109</c:v>
                </c:pt>
                <c:pt idx="70">
                  <c:v>6.5421425181128727</c:v>
                </c:pt>
                <c:pt idx="71">
                  <c:v>3.8019800441798788</c:v>
                </c:pt>
                <c:pt idx="72">
                  <c:v>5.3432505600512021</c:v>
                </c:pt>
                <c:pt idx="73">
                  <c:v>3.9016936437990282</c:v>
                </c:pt>
                <c:pt idx="74">
                  <c:v>4.8257536934276164</c:v>
                </c:pt>
                <c:pt idx="75">
                  <c:v>4.2232008730237434</c:v>
                </c:pt>
                <c:pt idx="76">
                  <c:v>7.3061038080832263</c:v>
                </c:pt>
                <c:pt idx="77">
                  <c:v>4.6631085943494535</c:v>
                </c:pt>
                <c:pt idx="78">
                  <c:v>4.8000748820898664</c:v>
                </c:pt>
                <c:pt idx="79">
                  <c:v>5.4675335053292873</c:v>
                </c:pt>
                <c:pt idx="80">
                  <c:v>8.0731436876378737</c:v>
                </c:pt>
                <c:pt idx="81">
                  <c:v>14.980252326420555</c:v>
                </c:pt>
                <c:pt idx="82">
                  <c:v>6.3882269273436849</c:v>
                </c:pt>
                <c:pt idx="83">
                  <c:v>4.7091027641262944</c:v>
                </c:pt>
                <c:pt idx="84">
                  <c:v>25.834490364680985</c:v>
                </c:pt>
                <c:pt idx="85">
                  <c:v>157.25101650189873</c:v>
                </c:pt>
                <c:pt idx="86">
                  <c:v>100.13119378837854</c:v>
                </c:pt>
                <c:pt idx="87">
                  <c:v>201.16039850027767</c:v>
                </c:pt>
                <c:pt idx="88">
                  <c:v>24.805518369711482</c:v>
                </c:pt>
                <c:pt idx="89">
                  <c:v>116.69327450544299</c:v>
                </c:pt>
                <c:pt idx="90">
                  <c:v>111.84136912464257</c:v>
                </c:pt>
                <c:pt idx="91">
                  <c:v>11.217641164351797</c:v>
                </c:pt>
                <c:pt idx="92">
                  <c:v>58.862333601481097</c:v>
                </c:pt>
                <c:pt idx="93">
                  <c:v>8.7221521760227372</c:v>
                </c:pt>
                <c:pt idx="94">
                  <c:v>8.1721077716016133</c:v>
                </c:pt>
                <c:pt idx="95">
                  <c:v>73.974147367343548</c:v>
                </c:pt>
                <c:pt idx="96">
                  <c:v>150.22207654892082</c:v>
                </c:pt>
                <c:pt idx="97">
                  <c:v>10.506106689169831</c:v>
                </c:pt>
                <c:pt idx="98">
                  <c:v>53.683716828559511</c:v>
                </c:pt>
                <c:pt idx="99">
                  <c:v>10.931038047265869</c:v>
                </c:pt>
                <c:pt idx="100">
                  <c:v>8.602001144832327</c:v>
                </c:pt>
                <c:pt idx="101">
                  <c:v>82.453807087903158</c:v>
                </c:pt>
                <c:pt idx="102">
                  <c:v>8.1086233463852224</c:v>
                </c:pt>
                <c:pt idx="103">
                  <c:v>12.281718994831845</c:v>
                </c:pt>
                <c:pt idx="104">
                  <c:v>8.5654140285482256</c:v>
                </c:pt>
                <c:pt idx="105">
                  <c:v>5.2208960006035552</c:v>
                </c:pt>
                <c:pt idx="106">
                  <c:v>6.8907637602271539</c:v>
                </c:pt>
                <c:pt idx="107">
                  <c:v>9.9064111046691572</c:v>
                </c:pt>
                <c:pt idx="108">
                  <c:v>7.5510594626677561</c:v>
                </c:pt>
                <c:pt idx="109">
                  <c:v>25.702748088643357</c:v>
                </c:pt>
                <c:pt idx="110">
                  <c:v>8.2488209489774285</c:v>
                </c:pt>
                <c:pt idx="111">
                  <c:v>5.1420144786144064</c:v>
                </c:pt>
                <c:pt idx="112">
                  <c:v>5.8101815949256537</c:v>
                </c:pt>
                <c:pt idx="113">
                  <c:v>4.7126969128317917</c:v>
                </c:pt>
                <c:pt idx="114">
                  <c:v>6.8250103361546133</c:v>
                </c:pt>
                <c:pt idx="115">
                  <c:v>8.9930678571366478</c:v>
                </c:pt>
                <c:pt idx="116">
                  <c:v>4.2913852360316209</c:v>
                </c:pt>
                <c:pt idx="117">
                  <c:v>10.792718451752343</c:v>
                </c:pt>
                <c:pt idx="118">
                  <c:v>13.11668543542511</c:v>
                </c:pt>
                <c:pt idx="119">
                  <c:v>5.1193343402506821</c:v>
                </c:pt>
                <c:pt idx="120">
                  <c:v>173.30422484384809</c:v>
                </c:pt>
                <c:pt idx="121">
                  <c:v>40.261746713374329</c:v>
                </c:pt>
                <c:pt idx="122">
                  <c:v>166.47252829981736</c:v>
                </c:pt>
                <c:pt idx="123">
                  <c:v>12.981271825741857</c:v>
                </c:pt>
                <c:pt idx="124">
                  <c:v>40.7933299450278</c:v>
                </c:pt>
                <c:pt idx="125">
                  <c:v>226.21183383405241</c:v>
                </c:pt>
                <c:pt idx="126">
                  <c:v>10.768900546401296</c:v>
                </c:pt>
                <c:pt idx="127">
                  <c:v>32.03413347089144</c:v>
                </c:pt>
                <c:pt idx="128">
                  <c:v>10.93967589972967</c:v>
                </c:pt>
                <c:pt idx="129">
                  <c:v>7.2010209773350216</c:v>
                </c:pt>
                <c:pt idx="130">
                  <c:v>75.832150333539076</c:v>
                </c:pt>
                <c:pt idx="131">
                  <c:v>221.14310828390998</c:v>
                </c:pt>
                <c:pt idx="132">
                  <c:v>14.287203521800995</c:v>
                </c:pt>
                <c:pt idx="133">
                  <c:v>37.535233039927341</c:v>
                </c:pt>
                <c:pt idx="134">
                  <c:v>6.2603571087600169</c:v>
                </c:pt>
                <c:pt idx="135">
                  <c:v>7.9253161861608605</c:v>
                </c:pt>
                <c:pt idx="136">
                  <c:v>49.729279678600271</c:v>
                </c:pt>
                <c:pt idx="137">
                  <c:v>6.7534431445853373</c:v>
                </c:pt>
                <c:pt idx="138">
                  <c:v>10.918106312881234</c:v>
                </c:pt>
                <c:pt idx="139">
                  <c:v>5.9499634529776904</c:v>
                </c:pt>
                <c:pt idx="140">
                  <c:v>5.9221255668739783</c:v>
                </c:pt>
                <c:pt idx="141">
                  <c:v>10.494898808921118</c:v>
                </c:pt>
                <c:pt idx="142">
                  <c:v>7.023789455542131</c:v>
                </c:pt>
                <c:pt idx="143">
                  <c:v>5.626961900829321</c:v>
                </c:pt>
                <c:pt idx="144">
                  <c:v>4.8996048956109748</c:v>
                </c:pt>
                <c:pt idx="145">
                  <c:v>6.5922023267207113</c:v>
                </c:pt>
                <c:pt idx="146">
                  <c:v>6.7105664089168426</c:v>
                </c:pt>
                <c:pt idx="147">
                  <c:v>7.0312992713762936</c:v>
                </c:pt>
                <c:pt idx="148">
                  <c:v>14.02684316037301</c:v>
                </c:pt>
                <c:pt idx="149">
                  <c:v>10.959186569084393</c:v>
                </c:pt>
                <c:pt idx="150">
                  <c:v>6.9652378518336615</c:v>
                </c:pt>
                <c:pt idx="151">
                  <c:v>4.4463378786883858</c:v>
                </c:pt>
                <c:pt idx="152">
                  <c:v>10.895243151566556</c:v>
                </c:pt>
                <c:pt idx="153">
                  <c:v>4.5852000172627232</c:v>
                </c:pt>
                <c:pt idx="154">
                  <c:v>9.2982792164366224</c:v>
                </c:pt>
                <c:pt idx="155">
                  <c:v>192.39391754968031</c:v>
                </c:pt>
                <c:pt idx="156">
                  <c:v>129.66977488444354</c:v>
                </c:pt>
                <c:pt idx="157">
                  <c:v>122.79906078168024</c:v>
                </c:pt>
                <c:pt idx="158">
                  <c:v>11.321658387881362</c:v>
                </c:pt>
                <c:pt idx="159">
                  <c:v>101.03887656044341</c:v>
                </c:pt>
                <c:pt idx="160">
                  <c:v>257.13512217323864</c:v>
                </c:pt>
                <c:pt idx="161">
                  <c:v>19.51960615823284</c:v>
                </c:pt>
                <c:pt idx="162">
                  <c:v>57.156542782570753</c:v>
                </c:pt>
                <c:pt idx="163">
                  <c:v>7.3300092307932596</c:v>
                </c:pt>
                <c:pt idx="164">
                  <c:v>8.4956357581749096</c:v>
                </c:pt>
                <c:pt idx="165">
                  <c:v>74.075977821515593</c:v>
                </c:pt>
                <c:pt idx="166">
                  <c:v>134.76209780282866</c:v>
                </c:pt>
                <c:pt idx="167">
                  <c:v>8.9797627776522759</c:v>
                </c:pt>
                <c:pt idx="168">
                  <c:v>54.022158705490284</c:v>
                </c:pt>
                <c:pt idx="169">
                  <c:v>5.9636504113419964</c:v>
                </c:pt>
                <c:pt idx="170">
                  <c:v>7.5699127029959348</c:v>
                </c:pt>
                <c:pt idx="171">
                  <c:v>51.881892475460688</c:v>
                </c:pt>
                <c:pt idx="172">
                  <c:v>8.7424104039662662</c:v>
                </c:pt>
                <c:pt idx="173">
                  <c:v>8.8185001164714851</c:v>
                </c:pt>
                <c:pt idx="174">
                  <c:v>9.0962397443754011</c:v>
                </c:pt>
                <c:pt idx="175">
                  <c:v>6.743785505947816</c:v>
                </c:pt>
                <c:pt idx="176">
                  <c:v>24.839252706387903</c:v>
                </c:pt>
                <c:pt idx="177">
                  <c:v>6.7597735060422064</c:v>
                </c:pt>
                <c:pt idx="178">
                  <c:v>7.6427821491197658</c:v>
                </c:pt>
                <c:pt idx="179">
                  <c:v>30.374485642704958</c:v>
                </c:pt>
                <c:pt idx="180">
                  <c:v>7.3935458899574957</c:v>
                </c:pt>
                <c:pt idx="181">
                  <c:v>11.422771433272743</c:v>
                </c:pt>
                <c:pt idx="182">
                  <c:v>7.7039081993148413</c:v>
                </c:pt>
                <c:pt idx="183">
                  <c:v>4.6372011230253731</c:v>
                </c:pt>
                <c:pt idx="184">
                  <c:v>8.6837602617568219</c:v>
                </c:pt>
                <c:pt idx="185">
                  <c:v>10.818658147165989</c:v>
                </c:pt>
                <c:pt idx="186">
                  <c:v>12.577693773755021</c:v>
                </c:pt>
                <c:pt idx="187">
                  <c:v>13.997547337634511</c:v>
                </c:pt>
                <c:pt idx="188">
                  <c:v>4.0509593948373288</c:v>
                </c:pt>
                <c:pt idx="189">
                  <c:v>4.3690920255771504</c:v>
                </c:pt>
                <c:pt idx="190">
                  <c:v>78.204179414956343</c:v>
                </c:pt>
                <c:pt idx="191">
                  <c:v>161.39963075848718</c:v>
                </c:pt>
                <c:pt idx="192">
                  <c:v>48.084417664765631</c:v>
                </c:pt>
                <c:pt idx="193">
                  <c:v>5.3850889074185826</c:v>
                </c:pt>
                <c:pt idx="194">
                  <c:v>60.490057027091879</c:v>
                </c:pt>
                <c:pt idx="195">
                  <c:v>43.488749164962918</c:v>
                </c:pt>
                <c:pt idx="196">
                  <c:v>15.836534712833005</c:v>
                </c:pt>
                <c:pt idx="197">
                  <c:v>46.964633171277647</c:v>
                </c:pt>
                <c:pt idx="198">
                  <c:v>4.2315270089654948</c:v>
                </c:pt>
                <c:pt idx="199">
                  <c:v>3.7418087063224883</c:v>
                </c:pt>
                <c:pt idx="200">
                  <c:v>80.453484336355473</c:v>
                </c:pt>
                <c:pt idx="201">
                  <c:v>32.659654733922437</c:v>
                </c:pt>
                <c:pt idx="202">
                  <c:v>5.1534648569153383</c:v>
                </c:pt>
                <c:pt idx="203">
                  <c:v>96.363900682167497</c:v>
                </c:pt>
                <c:pt idx="204">
                  <c:v>8.4985165396133606</c:v>
                </c:pt>
                <c:pt idx="205">
                  <c:v>6.3892566317216408</c:v>
                </c:pt>
                <c:pt idx="206">
                  <c:v>36.221730805963183</c:v>
                </c:pt>
                <c:pt idx="207">
                  <c:v>4.1620508944134142</c:v>
                </c:pt>
                <c:pt idx="208">
                  <c:v>3.3403386916710178</c:v>
                </c:pt>
                <c:pt idx="209">
                  <c:v>8.7567047785689525</c:v>
                </c:pt>
                <c:pt idx="210">
                  <c:v>6.2939455466528083</c:v>
                </c:pt>
                <c:pt idx="211">
                  <c:v>14.932257010908593</c:v>
                </c:pt>
                <c:pt idx="212">
                  <c:v>6.4289070083571405</c:v>
                </c:pt>
                <c:pt idx="213">
                  <c:v>8.8420762558119961</c:v>
                </c:pt>
                <c:pt idx="214">
                  <c:v>3.9230837115472439</c:v>
                </c:pt>
                <c:pt idx="215">
                  <c:v>6.0356714137465337</c:v>
                </c:pt>
                <c:pt idx="216">
                  <c:v>12.849369757989988</c:v>
                </c:pt>
                <c:pt idx="217">
                  <c:v>5.7863621202898932</c:v>
                </c:pt>
                <c:pt idx="218">
                  <c:v>19.724822836937211</c:v>
                </c:pt>
                <c:pt idx="219">
                  <c:v>6.7644044466251483</c:v>
                </c:pt>
                <c:pt idx="220">
                  <c:v>14.963253998921628</c:v>
                </c:pt>
                <c:pt idx="221">
                  <c:v>3.7360888119217588</c:v>
                </c:pt>
                <c:pt idx="222">
                  <c:v>7.2278037852748023</c:v>
                </c:pt>
                <c:pt idx="223">
                  <c:v>6.3208517365424539</c:v>
                </c:pt>
                <c:pt idx="224">
                  <c:v>3.3116771451797913</c:v>
                </c:pt>
                <c:pt idx="225">
                  <c:v>216.17278581493775</c:v>
                </c:pt>
                <c:pt idx="226">
                  <c:v>154.52687108818856</c:v>
                </c:pt>
                <c:pt idx="227">
                  <c:v>45.007321007916211</c:v>
                </c:pt>
                <c:pt idx="228">
                  <c:v>5.2655291296149898</c:v>
                </c:pt>
                <c:pt idx="229">
                  <c:v>228.74522174121324</c:v>
                </c:pt>
                <c:pt idx="230">
                  <c:v>71.074030336678234</c:v>
                </c:pt>
                <c:pt idx="231">
                  <c:v>10.584866538776573</c:v>
                </c:pt>
                <c:pt idx="232">
                  <c:v>36.237080327907343</c:v>
                </c:pt>
                <c:pt idx="233">
                  <c:v>4.850585449498352</c:v>
                </c:pt>
                <c:pt idx="234">
                  <c:v>4.849656362259811</c:v>
                </c:pt>
                <c:pt idx="235">
                  <c:v>136.67756025477368</c:v>
                </c:pt>
                <c:pt idx="236">
                  <c:v>33.135585600391735</c:v>
                </c:pt>
                <c:pt idx="237">
                  <c:v>4.219515112282088</c:v>
                </c:pt>
                <c:pt idx="238">
                  <c:v>50.387511241443939</c:v>
                </c:pt>
                <c:pt idx="239">
                  <c:v>6.5593869314857898</c:v>
                </c:pt>
                <c:pt idx="240">
                  <c:v>3.4547490990447858</c:v>
                </c:pt>
                <c:pt idx="241">
                  <c:v>30.241386845270277</c:v>
                </c:pt>
                <c:pt idx="242">
                  <c:v>4.0308299629282702</c:v>
                </c:pt>
                <c:pt idx="243">
                  <c:v>4.9218449359487764</c:v>
                </c:pt>
                <c:pt idx="244">
                  <c:v>3.1926061409664483</c:v>
                </c:pt>
                <c:pt idx="245">
                  <c:v>7.0039271355282375</c:v>
                </c:pt>
                <c:pt idx="246">
                  <c:v>55.930591454987265</c:v>
                </c:pt>
                <c:pt idx="247">
                  <c:v>5.4193070411890991</c:v>
                </c:pt>
                <c:pt idx="248">
                  <c:v>36.031737558129478</c:v>
                </c:pt>
                <c:pt idx="249">
                  <c:v>4.2832855882423431</c:v>
                </c:pt>
                <c:pt idx="250">
                  <c:v>5.8437778580612463</c:v>
                </c:pt>
                <c:pt idx="251">
                  <c:v>27.105146996625582</c:v>
                </c:pt>
                <c:pt idx="252">
                  <c:v>4.3641874151518767</c:v>
                </c:pt>
                <c:pt idx="253">
                  <c:v>24.345896072043825</c:v>
                </c:pt>
                <c:pt idx="254">
                  <c:v>4.1542366580132848</c:v>
                </c:pt>
                <c:pt idx="255">
                  <c:v>17.308898192853974</c:v>
                </c:pt>
                <c:pt idx="256">
                  <c:v>3.5187890734996405</c:v>
                </c:pt>
                <c:pt idx="257">
                  <c:v>2.9246852621052959</c:v>
                </c:pt>
                <c:pt idx="258">
                  <c:v>10.015423341047251</c:v>
                </c:pt>
                <c:pt idx="259">
                  <c:v>2.6371099326821943</c:v>
                </c:pt>
                <c:pt idx="260">
                  <c:v>25.125840436768463</c:v>
                </c:pt>
                <c:pt idx="261">
                  <c:v>17.820276961680449</c:v>
                </c:pt>
                <c:pt idx="262">
                  <c:v>6.3517120058015237</c:v>
                </c:pt>
                <c:pt idx="263">
                  <c:v>6.7578324973079091</c:v>
                </c:pt>
                <c:pt idx="264">
                  <c:v>15.93974965125182</c:v>
                </c:pt>
                <c:pt idx="265">
                  <c:v>24.484220635039041</c:v>
                </c:pt>
                <c:pt idx="266">
                  <c:v>9.6782940219142635</c:v>
                </c:pt>
                <c:pt idx="267">
                  <c:v>4.3628779752189537</c:v>
                </c:pt>
                <c:pt idx="268">
                  <c:v>7.1522546835630632</c:v>
                </c:pt>
                <c:pt idx="269">
                  <c:v>3.4260059455186656</c:v>
                </c:pt>
                <c:pt idx="270">
                  <c:v>12.082714650270805</c:v>
                </c:pt>
                <c:pt idx="271">
                  <c:v>6.7158596115691598</c:v>
                </c:pt>
                <c:pt idx="272">
                  <c:v>5.3143923989038973</c:v>
                </c:pt>
                <c:pt idx="273">
                  <c:v>6.5691112647755974</c:v>
                </c:pt>
                <c:pt idx="274">
                  <c:v>11.370138866273509</c:v>
                </c:pt>
                <c:pt idx="275">
                  <c:v>4.1925628111386697</c:v>
                </c:pt>
                <c:pt idx="276">
                  <c:v>4.4283528561982362</c:v>
                </c:pt>
                <c:pt idx="277">
                  <c:v>5.4661731998728929</c:v>
                </c:pt>
                <c:pt idx="278">
                  <c:v>3.6866705596950839</c:v>
                </c:pt>
                <c:pt idx="279">
                  <c:v>5.7542568897760695</c:v>
                </c:pt>
              </c:numCache>
            </c:numRef>
          </c:val>
        </c:ser>
        <c:marker val="1"/>
        <c:axId val="224820224"/>
        <c:axId val="226390784"/>
      </c:lineChart>
      <c:catAx>
        <c:axId val="224820224"/>
        <c:scaling>
          <c:orientation val="minMax"/>
        </c:scaling>
        <c:axPos val="b"/>
        <c:tickLblPos val="nextTo"/>
        <c:crossAx val="226390784"/>
        <c:crosses val="autoZero"/>
        <c:auto val="1"/>
        <c:lblAlgn val="ctr"/>
        <c:lblOffset val="100"/>
      </c:catAx>
      <c:valAx>
        <c:axId val="226390784"/>
        <c:scaling>
          <c:orientation val="minMax"/>
        </c:scaling>
        <c:axPos val="l"/>
        <c:majorGridlines/>
        <c:numFmt formatCode="0.000" sourceLinked="1"/>
        <c:tickLblPos val="nextTo"/>
        <c:crossAx val="224820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47</xdr:row>
      <xdr:rowOff>152400</xdr:rowOff>
    </xdr:from>
    <xdr:to>
      <xdr:col>23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104775</xdr:colOff>
      <xdr:row>47</xdr:row>
      <xdr:rowOff>152400</xdr:rowOff>
    </xdr:from>
    <xdr:to>
      <xdr:col>28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F63" zoomScale="115" zoomScaleNormal="115" workbookViewId="0">
      <selection activeCell="L89" sqref="L89:L9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2" t="s">
        <v>6</v>
      </c>
      <c r="C1" s="182"/>
      <c r="D1" s="182"/>
      <c r="E1" s="182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1" t="s">
        <v>5</v>
      </c>
      <c r="I6" s="181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82" t="s">
        <v>9</v>
      </c>
      <c r="C19" s="182"/>
      <c r="D19" s="182"/>
      <c r="E19" s="182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7">
        <v>-30.441860465116278</v>
      </c>
      <c r="J62" s="157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7" t="e">
        <v>#DIV/0!</v>
      </c>
      <c r="J63" s="157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7">
        <v>-12.232758620689655</v>
      </c>
      <c r="J64" s="157">
        <v>3.6724137931034484</v>
      </c>
      <c r="M64">
        <f t="shared" si="4"/>
        <v>3.3309859154929575</v>
      </c>
    </row>
    <row r="65" spans="8:13">
      <c r="H65" t="s">
        <v>123</v>
      </c>
      <c r="I65" s="157">
        <v>-4.4375</v>
      </c>
      <c r="J65" s="157">
        <v>-0.34375</v>
      </c>
      <c r="M65">
        <f t="shared" si="4"/>
        <v>12.909090909090908</v>
      </c>
    </row>
    <row r="66" spans="8:13">
      <c r="H66" t="s">
        <v>127</v>
      </c>
      <c r="I66" s="157">
        <v>14.42443729903537</v>
      </c>
      <c r="J66" s="157">
        <v>-14.260450160771704</v>
      </c>
      <c r="M66">
        <f t="shared" si="4"/>
        <v>1.0114994363021421</v>
      </c>
    </row>
    <row r="67" spans="8:13">
      <c r="H67" t="s">
        <v>126</v>
      </c>
      <c r="I67" s="157">
        <v>38.125</v>
      </c>
      <c r="J67" s="157">
        <v>-29.387681159420289</v>
      </c>
      <c r="M67">
        <f t="shared" si="4"/>
        <v>1.2973122919492048</v>
      </c>
    </row>
    <row r="68" spans="8:13">
      <c r="H68" t="s">
        <v>125</v>
      </c>
      <c r="I68" s="157" t="e">
        <v>#DIV/0!</v>
      </c>
      <c r="J68" s="157" t="e">
        <v>#DIV/0!</v>
      </c>
      <c r="M68" t="e">
        <f t="shared" si="4"/>
        <v>#DIV/0!</v>
      </c>
    </row>
    <row r="69" spans="8:13">
      <c r="H69" t="s">
        <v>124</v>
      </c>
      <c r="I69" s="157">
        <v>-18.798816568047336</v>
      </c>
      <c r="J69" s="157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7">
        <f>IF(J80&lt;0,(-2*PI()+J80*-1)*-1,J80)</f>
        <v>3.9269908169872414</v>
      </c>
    </row>
    <row r="81" spans="9:12">
      <c r="I81" s="41"/>
      <c r="J81" t="e">
        <f t="shared" si="6"/>
        <v>#DIV/0!</v>
      </c>
      <c r="K81" s="157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7">
        <f t="shared" si="7"/>
        <v>2.3561944901923448</v>
      </c>
    </row>
    <row r="83" spans="9:12">
      <c r="J83">
        <f t="shared" si="6"/>
        <v>-2.3561944901923448</v>
      </c>
      <c r="K83" s="157">
        <f t="shared" si="7"/>
        <v>3.9269908169872414</v>
      </c>
    </row>
    <row r="84" spans="9:12">
      <c r="J84">
        <f t="shared" si="6"/>
        <v>-0.78539816339744828</v>
      </c>
      <c r="K84" s="157">
        <f t="shared" si="7"/>
        <v>5.497787143782138</v>
      </c>
    </row>
    <row r="85" spans="9:12">
      <c r="J85">
        <f t="shared" si="6"/>
        <v>-0.78539816339744828</v>
      </c>
      <c r="K85" s="157">
        <f t="shared" si="7"/>
        <v>5.497787143782138</v>
      </c>
    </row>
    <row r="86" spans="9:12">
      <c r="J86" t="e">
        <f t="shared" si="6"/>
        <v>#DIV/0!</v>
      </c>
      <c r="K86" s="157" t="e">
        <f t="shared" si="7"/>
        <v>#DIV/0!</v>
      </c>
    </row>
    <row r="87" spans="9:12">
      <c r="J87">
        <f t="shared" si="6"/>
        <v>-2.3561944901923448</v>
      </c>
      <c r="K87" s="157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7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7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7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7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7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7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7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7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tabSelected="1" topLeftCell="A16" workbookViewId="0">
      <selection activeCell="H22" sqref="H22:H28"/>
    </sheetView>
  </sheetViews>
  <sheetFormatPr baseColWidth="10" defaultRowHeight="15"/>
  <cols>
    <col min="16" max="23" width="11.42578125" style="17"/>
  </cols>
  <sheetData>
    <row r="1" spans="1:15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0.29506271563788528</v>
      </c>
      <c r="K12" s="2">
        <f>A_1*(1/(2*PI())^2)*(T_2^2-T_0^2)</f>
        <v>-0.29506271563788528</v>
      </c>
      <c r="L12" s="2">
        <f>A_1*(1/(2*PI())^2)*(T_3^2-T_2^2)</f>
        <v>-4.934339448225919E-2</v>
      </c>
      <c r="M12" s="2">
        <f>A_1*(1/(2*PI())^2)*(T_4^2-T_2^2)</f>
        <v>2.2184390610409613E-2</v>
      </c>
      <c r="N12" s="2">
        <f>A_1*(1/(2*PI())^2)*(T_0^2-T_4^2)</f>
        <v>0.27287832502747572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0.34440611012014449</v>
      </c>
      <c r="K13" s="2">
        <f>A_1*(1/(2*PI())^2)*(T_2^2-T_3^2)</f>
        <v>4.934339448225919E-2</v>
      </c>
      <c r="L13" s="2">
        <f>A_1*(1/(2*PI())^2)*(T_3^2-T_0^2)</f>
        <v>-0.34440611012014449</v>
      </c>
      <c r="M13" s="2">
        <f>A_1*(1/(2*PI())^2)*(T_4^2-T_3^2)</f>
        <v>7.15277850926688E-2</v>
      </c>
      <c r="N13" s="2">
        <f>A_1*(1/(2*PI())^2)*(T_0^2-T_2^2)</f>
        <v>0.29506271563788528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0.27287832502747572</v>
      </c>
      <c r="K14" s="2">
        <f>A_1*(1/(2*PI())^2)*(T_2^2-T_4^2)</f>
        <v>-2.2184390610409613E-2</v>
      </c>
      <c r="L14" s="2">
        <f>A_1*(1/(2*PI())^2)*(T_3^2-T_4^2)</f>
        <v>-7.15277850926688E-2</v>
      </c>
      <c r="M14" s="2">
        <f>A_1*(1/(2*PI())^2)*(T_4^2-T_0^2)</f>
        <v>-0.27287832502747572</v>
      </c>
      <c r="N14" s="2">
        <f>A_1*(1/(2*PI())^2)*(T_0^2-T_3^2)</f>
        <v>0.34440611012014449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1.6553537304207824E-6</v>
      </c>
      <c r="E22" s="126">
        <v>0.34503836421563755</v>
      </c>
      <c r="F22" s="126">
        <v>0.34767893917192266</v>
      </c>
      <c r="G22" s="126">
        <v>0.29135412087047058</v>
      </c>
      <c r="H22" s="126">
        <v>0</v>
      </c>
      <c r="I22" s="70">
        <v>-0.15855509315995797</v>
      </c>
      <c r="J22" s="70">
        <v>-0.85603789680002773</v>
      </c>
      <c r="K22" s="70">
        <v>0.65342120690916317</v>
      </c>
      <c r="L22" s="183" t="s">
        <v>150</v>
      </c>
      <c r="M22" s="78">
        <f ca="1">RAND()-RAND()</f>
        <v>-0.26952252659200515</v>
      </c>
    </row>
    <row r="23" spans="1:20">
      <c r="B23" s="2" t="s">
        <v>82</v>
      </c>
      <c r="C23" s="2"/>
      <c r="D23" s="125">
        <v>8.8615740709918026E-2</v>
      </c>
      <c r="E23" s="126">
        <v>0.67354920579786426</v>
      </c>
      <c r="F23" s="126">
        <v>0</v>
      </c>
      <c r="G23" s="126">
        <v>0.11414791999777874</v>
      </c>
      <c r="H23" s="126">
        <v>0</v>
      </c>
      <c r="I23" s="70">
        <v>-0.3582528703161334</v>
      </c>
      <c r="J23" s="70">
        <v>0.54958182007341416</v>
      </c>
      <c r="K23" s="70">
        <v>-0.40737763775813596</v>
      </c>
      <c r="L23" s="183"/>
      <c r="M23" s="78">
        <f t="shared" ref="M23:M28" ca="1" si="0">RAND()-RAND()</f>
        <v>0.17787665596154145</v>
      </c>
    </row>
    <row r="24" spans="1:20">
      <c r="B24" s="2" t="s">
        <v>83</v>
      </c>
      <c r="C24" s="2"/>
      <c r="D24" s="125">
        <v>0</v>
      </c>
      <c r="E24" s="126">
        <v>0.16709587055872838</v>
      </c>
      <c r="F24" s="126">
        <v>0</v>
      </c>
      <c r="G24" s="126">
        <v>0.44389265605997374</v>
      </c>
      <c r="H24" s="126">
        <v>6.0647723718497526E-2</v>
      </c>
      <c r="I24" s="70">
        <v>-2.4909669184959959E-2</v>
      </c>
      <c r="J24" s="70">
        <v>-0.36477405011057273</v>
      </c>
      <c r="K24" s="70">
        <v>0.20797765241452781</v>
      </c>
      <c r="L24" s="183"/>
      <c r="M24" s="78">
        <f t="shared" ca="1" si="0"/>
        <v>0.72406394259451634</v>
      </c>
      <c r="P24" s="194" t="s">
        <v>500</v>
      </c>
    </row>
    <row r="25" spans="1:20">
      <c r="B25" s="50" t="s">
        <v>84</v>
      </c>
      <c r="C25" s="2" t="s">
        <v>27</v>
      </c>
      <c r="D25" s="125">
        <v>0.3157119511077886</v>
      </c>
      <c r="E25" s="126">
        <v>0</v>
      </c>
      <c r="F25" s="126">
        <v>0.62100795412130372</v>
      </c>
      <c r="G25" s="126">
        <v>0</v>
      </c>
      <c r="H25" s="126">
        <v>0</v>
      </c>
      <c r="I25" s="70">
        <v>-0.60127917735887881</v>
      </c>
      <c r="J25" s="70">
        <v>7.3809363778690518E-2</v>
      </c>
      <c r="K25" s="70">
        <v>0.45904960287541474</v>
      </c>
      <c r="L25" s="183"/>
      <c r="M25" s="78">
        <f t="shared" ca="1" si="0"/>
        <v>-0.54581415137674227</v>
      </c>
      <c r="P25" s="195">
        <f>D86</f>
        <v>2.3568031053581739E-2</v>
      </c>
      <c r="Q25" s="195">
        <f>E86</f>
        <v>-0.33108536875910466</v>
      </c>
      <c r="R25" s="195">
        <f t="shared" ref="R25:T25" si="1">F86</f>
        <v>-0.4679247288349655</v>
      </c>
      <c r="S25" s="195">
        <f t="shared" si="1"/>
        <v>-0.27844069959490292</v>
      </c>
      <c r="T25" s="195">
        <f t="shared" si="1"/>
        <v>3.2290381431393511E-2</v>
      </c>
    </row>
    <row r="26" spans="1:20">
      <c r="B26" s="2" t="s">
        <v>48</v>
      </c>
      <c r="C26" s="2"/>
      <c r="D26" s="125">
        <v>3.6554679563612642E-2</v>
      </c>
      <c r="E26" s="126">
        <v>-0.99613194577413211</v>
      </c>
      <c r="F26" s="126">
        <v>1.4296329629989206</v>
      </c>
      <c r="G26" s="126">
        <v>-1.4073354761369308</v>
      </c>
      <c r="H26" s="125">
        <v>4.3315327131485143E-2</v>
      </c>
      <c r="I26" s="70">
        <v>-0.64147819789622496</v>
      </c>
      <c r="J26" s="70">
        <v>-2.6436636559469484E-2</v>
      </c>
      <c r="K26" s="70">
        <v>-1.0305960682470916E-2</v>
      </c>
      <c r="L26" s="183"/>
      <c r="M26" s="78">
        <f t="shared" ca="1" si="0"/>
        <v>-0.46017225977332799</v>
      </c>
      <c r="P26" s="196">
        <f>D77</f>
        <v>3.6554679563612642E-2</v>
      </c>
      <c r="Q26" s="196">
        <f t="shared" ref="Q26:T28" si="2">E77</f>
        <v>-0.99613194577413211</v>
      </c>
      <c r="R26" s="196">
        <f t="shared" si="2"/>
        <v>1.4296329629989206</v>
      </c>
      <c r="S26" s="196">
        <f t="shared" si="2"/>
        <v>-1.4073354761369308</v>
      </c>
      <c r="T26" s="196">
        <f t="shared" si="2"/>
        <v>4.3315327131485143E-2</v>
      </c>
    </row>
    <row r="27" spans="1:20">
      <c r="B27" t="s">
        <v>47</v>
      </c>
      <c r="D27" s="125">
        <v>0.94161136705639592</v>
      </c>
      <c r="E27" s="126">
        <v>0.98992913761399737</v>
      </c>
      <c r="F27" s="126">
        <v>0.11178593629322148</v>
      </c>
      <c r="G27" s="126">
        <v>-0.10053595476601628</v>
      </c>
      <c r="H27" s="125">
        <v>0.96214435515233654</v>
      </c>
      <c r="I27" s="70">
        <v>4.8639647915487139E-2</v>
      </c>
      <c r="J27" s="70">
        <v>-0.42478485919807984</v>
      </c>
      <c r="K27" s="70">
        <v>5.2954891334215048E-2</v>
      </c>
      <c r="L27" s="183"/>
      <c r="M27" s="78">
        <f t="shared" ca="1" si="0"/>
        <v>0.48516732837749377</v>
      </c>
      <c r="P27" s="196">
        <f t="shared" ref="P27:P28" si="3">D78</f>
        <v>0.94161136705639592</v>
      </c>
      <c r="Q27" s="196">
        <f t="shared" si="2"/>
        <v>0.98992913761399737</v>
      </c>
      <c r="R27" s="196">
        <f t="shared" si="2"/>
        <v>0.11178593629322148</v>
      </c>
      <c r="S27" s="196">
        <f t="shared" si="2"/>
        <v>-0.10053595476601628</v>
      </c>
      <c r="T27" s="196">
        <f t="shared" si="2"/>
        <v>0.96214435515233654</v>
      </c>
    </row>
    <row r="28" spans="1:20">
      <c r="B28" t="s">
        <v>52</v>
      </c>
      <c r="C28" s="2"/>
      <c r="D28" s="125">
        <v>0.71500517982326839</v>
      </c>
      <c r="E28" s="126">
        <v>-0.17015797737433749</v>
      </c>
      <c r="F28" s="126">
        <v>1.2493897468180443E-3</v>
      </c>
      <c r="G28" s="126">
        <v>-7.002249322956286E-2</v>
      </c>
      <c r="H28" s="125">
        <v>0.70493929746749451</v>
      </c>
      <c r="I28" s="70">
        <v>-0.12219530665103107</v>
      </c>
      <c r="J28" s="70">
        <v>-0.2246402934383831</v>
      </c>
      <c r="K28" s="70">
        <v>-9.8948905880472005E-2</v>
      </c>
      <c r="L28" s="183"/>
      <c r="M28" s="78">
        <f t="shared" ca="1" si="0"/>
        <v>0.35092362458120063</v>
      </c>
      <c r="P28" s="196">
        <f t="shared" si="3"/>
        <v>0.71500517982326839</v>
      </c>
      <c r="Q28" s="196">
        <f t="shared" si="2"/>
        <v>-0.17015797737433749</v>
      </c>
      <c r="R28" s="196">
        <f t="shared" si="2"/>
        <v>1.2493897468180443E-3</v>
      </c>
      <c r="S28" s="196">
        <f t="shared" si="2"/>
        <v>-7.002249322956286E-2</v>
      </c>
      <c r="T28" s="196">
        <f t="shared" si="2"/>
        <v>0.70493929746749451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4" t="s">
        <v>152</v>
      </c>
      <c r="B30" s="184"/>
      <c r="C30" s="184"/>
      <c r="D30" s="184"/>
      <c r="E30" s="184"/>
      <c r="F30" s="184"/>
      <c r="G30" s="184"/>
      <c r="H30" s="184"/>
      <c r="I30" s="184"/>
      <c r="J30" s="184"/>
      <c r="K30" s="184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96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96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96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96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96"/>
    </row>
    <row r="54" spans="1:16">
      <c r="B54" t="s">
        <v>92</v>
      </c>
      <c r="D54" s="37">
        <f t="array" ref="D54:D56">MMULT($B$31:$D$33,D$26:D$28)</f>
        <v>0.55198152048989069</v>
      </c>
      <c r="E54" s="109">
        <f t="array" ref="E54:E56">MMULT($B$35:$D$37,E$26:E$28)</f>
        <v>1.2097339563816103</v>
      </c>
      <c r="F54" s="109">
        <f t="array" ref="F54:F56">MMULT($B$39:$D$41,F$26:F$28)</f>
        <v>3.3995438704763092</v>
      </c>
      <c r="G54" s="109">
        <f t="array" ref="G54:G56">MMULT($B$43:$D$45,G$26:G$28)</f>
        <v>0.67336268986000836</v>
      </c>
      <c r="H54" s="109">
        <f t="array" ref="H54:H56">MMULT($B$47:$D$49,H$26:H$28)</f>
        <v>1.6225880611930155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96"/>
    </row>
    <row r="55" spans="1:16">
      <c r="B55" t="s">
        <v>93</v>
      </c>
      <c r="D55" s="37">
        <v>1.2303261853487779</v>
      </c>
      <c r="E55" s="109">
        <v>3.2911724209351263</v>
      </c>
      <c r="F55" s="109">
        <v>1.9135893790757592</v>
      </c>
      <c r="G55" s="109">
        <v>4.0316566124091606</v>
      </c>
      <c r="H55" s="109">
        <v>0.55041166513498696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1.5993639987950687</v>
      </c>
      <c r="E56" s="109">
        <v>0.67158157557806719</v>
      </c>
      <c r="F56" s="109">
        <v>4.0928666725530016</v>
      </c>
      <c r="G56" s="109">
        <v>2.1896704716973865</v>
      </c>
      <c r="H56" s="109">
        <v>1.2303262663296795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1.9808038852259834E-13</v>
      </c>
      <c r="E57" s="127">
        <f>(E$66-E$54)^2+(E$67-E$55)^2+(E$68-E$56)^2</f>
        <v>2.0737696975868381E-12</v>
      </c>
      <c r="F57" s="127">
        <f>(F$66-F$54)^2+(F$67-F$55)^2+(F$68-F$56)^2</f>
        <v>2.309830153279705E-14</v>
      </c>
      <c r="G57" s="127">
        <f>(G$66-G$54)^2+(G$67-G$55)^2+(G$68-G$56)^2</f>
        <v>2.0781831447143269E-12</v>
      </c>
      <c r="H57" s="127">
        <f>(H$66-H$54)^2+(H$67-H$55)^2+(H$68-H$56)^2</f>
        <v>3.384484951697008E-13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-1.177165803489335E-4</v>
      </c>
      <c r="E60" s="80">
        <f>A_1*($E$22^2-E23^2)</f>
        <v>-5.0160744358237917E-3</v>
      </c>
      <c r="F60" s="80">
        <f t="shared" ref="F60:K62" si="18">A_1*(F$22^2-F23^2)</f>
        <v>1.8120603658284746E-3</v>
      </c>
      <c r="G60" s="80">
        <f t="shared" si="18"/>
        <v>1.0771789372942069E-3</v>
      </c>
      <c r="H60" s="80">
        <f t="shared" si="18"/>
        <v>0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83" t="s">
        <v>96</v>
      </c>
    </row>
    <row r="61" spans="1:16" ht="18.75">
      <c r="B61" s="56" t="s">
        <v>88</v>
      </c>
      <c r="C61" s="57"/>
      <c r="D61" s="80">
        <f>A_1*($D$22^2-D24^2)</f>
        <v>4.1076886440122399E-14</v>
      </c>
      <c r="E61" s="80">
        <f>A_1*($E$22^2-E24^2)</f>
        <v>1.3660901950824898E-3</v>
      </c>
      <c r="F61" s="80">
        <f t="shared" si="18"/>
        <v>1.8120603658284746E-3</v>
      </c>
      <c r="G61" s="80">
        <f t="shared" si="18"/>
        <v>-1.6812356660113141E-3</v>
      </c>
      <c r="H61" s="80">
        <f t="shared" si="18"/>
        <v>-5.5137224914835126E-5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83"/>
    </row>
    <row r="62" spans="1:16" ht="18.75">
      <c r="B62" s="56" t="s">
        <v>89</v>
      </c>
      <c r="C62" s="57"/>
      <c r="D62" s="80">
        <f>A_1*($D$22^2-D25^2)</f>
        <v>-1.4941628632666277E-3</v>
      </c>
      <c r="E62" s="80">
        <f>A_1*($E$22^2-E25^2)</f>
        <v>1.7846401777275201E-3</v>
      </c>
      <c r="F62" s="80">
        <f t="shared" si="18"/>
        <v>-3.9690361406708652E-3</v>
      </c>
      <c r="G62" s="80">
        <f t="shared" si="18"/>
        <v>1.2725012680521387E-3</v>
      </c>
      <c r="H62" s="80">
        <f t="shared" si="18"/>
        <v>0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83"/>
    </row>
    <row r="63" spans="1:16">
      <c r="B63" s="56" t="s">
        <v>86</v>
      </c>
      <c r="C63" s="58"/>
      <c r="D63" s="80">
        <f>A_2*(T_0*$D$22-T_2*D23)</f>
        <v>5.172269073999332E-3</v>
      </c>
      <c r="E63" s="80">
        <f>A_2*(T_2*$E$22-T_0*E23)</f>
        <v>7.7697845514871577E-2</v>
      </c>
      <c r="F63" s="80">
        <f>A_2*(T_3*F$22-T_2*F23)</f>
        <v>-7.3617789164002806E-3</v>
      </c>
      <c r="G63" s="80">
        <f>A_2*(T_4*G$22-T_2*G23)</f>
        <v>2.6716135289561422E-2</v>
      </c>
      <c r="H63" s="80">
        <f>A_2*(T_0*H$22-T_4*H23)</f>
        <v>0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83"/>
    </row>
    <row r="64" spans="1:16">
      <c r="B64" s="56" t="s">
        <v>91</v>
      </c>
      <c r="C64" s="58" t="s">
        <v>27</v>
      </c>
      <c r="D64" s="80">
        <f>A_2*(T_0*$D$22-T_3*D24)</f>
        <v>-2.4045179517035459E-7</v>
      </c>
      <c r="E64" s="80">
        <f>A_2*(T_2*$E$22-T_3*E24)</f>
        <v>-1.6601823345539921E-2</v>
      </c>
      <c r="F64" s="80">
        <f>A_2*(T_3*F$22-T_0*F24)</f>
        <v>-7.3617789164002806E-3</v>
      </c>
      <c r="G64" s="80">
        <f>A_2*(T_4*G$22-T_3*G24)</f>
        <v>2.9452325032613885E-2</v>
      </c>
      <c r="H64" s="80">
        <f>A_2*(T_0*H$22-T_2*H24)</f>
        <v>3.5400136153979204E-3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83"/>
    </row>
    <row r="65" spans="1:12">
      <c r="B65" s="56" t="s">
        <v>90</v>
      </c>
      <c r="C65" s="58"/>
      <c r="D65" s="80">
        <f>A_2*(T_0*$D$22-T_4*D25)</f>
        <v>-2.1730050171090757E-2</v>
      </c>
      <c r="E65" s="80">
        <f>A_2*(T_2*$E$22-T_4*E25)</f>
        <v>-2.0139923351903889E-2</v>
      </c>
      <c r="F65" s="80">
        <f>A_2*(T_3*F$22-T_4*F25)</f>
        <v>-5.0104489890359559E-2</v>
      </c>
      <c r="G65" s="80">
        <f>A_2*(T_4*G$22-T_0*G25)</f>
        <v>2.0053309940384408E-2</v>
      </c>
      <c r="H65" s="80">
        <f>A_2*(T_0*H$22-T_3*H25)</f>
        <v>0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83"/>
    </row>
    <row r="66" spans="1:12">
      <c r="B66" t="s">
        <v>45</v>
      </c>
      <c r="C66" s="2"/>
      <c r="D66" s="55">
        <f t="shared" ref="D66:G67" si="20">D12+D60+D63-J12</f>
        <v>0.55198126157039185</v>
      </c>
      <c r="E66" s="55">
        <f t="shared" si="20"/>
        <v>1.2097339114315599</v>
      </c>
      <c r="F66" s="55">
        <f t="shared" si="20"/>
        <v>3.3995437998635465</v>
      </c>
      <c r="G66" s="55">
        <f t="shared" si="20"/>
        <v>0.67336159709094667</v>
      </c>
      <c r="H66" s="142">
        <f>H12+H60+H63-$N$12</f>
        <v>1.6225883802428547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83"/>
    </row>
    <row r="67" spans="1:12">
      <c r="B67" t="s">
        <v>43</v>
      </c>
      <c r="D67" s="55">
        <f t="shared" si="20"/>
        <v>1.2303265057828565</v>
      </c>
      <c r="E67" s="55">
        <f t="shared" si="20"/>
        <v>3.2911709962991424</v>
      </c>
      <c r="F67" s="55">
        <f t="shared" si="20"/>
        <v>1.9135892479243279</v>
      </c>
      <c r="G67" s="55">
        <f t="shared" si="20"/>
        <v>4.0316557479553836</v>
      </c>
      <c r="H67" s="142">
        <f>H13+H61+H64-$N$13</f>
        <v>0.55041158546722468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83"/>
    </row>
    <row r="68" spans="1:12">
      <c r="B68" t="s">
        <v>42</v>
      </c>
      <c r="C68" s="2"/>
      <c r="D68" s="55">
        <f t="shared" ref="D68" si="23">D14+D62+D65-J14</f>
        <v>1.5993641672084973</v>
      </c>
      <c r="E68" s="55">
        <f>E14+E62+E65-K14</f>
        <v>0.67158178091073406</v>
      </c>
      <c r="F68" s="55">
        <f>F14+F62+F65-L14</f>
        <v>4.0928667027430885</v>
      </c>
      <c r="G68" s="55">
        <f>G14+G62+G65-M14</f>
        <v>2.1896708415062425</v>
      </c>
      <c r="H68" s="142">
        <f>H14+H62+H65-$N$14</f>
        <v>1.2303267462346106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83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4" t="s">
        <v>62</v>
      </c>
      <c r="B70" s="184"/>
      <c r="C70" s="184"/>
      <c r="D70" s="184"/>
      <c r="E70" s="184"/>
      <c r="F70" s="184"/>
      <c r="G70" s="184"/>
      <c r="H70" s="184"/>
      <c r="I70" s="184"/>
      <c r="J70" s="184"/>
      <c r="K70" s="184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4" t="s">
        <v>64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4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3.6554679563612642E-2</v>
      </c>
      <c r="E77" s="32">
        <f t="shared" ref="E77:G77" si="24">E26+E71</f>
        <v>-0.99613194577413211</v>
      </c>
      <c r="F77" s="32">
        <f t="shared" si="24"/>
        <v>1.4296329629989206</v>
      </c>
      <c r="G77" s="32">
        <f t="shared" si="24"/>
        <v>-1.4073354761369308</v>
      </c>
      <c r="H77" s="104">
        <f>H26+$D$71</f>
        <v>4.3315327131485143E-2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0.94161136705639592</v>
      </c>
      <c r="E78" s="32">
        <f t="shared" ref="E78:G78" si="27">E27+E72</f>
        <v>0.98992913761399737</v>
      </c>
      <c r="F78" s="32">
        <f t="shared" si="27"/>
        <v>0.11178593629322148</v>
      </c>
      <c r="G78" s="32">
        <f t="shared" si="27"/>
        <v>-0.10053595476601628</v>
      </c>
      <c r="H78" s="104">
        <f t="shared" si="25"/>
        <v>0.96214435515233654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0.71500517982326839</v>
      </c>
      <c r="E79" s="32">
        <f t="shared" ref="E79:G79" si="28">E28+E73</f>
        <v>-0.17015797737433749</v>
      </c>
      <c r="F79" s="32">
        <f t="shared" si="28"/>
        <v>1.2493897468180443E-3</v>
      </c>
      <c r="G79" s="32">
        <f t="shared" si="28"/>
        <v>-7.002249322956286E-2</v>
      </c>
      <c r="H79" s="104">
        <f t="shared" si="25"/>
        <v>0.70493929746749451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4" t="s">
        <v>67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4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5" t="s">
        <v>71</v>
      </c>
      <c r="C83" s="185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6" t="s">
        <v>70</v>
      </c>
      <c r="C84" s="186"/>
      <c r="D84" s="36">
        <f>SQRT(D77^2+D78^2+D79^2)</f>
        <v>1.1828781079815103</v>
      </c>
      <c r="E84" s="106">
        <f t="shared" ref="E84:K84" si="29">SQRT(E77^2+E78^2+E79^2)</f>
        <v>1.414635037086625</v>
      </c>
      <c r="F84" s="106">
        <f t="shared" si="29"/>
        <v>1.4339972334076396</v>
      </c>
      <c r="G84" s="106">
        <f t="shared" si="29"/>
        <v>1.4126584053310129</v>
      </c>
      <c r="H84" s="106">
        <f t="shared" si="29"/>
        <v>1.193539857243979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6" t="s">
        <v>69</v>
      </c>
      <c r="C85" s="186"/>
      <c r="D85" s="36">
        <f>D84-D83</f>
        <v>2.7878107981510247E-2</v>
      </c>
      <c r="E85" s="106">
        <f t="shared" ref="E85:K85" si="30">E84-E83</f>
        <v>-0.46836496291337504</v>
      </c>
      <c r="F85" s="106">
        <f t="shared" si="30"/>
        <v>-0.67100276659236036</v>
      </c>
      <c r="G85" s="106">
        <f t="shared" si="30"/>
        <v>-0.3933415946689871</v>
      </c>
      <c r="H85" s="106">
        <f t="shared" si="30"/>
        <v>3.8539857243979014E-2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96"/>
      <c r="Q85" s="196"/>
      <c r="R85" s="196"/>
      <c r="S85" s="196"/>
    </row>
    <row r="86" spans="1:19">
      <c r="B86" s="187" t="s">
        <v>68</v>
      </c>
      <c r="C86" s="187"/>
      <c r="D86" s="39">
        <f>1-D83/D84</f>
        <v>2.3568031053581739E-2</v>
      </c>
      <c r="E86" s="107">
        <f t="shared" ref="E86:K86" si="31">1-E83/E84</f>
        <v>-0.33108536875910466</v>
      </c>
      <c r="F86" s="107">
        <f t="shared" si="31"/>
        <v>-0.4679247288349655</v>
      </c>
      <c r="G86" s="107">
        <f t="shared" si="31"/>
        <v>-0.27844069959490292</v>
      </c>
      <c r="H86" s="107">
        <f t="shared" si="31"/>
        <v>3.2290381431393511E-2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96"/>
      <c r="Q86" s="196"/>
      <c r="R86" s="196"/>
      <c r="S86" s="196"/>
    </row>
    <row r="87" spans="1:19">
      <c r="D87">
        <f>D85*D85</f>
        <v>7.7718890462874534E-4</v>
      </c>
      <c r="E87" s="108">
        <f t="shared" ref="E87:K87" si="32">E85*E85</f>
        <v>0.21936573848484717</v>
      </c>
      <c r="F87" s="108">
        <f t="shared" si="32"/>
        <v>0.45024471277460165</v>
      </c>
      <c r="G87" s="108">
        <f t="shared" si="32"/>
        <v>0.15471761009674173</v>
      </c>
      <c r="H87" s="108">
        <f t="shared" si="32"/>
        <v>1.4853205963862818E-3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96"/>
      <c r="Q87" s="196"/>
      <c r="R87" s="196"/>
      <c r="S87" s="196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96"/>
      <c r="Q89" s="196"/>
      <c r="R89" s="196"/>
      <c r="S89" s="196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94"/>
      <c r="Q90" s="194"/>
      <c r="R90" s="194"/>
      <c r="S90" s="194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96"/>
      <c r="Q91" s="196"/>
      <c r="R91" s="196"/>
      <c r="S91" s="196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96"/>
      <c r="Q92" s="196"/>
      <c r="R92" s="196"/>
      <c r="S92" s="196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96"/>
      <c r="Q93" s="196"/>
      <c r="R93" s="196"/>
      <c r="S93" s="196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96"/>
      <c r="Q95" s="196"/>
      <c r="R95" s="196"/>
      <c r="S95" s="196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workbookViewId="0">
      <selection activeCell="J12" sqref="J12"/>
    </sheetView>
  </sheetViews>
  <sheetFormatPr baseColWidth="10" defaultRowHeight="15"/>
  <sheetData>
    <row r="1" spans="1:15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0.5*$C$123^2</f>
        <v>0</v>
      </c>
      <c r="E12" s="2"/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0.5*$D$123^2</f>
        <v>0.84198942471462679</v>
      </c>
      <c r="E13" s="2"/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/>
      <c r="C14" s="130">
        <v>3</v>
      </c>
      <c r="D14" s="2">
        <f>0.5*E$123^2</f>
        <v>1.5747328563547551</v>
      </c>
      <c r="E14" s="2"/>
      <c r="F14" s="2"/>
      <c r="G14" s="2"/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f>A_1*(1/(2*PI())^2)*(T_0^2-T_5^2)</f>
        <v>-0.20003645154081437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0.5*$F$123^2</f>
        <v>1.8954667052703305</v>
      </c>
      <c r="E15" s="2"/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0.5*$G$123^2</f>
        <v>3.0923821493075772</v>
      </c>
      <c r="E16" s="2"/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0.5*$H$123^2</f>
        <v>0</v>
      </c>
      <c r="E17" s="2"/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0.5*$I$123^2</f>
        <v>2.8031421809040635</v>
      </c>
      <c r="E18" s="2"/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0.20737191169709829</v>
      </c>
      <c r="E22" s="126">
        <v>0.94997299351005204</v>
      </c>
      <c r="F22" s="126">
        <v>0.52230227767434734</v>
      </c>
      <c r="G22" s="126">
        <v>0.33308934683439673</v>
      </c>
      <c r="H22" s="126">
        <v>0.22526814519629157</v>
      </c>
      <c r="I22" s="70">
        <v>-0.15855509315995797</v>
      </c>
      <c r="J22" s="70">
        <v>-0.85603789680002773</v>
      </c>
      <c r="K22" s="70">
        <v>0.65342120690916317</v>
      </c>
      <c r="L22" s="183" t="s">
        <v>150</v>
      </c>
      <c r="M22" s="78">
        <f ca="1">RAND()</f>
        <v>0.11746556607946079</v>
      </c>
    </row>
    <row r="23" spans="1:20">
      <c r="B23" s="2" t="s">
        <v>82</v>
      </c>
      <c r="C23" s="2"/>
      <c r="D23" s="125">
        <v>0.79820482528417813</v>
      </c>
      <c r="E23" s="126">
        <v>0.48932453296178086</v>
      </c>
      <c r="F23" s="126">
        <v>0.89821037089433509</v>
      </c>
      <c r="G23" s="126">
        <v>0.92270589197058894</v>
      </c>
      <c r="H23" s="126">
        <v>9.0604466452482504E-2</v>
      </c>
      <c r="I23" s="70">
        <v>-0.3582528703161334</v>
      </c>
      <c r="J23" s="70">
        <v>0.54958182007341416</v>
      </c>
      <c r="K23" s="70">
        <v>-0.40737763775813596</v>
      </c>
      <c r="L23" s="183"/>
      <c r="M23" s="78">
        <f ca="1">RAND()</f>
        <v>0.95187116052470766</v>
      </c>
    </row>
    <row r="24" spans="1:20">
      <c r="B24" s="2" t="s">
        <v>83</v>
      </c>
      <c r="C24" s="2"/>
      <c r="D24" s="125">
        <v>0.1834438017532953</v>
      </c>
      <c r="E24" s="126">
        <v>0.19505392734705643</v>
      </c>
      <c r="F24" s="126">
        <v>0.69284269188971936</v>
      </c>
      <c r="G24" s="126">
        <v>0.96800161931335582</v>
      </c>
      <c r="H24" s="126">
        <v>0.34047248612669762</v>
      </c>
      <c r="I24" s="70">
        <v>-2.4909669184959959E-2</v>
      </c>
      <c r="J24" s="70">
        <v>-0.36477405011057273</v>
      </c>
      <c r="K24" s="70">
        <v>0.20797765241452781</v>
      </c>
      <c r="L24" s="183"/>
      <c r="M24" s="78">
        <f ca="1">RAND()</f>
        <v>8.2846943144492258E-2</v>
      </c>
    </row>
    <row r="25" spans="1:20">
      <c r="B25" s="50" t="s">
        <v>84</v>
      </c>
      <c r="C25" s="2" t="s">
        <v>27</v>
      </c>
      <c r="D25" s="125">
        <v>0.24304158463765177</v>
      </c>
      <c r="E25" s="126">
        <v>0.65111434890002706</v>
      </c>
      <c r="F25" s="126">
        <v>1.0612019264094081</v>
      </c>
      <c r="G25" s="126">
        <v>4.5149306753791189E-2</v>
      </c>
      <c r="H25" s="126">
        <v>1.0593753612824115</v>
      </c>
      <c r="I25" s="70">
        <v>-0.60127917735887881</v>
      </c>
      <c r="J25" s="70">
        <v>7.3809363778690518E-2</v>
      </c>
      <c r="K25" s="70">
        <v>0.45904960287541474</v>
      </c>
      <c r="L25" s="183"/>
      <c r="M25" s="78">
        <f ca="1">RAND()</f>
        <v>0.68279311549066746</v>
      </c>
      <c r="P25" s="113">
        <f>D86</f>
        <v>5.7502397175515085E-3</v>
      </c>
      <c r="Q25" s="113">
        <f>E86</f>
        <v>0.16758835385162818</v>
      </c>
      <c r="R25" s="113">
        <f t="shared" ref="R25:T25" si="0">F86</f>
        <v>0.1599185089835865</v>
      </c>
      <c r="S25" s="113">
        <f t="shared" si="0"/>
        <v>6.6152106991086645E-2</v>
      </c>
      <c r="T25" s="113">
        <f t="shared" si="0"/>
        <v>0.1990007434344051</v>
      </c>
    </row>
    <row r="26" spans="1:20">
      <c r="B26" s="2" t="s">
        <v>48</v>
      </c>
      <c r="C26" s="2"/>
      <c r="D26" s="125">
        <v>3.9423910610028479E-2</v>
      </c>
      <c r="E26" s="126">
        <v>-0.19878966331439765</v>
      </c>
      <c r="F26" s="126">
        <v>-0.18577335002059092</v>
      </c>
      <c r="G26" s="126">
        <v>9.1248321753364628E-2</v>
      </c>
      <c r="H26" s="125">
        <v>0.17807071044665701</v>
      </c>
      <c r="I26" s="70">
        <v>-0.64147819789622496</v>
      </c>
      <c r="J26" s="70">
        <v>-2.6436636559469484E-2</v>
      </c>
      <c r="K26" s="70">
        <v>-1.0305960682470916E-2</v>
      </c>
      <c r="L26" s="183"/>
      <c r="M26" s="78">
        <f t="shared" ref="M26:M28" ca="1" si="1">RAND()-RAND()</f>
        <v>0.34158401749268363</v>
      </c>
      <c r="P26" s="35">
        <f>D77</f>
        <v>3.9423910610028479E-2</v>
      </c>
      <c r="Q26" s="35">
        <f t="shared" ref="Q26:T28" si="2">E77</f>
        <v>-0.19878966331439765</v>
      </c>
      <c r="R26" s="35">
        <f t="shared" si="2"/>
        <v>-0.18577335002059092</v>
      </c>
      <c r="S26" s="35">
        <f t="shared" si="2"/>
        <v>9.1248321753364628E-2</v>
      </c>
      <c r="T26" s="35">
        <f t="shared" si="2"/>
        <v>0.17807071044665701</v>
      </c>
    </row>
    <row r="27" spans="1:20">
      <c r="B27" t="s">
        <v>47</v>
      </c>
      <c r="D27" s="125">
        <v>0.91625160316523757</v>
      </c>
      <c r="E27" s="126">
        <v>1.0353907093688159</v>
      </c>
      <c r="F27" s="126">
        <v>0.95799944869068154</v>
      </c>
      <c r="G27" s="126">
        <v>1.0582885393891532</v>
      </c>
      <c r="H27" s="125">
        <v>1.3392466491450903</v>
      </c>
      <c r="I27" s="70">
        <v>4.8639647915487139E-2</v>
      </c>
      <c r="J27" s="70">
        <v>-0.42478485919807984</v>
      </c>
      <c r="K27" s="70">
        <v>5.2954891334215048E-2</v>
      </c>
      <c r="L27" s="183"/>
      <c r="M27" s="78">
        <f t="shared" ca="1" si="1"/>
        <v>0.26286179693934275</v>
      </c>
      <c r="P27" s="35">
        <f t="shared" ref="P27:P28" si="3">D78</f>
        <v>0.91625160316523757</v>
      </c>
      <c r="Q27" s="35">
        <f t="shared" si="2"/>
        <v>1.0353907093688159</v>
      </c>
      <c r="R27" s="35">
        <f t="shared" si="2"/>
        <v>0.95799944869068154</v>
      </c>
      <c r="S27" s="35">
        <f t="shared" si="2"/>
        <v>1.0582885393891532</v>
      </c>
      <c r="T27" s="35">
        <f t="shared" si="2"/>
        <v>1.3392466491450903</v>
      </c>
    </row>
    <row r="28" spans="1:20">
      <c r="B28" t="s">
        <v>52</v>
      </c>
      <c r="C28" s="2"/>
      <c r="D28" s="125">
        <v>0.71304209805459839</v>
      </c>
      <c r="E28" s="126">
        <v>0.90205384910239461</v>
      </c>
      <c r="F28" s="126">
        <v>0.96849550399804285</v>
      </c>
      <c r="G28" s="126">
        <v>0.63357571396572132</v>
      </c>
      <c r="H28" s="125">
        <v>0.50391058352346862</v>
      </c>
      <c r="I28" s="70">
        <v>-0.12219530665103107</v>
      </c>
      <c r="J28" s="70">
        <v>-0.2246402934383831</v>
      </c>
      <c r="K28" s="70">
        <v>-9.8948905880472005E-2</v>
      </c>
      <c r="L28" s="183"/>
      <c r="M28" s="78">
        <f t="shared" ca="1" si="1"/>
        <v>-0.73406489648350104</v>
      </c>
      <c r="P28" s="35">
        <f t="shared" si="3"/>
        <v>0.71304209805459839</v>
      </c>
      <c r="Q28" s="35">
        <f t="shared" si="2"/>
        <v>0.90205384910239461</v>
      </c>
      <c r="R28" s="35">
        <f t="shared" si="2"/>
        <v>0.96849550399804285</v>
      </c>
      <c r="S28" s="35">
        <f t="shared" si="2"/>
        <v>0.63357571396572132</v>
      </c>
      <c r="T28" s="35">
        <f t="shared" si="2"/>
        <v>0.50391058352346862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4" t="s">
        <v>152</v>
      </c>
      <c r="B30" s="184"/>
      <c r="C30" s="184"/>
      <c r="D30" s="184"/>
      <c r="E30" s="184"/>
      <c r="F30" s="184"/>
      <c r="G30" s="184"/>
      <c r="H30" s="184"/>
      <c r="I30" s="184"/>
      <c r="J30" s="184"/>
      <c r="K30" s="184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0.55448970728203584</v>
      </c>
      <c r="E54" s="109">
        <f t="array" ref="E54:E56">MMULT($B$35:$D$37,E$26:E$28)</f>
        <v>0.44743747162256908</v>
      </c>
      <c r="F54" s="109">
        <f t="array" ref="F54:F56">MMULT($B$39:$D$41,F$26:F$28)</f>
        <v>0.51548343155453769</v>
      </c>
      <c r="G54" s="109">
        <f t="array" ref="G54:G56">MMULT($B$43:$D$45,G$26:G$28)</f>
        <v>0.54130196713383671</v>
      </c>
      <c r="H54" s="109">
        <f t="array" ref="H54:H56">MMULT($B$47:$D$49,H$26:H$28)</f>
        <v>0.52013077502112559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1.2042287605140776</v>
      </c>
      <c r="E55" s="109">
        <v>3.1319030581735383</v>
      </c>
      <c r="F55" s="109">
        <v>1.4959260983965117</v>
      </c>
      <c r="G55" s="109">
        <v>1.1900566267432762</v>
      </c>
      <c r="H55" s="109">
        <v>1.2038395865658718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1.5754972219687953</v>
      </c>
      <c r="E56" s="109">
        <v>2.5130347520486511</v>
      </c>
      <c r="F56" s="109">
        <v>3.0107068694040775</v>
      </c>
      <c r="G56" s="109">
        <v>2.542746982277464</v>
      </c>
      <c r="H56" s="109">
        <v>3.0509129240437414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7.8622800248746092E-14</v>
      </c>
      <c r="E57" s="127">
        <f>(E$66-E$54)^2+(E$67-E$55)^2+(E$68-E$56)^2</f>
        <v>2.790734561658496E-12</v>
      </c>
      <c r="F57" s="127">
        <f>(F$66-F$54)^2+(F$67-F$55)^2+(F$68-F$56)^2</f>
        <v>1.3542963727957829E-12</v>
      </c>
      <c r="G57" s="127">
        <f>(G$66-G$54)^2+(G$67-G$55)^2+(G$68-G$56)^2</f>
        <v>6.7695841611528725E-14</v>
      </c>
      <c r="H57" s="127">
        <f>(H$66-H$54)^2+(H$67-H$55)^2+(H$68-H$56)^2</f>
        <v>8.6874468710154903E-12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-8.9062686695992859E-3</v>
      </c>
      <c r="E60" s="80">
        <f>A_1*($E$22^2-E23^2)</f>
        <v>9.9388490994319553E-3</v>
      </c>
      <c r="F60" s="80">
        <f t="shared" ref="F60:K62" si="14">A_1*(F$22^2-F23^2)</f>
        <v>-8.0046560370012638E-3</v>
      </c>
      <c r="G60" s="80">
        <f t="shared" si="14"/>
        <v>-1.1099524840911361E-2</v>
      </c>
      <c r="H60" s="80">
        <f t="shared" si="14"/>
        <v>6.376440905956365E-4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83" t="s">
        <v>96</v>
      </c>
    </row>
    <row r="61" spans="1:16" ht="18.75">
      <c r="B61" s="56" t="s">
        <v>88</v>
      </c>
      <c r="C61" s="57"/>
      <c r="D61" s="80">
        <f>A_1*($D$22^2-D24^2)</f>
        <v>1.401833086573088E-4</v>
      </c>
      <c r="E61" s="80">
        <f>A_1*($E$22^2-E24^2)</f>
        <v>1.2957821266043354E-2</v>
      </c>
      <c r="F61" s="80">
        <f t="shared" si="14"/>
        <v>-3.1064995888984656E-3</v>
      </c>
      <c r="G61" s="80">
        <f t="shared" si="14"/>
        <v>-1.2383325165017047E-2</v>
      </c>
      <c r="H61" s="80">
        <f t="shared" si="14"/>
        <v>-9.7701697226536938E-4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83"/>
    </row>
    <row r="62" spans="1:16" ht="18.75">
      <c r="B62" s="56" t="s">
        <v>89</v>
      </c>
      <c r="C62" s="57"/>
      <c r="D62" s="80">
        <f>A_1*($D$22^2-D25^2)</f>
        <v>-2.4083877873586662E-4</v>
      </c>
      <c r="E62" s="80">
        <f>A_1*($E$22^2-E25^2)</f>
        <v>7.1729324395146113E-3</v>
      </c>
      <c r="F62" s="80">
        <f t="shared" si="14"/>
        <v>-1.2792134436361707E-2</v>
      </c>
      <c r="G62" s="80">
        <f t="shared" si="14"/>
        <v>1.6326153044143809E-3</v>
      </c>
      <c r="H62" s="80">
        <f t="shared" si="14"/>
        <v>-1.6062768418369025E-2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83"/>
    </row>
    <row r="63" spans="1:16">
      <c r="B63" s="56" t="s">
        <v>86</v>
      </c>
      <c r="C63" s="58"/>
      <c r="D63" s="80">
        <f>A_2*(T_0*D$22-T_2*D23)</f>
        <v>1.6469062789616917E-2</v>
      </c>
      <c r="E63" s="80">
        <f>A_2*(T_0*$E$22-T_2*E23)</f>
        <v>-0.10942835082888892</v>
      </c>
      <c r="F63" s="80">
        <f>A_2*(T_0*$F$22-T_2*F23)</f>
        <v>-2.3439458726066599E-2</v>
      </c>
      <c r="G63" s="80">
        <f>A_2*(T_0*$G$22-T_2*G23)</f>
        <v>5.4748589060331773E-3</v>
      </c>
      <c r="H63" s="80">
        <f>A_2*(T_0*$H$22-T_2*H23)</f>
        <v>-2.7433193985545997E-2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83"/>
    </row>
    <row r="64" spans="1:16">
      <c r="B64" s="56" t="s">
        <v>91</v>
      </c>
      <c r="C64" s="58" t="s">
        <v>27</v>
      </c>
      <c r="D64" s="80">
        <f>A_2*(T_0*D$22-T_3*D24)</f>
        <v>-2.6237979312912763E-2</v>
      </c>
      <c r="E64" s="80">
        <f>A_2*(T_0*$E$22-T_5*E24)</f>
        <v>-0.17347410882371567</v>
      </c>
      <c r="F64" s="80">
        <f>A_2*(T_0*$F$22-T_4*F24)</f>
        <v>-0.12355503614152202</v>
      </c>
      <c r="G64" s="80">
        <f>A_2*(T_0*$G$22-T_3*G24)</f>
        <v>-2.7887038964364841E-2</v>
      </c>
      <c r="H64" s="80">
        <f>A_2*(T_0*$H$22-T_3*H24)</f>
        <v>-2.551259666886295E-2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83"/>
    </row>
    <row r="65" spans="1:12">
      <c r="B65" s="56" t="s">
        <v>90</v>
      </c>
      <c r="C65" s="58"/>
      <c r="D65" s="80">
        <f>A_2*(T_0*D$22-T_4*D25)</f>
        <v>-4.685028819461888E-2</v>
      </c>
      <c r="E65" s="80">
        <f>A_2*(T_0*$E$22-T_7*E25)</f>
        <v>-7.9584765202415503E-2</v>
      </c>
      <c r="F65" s="80">
        <f>A_2*(T_0*$F$22-T_5*F25)</f>
        <v>-0.26891990786988085</v>
      </c>
      <c r="G65" s="80">
        <f>A_2*(T_0*$G$22-T_7*G25)</f>
        <v>-4.4333644080124752E-2</v>
      </c>
      <c r="H65" s="80">
        <f>A_2*(T_0*$H$22-T_5*H25)</f>
        <v>-0.2254413216011773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83"/>
    </row>
    <row r="66" spans="1:12">
      <c r="B66" t="s">
        <v>45</v>
      </c>
      <c r="C66" s="2"/>
      <c r="D66" s="55">
        <f>D13+D60+D63-J12</f>
        <v>0.55448950319675916</v>
      </c>
      <c r="E66" s="55">
        <f>D13+E60+E63-K12</f>
        <v>0.44743720734728459</v>
      </c>
      <c r="F66" s="55">
        <f>$D13+F60+F63-L12</f>
        <v>0.5154825943136736</v>
      </c>
      <c r="G66" s="55">
        <f>$D13+G60+G63-M12</f>
        <v>0.54130204314186336</v>
      </c>
      <c r="H66" s="55">
        <f t="shared" ref="H66" si="16">$D13+H60+H63-N12</f>
        <v>0.5201311591817912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83"/>
    </row>
    <row r="67" spans="1:12">
      <c r="B67" t="s">
        <v>43</v>
      </c>
      <c r="D67" s="55">
        <f>D14+D61+D64-J13</f>
        <v>1.2042289502303551</v>
      </c>
      <c r="E67" s="55">
        <f>D16+E61+E64-K13</f>
        <v>3.1319023132907193</v>
      </c>
      <c r="F67" s="55">
        <f>D15+F61+F64-L13</f>
        <v>1.4959268445124341</v>
      </c>
      <c r="G67" s="55">
        <f>D14+G61+G64-M13</f>
        <v>1.1900563821052288</v>
      </c>
      <c r="H67" s="142">
        <f>D14+H61+H64-N13</f>
        <v>1.2038371325934822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83"/>
    </row>
    <row r="68" spans="1:12">
      <c r="B68" t="s">
        <v>42</v>
      </c>
      <c r="C68" s="2"/>
      <c r="D68" s="55">
        <f>D15+D62+D65-J14</f>
        <v>1.5754972532695</v>
      </c>
      <c r="E68" s="55">
        <f>D18+E62+E65-K14</f>
        <v>2.5130362237968367</v>
      </c>
      <c r="F68" s="55">
        <f>D16+F62+F65-L14</f>
        <v>3.0107065585421489</v>
      </c>
      <c r="G68" s="55">
        <f>D18+G62+G65-M14</f>
        <v>2.5427470277840269</v>
      </c>
      <c r="H68" s="142">
        <f>D16+H62+H65-N14</f>
        <v>3.0509145108288451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83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4" t="s">
        <v>62</v>
      </c>
      <c r="B70" s="184"/>
      <c r="C70" s="184"/>
      <c r="D70" s="184"/>
      <c r="E70" s="184"/>
      <c r="F70" s="184"/>
      <c r="G70" s="184"/>
      <c r="H70" s="184"/>
      <c r="I70" s="184"/>
      <c r="J70" s="184"/>
      <c r="K70" s="184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4" t="s">
        <v>64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4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3.9423910610028479E-2</v>
      </c>
      <c r="E77" s="32">
        <f>E26+E71</f>
        <v>-0.19878966331439765</v>
      </c>
      <c r="F77" s="32">
        <f t="shared" ref="F77:G79" si="18">F26+F71</f>
        <v>-0.18577335002059092</v>
      </c>
      <c r="G77" s="32">
        <f t="shared" si="18"/>
        <v>9.1248321753364628E-2</v>
      </c>
      <c r="H77" s="104">
        <f>H26+$D$71</f>
        <v>0.17807071044665701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0.91625160316523757</v>
      </c>
      <c r="E78" s="32">
        <f t="shared" si="20"/>
        <v>1.0353907093688159</v>
      </c>
      <c r="F78" s="32">
        <f t="shared" si="18"/>
        <v>0.95799944869068154</v>
      </c>
      <c r="G78" s="32">
        <f t="shared" si="18"/>
        <v>1.0582885393891532</v>
      </c>
      <c r="H78" s="104">
        <f t="shared" si="19"/>
        <v>1.3392466491450903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0.71304209805459839</v>
      </c>
      <c r="E79" s="32">
        <f t="shared" si="20"/>
        <v>0.90205384910239461</v>
      </c>
      <c r="F79" s="32">
        <f t="shared" si="18"/>
        <v>0.96849550399804285</v>
      </c>
      <c r="G79" s="32">
        <f t="shared" si="18"/>
        <v>0.63357571396572132</v>
      </c>
      <c r="H79" s="104">
        <f t="shared" si="19"/>
        <v>0.50391058352346862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4" t="s">
        <v>67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4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5" t="s">
        <v>71</v>
      </c>
      <c r="C83" s="185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6" t="s">
        <v>70</v>
      </c>
      <c r="C84" s="186"/>
      <c r="D84" s="36">
        <f>SQRT(D77^2+D78^2+D79^2)</f>
        <v>1.1616799381192562</v>
      </c>
      <c r="E84" s="106">
        <f t="shared" ref="E84:K84" si="21">SQRT(E77^2+E78^2+E79^2)</f>
        <v>1.3875346474839312</v>
      </c>
      <c r="F84" s="106">
        <f t="shared" si="21"/>
        <v>1.3748666199067987</v>
      </c>
      <c r="G84" s="106">
        <f t="shared" si="21"/>
        <v>1.2368181249288055</v>
      </c>
      <c r="H84" s="106">
        <f t="shared" si="21"/>
        <v>1.441948903863203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6" t="s">
        <v>69</v>
      </c>
      <c r="C85" s="186"/>
      <c r="D85" s="36">
        <f>D84-D83</f>
        <v>6.6799381192561569E-3</v>
      </c>
      <c r="E85" s="106">
        <f t="shared" ref="E85:K85" si="22">E84-E83</f>
        <v>0.23253464748393116</v>
      </c>
      <c r="F85" s="106">
        <f t="shared" si="22"/>
        <v>0.21986661990679868</v>
      </c>
      <c r="G85" s="106">
        <f t="shared" si="22"/>
        <v>8.1818124928805469E-2</v>
      </c>
      <c r="H85" s="106">
        <f t="shared" si="22"/>
        <v>0.28694890386320293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7" t="s">
        <v>68</v>
      </c>
      <c r="C86" s="187"/>
      <c r="D86" s="39">
        <f>1-D83/D84</f>
        <v>5.7502397175515085E-3</v>
      </c>
      <c r="E86" s="107">
        <f t="shared" ref="E86:K86" si="23">1-E83/E84</f>
        <v>0.16758835385162818</v>
      </c>
      <c r="F86" s="107">
        <f t="shared" si="23"/>
        <v>0.1599185089835865</v>
      </c>
      <c r="G86" s="107">
        <f t="shared" si="23"/>
        <v>6.6152106991086645E-2</v>
      </c>
      <c r="H86" s="107">
        <f t="shared" si="23"/>
        <v>0.1990007434344051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4.462157327709148E-5</v>
      </c>
      <c r="E87" s="108">
        <f t="shared" ref="E87:K87" si="24">E85*E85</f>
        <v>5.4072362280476127E-2</v>
      </c>
      <c r="F87" s="108">
        <f t="shared" si="24"/>
        <v>4.8341330549240683E-2</v>
      </c>
      <c r="G87" s="108">
        <f t="shared" si="24"/>
        <v>6.6942055668656186E-3</v>
      </c>
      <c r="H87" s="108">
        <f t="shared" si="24"/>
        <v>8.233967342829368E-2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3">
        <v>5</v>
      </c>
      <c r="H118" s="120">
        <v>6</v>
      </c>
      <c r="I118" s="155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4">
        <f t="shared" si="42"/>
        <v>-1.0351585166444344</v>
      </c>
      <c r="H119" s="118">
        <f t="shared" si="42"/>
        <v>0.58367185674448252</v>
      </c>
      <c r="I119" s="156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4">
        <f t="shared" si="42"/>
        <v>2.1037449841221099</v>
      </c>
      <c r="H120" s="121">
        <f t="shared" si="42"/>
        <v>2.0841504898711007</v>
      </c>
      <c r="I120" s="156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4">
        <f t="shared" si="42"/>
        <v>0.82913701269133588</v>
      </c>
      <c r="H121" s="118">
        <f t="shared" si="42"/>
        <v>0.75171422039661484</v>
      </c>
      <c r="I121" s="156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7">
        <v>0</v>
      </c>
      <c r="D123" s="152">
        <f t="shared" ref="D123:I123" si="44">SQRT(D119^2+D120^2+D121^2)</f>
        <v>1.2976821064610753</v>
      </c>
      <c r="E123" s="152">
        <f t="shared" si="44"/>
        <v>1.7746734101545305</v>
      </c>
      <c r="F123" s="152">
        <f t="shared" si="44"/>
        <v>1.9470319490292554</v>
      </c>
      <c r="G123" s="152">
        <f t="shared" si="44"/>
        <v>2.4869186353025614</v>
      </c>
      <c r="H123" s="97">
        <v>0</v>
      </c>
      <c r="I123" s="152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75:K75"/>
    <mergeCell ref="A1:K1"/>
    <mergeCell ref="L22:L28"/>
    <mergeCell ref="A30:K30"/>
    <mergeCell ref="L60:L68"/>
    <mergeCell ref="A70:K70"/>
    <mergeCell ref="A81:K81"/>
    <mergeCell ref="B83:C83"/>
    <mergeCell ref="B84:C84"/>
    <mergeCell ref="B85:C85"/>
    <mergeCell ref="B86:C86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60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3">
        <v>0</v>
      </c>
      <c r="K7" s="86"/>
      <c r="L7" s="158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8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8" t="s">
        <v>170</v>
      </c>
      <c r="M9" s="5"/>
      <c r="N9" s="89" t="s">
        <v>111</v>
      </c>
    </row>
    <row r="10" spans="1:16">
      <c r="K10" s="5"/>
      <c r="L10" s="158" t="s">
        <v>167</v>
      </c>
    </row>
    <row r="11" spans="1:16">
      <c r="K11" s="5"/>
      <c r="L11" s="158" t="s">
        <v>169</v>
      </c>
    </row>
    <row r="12" spans="1:16">
      <c r="K12" s="5"/>
      <c r="L12" s="158" t="s">
        <v>168</v>
      </c>
    </row>
    <row r="17" spans="1:14" ht="18.75">
      <c r="A17" s="160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2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1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88" t="s">
        <v>174</v>
      </c>
      <c r="C28" s="188"/>
      <c r="D28" s="188"/>
      <c r="F28" s="188" t="s">
        <v>175</v>
      </c>
      <c r="G28" s="188"/>
      <c r="H28" s="188"/>
      <c r="J28" s="188" t="s">
        <v>176</v>
      </c>
      <c r="K28" s="188"/>
      <c r="L28" s="188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60" t="s">
        <v>177</v>
      </c>
    </row>
    <row r="34" spans="1:10">
      <c r="A34" s="5"/>
      <c r="B34" s="159">
        <f t="array" ref="B34:J36">MMULT(B21:D23,MMULT(F21:H23,TRANSPOSE(J18:L26)))</f>
        <v>-1.0419123890112219</v>
      </c>
      <c r="C34" s="159">
        <v>4.0818532431212085E-2</v>
      </c>
      <c r="D34" s="159">
        <v>-0.77248383184656155</v>
      </c>
      <c r="E34" s="159">
        <v>1.4990492230334629E-2</v>
      </c>
      <c r="F34" s="159">
        <v>1.5612511283791264E-17</v>
      </c>
      <c r="G34" s="159">
        <v>-1.5612511283791264E-17</v>
      </c>
      <c r="H34" s="159">
        <v>4.7716218756768142E-3</v>
      </c>
      <c r="I34" s="159">
        <v>-4.3368086899420177E-19</v>
      </c>
      <c r="J34" s="164">
        <v>-2.1684043449710089E-18</v>
      </c>
    </row>
    <row r="35" spans="1:10">
      <c r="A35" s="5"/>
      <c r="B35" s="159">
        <v>-2.4447595651464504</v>
      </c>
      <c r="C35" s="159">
        <v>0.85548399177677892</v>
      </c>
      <c r="D35" s="159">
        <v>-5.2896656816179416E-2</v>
      </c>
      <c r="E35" s="159">
        <v>-1.214306433183765E-17</v>
      </c>
      <c r="F35" s="159">
        <v>1.4990492230334603E-2</v>
      </c>
      <c r="G35" s="159">
        <v>7.8062556418956319E-18</v>
      </c>
      <c r="H35" s="159">
        <v>-4.7704895589362195E-18</v>
      </c>
      <c r="I35" s="159">
        <v>4.7716218756768064E-3</v>
      </c>
      <c r="J35" s="164">
        <v>9.7578195523695399E-19</v>
      </c>
    </row>
    <row r="36" spans="1:10">
      <c r="A36" s="5"/>
      <c r="B36" s="159">
        <v>0.40019020491700441</v>
      </c>
      <c r="C36" s="159">
        <v>1.0840062473010044</v>
      </c>
      <c r="D36" s="159">
        <v>1.6840506224230861E-2</v>
      </c>
      <c r="E36" s="159">
        <v>1.7347234759768071E-18</v>
      </c>
      <c r="F36" s="159">
        <v>1.1709383462843448E-17</v>
      </c>
      <c r="G36" s="159">
        <v>1.499049223033464E-2</v>
      </c>
      <c r="H36" s="159">
        <v>-1.3010426069826053E-18</v>
      </c>
      <c r="I36" s="159">
        <v>3.1441863002079629E-18</v>
      </c>
      <c r="J36" s="164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D17" sqref="D17:K20"/>
    </sheetView>
  </sheetViews>
  <sheetFormatPr baseColWidth="10" defaultRowHeight="15"/>
  <sheetData>
    <row r="2" spans="1:14">
      <c r="A2" s="184" t="s">
        <v>108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2" t="s">
        <v>107</v>
      </c>
      <c r="C7" s="182"/>
      <c r="D7" s="182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89"/>
      <c r="B8" s="189"/>
      <c r="C8" s="189"/>
      <c r="D8" s="189"/>
      <c r="E8" s="189"/>
      <c r="F8" s="189"/>
      <c r="G8" s="189"/>
      <c r="H8" s="189"/>
      <c r="I8" s="189"/>
      <c r="J8" s="189"/>
      <c r="K8" s="189"/>
    </row>
    <row r="9" spans="1:14">
      <c r="A9" s="184" t="s">
        <v>112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4" t="s">
        <v>66</v>
      </c>
      <c r="B16" s="190"/>
      <c r="C16" s="190"/>
      <c r="D16" s="190"/>
      <c r="E16" s="190"/>
      <c r="F16" s="190"/>
      <c r="G16" s="190"/>
      <c r="H16" s="190"/>
      <c r="I16" s="190"/>
      <c r="J16" s="190"/>
      <c r="K16" s="190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8.9685168597125831E-2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-0.39692158245195031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-1.3021680903883404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4" t="s">
        <v>62</v>
      </c>
      <c r="B26" s="190"/>
      <c r="C26" s="190"/>
      <c r="D26" s="190"/>
      <c r="E26" s="190"/>
      <c r="F26" s="190"/>
      <c r="G26" s="190"/>
      <c r="H26" s="190"/>
      <c r="I26" s="190"/>
      <c r="J26" s="190"/>
      <c r="K26" s="190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4" t="s">
        <v>64</v>
      </c>
      <c r="B31" s="190"/>
      <c r="C31" s="190"/>
      <c r="D31" s="190"/>
      <c r="E31" s="190"/>
      <c r="F31" s="190"/>
      <c r="G31" s="190"/>
      <c r="H31" s="190"/>
      <c r="I31" s="190"/>
      <c r="J31" s="190"/>
      <c r="K31" s="190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4" t="s">
        <v>67</v>
      </c>
      <c r="B37" s="184"/>
      <c r="C37" s="184"/>
      <c r="D37" s="184"/>
      <c r="E37" s="184"/>
      <c r="F37" s="184"/>
      <c r="G37" s="184"/>
      <c r="H37" s="184"/>
      <c r="I37" s="184"/>
      <c r="J37" s="184"/>
      <c r="K37" s="184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5" t="s">
        <v>71</v>
      </c>
      <c r="C39" s="185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6" t="s">
        <v>70</v>
      </c>
      <c r="C40" s="186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6" t="s">
        <v>69</v>
      </c>
      <c r="C41" s="186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7" t="s">
        <v>68</v>
      </c>
      <c r="C42" s="187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1" t="s">
        <v>105</v>
      </c>
      <c r="C43" s="191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84" t="s">
        <v>65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4" t="s">
        <v>66</v>
      </c>
      <c r="B7" s="190"/>
      <c r="C7" s="190"/>
      <c r="D7" s="190"/>
      <c r="E7" s="190"/>
      <c r="F7" s="190"/>
      <c r="G7" s="190"/>
      <c r="H7" s="190"/>
      <c r="I7" s="190"/>
      <c r="J7" s="190"/>
      <c r="K7" s="190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2" t="s">
        <v>73</v>
      </c>
      <c r="E13" s="193"/>
      <c r="F13" s="193"/>
      <c r="G13" s="193"/>
      <c r="H13" s="193"/>
      <c r="I13" s="193"/>
      <c r="J13" s="193"/>
      <c r="K13" s="193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4" t="s">
        <v>62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4" t="s">
        <v>64</v>
      </c>
      <c r="B24" s="190"/>
      <c r="C24" s="190"/>
      <c r="D24" s="190"/>
      <c r="E24" s="190"/>
      <c r="F24" s="190"/>
      <c r="G24" s="190"/>
      <c r="H24" s="190"/>
      <c r="I24" s="190"/>
      <c r="J24" s="190"/>
      <c r="K24" s="190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4" t="s">
        <v>67</v>
      </c>
      <c r="B30" s="184"/>
      <c r="C30" s="184"/>
      <c r="D30" s="184"/>
      <c r="E30" s="184"/>
      <c r="F30" s="184"/>
      <c r="G30" s="184"/>
      <c r="H30" s="184"/>
      <c r="I30" s="184"/>
      <c r="J30" s="184"/>
      <c r="K30" s="184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5" t="s">
        <v>71</v>
      </c>
      <c r="C32" s="185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6" t="s">
        <v>70</v>
      </c>
      <c r="C33" s="186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6" t="s">
        <v>69</v>
      </c>
      <c r="C34" s="186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7" t="s">
        <v>68</v>
      </c>
      <c r="C35" s="187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topLeftCell="A244" workbookViewId="0">
      <selection activeCell="C280" sqref="C280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6"/>
      <c r="D3" s="168">
        <v>1</v>
      </c>
      <c r="E3" s="168">
        <v>1</v>
      </c>
      <c r="F3" s="168">
        <v>1</v>
      </c>
      <c r="G3" s="169"/>
      <c r="H3" s="169"/>
      <c r="I3" s="169"/>
      <c r="J3" s="169"/>
      <c r="K3" s="1" t="s">
        <v>179</v>
      </c>
      <c r="L3" t="s">
        <v>178</v>
      </c>
    </row>
    <row r="4" spans="1:12">
      <c r="A4">
        <v>2</v>
      </c>
      <c r="B4">
        <v>0</v>
      </c>
      <c r="C4" s="166"/>
      <c r="D4" s="168"/>
      <c r="E4" s="168"/>
      <c r="F4" s="169"/>
      <c r="G4" s="168">
        <v>2</v>
      </c>
      <c r="H4" s="169"/>
      <c r="I4" s="169"/>
      <c r="J4" s="169"/>
      <c r="K4" s="1" t="s">
        <v>180</v>
      </c>
    </row>
    <row r="5" spans="1:12">
      <c r="A5">
        <v>3</v>
      </c>
      <c r="B5">
        <v>0</v>
      </c>
      <c r="C5" s="166"/>
      <c r="D5" s="168"/>
      <c r="E5" s="168"/>
      <c r="F5" s="169"/>
      <c r="G5" s="169"/>
      <c r="H5" s="168">
        <v>3</v>
      </c>
      <c r="I5" s="169"/>
      <c r="J5" s="169"/>
      <c r="K5" s="1" t="s">
        <v>181</v>
      </c>
    </row>
    <row r="6" spans="1:12">
      <c r="A6">
        <v>4</v>
      </c>
      <c r="B6">
        <v>0</v>
      </c>
      <c r="C6" s="166"/>
      <c r="D6" s="168"/>
      <c r="E6" s="168"/>
      <c r="F6" s="169"/>
      <c r="G6" s="169"/>
      <c r="H6" s="169"/>
      <c r="I6" s="168">
        <v>4</v>
      </c>
      <c r="J6" s="169"/>
      <c r="K6" s="1" t="s">
        <v>182</v>
      </c>
    </row>
    <row r="7" spans="1:12">
      <c r="A7">
        <v>5</v>
      </c>
      <c r="B7">
        <v>0</v>
      </c>
      <c r="C7" s="166"/>
      <c r="D7" s="168"/>
      <c r="E7" s="168"/>
      <c r="F7" s="169"/>
      <c r="G7" s="169"/>
      <c r="H7" s="169"/>
      <c r="I7" s="169"/>
      <c r="J7" s="168">
        <v>5</v>
      </c>
      <c r="K7" s="1" t="s">
        <v>183</v>
      </c>
    </row>
    <row r="8" spans="1:12">
      <c r="A8">
        <v>6</v>
      </c>
      <c r="B8">
        <v>0</v>
      </c>
      <c r="C8" s="166"/>
      <c r="D8" s="168"/>
      <c r="E8" s="169"/>
      <c r="F8" s="168">
        <v>2</v>
      </c>
      <c r="G8" s="168">
        <v>1</v>
      </c>
      <c r="H8" s="169"/>
      <c r="I8" s="169"/>
      <c r="J8" s="169"/>
      <c r="K8" s="1" t="s">
        <v>184</v>
      </c>
    </row>
    <row r="9" spans="1:12">
      <c r="A9">
        <v>7</v>
      </c>
      <c r="B9">
        <v>0</v>
      </c>
      <c r="C9" s="166"/>
      <c r="D9" s="168"/>
      <c r="E9" s="169"/>
      <c r="F9" s="168"/>
      <c r="G9" s="169"/>
      <c r="H9" s="168">
        <v>2</v>
      </c>
      <c r="I9" s="169"/>
      <c r="J9" s="169"/>
      <c r="K9" s="1" t="s">
        <v>185</v>
      </c>
    </row>
    <row r="10" spans="1:12">
      <c r="A10">
        <v>8</v>
      </c>
      <c r="B10">
        <v>0</v>
      </c>
      <c r="C10" s="166"/>
      <c r="D10" s="168"/>
      <c r="E10" s="169"/>
      <c r="F10" s="168"/>
      <c r="G10" s="169"/>
      <c r="H10" s="169"/>
      <c r="I10" s="168">
        <v>3</v>
      </c>
      <c r="J10" s="169"/>
      <c r="K10" s="1" t="s">
        <v>186</v>
      </c>
    </row>
    <row r="11" spans="1:12">
      <c r="A11">
        <v>9</v>
      </c>
      <c r="B11">
        <v>0</v>
      </c>
      <c r="C11" s="166"/>
      <c r="D11" s="168"/>
      <c r="E11" s="169"/>
      <c r="F11" s="168"/>
      <c r="G11" s="169"/>
      <c r="H11" s="169"/>
      <c r="I11" s="169"/>
      <c r="J11" s="168">
        <v>4</v>
      </c>
      <c r="K11" s="1" t="s">
        <v>187</v>
      </c>
    </row>
    <row r="12" spans="1:12">
      <c r="A12">
        <v>10</v>
      </c>
      <c r="B12">
        <v>0</v>
      </c>
      <c r="C12" s="166"/>
      <c r="D12" s="168"/>
      <c r="E12" s="169"/>
      <c r="F12" s="169"/>
      <c r="G12" s="168">
        <v>3</v>
      </c>
      <c r="H12" s="168">
        <v>1</v>
      </c>
      <c r="I12" s="169"/>
      <c r="J12" s="169"/>
      <c r="K12" s="1" t="s">
        <v>188</v>
      </c>
    </row>
    <row r="13" spans="1:12">
      <c r="A13">
        <v>11</v>
      </c>
      <c r="B13">
        <v>0</v>
      </c>
      <c r="C13" s="166"/>
      <c r="D13" s="168"/>
      <c r="E13" s="169"/>
      <c r="F13" s="169"/>
      <c r="G13" s="168"/>
      <c r="H13" s="169"/>
      <c r="I13" s="168">
        <v>2</v>
      </c>
      <c r="J13" s="169"/>
      <c r="K13" s="1" t="s">
        <v>189</v>
      </c>
    </row>
    <row r="14" spans="1:12">
      <c r="A14">
        <v>12</v>
      </c>
      <c r="B14">
        <v>0</v>
      </c>
      <c r="C14" s="166"/>
      <c r="D14" s="168"/>
      <c r="E14" s="169"/>
      <c r="F14" s="169"/>
      <c r="G14" s="168"/>
      <c r="H14" s="169"/>
      <c r="I14" s="169"/>
      <c r="J14" s="168">
        <v>3</v>
      </c>
      <c r="K14" s="1" t="s">
        <v>190</v>
      </c>
    </row>
    <row r="15" spans="1:12">
      <c r="A15">
        <v>13</v>
      </c>
      <c r="B15">
        <v>0</v>
      </c>
      <c r="C15" s="166"/>
      <c r="D15" s="168"/>
      <c r="E15" s="169"/>
      <c r="F15" s="169"/>
      <c r="G15" s="169"/>
      <c r="H15" s="168">
        <v>4</v>
      </c>
      <c r="I15" s="168">
        <v>1</v>
      </c>
      <c r="J15" s="169"/>
      <c r="K15" s="1" t="s">
        <v>192</v>
      </c>
    </row>
    <row r="16" spans="1:12">
      <c r="A16">
        <v>14</v>
      </c>
      <c r="B16">
        <v>0</v>
      </c>
      <c r="C16" s="166"/>
      <c r="D16" s="168"/>
      <c r="E16" s="169"/>
      <c r="F16" s="169"/>
      <c r="G16" s="169"/>
      <c r="H16" s="168"/>
      <c r="I16" s="169"/>
      <c r="J16" s="168">
        <v>2</v>
      </c>
      <c r="K16" s="1" t="s">
        <v>191</v>
      </c>
    </row>
    <row r="17" spans="1:11">
      <c r="A17">
        <v>15</v>
      </c>
      <c r="B17">
        <v>0</v>
      </c>
      <c r="C17" s="166"/>
      <c r="D17" s="168"/>
      <c r="E17" s="169"/>
      <c r="F17" s="169"/>
      <c r="G17" s="169"/>
      <c r="H17" s="169"/>
      <c r="I17" s="168">
        <v>5</v>
      </c>
      <c r="J17" s="168">
        <v>1</v>
      </c>
      <c r="K17" s="1" t="s">
        <v>193</v>
      </c>
    </row>
    <row r="18" spans="1:11">
      <c r="A18">
        <v>16</v>
      </c>
      <c r="B18">
        <v>0</v>
      </c>
      <c r="C18" s="166"/>
      <c r="D18" s="169"/>
      <c r="E18" s="168">
        <v>2</v>
      </c>
      <c r="F18" s="168">
        <v>1</v>
      </c>
      <c r="G18" s="168">
        <v>1</v>
      </c>
      <c r="H18" s="169"/>
      <c r="I18" s="169"/>
      <c r="J18" s="169"/>
      <c r="K18" s="1" t="s">
        <v>194</v>
      </c>
    </row>
    <row r="19" spans="1:11">
      <c r="A19">
        <v>17</v>
      </c>
      <c r="B19">
        <v>0</v>
      </c>
      <c r="C19" s="166"/>
      <c r="D19" s="169"/>
      <c r="E19" s="168"/>
      <c r="F19" s="168"/>
      <c r="G19" s="169"/>
      <c r="H19" s="168">
        <v>2</v>
      </c>
      <c r="I19" s="169"/>
      <c r="J19" s="169"/>
      <c r="K19" s="1" t="s">
        <v>195</v>
      </c>
    </row>
    <row r="20" spans="1:11">
      <c r="A20">
        <v>18</v>
      </c>
      <c r="B20">
        <v>0</v>
      </c>
      <c r="C20" s="166"/>
      <c r="D20" s="169"/>
      <c r="E20" s="168"/>
      <c r="F20" s="168"/>
      <c r="G20" s="169"/>
      <c r="H20" s="169"/>
      <c r="I20" s="168">
        <v>3</v>
      </c>
      <c r="J20" s="169"/>
      <c r="K20" s="1" t="s">
        <v>196</v>
      </c>
    </row>
    <row r="21" spans="1:11">
      <c r="A21">
        <v>19</v>
      </c>
      <c r="B21">
        <v>0</v>
      </c>
      <c r="C21" s="166"/>
      <c r="D21" s="169"/>
      <c r="E21" s="168"/>
      <c r="F21" s="168"/>
      <c r="G21" s="169"/>
      <c r="H21" s="169"/>
      <c r="I21" s="169"/>
      <c r="J21" s="168">
        <v>4</v>
      </c>
      <c r="K21" s="1" t="s">
        <v>197</v>
      </c>
    </row>
    <row r="22" spans="1:11">
      <c r="A22">
        <v>20</v>
      </c>
      <c r="B22">
        <v>0</v>
      </c>
      <c r="C22" s="166"/>
      <c r="D22" s="169"/>
      <c r="E22" s="168"/>
      <c r="F22" s="169"/>
      <c r="G22" s="168">
        <v>2</v>
      </c>
      <c r="H22" s="168">
        <v>1</v>
      </c>
      <c r="I22" s="169"/>
      <c r="J22" s="169"/>
      <c r="K22" s="1" t="s">
        <v>198</v>
      </c>
    </row>
    <row r="23" spans="1:11">
      <c r="A23">
        <v>21</v>
      </c>
      <c r="B23">
        <v>0</v>
      </c>
      <c r="C23" s="166"/>
      <c r="D23" s="169"/>
      <c r="E23" s="168"/>
      <c r="F23" s="169"/>
      <c r="G23" s="168"/>
      <c r="H23" s="169"/>
      <c r="I23" s="168">
        <v>2</v>
      </c>
      <c r="J23" s="169"/>
      <c r="K23" s="1" t="s">
        <v>199</v>
      </c>
    </row>
    <row r="24" spans="1:11">
      <c r="A24">
        <v>22</v>
      </c>
      <c r="B24">
        <v>0</v>
      </c>
      <c r="C24" s="166"/>
      <c r="D24" s="169"/>
      <c r="E24" s="168"/>
      <c r="F24" s="169"/>
      <c r="G24" s="168"/>
      <c r="H24" s="169"/>
      <c r="I24" s="169"/>
      <c r="J24" s="168">
        <v>3</v>
      </c>
      <c r="K24" s="1" t="s">
        <v>200</v>
      </c>
    </row>
    <row r="25" spans="1:11">
      <c r="A25">
        <v>23</v>
      </c>
      <c r="B25">
        <v>0</v>
      </c>
      <c r="C25" s="166"/>
      <c r="D25" s="169"/>
      <c r="E25" s="168"/>
      <c r="F25" s="169"/>
      <c r="G25" s="169"/>
      <c r="H25" s="168">
        <v>3</v>
      </c>
      <c r="I25" s="168">
        <v>1</v>
      </c>
      <c r="J25" s="169"/>
      <c r="K25" s="1" t="s">
        <v>201</v>
      </c>
    </row>
    <row r="26" spans="1:11">
      <c r="A26">
        <v>24</v>
      </c>
      <c r="B26">
        <v>0</v>
      </c>
      <c r="C26" s="166"/>
      <c r="D26" s="169"/>
      <c r="E26" s="168"/>
      <c r="F26" s="169"/>
      <c r="G26" s="169"/>
      <c r="H26" s="168"/>
      <c r="I26" s="169"/>
      <c r="J26" s="168">
        <v>2</v>
      </c>
      <c r="K26" s="1" t="s">
        <v>202</v>
      </c>
    </row>
    <row r="27" spans="1:11">
      <c r="A27">
        <v>25</v>
      </c>
      <c r="B27">
        <v>0</v>
      </c>
      <c r="C27" s="166"/>
      <c r="D27" s="60"/>
      <c r="E27" s="168"/>
      <c r="F27" s="60"/>
      <c r="G27" s="60"/>
      <c r="H27" s="60"/>
      <c r="I27" s="168">
        <v>4</v>
      </c>
      <c r="J27" s="168">
        <v>1</v>
      </c>
      <c r="K27" s="1" t="s">
        <v>203</v>
      </c>
    </row>
    <row r="28" spans="1:11">
      <c r="A28">
        <v>26</v>
      </c>
      <c r="B28">
        <v>0</v>
      </c>
      <c r="C28" s="166"/>
      <c r="D28" s="60"/>
      <c r="E28" s="60"/>
      <c r="F28" s="168">
        <v>3</v>
      </c>
      <c r="G28" s="168"/>
      <c r="H28" s="168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6"/>
      <c r="D29" s="60"/>
      <c r="E29" s="60"/>
      <c r="F29" s="168"/>
      <c r="G29" s="168"/>
      <c r="H29" s="60"/>
      <c r="I29" s="168">
        <v>2</v>
      </c>
      <c r="J29" s="60"/>
      <c r="K29" s="1" t="s">
        <v>205</v>
      </c>
    </row>
    <row r="30" spans="1:11">
      <c r="A30">
        <v>28</v>
      </c>
      <c r="B30">
        <v>0</v>
      </c>
      <c r="C30" s="166"/>
      <c r="D30" s="60"/>
      <c r="E30" s="60"/>
      <c r="F30" s="168"/>
      <c r="G30" s="168"/>
      <c r="H30" s="60"/>
      <c r="I30" s="60"/>
      <c r="J30" s="168">
        <v>3</v>
      </c>
      <c r="K30" s="1" t="s">
        <v>206</v>
      </c>
    </row>
    <row r="31" spans="1:11">
      <c r="A31">
        <v>29</v>
      </c>
      <c r="B31">
        <v>0</v>
      </c>
      <c r="C31" s="166"/>
      <c r="D31" s="60"/>
      <c r="E31" s="60"/>
      <c r="F31" s="168"/>
      <c r="G31" s="60"/>
      <c r="H31" s="168">
        <v>2</v>
      </c>
      <c r="I31" s="168">
        <v>1</v>
      </c>
      <c r="J31" s="60"/>
      <c r="K31" s="1" t="s">
        <v>207</v>
      </c>
    </row>
    <row r="32" spans="1:11">
      <c r="A32">
        <v>30</v>
      </c>
      <c r="B32">
        <v>0</v>
      </c>
      <c r="C32" s="166"/>
      <c r="D32" s="60"/>
      <c r="E32" s="60"/>
      <c r="F32" s="168"/>
      <c r="G32" s="60"/>
      <c r="H32" s="168"/>
      <c r="I32" s="60"/>
      <c r="J32" s="168">
        <v>2</v>
      </c>
      <c r="K32" s="1" t="s">
        <v>208</v>
      </c>
    </row>
    <row r="33" spans="1:11">
      <c r="A33">
        <v>31</v>
      </c>
      <c r="B33">
        <v>0</v>
      </c>
      <c r="C33" s="166"/>
      <c r="D33" s="60"/>
      <c r="E33" s="60"/>
      <c r="F33" s="168"/>
      <c r="G33" s="60"/>
      <c r="H33" s="60"/>
      <c r="I33" s="168">
        <v>3</v>
      </c>
      <c r="J33" s="168">
        <v>1</v>
      </c>
      <c r="K33" s="1" t="s">
        <v>209</v>
      </c>
    </row>
    <row r="34" spans="1:11">
      <c r="A34">
        <v>32</v>
      </c>
      <c r="B34">
        <v>0</v>
      </c>
      <c r="C34" s="166"/>
      <c r="D34" s="60"/>
      <c r="E34" s="60"/>
      <c r="F34" s="60"/>
      <c r="G34" s="168">
        <v>4</v>
      </c>
      <c r="H34" s="168">
        <v>1</v>
      </c>
      <c r="I34" s="168">
        <v>1</v>
      </c>
      <c r="J34" s="60"/>
      <c r="K34" s="1" t="s">
        <v>210</v>
      </c>
    </row>
    <row r="35" spans="1:11">
      <c r="A35">
        <v>33</v>
      </c>
      <c r="B35">
        <v>0</v>
      </c>
      <c r="C35" s="166"/>
      <c r="D35" s="60"/>
      <c r="E35" s="60"/>
      <c r="F35" s="60"/>
      <c r="G35" s="168"/>
      <c r="H35" s="168"/>
      <c r="I35" s="60"/>
      <c r="J35" s="168">
        <v>2</v>
      </c>
      <c r="K35" s="1" t="s">
        <v>211</v>
      </c>
    </row>
    <row r="36" spans="1:11">
      <c r="A36">
        <v>34</v>
      </c>
      <c r="B36">
        <v>0</v>
      </c>
      <c r="C36" s="166"/>
      <c r="D36" s="60"/>
      <c r="E36" s="60"/>
      <c r="F36" s="60"/>
      <c r="G36" s="168"/>
      <c r="H36" s="60"/>
      <c r="I36" s="168">
        <v>2</v>
      </c>
      <c r="J36" s="168"/>
      <c r="K36" s="1" t="s">
        <v>212</v>
      </c>
    </row>
    <row r="37" spans="1:11">
      <c r="A37">
        <v>35</v>
      </c>
      <c r="B37">
        <v>0</v>
      </c>
      <c r="C37" s="166"/>
      <c r="D37" s="60"/>
      <c r="E37" s="60"/>
      <c r="F37" s="60"/>
      <c r="G37" s="60"/>
      <c r="H37" s="168">
        <v>5</v>
      </c>
      <c r="I37" s="168">
        <v>1</v>
      </c>
      <c r="J37" s="168">
        <v>1</v>
      </c>
      <c r="K37" s="1" t="s">
        <v>213</v>
      </c>
    </row>
    <row r="38" spans="1:11">
      <c r="A38">
        <v>36</v>
      </c>
      <c r="B38">
        <v>1</v>
      </c>
      <c r="C38" s="167"/>
      <c r="D38" s="166"/>
      <c r="E38" s="167"/>
      <c r="F38" s="167"/>
      <c r="G38" s="165"/>
      <c r="H38" s="165"/>
      <c r="I38" s="165"/>
      <c r="J38" s="165"/>
    </row>
    <row r="39" spans="1:11">
      <c r="A39">
        <v>37</v>
      </c>
      <c r="B39">
        <v>1</v>
      </c>
      <c r="C39" s="167"/>
      <c r="D39" s="166"/>
      <c r="E39" s="167"/>
      <c r="F39" s="165"/>
      <c r="G39" s="167"/>
      <c r="H39" s="165"/>
      <c r="I39" s="165"/>
      <c r="J39" s="165"/>
    </row>
    <row r="40" spans="1:11">
      <c r="A40">
        <v>38</v>
      </c>
      <c r="B40">
        <v>1</v>
      </c>
      <c r="C40" s="167"/>
      <c r="D40" s="166"/>
      <c r="E40" s="167"/>
      <c r="F40" s="165"/>
      <c r="G40" s="165"/>
      <c r="H40" s="167"/>
      <c r="I40" s="165"/>
      <c r="J40" s="165"/>
    </row>
    <row r="41" spans="1:11">
      <c r="A41">
        <v>39</v>
      </c>
      <c r="B41">
        <v>1</v>
      </c>
      <c r="C41" s="167"/>
      <c r="D41" s="166"/>
      <c r="E41" s="167"/>
      <c r="F41" s="165"/>
      <c r="G41" s="165"/>
      <c r="H41" s="165"/>
      <c r="I41" s="167"/>
      <c r="J41" s="165"/>
    </row>
    <row r="42" spans="1:11">
      <c r="A42">
        <v>40</v>
      </c>
      <c r="B42">
        <v>1</v>
      </c>
      <c r="C42" s="167"/>
      <c r="D42" s="166"/>
      <c r="E42" s="167"/>
      <c r="F42" s="165"/>
      <c r="G42" s="165"/>
      <c r="H42" s="165"/>
      <c r="I42" s="165"/>
      <c r="J42" s="167"/>
    </row>
    <row r="43" spans="1:11">
      <c r="A43">
        <v>41</v>
      </c>
      <c r="B43">
        <v>1</v>
      </c>
      <c r="C43" s="167"/>
      <c r="D43" s="166"/>
      <c r="E43" s="165"/>
      <c r="F43" s="167"/>
      <c r="G43" s="167"/>
      <c r="H43" s="165"/>
      <c r="I43" s="165"/>
      <c r="J43" s="165"/>
    </row>
    <row r="44" spans="1:11">
      <c r="A44">
        <v>42</v>
      </c>
      <c r="B44">
        <v>1</v>
      </c>
      <c r="C44" s="167"/>
      <c r="D44" s="166"/>
      <c r="E44" s="165"/>
      <c r="F44" s="167"/>
      <c r="G44" s="165"/>
      <c r="H44" s="167"/>
      <c r="I44" s="165"/>
      <c r="J44" s="165"/>
    </row>
    <row r="45" spans="1:11">
      <c r="A45">
        <v>43</v>
      </c>
      <c r="B45">
        <v>1</v>
      </c>
      <c r="C45" s="167"/>
      <c r="D45" s="166"/>
      <c r="E45" s="165"/>
      <c r="F45" s="167"/>
      <c r="G45" s="165"/>
      <c r="H45" s="165"/>
      <c r="I45" s="167"/>
      <c r="J45" s="165"/>
    </row>
    <row r="46" spans="1:11">
      <c r="A46">
        <v>44</v>
      </c>
      <c r="B46">
        <v>1</v>
      </c>
      <c r="C46" s="167"/>
      <c r="D46" s="166"/>
      <c r="E46" s="165"/>
      <c r="F46" s="167"/>
      <c r="G46" s="165"/>
      <c r="H46" s="165"/>
      <c r="I46" s="165"/>
      <c r="J46" s="167"/>
    </row>
    <row r="47" spans="1:11">
      <c r="A47">
        <v>45</v>
      </c>
      <c r="B47">
        <v>1</v>
      </c>
      <c r="C47" s="167"/>
      <c r="D47" s="166"/>
      <c r="E47" s="165"/>
      <c r="F47" s="165"/>
      <c r="G47" s="167"/>
      <c r="H47" s="167"/>
      <c r="I47" s="165"/>
      <c r="J47" s="165"/>
    </row>
    <row r="48" spans="1:11">
      <c r="A48">
        <v>46</v>
      </c>
      <c r="B48">
        <v>1</v>
      </c>
      <c r="C48" s="167"/>
      <c r="D48" s="166"/>
      <c r="E48" s="165"/>
      <c r="F48" s="165"/>
      <c r="G48" s="167"/>
      <c r="H48" s="165"/>
      <c r="I48" s="167"/>
      <c r="J48" s="165"/>
    </row>
    <row r="49" spans="1:10">
      <c r="A49">
        <v>47</v>
      </c>
      <c r="B49">
        <v>1</v>
      </c>
      <c r="C49" s="167"/>
      <c r="D49" s="166"/>
      <c r="E49" s="165"/>
      <c r="F49" s="165"/>
      <c r="G49" s="167"/>
      <c r="H49" s="165"/>
      <c r="I49" s="165"/>
      <c r="J49" s="167"/>
    </row>
    <row r="50" spans="1:10">
      <c r="A50">
        <v>48</v>
      </c>
      <c r="B50">
        <v>1</v>
      </c>
      <c r="C50" s="167"/>
      <c r="D50" s="166"/>
      <c r="E50" s="165"/>
      <c r="F50" s="165"/>
      <c r="G50" s="165"/>
      <c r="H50" s="167"/>
      <c r="I50" s="167"/>
      <c r="J50" s="165"/>
    </row>
    <row r="51" spans="1:10">
      <c r="A51">
        <v>49</v>
      </c>
      <c r="B51">
        <v>1</v>
      </c>
      <c r="C51" s="167"/>
      <c r="D51" s="166"/>
      <c r="E51" s="165"/>
      <c r="F51" s="165"/>
      <c r="G51" s="165"/>
      <c r="H51" s="167"/>
      <c r="I51" s="165"/>
      <c r="J51" s="167"/>
    </row>
    <row r="52" spans="1:10">
      <c r="A52">
        <v>50</v>
      </c>
      <c r="B52">
        <v>1</v>
      </c>
      <c r="C52" s="167"/>
      <c r="D52" s="166"/>
      <c r="E52" s="165"/>
      <c r="F52" s="165"/>
      <c r="G52" s="165"/>
      <c r="H52" s="165"/>
      <c r="I52" s="167"/>
      <c r="J52" s="167"/>
    </row>
    <row r="53" spans="1:10">
      <c r="A53">
        <v>51</v>
      </c>
      <c r="B53">
        <v>2</v>
      </c>
      <c r="D53" s="166"/>
      <c r="E53" s="167"/>
      <c r="F53" s="167"/>
      <c r="G53" s="167"/>
      <c r="H53" s="165"/>
      <c r="I53" s="165"/>
      <c r="J53" s="165"/>
    </row>
    <row r="54" spans="1:10">
      <c r="A54">
        <v>52</v>
      </c>
      <c r="B54">
        <v>2</v>
      </c>
      <c r="D54" s="166"/>
      <c r="E54" s="167"/>
      <c r="F54" s="167"/>
      <c r="G54" s="165"/>
      <c r="H54" s="167"/>
      <c r="I54" s="165"/>
      <c r="J54" s="165"/>
    </row>
    <row r="55" spans="1:10">
      <c r="A55">
        <v>53</v>
      </c>
      <c r="B55">
        <v>2</v>
      </c>
      <c r="D55" s="166"/>
      <c r="E55" s="167"/>
      <c r="F55" s="167"/>
      <c r="G55" s="165"/>
      <c r="H55" s="165"/>
      <c r="I55" s="167"/>
      <c r="J55" s="165"/>
    </row>
    <row r="56" spans="1:10">
      <c r="A56">
        <v>54</v>
      </c>
      <c r="B56">
        <v>2</v>
      </c>
      <c r="D56" s="166"/>
      <c r="E56" s="167"/>
      <c r="F56" s="167"/>
      <c r="G56" s="165"/>
      <c r="H56" s="165"/>
      <c r="I56" s="165"/>
      <c r="J56" s="167"/>
    </row>
    <row r="57" spans="1:10">
      <c r="A57">
        <v>55</v>
      </c>
      <c r="B57">
        <v>2</v>
      </c>
      <c r="D57" s="166"/>
      <c r="E57" s="167"/>
      <c r="F57" s="165"/>
      <c r="G57" s="167"/>
      <c r="H57" s="167"/>
      <c r="I57" s="165"/>
      <c r="J57" s="165"/>
    </row>
    <row r="58" spans="1:10">
      <c r="A58">
        <v>56</v>
      </c>
      <c r="B58">
        <v>2</v>
      </c>
      <c r="D58" s="166"/>
      <c r="E58" s="167"/>
      <c r="F58" s="165"/>
      <c r="G58" s="167"/>
      <c r="H58" s="165"/>
      <c r="I58" s="167"/>
      <c r="J58" s="165"/>
    </row>
    <row r="59" spans="1:10">
      <c r="A59">
        <v>57</v>
      </c>
      <c r="B59">
        <v>2</v>
      </c>
      <c r="D59" s="166"/>
      <c r="E59" s="167"/>
      <c r="F59" s="165"/>
      <c r="G59" s="167"/>
      <c r="H59" s="165"/>
      <c r="I59" s="165"/>
      <c r="J59" s="167"/>
    </row>
    <row r="60" spans="1:10">
      <c r="A60">
        <v>58</v>
      </c>
      <c r="B60">
        <v>2</v>
      </c>
      <c r="D60" s="166"/>
      <c r="E60" s="167"/>
      <c r="F60" s="165"/>
      <c r="G60" s="165"/>
      <c r="H60" s="167"/>
      <c r="I60" s="167"/>
      <c r="J60" s="165"/>
    </row>
    <row r="61" spans="1:10">
      <c r="A61">
        <v>59</v>
      </c>
      <c r="B61">
        <v>2</v>
      </c>
      <c r="D61" s="166"/>
      <c r="E61" s="167"/>
      <c r="F61" s="165"/>
      <c r="G61" s="165"/>
      <c r="H61" s="167"/>
      <c r="I61" s="165"/>
      <c r="J61" s="167"/>
    </row>
    <row r="62" spans="1:10">
      <c r="A62">
        <v>60</v>
      </c>
      <c r="B62">
        <v>2</v>
      </c>
      <c r="D62" s="166"/>
      <c r="E62" s="167"/>
      <c r="I62" s="167"/>
      <c r="J62" s="167"/>
    </row>
    <row r="63" spans="1:10">
      <c r="A63">
        <v>61</v>
      </c>
      <c r="B63">
        <v>2</v>
      </c>
      <c r="D63" s="166"/>
      <c r="F63" s="167"/>
      <c r="G63" s="167"/>
      <c r="H63" s="167"/>
    </row>
    <row r="64" spans="1:10">
      <c r="A64">
        <v>62</v>
      </c>
      <c r="B64">
        <v>2</v>
      </c>
      <c r="D64" s="166"/>
      <c r="F64" s="167"/>
      <c r="G64" s="167"/>
      <c r="I64" s="167"/>
    </row>
    <row r="65" spans="1:10">
      <c r="A65">
        <v>63</v>
      </c>
      <c r="B65">
        <v>2</v>
      </c>
      <c r="D65" s="166"/>
      <c r="F65" s="167"/>
      <c r="G65" s="167"/>
      <c r="J65" s="167"/>
    </row>
    <row r="66" spans="1:10">
      <c r="A66">
        <v>64</v>
      </c>
      <c r="B66">
        <v>2</v>
      </c>
      <c r="D66" s="166"/>
      <c r="F66" s="167"/>
      <c r="H66" s="167"/>
      <c r="I66" s="167"/>
    </row>
    <row r="67" spans="1:10">
      <c r="A67">
        <v>65</v>
      </c>
      <c r="B67">
        <v>2</v>
      </c>
      <c r="D67" s="166"/>
      <c r="F67" s="167"/>
      <c r="H67" s="167"/>
      <c r="J67" s="167"/>
    </row>
    <row r="68" spans="1:10">
      <c r="A68">
        <v>66</v>
      </c>
      <c r="B68">
        <v>2</v>
      </c>
      <c r="D68" s="166"/>
      <c r="F68" s="167"/>
      <c r="I68" s="167"/>
      <c r="J68" s="167"/>
    </row>
    <row r="69" spans="1:10">
      <c r="A69">
        <v>67</v>
      </c>
      <c r="B69">
        <v>2</v>
      </c>
      <c r="D69" s="166"/>
      <c r="G69" s="167"/>
      <c r="H69" s="167"/>
      <c r="I69" s="167"/>
    </row>
    <row r="70" spans="1:10">
      <c r="A70">
        <v>68</v>
      </c>
      <c r="B70">
        <v>2</v>
      </c>
      <c r="D70" s="166"/>
      <c r="G70" s="167"/>
      <c r="H70" s="167"/>
      <c r="J70" s="167"/>
    </row>
    <row r="71" spans="1:10">
      <c r="A71">
        <v>69</v>
      </c>
      <c r="B71">
        <v>2</v>
      </c>
      <c r="D71" s="166"/>
      <c r="G71" s="167"/>
      <c r="I71" s="167"/>
      <c r="J71" s="167"/>
    </row>
    <row r="72" spans="1:10">
      <c r="A72">
        <v>70</v>
      </c>
      <c r="B72">
        <v>2</v>
      </c>
      <c r="D72" s="166"/>
      <c r="H72" s="167"/>
      <c r="I72" s="167"/>
      <c r="J72" s="167"/>
    </row>
    <row r="73" spans="1:10">
      <c r="A73">
        <v>71</v>
      </c>
      <c r="B73">
        <v>3</v>
      </c>
      <c r="C73" s="167">
        <v>1</v>
      </c>
      <c r="D73" s="167">
        <v>1</v>
      </c>
      <c r="E73" s="166"/>
      <c r="F73" s="167">
        <v>1</v>
      </c>
      <c r="G73" s="165"/>
      <c r="H73" s="165"/>
      <c r="I73" s="165"/>
      <c r="J73" s="165"/>
    </row>
    <row r="74" spans="1:10">
      <c r="A74">
        <v>72</v>
      </c>
      <c r="B74">
        <v>3</v>
      </c>
      <c r="C74" s="167"/>
      <c r="D74" s="167"/>
      <c r="E74" s="166"/>
      <c r="F74" s="165"/>
      <c r="G74" s="167">
        <v>2</v>
      </c>
      <c r="H74" s="165"/>
      <c r="I74" s="165"/>
      <c r="J74" s="165"/>
    </row>
    <row r="75" spans="1:10">
      <c r="A75">
        <v>73</v>
      </c>
      <c r="B75">
        <v>3</v>
      </c>
      <c r="C75" s="167"/>
      <c r="D75" s="167"/>
      <c r="E75" s="166"/>
      <c r="F75" s="165"/>
      <c r="G75" s="165"/>
      <c r="H75" s="167">
        <v>3</v>
      </c>
      <c r="I75" s="165"/>
      <c r="J75" s="165"/>
    </row>
    <row r="76" spans="1:10">
      <c r="A76">
        <v>74</v>
      </c>
      <c r="B76">
        <v>3</v>
      </c>
      <c r="C76" s="167"/>
      <c r="D76" s="167"/>
      <c r="E76" s="166"/>
      <c r="F76" s="165"/>
      <c r="G76" s="165"/>
      <c r="H76" s="165"/>
      <c r="I76" s="167">
        <v>4</v>
      </c>
      <c r="J76" s="165"/>
    </row>
    <row r="77" spans="1:10">
      <c r="A77">
        <v>75</v>
      </c>
      <c r="B77">
        <v>3</v>
      </c>
      <c r="C77" s="167"/>
      <c r="D77" s="167"/>
      <c r="E77" s="166"/>
      <c r="F77" s="165"/>
      <c r="G77" s="165"/>
      <c r="H77" s="165"/>
      <c r="I77" s="165"/>
      <c r="J77" s="167">
        <v>5</v>
      </c>
    </row>
    <row r="78" spans="1:10">
      <c r="A78">
        <v>76</v>
      </c>
      <c r="B78">
        <v>3</v>
      </c>
      <c r="C78" s="167"/>
      <c r="D78" s="165"/>
      <c r="E78" s="166"/>
      <c r="F78" s="167"/>
      <c r="G78" s="167"/>
      <c r="H78" s="165"/>
      <c r="I78" s="165"/>
      <c r="J78" s="165"/>
    </row>
    <row r="79" spans="1:10">
      <c r="A79">
        <v>77</v>
      </c>
      <c r="B79">
        <v>3</v>
      </c>
      <c r="C79" s="167"/>
      <c r="D79" s="165"/>
      <c r="E79" s="166"/>
      <c r="F79" s="167"/>
      <c r="G79" s="165"/>
      <c r="H79" s="167"/>
      <c r="I79" s="165"/>
      <c r="J79" s="165"/>
    </row>
    <row r="80" spans="1:10">
      <c r="A80">
        <v>78</v>
      </c>
      <c r="B80">
        <v>3</v>
      </c>
      <c r="C80" s="167"/>
      <c r="D80" s="165"/>
      <c r="E80" s="166"/>
      <c r="F80" s="167"/>
      <c r="G80" s="165"/>
      <c r="H80" s="165"/>
      <c r="I80" s="167"/>
      <c r="J80" s="165"/>
    </row>
    <row r="81" spans="1:10">
      <c r="A81">
        <v>79</v>
      </c>
      <c r="B81">
        <v>3</v>
      </c>
      <c r="C81" s="167"/>
      <c r="D81" s="165"/>
      <c r="E81" s="166"/>
      <c r="F81" s="167"/>
      <c r="G81" s="165"/>
      <c r="H81" s="165"/>
      <c r="I81" s="165"/>
      <c r="J81" s="167"/>
    </row>
    <row r="82" spans="1:10">
      <c r="A82">
        <v>80</v>
      </c>
      <c r="B82">
        <v>3</v>
      </c>
      <c r="C82" s="167"/>
      <c r="D82" s="165"/>
      <c r="E82" s="166"/>
      <c r="F82" s="165"/>
      <c r="G82" s="167"/>
      <c r="H82" s="167"/>
      <c r="I82" s="165"/>
      <c r="J82" s="165"/>
    </row>
    <row r="83" spans="1:10">
      <c r="A83">
        <v>81</v>
      </c>
      <c r="B83">
        <v>3</v>
      </c>
      <c r="C83" s="167"/>
      <c r="D83" s="165"/>
      <c r="E83" s="166"/>
      <c r="F83" s="165"/>
      <c r="G83" s="167"/>
      <c r="H83" s="165"/>
      <c r="I83" s="167"/>
      <c r="J83" s="165"/>
    </row>
    <row r="84" spans="1:10">
      <c r="A84">
        <v>82</v>
      </c>
      <c r="B84">
        <v>3</v>
      </c>
      <c r="C84" s="167"/>
      <c r="D84" s="165"/>
      <c r="E84" s="166"/>
      <c r="F84" s="165"/>
      <c r="G84" s="167"/>
      <c r="H84" s="165"/>
      <c r="I84" s="165"/>
      <c r="J84" s="167"/>
    </row>
    <row r="85" spans="1:10">
      <c r="A85">
        <v>83</v>
      </c>
      <c r="B85">
        <v>3</v>
      </c>
      <c r="C85" s="167"/>
      <c r="D85" s="165"/>
      <c r="E85" s="166"/>
      <c r="F85" s="165"/>
      <c r="G85" s="165"/>
      <c r="H85" s="167"/>
      <c r="I85" s="167"/>
      <c r="J85" s="165"/>
    </row>
    <row r="86" spans="1:10">
      <c r="A86">
        <v>84</v>
      </c>
      <c r="B86">
        <v>3</v>
      </c>
      <c r="C86" s="167"/>
      <c r="D86" s="165"/>
      <c r="E86" s="166"/>
      <c r="F86" s="165"/>
      <c r="G86" s="165"/>
      <c r="H86" s="167"/>
      <c r="I86" s="165"/>
      <c r="J86" s="167"/>
    </row>
    <row r="87" spans="1:10">
      <c r="A87">
        <v>85</v>
      </c>
      <c r="B87">
        <v>3</v>
      </c>
      <c r="C87" s="167"/>
      <c r="D87" s="165"/>
      <c r="E87" s="166"/>
      <c r="F87" s="165"/>
      <c r="G87" s="165"/>
      <c r="H87" s="165"/>
      <c r="I87" s="167"/>
      <c r="J87" s="167"/>
    </row>
    <row r="88" spans="1:10">
      <c r="A88">
        <v>86</v>
      </c>
      <c r="B88">
        <v>3</v>
      </c>
      <c r="D88" s="167">
        <v>2</v>
      </c>
      <c r="E88" s="166"/>
      <c r="F88" s="167">
        <v>1</v>
      </c>
      <c r="G88" s="167">
        <v>1</v>
      </c>
      <c r="H88" s="165"/>
      <c r="I88" s="165"/>
      <c r="J88" s="165"/>
    </row>
    <row r="89" spans="1:10">
      <c r="A89">
        <v>87</v>
      </c>
      <c r="B89">
        <v>3</v>
      </c>
      <c r="D89" s="167"/>
      <c r="E89" s="166"/>
      <c r="F89" s="167"/>
      <c r="G89" s="165"/>
      <c r="H89" s="167">
        <v>2</v>
      </c>
      <c r="I89" s="165"/>
      <c r="J89" s="165"/>
    </row>
    <row r="90" spans="1:10">
      <c r="A90">
        <v>88</v>
      </c>
      <c r="B90">
        <v>3</v>
      </c>
      <c r="D90" s="167"/>
      <c r="E90" s="166"/>
      <c r="F90" s="167"/>
      <c r="G90" s="165"/>
      <c r="H90" s="165"/>
      <c r="I90" s="167">
        <v>3</v>
      </c>
      <c r="J90" s="165"/>
    </row>
    <row r="91" spans="1:10">
      <c r="A91">
        <v>89</v>
      </c>
      <c r="B91">
        <v>3</v>
      </c>
      <c r="D91" s="167"/>
      <c r="E91" s="166"/>
      <c r="F91" s="167"/>
      <c r="G91" s="165"/>
      <c r="H91" s="165"/>
      <c r="I91" s="165"/>
      <c r="J91" s="167">
        <v>4</v>
      </c>
    </row>
    <row r="92" spans="1:10">
      <c r="A92">
        <v>90</v>
      </c>
      <c r="B92">
        <v>3</v>
      </c>
      <c r="D92" s="167"/>
      <c r="E92" s="166"/>
      <c r="F92" s="165"/>
      <c r="G92" s="167">
        <v>2</v>
      </c>
      <c r="H92" s="167">
        <v>1</v>
      </c>
      <c r="I92" s="165"/>
      <c r="J92" s="165"/>
    </row>
    <row r="93" spans="1:10">
      <c r="A93">
        <v>91</v>
      </c>
      <c r="B93">
        <v>3</v>
      </c>
      <c r="D93" s="167"/>
      <c r="E93" s="166"/>
      <c r="F93" s="165"/>
      <c r="G93" s="167"/>
      <c r="H93" s="165"/>
      <c r="I93" s="167">
        <v>2</v>
      </c>
      <c r="J93" s="165"/>
    </row>
    <row r="94" spans="1:10">
      <c r="A94">
        <v>92</v>
      </c>
      <c r="B94">
        <v>3</v>
      </c>
      <c r="D94" s="167"/>
      <c r="E94" s="166"/>
      <c r="F94" s="165"/>
      <c r="G94" s="167"/>
      <c r="H94" s="165"/>
      <c r="I94" s="165"/>
      <c r="J94" s="167">
        <v>3</v>
      </c>
    </row>
    <row r="95" spans="1:10">
      <c r="A95">
        <v>93</v>
      </c>
      <c r="B95">
        <v>3</v>
      </c>
      <c r="D95" s="167"/>
      <c r="E95" s="166"/>
      <c r="F95" s="165"/>
      <c r="G95" s="165"/>
      <c r="H95" s="167">
        <v>3</v>
      </c>
      <c r="I95" s="167">
        <v>1</v>
      </c>
      <c r="J95" s="165"/>
    </row>
    <row r="96" spans="1:10">
      <c r="A96">
        <v>94</v>
      </c>
      <c r="B96">
        <v>3</v>
      </c>
      <c r="D96" s="167"/>
      <c r="E96" s="166"/>
      <c r="F96" s="165"/>
      <c r="G96" s="165"/>
      <c r="H96" s="167"/>
      <c r="I96" s="165"/>
      <c r="J96" s="167">
        <v>2</v>
      </c>
    </row>
    <row r="97" spans="1:10">
      <c r="A97">
        <v>95</v>
      </c>
      <c r="B97">
        <v>3</v>
      </c>
      <c r="D97" s="167"/>
      <c r="E97" s="166"/>
      <c r="I97" s="167">
        <v>4</v>
      </c>
      <c r="J97" s="167"/>
    </row>
    <row r="98" spans="1:10">
      <c r="A98">
        <v>96</v>
      </c>
      <c r="B98">
        <v>3</v>
      </c>
      <c r="E98" s="166"/>
      <c r="F98" s="167">
        <v>3</v>
      </c>
      <c r="G98" s="167">
        <v>1</v>
      </c>
      <c r="H98" s="167">
        <v>1</v>
      </c>
    </row>
    <row r="99" spans="1:10">
      <c r="A99">
        <v>97</v>
      </c>
      <c r="B99">
        <v>3</v>
      </c>
      <c r="E99" s="166"/>
      <c r="F99" s="167"/>
      <c r="G99" s="167"/>
      <c r="I99" s="167">
        <v>2</v>
      </c>
    </row>
    <row r="100" spans="1:10">
      <c r="A100">
        <v>98</v>
      </c>
      <c r="B100">
        <v>3</v>
      </c>
      <c r="E100" s="166"/>
      <c r="F100" s="167"/>
      <c r="G100" s="167"/>
      <c r="J100" s="167">
        <v>3</v>
      </c>
    </row>
    <row r="101" spans="1:10">
      <c r="A101">
        <v>99</v>
      </c>
      <c r="B101">
        <v>3</v>
      </c>
      <c r="E101" s="166"/>
      <c r="F101" s="167"/>
      <c r="H101" s="167">
        <v>2</v>
      </c>
      <c r="I101" s="167">
        <v>1</v>
      </c>
    </row>
    <row r="102" spans="1:10">
      <c r="A102">
        <v>100</v>
      </c>
      <c r="B102">
        <v>3</v>
      </c>
      <c r="E102" s="166"/>
      <c r="F102" s="167"/>
      <c r="H102" s="167"/>
      <c r="J102" s="167">
        <v>2</v>
      </c>
    </row>
    <row r="103" spans="1:10">
      <c r="A103">
        <v>101</v>
      </c>
      <c r="B103">
        <v>3</v>
      </c>
      <c r="E103" s="166"/>
      <c r="F103" s="167"/>
      <c r="I103" s="167">
        <v>3</v>
      </c>
      <c r="J103" s="167">
        <v>1</v>
      </c>
    </row>
    <row r="104" spans="1:10">
      <c r="A104">
        <v>102</v>
      </c>
      <c r="B104">
        <v>3</v>
      </c>
      <c r="E104" s="166"/>
      <c r="G104" s="167">
        <v>4</v>
      </c>
      <c r="H104" s="167">
        <v>1</v>
      </c>
      <c r="I104" s="167">
        <v>1</v>
      </c>
    </row>
    <row r="105" spans="1:10">
      <c r="A105">
        <v>103</v>
      </c>
      <c r="B105">
        <v>3</v>
      </c>
      <c r="E105" s="166"/>
      <c r="G105" s="167"/>
      <c r="H105" s="167"/>
      <c r="J105" s="167">
        <v>2</v>
      </c>
    </row>
    <row r="106" spans="1:10">
      <c r="A106">
        <v>104</v>
      </c>
      <c r="B106">
        <v>3</v>
      </c>
      <c r="E106" s="166"/>
      <c r="G106" s="167"/>
      <c r="I106" s="167">
        <v>2</v>
      </c>
      <c r="J106" s="167">
        <v>1</v>
      </c>
    </row>
    <row r="107" spans="1:10">
      <c r="A107">
        <v>105</v>
      </c>
      <c r="B107">
        <v>3</v>
      </c>
      <c r="E107" s="166"/>
      <c r="H107" s="167">
        <v>5</v>
      </c>
      <c r="I107" s="167">
        <v>1</v>
      </c>
      <c r="J107" s="167">
        <v>1</v>
      </c>
    </row>
    <row r="108" spans="1:10">
      <c r="A108">
        <v>106</v>
      </c>
      <c r="B108">
        <v>4</v>
      </c>
      <c r="C108" s="167">
        <v>1</v>
      </c>
      <c r="D108" s="167"/>
      <c r="E108" s="167"/>
      <c r="F108" s="166"/>
      <c r="G108" s="165"/>
      <c r="H108" s="165"/>
      <c r="I108" s="165"/>
      <c r="J108" s="165"/>
    </row>
    <row r="109" spans="1:10">
      <c r="A109">
        <v>107</v>
      </c>
      <c r="B109">
        <v>4</v>
      </c>
      <c r="C109" s="167"/>
      <c r="D109" s="167"/>
      <c r="E109" s="165"/>
      <c r="F109" s="166"/>
      <c r="G109" s="167"/>
      <c r="H109" s="165"/>
      <c r="I109" s="165"/>
      <c r="J109" s="165"/>
    </row>
    <row r="110" spans="1:10">
      <c r="A110">
        <v>108</v>
      </c>
      <c r="B110">
        <v>4</v>
      </c>
      <c r="C110" s="167"/>
      <c r="D110" s="167"/>
      <c r="E110" s="165"/>
      <c r="F110" s="166"/>
      <c r="G110" s="165"/>
      <c r="H110" s="167"/>
      <c r="I110" s="165"/>
      <c r="J110" s="165"/>
    </row>
    <row r="111" spans="1:10">
      <c r="A111">
        <v>109</v>
      </c>
      <c r="B111">
        <v>4</v>
      </c>
      <c r="C111" s="167"/>
      <c r="D111" s="167"/>
      <c r="E111" s="165"/>
      <c r="F111" s="166"/>
      <c r="G111" s="165"/>
      <c r="H111" s="165"/>
      <c r="I111" s="167"/>
      <c r="J111" s="165"/>
    </row>
    <row r="112" spans="1:10">
      <c r="A112">
        <v>110</v>
      </c>
      <c r="B112">
        <v>4</v>
      </c>
      <c r="C112" s="167"/>
      <c r="D112" s="167"/>
      <c r="E112" s="165"/>
      <c r="F112" s="166"/>
      <c r="G112" s="165"/>
      <c r="H112" s="165"/>
      <c r="I112" s="165"/>
      <c r="J112" s="167"/>
    </row>
    <row r="113" spans="1:10">
      <c r="A113">
        <v>111</v>
      </c>
      <c r="B113">
        <v>4</v>
      </c>
      <c r="C113" s="167"/>
      <c r="D113" s="165"/>
      <c r="E113" s="167"/>
      <c r="F113" s="166"/>
      <c r="G113" s="167"/>
      <c r="H113" s="165"/>
      <c r="I113" s="165"/>
      <c r="J113" s="165"/>
    </row>
    <row r="114" spans="1:10">
      <c r="A114">
        <v>112</v>
      </c>
      <c r="B114">
        <v>4</v>
      </c>
      <c r="C114" s="167"/>
      <c r="D114" s="165"/>
      <c r="E114" s="167"/>
      <c r="F114" s="166"/>
      <c r="G114" s="165"/>
      <c r="H114" s="167"/>
      <c r="I114" s="165"/>
      <c r="J114" s="165"/>
    </row>
    <row r="115" spans="1:10">
      <c r="A115">
        <v>113</v>
      </c>
      <c r="B115">
        <v>4</v>
      </c>
      <c r="C115" s="167"/>
      <c r="D115" s="165"/>
      <c r="E115" s="167"/>
      <c r="F115" s="166"/>
      <c r="G115" s="165"/>
      <c r="H115" s="165"/>
      <c r="I115" s="167"/>
      <c r="J115" s="165"/>
    </row>
    <row r="116" spans="1:10">
      <c r="A116">
        <v>114</v>
      </c>
      <c r="B116">
        <v>4</v>
      </c>
      <c r="C116" s="167"/>
      <c r="D116" s="165"/>
      <c r="E116" s="167"/>
      <c r="F116" s="166"/>
      <c r="G116" s="165"/>
      <c r="H116" s="165"/>
      <c r="I116" s="165"/>
      <c r="J116" s="167"/>
    </row>
    <row r="117" spans="1:10">
      <c r="A117">
        <v>115</v>
      </c>
      <c r="B117">
        <v>4</v>
      </c>
      <c r="C117" s="167"/>
      <c r="D117" s="165"/>
      <c r="E117" s="165"/>
      <c r="F117" s="166"/>
      <c r="G117" s="167"/>
      <c r="H117" s="167"/>
      <c r="I117" s="165"/>
      <c r="J117" s="165"/>
    </row>
    <row r="118" spans="1:10">
      <c r="A118">
        <v>116</v>
      </c>
      <c r="B118">
        <v>4</v>
      </c>
      <c r="C118" s="167"/>
      <c r="D118" s="165"/>
      <c r="E118" s="165"/>
      <c r="F118" s="166"/>
      <c r="G118" s="167"/>
      <c r="H118" s="165"/>
      <c r="I118" s="167"/>
      <c r="J118" s="165"/>
    </row>
    <row r="119" spans="1:10">
      <c r="A119">
        <v>117</v>
      </c>
      <c r="B119">
        <v>4</v>
      </c>
      <c r="C119" s="167"/>
      <c r="D119" s="165"/>
      <c r="E119" s="165"/>
      <c r="F119" s="166"/>
      <c r="G119" s="167"/>
      <c r="H119" s="165"/>
      <c r="I119" s="165"/>
      <c r="J119" s="167"/>
    </row>
    <row r="120" spans="1:10">
      <c r="A120">
        <v>118</v>
      </c>
      <c r="B120">
        <v>4</v>
      </c>
      <c r="C120" s="167"/>
      <c r="D120" s="165"/>
      <c r="E120" s="165"/>
      <c r="F120" s="166"/>
      <c r="G120" s="165"/>
      <c r="H120" s="167"/>
      <c r="I120" s="167"/>
      <c r="J120" s="165"/>
    </row>
    <row r="121" spans="1:10">
      <c r="A121">
        <v>119</v>
      </c>
      <c r="B121">
        <v>4</v>
      </c>
      <c r="C121" s="167"/>
      <c r="D121" s="165"/>
      <c r="E121" s="165"/>
      <c r="F121" s="166"/>
      <c r="G121" s="165"/>
      <c r="H121" s="167"/>
      <c r="I121" s="165"/>
      <c r="J121" s="167"/>
    </row>
    <row r="122" spans="1:10">
      <c r="A122">
        <v>120</v>
      </c>
      <c r="B122">
        <v>4</v>
      </c>
      <c r="C122" s="167"/>
      <c r="D122" s="165"/>
      <c r="E122" s="165"/>
      <c r="F122" s="166"/>
      <c r="G122" s="165"/>
      <c r="H122" s="165"/>
      <c r="I122" s="167"/>
      <c r="J122" s="167"/>
    </row>
    <row r="123" spans="1:10">
      <c r="A123">
        <v>121</v>
      </c>
      <c r="B123">
        <v>5</v>
      </c>
      <c r="D123" s="167">
        <v>2</v>
      </c>
      <c r="E123" s="167"/>
      <c r="F123" s="166"/>
      <c r="G123" s="167"/>
      <c r="H123" s="165"/>
      <c r="I123" s="165"/>
      <c r="J123" s="165"/>
    </row>
    <row r="124" spans="1:10">
      <c r="A124">
        <v>122</v>
      </c>
      <c r="B124">
        <v>5</v>
      </c>
      <c r="D124" s="167"/>
      <c r="E124" s="167"/>
      <c r="F124" s="166"/>
      <c r="G124" s="165"/>
      <c r="H124" s="167"/>
      <c r="I124" s="165"/>
      <c r="J124" s="165"/>
    </row>
    <row r="125" spans="1:10">
      <c r="A125">
        <v>123</v>
      </c>
      <c r="B125">
        <v>5</v>
      </c>
      <c r="D125" s="167"/>
      <c r="E125" s="167"/>
      <c r="F125" s="166"/>
      <c r="G125" s="165"/>
      <c r="H125" s="165"/>
      <c r="I125" s="167"/>
      <c r="J125" s="165"/>
    </row>
    <row r="126" spans="1:10">
      <c r="A126">
        <v>124</v>
      </c>
      <c r="B126">
        <v>5</v>
      </c>
      <c r="D126" s="167"/>
      <c r="E126" s="167"/>
      <c r="F126" s="166"/>
      <c r="G126" s="165"/>
      <c r="H126" s="165"/>
      <c r="I126" s="165"/>
      <c r="J126" s="167"/>
    </row>
    <row r="127" spans="1:10">
      <c r="A127">
        <v>125</v>
      </c>
      <c r="B127">
        <v>5</v>
      </c>
      <c r="D127" s="167"/>
      <c r="E127" s="165"/>
      <c r="F127" s="166"/>
      <c r="G127" s="167"/>
      <c r="H127" s="167"/>
      <c r="I127" s="165"/>
      <c r="J127" s="165"/>
    </row>
    <row r="128" spans="1:10">
      <c r="A128">
        <v>126</v>
      </c>
      <c r="B128">
        <v>5</v>
      </c>
      <c r="D128" s="167"/>
      <c r="E128" s="165"/>
      <c r="F128" s="166"/>
      <c r="G128" s="167"/>
      <c r="H128" s="165"/>
      <c r="I128" s="167"/>
      <c r="J128" s="165"/>
    </row>
    <row r="129" spans="1:10">
      <c r="A129">
        <v>127</v>
      </c>
      <c r="B129">
        <v>5</v>
      </c>
      <c r="D129" s="167"/>
      <c r="E129" s="165"/>
      <c r="F129" s="166"/>
      <c r="G129" s="167"/>
      <c r="H129" s="165"/>
      <c r="I129" s="165"/>
      <c r="J129" s="167"/>
    </row>
    <row r="130" spans="1:10">
      <c r="A130">
        <v>128</v>
      </c>
      <c r="B130">
        <v>5</v>
      </c>
      <c r="D130" s="167"/>
      <c r="E130" s="165"/>
      <c r="F130" s="166"/>
      <c r="G130" s="165"/>
      <c r="H130" s="167"/>
      <c r="I130" s="167"/>
      <c r="J130" s="165"/>
    </row>
    <row r="131" spans="1:10">
      <c r="A131">
        <v>129</v>
      </c>
      <c r="B131">
        <v>5</v>
      </c>
      <c r="D131" s="167"/>
      <c r="E131" s="165"/>
      <c r="F131" s="166"/>
      <c r="G131" s="165"/>
      <c r="H131" s="167"/>
      <c r="I131" s="165"/>
      <c r="J131" s="167"/>
    </row>
    <row r="132" spans="1:10">
      <c r="A132">
        <v>130</v>
      </c>
      <c r="B132">
        <v>5</v>
      </c>
      <c r="D132" s="167"/>
      <c r="F132" s="166"/>
      <c r="I132" s="167"/>
      <c r="J132" s="167"/>
    </row>
    <row r="133" spans="1:10">
      <c r="A133">
        <v>131</v>
      </c>
      <c r="B133">
        <v>5</v>
      </c>
      <c r="E133" s="167">
        <v>3</v>
      </c>
      <c r="F133" s="166"/>
      <c r="G133" s="167"/>
      <c r="H133" s="167"/>
    </row>
    <row r="134" spans="1:10">
      <c r="A134">
        <v>132</v>
      </c>
      <c r="B134">
        <v>5</v>
      </c>
      <c r="E134" s="167"/>
      <c r="F134" s="166"/>
      <c r="G134" s="167"/>
      <c r="I134" s="167"/>
    </row>
    <row r="135" spans="1:10">
      <c r="A135">
        <v>133</v>
      </c>
      <c r="B135">
        <v>5</v>
      </c>
      <c r="E135" s="167"/>
      <c r="F135" s="166"/>
      <c r="G135" s="167"/>
      <c r="J135" s="167"/>
    </row>
    <row r="136" spans="1:10">
      <c r="A136">
        <v>134</v>
      </c>
      <c r="B136">
        <v>5</v>
      </c>
      <c r="E136" s="167"/>
      <c r="F136" s="166"/>
      <c r="H136" s="167"/>
      <c r="I136" s="167"/>
    </row>
    <row r="137" spans="1:10">
      <c r="A137">
        <v>135</v>
      </c>
      <c r="B137">
        <v>5</v>
      </c>
      <c r="E137" s="167"/>
      <c r="F137" s="166"/>
      <c r="H137" s="167"/>
      <c r="J137" s="167"/>
    </row>
    <row r="138" spans="1:10">
      <c r="A138">
        <v>136</v>
      </c>
      <c r="B138">
        <v>5</v>
      </c>
      <c r="E138" s="167"/>
      <c r="F138" s="166"/>
      <c r="I138" s="167"/>
      <c r="J138" s="167"/>
    </row>
    <row r="139" spans="1:10">
      <c r="A139">
        <v>137</v>
      </c>
      <c r="B139">
        <v>5</v>
      </c>
      <c r="F139" s="166"/>
      <c r="G139" s="167">
        <v>4</v>
      </c>
      <c r="H139" s="167"/>
      <c r="I139" s="167"/>
    </row>
    <row r="140" spans="1:10">
      <c r="A140">
        <v>138</v>
      </c>
      <c r="B140">
        <v>5</v>
      </c>
      <c r="F140" s="166"/>
      <c r="G140" s="167"/>
      <c r="H140" s="167"/>
      <c r="J140" s="167"/>
    </row>
    <row r="141" spans="1:10">
      <c r="A141">
        <v>139</v>
      </c>
      <c r="B141">
        <v>5</v>
      </c>
      <c r="F141" s="166"/>
      <c r="G141" s="167"/>
      <c r="I141" s="167"/>
      <c r="J141" s="167"/>
    </row>
    <row r="142" spans="1:10">
      <c r="A142">
        <v>140</v>
      </c>
      <c r="B142">
        <v>5</v>
      </c>
      <c r="F142" s="166"/>
      <c r="H142" s="167">
        <v>5</v>
      </c>
      <c r="I142" s="167">
        <v>1</v>
      </c>
      <c r="J142" s="167">
        <v>1</v>
      </c>
    </row>
    <row r="143" spans="1:10">
      <c r="A143">
        <v>141</v>
      </c>
      <c r="B143">
        <v>6</v>
      </c>
      <c r="C143" s="167"/>
      <c r="D143" s="167"/>
      <c r="E143" s="167"/>
      <c r="F143" s="165"/>
      <c r="G143" s="166"/>
      <c r="H143" s="165"/>
      <c r="I143" s="165"/>
      <c r="J143" s="165"/>
    </row>
    <row r="144" spans="1:10">
      <c r="A144">
        <v>142</v>
      </c>
      <c r="B144">
        <v>6</v>
      </c>
      <c r="C144" s="167"/>
      <c r="D144" s="167"/>
      <c r="E144" s="165"/>
      <c r="F144" s="167"/>
      <c r="G144" s="166"/>
      <c r="H144" s="165"/>
      <c r="I144" s="165"/>
      <c r="J144" s="165"/>
    </row>
    <row r="145" spans="1:10">
      <c r="A145">
        <v>143</v>
      </c>
      <c r="B145">
        <v>6</v>
      </c>
      <c r="C145" s="167"/>
      <c r="D145" s="167"/>
      <c r="E145" s="165"/>
      <c r="F145" s="165"/>
      <c r="G145" s="166"/>
      <c r="H145" s="167"/>
      <c r="I145" s="165"/>
      <c r="J145" s="165"/>
    </row>
    <row r="146" spans="1:10">
      <c r="A146">
        <v>144</v>
      </c>
      <c r="B146">
        <v>6</v>
      </c>
      <c r="C146" s="167"/>
      <c r="D146" s="167"/>
      <c r="E146" s="165"/>
      <c r="F146" s="165"/>
      <c r="G146" s="166"/>
      <c r="H146" s="165"/>
      <c r="I146" s="167"/>
      <c r="J146" s="165"/>
    </row>
    <row r="147" spans="1:10">
      <c r="A147">
        <v>145</v>
      </c>
      <c r="B147">
        <v>6</v>
      </c>
      <c r="C147" s="167"/>
      <c r="D147" s="167"/>
      <c r="E147" s="165"/>
      <c r="F147" s="165"/>
      <c r="G147" s="166"/>
      <c r="H147" s="165"/>
      <c r="I147" s="165"/>
      <c r="J147" s="167"/>
    </row>
    <row r="148" spans="1:10">
      <c r="A148">
        <v>146</v>
      </c>
      <c r="B148">
        <v>6</v>
      </c>
      <c r="C148" s="167"/>
      <c r="D148" s="165"/>
      <c r="E148" s="167"/>
      <c r="F148" s="167"/>
      <c r="G148" s="166"/>
      <c r="H148" s="165"/>
      <c r="I148" s="165"/>
      <c r="J148" s="165"/>
    </row>
    <row r="149" spans="1:10">
      <c r="A149">
        <v>147</v>
      </c>
      <c r="B149">
        <v>6</v>
      </c>
      <c r="C149" s="167"/>
      <c r="D149" s="165"/>
      <c r="E149" s="167"/>
      <c r="F149" s="165"/>
      <c r="G149" s="166"/>
      <c r="H149" s="167"/>
      <c r="I149" s="165"/>
      <c r="J149" s="165"/>
    </row>
    <row r="150" spans="1:10">
      <c r="A150">
        <v>148</v>
      </c>
      <c r="B150">
        <v>6</v>
      </c>
      <c r="C150" s="167"/>
      <c r="D150" s="165"/>
      <c r="E150" s="167"/>
      <c r="F150" s="165"/>
      <c r="G150" s="166"/>
      <c r="H150" s="165"/>
      <c r="I150" s="167"/>
      <c r="J150" s="165"/>
    </row>
    <row r="151" spans="1:10">
      <c r="A151">
        <v>149</v>
      </c>
      <c r="B151">
        <v>6</v>
      </c>
      <c r="C151" s="167"/>
      <c r="D151" s="165"/>
      <c r="E151" s="167"/>
      <c r="F151" s="165"/>
      <c r="G151" s="166"/>
      <c r="H151" s="165"/>
      <c r="I151" s="165"/>
      <c r="J151" s="167"/>
    </row>
    <row r="152" spans="1:10">
      <c r="A152">
        <v>150</v>
      </c>
      <c r="B152">
        <v>6</v>
      </c>
      <c r="C152" s="167"/>
      <c r="D152" s="165"/>
      <c r="E152" s="165"/>
      <c r="F152" s="167"/>
      <c r="G152" s="166"/>
      <c r="H152" s="167"/>
      <c r="I152" s="165"/>
      <c r="J152" s="165"/>
    </row>
    <row r="153" spans="1:10">
      <c r="A153">
        <v>151</v>
      </c>
      <c r="B153">
        <v>6</v>
      </c>
      <c r="C153" s="167"/>
      <c r="D153" s="165"/>
      <c r="E153" s="165"/>
      <c r="F153" s="167"/>
      <c r="G153" s="166"/>
      <c r="H153" s="165"/>
      <c r="I153" s="167"/>
      <c r="J153" s="165"/>
    </row>
    <row r="154" spans="1:10">
      <c r="A154">
        <v>152</v>
      </c>
      <c r="B154">
        <v>6</v>
      </c>
      <c r="C154" s="167"/>
      <c r="D154" s="165"/>
      <c r="E154" s="165"/>
      <c r="F154" s="167"/>
      <c r="G154" s="166"/>
      <c r="H154" s="165"/>
      <c r="I154" s="165"/>
      <c r="J154" s="167"/>
    </row>
    <row r="155" spans="1:10">
      <c r="A155">
        <v>153</v>
      </c>
      <c r="B155">
        <v>6</v>
      </c>
      <c r="C155" s="167"/>
      <c r="D155" s="165"/>
      <c r="E155" s="165"/>
      <c r="F155" s="165"/>
      <c r="G155" s="166"/>
      <c r="H155" s="167"/>
      <c r="I155" s="167"/>
      <c r="J155" s="165"/>
    </row>
    <row r="156" spans="1:10">
      <c r="A156">
        <v>154</v>
      </c>
      <c r="B156">
        <v>6</v>
      </c>
      <c r="C156" s="167"/>
      <c r="D156" s="165"/>
      <c r="E156" s="165"/>
      <c r="F156" s="165"/>
      <c r="G156" s="166"/>
      <c r="H156" s="167"/>
      <c r="I156" s="165"/>
      <c r="J156" s="167"/>
    </row>
    <row r="157" spans="1:10">
      <c r="A157">
        <v>155</v>
      </c>
      <c r="B157">
        <v>6</v>
      </c>
      <c r="C157" s="167"/>
      <c r="D157" s="165"/>
      <c r="E157" s="165"/>
      <c r="F157" s="165"/>
      <c r="G157" s="166"/>
      <c r="H157" s="165"/>
      <c r="I157" s="167"/>
      <c r="J157" s="167"/>
    </row>
    <row r="158" spans="1:10">
      <c r="A158">
        <v>156</v>
      </c>
      <c r="B158">
        <v>6</v>
      </c>
      <c r="D158" s="167"/>
      <c r="E158" s="167"/>
      <c r="F158" s="167"/>
      <c r="G158" s="166"/>
      <c r="H158" s="165"/>
      <c r="I158" s="165"/>
      <c r="J158" s="165"/>
    </row>
    <row r="159" spans="1:10">
      <c r="A159">
        <v>157</v>
      </c>
      <c r="B159">
        <v>6</v>
      </c>
      <c r="D159" s="167"/>
      <c r="E159" s="167"/>
      <c r="F159" s="165"/>
      <c r="G159" s="166"/>
      <c r="H159" s="167"/>
      <c r="I159" s="165"/>
      <c r="J159" s="165"/>
    </row>
    <row r="160" spans="1:10">
      <c r="A160">
        <v>158</v>
      </c>
      <c r="B160">
        <v>6</v>
      </c>
      <c r="D160" s="167"/>
      <c r="E160" s="167"/>
      <c r="F160" s="165"/>
      <c r="G160" s="166"/>
      <c r="H160" s="165"/>
      <c r="I160" s="167"/>
      <c r="J160" s="165"/>
    </row>
    <row r="161" spans="1:10">
      <c r="A161">
        <v>159</v>
      </c>
      <c r="B161">
        <v>6</v>
      </c>
      <c r="D161" s="167"/>
      <c r="E161" s="167"/>
      <c r="F161" s="165"/>
      <c r="G161" s="166"/>
      <c r="H161" s="165"/>
      <c r="I161" s="165"/>
      <c r="J161" s="167"/>
    </row>
    <row r="162" spans="1:10">
      <c r="A162">
        <v>160</v>
      </c>
      <c r="B162">
        <v>6</v>
      </c>
      <c r="D162" s="167"/>
      <c r="E162" s="165"/>
      <c r="F162" s="167"/>
      <c r="G162" s="166"/>
      <c r="H162" s="167"/>
      <c r="I162" s="165"/>
      <c r="J162" s="165"/>
    </row>
    <row r="163" spans="1:10">
      <c r="A163">
        <v>161</v>
      </c>
      <c r="B163">
        <v>6</v>
      </c>
      <c r="D163" s="167"/>
      <c r="E163" s="165"/>
      <c r="F163" s="167"/>
      <c r="G163" s="166"/>
      <c r="H163" s="165"/>
      <c r="I163" s="167"/>
      <c r="J163" s="165"/>
    </row>
    <row r="164" spans="1:10">
      <c r="A164">
        <v>162</v>
      </c>
      <c r="B164">
        <v>6</v>
      </c>
      <c r="D164" s="167"/>
      <c r="E164" s="165"/>
      <c r="F164" s="167"/>
      <c r="G164" s="166"/>
      <c r="H164" s="165"/>
      <c r="I164" s="165"/>
      <c r="J164" s="167"/>
    </row>
    <row r="165" spans="1:10">
      <c r="A165">
        <v>163</v>
      </c>
      <c r="B165">
        <v>6</v>
      </c>
      <c r="D165" s="167"/>
      <c r="E165" s="165"/>
      <c r="F165" s="165"/>
      <c r="G165" s="166"/>
      <c r="H165" s="167"/>
      <c r="I165" s="167"/>
      <c r="J165" s="165"/>
    </row>
    <row r="166" spans="1:10">
      <c r="A166">
        <v>164</v>
      </c>
      <c r="B166">
        <v>6</v>
      </c>
      <c r="D166" s="167"/>
      <c r="E166" s="165"/>
      <c r="F166" s="165"/>
      <c r="G166" s="166"/>
      <c r="H166" s="167"/>
      <c r="I166" s="165"/>
      <c r="J166" s="167"/>
    </row>
    <row r="167" spans="1:10">
      <c r="A167">
        <v>165</v>
      </c>
      <c r="B167">
        <v>6</v>
      </c>
      <c r="D167" s="167"/>
      <c r="G167" s="166"/>
      <c r="I167" s="167"/>
      <c r="J167" s="167"/>
    </row>
    <row r="168" spans="1:10">
      <c r="A168">
        <v>166</v>
      </c>
      <c r="B168">
        <v>6</v>
      </c>
      <c r="E168" s="167"/>
      <c r="F168" s="167"/>
      <c r="G168" s="166"/>
      <c r="H168" s="167"/>
    </row>
    <row r="169" spans="1:10">
      <c r="A169">
        <v>167</v>
      </c>
      <c r="B169">
        <v>6</v>
      </c>
      <c r="E169" s="167"/>
      <c r="F169" s="167"/>
      <c r="G169" s="166"/>
      <c r="I169" s="167"/>
    </row>
    <row r="170" spans="1:10">
      <c r="A170">
        <v>168</v>
      </c>
      <c r="B170">
        <v>6</v>
      </c>
      <c r="E170" s="167"/>
      <c r="F170" s="167"/>
      <c r="G170" s="166"/>
      <c r="J170" s="167"/>
    </row>
    <row r="171" spans="1:10">
      <c r="A171">
        <v>169</v>
      </c>
      <c r="B171">
        <v>6</v>
      </c>
      <c r="E171" s="167"/>
      <c r="G171" s="166"/>
      <c r="H171" s="167"/>
      <c r="I171" s="167"/>
    </row>
    <row r="172" spans="1:10">
      <c r="A172">
        <v>170</v>
      </c>
      <c r="B172">
        <v>6</v>
      </c>
      <c r="E172" s="167"/>
      <c r="G172" s="166"/>
      <c r="H172" s="167"/>
      <c r="J172" s="167"/>
    </row>
    <row r="173" spans="1:10">
      <c r="A173">
        <v>171</v>
      </c>
      <c r="B173">
        <v>6</v>
      </c>
      <c r="E173" s="167"/>
      <c r="G173" s="166"/>
      <c r="I173" s="167"/>
      <c r="J173" s="167"/>
    </row>
    <row r="174" spans="1:10">
      <c r="A174">
        <v>172</v>
      </c>
      <c r="B174">
        <v>6</v>
      </c>
      <c r="F174" s="167"/>
      <c r="G174" s="166"/>
      <c r="H174" s="167"/>
      <c r="I174" s="167"/>
    </row>
    <row r="175" spans="1:10">
      <c r="A175">
        <v>173</v>
      </c>
      <c r="B175">
        <v>6</v>
      </c>
      <c r="F175" s="167"/>
      <c r="G175" s="166"/>
      <c r="H175" s="167"/>
      <c r="J175" s="167"/>
    </row>
    <row r="176" spans="1:10">
      <c r="A176">
        <v>174</v>
      </c>
      <c r="B176">
        <v>6</v>
      </c>
      <c r="F176" s="167"/>
      <c r="G176" s="166"/>
      <c r="I176" s="167"/>
      <c r="J176" s="167"/>
    </row>
    <row r="177" spans="1:10">
      <c r="A177">
        <v>175</v>
      </c>
      <c r="B177">
        <v>6</v>
      </c>
      <c r="G177" s="166"/>
      <c r="H177" s="167"/>
      <c r="I177" s="167"/>
      <c r="J177" s="167"/>
    </row>
    <row r="178" spans="1:10">
      <c r="A178">
        <v>176</v>
      </c>
      <c r="B178">
        <v>7</v>
      </c>
      <c r="C178" s="167"/>
      <c r="D178" s="167"/>
      <c r="E178" s="167"/>
      <c r="F178" s="165"/>
      <c r="H178" s="166"/>
      <c r="I178" s="165"/>
      <c r="J178" s="165"/>
    </row>
    <row r="179" spans="1:10">
      <c r="A179">
        <v>177</v>
      </c>
      <c r="B179">
        <v>7</v>
      </c>
      <c r="C179" s="167"/>
      <c r="D179" s="167"/>
      <c r="E179" s="165"/>
      <c r="F179" s="167"/>
      <c r="H179" s="166"/>
      <c r="I179" s="165"/>
      <c r="J179" s="165"/>
    </row>
    <row r="180" spans="1:10">
      <c r="A180">
        <v>178</v>
      </c>
      <c r="B180">
        <v>7</v>
      </c>
      <c r="C180" s="167"/>
      <c r="D180" s="167"/>
      <c r="E180" s="165"/>
      <c r="F180" s="165"/>
      <c r="G180" s="167"/>
      <c r="H180" s="166"/>
      <c r="I180" s="165"/>
      <c r="J180" s="165"/>
    </row>
    <row r="181" spans="1:10">
      <c r="A181">
        <v>179</v>
      </c>
      <c r="B181">
        <v>7</v>
      </c>
      <c r="C181" s="167"/>
      <c r="D181" s="167"/>
      <c r="E181" s="165"/>
      <c r="F181" s="165"/>
      <c r="G181" s="165"/>
      <c r="H181" s="166"/>
      <c r="I181" s="167"/>
      <c r="J181" s="165"/>
    </row>
    <row r="182" spans="1:10">
      <c r="A182">
        <v>180</v>
      </c>
      <c r="B182">
        <v>7</v>
      </c>
      <c r="C182" s="167"/>
      <c r="D182" s="167"/>
      <c r="E182" s="165"/>
      <c r="F182" s="165"/>
      <c r="G182" s="165"/>
      <c r="H182" s="166"/>
      <c r="I182" s="165"/>
      <c r="J182" s="167"/>
    </row>
    <row r="183" spans="1:10">
      <c r="A183">
        <v>181</v>
      </c>
      <c r="B183">
        <v>7</v>
      </c>
      <c r="C183" s="167"/>
      <c r="D183" s="165"/>
      <c r="E183" s="167"/>
      <c r="F183" s="167"/>
      <c r="G183" s="165"/>
      <c r="H183" s="166"/>
      <c r="I183" s="165"/>
      <c r="J183" s="165"/>
    </row>
    <row r="184" spans="1:10">
      <c r="A184">
        <v>182</v>
      </c>
      <c r="B184">
        <v>7</v>
      </c>
      <c r="C184" s="167"/>
      <c r="D184" s="165"/>
      <c r="E184" s="167"/>
      <c r="F184" s="165"/>
      <c r="G184" s="167"/>
      <c r="H184" s="166"/>
      <c r="I184" s="165"/>
      <c r="J184" s="165"/>
    </row>
    <row r="185" spans="1:10">
      <c r="A185">
        <v>183</v>
      </c>
      <c r="B185">
        <v>7</v>
      </c>
      <c r="C185" s="167"/>
      <c r="D185" s="165"/>
      <c r="E185" s="167"/>
      <c r="F185" s="165"/>
      <c r="G185" s="165"/>
      <c r="H185" s="166"/>
      <c r="I185" s="167"/>
      <c r="J185" s="165"/>
    </row>
    <row r="186" spans="1:10">
      <c r="A186">
        <v>184</v>
      </c>
      <c r="B186">
        <v>7</v>
      </c>
      <c r="C186" s="167"/>
      <c r="D186" s="165"/>
      <c r="E186" s="167"/>
      <c r="F186" s="165"/>
      <c r="G186" s="165"/>
      <c r="H186" s="166"/>
      <c r="I186" s="165"/>
      <c r="J186" s="167"/>
    </row>
    <row r="187" spans="1:10">
      <c r="A187">
        <v>185</v>
      </c>
      <c r="B187">
        <v>7</v>
      </c>
      <c r="C187" s="167"/>
      <c r="D187" s="165"/>
      <c r="E187" s="165"/>
      <c r="F187" s="167"/>
      <c r="G187" s="167"/>
      <c r="H187" s="166"/>
      <c r="I187" s="165"/>
      <c r="J187" s="165"/>
    </row>
    <row r="188" spans="1:10">
      <c r="A188">
        <v>186</v>
      </c>
      <c r="B188">
        <v>7</v>
      </c>
      <c r="C188" s="167"/>
      <c r="D188" s="165"/>
      <c r="E188" s="165"/>
      <c r="F188" s="167"/>
      <c r="G188" s="165"/>
      <c r="H188" s="166"/>
      <c r="I188" s="167"/>
      <c r="J188" s="165"/>
    </row>
    <row r="189" spans="1:10">
      <c r="A189">
        <v>187</v>
      </c>
      <c r="B189">
        <v>7</v>
      </c>
      <c r="C189" s="167"/>
      <c r="D189" s="165"/>
      <c r="E189" s="165"/>
      <c r="F189" s="167"/>
      <c r="G189" s="165"/>
      <c r="H189" s="166"/>
      <c r="I189" s="165"/>
      <c r="J189" s="167"/>
    </row>
    <row r="190" spans="1:10">
      <c r="A190">
        <v>188</v>
      </c>
      <c r="B190">
        <v>7</v>
      </c>
      <c r="C190" s="167"/>
      <c r="D190" s="165"/>
      <c r="E190" s="165"/>
      <c r="F190" s="165"/>
      <c r="G190" s="167"/>
      <c r="H190" s="166"/>
      <c r="I190" s="167"/>
      <c r="J190" s="165"/>
    </row>
    <row r="191" spans="1:10">
      <c r="A191">
        <v>189</v>
      </c>
      <c r="B191">
        <v>7</v>
      </c>
      <c r="C191" s="167"/>
      <c r="D191" s="165"/>
      <c r="E191" s="165"/>
      <c r="F191" s="165"/>
      <c r="G191" s="167"/>
      <c r="H191" s="166"/>
      <c r="I191" s="165"/>
      <c r="J191" s="167"/>
    </row>
    <row r="192" spans="1:10">
      <c r="A192">
        <v>190</v>
      </c>
      <c r="B192">
        <v>7</v>
      </c>
      <c r="C192" s="167"/>
      <c r="D192" s="165"/>
      <c r="E192" s="165"/>
      <c r="F192" s="165"/>
      <c r="G192" s="165"/>
      <c r="H192" s="166"/>
      <c r="I192" s="167"/>
      <c r="J192" s="167"/>
    </row>
    <row r="193" spans="1:10">
      <c r="A193">
        <v>191</v>
      </c>
      <c r="B193">
        <v>7</v>
      </c>
      <c r="D193" s="167"/>
      <c r="E193" s="167"/>
      <c r="F193" s="167"/>
      <c r="G193" s="165"/>
      <c r="H193" s="166"/>
      <c r="I193" s="165"/>
      <c r="J193" s="165"/>
    </row>
    <row r="194" spans="1:10">
      <c r="A194">
        <v>192</v>
      </c>
      <c r="B194">
        <v>7</v>
      </c>
      <c r="D194" s="167"/>
      <c r="E194" s="167"/>
      <c r="F194" s="165"/>
      <c r="G194" s="167"/>
      <c r="H194" s="166"/>
      <c r="I194" s="165"/>
      <c r="J194" s="165"/>
    </row>
    <row r="195" spans="1:10">
      <c r="A195">
        <v>193</v>
      </c>
      <c r="B195">
        <v>7</v>
      </c>
      <c r="D195" s="167"/>
      <c r="E195" s="167"/>
      <c r="F195" s="165"/>
      <c r="G195" s="165"/>
      <c r="H195" s="166"/>
      <c r="I195" s="167"/>
      <c r="J195" s="165"/>
    </row>
    <row r="196" spans="1:10">
      <c r="A196">
        <v>194</v>
      </c>
      <c r="B196">
        <v>7</v>
      </c>
      <c r="D196" s="167"/>
      <c r="E196" s="167"/>
      <c r="F196" s="165"/>
      <c r="G196" s="165"/>
      <c r="H196" s="166"/>
      <c r="I196" s="165"/>
      <c r="J196" s="167"/>
    </row>
    <row r="197" spans="1:10">
      <c r="A197">
        <v>195</v>
      </c>
      <c r="B197">
        <v>7</v>
      </c>
      <c r="D197" s="167"/>
      <c r="E197" s="165"/>
      <c r="F197" s="167"/>
      <c r="G197" s="167"/>
      <c r="H197" s="166"/>
      <c r="I197" s="165"/>
      <c r="J197" s="165"/>
    </row>
    <row r="198" spans="1:10">
      <c r="A198">
        <v>196</v>
      </c>
      <c r="B198">
        <v>7</v>
      </c>
      <c r="D198" s="167"/>
      <c r="E198" s="165"/>
      <c r="F198" s="167"/>
      <c r="G198" s="165"/>
      <c r="H198" s="166"/>
      <c r="I198" s="167"/>
      <c r="J198" s="165"/>
    </row>
    <row r="199" spans="1:10">
      <c r="A199">
        <v>197</v>
      </c>
      <c r="B199">
        <v>7</v>
      </c>
      <c r="D199" s="167"/>
      <c r="E199" s="165"/>
      <c r="F199" s="167"/>
      <c r="G199" s="165"/>
      <c r="H199" s="166"/>
      <c r="I199" s="165"/>
      <c r="J199" s="167"/>
    </row>
    <row r="200" spans="1:10">
      <c r="A200">
        <v>198</v>
      </c>
      <c r="B200">
        <v>7</v>
      </c>
      <c r="D200" s="167"/>
      <c r="E200" s="165"/>
      <c r="F200" s="165"/>
      <c r="G200" s="167"/>
      <c r="H200" s="166"/>
      <c r="I200" s="167"/>
      <c r="J200" s="165"/>
    </row>
    <row r="201" spans="1:10">
      <c r="A201">
        <v>199</v>
      </c>
      <c r="B201">
        <v>7</v>
      </c>
      <c r="D201" s="167"/>
      <c r="E201" s="165"/>
      <c r="F201" s="165"/>
      <c r="G201" s="167"/>
      <c r="H201" s="166"/>
      <c r="I201" s="165"/>
      <c r="J201" s="167"/>
    </row>
    <row r="202" spans="1:10">
      <c r="A202">
        <v>200</v>
      </c>
      <c r="B202">
        <v>7</v>
      </c>
      <c r="D202" s="167"/>
      <c r="H202" s="166"/>
      <c r="I202" s="167"/>
      <c r="J202" s="167"/>
    </row>
    <row r="203" spans="1:10">
      <c r="A203">
        <v>201</v>
      </c>
      <c r="B203">
        <v>7</v>
      </c>
      <c r="E203" s="167"/>
      <c r="F203" s="167"/>
      <c r="G203" s="167"/>
      <c r="H203" s="166"/>
    </row>
    <row r="204" spans="1:10">
      <c r="A204">
        <v>202</v>
      </c>
      <c r="B204">
        <v>7</v>
      </c>
      <c r="E204" s="167"/>
      <c r="F204" s="167"/>
      <c r="H204" s="166"/>
      <c r="I204" s="167"/>
    </row>
    <row r="205" spans="1:10">
      <c r="A205">
        <v>203</v>
      </c>
      <c r="B205">
        <v>7</v>
      </c>
      <c r="E205" s="167"/>
      <c r="F205" s="167"/>
      <c r="H205" s="166"/>
      <c r="J205" s="167"/>
    </row>
    <row r="206" spans="1:10">
      <c r="A206">
        <v>204</v>
      </c>
      <c r="B206">
        <v>7</v>
      </c>
      <c r="E206" s="167"/>
      <c r="G206" s="167"/>
      <c r="H206" s="166"/>
      <c r="I206" s="167"/>
    </row>
    <row r="207" spans="1:10">
      <c r="A207">
        <v>205</v>
      </c>
      <c r="B207">
        <v>7</v>
      </c>
      <c r="E207" s="167"/>
      <c r="G207" s="167"/>
      <c r="H207" s="166"/>
      <c r="J207" s="167"/>
    </row>
    <row r="208" spans="1:10">
      <c r="A208">
        <v>206</v>
      </c>
      <c r="B208">
        <v>7</v>
      </c>
      <c r="E208" s="167"/>
      <c r="H208" s="166"/>
      <c r="I208" s="167"/>
      <c r="J208" s="167"/>
    </row>
    <row r="209" spans="1:10">
      <c r="A209">
        <v>207</v>
      </c>
      <c r="B209">
        <v>7</v>
      </c>
      <c r="F209" s="167"/>
      <c r="G209" s="167"/>
      <c r="H209" s="166"/>
      <c r="I209" s="167"/>
    </row>
    <row r="210" spans="1:10">
      <c r="A210">
        <v>208</v>
      </c>
      <c r="B210">
        <v>7</v>
      </c>
      <c r="F210" s="167"/>
      <c r="G210" s="167"/>
      <c r="H210" s="166"/>
      <c r="J210" s="167"/>
    </row>
    <row r="211" spans="1:10">
      <c r="A211">
        <v>209</v>
      </c>
      <c r="B211">
        <v>7</v>
      </c>
      <c r="F211" s="167"/>
      <c r="H211" s="166"/>
      <c r="I211" s="167"/>
      <c r="J211" s="167"/>
    </row>
    <row r="212" spans="1:10">
      <c r="A212">
        <v>210</v>
      </c>
      <c r="B212">
        <v>7</v>
      </c>
      <c r="G212" s="167"/>
      <c r="H212" s="166"/>
      <c r="I212" s="167"/>
      <c r="J212" s="167"/>
    </row>
    <row r="213" spans="1:10">
      <c r="A213">
        <v>211</v>
      </c>
      <c r="B213">
        <v>8</v>
      </c>
      <c r="C213" s="167"/>
      <c r="D213" s="167"/>
      <c r="E213" s="167"/>
      <c r="F213" s="165"/>
      <c r="I213" s="166"/>
      <c r="J213" s="165"/>
    </row>
    <row r="214" spans="1:10">
      <c r="A214">
        <v>212</v>
      </c>
      <c r="B214">
        <v>8</v>
      </c>
      <c r="C214" s="167"/>
      <c r="D214" s="167"/>
      <c r="E214" s="165"/>
      <c r="F214" s="167"/>
      <c r="I214" s="166"/>
      <c r="J214" s="165"/>
    </row>
    <row r="215" spans="1:10">
      <c r="A215">
        <v>213</v>
      </c>
      <c r="B215">
        <v>8</v>
      </c>
      <c r="C215" s="167"/>
      <c r="D215" s="167"/>
      <c r="E215" s="165"/>
      <c r="F215" s="165"/>
      <c r="G215" s="167"/>
      <c r="I215" s="166"/>
      <c r="J215" s="165"/>
    </row>
    <row r="216" spans="1:10">
      <c r="A216">
        <v>214</v>
      </c>
      <c r="B216">
        <v>8</v>
      </c>
      <c r="C216" s="167"/>
      <c r="D216" s="167"/>
      <c r="E216" s="165"/>
      <c r="F216" s="165"/>
      <c r="G216" s="165"/>
      <c r="H216" s="167"/>
      <c r="I216" s="166"/>
      <c r="J216" s="165"/>
    </row>
    <row r="217" spans="1:10">
      <c r="A217">
        <v>215</v>
      </c>
      <c r="B217">
        <v>8</v>
      </c>
      <c r="C217" s="167"/>
      <c r="D217" s="167"/>
      <c r="E217" s="165"/>
      <c r="F217" s="165"/>
      <c r="G217" s="165"/>
      <c r="H217" s="165"/>
      <c r="I217" s="166"/>
      <c r="J217" s="167"/>
    </row>
    <row r="218" spans="1:10">
      <c r="A218">
        <v>216</v>
      </c>
      <c r="B218">
        <v>8</v>
      </c>
      <c r="C218" s="167"/>
      <c r="D218" s="165"/>
      <c r="E218" s="167"/>
      <c r="F218" s="167"/>
      <c r="G218" s="165"/>
      <c r="H218" s="165"/>
      <c r="I218" s="166"/>
      <c r="J218" s="165"/>
    </row>
    <row r="219" spans="1:10">
      <c r="A219">
        <v>217</v>
      </c>
      <c r="B219">
        <v>8</v>
      </c>
      <c r="C219" s="167"/>
      <c r="D219" s="165"/>
      <c r="E219" s="167"/>
      <c r="F219" s="165"/>
      <c r="G219" s="167"/>
      <c r="H219" s="165"/>
      <c r="I219" s="166"/>
      <c r="J219" s="165"/>
    </row>
    <row r="220" spans="1:10">
      <c r="A220">
        <v>218</v>
      </c>
      <c r="B220">
        <v>8</v>
      </c>
      <c r="C220" s="167"/>
      <c r="D220" s="165"/>
      <c r="E220" s="167"/>
      <c r="F220" s="165"/>
      <c r="G220" s="165"/>
      <c r="H220" s="167"/>
      <c r="I220" s="166"/>
      <c r="J220" s="165"/>
    </row>
    <row r="221" spans="1:10">
      <c r="A221">
        <v>219</v>
      </c>
      <c r="B221">
        <v>8</v>
      </c>
      <c r="C221" s="167"/>
      <c r="D221" s="165"/>
      <c r="E221" s="167"/>
      <c r="F221" s="165"/>
      <c r="G221" s="165"/>
      <c r="H221" s="165"/>
      <c r="I221" s="166"/>
      <c r="J221" s="167"/>
    </row>
    <row r="222" spans="1:10">
      <c r="A222">
        <v>220</v>
      </c>
      <c r="B222">
        <v>8</v>
      </c>
      <c r="C222" s="167"/>
      <c r="D222" s="165"/>
      <c r="E222" s="165"/>
      <c r="F222" s="167"/>
      <c r="G222" s="167"/>
      <c r="H222" s="165"/>
      <c r="I222" s="166"/>
      <c r="J222" s="165"/>
    </row>
    <row r="223" spans="1:10">
      <c r="A223">
        <v>221</v>
      </c>
      <c r="B223">
        <v>8</v>
      </c>
      <c r="C223" s="167"/>
      <c r="D223" s="165"/>
      <c r="E223" s="165"/>
      <c r="F223" s="167"/>
      <c r="G223" s="165"/>
      <c r="H223" s="167"/>
      <c r="I223" s="166"/>
      <c r="J223" s="165"/>
    </row>
    <row r="224" spans="1:10">
      <c r="A224">
        <v>222</v>
      </c>
      <c r="B224">
        <v>8</v>
      </c>
      <c r="C224" s="167"/>
      <c r="D224" s="165"/>
      <c r="E224" s="165"/>
      <c r="F224" s="167"/>
      <c r="G224" s="165"/>
      <c r="H224" s="165"/>
      <c r="I224" s="166"/>
      <c r="J224" s="167"/>
    </row>
    <row r="225" spans="1:10">
      <c r="A225">
        <v>223</v>
      </c>
      <c r="B225">
        <v>8</v>
      </c>
      <c r="C225" s="167"/>
      <c r="D225" s="165"/>
      <c r="E225" s="165"/>
      <c r="F225" s="165"/>
      <c r="G225" s="167"/>
      <c r="H225" s="167"/>
      <c r="I225" s="166"/>
      <c r="J225" s="165"/>
    </row>
    <row r="226" spans="1:10">
      <c r="A226">
        <v>224</v>
      </c>
      <c r="B226">
        <v>8</v>
      </c>
      <c r="C226" s="167"/>
      <c r="D226" s="165"/>
      <c r="E226" s="165"/>
      <c r="F226" s="165"/>
      <c r="G226" s="167"/>
      <c r="H226" s="165"/>
      <c r="I226" s="166"/>
      <c r="J226" s="167"/>
    </row>
    <row r="227" spans="1:10">
      <c r="A227">
        <v>225</v>
      </c>
      <c r="B227">
        <v>8</v>
      </c>
      <c r="C227" s="167"/>
      <c r="D227" s="165"/>
      <c r="E227" s="165"/>
      <c r="F227" s="165"/>
      <c r="G227" s="165"/>
      <c r="H227" s="167"/>
      <c r="I227" s="166"/>
      <c r="J227" s="167"/>
    </row>
    <row r="228" spans="1:10">
      <c r="A228">
        <v>226</v>
      </c>
      <c r="B228">
        <v>8</v>
      </c>
      <c r="D228" s="167"/>
      <c r="E228" s="167"/>
      <c r="F228" s="167"/>
      <c r="G228" s="165"/>
      <c r="H228" s="165"/>
      <c r="I228" s="166"/>
      <c r="J228" s="165"/>
    </row>
    <row r="229" spans="1:10">
      <c r="A229">
        <v>227</v>
      </c>
      <c r="B229">
        <v>8</v>
      </c>
      <c r="D229" s="167"/>
      <c r="E229" s="167"/>
      <c r="F229" s="165"/>
      <c r="G229" s="167"/>
      <c r="H229" s="165"/>
      <c r="I229" s="166"/>
      <c r="J229" s="165"/>
    </row>
    <row r="230" spans="1:10">
      <c r="A230">
        <v>228</v>
      </c>
      <c r="B230">
        <v>8</v>
      </c>
      <c r="D230" s="167"/>
      <c r="E230" s="167"/>
      <c r="F230" s="165"/>
      <c r="G230" s="165"/>
      <c r="H230" s="167"/>
      <c r="I230" s="166"/>
      <c r="J230" s="165"/>
    </row>
    <row r="231" spans="1:10">
      <c r="A231">
        <v>229</v>
      </c>
      <c r="B231">
        <v>8</v>
      </c>
      <c r="D231" s="167"/>
      <c r="E231" s="167"/>
      <c r="F231" s="165"/>
      <c r="G231" s="165"/>
      <c r="H231" s="165"/>
      <c r="I231" s="166"/>
      <c r="J231" s="167"/>
    </row>
    <row r="232" spans="1:10">
      <c r="A232">
        <v>230</v>
      </c>
      <c r="B232">
        <v>8</v>
      </c>
      <c r="D232" s="167"/>
      <c r="E232" s="165"/>
      <c r="F232" s="167"/>
      <c r="G232" s="167"/>
      <c r="H232" s="165"/>
      <c r="I232" s="166"/>
      <c r="J232" s="165"/>
    </row>
    <row r="233" spans="1:10">
      <c r="A233">
        <v>231</v>
      </c>
      <c r="B233">
        <v>8</v>
      </c>
      <c r="D233" s="167"/>
      <c r="E233" s="165"/>
      <c r="F233" s="167"/>
      <c r="G233" s="165"/>
      <c r="H233" s="167"/>
      <c r="I233" s="166"/>
      <c r="J233" s="165"/>
    </row>
    <row r="234" spans="1:10">
      <c r="A234">
        <v>232</v>
      </c>
      <c r="B234">
        <v>8</v>
      </c>
      <c r="D234" s="167"/>
      <c r="E234" s="165"/>
      <c r="F234" s="167"/>
      <c r="G234" s="165"/>
      <c r="H234" s="165"/>
      <c r="I234" s="166"/>
      <c r="J234" s="167"/>
    </row>
    <row r="235" spans="1:10">
      <c r="A235">
        <v>233</v>
      </c>
      <c r="B235">
        <v>8</v>
      </c>
      <c r="D235" s="167"/>
      <c r="E235" s="165"/>
      <c r="F235" s="165"/>
      <c r="G235" s="167"/>
      <c r="H235" s="167"/>
      <c r="I235" s="166"/>
      <c r="J235" s="165"/>
    </row>
    <row r="236" spans="1:10">
      <c r="A236">
        <v>234</v>
      </c>
      <c r="B236">
        <v>8</v>
      </c>
      <c r="D236" s="167"/>
      <c r="E236" s="165"/>
      <c r="F236" s="165"/>
      <c r="G236" s="167"/>
      <c r="H236" s="165"/>
      <c r="I236" s="166"/>
      <c r="J236" s="167"/>
    </row>
    <row r="237" spans="1:10">
      <c r="A237">
        <v>235</v>
      </c>
      <c r="B237">
        <v>8</v>
      </c>
      <c r="D237" s="167"/>
      <c r="H237" s="167"/>
      <c r="I237" s="166"/>
      <c r="J237" s="167"/>
    </row>
    <row r="238" spans="1:10">
      <c r="A238">
        <v>236</v>
      </c>
      <c r="B238">
        <v>8</v>
      </c>
      <c r="E238" s="167"/>
      <c r="F238" s="167"/>
      <c r="G238" s="167"/>
      <c r="I238" s="166"/>
    </row>
    <row r="239" spans="1:10">
      <c r="A239">
        <v>237</v>
      </c>
      <c r="B239">
        <v>8</v>
      </c>
      <c r="E239" s="167"/>
      <c r="F239" s="167"/>
      <c r="H239" s="167"/>
      <c r="I239" s="166"/>
    </row>
    <row r="240" spans="1:10">
      <c r="A240">
        <v>238</v>
      </c>
      <c r="B240">
        <v>8</v>
      </c>
      <c r="E240" s="167"/>
      <c r="F240" s="167"/>
      <c r="I240" s="166"/>
      <c r="J240" s="167"/>
    </row>
    <row r="241" spans="1:10">
      <c r="A241">
        <v>239</v>
      </c>
      <c r="B241">
        <v>8</v>
      </c>
      <c r="E241" s="167"/>
      <c r="G241" s="167"/>
      <c r="H241" s="167"/>
      <c r="I241" s="166"/>
    </row>
    <row r="242" spans="1:10">
      <c r="A242">
        <v>240</v>
      </c>
      <c r="B242">
        <v>8</v>
      </c>
      <c r="E242" s="167"/>
      <c r="G242" s="167"/>
      <c r="I242" s="166"/>
      <c r="J242" s="167"/>
    </row>
    <row r="243" spans="1:10">
      <c r="A243">
        <v>241</v>
      </c>
      <c r="B243">
        <v>8</v>
      </c>
      <c r="E243" s="167"/>
      <c r="H243" s="167"/>
      <c r="I243" s="166"/>
      <c r="J243" s="167"/>
    </row>
    <row r="244" spans="1:10">
      <c r="A244">
        <v>242</v>
      </c>
      <c r="B244">
        <v>8</v>
      </c>
      <c r="F244" s="167"/>
      <c r="G244" s="167"/>
      <c r="H244" s="167"/>
      <c r="I244" s="166"/>
    </row>
    <row r="245" spans="1:10">
      <c r="A245">
        <v>243</v>
      </c>
      <c r="B245">
        <v>8</v>
      </c>
      <c r="F245" s="167"/>
      <c r="G245" s="167"/>
      <c r="I245" s="166"/>
      <c r="J245" s="167"/>
    </row>
    <row r="246" spans="1:10">
      <c r="A246">
        <v>244</v>
      </c>
      <c r="B246">
        <v>8</v>
      </c>
      <c r="F246" s="167"/>
      <c r="H246" s="167"/>
      <c r="I246" s="166"/>
      <c r="J246" s="167"/>
    </row>
    <row r="247" spans="1:10">
      <c r="A247">
        <v>245</v>
      </c>
      <c r="B247">
        <v>8</v>
      </c>
      <c r="G247" s="167"/>
      <c r="H247" s="167"/>
      <c r="I247" s="166"/>
      <c r="J247" s="167"/>
    </row>
    <row r="248" spans="1:10">
      <c r="A248">
        <v>246</v>
      </c>
      <c r="B248">
        <v>8</v>
      </c>
      <c r="C248" s="167">
        <v>1</v>
      </c>
      <c r="D248" s="167">
        <v>1</v>
      </c>
      <c r="E248" s="167">
        <v>1</v>
      </c>
      <c r="F248" s="165"/>
      <c r="I248" s="165"/>
      <c r="J248" s="166"/>
    </row>
    <row r="249" spans="1:10">
      <c r="A249">
        <v>247</v>
      </c>
      <c r="B249">
        <v>8</v>
      </c>
      <c r="C249" s="167"/>
      <c r="D249" s="167"/>
      <c r="E249" s="165"/>
      <c r="F249" s="167">
        <v>2</v>
      </c>
      <c r="I249" s="165"/>
      <c r="J249" s="166"/>
    </row>
    <row r="250" spans="1:10">
      <c r="A250">
        <v>248</v>
      </c>
      <c r="B250">
        <v>8</v>
      </c>
      <c r="C250" s="167"/>
      <c r="D250" s="167"/>
      <c r="E250" s="165"/>
      <c r="F250" s="165"/>
      <c r="G250" s="167">
        <v>3</v>
      </c>
      <c r="I250" s="165"/>
      <c r="J250" s="166"/>
    </row>
    <row r="251" spans="1:10">
      <c r="A251">
        <v>249</v>
      </c>
      <c r="B251">
        <v>8</v>
      </c>
      <c r="C251" s="167"/>
      <c r="D251" s="167"/>
      <c r="E251" s="165"/>
      <c r="F251" s="165"/>
      <c r="G251" s="165"/>
      <c r="H251" s="167">
        <v>4</v>
      </c>
      <c r="I251" s="165"/>
      <c r="J251" s="166"/>
    </row>
    <row r="252" spans="1:10">
      <c r="A252">
        <v>250</v>
      </c>
      <c r="B252">
        <v>8</v>
      </c>
      <c r="C252" s="167"/>
      <c r="D252" s="167"/>
      <c r="E252" s="165"/>
      <c r="F252" s="165"/>
      <c r="G252" s="165"/>
      <c r="H252" s="165"/>
      <c r="I252" s="167">
        <v>5</v>
      </c>
      <c r="J252" s="166"/>
    </row>
    <row r="253" spans="1:10">
      <c r="A253">
        <v>251</v>
      </c>
      <c r="B253">
        <v>8</v>
      </c>
      <c r="C253" s="167"/>
      <c r="D253" s="165"/>
      <c r="E253" s="167">
        <v>2</v>
      </c>
      <c r="F253" s="167">
        <v>1</v>
      </c>
      <c r="G253" s="165"/>
      <c r="H253" s="165"/>
      <c r="I253" s="165"/>
      <c r="J253" s="166"/>
    </row>
    <row r="254" spans="1:10">
      <c r="A254">
        <v>252</v>
      </c>
      <c r="B254">
        <v>8</v>
      </c>
      <c r="C254" s="167"/>
      <c r="D254" s="165"/>
      <c r="E254" s="167"/>
      <c r="F254" s="165"/>
      <c r="G254" s="167">
        <v>2</v>
      </c>
      <c r="H254" s="165"/>
      <c r="I254" s="165"/>
      <c r="J254" s="166"/>
    </row>
    <row r="255" spans="1:10">
      <c r="A255">
        <v>253</v>
      </c>
      <c r="B255">
        <v>8</v>
      </c>
      <c r="C255" s="167"/>
      <c r="D255" s="165"/>
      <c r="E255" s="167"/>
      <c r="F255" s="165"/>
      <c r="G255" s="165"/>
      <c r="H255" s="167">
        <v>3</v>
      </c>
      <c r="I255" s="165"/>
      <c r="J255" s="166"/>
    </row>
    <row r="256" spans="1:10">
      <c r="A256">
        <v>254</v>
      </c>
      <c r="B256">
        <v>8</v>
      </c>
      <c r="C256" s="167"/>
      <c r="D256" s="165"/>
      <c r="E256" s="167"/>
      <c r="F256" s="165"/>
      <c r="G256" s="165"/>
      <c r="H256" s="165"/>
      <c r="I256" s="167">
        <v>4</v>
      </c>
      <c r="J256" s="166"/>
    </row>
    <row r="257" spans="1:10">
      <c r="A257">
        <v>255</v>
      </c>
      <c r="B257">
        <v>8</v>
      </c>
      <c r="C257" s="167"/>
      <c r="D257" s="165"/>
      <c r="E257" s="165"/>
      <c r="F257" s="167">
        <v>3</v>
      </c>
      <c r="G257" s="167">
        <v>1</v>
      </c>
      <c r="H257" s="165"/>
      <c r="I257" s="165"/>
      <c r="J257" s="166"/>
    </row>
    <row r="258" spans="1:10">
      <c r="A258">
        <v>256</v>
      </c>
      <c r="B258">
        <v>8</v>
      </c>
      <c r="C258" s="167"/>
      <c r="D258" s="165"/>
      <c r="E258" s="165"/>
      <c r="F258" s="167"/>
      <c r="G258" s="165"/>
      <c r="H258" s="167">
        <v>2</v>
      </c>
      <c r="I258" s="165"/>
      <c r="J258" s="166"/>
    </row>
    <row r="259" spans="1:10">
      <c r="A259">
        <v>257</v>
      </c>
      <c r="B259">
        <v>8</v>
      </c>
      <c r="C259" s="167"/>
      <c r="D259" s="165"/>
      <c r="E259" s="165"/>
      <c r="F259" s="167"/>
      <c r="G259" s="165"/>
      <c r="H259" s="165"/>
      <c r="I259" s="167">
        <v>3</v>
      </c>
      <c r="J259" s="166"/>
    </row>
    <row r="260" spans="1:10">
      <c r="A260">
        <v>258</v>
      </c>
      <c r="B260">
        <v>8</v>
      </c>
      <c r="C260" s="167"/>
      <c r="D260" s="165"/>
      <c r="E260" s="165"/>
      <c r="F260" s="165"/>
      <c r="G260" s="167">
        <v>4</v>
      </c>
      <c r="H260" s="167">
        <v>1</v>
      </c>
      <c r="I260" s="165"/>
      <c r="J260" s="166"/>
    </row>
    <row r="261" spans="1:10">
      <c r="A261">
        <v>259</v>
      </c>
      <c r="B261">
        <v>8</v>
      </c>
      <c r="C261" s="167"/>
      <c r="D261" s="165"/>
      <c r="E261" s="165"/>
      <c r="F261" s="165"/>
      <c r="G261" s="167"/>
      <c r="H261" s="165"/>
      <c r="I261" s="167">
        <v>2</v>
      </c>
      <c r="J261" s="166"/>
    </row>
    <row r="262" spans="1:10">
      <c r="A262">
        <v>260</v>
      </c>
      <c r="B262">
        <v>8</v>
      </c>
      <c r="C262" s="167"/>
      <c r="D262" s="165"/>
      <c r="E262" s="165"/>
      <c r="F262" s="165"/>
      <c r="G262" s="165"/>
      <c r="H262" s="167">
        <v>5</v>
      </c>
      <c r="I262" s="167">
        <v>1</v>
      </c>
      <c r="J262" s="166"/>
    </row>
    <row r="263" spans="1:10">
      <c r="A263">
        <v>261</v>
      </c>
      <c r="B263">
        <v>8</v>
      </c>
      <c r="D263" s="167">
        <v>2</v>
      </c>
      <c r="E263" s="167"/>
      <c r="F263" s="167"/>
      <c r="G263" s="165"/>
      <c r="H263" s="165"/>
      <c r="I263" s="165"/>
      <c r="J263" s="166"/>
    </row>
    <row r="264" spans="1:10">
      <c r="A264">
        <v>262</v>
      </c>
      <c r="B264">
        <v>8</v>
      </c>
      <c r="D264" s="167"/>
      <c r="E264" s="167"/>
      <c r="F264" s="165"/>
      <c r="G264" s="167"/>
      <c r="H264" s="165"/>
      <c r="I264" s="165"/>
      <c r="J264" s="166"/>
    </row>
    <row r="265" spans="1:10">
      <c r="A265">
        <v>263</v>
      </c>
      <c r="B265">
        <v>8</v>
      </c>
      <c r="D265" s="167"/>
      <c r="E265" s="167"/>
      <c r="F265" s="165"/>
      <c r="G265" s="165"/>
      <c r="H265" s="167"/>
      <c r="I265" s="165"/>
      <c r="J265" s="166"/>
    </row>
    <row r="266" spans="1:10">
      <c r="A266">
        <v>264</v>
      </c>
      <c r="B266">
        <v>8</v>
      </c>
      <c r="D266" s="167"/>
      <c r="E266" s="167"/>
      <c r="F266" s="165"/>
      <c r="G266" s="165"/>
      <c r="H266" s="165"/>
      <c r="I266" s="167"/>
      <c r="J266" s="166"/>
    </row>
    <row r="267" spans="1:10">
      <c r="A267">
        <v>265</v>
      </c>
      <c r="B267">
        <v>8</v>
      </c>
      <c r="D267" s="167"/>
      <c r="E267" s="165"/>
      <c r="F267" s="167"/>
      <c r="G267" s="167"/>
      <c r="H267" s="165"/>
      <c r="I267" s="165"/>
      <c r="J267" s="166"/>
    </row>
    <row r="268" spans="1:10">
      <c r="A268">
        <v>266</v>
      </c>
      <c r="B268">
        <v>8</v>
      </c>
      <c r="D268" s="167"/>
      <c r="E268" s="165"/>
      <c r="F268" s="167"/>
      <c r="G268" s="165"/>
      <c r="H268" s="167"/>
      <c r="I268" s="165"/>
      <c r="J268" s="166"/>
    </row>
    <row r="269" spans="1:10">
      <c r="A269">
        <v>267</v>
      </c>
      <c r="B269">
        <v>8</v>
      </c>
      <c r="D269" s="167"/>
      <c r="E269" s="165"/>
      <c r="F269" s="167"/>
      <c r="G269" s="165"/>
      <c r="H269" s="165"/>
      <c r="I269" s="167"/>
      <c r="J269" s="166"/>
    </row>
    <row r="270" spans="1:10">
      <c r="A270">
        <v>268</v>
      </c>
      <c r="B270">
        <v>8</v>
      </c>
      <c r="D270" s="167"/>
      <c r="E270" s="165"/>
      <c r="F270" s="165"/>
      <c r="G270" s="167"/>
      <c r="H270" s="167"/>
      <c r="I270" s="165"/>
      <c r="J270" s="166"/>
    </row>
    <row r="271" spans="1:10">
      <c r="A271">
        <v>269</v>
      </c>
      <c r="B271">
        <v>8</v>
      </c>
      <c r="D271" s="167"/>
      <c r="E271" s="165"/>
      <c r="F271" s="165"/>
      <c r="G271" s="167"/>
      <c r="H271" s="165"/>
      <c r="I271" s="167"/>
      <c r="J271" s="166"/>
    </row>
    <row r="272" spans="1:10">
      <c r="A272">
        <v>270</v>
      </c>
      <c r="B272">
        <v>8</v>
      </c>
      <c r="D272" s="167"/>
      <c r="H272" s="167"/>
      <c r="I272" s="167"/>
      <c r="J272" s="166"/>
    </row>
    <row r="273" spans="1:10">
      <c r="A273">
        <v>271</v>
      </c>
      <c r="B273">
        <v>8</v>
      </c>
      <c r="E273" s="167">
        <v>3</v>
      </c>
      <c r="F273" s="167"/>
      <c r="G273" s="167"/>
      <c r="J273" s="166"/>
    </row>
    <row r="274" spans="1:10">
      <c r="A274">
        <v>272</v>
      </c>
      <c r="B274">
        <v>8</v>
      </c>
      <c r="E274" s="167"/>
      <c r="F274" s="167"/>
      <c r="H274" s="167"/>
      <c r="J274" s="166"/>
    </row>
    <row r="275" spans="1:10">
      <c r="A275">
        <v>273</v>
      </c>
      <c r="B275">
        <v>8</v>
      </c>
      <c r="E275" s="167"/>
      <c r="F275" s="167"/>
      <c r="I275" s="167"/>
      <c r="J275" s="166"/>
    </row>
    <row r="276" spans="1:10">
      <c r="A276">
        <v>274</v>
      </c>
      <c r="B276">
        <v>8</v>
      </c>
      <c r="E276" s="167"/>
      <c r="G276" s="167"/>
      <c r="H276" s="167"/>
      <c r="J276" s="166"/>
    </row>
    <row r="277" spans="1:10">
      <c r="A277">
        <v>275</v>
      </c>
      <c r="B277">
        <v>8</v>
      </c>
      <c r="E277" s="167"/>
      <c r="G277" s="167"/>
      <c r="I277" s="167"/>
      <c r="J277" s="166"/>
    </row>
    <row r="278" spans="1:10">
      <c r="A278">
        <v>276</v>
      </c>
      <c r="B278">
        <v>8</v>
      </c>
      <c r="E278" s="167"/>
      <c r="H278" s="167"/>
      <c r="I278" s="167"/>
      <c r="J278" s="166"/>
    </row>
    <row r="279" spans="1:10">
      <c r="A279">
        <v>277</v>
      </c>
      <c r="B279">
        <v>8</v>
      </c>
      <c r="F279" s="167">
        <v>4</v>
      </c>
      <c r="G279" s="167"/>
      <c r="H279" s="167"/>
      <c r="J279" s="166"/>
    </row>
    <row r="280" spans="1:10">
      <c r="A280">
        <v>278</v>
      </c>
      <c r="B280">
        <v>8</v>
      </c>
      <c r="F280" s="167"/>
      <c r="G280" s="167"/>
      <c r="I280" s="167"/>
      <c r="J280" s="166"/>
    </row>
    <row r="281" spans="1:10">
      <c r="A281">
        <v>279</v>
      </c>
      <c r="B281">
        <v>8</v>
      </c>
      <c r="F281" s="167"/>
      <c r="H281" s="167"/>
      <c r="I281" s="167"/>
      <c r="J281" s="166"/>
    </row>
    <row r="282" spans="1:10">
      <c r="A282">
        <v>280</v>
      </c>
      <c r="B282">
        <v>8</v>
      </c>
      <c r="G282" s="167">
        <v>5</v>
      </c>
      <c r="H282" s="167"/>
      <c r="I282" s="167"/>
      <c r="J282" s="166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2:AD1131"/>
  <sheetViews>
    <sheetView workbookViewId="0">
      <selection activeCell="H18" sqref="H18"/>
    </sheetView>
  </sheetViews>
  <sheetFormatPr baseColWidth="10" defaultRowHeight="15"/>
  <cols>
    <col min="17" max="17" width="11.42578125" style="170"/>
    <col min="19" max="19" width="11.42578125" style="170"/>
    <col min="21" max="21" width="11.42578125" style="170"/>
    <col min="23" max="23" width="11.42578125" style="170"/>
    <col min="25" max="25" width="11.42578125" style="170"/>
    <col min="27" max="27" width="11.42578125" style="170"/>
    <col min="29" max="29" width="11.42578125" style="170"/>
  </cols>
  <sheetData>
    <row r="2" spans="1:30">
      <c r="C2" t="s">
        <v>56</v>
      </c>
      <c r="D2" t="s">
        <v>57</v>
      </c>
      <c r="E2" t="s">
        <v>58</v>
      </c>
    </row>
    <row r="3" spans="1:30">
      <c r="B3">
        <v>0</v>
      </c>
      <c r="C3" s="35">
        <v>0.47920829337661575</v>
      </c>
      <c r="D3" s="35">
        <v>-1.0120183213662168</v>
      </c>
      <c r="E3" s="35">
        <v>0.60667574649490386</v>
      </c>
    </row>
    <row r="4" spans="1:30">
      <c r="B4">
        <v>1</v>
      </c>
      <c r="C4" s="83">
        <v>-0.77466733619029227</v>
      </c>
      <c r="D4" s="83">
        <v>-1.0446104874939868</v>
      </c>
      <c r="E4" s="83">
        <v>1.3460223603321362</v>
      </c>
    </row>
    <row r="5" spans="1:30">
      <c r="B5">
        <v>2</v>
      </c>
      <c r="C5" s="35">
        <v>1.5211206823878374</v>
      </c>
      <c r="D5" s="35">
        <v>-1.0528368537974293</v>
      </c>
      <c r="E5" s="35">
        <v>1.3791595783414641</v>
      </c>
    </row>
    <row r="6" spans="1:30">
      <c r="B6">
        <v>3</v>
      </c>
      <c r="C6" s="35">
        <v>-0.92363888275861272</v>
      </c>
      <c r="D6" s="35">
        <v>-0.1973528620206508</v>
      </c>
      <c r="E6" s="35">
        <v>1.3262629215252844</v>
      </c>
    </row>
    <row r="7" spans="1:30">
      <c r="B7">
        <v>4</v>
      </c>
      <c r="C7" s="35">
        <v>1.921310887304841</v>
      </c>
      <c r="D7" s="35">
        <v>3.1169393503572059E-2</v>
      </c>
      <c r="E7" s="35">
        <v>1.396000084565695</v>
      </c>
    </row>
    <row r="8" spans="1:30">
      <c r="B8">
        <v>5</v>
      </c>
      <c r="C8" s="35">
        <v>-0.55595022326781895</v>
      </c>
      <c r="D8" s="35">
        <v>1.0917266627558933</v>
      </c>
      <c r="E8" s="35">
        <v>1.4358127591862397</v>
      </c>
    </row>
    <row r="9" spans="1:30">
      <c r="B9">
        <v>6</v>
      </c>
      <c r="C9" s="83">
        <v>1.0628801501210983</v>
      </c>
      <c r="D9" s="83">
        <v>1.0721321685048839</v>
      </c>
      <c r="E9" s="83">
        <v>1.3583899668915187</v>
      </c>
    </row>
    <row r="10" spans="1:30">
      <c r="B10">
        <v>7</v>
      </c>
      <c r="C10" s="35">
        <v>0.45375044784821961</v>
      </c>
      <c r="D10" s="35">
        <v>1.354747525895555</v>
      </c>
      <c r="E10" s="35">
        <v>0.67035999999957208</v>
      </c>
    </row>
    <row r="11" spans="1:30">
      <c r="J11" t="s">
        <v>494</v>
      </c>
    </row>
    <row r="12" spans="1:30">
      <c r="A12" s="171"/>
      <c r="B12" s="172">
        <v>-1.253875629566908</v>
      </c>
      <c r="C12" s="172">
        <v>-3.2592166127769939E-2</v>
      </c>
      <c r="D12" s="172">
        <v>0.73934661383723232</v>
      </c>
      <c r="E12" s="171"/>
      <c r="F12" s="173"/>
      <c r="G12" s="35"/>
      <c r="H12" s="35"/>
    </row>
    <row r="13" spans="1:30">
      <c r="A13" s="171" t="s">
        <v>214</v>
      </c>
      <c r="B13" s="172">
        <v>1.0419123890112216</v>
      </c>
      <c r="C13" s="172">
        <v>-4.0818532431212473E-2</v>
      </c>
      <c r="D13" s="172">
        <v>0.77248383184656022</v>
      </c>
      <c r="E13" s="171"/>
      <c r="F13" s="173">
        <f>MCond(B12:D14)</f>
        <v>4.136985868324337</v>
      </c>
      <c r="G13" s="35"/>
      <c r="H13" s="35"/>
      <c r="J13" s="170">
        <v>1</v>
      </c>
      <c r="K13" s="35">
        <f ca="1">MCond(OFFSET($B$12,(ROW(A1)-1)*4,0,3,3))</f>
        <v>4.136985868324337</v>
      </c>
      <c r="L13">
        <f ca="1">MAX(K:K)</f>
        <v>2149.1679832149403</v>
      </c>
      <c r="M13">
        <f ca="1">K13/$L$13</f>
        <v>1.9249243896402272E-3</v>
      </c>
      <c r="N13" s="170">
        <v>1</v>
      </c>
      <c r="O13" s="170">
        <v>1</v>
      </c>
      <c r="P13" s="35">
        <f t="shared" ref="P13" ca="1" si="0">OFFSET($M13,(COLUMN(A1)-1)*35,0,1,1)</f>
        <v>1.9249243896402272E-3</v>
      </c>
      <c r="Q13" s="170">
        <v>2</v>
      </c>
      <c r="R13" s="35">
        <f t="shared" ref="R13:R47" ca="1" si="1">OFFSET($M13,(COLUMN(B1)-1)*35,0,1,1)</f>
        <v>1.8829989567831068E-3</v>
      </c>
      <c r="S13" s="170">
        <v>3</v>
      </c>
      <c r="T13" s="35">
        <f t="shared" ref="T13:T47" ca="1" si="2">OFFSET($M13,(COLUMN(C1)-1)*35,0,1,1)</f>
        <v>3.0452654993958785E-3</v>
      </c>
      <c r="U13" s="170">
        <v>4</v>
      </c>
      <c r="V13" s="35">
        <f t="shared" ref="V13:V47" ca="1" si="3">OFFSET($M13,(COLUMN(D1)-1)*35,0,1,1)</f>
        <v>2.4300855619816221E-3</v>
      </c>
      <c r="W13" s="170">
        <v>5</v>
      </c>
      <c r="X13" s="35">
        <f t="shared" ref="X13:X47" ca="1" si="4">OFFSET($M13,(COLUMN(E1)-1)*35,0,1,1)</f>
        <v>2.7564818175547018E-3</v>
      </c>
      <c r="Y13" s="170">
        <v>6</v>
      </c>
      <c r="Z13" s="35">
        <f t="shared" ref="Z13:Z47" ca="1" si="5">OFFSET($M13,(COLUMN(F1)-1)*35,0,1,1)</f>
        <v>3.1388625181329997E-3</v>
      </c>
      <c r="AA13" s="170">
        <v>7</v>
      </c>
      <c r="AB13" s="35">
        <f t="shared" ref="AB13:AB47" ca="1" si="6">OFFSET($M13,(COLUMN(G1)-1)*35,0,1,1)</f>
        <v>2.9294784207803326E-3</v>
      </c>
      <c r="AC13" s="170">
        <v>8</v>
      </c>
      <c r="AD13" s="35">
        <f t="shared" ref="AD13:AD47" ca="1" si="7">OFFSET($M13,(COLUMN(H1)-1)*35,0,1,1)</f>
        <v>3.2599931819668974E-3</v>
      </c>
    </row>
    <row r="14" spans="1:30">
      <c r="A14" s="171"/>
      <c r="B14" s="172">
        <v>-1.4028471761352286</v>
      </c>
      <c r="C14" s="172">
        <v>0.814665459345566</v>
      </c>
      <c r="D14" s="172">
        <v>0.7195871750303805</v>
      </c>
      <c r="E14" s="171"/>
      <c r="F14" s="173"/>
      <c r="G14" s="35"/>
      <c r="H14" s="35"/>
      <c r="J14" s="170">
        <v>2</v>
      </c>
      <c r="K14" s="35">
        <f ca="1">MCond(OFFSET($B$12,(ROW(A2)-1)*4,0,3,3))</f>
        <v>3.6962112341108457</v>
      </c>
      <c r="L14">
        <f ca="1">MIN(K:K)</f>
        <v>2.2222525155344348</v>
      </c>
      <c r="M14">
        <f t="shared" ref="M14:M77" ca="1" si="8">K14/$L$13</f>
        <v>1.7198335648857394E-3</v>
      </c>
      <c r="N14" s="170">
        <v>2</v>
      </c>
      <c r="O14" s="170">
        <v>1</v>
      </c>
      <c r="P14" s="35">
        <f t="shared" ref="P14:P47" ca="1" si="9">OFFSET($M14,(COLUMN(A2)-1)*35,0,1,1)</f>
        <v>1.7198335648857394E-3</v>
      </c>
      <c r="Q14" s="170">
        <v>2</v>
      </c>
      <c r="R14" s="35">
        <f t="shared" ca="1" si="1"/>
        <v>3.0505873357103688E-3</v>
      </c>
      <c r="S14" s="170">
        <v>3</v>
      </c>
      <c r="T14" s="35">
        <f t="shared" ca="1" si="2"/>
        <v>1.7694890834061042E-3</v>
      </c>
      <c r="U14" s="170">
        <v>4</v>
      </c>
      <c r="V14" s="35">
        <f t="shared" ca="1" si="3"/>
        <v>3.2080562845868835E-3</v>
      </c>
      <c r="W14" s="170">
        <v>5</v>
      </c>
      <c r="X14" s="35">
        <f t="shared" ca="1" si="4"/>
        <v>4.8866902105883557E-3</v>
      </c>
      <c r="Y14" s="170">
        <v>6</v>
      </c>
      <c r="Z14" s="35">
        <f t="shared" ca="1" si="5"/>
        <v>1.1636684085990508E-2</v>
      </c>
      <c r="AA14" s="170">
        <v>7</v>
      </c>
      <c r="AB14" s="35">
        <f t="shared" ca="1" si="6"/>
        <v>6.9592062037014124E-3</v>
      </c>
      <c r="AC14" s="170">
        <v>8</v>
      </c>
      <c r="AD14" s="35">
        <f t="shared" ca="1" si="7"/>
        <v>2.6662170223660259E-2</v>
      </c>
    </row>
    <row r="15" spans="1:30">
      <c r="A15" s="171"/>
      <c r="B15" s="172"/>
      <c r="C15" s="172"/>
      <c r="D15" s="172"/>
      <c r="E15" s="171"/>
      <c r="F15" s="174"/>
      <c r="G15" s="157"/>
      <c r="H15" s="157"/>
      <c r="J15" s="170">
        <v>3</v>
      </c>
      <c r="K15" s="35">
        <f ca="1">MCond(OFFSET($B$12,(ROW(A3)-1)*4,0,3,3))</f>
        <v>2.6538713862709233</v>
      </c>
      <c r="M15">
        <f t="shared" ca="1" si="8"/>
        <v>1.2348366470176972E-3</v>
      </c>
      <c r="N15" s="170">
        <v>3</v>
      </c>
      <c r="O15" s="170">
        <v>1</v>
      </c>
      <c r="P15" s="35">
        <f t="shared" ca="1" si="9"/>
        <v>1.2348366470176972E-3</v>
      </c>
      <c r="Q15" s="170">
        <v>2</v>
      </c>
      <c r="R15" s="35">
        <f t="shared" ca="1" si="1"/>
        <v>1.8760328948182561E-3</v>
      </c>
      <c r="S15" s="170">
        <v>3</v>
      </c>
      <c r="T15" s="35">
        <f t="shared" ca="1" si="2"/>
        <v>2.4868417778225603E-3</v>
      </c>
      <c r="U15" s="170">
        <v>4</v>
      </c>
      <c r="V15" s="35">
        <f t="shared" ca="1" si="3"/>
        <v>4.6237820674826756E-3</v>
      </c>
      <c r="W15" s="170">
        <v>5</v>
      </c>
      <c r="X15" s="35">
        <f t="shared" ca="1" si="4"/>
        <v>3.2693774191351085E-3</v>
      </c>
      <c r="Y15" s="170">
        <v>6</v>
      </c>
      <c r="Z15" s="35">
        <f t="shared" ca="1" si="5"/>
        <v>3.1465766398775753E-3</v>
      </c>
      <c r="AA15" s="170">
        <v>7</v>
      </c>
      <c r="AB15" s="35">
        <f t="shared" ca="1" si="6"/>
        <v>2.9925500543121104E-3</v>
      </c>
      <c r="AC15" s="170">
        <v>8</v>
      </c>
      <c r="AD15" s="35">
        <f t="shared" ca="1" si="7"/>
        <v>2.5222321032469584E-3</v>
      </c>
    </row>
    <row r="16" spans="1:30">
      <c r="A16" s="171"/>
      <c r="B16" s="172">
        <v>-1.253875629566908</v>
      </c>
      <c r="C16" s="172">
        <v>-3.2592166127769939E-2</v>
      </c>
      <c r="D16" s="172">
        <v>0.73934661383723232</v>
      </c>
      <c r="E16" s="171"/>
      <c r="F16" s="173"/>
      <c r="G16" s="157"/>
      <c r="H16" s="157"/>
      <c r="J16" s="170">
        <v>4</v>
      </c>
      <c r="K16" s="35">
        <f ca="1">MCond(OFFSET($B$12,(ROW(A4)-1)*4,0,3,3))</f>
        <v>2.3783411134574881</v>
      </c>
      <c r="M16">
        <f t="shared" ca="1" si="8"/>
        <v>1.1066334190870124E-3</v>
      </c>
      <c r="N16" s="170">
        <v>4</v>
      </c>
      <c r="O16" s="170">
        <v>1</v>
      </c>
      <c r="P16" s="35">
        <f t="shared" ca="1" si="9"/>
        <v>1.1066334190870124E-3</v>
      </c>
      <c r="Q16" s="170">
        <v>2</v>
      </c>
      <c r="R16" s="35">
        <f t="shared" ca="1" si="1"/>
        <v>2.474106773915559E-3</v>
      </c>
      <c r="S16" s="170">
        <v>3</v>
      </c>
      <c r="T16" s="35">
        <f t="shared" ca="1" si="2"/>
        <v>1.8158933526515513E-3</v>
      </c>
      <c r="U16" s="170">
        <v>4</v>
      </c>
      <c r="V16" s="35">
        <f t="shared" ca="1" si="3"/>
        <v>3.5172469335777784E-3</v>
      </c>
      <c r="W16" s="170">
        <v>5</v>
      </c>
      <c r="X16" s="35">
        <f t="shared" ca="1" si="4"/>
        <v>2.6190478714713189E-3</v>
      </c>
      <c r="Y16" s="170">
        <v>6</v>
      </c>
      <c r="Z16" s="35">
        <f t="shared" ca="1" si="5"/>
        <v>3.558686189592698E-3</v>
      </c>
      <c r="AA16" s="170">
        <v>7</v>
      </c>
      <c r="AB16" s="35">
        <f t="shared" ca="1" si="6"/>
        <v>4.1172166027053413E-3</v>
      </c>
      <c r="AC16" s="170">
        <v>8</v>
      </c>
      <c r="AD16" s="35">
        <f t="shared" ca="1" si="7"/>
        <v>1.6979696082484071E-2</v>
      </c>
    </row>
    <row r="17" spans="1:30">
      <c r="A17" s="171" t="s">
        <v>215</v>
      </c>
      <c r="B17" s="172">
        <v>1.0419123890112216</v>
      </c>
      <c r="C17" s="172">
        <v>-4.0818532431212473E-2</v>
      </c>
      <c r="D17" s="172">
        <v>0.77248383184656022</v>
      </c>
      <c r="E17" s="171"/>
      <c r="F17" s="173">
        <f>MCond(B16:D18)</f>
        <v>3.6962112341108457</v>
      </c>
      <c r="G17" s="157"/>
      <c r="H17" s="157"/>
      <c r="J17" s="170">
        <v>5</v>
      </c>
      <c r="K17" s="35">
        <f ca="1">MCond(OFFSET($B$12,(ROW(A5)-1)*4,0,3,3))</f>
        <v>2.2222525155344348</v>
      </c>
      <c r="M17">
        <f t="shared" ca="1" si="8"/>
        <v>1.0340059655132995E-3</v>
      </c>
      <c r="N17" s="170">
        <v>5</v>
      </c>
      <c r="O17" s="170">
        <v>1</v>
      </c>
      <c r="P17" s="35">
        <f t="shared" ca="1" si="9"/>
        <v>1.0340059655132995E-3</v>
      </c>
      <c r="Q17" s="170">
        <v>2</v>
      </c>
      <c r="R17" s="35">
        <f t="shared" ca="1" si="1"/>
        <v>2.4077443462027707E-3</v>
      </c>
      <c r="S17" s="170">
        <v>3</v>
      </c>
      <c r="T17" s="35">
        <f t="shared" ca="1" si="2"/>
        <v>2.2460231781888727E-3</v>
      </c>
      <c r="U17" s="170">
        <v>4</v>
      </c>
      <c r="V17" s="35">
        <f t="shared" ca="1" si="3"/>
        <v>1.2143821443135279E-2</v>
      </c>
      <c r="W17" s="170">
        <v>5</v>
      </c>
      <c r="X17" s="35">
        <f t="shared" ca="1" si="4"/>
        <v>2.2802807977279661E-3</v>
      </c>
      <c r="Y17" s="170">
        <v>6</v>
      </c>
      <c r="Z17" s="35">
        <f t="shared" ca="1" si="5"/>
        <v>1.4299919084666612E-2</v>
      </c>
      <c r="AA17" s="170">
        <v>7</v>
      </c>
      <c r="AB17" s="35">
        <f t="shared" ca="1" si="6"/>
        <v>1.8256623299159431E-3</v>
      </c>
      <c r="AC17" s="170">
        <v>8</v>
      </c>
      <c r="AD17" s="35">
        <f t="shared" ca="1" si="7"/>
        <v>1.9933418649661027E-3</v>
      </c>
    </row>
    <row r="18" spans="1:30">
      <c r="A18" s="171"/>
      <c r="B18" s="172">
        <v>1.4421025939282253</v>
      </c>
      <c r="C18" s="172">
        <v>1.0431877148697888</v>
      </c>
      <c r="D18" s="172">
        <v>0.78932433807079116</v>
      </c>
      <c r="E18" s="171"/>
      <c r="F18" s="173"/>
      <c r="G18" s="157"/>
      <c r="H18" s="157"/>
      <c r="J18" s="170">
        <v>6</v>
      </c>
      <c r="K18" s="35">
        <f ca="1">MCond(OFFSET($B$12,(ROW(A6)-1)*4,0,3,3))</f>
        <v>5.3803548414248699</v>
      </c>
      <c r="M18">
        <f t="shared" ca="1" si="8"/>
        <v>2.5034594240401801E-3</v>
      </c>
      <c r="N18" s="170">
        <v>6</v>
      </c>
      <c r="O18" s="170">
        <v>1</v>
      </c>
      <c r="P18" s="35">
        <f t="shared" ca="1" si="9"/>
        <v>2.5034594240401801E-3</v>
      </c>
      <c r="Q18" s="170">
        <v>2</v>
      </c>
      <c r="R18" s="35">
        <f t="shared" ca="1" si="1"/>
        <v>2.4756637174131991E-3</v>
      </c>
      <c r="S18" s="170">
        <v>3</v>
      </c>
      <c r="T18" s="35">
        <f t="shared" ca="1" si="2"/>
        <v>1.9655624795440604E-3</v>
      </c>
      <c r="U18" s="170">
        <v>4</v>
      </c>
      <c r="V18" s="35">
        <f t="shared" ca="1" si="3"/>
        <v>3.8400751659875116E-3</v>
      </c>
      <c r="W18" s="170">
        <v>5</v>
      </c>
      <c r="X18" s="35">
        <f t="shared" ca="1" si="4"/>
        <v>3.0687526647472756E-3</v>
      </c>
      <c r="Y18" s="170">
        <v>6</v>
      </c>
      <c r="Z18" s="35">
        <f t="shared" ca="1" si="5"/>
        <v>3.4417023008348692E-3</v>
      </c>
      <c r="AA18" s="170">
        <v>7</v>
      </c>
      <c r="AB18" s="35">
        <f t="shared" ca="1" si="6"/>
        <v>2.8094203361647145E-3</v>
      </c>
      <c r="AC18" s="170">
        <v>8</v>
      </c>
      <c r="AD18" s="35">
        <f t="shared" ca="1" si="7"/>
        <v>2.7198676262281179E-3</v>
      </c>
    </row>
    <row r="19" spans="1:30">
      <c r="A19" s="171"/>
      <c r="B19" s="172"/>
      <c r="C19" s="172"/>
      <c r="D19" s="172"/>
      <c r="E19" s="171"/>
      <c r="F19" s="174"/>
      <c r="G19" s="157"/>
      <c r="H19" s="157"/>
      <c r="J19" s="170">
        <v>7</v>
      </c>
      <c r="K19" s="35">
        <f ca="1">MCond(OFFSET($B$12,(ROW(A7)-1)*4,0,3,3))</f>
        <v>24.281240562435144</v>
      </c>
      <c r="M19">
        <f t="shared" ca="1" si="8"/>
        <v>1.1297972402377239E-2</v>
      </c>
      <c r="N19" s="170">
        <v>7</v>
      </c>
      <c r="O19" s="170">
        <v>1</v>
      </c>
      <c r="P19" s="35">
        <f t="shared" ca="1" si="9"/>
        <v>1.1297972402377239E-2</v>
      </c>
      <c r="Q19" s="170">
        <v>2</v>
      </c>
      <c r="R19" s="35">
        <f t="shared" ca="1" si="1"/>
        <v>6.9443612171716899E-3</v>
      </c>
      <c r="S19" s="170">
        <v>3</v>
      </c>
      <c r="T19" s="35">
        <f t="shared" ca="1" si="2"/>
        <v>3.4009137511335904E-3</v>
      </c>
      <c r="U19" s="170">
        <v>4</v>
      </c>
      <c r="V19" s="35">
        <f t="shared" ca="1" si="3"/>
        <v>2.3933602132452545E-3</v>
      </c>
      <c r="W19" s="170">
        <v>5</v>
      </c>
      <c r="X19" s="35">
        <f t="shared" ca="1" si="4"/>
        <v>3.12438700294754E-3</v>
      </c>
      <c r="Y19" s="170">
        <v>6</v>
      </c>
      <c r="Z19" s="35">
        <f t="shared" ca="1" si="5"/>
        <v>5.3191648337675224E-3</v>
      </c>
      <c r="AA19" s="170">
        <v>7</v>
      </c>
      <c r="AB19" s="35">
        <f t="shared" ca="1" si="6"/>
        <v>5.9906934111476186E-3</v>
      </c>
      <c r="AC19" s="170">
        <v>8</v>
      </c>
      <c r="AD19" s="35">
        <f t="shared" ca="1" si="7"/>
        <v>1.2686122547177841E-2</v>
      </c>
    </row>
    <row r="20" spans="1:30">
      <c r="A20" s="171"/>
      <c r="B20" s="172">
        <v>-1.253875629566908</v>
      </c>
      <c r="C20" s="172">
        <v>-3.2592166127769939E-2</v>
      </c>
      <c r="D20" s="172">
        <v>0.73934661383723232</v>
      </c>
      <c r="E20" s="171"/>
      <c r="F20" s="173"/>
      <c r="G20" s="157"/>
      <c r="H20" s="157"/>
      <c r="J20" s="170">
        <v>8</v>
      </c>
      <c r="K20" s="35">
        <f ca="1">MCond(OFFSET($B$12,(ROW(A8)-1)*4,0,3,3))</f>
        <v>8.8077991376995399</v>
      </c>
      <c r="M20">
        <f t="shared" ca="1" si="8"/>
        <v>4.0982367160169366E-3</v>
      </c>
      <c r="N20" s="170">
        <v>8</v>
      </c>
      <c r="O20" s="170">
        <v>1</v>
      </c>
      <c r="P20" s="35">
        <f t="shared" ca="1" si="9"/>
        <v>4.0982367160169366E-3</v>
      </c>
      <c r="Q20" s="170">
        <v>2</v>
      </c>
      <c r="R20" s="35">
        <f t="shared" ca="1" si="1"/>
        <v>3.670423766297207E-3</v>
      </c>
      <c r="S20" s="170">
        <v>3</v>
      </c>
      <c r="T20" s="35">
        <f t="shared" ca="1" si="2"/>
        <v>2.1703073722481279E-3</v>
      </c>
      <c r="U20" s="170">
        <v>4</v>
      </c>
      <c r="V20" s="35">
        <f t="shared" ca="1" si="3"/>
        <v>2.7043689777349021E-3</v>
      </c>
      <c r="W20" s="170">
        <v>5</v>
      </c>
      <c r="X20" s="35">
        <f t="shared" ca="1" si="4"/>
        <v>3.2758255320086385E-3</v>
      </c>
      <c r="Y20" s="170">
        <v>6</v>
      </c>
      <c r="Z20" s="35">
        <f t="shared" ca="1" si="5"/>
        <v>3.5862710101154877E-3</v>
      </c>
      <c r="AA20" s="170">
        <v>7</v>
      </c>
      <c r="AB20" s="35">
        <f t="shared" ca="1" si="6"/>
        <v>2.6935575517189982E-3</v>
      </c>
      <c r="AC20" s="170">
        <v>8</v>
      </c>
      <c r="AD20" s="35">
        <f t="shared" ca="1" si="7"/>
        <v>2.0310094030501539E-3</v>
      </c>
    </row>
    <row r="21" spans="1:30">
      <c r="A21" s="171" t="s">
        <v>216</v>
      </c>
      <c r="B21" s="172">
        <v>1.0419123890112216</v>
      </c>
      <c r="C21" s="172">
        <v>-4.0818532431212473E-2</v>
      </c>
      <c r="D21" s="172">
        <v>0.77248383184656022</v>
      </c>
      <c r="E21" s="171"/>
      <c r="F21" s="173">
        <f>MCond(B20:D22)</f>
        <v>2.6538713862709233</v>
      </c>
      <c r="G21" s="157"/>
      <c r="H21" s="157"/>
      <c r="J21" s="170">
        <v>9</v>
      </c>
      <c r="K21" s="35">
        <f ca="1">MCond(OFFSET($B$12,(ROW(A9)-1)*4,0,3,3))</f>
        <v>37.099744408603527</v>
      </c>
      <c r="M21">
        <f t="shared" ca="1" si="8"/>
        <v>1.726237534634497E-2</v>
      </c>
      <c r="N21" s="170">
        <v>9</v>
      </c>
      <c r="O21" s="170">
        <v>1</v>
      </c>
      <c r="P21" s="35">
        <f t="shared" ca="1" si="9"/>
        <v>1.726237534634497E-2</v>
      </c>
      <c r="Q21" s="170">
        <v>2</v>
      </c>
      <c r="R21" s="35">
        <f t="shared" ca="1" si="1"/>
        <v>1.4677145674475268E-2</v>
      </c>
      <c r="S21" s="170">
        <v>3</v>
      </c>
      <c r="T21" s="35">
        <f t="shared" ca="1" si="2"/>
        <v>2.233938618949671E-3</v>
      </c>
      <c r="U21" s="170">
        <v>4</v>
      </c>
      <c r="V21" s="35">
        <f t="shared" ca="1" si="3"/>
        <v>2.1933576137975457E-3</v>
      </c>
      <c r="W21" s="170">
        <v>5</v>
      </c>
      <c r="X21" s="35">
        <f t="shared" ca="1" si="4"/>
        <v>6.5554944078876111E-3</v>
      </c>
      <c r="Y21" s="170">
        <v>6</v>
      </c>
      <c r="Z21" s="35">
        <f t="shared" ca="1" si="5"/>
        <v>2.1580456139898493E-3</v>
      </c>
      <c r="AA21" s="170">
        <v>7</v>
      </c>
      <c r="AB21" s="35">
        <f t="shared" ca="1" si="6"/>
        <v>9.2263743630056766E-3</v>
      </c>
      <c r="AC21" s="170">
        <v>8</v>
      </c>
      <c r="AD21" s="35">
        <f t="shared" ca="1" si="7"/>
        <v>1.1394703970608289E-2</v>
      </c>
    </row>
    <row r="22" spans="1:30">
      <c r="A22" s="171"/>
      <c r="B22" s="172">
        <v>-1.0351585166444348</v>
      </c>
      <c r="C22" s="172">
        <v>2.1037449841221099</v>
      </c>
      <c r="D22" s="172">
        <v>0.82913701269133588</v>
      </c>
      <c r="E22" s="171"/>
      <c r="F22" s="173"/>
      <c r="G22" s="157"/>
      <c r="H22" s="157"/>
      <c r="J22" s="170">
        <v>10</v>
      </c>
      <c r="K22" s="35">
        <f ca="1">MCond(OFFSET($B$12,(ROW(A10)-1)*4,0,3,3))</f>
        <v>3.6568969588621991</v>
      </c>
      <c r="M22">
        <f t="shared" ca="1" si="8"/>
        <v>1.701540776441238E-3</v>
      </c>
      <c r="N22" s="170">
        <v>10</v>
      </c>
      <c r="O22" s="170">
        <v>1</v>
      </c>
      <c r="P22" s="35">
        <f t="shared" ca="1" si="9"/>
        <v>1.701540776441238E-3</v>
      </c>
      <c r="Q22" s="170">
        <v>2</v>
      </c>
      <c r="R22" s="35">
        <f t="shared" ca="1" si="1"/>
        <v>2.4060454758172314E-3</v>
      </c>
      <c r="S22" s="170">
        <v>3</v>
      </c>
      <c r="T22" s="35">
        <f t="shared" ca="1" si="2"/>
        <v>2.5449566980370549E-3</v>
      </c>
      <c r="U22" s="170">
        <v>4</v>
      </c>
      <c r="V22" s="35">
        <f t="shared" ca="1" si="3"/>
        <v>3.1773997426940443E-3</v>
      </c>
      <c r="W22" s="170">
        <v>5</v>
      </c>
      <c r="X22" s="35">
        <f t="shared" ca="1" si="4"/>
        <v>5.1038528592465418E-3</v>
      </c>
      <c r="Y22" s="170">
        <v>6</v>
      </c>
      <c r="Z22" s="35">
        <f t="shared" ca="1" si="5"/>
        <v>4.0436338670656524E-3</v>
      </c>
      <c r="AA22" s="170">
        <v>7</v>
      </c>
      <c r="AB22" s="35">
        <f t="shared" ca="1" si="6"/>
        <v>3.1493209612786558E-3</v>
      </c>
      <c r="AC22" s="170">
        <v>8</v>
      </c>
      <c r="AD22" s="35">
        <f t="shared" ca="1" si="7"/>
        <v>1.9333351578818604E-3</v>
      </c>
    </row>
    <row r="23" spans="1:30">
      <c r="A23" s="171"/>
      <c r="B23" s="172"/>
      <c r="C23" s="172"/>
      <c r="D23" s="172"/>
      <c r="E23" s="171"/>
      <c r="F23" s="174"/>
      <c r="G23" s="157"/>
      <c r="H23" s="157"/>
      <c r="J23" s="170">
        <v>11</v>
      </c>
      <c r="K23" s="35">
        <f ca="1">MCond(OFFSET($B$12,(ROW(A11)-1)*4,0,3,3))</f>
        <v>4.497468867237159</v>
      </c>
      <c r="M23">
        <f t="shared" ca="1" si="8"/>
        <v>2.0926558102309879E-3</v>
      </c>
      <c r="N23" s="170">
        <v>11</v>
      </c>
      <c r="O23" s="170">
        <v>1</v>
      </c>
      <c r="P23" s="35">
        <f t="shared" ca="1" si="9"/>
        <v>2.0926558102309879E-3</v>
      </c>
      <c r="Q23" s="170">
        <v>2</v>
      </c>
      <c r="R23" s="35">
        <f t="shared" ca="1" si="1"/>
        <v>3.33504997774024E-3</v>
      </c>
      <c r="S23" s="170">
        <v>3</v>
      </c>
      <c r="T23" s="35">
        <f t="shared" ca="1" si="2"/>
        <v>3.7615790936085941E-3</v>
      </c>
      <c r="U23" s="170">
        <v>4</v>
      </c>
      <c r="V23" s="35">
        <f t="shared" ca="1" si="3"/>
        <v>4.1873208274353091E-3</v>
      </c>
      <c r="W23" s="170">
        <v>5</v>
      </c>
      <c r="X23" s="35">
        <f t="shared" ca="1" si="4"/>
        <v>3.2425884114553345E-3</v>
      </c>
      <c r="Y23" s="170">
        <v>6</v>
      </c>
      <c r="Z23" s="35">
        <f t="shared" ca="1" si="5"/>
        <v>5.0433360637614074E-3</v>
      </c>
      <c r="AA23" s="170">
        <v>7</v>
      </c>
      <c r="AB23" s="35">
        <f t="shared" ca="1" si="6"/>
        <v>6.9809648786066172E-3</v>
      </c>
      <c r="AC23" s="170">
        <v>8</v>
      </c>
      <c r="AD23" s="35">
        <f t="shared" ca="1" si="7"/>
        <v>8.0859508948173311E-3</v>
      </c>
    </row>
    <row r="24" spans="1:30">
      <c r="A24" s="171"/>
      <c r="B24" s="172">
        <v>-1.253875629566908</v>
      </c>
      <c r="C24" s="172">
        <v>-3.2592166127769939E-2</v>
      </c>
      <c r="D24" s="172">
        <v>0.73934661383723232</v>
      </c>
      <c r="E24" s="171"/>
      <c r="F24" s="173"/>
      <c r="G24" s="157"/>
      <c r="H24" s="157"/>
      <c r="J24" s="170">
        <v>12</v>
      </c>
      <c r="K24" s="35">
        <f ca="1">MCond(OFFSET($B$12,(ROW(A12)-1)*4,0,3,3))</f>
        <v>2.7091989128856673</v>
      </c>
      <c r="M24">
        <f t="shared" ca="1" si="8"/>
        <v>1.2605803427394153E-3</v>
      </c>
      <c r="N24" s="170">
        <v>12</v>
      </c>
      <c r="O24" s="170">
        <v>1</v>
      </c>
      <c r="P24" s="35">
        <f t="shared" ca="1" si="9"/>
        <v>1.2605803427394153E-3</v>
      </c>
      <c r="Q24" s="170">
        <v>2</v>
      </c>
      <c r="R24" s="35">
        <f t="shared" ca="1" si="1"/>
        <v>2.3360459587504117E-3</v>
      </c>
      <c r="S24" s="170">
        <v>3</v>
      </c>
      <c r="T24" s="35">
        <f t="shared" ca="1" si="2"/>
        <v>6.9930559207090895E-3</v>
      </c>
      <c r="U24" s="170">
        <v>4</v>
      </c>
      <c r="V24" s="35">
        <f t="shared" ca="1" si="3"/>
        <v>1.9971095513401475E-3</v>
      </c>
      <c r="W24" s="170">
        <v>5</v>
      </c>
      <c r="X24" s="35">
        <f t="shared" ca="1" si="4"/>
        <v>2.0692395272206483E-3</v>
      </c>
      <c r="Y24" s="170">
        <v>6</v>
      </c>
      <c r="Z24" s="35">
        <f t="shared" ca="1" si="5"/>
        <v>5.8678639962095871E-3</v>
      </c>
      <c r="AA24" s="170">
        <v>7</v>
      </c>
      <c r="AB24" s="35">
        <f t="shared" ca="1" si="6"/>
        <v>1.7386876750289484E-3</v>
      </c>
      <c r="AC24" s="170">
        <v>8</v>
      </c>
      <c r="AD24" s="35">
        <f t="shared" ca="1" si="7"/>
        <v>1.6375409677275947E-3</v>
      </c>
    </row>
    <row r="25" spans="1:30">
      <c r="A25" s="171" t="s">
        <v>217</v>
      </c>
      <c r="B25" s="172">
        <v>1.0419123890112216</v>
      </c>
      <c r="C25" s="172">
        <v>-4.0818532431212473E-2</v>
      </c>
      <c r="D25" s="172">
        <v>0.77248383184656022</v>
      </c>
      <c r="E25" s="171"/>
      <c r="F25" s="173">
        <f>MCond(B24:D26)</f>
        <v>2.3783411134574881</v>
      </c>
      <c r="G25" s="157"/>
      <c r="H25" s="157"/>
      <c r="J25" s="170">
        <v>13</v>
      </c>
      <c r="K25" s="35">
        <f ca="1">MCond(OFFSET($B$12,(ROW(A13)-1)*4,0,3,3))</f>
        <v>7.6413054265435116</v>
      </c>
      <c r="M25">
        <f t="shared" ca="1" si="8"/>
        <v>3.5554714597566652E-3</v>
      </c>
      <c r="N25" s="170">
        <v>13</v>
      </c>
      <c r="O25" s="170">
        <v>1</v>
      </c>
      <c r="P25" s="35">
        <f t="shared" ca="1" si="9"/>
        <v>3.5554714597566652E-3</v>
      </c>
      <c r="Q25" s="170">
        <v>2</v>
      </c>
      <c r="R25" s="35">
        <f t="shared" ca="1" si="1"/>
        <v>3.7307334345772674E-3</v>
      </c>
      <c r="S25" s="170">
        <v>3</v>
      </c>
      <c r="T25" s="35">
        <f t="shared" ca="1" si="2"/>
        <v>2.9735353684723002E-3</v>
      </c>
      <c r="U25" s="170">
        <v>4</v>
      </c>
      <c r="V25" s="35">
        <f t="shared" ca="1" si="3"/>
        <v>5.0318778380330047E-3</v>
      </c>
      <c r="W25" s="170">
        <v>5</v>
      </c>
      <c r="X25" s="35">
        <f t="shared" ca="1" si="4"/>
        <v>5.0771735804493734E-3</v>
      </c>
      <c r="Y25" s="170">
        <v>6</v>
      </c>
      <c r="Z25" s="35">
        <f t="shared" ca="1" si="5"/>
        <v>6.5248856877080288E-3</v>
      </c>
      <c r="AA25" s="170">
        <v>7</v>
      </c>
      <c r="AB25" s="35">
        <f t="shared" ca="1" si="6"/>
        <v>3.3666708629193328E-3</v>
      </c>
      <c r="AC25" s="170">
        <v>8</v>
      </c>
      <c r="AD25" s="35">
        <f t="shared" ca="1" si="7"/>
        <v>1.3610005381801652E-3</v>
      </c>
    </row>
    <row r="26" spans="1:30">
      <c r="A26" s="171"/>
      <c r="B26" s="172">
        <v>0.58367185674448252</v>
      </c>
      <c r="C26" s="172">
        <v>2.0841504898711007</v>
      </c>
      <c r="D26" s="172">
        <v>0.75171422039661484</v>
      </c>
      <c r="E26" s="171"/>
      <c r="F26" s="173"/>
      <c r="G26" s="157"/>
      <c r="H26" s="157"/>
      <c r="J26" s="170">
        <v>14</v>
      </c>
      <c r="K26" s="35">
        <f ca="1">MCond(OFFSET($B$12,(ROW(A14)-1)*4,0,3,3))</f>
        <v>35.570359419370689</v>
      </c>
      <c r="M26">
        <f t="shared" ca="1" si="8"/>
        <v>1.6550758106009467E-2</v>
      </c>
      <c r="N26" s="170">
        <v>14</v>
      </c>
      <c r="O26" s="170">
        <v>1</v>
      </c>
      <c r="P26" s="35">
        <f t="shared" ca="1" si="9"/>
        <v>1.6550758106009467E-2</v>
      </c>
      <c r="Q26" s="170">
        <v>2</v>
      </c>
      <c r="R26" s="35">
        <f t="shared" ca="1" si="1"/>
        <v>1.6677890710711601E-2</v>
      </c>
      <c r="S26" s="170">
        <v>3</v>
      </c>
      <c r="T26" s="35">
        <f t="shared" ca="1" si="2"/>
        <v>2.1914848798424542E-3</v>
      </c>
      <c r="U26" s="170">
        <v>4</v>
      </c>
      <c r="V26" s="35">
        <f t="shared" ca="1" si="3"/>
        <v>6.123829656514178E-3</v>
      </c>
      <c r="W26" s="170">
        <v>5</v>
      </c>
      <c r="X26" s="35">
        <f t="shared" ca="1" si="4"/>
        <v>2.1339186357065909E-3</v>
      </c>
      <c r="Y26" s="170">
        <v>6</v>
      </c>
      <c r="Z26" s="35">
        <f t="shared" ca="1" si="5"/>
        <v>1.8851925158580489E-3</v>
      </c>
      <c r="AA26" s="170">
        <v>7</v>
      </c>
      <c r="AB26" s="35">
        <f t="shared" ca="1" si="6"/>
        <v>2.9434714841791031E-3</v>
      </c>
      <c r="AC26" s="170">
        <v>8</v>
      </c>
      <c r="AD26" s="35">
        <f t="shared" ca="1" si="7"/>
        <v>4.666853232621844E-3</v>
      </c>
    </row>
    <row r="27" spans="1:30">
      <c r="A27" s="171"/>
      <c r="B27" s="172"/>
      <c r="C27" s="172"/>
      <c r="D27" s="172"/>
      <c r="E27" s="171"/>
      <c r="F27" s="174"/>
      <c r="G27" s="157"/>
      <c r="H27" s="157"/>
      <c r="J27" s="170">
        <v>15</v>
      </c>
      <c r="K27" s="35">
        <f ca="1">MCond(OFFSET($B$12,(ROW(A15)-1)*4,0,3,3))</f>
        <v>4.8602217427722341</v>
      </c>
      <c r="M27">
        <f t="shared" ca="1" si="8"/>
        <v>2.2614433961098885E-3</v>
      </c>
      <c r="N27" s="170">
        <v>15</v>
      </c>
      <c r="O27" s="170">
        <v>1</v>
      </c>
      <c r="P27" s="35">
        <f t="shared" ca="1" si="9"/>
        <v>2.2614433961098885E-3</v>
      </c>
      <c r="Q27" s="170">
        <v>2</v>
      </c>
      <c r="R27" s="35">
        <f t="shared" ca="1" si="1"/>
        <v>2.8040011348422029E-3</v>
      </c>
      <c r="S27" s="170">
        <v>3</v>
      </c>
      <c r="T27" s="35">
        <f t="shared" ca="1" si="2"/>
        <v>1.2103097333815668E-2</v>
      </c>
      <c r="U27" s="170">
        <v>4</v>
      </c>
      <c r="V27" s="35">
        <f t="shared" ca="1" si="3"/>
        <v>2.3827204495554212E-3</v>
      </c>
      <c r="W27" s="170">
        <v>5</v>
      </c>
      <c r="X27" s="35">
        <f t="shared" ca="1" si="4"/>
        <v>4.3333855796214085E-3</v>
      </c>
      <c r="Y27" s="170">
        <v>6</v>
      </c>
      <c r="Z27" s="35">
        <f t="shared" ca="1" si="5"/>
        <v>2.0335346121188019E-3</v>
      </c>
      <c r="AA27" s="170">
        <v>7</v>
      </c>
      <c r="AB27" s="35">
        <f t="shared" ca="1" si="6"/>
        <v>1.5412529585734187E-3</v>
      </c>
      <c r="AC27" s="170">
        <v>8</v>
      </c>
      <c r="AD27" s="35">
        <f t="shared" ca="1" si="7"/>
        <v>1.2271944832643893E-3</v>
      </c>
    </row>
    <row r="28" spans="1:30">
      <c r="A28" s="171"/>
      <c r="B28" s="172">
        <v>-1.253875629566908</v>
      </c>
      <c r="C28" s="172">
        <v>-3.2592166127769939E-2</v>
      </c>
      <c r="D28" s="172">
        <v>0.73934661383723232</v>
      </c>
      <c r="E28" s="171"/>
      <c r="F28" s="173"/>
      <c r="G28" s="157"/>
      <c r="H28" s="157"/>
      <c r="J28" s="170">
        <v>16</v>
      </c>
      <c r="K28" s="35">
        <f ca="1">MCond(OFFSET($B$12,(ROW(A16)-1)*4,0,3,3))</f>
        <v>4.1121618081555962</v>
      </c>
      <c r="M28">
        <f t="shared" ca="1" si="8"/>
        <v>1.9133738452609059E-3</v>
      </c>
      <c r="N28" s="170">
        <v>16</v>
      </c>
      <c r="O28" s="170">
        <v>1</v>
      </c>
      <c r="P28" s="35">
        <f t="shared" ca="1" si="9"/>
        <v>1.9133738452609059E-3</v>
      </c>
      <c r="Q28" s="170">
        <v>2</v>
      </c>
      <c r="R28" s="35">
        <f t="shared" ca="1" si="1"/>
        <v>0.10344711804454056</v>
      </c>
      <c r="S28" s="170">
        <v>3</v>
      </c>
      <c r="T28" s="35">
        <f t="shared" ca="1" si="2"/>
        <v>0.10595102079595532</v>
      </c>
      <c r="U28" s="170">
        <v>4</v>
      </c>
      <c r="V28" s="35">
        <f t="shared" ca="1" si="3"/>
        <v>0.11639486628759733</v>
      </c>
      <c r="W28" s="170">
        <v>5</v>
      </c>
      <c r="X28" s="35">
        <f t="shared" ca="1" si="4"/>
        <v>0.13350721473592761</v>
      </c>
      <c r="Y28" s="170">
        <v>6</v>
      </c>
      <c r="Z28" s="35">
        <f t="shared" ca="1" si="5"/>
        <v>3.8834021197862306E-2</v>
      </c>
      <c r="AA28" s="170">
        <v>7</v>
      </c>
      <c r="AB28" s="35">
        <f t="shared" ca="1" si="6"/>
        <v>0.21721448664663923</v>
      </c>
      <c r="AC28" s="170">
        <v>8</v>
      </c>
      <c r="AD28" s="35">
        <f t="shared" ca="1" si="7"/>
        <v>1.1748539745276216E-2</v>
      </c>
    </row>
    <row r="29" spans="1:30">
      <c r="A29" s="171" t="s">
        <v>218</v>
      </c>
      <c r="B29" s="172">
        <v>1.0419123890112216</v>
      </c>
      <c r="C29" s="172">
        <v>-4.0818532431212473E-2</v>
      </c>
      <c r="D29" s="172">
        <v>0.77248383184656022</v>
      </c>
      <c r="E29" s="171"/>
      <c r="F29" s="173">
        <f>MCond(B28:D30)</f>
        <v>2.2222525155344348</v>
      </c>
      <c r="G29" s="157"/>
      <c r="H29" s="157"/>
      <c r="J29" s="170">
        <v>17</v>
      </c>
      <c r="K29" s="35">
        <f ca="1">MCond(OFFSET($B$12,(ROW(A17)-1)*4,0,3,3))</f>
        <v>4.6589206831506358</v>
      </c>
      <c r="M29">
        <f t="shared" ca="1" si="8"/>
        <v>2.1677787495146643E-3</v>
      </c>
      <c r="N29" s="170">
        <v>17</v>
      </c>
      <c r="O29" s="170">
        <v>1</v>
      </c>
      <c r="P29" s="35">
        <f t="shared" ca="1" si="9"/>
        <v>2.1677787495146643E-3</v>
      </c>
      <c r="Q29" s="170">
        <v>2</v>
      </c>
      <c r="R29" s="35">
        <f t="shared" ca="1" si="1"/>
        <v>2.3008236759128404E-2</v>
      </c>
      <c r="S29" s="170">
        <v>3</v>
      </c>
      <c r="T29" s="35">
        <f t="shared" ca="1" si="2"/>
        <v>5.0013469078588682E-2</v>
      </c>
      <c r="U29" s="170">
        <v>4</v>
      </c>
      <c r="V29" s="35">
        <f t="shared" ca="1" si="3"/>
        <v>1.9300031341211388E-2</v>
      </c>
      <c r="W29" s="170">
        <v>5</v>
      </c>
      <c r="X29" s="35">
        <f t="shared" ca="1" si="4"/>
        <v>7.2405547944700083E-2</v>
      </c>
      <c r="Y29" s="170">
        <v>6</v>
      </c>
      <c r="Z29" s="35">
        <f t="shared" ca="1" si="5"/>
        <v>9.5284996573252331E-2</v>
      </c>
      <c r="AA29" s="170">
        <v>7</v>
      </c>
      <c r="AB29" s="35">
        <f t="shared" ca="1" si="6"/>
        <v>0.10733601947710228</v>
      </c>
      <c r="AC29" s="170">
        <v>8</v>
      </c>
      <c r="AD29" s="35">
        <f t="shared" ca="1" si="7"/>
        <v>8.3134297025988808E-3</v>
      </c>
    </row>
    <row r="30" spans="1:30">
      <c r="A30" s="171"/>
      <c r="B30" s="172">
        <v>-2.5457845528396139E-2</v>
      </c>
      <c r="C30" s="172">
        <v>2.3667658472617719</v>
      </c>
      <c r="D30" s="172">
        <v>6.368425350466822E-2</v>
      </c>
      <c r="E30" s="171"/>
      <c r="F30" s="173"/>
      <c r="G30" s="157"/>
      <c r="H30" s="157"/>
      <c r="J30" s="170">
        <v>18</v>
      </c>
      <c r="K30" s="35">
        <f ca="1">MCond(OFFSET($B$12,(ROW(A18)-1)*4,0,3,3))</f>
        <v>3.0892013418031681</v>
      </c>
      <c r="L30" s="35"/>
      <c r="M30">
        <f t="shared" ca="1" si="8"/>
        <v>1.4373940827008002E-3</v>
      </c>
      <c r="N30" s="170">
        <v>18</v>
      </c>
      <c r="O30" s="170">
        <v>1</v>
      </c>
      <c r="P30" s="35">
        <f t="shared" ca="1" si="9"/>
        <v>1.4373940827008002E-3</v>
      </c>
      <c r="Q30" s="170">
        <v>2</v>
      </c>
      <c r="R30" s="35">
        <f t="shared" ca="1" si="1"/>
        <v>0.1478721527390251</v>
      </c>
      <c r="S30" s="170">
        <v>3</v>
      </c>
      <c r="T30" s="35">
        <f t="shared" ca="1" si="2"/>
        <v>0.20255814689085719</v>
      </c>
      <c r="U30" s="170">
        <v>4</v>
      </c>
      <c r="V30" s="35">
        <f t="shared" ca="1" si="3"/>
        <v>0.13876459201171612</v>
      </c>
      <c r="W30" s="170">
        <v>5</v>
      </c>
      <c r="X30" s="35">
        <f t="shared" ca="1" si="4"/>
        <v>7.4115211706482664E-2</v>
      </c>
      <c r="Y30" s="170">
        <v>6</v>
      </c>
      <c r="Z30" s="35">
        <f t="shared" ca="1" si="5"/>
        <v>2.2914880497641198E-2</v>
      </c>
      <c r="AA30" s="170">
        <v>7</v>
      </c>
      <c r="AB30" s="35">
        <f t="shared" ca="1" si="6"/>
        <v>2.1444843994240868E-2</v>
      </c>
      <c r="AC30" s="170">
        <v>8</v>
      </c>
      <c r="AD30" s="35">
        <f t="shared" ca="1" si="7"/>
        <v>2.9565515234831396E-3</v>
      </c>
    </row>
    <row r="31" spans="1:30">
      <c r="A31" s="171"/>
      <c r="B31" s="172"/>
      <c r="C31" s="172"/>
      <c r="D31" s="172"/>
      <c r="E31" s="171"/>
      <c r="F31" s="174"/>
      <c r="G31" s="157"/>
      <c r="H31" s="157"/>
      <c r="J31" s="170">
        <v>19</v>
      </c>
      <c r="K31" s="35">
        <f ca="1">MCond(OFFSET($B$12,(ROW(A19)-1)*4,0,3,3))</f>
        <v>2.5761959575841629</v>
      </c>
      <c r="L31" s="35"/>
      <c r="M31">
        <f t="shared" ca="1" si="8"/>
        <v>1.1986945542202018E-3</v>
      </c>
      <c r="N31" s="170">
        <v>19</v>
      </c>
      <c r="O31" s="170">
        <v>1</v>
      </c>
      <c r="P31" s="35">
        <f t="shared" ca="1" si="9"/>
        <v>1.1986945542202018E-3</v>
      </c>
      <c r="Q31" s="170">
        <v>2</v>
      </c>
      <c r="R31" s="35">
        <f t="shared" ca="1" si="1"/>
        <v>7.2038630574073406E-3</v>
      </c>
      <c r="S31" s="170">
        <v>3</v>
      </c>
      <c r="T31" s="35">
        <f t="shared" ca="1" si="2"/>
        <v>1.1600172290614802E-2</v>
      </c>
      <c r="U31" s="170">
        <v>4</v>
      </c>
      <c r="V31" s="35">
        <f t="shared" ca="1" si="3"/>
        <v>6.0558984501872578E-3</v>
      </c>
      <c r="W31" s="170">
        <v>5</v>
      </c>
      <c r="X31" s="35">
        <f t="shared" ca="1" si="4"/>
        <v>5.2762235777945882E-3</v>
      </c>
      <c r="Y31" s="170">
        <v>6</v>
      </c>
      <c r="Z31" s="35">
        <f t="shared" ca="1" si="5"/>
        <v>2.50641578280697E-3</v>
      </c>
      <c r="AA31" s="170">
        <v>7</v>
      </c>
      <c r="AB31" s="35">
        <f t="shared" ca="1" si="6"/>
        <v>2.4508208612773474E-3</v>
      </c>
      <c r="AC31" s="170">
        <v>8</v>
      </c>
      <c r="AD31" s="35">
        <f t="shared" ca="1" si="7"/>
        <v>3.1457606928681756E-3</v>
      </c>
    </row>
    <row r="32" spans="1:30">
      <c r="A32" s="171"/>
      <c r="B32" s="172">
        <v>-1.253875629566908</v>
      </c>
      <c r="C32" s="172">
        <v>-3.2592166127769939E-2</v>
      </c>
      <c r="D32" s="172">
        <v>0.73934661383723232</v>
      </c>
      <c r="E32" s="171"/>
      <c r="F32" s="173"/>
      <c r="G32" s="157"/>
      <c r="H32" s="157"/>
      <c r="J32" s="170">
        <v>20</v>
      </c>
      <c r="K32" s="35">
        <f ca="1">MCond(OFFSET($B$12,(ROW(A20)-1)*4,0,3,3))</f>
        <v>6.0546724397063105</v>
      </c>
      <c r="L32" s="35"/>
      <c r="M32">
        <f t="shared" ca="1" si="8"/>
        <v>2.8172169355738896E-3</v>
      </c>
      <c r="N32" s="170">
        <v>20</v>
      </c>
      <c r="O32" s="170">
        <v>1</v>
      </c>
      <c r="P32" s="35">
        <f t="shared" ca="1" si="9"/>
        <v>2.8172169355738896E-3</v>
      </c>
      <c r="Q32" s="170">
        <v>2</v>
      </c>
      <c r="R32" s="35">
        <f t="shared" ca="1" si="1"/>
        <v>8.3936581733394688E-2</v>
      </c>
      <c r="S32" s="170">
        <v>3</v>
      </c>
      <c r="T32" s="35">
        <f t="shared" ca="1" si="2"/>
        <v>6.3760962689733316E-2</v>
      </c>
      <c r="U32" s="170">
        <v>4</v>
      </c>
      <c r="V32" s="35">
        <f t="shared" ca="1" si="3"/>
        <v>1.9462301841567817E-2</v>
      </c>
      <c r="W32" s="170">
        <v>5</v>
      </c>
      <c r="X32" s="35">
        <f t="shared" ca="1" si="4"/>
        <v>5.0037946703832471E-2</v>
      </c>
      <c r="Y32" s="170">
        <v>6</v>
      </c>
      <c r="Z32" s="35">
        <f t="shared" ca="1" si="5"/>
        <v>2.9753366118358625E-2</v>
      </c>
      <c r="AA32" s="170">
        <v>7</v>
      </c>
      <c r="AB32" s="35">
        <f t="shared" ca="1" si="6"/>
        <v>0.8525477779935805</v>
      </c>
      <c r="AC32" s="170">
        <v>8</v>
      </c>
      <c r="AD32" s="35">
        <f t="shared" ca="1" si="7"/>
        <v>7.4351152942799337E-3</v>
      </c>
    </row>
    <row r="33" spans="1:30">
      <c r="A33" s="171" t="s">
        <v>219</v>
      </c>
      <c r="B33" s="172">
        <v>-1.4028471761352286</v>
      </c>
      <c r="C33" s="172">
        <v>0.814665459345566</v>
      </c>
      <c r="D33" s="172">
        <v>0.7195871750303805</v>
      </c>
      <c r="E33" s="171"/>
      <c r="F33" s="173">
        <f>MCond(B32:D34)</f>
        <v>5.3803548414248699</v>
      </c>
      <c r="J33" s="170">
        <v>21</v>
      </c>
      <c r="K33" s="35">
        <f ca="1">MCond(OFFSET($B$12,(ROW(A21)-1)*4,0,3,3))</f>
        <v>12.13640308765223</v>
      </c>
      <c r="M33">
        <f t="shared" ca="1" si="8"/>
        <v>5.6470239564509915E-3</v>
      </c>
      <c r="N33" s="170">
        <v>21</v>
      </c>
      <c r="O33" s="170">
        <v>1</v>
      </c>
      <c r="P33" s="35">
        <f t="shared" ca="1" si="9"/>
        <v>5.6470239564509915E-3</v>
      </c>
      <c r="Q33" s="170">
        <v>2</v>
      </c>
      <c r="R33" s="35">
        <f t="shared" ca="1" si="1"/>
        <v>0.15174348126839166</v>
      </c>
      <c r="S33" s="170">
        <v>3</v>
      </c>
      <c r="T33" s="35">
        <f t="shared" ca="1" si="2"/>
        <v>7.3386494269036179E-2</v>
      </c>
      <c r="U33" s="170">
        <v>4</v>
      </c>
      <c r="V33" s="35">
        <f t="shared" ca="1" si="3"/>
        <v>0.71279731689324766</v>
      </c>
      <c r="W33" s="170">
        <v>5</v>
      </c>
      <c r="X33" s="35">
        <f t="shared" ca="1" si="4"/>
        <v>1</v>
      </c>
      <c r="Y33" s="170">
        <v>6</v>
      </c>
      <c r="Z33" s="35">
        <f t="shared" ca="1" si="5"/>
        <v>2.1009235256840463E-2</v>
      </c>
      <c r="AA33" s="170">
        <v>7</v>
      </c>
      <c r="AB33" s="35">
        <f t="shared" ca="1" si="6"/>
        <v>3.4574948513296122E-2</v>
      </c>
      <c r="AC33" s="170">
        <v>8</v>
      </c>
      <c r="AD33" s="35">
        <f t="shared" ca="1" si="7"/>
        <v>1.1456783896135872E-2</v>
      </c>
    </row>
    <row r="34" spans="1:30">
      <c r="A34" s="171"/>
      <c r="B34" s="172">
        <v>1.4421025939282253</v>
      </c>
      <c r="C34" s="172">
        <v>1.0431877148697888</v>
      </c>
      <c r="D34" s="172">
        <v>0.78932433807079116</v>
      </c>
      <c r="E34" s="171"/>
      <c r="F34" s="173"/>
      <c r="J34" s="170">
        <v>22</v>
      </c>
      <c r="K34" s="35">
        <f ca="1">MCond(OFFSET($B$12,(ROW(A22)-1)*4,0,3,3))</f>
        <v>18.020767054039418</v>
      </c>
      <c r="M34">
        <f t="shared" ca="1" si="8"/>
        <v>8.3849969824518564E-3</v>
      </c>
      <c r="N34" s="170">
        <v>22</v>
      </c>
      <c r="O34" s="170">
        <v>1</v>
      </c>
      <c r="P34" s="35">
        <f t="shared" ca="1" si="9"/>
        <v>8.3849969824518564E-3</v>
      </c>
      <c r="Q34" s="170">
        <v>2</v>
      </c>
      <c r="R34" s="35">
        <f t="shared" ca="1" si="1"/>
        <v>9.0142413820166779E-3</v>
      </c>
      <c r="S34" s="170">
        <v>3</v>
      </c>
      <c r="T34" s="35">
        <f t="shared" ca="1" si="2"/>
        <v>5.2282085609618783E-3</v>
      </c>
      <c r="U34" s="170">
        <v>4</v>
      </c>
      <c r="V34" s="35">
        <f t="shared" ca="1" si="3"/>
        <v>5.0172103444661529E-3</v>
      </c>
      <c r="W34" s="170">
        <v>5</v>
      </c>
      <c r="X34" s="35">
        <f t="shared" ca="1" si="4"/>
        <v>9.1065060021560274E-3</v>
      </c>
      <c r="Y34" s="170">
        <v>6</v>
      </c>
      <c r="Z34" s="35">
        <f t="shared" ca="1" si="5"/>
        <v>7.4036147539934573E-3</v>
      </c>
      <c r="AA34" s="170">
        <v>7</v>
      </c>
      <c r="AB34" s="35">
        <f t="shared" ca="1" si="6"/>
        <v>4.9302245076437417E-3</v>
      </c>
      <c r="AC34" s="170">
        <v>8</v>
      </c>
      <c r="AD34" s="35">
        <f t="shared" ca="1" si="7"/>
        <v>4.5074837142612904E-3</v>
      </c>
    </row>
    <row r="35" spans="1:30">
      <c r="A35" s="171"/>
      <c r="B35" s="172"/>
      <c r="C35" s="172"/>
      <c r="D35" s="172"/>
      <c r="E35" s="171"/>
      <c r="F35" s="174"/>
      <c r="J35" s="170">
        <v>23</v>
      </c>
      <c r="K35" s="35">
        <f ca="1">MCond(OFFSET($B$12,(ROW(A23)-1)*4,0,3,3))</f>
        <v>5.8822782062311054</v>
      </c>
      <c r="M35">
        <f t="shared" ca="1" si="8"/>
        <v>2.7370025294308573E-3</v>
      </c>
      <c r="N35" s="170">
        <v>23</v>
      </c>
      <c r="O35" s="170">
        <v>1</v>
      </c>
      <c r="P35" s="35">
        <f t="shared" ca="1" si="9"/>
        <v>2.7370025294308573E-3</v>
      </c>
      <c r="Q35" s="170">
        <v>2</v>
      </c>
      <c r="R35" s="35">
        <f t="shared" ca="1" si="1"/>
        <v>2.6611886182106206E-2</v>
      </c>
      <c r="S35" s="170">
        <v>3</v>
      </c>
      <c r="T35" s="35">
        <f t="shared" ca="1" si="2"/>
        <v>2.8211254622303755E-2</v>
      </c>
      <c r="U35" s="170">
        <v>4</v>
      </c>
      <c r="V35" s="35">
        <f t="shared" ca="1" si="3"/>
        <v>1.5186240937178618E-2</v>
      </c>
      <c r="W35" s="170">
        <v>5</v>
      </c>
      <c r="X35" s="35">
        <f t="shared" ca="1" si="4"/>
        <v>2.7386810344610952E-2</v>
      </c>
      <c r="Y35" s="170">
        <v>6</v>
      </c>
      <c r="Z35" s="35">
        <f t="shared" ca="1" si="5"/>
        <v>2.2477793849384552E-2</v>
      </c>
      <c r="AA35" s="170">
        <v>7</v>
      </c>
      <c r="AB35" s="35">
        <f t="shared" ca="1" si="6"/>
        <v>1.7167652352305374E-2</v>
      </c>
      <c r="AC35" s="170">
        <v>8</v>
      </c>
      <c r="AD35" s="35">
        <f t="shared" ca="1" si="7"/>
        <v>2.0305292088492661E-3</v>
      </c>
    </row>
    <row r="36" spans="1:30">
      <c r="A36" s="171"/>
      <c r="B36" s="172">
        <v>-1.253875629566908</v>
      </c>
      <c r="C36" s="172">
        <v>-3.2592166127769939E-2</v>
      </c>
      <c r="D36" s="172">
        <v>0.73934661383723232</v>
      </c>
      <c r="E36" s="171"/>
      <c r="F36" s="173"/>
      <c r="J36" s="170">
        <v>24</v>
      </c>
      <c r="K36" s="35">
        <f ca="1">MCond(OFFSET($B$12,(ROW(A24)-1)*4,0,3,3))</f>
        <v>3.8811004351956018</v>
      </c>
      <c r="M36">
        <f t="shared" ca="1" si="8"/>
        <v>1.8058618337454776E-3</v>
      </c>
      <c r="N36" s="170">
        <v>24</v>
      </c>
      <c r="O36" s="170">
        <v>1</v>
      </c>
      <c r="P36" s="35">
        <f t="shared" ca="1" si="9"/>
        <v>1.8058618337454776E-3</v>
      </c>
      <c r="Q36" s="170">
        <v>2</v>
      </c>
      <c r="R36" s="35">
        <f t="shared" ca="1" si="1"/>
        <v>3.2972073199274299E-3</v>
      </c>
      <c r="S36" s="170">
        <v>3</v>
      </c>
      <c r="T36" s="35">
        <f t="shared" ca="1" si="2"/>
        <v>4.0605103938523186E-3</v>
      </c>
      <c r="U36" s="170">
        <v>4</v>
      </c>
      <c r="V36" s="35">
        <f t="shared" ca="1" si="3"/>
        <v>5.1017315032691512E-3</v>
      </c>
      <c r="W36" s="170">
        <v>5</v>
      </c>
      <c r="X36" s="35">
        <f t="shared" ca="1" si="4"/>
        <v>3.4120276753595896E-3</v>
      </c>
      <c r="Y36" s="170">
        <v>6</v>
      </c>
      <c r="Z36" s="35">
        <f t="shared" ca="1" si="5"/>
        <v>1.9693945919498717E-3</v>
      </c>
      <c r="AA36" s="170">
        <v>7</v>
      </c>
      <c r="AB36" s="35">
        <f t="shared" ca="1" si="6"/>
        <v>2.2577515180987285E-3</v>
      </c>
      <c r="AC36" s="170">
        <v>8</v>
      </c>
      <c r="AD36" s="35">
        <f t="shared" ca="1" si="7"/>
        <v>3.3302883093553884E-3</v>
      </c>
    </row>
    <row r="37" spans="1:30">
      <c r="A37" s="171" t="s">
        <v>220</v>
      </c>
      <c r="B37" s="172">
        <v>-1.4028471761352286</v>
      </c>
      <c r="C37" s="172">
        <v>0.814665459345566</v>
      </c>
      <c r="D37" s="172">
        <v>0.7195871750303805</v>
      </c>
      <c r="E37" s="171"/>
      <c r="F37" s="173">
        <f>MCond(B36:D38)</f>
        <v>24.281240562435144</v>
      </c>
      <c r="J37" s="170">
        <v>25</v>
      </c>
      <c r="K37" s="35">
        <f ca="1">MCond(OFFSET($B$12,(ROW(A25)-1)*4,0,3,3))</f>
        <v>24.848605975354669</v>
      </c>
      <c r="M37">
        <f t="shared" ca="1" si="8"/>
        <v>1.1561965453339595E-2</v>
      </c>
      <c r="N37" s="170">
        <v>25</v>
      </c>
      <c r="O37" s="170">
        <v>1</v>
      </c>
      <c r="P37" s="35">
        <f t="shared" ca="1" si="9"/>
        <v>1.1561965453339595E-2</v>
      </c>
      <c r="Q37" s="170">
        <v>2</v>
      </c>
      <c r="R37" s="35">
        <f t="shared" ca="1" si="1"/>
        <v>4.523438999972036E-3</v>
      </c>
      <c r="S37" s="170">
        <v>3</v>
      </c>
      <c r="T37" s="35">
        <f t="shared" ca="1" si="2"/>
        <v>3.8048755660044309E-3</v>
      </c>
      <c r="U37" s="170">
        <v>4</v>
      </c>
      <c r="V37" s="35">
        <f t="shared" ca="1" si="3"/>
        <v>3.3527102857829442E-3</v>
      </c>
      <c r="W37" s="170">
        <v>5</v>
      </c>
      <c r="X37" s="35">
        <f t="shared" ca="1" si="4"/>
        <v>3.9563679581483642E-3</v>
      </c>
      <c r="Y37" s="170">
        <v>6</v>
      </c>
      <c r="Z37" s="35">
        <f t="shared" ca="1" si="5"/>
        <v>1.7416049003776211E-3</v>
      </c>
      <c r="AA37" s="170">
        <v>7</v>
      </c>
      <c r="AB37" s="35">
        <f t="shared" ca="1" si="6"/>
        <v>2.2572065747584998E-3</v>
      </c>
      <c r="AC37" s="170">
        <v>8</v>
      </c>
      <c r="AD37" s="35">
        <f t="shared" ca="1" si="7"/>
        <v>1.594355244249099E-3</v>
      </c>
    </row>
    <row r="38" spans="1:30">
      <c r="A38" s="171"/>
      <c r="B38" s="172">
        <v>-1.0351585166444348</v>
      </c>
      <c r="C38" s="172">
        <v>2.1037449841221099</v>
      </c>
      <c r="D38" s="172">
        <v>0.82913701269133588</v>
      </c>
      <c r="E38" s="171"/>
      <c r="F38" s="173"/>
      <c r="J38" s="170">
        <v>26</v>
      </c>
      <c r="K38" s="35">
        <f ca="1">MCond(OFFSET($B$12,(ROW(A26)-1)*4,0,3,3))</f>
        <v>7.3654400484483462</v>
      </c>
      <c r="M38">
        <f t="shared" ca="1" si="8"/>
        <v>3.427112308564352E-3</v>
      </c>
      <c r="N38" s="170">
        <v>26</v>
      </c>
      <c r="O38" s="170">
        <v>1</v>
      </c>
      <c r="P38" s="35">
        <f t="shared" ca="1" si="9"/>
        <v>3.427112308564352E-3</v>
      </c>
      <c r="Q38" s="170">
        <v>2</v>
      </c>
      <c r="R38" s="35">
        <f t="shared" ca="1" si="1"/>
        <v>2.965258503239239E-2</v>
      </c>
      <c r="S38" s="170">
        <v>3</v>
      </c>
      <c r="T38" s="35">
        <f t="shared" ca="1" si="2"/>
        <v>3.6099050458206383E-2</v>
      </c>
      <c r="U38" s="170">
        <v>4</v>
      </c>
      <c r="V38" s="35">
        <f t="shared" ca="1" si="3"/>
        <v>3.7183697279905739E-2</v>
      </c>
      <c r="W38" s="170">
        <v>5</v>
      </c>
      <c r="X38" s="35">
        <f t="shared" ca="1" si="4"/>
        <v>3.6192946582351337E-2</v>
      </c>
      <c r="Y38" s="170">
        <v>6</v>
      </c>
      <c r="Z38" s="35">
        <f t="shared" ca="1" si="5"/>
        <v>3.9490933393081677E-2</v>
      </c>
      <c r="AA38" s="170">
        <v>7</v>
      </c>
      <c r="AB38" s="35">
        <f t="shared" ca="1" si="6"/>
        <v>0.10401439012082403</v>
      </c>
      <c r="AC38" s="170">
        <v>8</v>
      </c>
      <c r="AD38" s="35">
        <f t="shared" ca="1" si="7"/>
        <v>5.6302949203561473E-3</v>
      </c>
    </row>
    <row r="39" spans="1:30">
      <c r="A39" s="171"/>
      <c r="B39" s="172"/>
      <c r="C39" s="172"/>
      <c r="D39" s="172"/>
      <c r="E39" s="171"/>
      <c r="F39" s="174"/>
      <c r="J39" s="170">
        <v>27</v>
      </c>
      <c r="K39" s="35">
        <f ca="1">MCond(OFFSET($B$12,(ROW(A27)-1)*4,0,3,3))</f>
        <v>6.5826761170413119</v>
      </c>
      <c r="M39">
        <f t="shared" ca="1" si="8"/>
        <v>3.0628951149710907E-3</v>
      </c>
      <c r="N39" s="170">
        <v>27</v>
      </c>
      <c r="O39" s="170">
        <v>1</v>
      </c>
      <c r="P39" s="35">
        <f t="shared" ca="1" si="9"/>
        <v>3.0628951149710907E-3</v>
      </c>
      <c r="Q39" s="170">
        <v>2</v>
      </c>
      <c r="R39" s="35">
        <f t="shared" ca="1" si="1"/>
        <v>0.8557681563057965</v>
      </c>
      <c r="S39" s="170">
        <v>3</v>
      </c>
      <c r="T39" s="35">
        <f t="shared" ca="1" si="2"/>
        <v>0.11327148057081397</v>
      </c>
      <c r="U39" s="170">
        <v>4</v>
      </c>
      <c r="V39" s="35">
        <f t="shared" ca="1" si="3"/>
        <v>0.17876113966754248</v>
      </c>
      <c r="W39" s="170">
        <v>5</v>
      </c>
      <c r="X39" s="35">
        <f t="shared" ca="1" si="4"/>
        <v>8.8608588470029157E-2</v>
      </c>
      <c r="Y39" s="170">
        <v>6</v>
      </c>
      <c r="Z39" s="35">
        <f t="shared" ca="1" si="5"/>
        <v>1.5387083267558612E-2</v>
      </c>
      <c r="AA39" s="170">
        <v>7</v>
      </c>
      <c r="AB39" s="35">
        <f t="shared" ca="1" si="6"/>
        <v>1.5686214463755819E-2</v>
      </c>
      <c r="AC39" s="170">
        <v>8</v>
      </c>
      <c r="AD39" s="35">
        <f t="shared" ca="1" si="7"/>
        <v>3.1266863452654057E-3</v>
      </c>
    </row>
    <row r="40" spans="1:30">
      <c r="A40" s="171"/>
      <c r="B40" s="172">
        <v>-1.253875629566908</v>
      </c>
      <c r="C40" s="172">
        <v>-3.2592166127769939E-2</v>
      </c>
      <c r="D40" s="172">
        <v>0.73934661383723232</v>
      </c>
      <c r="E40" s="171"/>
      <c r="F40" s="173"/>
      <c r="J40" s="170">
        <v>28</v>
      </c>
      <c r="K40" s="35">
        <f ca="1">MCond(OFFSET($B$12,(ROW(A28)-1)*4,0,3,3))</f>
        <v>3.1648692167093064</v>
      </c>
      <c r="M40">
        <f t="shared" ca="1" si="8"/>
        <v>1.4726020680686759E-3</v>
      </c>
      <c r="N40" s="170">
        <v>28</v>
      </c>
      <c r="O40" s="170">
        <v>1</v>
      </c>
      <c r="P40" s="35">
        <f t="shared" ca="1" si="9"/>
        <v>1.4726020680686759E-3</v>
      </c>
      <c r="Q40" s="170">
        <v>2</v>
      </c>
      <c r="R40" s="35">
        <f t="shared" ca="1" si="1"/>
        <v>6.6445794137398786E-3</v>
      </c>
      <c r="S40" s="170">
        <v>3</v>
      </c>
      <c r="T40" s="35">
        <f t="shared" ca="1" si="2"/>
        <v>4.8939633303749864E-3</v>
      </c>
      <c r="U40" s="170">
        <v>4</v>
      </c>
      <c r="V40" s="35">
        <f t="shared" ca="1" si="3"/>
        <v>6.6582308822889322E-3</v>
      </c>
      <c r="W40" s="170">
        <v>5</v>
      </c>
      <c r="X40" s="35">
        <f t="shared" ca="1" si="4"/>
        <v>4.1821074077586966E-3</v>
      </c>
      <c r="Y40" s="170">
        <v>6</v>
      </c>
      <c r="Z40" s="35">
        <f t="shared" ca="1" si="5"/>
        <v>2.3986721089615613E-3</v>
      </c>
      <c r="AA40" s="170">
        <v>7</v>
      </c>
      <c r="AB40" s="35">
        <f t="shared" ca="1" si="6"/>
        <v>1.9639101063275975E-3</v>
      </c>
      <c r="AC40" s="170">
        <v>8</v>
      </c>
      <c r="AD40" s="35">
        <f t="shared" ca="1" si="7"/>
        <v>2.4736518342715276E-3</v>
      </c>
    </row>
    <row r="41" spans="1:30">
      <c r="A41" s="171" t="s">
        <v>221</v>
      </c>
      <c r="B41" s="172">
        <v>-1.4028471761352286</v>
      </c>
      <c r="C41" s="172">
        <v>0.814665459345566</v>
      </c>
      <c r="D41" s="172">
        <v>0.7195871750303805</v>
      </c>
      <c r="E41" s="171"/>
      <c r="F41" s="173">
        <f>MCond(B40:D42)</f>
        <v>8.8077991376995399</v>
      </c>
      <c r="J41" s="170">
        <v>29</v>
      </c>
      <c r="K41" s="35">
        <f ca="1">MCond(OFFSET($B$12,(ROW(A29)-1)*4,0,3,3))</f>
        <v>16.234426054507814</v>
      </c>
      <c r="M41">
        <f t="shared" ca="1" si="8"/>
        <v>7.5538190505810244E-3</v>
      </c>
      <c r="N41" s="170">
        <v>29</v>
      </c>
      <c r="O41" s="170">
        <v>1</v>
      </c>
      <c r="P41" s="35">
        <f t="shared" ca="1" si="9"/>
        <v>7.5538190505810244E-3</v>
      </c>
      <c r="Q41" s="170">
        <v>2</v>
      </c>
      <c r="R41" s="35">
        <f t="shared" ca="1" si="1"/>
        <v>2.7667309292672481E-2</v>
      </c>
      <c r="S41" s="170">
        <v>3</v>
      </c>
      <c r="T41" s="35">
        <f t="shared" ca="1" si="2"/>
        <v>2.5497643612000805E-2</v>
      </c>
      <c r="U41" s="170">
        <v>4</v>
      </c>
      <c r="V41" s="35">
        <f t="shared" ca="1" si="3"/>
        <v>1.7771275311888244E-2</v>
      </c>
      <c r="W41" s="170">
        <v>5</v>
      </c>
      <c r="X41" s="35">
        <f t="shared" ca="1" si="4"/>
        <v>2.6236224395142869E-2</v>
      </c>
      <c r="Y41" s="170">
        <v>6</v>
      </c>
      <c r="Z41" s="35">
        <f t="shared" ca="1" si="5"/>
        <v>4.8125641909411508E-2</v>
      </c>
      <c r="AA41" s="170">
        <v>7</v>
      </c>
      <c r="AB41" s="35">
        <f t="shared" ca="1" si="6"/>
        <v>2.4620830589450308E-2</v>
      </c>
      <c r="AC41" s="170">
        <v>8</v>
      </c>
      <c r="AD41" s="35">
        <f t="shared" ca="1" si="7"/>
        <v>3.0579804638747325E-3</v>
      </c>
    </row>
    <row r="42" spans="1:30">
      <c r="A42" s="171"/>
      <c r="B42" s="172">
        <v>0.58367185674448252</v>
      </c>
      <c r="C42" s="172">
        <v>2.0841504898711007</v>
      </c>
      <c r="D42" s="172">
        <v>0.75171422039661484</v>
      </c>
      <c r="E42" s="171"/>
      <c r="F42" s="173"/>
      <c r="J42" s="170">
        <v>30</v>
      </c>
      <c r="K42" s="35">
        <f ca="1">MCond(OFFSET($B$12,(ROW(A30)-1)*4,0,3,3))</f>
        <v>21.390548698925272</v>
      </c>
      <c r="M42">
        <f t="shared" ca="1" si="8"/>
        <v>9.9529440536924203E-3</v>
      </c>
      <c r="N42" s="170">
        <v>30</v>
      </c>
      <c r="O42" s="170">
        <v>1</v>
      </c>
      <c r="P42" s="35">
        <f t="shared" ca="1" si="9"/>
        <v>9.9529440536924203E-3</v>
      </c>
      <c r="Q42" s="170">
        <v>2</v>
      </c>
      <c r="R42" s="35">
        <f t="shared" ca="1" si="1"/>
        <v>9.8505028024531722E-3</v>
      </c>
      <c r="S42" s="170">
        <v>3</v>
      </c>
      <c r="T42" s="35">
        <f t="shared" ca="1" si="2"/>
        <v>5.0898067430484801E-3</v>
      </c>
      <c r="U42" s="170">
        <v>4</v>
      </c>
      <c r="V42" s="35">
        <f t="shared" ca="1" si="3"/>
        <v>2.9146032978463322E-3</v>
      </c>
      <c r="W42" s="170">
        <v>5</v>
      </c>
      <c r="X42" s="35">
        <f t="shared" ca="1" si="4"/>
        <v>2.7759350490759822E-3</v>
      </c>
      <c r="Y42" s="170">
        <v>6</v>
      </c>
      <c r="Z42" s="35">
        <f t="shared" ca="1" si="5"/>
        <v>3.9565009068696019E-3</v>
      </c>
      <c r="AA42" s="170">
        <v>7</v>
      </c>
      <c r="AB42" s="35">
        <f t="shared" ca="1" si="6"/>
        <v>3.0544980309778289E-3</v>
      </c>
      <c r="AC42" s="170">
        <v>8</v>
      </c>
      <c r="AD42" s="35">
        <f t="shared" ca="1" si="7"/>
        <v>5.2975046989748352E-3</v>
      </c>
    </row>
    <row r="43" spans="1:30">
      <c r="A43" s="171"/>
      <c r="B43" s="172"/>
      <c r="C43" s="172"/>
      <c r="D43" s="172"/>
      <c r="E43" s="171"/>
      <c r="F43" s="174"/>
      <c r="J43" s="170">
        <v>31</v>
      </c>
      <c r="K43" s="35">
        <f ca="1">MCond(OFFSET($B$12,(ROW(A31)-1)*4,0,3,3))</f>
        <v>5.3134649198272017</v>
      </c>
      <c r="M43">
        <f t="shared" ca="1" si="8"/>
        <v>2.4723357882331701E-3</v>
      </c>
      <c r="N43" s="170">
        <v>31</v>
      </c>
      <c r="O43" s="170">
        <v>1</v>
      </c>
      <c r="P43" s="35">
        <f t="shared" ca="1" si="9"/>
        <v>2.4723357882331701E-3</v>
      </c>
      <c r="Q43" s="170">
        <v>2</v>
      </c>
      <c r="R43" s="35">
        <f t="shared" ca="1" si="1"/>
        <v>4.7166158791975684E-3</v>
      </c>
      <c r="S43" s="170">
        <v>3</v>
      </c>
      <c r="T43" s="35">
        <f t="shared" ca="1" si="2"/>
        <v>4.0048319827518481E-3</v>
      </c>
      <c r="U43" s="170">
        <v>4</v>
      </c>
      <c r="V43" s="35">
        <f t="shared" ca="1" si="3"/>
        <v>3.6898373280579138E-3</v>
      </c>
      <c r="W43" s="170">
        <v>5</v>
      </c>
      <c r="X43" s="35">
        <f t="shared" ca="1" si="4"/>
        <v>3.5261255974567635E-3</v>
      </c>
      <c r="Y43" s="170">
        <v>6</v>
      </c>
      <c r="Z43" s="35">
        <f t="shared" ca="1" si="5"/>
        <v>2.9742423975155463E-3</v>
      </c>
      <c r="AA43" s="170">
        <v>7</v>
      </c>
      <c r="AB43" s="35">
        <f t="shared" ca="1" si="6"/>
        <v>1.607893183805561E-3</v>
      </c>
      <c r="AC43" s="170">
        <v>8</v>
      </c>
      <c r="AD43" s="35">
        <f t="shared" ca="1" si="7"/>
        <v>1.9512900709030819E-3</v>
      </c>
    </row>
    <row r="44" spans="1:30">
      <c r="A44" s="171"/>
      <c r="B44" s="172">
        <v>-1.253875629566908</v>
      </c>
      <c r="C44" s="172">
        <v>-3.2592166127769939E-2</v>
      </c>
      <c r="D44" s="172">
        <v>0.73934661383723232</v>
      </c>
      <c r="E44" s="171"/>
      <c r="F44" s="173"/>
      <c r="J44" s="170">
        <v>32</v>
      </c>
      <c r="K44" s="35">
        <f ca="1">MCond(OFFSET($B$12,(ROW(A32)-1)*4,0,3,3))</f>
        <v>13.908174758807807</v>
      </c>
      <c r="M44">
        <f t="shared" ca="1" si="8"/>
        <v>6.4714228331293902E-3</v>
      </c>
      <c r="N44" s="170">
        <v>32</v>
      </c>
      <c r="O44" s="170">
        <v>1</v>
      </c>
      <c r="P44" s="35">
        <f t="shared" ca="1" si="9"/>
        <v>6.4714228331293902E-3</v>
      </c>
      <c r="Q44" s="170">
        <v>2</v>
      </c>
      <c r="R44" s="35">
        <f t="shared" ca="1" si="1"/>
        <v>3.3472266228384957E-2</v>
      </c>
      <c r="S44" s="170">
        <v>3</v>
      </c>
      <c r="T44" s="35">
        <f t="shared" ca="1" si="2"/>
        <v>4.1068372245798075E-2</v>
      </c>
      <c r="U44" s="170">
        <v>4</v>
      </c>
      <c r="V44" s="35">
        <f t="shared" ca="1" si="3"/>
        <v>2.368195622143561E-2</v>
      </c>
      <c r="W44" s="170">
        <v>5</v>
      </c>
      <c r="X44" s="35">
        <f t="shared" ca="1" si="4"/>
        <v>2.4673257797662305E-2</v>
      </c>
      <c r="Y44" s="170">
        <v>6</v>
      </c>
      <c r="Z44" s="35">
        <f t="shared" ca="1" si="5"/>
        <v>1.7146087406626983E-2</v>
      </c>
      <c r="AA44" s="170">
        <v>7</v>
      </c>
      <c r="AB44" s="35">
        <f t="shared" ca="1" si="6"/>
        <v>1.4279599118654937E-2</v>
      </c>
      <c r="AC44" s="170">
        <v>8</v>
      </c>
      <c r="AD44" s="35">
        <f t="shared" ca="1" si="7"/>
        <v>2.0612889458582195E-3</v>
      </c>
    </row>
    <row r="45" spans="1:30">
      <c r="A45" s="171" t="s">
        <v>222</v>
      </c>
      <c r="B45" s="172">
        <v>-1.4028471761352286</v>
      </c>
      <c r="C45" s="172">
        <v>0.814665459345566</v>
      </c>
      <c r="D45" s="172">
        <v>0.7195871750303805</v>
      </c>
      <c r="E45" s="171"/>
      <c r="F45" s="173">
        <f>MCond(B44:D46)</f>
        <v>37.099744408603527</v>
      </c>
      <c r="J45" s="170">
        <v>33</v>
      </c>
      <c r="K45" s="35">
        <f ca="1">MCond(OFFSET($B$12,(ROW(A33)-1)*4,0,3,3))</f>
        <v>4.7248309144760778</v>
      </c>
      <c r="M45">
        <f t="shared" ca="1" si="8"/>
        <v>2.19844653902214E-3</v>
      </c>
      <c r="N45" s="170">
        <v>33</v>
      </c>
      <c r="O45" s="170">
        <v>1</v>
      </c>
      <c r="P45" s="35">
        <f t="shared" ca="1" si="9"/>
        <v>2.19844653902214E-3</v>
      </c>
      <c r="Q45" s="170">
        <v>2</v>
      </c>
      <c r="R45" s="35">
        <f t="shared" ca="1" si="1"/>
        <v>3.5004664610231982E-3</v>
      </c>
      <c r="S45" s="170">
        <v>3</v>
      </c>
      <c r="T45" s="35">
        <f t="shared" ca="1" si="2"/>
        <v>3.7748031109670573E-3</v>
      </c>
      <c r="U45" s="170">
        <v>4</v>
      </c>
      <c r="V45" s="35">
        <f t="shared" ca="1" si="3"/>
        <v>3.1438437596314189E-3</v>
      </c>
      <c r="W45" s="170">
        <v>5</v>
      </c>
      <c r="X45" s="35">
        <f t="shared" ca="1" si="4"/>
        <v>4.0699765389870463E-3</v>
      </c>
      <c r="Y45" s="170">
        <v>6</v>
      </c>
      <c r="Z45" s="35">
        <f t="shared" ca="1" si="5"/>
        <v>1.9370721454461774E-3</v>
      </c>
      <c r="AA45" s="170">
        <v>7</v>
      </c>
      <c r="AB45" s="35">
        <f t="shared" ca="1" si="6"/>
        <v>1.8761418144596896E-3</v>
      </c>
      <c r="AC45" s="170">
        <v>8</v>
      </c>
      <c r="AD45" s="35">
        <f t="shared" ca="1" si="7"/>
        <v>2.5450480528708477E-3</v>
      </c>
    </row>
    <row r="46" spans="1:30">
      <c r="A46" s="171"/>
      <c r="B46" s="172">
        <v>-2.5457845528396139E-2</v>
      </c>
      <c r="C46" s="172">
        <v>2.3667658472617719</v>
      </c>
      <c r="D46" s="172">
        <v>6.368425350466822E-2</v>
      </c>
      <c r="E46" s="171"/>
      <c r="F46" s="173"/>
      <c r="J46" s="170">
        <v>34</v>
      </c>
      <c r="K46" s="35">
        <f ca="1">MCond(OFFSET($B$12,(ROW(A34)-1)*4,0,3,3))</f>
        <v>13.812589110219603</v>
      </c>
      <c r="M46">
        <f t="shared" ca="1" si="8"/>
        <v>6.4269471805351169E-3</v>
      </c>
      <c r="N46" s="170">
        <v>34</v>
      </c>
      <c r="O46" s="170">
        <v>1</v>
      </c>
      <c r="P46" s="35">
        <f t="shared" ca="1" si="9"/>
        <v>6.4269471805351169E-3</v>
      </c>
      <c r="Q46" s="170">
        <v>2</v>
      </c>
      <c r="R46" s="35">
        <f t="shared" ca="1" si="1"/>
        <v>6.0512405402459741E-3</v>
      </c>
      <c r="S46" s="170">
        <v>3</v>
      </c>
      <c r="T46" s="35">
        <f t="shared" ca="1" si="2"/>
        <v>5.7230222196591575E-3</v>
      </c>
      <c r="U46" s="170">
        <v>4</v>
      </c>
      <c r="V46" s="35">
        <f t="shared" ca="1" si="3"/>
        <v>5.0847164794319494E-3</v>
      </c>
      <c r="W46" s="170">
        <v>5</v>
      </c>
      <c r="X46" s="35">
        <f t="shared" ca="1" si="4"/>
        <v>4.1065405697672764E-3</v>
      </c>
      <c r="Y46" s="170">
        <v>6</v>
      </c>
      <c r="Z46" s="35">
        <f t="shared" ca="1" si="5"/>
        <v>1.5547135894979911E-3</v>
      </c>
      <c r="AA46" s="170">
        <v>7</v>
      </c>
      <c r="AB46" s="35">
        <f t="shared" ca="1" si="6"/>
        <v>2.290957867384009E-3</v>
      </c>
      <c r="AC46" s="170">
        <v>8</v>
      </c>
      <c r="AD46" s="35">
        <f t="shared" ca="1" si="7"/>
        <v>1.7158422273198131E-3</v>
      </c>
    </row>
    <row r="47" spans="1:30">
      <c r="A47" s="171"/>
      <c r="B47" s="172"/>
      <c r="C47" s="172"/>
      <c r="D47" s="172"/>
      <c r="E47" s="171"/>
      <c r="F47" s="174"/>
      <c r="J47" s="170">
        <v>35</v>
      </c>
      <c r="K47" s="35">
        <f ca="1">MCond(OFFSET($B$12,(ROW(A35)-1)*4,0,3,3))</f>
        <v>6.4227760464603234</v>
      </c>
      <c r="M47">
        <f t="shared" ca="1" si="8"/>
        <v>2.988494197113663E-3</v>
      </c>
      <c r="N47" s="170">
        <v>35</v>
      </c>
      <c r="O47" s="170">
        <v>1</v>
      </c>
      <c r="P47" s="35">
        <f t="shared" ca="1" si="9"/>
        <v>2.988494197113663E-3</v>
      </c>
      <c r="Q47" s="170">
        <v>2</v>
      </c>
      <c r="R47" s="35">
        <f t="shared" ca="1" si="1"/>
        <v>3.5581177268240042E-3</v>
      </c>
      <c r="S47" s="170">
        <v>3</v>
      </c>
      <c r="T47" s="35">
        <f t="shared" ca="1" si="2"/>
        <v>3.987270253635186E-3</v>
      </c>
      <c r="U47" s="170">
        <v>4</v>
      </c>
      <c r="V47" s="35">
        <f t="shared" ca="1" si="3"/>
        <v>2.7695593731638566E-3</v>
      </c>
      <c r="W47" s="170">
        <v>5</v>
      </c>
      <c r="X47" s="35">
        <f t="shared" ca="1" si="4"/>
        <v>4.2358306023054584E-3</v>
      </c>
      <c r="Y47" s="170">
        <v>6</v>
      </c>
      <c r="Z47" s="35">
        <f t="shared" ca="1" si="5"/>
        <v>4.0781063967259314E-3</v>
      </c>
      <c r="AA47" s="170">
        <v>7</v>
      </c>
      <c r="AB47" s="35">
        <f t="shared" ca="1" si="6"/>
        <v>1.4859129151665877E-3</v>
      </c>
      <c r="AC47" s="170">
        <v>8</v>
      </c>
      <c r="AD47" s="35">
        <f t="shared" ca="1" si="7"/>
        <v>2.6794635812882666E-3</v>
      </c>
    </row>
    <row r="48" spans="1:30">
      <c r="A48" s="171"/>
      <c r="B48" s="172">
        <v>-1.253875629566908</v>
      </c>
      <c r="C48" s="172">
        <v>-3.2592166127769939E-2</v>
      </c>
      <c r="D48" s="172">
        <v>0.73934661383723232</v>
      </c>
      <c r="E48" s="171"/>
      <c r="F48" s="173"/>
      <c r="J48">
        <v>36</v>
      </c>
      <c r="K48" s="35">
        <f ca="1">MCond(OFFSET($B$12,(ROW(A36)-1)*4,0,3,3))</f>
        <v>4.0468810703453864</v>
      </c>
      <c r="M48">
        <f t="shared" ca="1" si="8"/>
        <v>1.8829989567831068E-3</v>
      </c>
    </row>
    <row r="49" spans="1:13">
      <c r="A49" s="171" t="s">
        <v>223</v>
      </c>
      <c r="B49" s="172">
        <v>1.4421025939282253</v>
      </c>
      <c r="C49" s="172">
        <v>1.0431877148697888</v>
      </c>
      <c r="D49" s="172">
        <v>0.78932433807079116</v>
      </c>
      <c r="E49" s="171"/>
      <c r="F49" s="173">
        <f>MCond(B48:D50)</f>
        <v>3.6568969588621991</v>
      </c>
      <c r="J49">
        <v>37</v>
      </c>
      <c r="K49" s="35">
        <f ca="1">MCond(OFFSET($B$12,(ROW(A37)-1)*4,0,3,3))</f>
        <v>6.5562246319096911</v>
      </c>
      <c r="M49">
        <f t="shared" ca="1" si="8"/>
        <v>3.0505873357103688E-3</v>
      </c>
    </row>
    <row r="50" spans="1:13">
      <c r="A50" s="171"/>
      <c r="B50" s="172">
        <v>-1.0351585166444348</v>
      </c>
      <c r="C50" s="172">
        <v>2.1037449841221099</v>
      </c>
      <c r="D50" s="172">
        <v>0.82913701269133588</v>
      </c>
      <c r="E50" s="171"/>
      <c r="F50" s="173"/>
      <c r="J50">
        <v>38</v>
      </c>
      <c r="K50" s="35">
        <f ca="1">MCond(OFFSET($B$12,(ROW(A38)-1)*4,0,3,3))</f>
        <v>4.0319098330014373</v>
      </c>
      <c r="M50">
        <f t="shared" ca="1" si="8"/>
        <v>1.8760328948182561E-3</v>
      </c>
    </row>
    <row r="51" spans="1:13">
      <c r="A51" s="171"/>
      <c r="B51" s="172"/>
      <c r="C51" s="172"/>
      <c r="D51" s="172"/>
      <c r="E51" s="171"/>
      <c r="F51" s="174"/>
      <c r="J51">
        <v>39</v>
      </c>
      <c r="K51" s="35">
        <f ca="1">MCond(OFFSET($B$12,(ROW(A39)-1)*4,0,3,3))</f>
        <v>5.3172710655545243</v>
      </c>
      <c r="M51">
        <f t="shared" ca="1" si="8"/>
        <v>2.474106773915559E-3</v>
      </c>
    </row>
    <row r="52" spans="1:13">
      <c r="A52" s="171"/>
      <c r="B52" s="172">
        <v>-1.253875629566908</v>
      </c>
      <c r="C52" s="172">
        <v>-3.2592166127769939E-2</v>
      </c>
      <c r="D52" s="172">
        <v>0.73934661383723232</v>
      </c>
      <c r="E52" s="171"/>
      <c r="F52" s="173"/>
      <c r="J52">
        <v>40</v>
      </c>
      <c r="K52" s="35">
        <f ca="1">MCond(OFFSET($B$12,(ROW(A40)-1)*4,0,3,3))</f>
        <v>5.1746470606257837</v>
      </c>
      <c r="M52">
        <f t="shared" ca="1" si="8"/>
        <v>2.4077443462027707E-3</v>
      </c>
    </row>
    <row r="53" spans="1:13">
      <c r="A53" s="171" t="s">
        <v>224</v>
      </c>
      <c r="B53" s="172">
        <v>1.4421025939282253</v>
      </c>
      <c r="C53" s="172">
        <v>1.0431877148697888</v>
      </c>
      <c r="D53" s="172">
        <v>0.78932433807079116</v>
      </c>
      <c r="E53" s="171"/>
      <c r="F53" s="173">
        <f>MCond(B52:D54)</f>
        <v>4.497468867237159</v>
      </c>
      <c r="J53">
        <v>41</v>
      </c>
      <c r="K53" s="35">
        <f ca="1">MCond(OFFSET($B$12,(ROW(A41)-1)*4,0,3,3))</f>
        <v>5.3206171986713269</v>
      </c>
      <c r="M53">
        <f t="shared" ca="1" si="8"/>
        <v>2.4756637174131991E-3</v>
      </c>
    </row>
    <row r="54" spans="1:13">
      <c r="A54" s="171"/>
      <c r="B54" s="172">
        <v>0.58367185674448252</v>
      </c>
      <c r="C54" s="172">
        <v>2.0841504898711007</v>
      </c>
      <c r="D54" s="172">
        <v>0.75171422039661484</v>
      </c>
      <c r="E54" s="171"/>
      <c r="F54" s="173"/>
      <c r="J54">
        <v>42</v>
      </c>
      <c r="K54" s="35">
        <f ca="1">MCond(OFFSET($B$12,(ROW(A42)-1)*4,0,3,3))</f>
        <v>14.924598791824929</v>
      </c>
      <c r="M54">
        <f t="shared" ca="1" si="8"/>
        <v>6.9443612171716899E-3</v>
      </c>
    </row>
    <row r="55" spans="1:13">
      <c r="A55" s="171"/>
      <c r="B55" s="172"/>
      <c r="C55" s="172"/>
      <c r="D55" s="172"/>
      <c r="E55" s="171"/>
      <c r="F55" s="174"/>
      <c r="J55">
        <v>43</v>
      </c>
      <c r="K55" s="35">
        <f ca="1">MCond(OFFSET($B$12,(ROW(A43)-1)*4,0,3,3))</f>
        <v>7.888357243357154</v>
      </c>
      <c r="M55">
        <f t="shared" ca="1" si="8"/>
        <v>3.670423766297207E-3</v>
      </c>
    </row>
    <row r="56" spans="1:13">
      <c r="A56" s="171"/>
      <c r="B56" s="172">
        <v>-1.253875629566908</v>
      </c>
      <c r="C56" s="172">
        <v>-3.2592166127769939E-2</v>
      </c>
      <c r="D56" s="172">
        <v>0.73934661383723232</v>
      </c>
      <c r="E56" s="171"/>
      <c r="F56" s="173"/>
      <c r="J56">
        <v>44</v>
      </c>
      <c r="K56" s="35">
        <f ca="1">MCond(OFFSET($B$12,(ROW(A44)-1)*4,0,3,3))</f>
        <v>31.543651568563895</v>
      </c>
      <c r="M56">
        <f t="shared" ca="1" si="8"/>
        <v>1.4677145674475268E-2</v>
      </c>
    </row>
    <row r="57" spans="1:13">
      <c r="A57" s="171" t="s">
        <v>225</v>
      </c>
      <c r="B57" s="172">
        <v>1.4421025939282253</v>
      </c>
      <c r="C57" s="172">
        <v>1.0431877148697888</v>
      </c>
      <c r="D57" s="172">
        <v>0.78932433807079116</v>
      </c>
      <c r="E57" s="171"/>
      <c r="F57" s="173">
        <f>MCond(B56:D58)</f>
        <v>2.7091989128856673</v>
      </c>
      <c r="J57">
        <v>45</v>
      </c>
      <c r="K57" s="35">
        <f ca="1">MCond(OFFSET($B$12,(ROW(A45)-1)*4,0,3,3))</f>
        <v>5.1709959027855508</v>
      </c>
      <c r="M57">
        <f t="shared" ca="1" si="8"/>
        <v>2.4060454758172314E-3</v>
      </c>
    </row>
    <row r="58" spans="1:13">
      <c r="A58" s="171"/>
      <c r="B58" s="172">
        <v>-2.5457845528396139E-2</v>
      </c>
      <c r="C58" s="172">
        <v>2.3667658472617719</v>
      </c>
      <c r="D58" s="172">
        <v>6.368425350466822E-2</v>
      </c>
      <c r="E58" s="171"/>
      <c r="F58" s="173"/>
      <c r="J58">
        <v>46</v>
      </c>
      <c r="K58" s="35">
        <f ca="1">MCond(OFFSET($B$12,(ROW(A46)-1)*4,0,3,3))</f>
        <v>7.1675826345810227</v>
      </c>
      <c r="M58">
        <f t="shared" ca="1" si="8"/>
        <v>3.33504997774024E-3</v>
      </c>
    </row>
    <row r="59" spans="1:13">
      <c r="A59" s="171"/>
      <c r="B59" s="172"/>
      <c r="C59" s="172"/>
      <c r="D59" s="172"/>
      <c r="E59" s="171"/>
      <c r="F59" s="174"/>
      <c r="J59">
        <v>47</v>
      </c>
      <c r="K59" s="35">
        <f ca="1">MCond(OFFSET($B$12,(ROW(A47)-1)*4,0,3,3))</f>
        <v>5.020555181865034</v>
      </c>
      <c r="M59">
        <f t="shared" ca="1" si="8"/>
        <v>2.3360459587504117E-3</v>
      </c>
    </row>
    <row r="60" spans="1:13">
      <c r="A60" s="171"/>
      <c r="B60" s="172">
        <v>-1.253875629566908</v>
      </c>
      <c r="C60" s="172">
        <v>-3.2592166127769939E-2</v>
      </c>
      <c r="D60" s="172">
        <v>0.73934661383723232</v>
      </c>
      <c r="E60" s="171"/>
      <c r="F60" s="173"/>
      <c r="J60">
        <v>48</v>
      </c>
      <c r="K60" s="35">
        <f ca="1">MCond(OFFSET($B$12,(ROW(A48)-1)*4,0,3,3))</f>
        <v>8.0179728515029733</v>
      </c>
      <c r="M60">
        <f t="shared" ca="1" si="8"/>
        <v>3.7307334345772674E-3</v>
      </c>
    </row>
    <row r="61" spans="1:13">
      <c r="A61" s="171" t="s">
        <v>226</v>
      </c>
      <c r="B61" s="172">
        <v>-1.0351585166444348</v>
      </c>
      <c r="C61" s="172">
        <v>2.1037449841221099</v>
      </c>
      <c r="D61" s="172">
        <v>0.82913701269133588</v>
      </c>
      <c r="E61" s="171"/>
      <c r="F61" s="173">
        <f>MCond(B60:D62)</f>
        <v>7.6413054265435116</v>
      </c>
      <c r="J61">
        <v>49</v>
      </c>
      <c r="K61" s="35">
        <f ca="1">MCond(OFFSET($B$12,(ROW(A49)-1)*4,0,3,3))</f>
        <v>35.843588743019239</v>
      </c>
      <c r="M61">
        <f t="shared" ca="1" si="8"/>
        <v>1.6677890710711601E-2</v>
      </c>
    </row>
    <row r="62" spans="1:13">
      <c r="A62" s="171"/>
      <c r="B62" s="172">
        <v>0.58367185674448252</v>
      </c>
      <c r="C62" s="172">
        <v>2.0841504898711007</v>
      </c>
      <c r="D62" s="172">
        <v>0.75171422039661484</v>
      </c>
      <c r="E62" s="171"/>
      <c r="F62" s="173"/>
      <c r="J62">
        <v>50</v>
      </c>
      <c r="K62" s="35">
        <f ca="1">MCond(OFFSET($B$12,(ROW(A50)-1)*4,0,3,3))</f>
        <v>6.0262694639012206</v>
      </c>
      <c r="M62">
        <f t="shared" ca="1" si="8"/>
        <v>2.8040011348422029E-3</v>
      </c>
    </row>
    <row r="63" spans="1:13">
      <c r="A63" s="171"/>
      <c r="B63" s="172"/>
      <c r="C63" s="172"/>
      <c r="D63" s="172"/>
      <c r="E63" s="171"/>
      <c r="F63" s="174"/>
      <c r="J63">
        <v>51</v>
      </c>
      <c r="K63" s="35">
        <f ca="1">MCond(OFFSET($B$12,(ROW(A51)-1)*4,0,3,3))</f>
        <v>222.32523405718308</v>
      </c>
      <c r="M63">
        <f t="shared" ca="1" si="8"/>
        <v>0.10344711804454056</v>
      </c>
    </row>
    <row r="64" spans="1:13">
      <c r="A64" s="171"/>
      <c r="B64" s="172">
        <v>-1.253875629566908</v>
      </c>
      <c r="C64" s="172">
        <v>-3.2592166127769939E-2</v>
      </c>
      <c r="D64" s="172">
        <v>0.73934661383723232</v>
      </c>
      <c r="E64" s="171"/>
      <c r="F64" s="173"/>
      <c r="J64">
        <v>52</v>
      </c>
      <c r="K64" s="35">
        <f ca="1">MCond(OFFSET($B$12,(ROW(A52)-1)*4,0,3,3))</f>
        <v>49.448565792947846</v>
      </c>
      <c r="M64">
        <f t="shared" ca="1" si="8"/>
        <v>2.3008236759128404E-2</v>
      </c>
    </row>
    <row r="65" spans="1:13">
      <c r="A65" s="171" t="s">
        <v>227</v>
      </c>
      <c r="B65" s="172">
        <v>-1.0351585166444348</v>
      </c>
      <c r="C65" s="172">
        <v>2.1037449841221099</v>
      </c>
      <c r="D65" s="172">
        <v>0.82913701269133588</v>
      </c>
      <c r="E65" s="171"/>
      <c r="F65" s="173">
        <f>MCond(B64:D66)</f>
        <v>35.570359419370689</v>
      </c>
      <c r="J65">
        <v>53</v>
      </c>
      <c r="K65" s="35">
        <f ca="1">MCond(OFFSET($B$12,(ROW(A53)-1)*4,0,3,3))</f>
        <v>317.80209627578216</v>
      </c>
      <c r="M65">
        <f t="shared" ca="1" si="8"/>
        <v>0.1478721527390251</v>
      </c>
    </row>
    <row r="66" spans="1:13">
      <c r="A66" s="171"/>
      <c r="B66" s="172">
        <v>-2.5457845528396139E-2</v>
      </c>
      <c r="C66" s="172">
        <v>2.3667658472617719</v>
      </c>
      <c r="D66" s="172">
        <v>6.368425350466822E-2</v>
      </c>
      <c r="E66" s="171"/>
      <c r="F66" s="173"/>
      <c r="J66">
        <v>54</v>
      </c>
      <c r="K66" s="35">
        <f ca="1">MCond(OFFSET($B$12,(ROW(A54)-1)*4,0,3,3))</f>
        <v>15.482311838444748</v>
      </c>
      <c r="M66">
        <f t="shared" ca="1" si="8"/>
        <v>7.2038630574073406E-3</v>
      </c>
    </row>
    <row r="67" spans="1:13">
      <c r="A67" s="171"/>
      <c r="B67" s="172"/>
      <c r="C67" s="172"/>
      <c r="D67" s="172"/>
      <c r="E67" s="171"/>
      <c r="F67" s="174"/>
      <c r="J67">
        <v>55</v>
      </c>
      <c r="K67" s="35">
        <f ca="1">MCond(OFFSET($B$12,(ROW(A55)-1)*4,0,3,3))</f>
        <v>180.39381408191585</v>
      </c>
      <c r="M67">
        <f t="shared" ca="1" si="8"/>
        <v>8.3936581733394688E-2</v>
      </c>
    </row>
    <row r="68" spans="1:13">
      <c r="A68" s="171"/>
      <c r="B68" s="172">
        <v>-1.253875629566908</v>
      </c>
      <c r="C68" s="172">
        <v>-3.2592166127769939E-2</v>
      </c>
      <c r="D68" s="172">
        <v>0.73934661383723232</v>
      </c>
      <c r="E68" s="171"/>
      <c r="F68" s="173"/>
      <c r="J68">
        <v>56</v>
      </c>
      <c r="K68" s="35">
        <f ca="1">MCond(OFFSET($B$12,(ROW(A56)-1)*4,0,3,3))</f>
        <v>326.12223160360338</v>
      </c>
      <c r="M68">
        <f t="shared" ca="1" si="8"/>
        <v>0.15174348126839166</v>
      </c>
    </row>
    <row r="69" spans="1:13">
      <c r="A69" s="171" t="s">
        <v>228</v>
      </c>
      <c r="B69" s="172">
        <v>0.58367185674448252</v>
      </c>
      <c r="C69" s="172">
        <v>2.0841504898711007</v>
      </c>
      <c r="D69" s="172">
        <v>0.75171422039661484</v>
      </c>
      <c r="E69" s="171"/>
      <c r="F69" s="173">
        <f>MCond(B68:D70)</f>
        <v>4.8602217427722341</v>
      </c>
      <c r="J69">
        <v>57</v>
      </c>
      <c r="K69" s="35">
        <f ca="1">MCond(OFFSET($B$12,(ROW(A57)-1)*4,0,3,3))</f>
        <v>19.373118971201439</v>
      </c>
      <c r="M69">
        <f t="shared" ca="1" si="8"/>
        <v>9.0142413820166779E-3</v>
      </c>
    </row>
    <row r="70" spans="1:13">
      <c r="A70" s="171"/>
      <c r="B70" s="172">
        <v>-2.5457845528396139E-2</v>
      </c>
      <c r="C70" s="172">
        <v>2.3667658472617719</v>
      </c>
      <c r="D70" s="172">
        <v>6.368425350466822E-2</v>
      </c>
      <c r="E70" s="171"/>
      <c r="F70" s="173"/>
      <c r="J70">
        <v>58</v>
      </c>
      <c r="K70" s="35">
        <f ca="1">MCond(OFFSET($B$12,(ROW(A58)-1)*4,0,3,3))</f>
        <v>57.193413755542728</v>
      </c>
      <c r="M70">
        <f t="shared" ca="1" si="8"/>
        <v>2.6611886182106206E-2</v>
      </c>
    </row>
    <row r="71" spans="1:13">
      <c r="A71" s="171"/>
      <c r="B71" s="172"/>
      <c r="C71" s="172"/>
      <c r="D71" s="172"/>
      <c r="E71" s="171"/>
      <c r="F71" s="174"/>
      <c r="J71">
        <v>59</v>
      </c>
      <c r="K71" s="35">
        <f ca="1">MCond(OFFSET($B$12,(ROW(A59)-1)*4,0,3,3))</f>
        <v>7.0862524060099732</v>
      </c>
      <c r="M71">
        <f t="shared" ca="1" si="8"/>
        <v>3.2972073199274299E-3</v>
      </c>
    </row>
    <row r="72" spans="1:13">
      <c r="A72" s="171"/>
      <c r="B72" s="172">
        <v>1.0419123890112216</v>
      </c>
      <c r="C72" s="172">
        <v>-4.0818532431212473E-2</v>
      </c>
      <c r="D72" s="172">
        <v>0.77248383184656022</v>
      </c>
      <c r="E72" s="171"/>
      <c r="F72" s="173"/>
      <c r="J72">
        <v>60</v>
      </c>
      <c r="K72" s="35">
        <f ca="1">MCond(OFFSET($B$12,(ROW(A60)-1)*4,0,3,3))</f>
        <v>9.7216302727657062</v>
      </c>
      <c r="M72">
        <f t="shared" ca="1" si="8"/>
        <v>4.523438999972036E-3</v>
      </c>
    </row>
    <row r="73" spans="1:13">
      <c r="A73" s="171" t="s">
        <v>229</v>
      </c>
      <c r="B73" s="172">
        <v>-1.4028471761352286</v>
      </c>
      <c r="C73" s="172">
        <v>0.814665459345566</v>
      </c>
      <c r="D73" s="172">
        <v>0.7195871750303805</v>
      </c>
      <c r="E73" s="171"/>
      <c r="F73" s="173">
        <f>MCond(B72:D74)</f>
        <v>4.1121618081555962</v>
      </c>
      <c r="J73">
        <v>61</v>
      </c>
      <c r="K73" s="35">
        <f ca="1">MCond(OFFSET($B$12,(ROW(A61)-1)*4,0,3,3))</f>
        <v>63.728386371176278</v>
      </c>
      <c r="M73">
        <f t="shared" ca="1" si="8"/>
        <v>2.965258503239239E-2</v>
      </c>
    </row>
    <row r="74" spans="1:13">
      <c r="A74" s="171"/>
      <c r="B74" s="172">
        <v>1.4421025939282253</v>
      </c>
      <c r="C74" s="172">
        <v>1.0431877148697888</v>
      </c>
      <c r="D74" s="172">
        <v>0.78932433807079116</v>
      </c>
      <c r="E74" s="171"/>
      <c r="F74" s="173"/>
      <c r="J74">
        <v>62</v>
      </c>
      <c r="K74" s="35">
        <f ca="1">MCond(OFFSET($B$12,(ROW(A62)-1)*4,0,3,3))</f>
        <v>1839.1895225872963</v>
      </c>
      <c r="M74">
        <f t="shared" ca="1" si="8"/>
        <v>0.8557681563057965</v>
      </c>
    </row>
    <row r="75" spans="1:13">
      <c r="A75" s="171"/>
      <c r="B75" s="172"/>
      <c r="C75" s="172"/>
      <c r="D75" s="172"/>
      <c r="E75" s="171"/>
      <c r="F75" s="174"/>
      <c r="J75">
        <v>63</v>
      </c>
      <c r="K75" s="35">
        <f ca="1">MCond(OFFSET($B$12,(ROW(A63)-1)*4,0,3,3))</f>
        <v>14.280317337938845</v>
      </c>
      <c r="M75">
        <f t="shared" ca="1" si="8"/>
        <v>6.6445794137398786E-3</v>
      </c>
    </row>
    <row r="76" spans="1:13">
      <c r="A76" s="171"/>
      <c r="B76" s="172">
        <v>1.0419123890112216</v>
      </c>
      <c r="C76" s="172">
        <v>-4.0818532431212473E-2</v>
      </c>
      <c r="D76" s="172">
        <v>0.77248383184656022</v>
      </c>
      <c r="E76" s="171"/>
      <c r="F76" s="173"/>
      <c r="J76">
        <v>64</v>
      </c>
      <c r="K76" s="35">
        <f ca="1">MCond(OFFSET($B$12,(ROW(A64)-1)*4,0,3,3))</f>
        <v>59.461695313516891</v>
      </c>
      <c r="M76">
        <f t="shared" ca="1" si="8"/>
        <v>2.7667309292672481E-2</v>
      </c>
    </row>
    <row r="77" spans="1:13">
      <c r="A77" s="171" t="s">
        <v>230</v>
      </c>
      <c r="B77" s="172">
        <v>-1.4028471761352286</v>
      </c>
      <c r="C77" s="172">
        <v>0.814665459345566</v>
      </c>
      <c r="D77" s="172">
        <v>0.7195871750303805</v>
      </c>
      <c r="E77" s="171"/>
      <c r="F77" s="173">
        <f>MCond(B76:D78)</f>
        <v>4.6589206831506358</v>
      </c>
      <c r="J77">
        <v>65</v>
      </c>
      <c r="K77" s="35">
        <f ca="1">MCond(OFFSET($B$12,(ROW(A65)-1)*4,0,3,3))</f>
        <v>21.170385241601402</v>
      </c>
      <c r="M77">
        <f t="shared" ca="1" si="8"/>
        <v>9.8505028024531722E-3</v>
      </c>
    </row>
    <row r="78" spans="1:13">
      <c r="A78" s="171"/>
      <c r="B78" s="172">
        <v>-1.0351585166444348</v>
      </c>
      <c r="C78" s="172">
        <v>2.1037449841221099</v>
      </c>
      <c r="D78" s="172">
        <v>0.82913701269133588</v>
      </c>
      <c r="E78" s="171"/>
      <c r="F78" s="173"/>
      <c r="J78">
        <v>66</v>
      </c>
      <c r="K78" s="35">
        <f ca="1">MCond(OFFSET($B$12,(ROW(A66)-1)*4,0,3,3))</f>
        <v>10.1367998366946</v>
      </c>
      <c r="M78">
        <f t="shared" ref="M78:M141" ca="1" si="10">K78/$L$13</f>
        <v>4.7166158791975684E-3</v>
      </c>
    </row>
    <row r="79" spans="1:13">
      <c r="A79" s="171"/>
      <c r="B79" s="172"/>
      <c r="C79" s="172"/>
      <c r="D79" s="172"/>
      <c r="E79" s="171"/>
      <c r="F79" s="174"/>
      <c r="J79">
        <v>67</v>
      </c>
      <c r="K79" s="35">
        <f ca="1">MCond(OFFSET($B$12,(ROW(A67)-1)*4,0,3,3))</f>
        <v>71.937522903691658</v>
      </c>
      <c r="M79">
        <f t="shared" ca="1" si="10"/>
        <v>3.3472266228384957E-2</v>
      </c>
    </row>
    <row r="80" spans="1:13">
      <c r="A80" s="171"/>
      <c r="B80" s="172">
        <v>1.0419123890112216</v>
      </c>
      <c r="C80" s="172">
        <v>-4.0818532431212473E-2</v>
      </c>
      <c r="D80" s="172">
        <v>0.77248383184656022</v>
      </c>
      <c r="E80" s="171"/>
      <c r="F80" s="173"/>
      <c r="J80">
        <v>68</v>
      </c>
      <c r="K80" s="35">
        <f ca="1">MCond(OFFSET($B$12,(ROW(A68)-1)*4,0,3,3))</f>
        <v>7.5230904443487656</v>
      </c>
      <c r="M80">
        <f t="shared" ca="1" si="10"/>
        <v>3.5004664610231982E-3</v>
      </c>
    </row>
    <row r="81" spans="1:13">
      <c r="A81" s="171" t="s">
        <v>231</v>
      </c>
      <c r="B81" s="172">
        <v>-1.4028471761352286</v>
      </c>
      <c r="C81" s="172">
        <v>0.814665459345566</v>
      </c>
      <c r="D81" s="172">
        <v>0.7195871750303805</v>
      </c>
      <c r="E81" s="171"/>
      <c r="F81" s="173">
        <f>MCond(B80:D82)</f>
        <v>3.0892013418031681</v>
      </c>
      <c r="J81">
        <v>69</v>
      </c>
      <c r="K81" s="35">
        <f ca="1">MCond(OFFSET($B$12,(ROW(A69)-1)*4,0,3,3))</f>
        <v>13.005132427828926</v>
      </c>
      <c r="M81">
        <f t="shared" ca="1" si="10"/>
        <v>6.0512405402459741E-3</v>
      </c>
    </row>
    <row r="82" spans="1:13">
      <c r="A82" s="171"/>
      <c r="B82" s="172">
        <v>0.58367185674448252</v>
      </c>
      <c r="C82" s="172">
        <v>2.0841504898711007</v>
      </c>
      <c r="D82" s="172">
        <v>0.75171422039661484</v>
      </c>
      <c r="E82" s="171"/>
      <c r="F82" s="173"/>
      <c r="J82">
        <v>70</v>
      </c>
      <c r="K82" s="35">
        <f ca="1">MCond(OFFSET($B$12,(ROW(A70)-1)*4,0,3,3))</f>
        <v>7.6469926989996724</v>
      </c>
      <c r="M82">
        <f t="shared" ca="1" si="10"/>
        <v>3.5581177268240042E-3</v>
      </c>
    </row>
    <row r="83" spans="1:13">
      <c r="A83" s="171"/>
      <c r="B83" s="172"/>
      <c r="C83" s="172"/>
      <c r="D83" s="172"/>
      <c r="E83" s="171"/>
      <c r="F83" s="174"/>
      <c r="J83">
        <v>71</v>
      </c>
      <c r="K83" s="35">
        <f ca="1">MCond(OFFSET($B$12,(ROW(A71)-1)*4,0,3,3))</f>
        <v>6.5447871116906784</v>
      </c>
      <c r="M83">
        <f t="shared" ca="1" si="10"/>
        <v>3.0452654993958785E-3</v>
      </c>
    </row>
    <row r="84" spans="1:13">
      <c r="A84" s="171"/>
      <c r="B84" s="172">
        <v>1.0419123890112216</v>
      </c>
      <c r="C84" s="172">
        <v>-4.0818532431212473E-2</v>
      </c>
      <c r="D84" s="172">
        <v>0.77248383184656022</v>
      </c>
      <c r="E84" s="171"/>
      <c r="F84" s="173"/>
      <c r="J84">
        <v>72</v>
      </c>
      <c r="K84" s="35">
        <f ca="1">MCond(OFFSET($B$12,(ROW(A72)-1)*4,0,3,3))</f>
        <v>3.8029292847047502</v>
      </c>
      <c r="M84">
        <f t="shared" ca="1" si="10"/>
        <v>1.7694890834061042E-3</v>
      </c>
    </row>
    <row r="85" spans="1:13">
      <c r="A85" s="171" t="s">
        <v>232</v>
      </c>
      <c r="B85" s="172">
        <v>-1.4028471761352286</v>
      </c>
      <c r="C85" s="172">
        <v>0.814665459345566</v>
      </c>
      <c r="D85" s="172">
        <v>0.7195871750303805</v>
      </c>
      <c r="E85" s="171"/>
      <c r="F85" s="173">
        <f>MCond(B84:D86)</f>
        <v>2.5761959575841629</v>
      </c>
      <c r="J85">
        <v>73</v>
      </c>
      <c r="K85" s="35">
        <f ca="1">MCond(OFFSET($B$12,(ROW(A73)-1)*4,0,3,3))</f>
        <v>5.3446407282175681</v>
      </c>
      <c r="M85">
        <f t="shared" ca="1" si="10"/>
        <v>2.4868417778225603E-3</v>
      </c>
    </row>
    <row r="86" spans="1:13">
      <c r="A86" s="171"/>
      <c r="B86" s="172">
        <v>-2.5457845528396139E-2</v>
      </c>
      <c r="C86" s="172">
        <v>2.3667658472617719</v>
      </c>
      <c r="D86" s="172">
        <v>6.368425350466822E-2</v>
      </c>
      <c r="E86" s="171"/>
      <c r="F86" s="173"/>
      <c r="J86">
        <v>74</v>
      </c>
      <c r="K86" s="35">
        <f ca="1">MCond(OFFSET($B$12,(ROW(A74)-1)*4,0,3,3))</f>
        <v>3.9026598544515507</v>
      </c>
      <c r="M86">
        <f t="shared" ca="1" si="10"/>
        <v>1.8158933526515513E-3</v>
      </c>
    </row>
    <row r="87" spans="1:13">
      <c r="A87" s="171"/>
      <c r="B87" s="172"/>
      <c r="C87" s="172"/>
      <c r="D87" s="172"/>
      <c r="E87" s="171"/>
      <c r="F87" s="174"/>
      <c r="J87">
        <v>75</v>
      </c>
      <c r="K87" s="35">
        <f ca="1">MCond(OFFSET($B$12,(ROW(A75)-1)*4,0,3,3))</f>
        <v>4.8270811041221897</v>
      </c>
      <c r="M87">
        <f t="shared" ca="1" si="10"/>
        <v>2.2460231781888727E-3</v>
      </c>
    </row>
    <row r="88" spans="1:13">
      <c r="A88" s="171"/>
      <c r="B88" s="172">
        <v>1.0419123890112216</v>
      </c>
      <c r="C88" s="172">
        <v>-4.0818532431212473E-2</v>
      </c>
      <c r="D88" s="172">
        <v>0.77248383184656022</v>
      </c>
      <c r="E88" s="171"/>
      <c r="F88" s="173"/>
      <c r="J88">
        <v>76</v>
      </c>
      <c r="K88" s="35">
        <f ca="1">MCond(OFFSET($B$12,(ROW(A76)-1)*4,0,3,3))</f>
        <v>4.2243239500446652</v>
      </c>
      <c r="M88">
        <f t="shared" ca="1" si="10"/>
        <v>1.9655624795440604E-3</v>
      </c>
    </row>
    <row r="89" spans="1:13">
      <c r="A89" s="171" t="s">
        <v>233</v>
      </c>
      <c r="B89" s="172">
        <v>1.4421025939282253</v>
      </c>
      <c r="C89" s="172">
        <v>1.0431877148697888</v>
      </c>
      <c r="D89" s="172">
        <v>0.78932433807079116</v>
      </c>
      <c r="E89" s="171"/>
      <c r="F89" s="173">
        <f>MCond(B88:D90)</f>
        <v>6.0546724397063105</v>
      </c>
      <c r="J89">
        <v>77</v>
      </c>
      <c r="K89" s="35">
        <f ca="1">MCond(OFFSET($B$12,(ROW(A77)-1)*4,0,3,3))</f>
        <v>7.309134947611736</v>
      </c>
      <c r="M89">
        <f t="shared" ca="1" si="10"/>
        <v>3.4009137511335904E-3</v>
      </c>
    </row>
    <row r="90" spans="1:13">
      <c r="A90" s="171"/>
      <c r="B90" s="172">
        <v>-1.0351585166444348</v>
      </c>
      <c r="C90" s="172">
        <v>2.1037449841221099</v>
      </c>
      <c r="D90" s="172">
        <v>0.82913701269133588</v>
      </c>
      <c r="E90" s="171"/>
      <c r="F90" s="173"/>
      <c r="J90">
        <v>78</v>
      </c>
      <c r="K90" s="35">
        <f ca="1">MCond(OFFSET($B$12,(ROW(A78)-1)*4,0,3,3))</f>
        <v>4.6643551181710254</v>
      </c>
      <c r="M90">
        <f t="shared" ca="1" si="10"/>
        <v>2.1703073722481279E-3</v>
      </c>
    </row>
    <row r="91" spans="1:13">
      <c r="A91" s="171"/>
      <c r="B91" s="172"/>
      <c r="C91" s="172"/>
      <c r="D91" s="172"/>
      <c r="E91" s="171"/>
      <c r="F91" s="174"/>
      <c r="J91">
        <v>79</v>
      </c>
      <c r="K91" s="35">
        <f ca="1">MCond(OFFSET($B$12,(ROW(A79)-1)*4,0,3,3))</f>
        <v>4.8011093563140337</v>
      </c>
      <c r="M91">
        <f t="shared" ca="1" si="10"/>
        <v>2.233938618949671E-3</v>
      </c>
    </row>
    <row r="92" spans="1:13">
      <c r="A92" s="171"/>
      <c r="B92" s="172">
        <v>1.0419123890112216</v>
      </c>
      <c r="C92" s="172">
        <v>-4.0818532431212473E-2</v>
      </c>
      <c r="D92" s="172">
        <v>0.77248383184656022</v>
      </c>
      <c r="E92" s="171"/>
      <c r="F92" s="173"/>
      <c r="J92">
        <v>80</v>
      </c>
      <c r="K92" s="35">
        <f ca="1">MCond(OFFSET($B$12,(ROW(A80)-1)*4,0,3,3))</f>
        <v>5.4695394540896514</v>
      </c>
      <c r="M92">
        <f t="shared" ca="1" si="10"/>
        <v>2.5449566980370549E-3</v>
      </c>
    </row>
    <row r="93" spans="1:13">
      <c r="A93" s="171" t="s">
        <v>234</v>
      </c>
      <c r="B93" s="172">
        <v>1.4421025939282253</v>
      </c>
      <c r="C93" s="172">
        <v>1.0431877148697888</v>
      </c>
      <c r="D93" s="172">
        <v>0.78932433807079116</v>
      </c>
      <c r="E93" s="171"/>
      <c r="F93" s="173">
        <f>MCond(B92:D94)</f>
        <v>12.13640308765223</v>
      </c>
      <c r="J93">
        <v>81</v>
      </c>
      <c r="K93" s="35">
        <f ca="1">MCond(OFFSET($B$12,(ROW(A81)-1)*4,0,3,3))</f>
        <v>8.0842653543142653</v>
      </c>
      <c r="M93">
        <f t="shared" ca="1" si="10"/>
        <v>3.7615790936085941E-3</v>
      </c>
    </row>
    <row r="94" spans="1:13">
      <c r="A94" s="171"/>
      <c r="B94" s="172">
        <v>0.58367185674448252</v>
      </c>
      <c r="C94" s="172">
        <v>2.0841504898711007</v>
      </c>
      <c r="D94" s="172">
        <v>0.75171422039661484</v>
      </c>
      <c r="E94" s="171"/>
      <c r="F94" s="173"/>
      <c r="J94">
        <v>82</v>
      </c>
      <c r="K94" s="35">
        <f ca="1">MCond(OFFSET($B$12,(ROW(A82)-1)*4,0,3,3))</f>
        <v>15.029251889619651</v>
      </c>
      <c r="M94">
        <f t="shared" ca="1" si="10"/>
        <v>6.9930559207090895E-3</v>
      </c>
    </row>
    <row r="95" spans="1:13">
      <c r="A95" s="171"/>
      <c r="B95" s="172"/>
      <c r="C95" s="172"/>
      <c r="D95" s="172"/>
      <c r="E95" s="171"/>
      <c r="F95" s="174"/>
      <c r="J95">
        <v>83</v>
      </c>
      <c r="K95" s="35">
        <f ca="1">MCond(OFFSET($B$12,(ROW(A83)-1)*4,0,3,3))</f>
        <v>6.3906270108779077</v>
      </c>
      <c r="M95">
        <f t="shared" ca="1" si="10"/>
        <v>2.9735353684723002E-3</v>
      </c>
    </row>
    <row r="96" spans="1:13">
      <c r="A96" s="171"/>
      <c r="B96" s="172">
        <v>1.0419123890112216</v>
      </c>
      <c r="C96" s="172">
        <v>-4.0818532431212473E-2</v>
      </c>
      <c r="D96" s="172">
        <v>0.77248383184656022</v>
      </c>
      <c r="E96" s="171"/>
      <c r="F96" s="173"/>
      <c r="J96">
        <v>84</v>
      </c>
      <c r="K96" s="35">
        <f ca="1">MCond(OFFSET($B$12,(ROW(A84)-1)*4,0,3,3))</f>
        <v>4.7098691394570427</v>
      </c>
      <c r="M96">
        <f t="shared" ca="1" si="10"/>
        <v>2.1914848798424542E-3</v>
      </c>
    </row>
    <row r="97" spans="1:13">
      <c r="A97" s="171" t="s">
        <v>235</v>
      </c>
      <c r="B97" s="172">
        <v>1.4421025939282253</v>
      </c>
      <c r="C97" s="172">
        <v>1.0431877148697888</v>
      </c>
      <c r="D97" s="172">
        <v>0.78932433807079116</v>
      </c>
      <c r="E97" s="171"/>
      <c r="F97" s="173">
        <f>MCond(B96:D98)</f>
        <v>18.020767054039418</v>
      </c>
      <c r="J97">
        <v>85</v>
      </c>
      <c r="K97" s="35">
        <f ca="1">MCond(OFFSET($B$12,(ROW(A85)-1)*4,0,3,3))</f>
        <v>26.01158928757074</v>
      </c>
      <c r="M97">
        <f t="shared" ca="1" si="10"/>
        <v>1.2103097333815668E-2</v>
      </c>
    </row>
    <row r="98" spans="1:13">
      <c r="A98" s="171"/>
      <c r="B98" s="172">
        <v>-2.5457845528396139E-2</v>
      </c>
      <c r="C98" s="172">
        <v>2.3667658472617719</v>
      </c>
      <c r="D98" s="172">
        <v>6.368425350466822E-2</v>
      </c>
      <c r="E98" s="171"/>
      <c r="F98" s="173"/>
      <c r="J98">
        <v>86</v>
      </c>
      <c r="K98" s="35">
        <f ca="1">MCond(OFFSET($B$12,(ROW(A86)-1)*4,0,3,3))</f>
        <v>227.7065416836075</v>
      </c>
      <c r="M98">
        <f t="shared" ca="1" si="10"/>
        <v>0.10595102079595532</v>
      </c>
    </row>
    <row r="99" spans="1:13">
      <c r="A99" s="171"/>
      <c r="B99" s="172"/>
      <c r="C99" s="172"/>
      <c r="D99" s="172"/>
      <c r="E99" s="171"/>
      <c r="F99" s="174"/>
      <c r="J99">
        <v>87</v>
      </c>
      <c r="K99" s="35">
        <f ca="1">MCond(OFFSET($B$12,(ROW(A87)-1)*4,0,3,3))</f>
        <v>107.48734647321321</v>
      </c>
      <c r="M99">
        <f t="shared" ca="1" si="10"/>
        <v>5.0013469078588682E-2</v>
      </c>
    </row>
    <row r="100" spans="1:13">
      <c r="A100" s="171"/>
      <c r="B100" s="172">
        <v>1.0419123890112216</v>
      </c>
      <c r="C100" s="172">
        <v>-4.0818532431212473E-2</v>
      </c>
      <c r="D100" s="172">
        <v>0.77248383184656022</v>
      </c>
      <c r="E100" s="171"/>
      <c r="F100" s="173"/>
      <c r="J100">
        <v>88</v>
      </c>
      <c r="K100" s="35">
        <f ca="1">MCond(OFFSET($B$12,(ROW(A88)-1)*4,0,3,3))</f>
        <v>435.33148403717917</v>
      </c>
      <c r="M100">
        <f t="shared" ca="1" si="10"/>
        <v>0.20255814689085719</v>
      </c>
    </row>
    <row r="101" spans="1:13">
      <c r="A101" s="171" t="s">
        <v>236</v>
      </c>
      <c r="B101" s="172">
        <v>-1.0351585166444348</v>
      </c>
      <c r="C101" s="172">
        <v>2.1037449841221099</v>
      </c>
      <c r="D101" s="172">
        <v>0.82913701269133588</v>
      </c>
      <c r="E101" s="171"/>
      <c r="F101" s="173">
        <f>MCond(B100:D102)</f>
        <v>5.8822782062311054</v>
      </c>
      <c r="J101">
        <v>89</v>
      </c>
      <c r="K101" s="35">
        <f ca="1">MCond(OFFSET($B$12,(ROW(A89)-1)*4,0,3,3))</f>
        <v>24.930718886766446</v>
      </c>
      <c r="M101">
        <f t="shared" ca="1" si="10"/>
        <v>1.1600172290614802E-2</v>
      </c>
    </row>
    <row r="102" spans="1:13">
      <c r="A102" s="171"/>
      <c r="B102" s="172">
        <v>0.58367185674448252</v>
      </c>
      <c r="C102" s="172">
        <v>2.0841504898711007</v>
      </c>
      <c r="D102" s="172">
        <v>0.75171422039661484</v>
      </c>
      <c r="E102" s="171"/>
      <c r="F102" s="173"/>
      <c r="J102">
        <v>90</v>
      </c>
      <c r="K102" s="35">
        <f ca="1">MCond(OFFSET($B$12,(ROW(A90)-1)*4,0,3,3))</f>
        <v>137.0330195917372</v>
      </c>
      <c r="M102">
        <f t="shared" ca="1" si="10"/>
        <v>6.3760962689733316E-2</v>
      </c>
    </row>
    <row r="103" spans="1:13">
      <c r="A103" s="171"/>
      <c r="B103" s="172"/>
      <c r="C103" s="172"/>
      <c r="D103" s="172"/>
      <c r="E103" s="171"/>
      <c r="F103" s="174"/>
      <c r="J103">
        <v>91</v>
      </c>
      <c r="K103" s="35">
        <f ca="1">MCond(OFFSET($B$12,(ROW(A91)-1)*4,0,3,3))</f>
        <v>157.71990388339927</v>
      </c>
      <c r="M103">
        <f t="shared" ca="1" si="10"/>
        <v>7.3386494269036179E-2</v>
      </c>
    </row>
    <row r="104" spans="1:13">
      <c r="A104" s="171"/>
      <c r="B104" s="172">
        <v>1.0419123890112216</v>
      </c>
      <c r="C104" s="172">
        <v>-4.0818532431212473E-2</v>
      </c>
      <c r="D104" s="172">
        <v>0.77248383184656022</v>
      </c>
      <c r="E104" s="171"/>
      <c r="F104" s="173"/>
      <c r="J104">
        <v>92</v>
      </c>
      <c r="K104" s="35">
        <f ca="1">MCond(OFFSET($B$12,(ROW(A92)-1)*4,0,3,3))</f>
        <v>11.236298448789524</v>
      </c>
      <c r="M104">
        <f t="shared" ca="1" si="10"/>
        <v>5.2282085609618783E-3</v>
      </c>
    </row>
    <row r="105" spans="1:13">
      <c r="A105" s="171" t="s">
        <v>237</v>
      </c>
      <c r="B105" s="172">
        <v>-1.0351585166444348</v>
      </c>
      <c r="C105" s="172">
        <v>2.1037449841221099</v>
      </c>
      <c r="D105" s="172">
        <v>0.82913701269133588</v>
      </c>
      <c r="E105" s="171"/>
      <c r="F105" s="173">
        <f>MCond(B104:D106)</f>
        <v>3.8811004351956018</v>
      </c>
      <c r="J105">
        <v>93</v>
      </c>
      <c r="K105" s="35">
        <f ca="1">MCond(OFFSET($B$12,(ROW(A93)-1)*4,0,3,3))</f>
        <v>60.630725200579725</v>
      </c>
      <c r="M105">
        <f t="shared" ca="1" si="10"/>
        <v>2.8211254622303755E-2</v>
      </c>
    </row>
    <row r="106" spans="1:13">
      <c r="A106" s="171"/>
      <c r="B106" s="172">
        <v>-2.5457845528396139E-2</v>
      </c>
      <c r="C106" s="172">
        <v>2.3667658472617719</v>
      </c>
      <c r="D106" s="172">
        <v>6.368425350466822E-2</v>
      </c>
      <c r="E106" s="171"/>
      <c r="F106" s="173"/>
      <c r="J106">
        <v>94</v>
      </c>
      <c r="K106" s="35">
        <f ca="1">MCond(OFFSET($B$12,(ROW(A94)-1)*4,0,3,3))</f>
        <v>8.7267189339788906</v>
      </c>
      <c r="M106">
        <f t="shared" ca="1" si="10"/>
        <v>4.0605103938523186E-3</v>
      </c>
    </row>
    <row r="107" spans="1:13">
      <c r="A107" s="171"/>
      <c r="B107" s="172"/>
      <c r="C107" s="172"/>
      <c r="D107" s="172"/>
      <c r="E107" s="171"/>
      <c r="F107" s="174"/>
      <c r="J107">
        <v>95</v>
      </c>
      <c r="K107" s="35">
        <f ca="1">MCond(OFFSET($B$12,(ROW(A95)-1)*4,0,3,3))</f>
        <v>8.1773167465735472</v>
      </c>
      <c r="M107">
        <f t="shared" ca="1" si="10"/>
        <v>3.8048755660044309E-3</v>
      </c>
    </row>
    <row r="108" spans="1:13">
      <c r="A108" s="171"/>
      <c r="B108" s="172">
        <v>1.0419123890112216</v>
      </c>
      <c r="C108" s="172">
        <v>-4.0818532431212473E-2</v>
      </c>
      <c r="D108" s="172">
        <v>0.77248383184656022</v>
      </c>
      <c r="E108" s="171"/>
      <c r="F108" s="173"/>
      <c r="J108">
        <v>96</v>
      </c>
      <c r="K108" s="35">
        <f ca="1">MCond(OFFSET($B$12,(ROW(A96)-1)*4,0,3,3))</f>
        <v>77.582923469237784</v>
      </c>
      <c r="M108">
        <f t="shared" ca="1" si="10"/>
        <v>3.6099050458206383E-2</v>
      </c>
    </row>
    <row r="109" spans="1:13">
      <c r="A109" s="171" t="s">
        <v>238</v>
      </c>
      <c r="B109" s="172">
        <v>0.58367185674448252</v>
      </c>
      <c r="C109" s="172">
        <v>2.0841504898711007</v>
      </c>
      <c r="D109" s="172">
        <v>0.75171422039661484</v>
      </c>
      <c r="E109" s="171"/>
      <c r="F109" s="173">
        <f>MCond(B108:D110)</f>
        <v>24.848605975354669</v>
      </c>
      <c r="J109">
        <v>97</v>
      </c>
      <c r="K109" s="35">
        <f ca="1">MCond(OFFSET($B$12,(ROW(A97)-1)*4,0,3,3))</f>
        <v>243.43943945414657</v>
      </c>
      <c r="M109">
        <f t="shared" ca="1" si="10"/>
        <v>0.11327148057081397</v>
      </c>
    </row>
    <row r="110" spans="1:13">
      <c r="A110" s="171"/>
      <c r="B110" s="172">
        <v>-2.5457845528396139E-2</v>
      </c>
      <c r="C110" s="172">
        <v>2.3667658472617719</v>
      </c>
      <c r="D110" s="172">
        <v>6.368425350466822E-2</v>
      </c>
      <c r="E110" s="171"/>
      <c r="F110" s="173"/>
      <c r="J110">
        <v>98</v>
      </c>
      <c r="K110" s="35">
        <f ca="1">MCond(OFFSET($B$12,(ROW(A98)-1)*4,0,3,3))</f>
        <v>10.517949300669882</v>
      </c>
      <c r="M110">
        <f t="shared" ca="1" si="10"/>
        <v>4.8939633303749864E-3</v>
      </c>
    </row>
    <row r="111" spans="1:13">
      <c r="A111" s="171"/>
      <c r="B111" s="172"/>
      <c r="C111" s="172"/>
      <c r="D111" s="172"/>
      <c r="E111" s="171"/>
      <c r="F111" s="174"/>
      <c r="J111">
        <v>99</v>
      </c>
      <c r="K111" s="35">
        <f ca="1">MCond(OFFSET($B$12,(ROW(A99)-1)*4,0,3,3))</f>
        <v>54.798719298337076</v>
      </c>
      <c r="M111">
        <f t="shared" ca="1" si="10"/>
        <v>2.5497643612000805E-2</v>
      </c>
    </row>
    <row r="112" spans="1:13">
      <c r="A112" s="171"/>
      <c r="B112" s="172">
        <v>-1.4028471761352286</v>
      </c>
      <c r="C112" s="172">
        <v>0.814665459345566</v>
      </c>
      <c r="D112" s="172">
        <v>0.7195871750303805</v>
      </c>
      <c r="E112" s="171"/>
      <c r="F112" s="173"/>
      <c r="J112">
        <v>100</v>
      </c>
      <c r="K112" s="35">
        <f ca="1">MCond(OFFSET($B$12,(ROW(A100)-1)*4,0,3,3))</f>
        <v>10.938849692911305</v>
      </c>
      <c r="M112">
        <f t="shared" ca="1" si="10"/>
        <v>5.0898067430484801E-3</v>
      </c>
    </row>
    <row r="113" spans="1:13">
      <c r="A113" s="171" t="s">
        <v>239</v>
      </c>
      <c r="B113" s="172">
        <v>1.4421025939282253</v>
      </c>
      <c r="C113" s="172">
        <v>1.0431877148697888</v>
      </c>
      <c r="D113" s="172">
        <v>0.78932433807079116</v>
      </c>
      <c r="E113" s="171"/>
      <c r="F113" s="173">
        <f>MCond(B112:D114)</f>
        <v>7.3654400484483462</v>
      </c>
      <c r="J113">
        <v>101</v>
      </c>
      <c r="K113" s="35">
        <f ca="1">MCond(OFFSET($B$12,(ROW(A101)-1)*4,0,3,3))</f>
        <v>8.6070566754854791</v>
      </c>
      <c r="M113">
        <f t="shared" ca="1" si="10"/>
        <v>4.0048319827518481E-3</v>
      </c>
    </row>
    <row r="114" spans="1:13">
      <c r="A114" s="171"/>
      <c r="B114" s="172">
        <v>-1.0351585166444348</v>
      </c>
      <c r="C114" s="172">
        <v>2.1037449841221099</v>
      </c>
      <c r="D114" s="172">
        <v>0.82913701269133588</v>
      </c>
      <c r="E114" s="171"/>
      <c r="F114" s="173"/>
      <c r="J114">
        <v>102</v>
      </c>
      <c r="K114" s="35">
        <f ca="1">MCond(OFFSET($B$12,(ROW(A102)-1)*4,0,3,3))</f>
        <v>88.262830753422278</v>
      </c>
      <c r="M114">
        <f t="shared" ca="1" si="10"/>
        <v>4.1068372245798075E-2</v>
      </c>
    </row>
    <row r="115" spans="1:13">
      <c r="A115" s="171"/>
      <c r="B115" s="172"/>
      <c r="C115" s="172"/>
      <c r="D115" s="172"/>
      <c r="E115" s="171"/>
      <c r="F115" s="174"/>
      <c r="J115">
        <v>103</v>
      </c>
      <c r="K115" s="35">
        <f ca="1">MCond(OFFSET($B$12,(ROW(A103)-1)*4,0,3,3))</f>
        <v>8.1126859890305525</v>
      </c>
      <c r="M115">
        <f t="shared" ca="1" si="10"/>
        <v>3.7748031109670573E-3</v>
      </c>
    </row>
    <row r="116" spans="1:13">
      <c r="A116" s="171"/>
      <c r="B116" s="172">
        <v>-1.4028471761352286</v>
      </c>
      <c r="C116" s="172">
        <v>0.814665459345566</v>
      </c>
      <c r="D116" s="172">
        <v>0.7195871750303805</v>
      </c>
      <c r="E116" s="171"/>
      <c r="F116" s="173"/>
      <c r="J116">
        <v>104</v>
      </c>
      <c r="K116" s="35">
        <f ca="1">MCond(OFFSET($B$12,(ROW(A104)-1)*4,0,3,3))</f>
        <v>12.299736121719162</v>
      </c>
      <c r="M116">
        <f t="shared" ca="1" si="10"/>
        <v>5.7230222196591575E-3</v>
      </c>
    </row>
    <row r="117" spans="1:13">
      <c r="A117" s="171" t="s">
        <v>240</v>
      </c>
      <c r="B117" s="172">
        <v>1.4421025939282253</v>
      </c>
      <c r="C117" s="172">
        <v>1.0431877148697888</v>
      </c>
      <c r="D117" s="172">
        <v>0.78932433807079116</v>
      </c>
      <c r="E117" s="171"/>
      <c r="F117" s="173">
        <f>MCond(B116:D118)</f>
        <v>6.5826761170413119</v>
      </c>
      <c r="J117">
        <v>105</v>
      </c>
      <c r="K117" s="35">
        <f ca="1">MCond(OFFSET($B$12,(ROW(A105)-1)*4,0,3,3))</f>
        <v>8.5693135695380551</v>
      </c>
      <c r="M117">
        <f t="shared" ca="1" si="10"/>
        <v>3.987270253635186E-3</v>
      </c>
    </row>
    <row r="118" spans="1:13">
      <c r="A118" s="171"/>
      <c r="B118" s="172">
        <v>0.58367185674448252</v>
      </c>
      <c r="C118" s="172">
        <v>2.0841504898711007</v>
      </c>
      <c r="D118" s="172">
        <v>0.75171422039661484</v>
      </c>
      <c r="E118" s="171"/>
      <c r="F118" s="173"/>
      <c r="J118">
        <v>106</v>
      </c>
      <c r="K118" s="35">
        <f ca="1">MCond(OFFSET($B$12,(ROW(A106)-1)*4,0,3,3))</f>
        <v>5.2226620862837869</v>
      </c>
      <c r="M118">
        <f t="shared" ca="1" si="10"/>
        <v>2.4300855619816221E-3</v>
      </c>
    </row>
    <row r="119" spans="1:13">
      <c r="A119" s="171"/>
      <c r="B119" s="172"/>
      <c r="C119" s="172"/>
      <c r="D119" s="172"/>
      <c r="E119" s="171"/>
      <c r="F119" s="174"/>
      <c r="J119">
        <v>107</v>
      </c>
      <c r="K119" s="35">
        <f ca="1">MCond(OFFSET($B$12,(ROW(A107)-1)*4,0,3,3))</f>
        <v>6.8946518551856064</v>
      </c>
      <c r="M119">
        <f t="shared" ca="1" si="10"/>
        <v>3.2080562845868835E-3</v>
      </c>
    </row>
    <row r="120" spans="1:13">
      <c r="A120" s="171"/>
      <c r="B120" s="172">
        <v>-1.4028471761352286</v>
      </c>
      <c r="C120" s="172">
        <v>0.814665459345566</v>
      </c>
      <c r="D120" s="172">
        <v>0.7195871750303805</v>
      </c>
      <c r="E120" s="171"/>
      <c r="F120" s="173"/>
      <c r="J120">
        <v>108</v>
      </c>
      <c r="K120" s="35">
        <f ca="1">MCond(OFFSET($B$12,(ROW(A108)-1)*4,0,3,3))</f>
        <v>9.9372843807971485</v>
      </c>
      <c r="M120">
        <f t="shared" ca="1" si="10"/>
        <v>4.6237820674826756E-3</v>
      </c>
    </row>
    <row r="121" spans="1:13">
      <c r="A121" s="171" t="s">
        <v>241</v>
      </c>
      <c r="B121" s="172">
        <v>1.4421025939282253</v>
      </c>
      <c r="C121" s="172">
        <v>1.0431877148697888</v>
      </c>
      <c r="D121" s="172">
        <v>0.78932433807079116</v>
      </c>
      <c r="E121" s="171"/>
      <c r="F121" s="173">
        <f>MCond(B120:D122)</f>
        <v>3.1648692167093064</v>
      </c>
      <c r="J121">
        <v>109</v>
      </c>
      <c r="K121" s="35">
        <f ca="1">MCond(OFFSET($B$12,(ROW(A109)-1)*4,0,3,3))</f>
        <v>7.5591544987062864</v>
      </c>
      <c r="M121">
        <f t="shared" ca="1" si="10"/>
        <v>3.5172469335777784E-3</v>
      </c>
    </row>
    <row r="122" spans="1:13">
      <c r="A122" s="171"/>
      <c r="B122" s="172">
        <v>-2.5457845528396139E-2</v>
      </c>
      <c r="C122" s="172">
        <v>2.3667658472617719</v>
      </c>
      <c r="D122" s="172">
        <v>6.368425350466822E-2</v>
      </c>
      <c r="E122" s="171"/>
      <c r="F122" s="173"/>
      <c r="J122">
        <v>110</v>
      </c>
      <c r="K122" s="35">
        <f ca="1">MCond(OFFSET($B$12,(ROW(A110)-1)*4,0,3,3))</f>
        <v>26.099112239465395</v>
      </c>
      <c r="M122">
        <f t="shared" ca="1" si="10"/>
        <v>1.2143821443135279E-2</v>
      </c>
    </row>
    <row r="123" spans="1:13">
      <c r="A123" s="171"/>
      <c r="B123" s="172"/>
      <c r="C123" s="172"/>
      <c r="D123" s="172"/>
      <c r="E123" s="171"/>
      <c r="F123" s="174"/>
      <c r="J123">
        <v>111</v>
      </c>
      <c r="K123" s="35">
        <f ca="1">MCond(OFFSET($B$12,(ROW(A111)-1)*4,0,3,3))</f>
        <v>8.2529665998791568</v>
      </c>
      <c r="M123">
        <f t="shared" ca="1" si="10"/>
        <v>3.8400751659875116E-3</v>
      </c>
    </row>
    <row r="124" spans="1:13">
      <c r="A124" s="171"/>
      <c r="B124" s="172">
        <v>-1.4028471761352286</v>
      </c>
      <c r="C124" s="172">
        <v>0.814665459345566</v>
      </c>
      <c r="D124" s="172">
        <v>0.7195871750303805</v>
      </c>
      <c r="E124" s="171"/>
      <c r="F124" s="173"/>
      <c r="G124" s="35"/>
      <c r="H124" s="35"/>
      <c r="J124">
        <v>112</v>
      </c>
      <c r="K124" s="35">
        <f ca="1">MCond(OFFSET($B$12,(ROW(A112)-1)*4,0,3,3))</f>
        <v>5.1437331426071831</v>
      </c>
      <c r="M124">
        <f t="shared" ca="1" si="10"/>
        <v>2.3933602132452545E-3</v>
      </c>
    </row>
    <row r="125" spans="1:13">
      <c r="A125" s="171" t="s">
        <v>242</v>
      </c>
      <c r="B125" s="172">
        <v>-1.0351585166444348</v>
      </c>
      <c r="C125" s="172">
        <v>2.1037449841221099</v>
      </c>
      <c r="D125" s="172">
        <v>0.82913701269133588</v>
      </c>
      <c r="E125" s="171"/>
      <c r="F125" s="173">
        <f>MCond(B124:D126)</f>
        <v>16.234426054507814</v>
      </c>
      <c r="G125" s="35"/>
      <c r="H125" s="35"/>
      <c r="J125">
        <v>113</v>
      </c>
      <c r="K125" s="35">
        <f ca="1">MCond(OFFSET($B$12,(ROW(A113)-1)*4,0,3,3))</f>
        <v>5.8121432217475695</v>
      </c>
      <c r="M125">
        <f t="shared" ca="1" si="10"/>
        <v>2.7043689777349021E-3</v>
      </c>
    </row>
    <row r="126" spans="1:13">
      <c r="A126" s="171"/>
      <c r="B126" s="172">
        <v>0.58367185674448252</v>
      </c>
      <c r="C126" s="172">
        <v>2.0841504898711007</v>
      </c>
      <c r="D126" s="172">
        <v>0.75171422039661484</v>
      </c>
      <c r="E126" s="171"/>
      <c r="F126" s="173"/>
      <c r="G126" s="35"/>
      <c r="H126" s="35"/>
      <c r="J126">
        <v>114</v>
      </c>
      <c r="K126" s="35">
        <f ca="1">MCond(OFFSET($B$12,(ROW(A114)-1)*4,0,3,3))</f>
        <v>4.7138939593144054</v>
      </c>
      <c r="M126">
        <f t="shared" ca="1" si="10"/>
        <v>2.1933576137975457E-3</v>
      </c>
    </row>
    <row r="127" spans="1:13">
      <c r="A127" s="171"/>
      <c r="B127" s="172"/>
      <c r="C127" s="172"/>
      <c r="D127" s="172"/>
      <c r="E127" s="171"/>
      <c r="F127" s="174"/>
      <c r="J127">
        <v>115</v>
      </c>
      <c r="K127" s="35">
        <f ca="1">MCond(OFFSET($B$12,(ROW(A115)-1)*4,0,3,3))</f>
        <v>6.8287657968734292</v>
      </c>
      <c r="M127">
        <f t="shared" ca="1" si="10"/>
        <v>3.1773997426940443E-3</v>
      </c>
    </row>
    <row r="128" spans="1:13">
      <c r="A128" s="171"/>
      <c r="B128" s="172">
        <v>-1.4028471761352286</v>
      </c>
      <c r="C128" s="172">
        <v>0.814665459345566</v>
      </c>
      <c r="D128" s="172">
        <v>0.7195871750303805</v>
      </c>
      <c r="E128" s="171"/>
      <c r="F128" s="173"/>
      <c r="J128">
        <v>116</v>
      </c>
      <c r="K128" s="35">
        <f ca="1">MCond(OFFSET($B$12,(ROW(A116)-1)*4,0,3,3))</f>
        <v>8.9992558577730577</v>
      </c>
      <c r="M128">
        <f t="shared" ca="1" si="10"/>
        <v>4.1873208274353091E-3</v>
      </c>
    </row>
    <row r="129" spans="1:13">
      <c r="A129" s="171" t="s">
        <v>243</v>
      </c>
      <c r="B129" s="172">
        <v>-1.0351585166444348</v>
      </c>
      <c r="C129" s="172">
        <v>2.1037449841221099</v>
      </c>
      <c r="D129" s="172">
        <v>0.82913701269133588</v>
      </c>
      <c r="E129" s="171"/>
      <c r="F129" s="173">
        <f>MCond(B128:D130)</f>
        <v>21.390548698925272</v>
      </c>
      <c r="J129">
        <v>117</v>
      </c>
      <c r="K129" s="35">
        <f ca="1">MCond(OFFSET($B$12,(ROW(A117)-1)*4,0,3,3))</f>
        <v>4.292123906712999</v>
      </c>
      <c r="M129">
        <f t="shared" ca="1" si="10"/>
        <v>1.9971095513401475E-3</v>
      </c>
    </row>
    <row r="130" spans="1:13">
      <c r="A130" s="171"/>
      <c r="B130" s="172">
        <v>-2.5457845528396139E-2</v>
      </c>
      <c r="C130" s="172">
        <v>2.3667658472617719</v>
      </c>
      <c r="D130" s="172">
        <v>6.368425350466822E-2</v>
      </c>
      <c r="E130" s="171"/>
      <c r="F130" s="173"/>
      <c r="J130">
        <v>118</v>
      </c>
      <c r="K130" s="35">
        <f ca="1">MCond(OFFSET($B$12,(ROW(A118)-1)*4,0,3,3))</f>
        <v>10.814350744949346</v>
      </c>
      <c r="M130">
        <f t="shared" ca="1" si="10"/>
        <v>5.0318778380330047E-3</v>
      </c>
    </row>
    <row r="131" spans="1:13">
      <c r="A131" s="171"/>
      <c r="B131" s="172"/>
      <c r="C131" s="172"/>
      <c r="D131" s="172"/>
      <c r="E131" s="171"/>
      <c r="F131" s="174"/>
      <c r="J131">
        <v>119</v>
      </c>
      <c r="K131" s="35">
        <f ca="1">MCond(OFFSET($B$12,(ROW(A119)-1)*4,0,3,3))</f>
        <v>13.161138632442416</v>
      </c>
      <c r="M131">
        <f t="shared" ca="1" si="10"/>
        <v>6.123829656514178E-3</v>
      </c>
    </row>
    <row r="132" spans="1:13">
      <c r="A132" s="171"/>
      <c r="B132" s="172">
        <v>-1.4028471761352286</v>
      </c>
      <c r="C132" s="172">
        <v>0.814665459345566</v>
      </c>
      <c r="D132" s="172">
        <v>0.7195871750303805</v>
      </c>
      <c r="E132" s="171"/>
      <c r="F132" s="173"/>
      <c r="J132">
        <v>120</v>
      </c>
      <c r="K132" s="35">
        <f ca="1">MCond(OFFSET($B$12,(ROW(A120)-1)*4,0,3,3))</f>
        <v>5.1208665031360203</v>
      </c>
      <c r="M132">
        <f t="shared" ca="1" si="10"/>
        <v>2.3827204495554212E-3</v>
      </c>
    </row>
    <row r="133" spans="1:13">
      <c r="A133" s="171" t="s">
        <v>244</v>
      </c>
      <c r="B133" s="172">
        <v>0.58367185674448252</v>
      </c>
      <c r="C133" s="172">
        <v>2.0841504898711007</v>
      </c>
      <c r="D133" s="172">
        <v>0.75171422039661484</v>
      </c>
      <c r="E133" s="171"/>
      <c r="F133" s="173">
        <f>MCond(B132:D134)</f>
        <v>5.3134649198272017</v>
      </c>
      <c r="J133">
        <v>121</v>
      </c>
      <c r="K133" s="35">
        <f ca="1">MCond(OFFSET($B$12,(ROW(A121)-1)*4,0,3,3))</f>
        <v>250.1521200358882</v>
      </c>
      <c r="M133">
        <f t="shared" ca="1" si="10"/>
        <v>0.11639486628759733</v>
      </c>
    </row>
    <row r="134" spans="1:13">
      <c r="A134" s="171"/>
      <c r="B134" s="172">
        <v>-2.5457845528396139E-2</v>
      </c>
      <c r="C134" s="172">
        <v>2.3667658472617719</v>
      </c>
      <c r="D134" s="172">
        <v>6.368425350466822E-2</v>
      </c>
      <c r="E134" s="171"/>
      <c r="F134" s="173"/>
      <c r="J134">
        <v>122</v>
      </c>
      <c r="K134" s="35">
        <f ca="1">MCond(OFFSET($B$12,(ROW(A122)-1)*4,0,3,3))</f>
        <v>41.479009433576415</v>
      </c>
      <c r="M134">
        <f t="shared" ca="1" si="10"/>
        <v>1.9300031341211388E-2</v>
      </c>
    </row>
    <row r="135" spans="1:13">
      <c r="A135" s="171"/>
      <c r="B135" s="172"/>
      <c r="C135" s="172"/>
      <c r="D135" s="172"/>
      <c r="E135" s="171"/>
      <c r="F135" s="174"/>
      <c r="J135">
        <v>123</v>
      </c>
      <c r="K135" s="35">
        <f ca="1">MCond(OFFSET($B$12,(ROW(A123)-1)*4,0,3,3))</f>
        <v>298.22841835546393</v>
      </c>
      <c r="M135">
        <f t="shared" ca="1" si="10"/>
        <v>0.13876459201171612</v>
      </c>
    </row>
    <row r="136" spans="1:13">
      <c r="A136" s="171"/>
      <c r="B136" s="172">
        <v>1.4421025939282253</v>
      </c>
      <c r="C136" s="172">
        <v>1.0431877148697888</v>
      </c>
      <c r="D136" s="172">
        <v>0.78932433807079116</v>
      </c>
      <c r="E136" s="171"/>
      <c r="F136" s="173"/>
      <c r="J136">
        <v>124</v>
      </c>
      <c r="K136" s="35">
        <f ca="1">MCond(OFFSET($B$12,(ROW(A124)-1)*4,0,3,3))</f>
        <v>13.015143058743432</v>
      </c>
      <c r="M136">
        <f t="shared" ca="1" si="10"/>
        <v>6.0558984501872578E-3</v>
      </c>
    </row>
    <row r="137" spans="1:13">
      <c r="A137" s="171" t="s">
        <v>245</v>
      </c>
      <c r="B137" s="172">
        <v>-1.0351585166444348</v>
      </c>
      <c r="C137" s="172">
        <v>2.1037449841221099</v>
      </c>
      <c r="D137" s="172">
        <v>0.82913701269133588</v>
      </c>
      <c r="E137" s="171"/>
      <c r="F137" s="173">
        <f>MCond(B136:D138)</f>
        <v>13.908174758807807</v>
      </c>
      <c r="J137">
        <v>125</v>
      </c>
      <c r="K137" s="35">
        <f ca="1">MCond(OFFSET($B$12,(ROW(A125)-1)*4,0,3,3))</f>
        <v>41.827755997562726</v>
      </c>
      <c r="M137">
        <f t="shared" ca="1" si="10"/>
        <v>1.9462301841567817E-2</v>
      </c>
    </row>
    <row r="138" spans="1:13">
      <c r="A138" s="171"/>
      <c r="B138" s="172">
        <v>0.58367185674448252</v>
      </c>
      <c r="C138" s="172">
        <v>2.0841504898711007</v>
      </c>
      <c r="D138" s="172">
        <v>0.75171422039661484</v>
      </c>
      <c r="E138" s="171"/>
      <c r="F138" s="173"/>
      <c r="J138">
        <v>126</v>
      </c>
      <c r="K138" s="35">
        <f ca="1">MCond(OFFSET($B$12,(ROW(A126)-1)*4,0,3,3))</f>
        <v>1531.9211719884818</v>
      </c>
      <c r="M138">
        <f t="shared" ca="1" si="10"/>
        <v>0.71279731689324766</v>
      </c>
    </row>
    <row r="139" spans="1:13">
      <c r="A139" s="171"/>
      <c r="B139" s="172"/>
      <c r="C139" s="172"/>
      <c r="D139" s="172"/>
      <c r="E139" s="171"/>
      <c r="F139" s="174"/>
      <c r="J139">
        <v>127</v>
      </c>
      <c r="K139" s="35">
        <f ca="1">MCond(OFFSET($B$12,(ROW(A127)-1)*4,0,3,3))</f>
        <v>10.782827837381458</v>
      </c>
      <c r="M139">
        <f t="shared" ca="1" si="10"/>
        <v>5.0172103444661529E-3</v>
      </c>
    </row>
    <row r="140" spans="1:13">
      <c r="A140" s="171"/>
      <c r="B140" s="172">
        <v>1.4421025939282253</v>
      </c>
      <c r="C140" s="172">
        <v>1.0431877148697888</v>
      </c>
      <c r="D140" s="172">
        <v>0.78932433807079116</v>
      </c>
      <c r="E140" s="171"/>
      <c r="F140" s="173"/>
      <c r="G140" s="35"/>
      <c r="H140" s="35"/>
      <c r="J140">
        <v>128</v>
      </c>
      <c r="K140" s="35">
        <f ca="1">MCond(OFFSET($B$12,(ROW(A128)-1)*4,0,3,3))</f>
        <v>32.637782807572336</v>
      </c>
      <c r="M140">
        <f t="shared" ca="1" si="10"/>
        <v>1.5186240937178618E-2</v>
      </c>
    </row>
    <row r="141" spans="1:13">
      <c r="A141" s="171" t="s">
        <v>246</v>
      </c>
      <c r="B141" s="172">
        <v>-1.0351585166444348</v>
      </c>
      <c r="C141" s="172">
        <v>2.1037449841221099</v>
      </c>
      <c r="D141" s="172">
        <v>0.82913701269133588</v>
      </c>
      <c r="E141" s="171"/>
      <c r="F141" s="173">
        <f>MCond(B140:D142)</f>
        <v>4.7248309144760778</v>
      </c>
      <c r="G141" s="35"/>
      <c r="H141" s="35"/>
      <c r="J141">
        <v>129</v>
      </c>
      <c r="K141" s="35">
        <f ca="1">MCond(OFFSET($B$12,(ROW(A129)-1)*4,0,3,3))</f>
        <v>10.964478005785088</v>
      </c>
      <c r="M141">
        <f t="shared" ca="1" si="10"/>
        <v>5.1017315032691512E-3</v>
      </c>
    </row>
    <row r="142" spans="1:13">
      <c r="A142" s="171"/>
      <c r="B142" s="172">
        <v>-2.5457845528396139E-2</v>
      </c>
      <c r="C142" s="172">
        <v>2.3667658472617719</v>
      </c>
      <c r="D142" s="172">
        <v>6.368425350466822E-2</v>
      </c>
      <c r="E142" s="171"/>
      <c r="F142" s="173"/>
      <c r="G142" s="35"/>
      <c r="H142" s="35"/>
      <c r="J142">
        <v>130</v>
      </c>
      <c r="K142" s="35">
        <f ca="1">MCond(OFFSET($B$12,(ROW(A130)-1)*4,0,3,3))</f>
        <v>7.2055376032001162</v>
      </c>
      <c r="M142">
        <f t="shared" ref="M142:M205" ca="1" si="11">K142/$L$13</f>
        <v>3.3527102857829442E-3</v>
      </c>
    </row>
    <row r="143" spans="1:13">
      <c r="A143" s="171"/>
      <c r="B143" s="172"/>
      <c r="C143" s="172"/>
      <c r="D143" s="172"/>
      <c r="E143" s="171"/>
      <c r="F143" s="174"/>
      <c r="J143">
        <v>131</v>
      </c>
      <c r="K143" s="35">
        <f ca="1">MCond(OFFSET($B$12,(ROW(A131)-1)*4,0,3,3))</f>
        <v>79.914011691529879</v>
      </c>
      <c r="M143">
        <f t="shared" ca="1" si="11"/>
        <v>3.7183697279905739E-2</v>
      </c>
    </row>
    <row r="144" spans="1:13">
      <c r="A144" s="171"/>
      <c r="B144" s="172">
        <v>1.4421025939282253</v>
      </c>
      <c r="C144" s="172">
        <v>1.0431877148697888</v>
      </c>
      <c r="D144" s="172">
        <v>0.78932433807079116</v>
      </c>
      <c r="E144" s="171"/>
      <c r="F144" s="173"/>
      <c r="G144" s="35"/>
      <c r="H144" s="35"/>
      <c r="J144">
        <v>132</v>
      </c>
      <c r="K144" s="35">
        <f ca="1">MCond(OFFSET($B$12,(ROW(A132)-1)*4,0,3,3))</f>
        <v>384.18771801649655</v>
      </c>
      <c r="M144">
        <f t="shared" ca="1" si="11"/>
        <v>0.17876113966754248</v>
      </c>
    </row>
    <row r="145" spans="1:13">
      <c r="A145" s="171" t="s">
        <v>247</v>
      </c>
      <c r="B145" s="172">
        <v>0.58367185674448252</v>
      </c>
      <c r="C145" s="172">
        <v>2.0841504898711007</v>
      </c>
      <c r="D145" s="172">
        <v>0.75171422039661484</v>
      </c>
      <c r="E145" s="171"/>
      <c r="F145" s="173">
        <f>MCond(B144:D146)</f>
        <v>13.812589110219603</v>
      </c>
      <c r="G145" s="35"/>
      <c r="H145" s="35"/>
      <c r="J145">
        <v>133</v>
      </c>
      <c r="K145" s="35">
        <f ca="1">MCond(OFFSET($B$12,(ROW(A133)-1)*4,0,3,3))</f>
        <v>14.309656637068336</v>
      </c>
      <c r="M145">
        <f t="shared" ca="1" si="11"/>
        <v>6.6582308822889322E-3</v>
      </c>
    </row>
    <row r="146" spans="1:13">
      <c r="A146" s="171"/>
      <c r="B146" s="172">
        <v>-2.5457845528396139E-2</v>
      </c>
      <c r="C146" s="172">
        <v>2.3667658472617719</v>
      </c>
      <c r="D146" s="172">
        <v>6.368425350466822E-2</v>
      </c>
      <c r="E146" s="171"/>
      <c r="F146" s="173"/>
      <c r="G146" s="35"/>
      <c r="H146" s="35"/>
      <c r="J146">
        <v>134</v>
      </c>
      <c r="K146" s="35">
        <f ca="1">MCond(OFFSET($B$12,(ROW(A134)-1)*4,0,3,3))</f>
        <v>38.193455921208319</v>
      </c>
      <c r="M146">
        <f t="shared" ca="1" si="11"/>
        <v>1.7771275311888244E-2</v>
      </c>
    </row>
    <row r="147" spans="1:13">
      <c r="A147" s="171"/>
      <c r="B147" s="172"/>
      <c r="C147" s="172"/>
      <c r="D147" s="172"/>
      <c r="E147" s="171"/>
      <c r="F147" s="174"/>
      <c r="J147">
        <v>135</v>
      </c>
      <c r="K147" s="35">
        <f ca="1">MCond(OFFSET($B$12,(ROW(A135)-1)*4,0,3,3))</f>
        <v>6.2639720915040158</v>
      </c>
      <c r="M147">
        <f t="shared" ca="1" si="11"/>
        <v>2.9146032978463322E-3</v>
      </c>
    </row>
    <row r="148" spans="1:13">
      <c r="A148" s="171"/>
      <c r="B148" s="172">
        <v>-1.0351585166444348</v>
      </c>
      <c r="C148" s="172">
        <v>2.1037449841221099</v>
      </c>
      <c r="D148" s="172">
        <v>0.82913701269133588</v>
      </c>
      <c r="E148" s="171"/>
      <c r="F148" s="173"/>
      <c r="G148" s="35">
        <f t="shared" ref="G148:H148" si="12">D7-D$8</f>
        <v>-1.0605572692523213</v>
      </c>
      <c r="H148" s="35">
        <f t="shared" si="12"/>
        <v>-3.9812674620544719E-2</v>
      </c>
      <c r="J148">
        <v>136</v>
      </c>
      <c r="K148" s="35">
        <f ca="1">MCond(OFFSET($B$12,(ROW(A136)-1)*4,0,3,3))</f>
        <v>7.9300802487334305</v>
      </c>
      <c r="M148">
        <f t="shared" ca="1" si="11"/>
        <v>3.6898373280579138E-3</v>
      </c>
    </row>
    <row r="149" spans="1:13">
      <c r="A149" s="171" t="s">
        <v>248</v>
      </c>
      <c r="B149" s="172">
        <v>0.58367185674448252</v>
      </c>
      <c r="C149" s="172">
        <v>2.0841504898711007</v>
      </c>
      <c r="D149" s="172">
        <v>0.75171422039661484</v>
      </c>
      <c r="E149" s="171"/>
      <c r="F149" s="173">
        <f>MCond(B148:D150)</f>
        <v>6.4227760464603234</v>
      </c>
      <c r="G149" s="35">
        <f t="shared" ref="G149:H149" si="13">D9-D$8</f>
        <v>-1.9594494251009342E-2</v>
      </c>
      <c r="H149" s="35">
        <f t="shared" si="13"/>
        <v>-7.7422792294721043E-2</v>
      </c>
      <c r="J149">
        <v>137</v>
      </c>
      <c r="K149" s="35">
        <f ca="1">MCond(OFFSET($B$12,(ROW(A137)-1)*4,0,3,3))</f>
        <v>50.896502091007278</v>
      </c>
      <c r="M149">
        <f t="shared" ca="1" si="11"/>
        <v>2.368195622143561E-2</v>
      </c>
    </row>
    <row r="150" spans="1:13">
      <c r="A150" s="171"/>
      <c r="B150" s="172">
        <v>-2.5457845528396139E-2</v>
      </c>
      <c r="C150" s="172">
        <v>2.3667658472617719</v>
      </c>
      <c r="D150" s="172">
        <v>6.368425350466822E-2</v>
      </c>
      <c r="E150" s="171"/>
      <c r="F150" s="173"/>
      <c r="G150" s="35">
        <f t="shared" ref="G150:H150" si="14">D10-D$8</f>
        <v>0.26302086313966178</v>
      </c>
      <c r="H150" s="35">
        <f t="shared" si="14"/>
        <v>-0.76545275918666766</v>
      </c>
      <c r="J150">
        <v>138</v>
      </c>
      <c r="K150" s="35">
        <f ca="1">MCond(OFFSET($B$12,(ROW(A138)-1)*4,0,3,3))</f>
        <v>6.7566483524299317</v>
      </c>
      <c r="M150">
        <f t="shared" ca="1" si="11"/>
        <v>3.1438437596314189E-3</v>
      </c>
    </row>
    <row r="151" spans="1:13">
      <c r="A151" s="171"/>
      <c r="B151" s="171"/>
      <c r="C151" s="171"/>
      <c r="D151" s="171"/>
      <c r="E151" s="171"/>
      <c r="F151" s="174"/>
      <c r="J151">
        <v>139</v>
      </c>
      <c r="K151" s="35">
        <f ca="1">MCond(OFFSET($B$12,(ROW(A139)-1)*4,0,3,3))</f>
        <v>10.927909861320535</v>
      </c>
      <c r="M151">
        <f t="shared" ca="1" si="11"/>
        <v>5.0847164794319494E-3</v>
      </c>
    </row>
    <row r="152" spans="1:13">
      <c r="A152" s="171"/>
      <c r="B152" s="172">
        <v>1.253875629566908</v>
      </c>
      <c r="C152" s="172">
        <v>3.2592166127769939E-2</v>
      </c>
      <c r="D152" s="172">
        <v>-0.73934661383723232</v>
      </c>
      <c r="E152" s="171"/>
      <c r="F152" s="173"/>
      <c r="J152">
        <v>140</v>
      </c>
      <c r="K152" s="35">
        <f ca="1">MCond(OFFSET($B$12,(ROW(A140)-1)*4,0,3,3))</f>
        <v>5.9522483324166</v>
      </c>
      <c r="M152">
        <f t="shared" ca="1" si="11"/>
        <v>2.7695593731638566E-3</v>
      </c>
    </row>
    <row r="153" spans="1:13">
      <c r="A153" s="171" t="s">
        <v>249</v>
      </c>
      <c r="B153" s="172">
        <v>2.2957880185781296</v>
      </c>
      <c r="C153" s="172">
        <v>-8.2263663034425338E-3</v>
      </c>
      <c r="D153" s="172">
        <v>3.3137218009327896E-2</v>
      </c>
      <c r="E153" s="171"/>
      <c r="F153" s="173">
        <f>MCond(B152:D154)</f>
        <v>4.0468810703453864</v>
      </c>
      <c r="J153">
        <v>141</v>
      </c>
      <c r="K153" s="35">
        <f ca="1">MCond(OFFSET($B$12,(ROW(A141)-1)*4,0,3,3))</f>
        <v>5.9241424686026916</v>
      </c>
      <c r="M153">
        <f t="shared" ca="1" si="11"/>
        <v>2.7564818175547018E-3</v>
      </c>
    </row>
    <row r="154" spans="1:13">
      <c r="A154" s="171"/>
      <c r="B154" s="172">
        <v>-0.14897154656832046</v>
      </c>
      <c r="C154" s="172">
        <v>0.84725762547333594</v>
      </c>
      <c r="D154" s="172">
        <v>-1.9759438806851826E-2</v>
      </c>
      <c r="E154" s="171"/>
      <c r="F154" s="173"/>
      <c r="J154">
        <v>142</v>
      </c>
      <c r="K154" s="35">
        <f ca="1">MCond(OFFSET($B$12,(ROW(A142)-1)*4,0,3,3))</f>
        <v>10.502318144486368</v>
      </c>
      <c r="M154">
        <f t="shared" ca="1" si="11"/>
        <v>4.8866902105883557E-3</v>
      </c>
    </row>
    <row r="155" spans="1:13">
      <c r="A155" s="171"/>
      <c r="B155" s="172"/>
      <c r="C155" s="172"/>
      <c r="D155" s="172"/>
      <c r="E155" s="171"/>
      <c r="F155" s="174"/>
      <c r="J155">
        <v>143</v>
      </c>
      <c r="K155" s="35">
        <f ca="1">MCond(OFFSET($B$12,(ROW(A143)-1)*4,0,3,3))</f>
        <v>7.0264412742510673</v>
      </c>
      <c r="M155">
        <f t="shared" ca="1" si="11"/>
        <v>3.2693774191351085E-3</v>
      </c>
    </row>
    <row r="156" spans="1:13">
      <c r="A156" s="171"/>
      <c r="B156" s="172">
        <v>1.253875629566908</v>
      </c>
      <c r="C156" s="172">
        <v>3.2592166127769939E-2</v>
      </c>
      <c r="D156" s="172">
        <v>-0.73934661383723232</v>
      </c>
      <c r="E156" s="171"/>
      <c r="F156" s="173"/>
      <c r="J156">
        <v>144</v>
      </c>
      <c r="K156" s="35">
        <f ca="1">MCond(OFFSET($B$12,(ROW(A144)-1)*4,0,3,3))</f>
        <v>5.6287738318733966</v>
      </c>
      <c r="M156">
        <f t="shared" ca="1" si="11"/>
        <v>2.6190478714713189E-3</v>
      </c>
    </row>
    <row r="157" spans="1:13">
      <c r="A157" s="171" t="s">
        <v>250</v>
      </c>
      <c r="B157" s="172">
        <v>2.2957880185781296</v>
      </c>
      <c r="C157" s="172">
        <v>-8.2263663034425338E-3</v>
      </c>
      <c r="D157" s="172">
        <v>3.3137218009327896E-2</v>
      </c>
      <c r="E157" s="171"/>
      <c r="F157" s="173">
        <f>MCond(B156:D158)</f>
        <v>6.5562246319096911</v>
      </c>
      <c r="J157">
        <v>145</v>
      </c>
      <c r="K157" s="35">
        <f ca="1">MCond(OFFSET($B$12,(ROW(A145)-1)*4,0,3,3))</f>
        <v>4.9007064832167684</v>
      </c>
      <c r="M157">
        <f t="shared" ca="1" si="11"/>
        <v>2.2802807977279661E-3</v>
      </c>
    </row>
    <row r="158" spans="1:13">
      <c r="A158" s="171"/>
      <c r="B158" s="172">
        <v>2.6959782234951333</v>
      </c>
      <c r="C158" s="172">
        <v>1.0757798809975587</v>
      </c>
      <c r="D158" s="172">
        <v>4.997772423355884E-2</v>
      </c>
      <c r="E158" s="171"/>
      <c r="F158" s="173"/>
      <c r="J158">
        <v>146</v>
      </c>
      <c r="K158" s="35">
        <f ca="1">MCond(OFFSET($B$12,(ROW(A146)-1)*4,0,3,3))</f>
        <v>6.5952649754803758</v>
      </c>
      <c r="M158">
        <f t="shared" ca="1" si="11"/>
        <v>3.0687526647472756E-3</v>
      </c>
    </row>
    <row r="159" spans="1:13">
      <c r="A159" s="171"/>
      <c r="B159" s="172"/>
      <c r="C159" s="172"/>
      <c r="D159" s="172"/>
      <c r="E159" s="171"/>
      <c r="F159" s="174"/>
      <c r="J159">
        <v>147</v>
      </c>
      <c r="K159" s="35">
        <f ca="1">MCond(OFFSET($B$12,(ROW(A147)-1)*4,0,3,3))</f>
        <v>6.7148325139077363</v>
      </c>
      <c r="M159">
        <f t="shared" ca="1" si="11"/>
        <v>3.12438700294754E-3</v>
      </c>
    </row>
    <row r="160" spans="1:13">
      <c r="A160" s="171"/>
      <c r="B160" s="172">
        <v>1.253875629566908</v>
      </c>
      <c r="C160" s="172">
        <v>3.2592166127769939E-2</v>
      </c>
      <c r="D160" s="172">
        <v>-0.73934661383723232</v>
      </c>
      <c r="E160" s="171"/>
      <c r="F160" s="173"/>
      <c r="J160">
        <v>148</v>
      </c>
      <c r="K160" s="35">
        <f ca="1">MCond(OFFSET($B$12,(ROW(A148)-1)*4,0,3,3))</f>
        <v>7.0402993519910142</v>
      </c>
      <c r="M160">
        <f t="shared" ca="1" si="11"/>
        <v>3.2758255320086385E-3</v>
      </c>
    </row>
    <row r="161" spans="1:13">
      <c r="A161" s="171" t="s">
        <v>251</v>
      </c>
      <c r="B161" s="172">
        <v>2.2957880185781296</v>
      </c>
      <c r="C161" s="172">
        <v>-8.2263663034425338E-3</v>
      </c>
      <c r="D161" s="172">
        <v>3.3137218009327896E-2</v>
      </c>
      <c r="E161" s="171"/>
      <c r="F161" s="173">
        <f>MCond(B160:D162)</f>
        <v>4.0319098330014373</v>
      </c>
      <c r="J161">
        <v>149</v>
      </c>
      <c r="K161" s="35">
        <f ca="1">MCond(OFFSET($B$12,(ROW(A149)-1)*4,0,3,3))</f>
        <v>14.088858695576636</v>
      </c>
      <c r="M161">
        <f t="shared" ca="1" si="11"/>
        <v>6.5554944078876111E-3</v>
      </c>
    </row>
    <row r="162" spans="1:13">
      <c r="A162" s="171"/>
      <c r="B162" s="172">
        <v>0.21871711292247331</v>
      </c>
      <c r="C162" s="172">
        <v>2.1363371502498802</v>
      </c>
      <c r="D162" s="172">
        <v>8.9790398854103559E-2</v>
      </c>
      <c r="E162" s="171"/>
      <c r="F162" s="173"/>
      <c r="J162">
        <v>150</v>
      </c>
      <c r="K162" s="35">
        <f ca="1">MCond(OFFSET($B$12,(ROW(A150)-1)*4,0,3,3))</f>
        <v>10.969037156132696</v>
      </c>
      <c r="M162">
        <f t="shared" ca="1" si="11"/>
        <v>5.1038528592465418E-3</v>
      </c>
    </row>
    <row r="163" spans="1:13">
      <c r="A163" s="171"/>
      <c r="B163" s="172"/>
      <c r="C163" s="172"/>
      <c r="D163" s="172"/>
      <c r="E163" s="171"/>
      <c r="F163" s="174"/>
      <c r="J163">
        <v>151</v>
      </c>
      <c r="K163" s="35">
        <f ca="1">MCond(OFFSET($B$12,(ROW(A151)-1)*4,0,3,3))</f>
        <v>6.9688671966435978</v>
      </c>
      <c r="M163">
        <f t="shared" ca="1" si="11"/>
        <v>3.2425884114553345E-3</v>
      </c>
    </row>
    <row r="164" spans="1:13">
      <c r="A164" s="171"/>
      <c r="B164" s="172">
        <v>1.253875629566908</v>
      </c>
      <c r="C164" s="172">
        <v>3.2592166127769939E-2</v>
      </c>
      <c r="D164" s="172">
        <v>-0.73934661383723232</v>
      </c>
      <c r="E164" s="171"/>
      <c r="F164" s="173"/>
      <c r="J164">
        <v>152</v>
      </c>
      <c r="K164" s="35">
        <f ca="1">MCond(OFFSET($B$12,(ROW(A152)-1)*4,0,3,3))</f>
        <v>4.4471433415054369</v>
      </c>
      <c r="M164">
        <f t="shared" ca="1" si="11"/>
        <v>2.0692395272206483E-3</v>
      </c>
    </row>
    <row r="165" spans="1:13">
      <c r="A165" s="171" t="s">
        <v>252</v>
      </c>
      <c r="B165" s="172">
        <v>2.2957880185781296</v>
      </c>
      <c r="C165" s="172">
        <v>-8.2263663034425338E-3</v>
      </c>
      <c r="D165" s="172">
        <v>3.3137218009327896E-2</v>
      </c>
      <c r="E165" s="171"/>
      <c r="F165" s="173">
        <f>MCond(B164:D166)</f>
        <v>5.3172710655545243</v>
      </c>
      <c r="J165">
        <v>153</v>
      </c>
      <c r="K165" s="35">
        <f ca="1">MCond(OFFSET($B$12,(ROW(A153)-1)*4,0,3,3))</f>
        <v>10.911698904326556</v>
      </c>
      <c r="M165">
        <f t="shared" ca="1" si="11"/>
        <v>5.0771735804493734E-3</v>
      </c>
    </row>
    <row r="166" spans="1:13">
      <c r="A166" s="171"/>
      <c r="B166" s="172">
        <v>1.8375474863113905</v>
      </c>
      <c r="C166" s="172">
        <v>2.1167426559988707</v>
      </c>
      <c r="D166" s="172">
        <v>1.2367606559382516E-2</v>
      </c>
      <c r="E166" s="171"/>
      <c r="F166" s="173"/>
      <c r="J166">
        <v>154</v>
      </c>
      <c r="K166" s="35">
        <f ca="1">MCond(OFFSET($B$12,(ROW(A154)-1)*4,0,3,3))</f>
        <v>4.5861496106463111</v>
      </c>
      <c r="M166">
        <f t="shared" ca="1" si="11"/>
        <v>2.1339186357065909E-3</v>
      </c>
    </row>
    <row r="167" spans="1:13">
      <c r="A167" s="171"/>
      <c r="B167" s="172"/>
      <c r="C167" s="172"/>
      <c r="D167" s="172"/>
      <c r="E167" s="171"/>
      <c r="F167" s="174"/>
      <c r="J167">
        <v>155</v>
      </c>
      <c r="K167" s="35">
        <f ca="1">MCond(OFFSET($B$12,(ROW(A155)-1)*4,0,3,3))</f>
        <v>9.3131735466476471</v>
      </c>
      <c r="M167">
        <f t="shared" ca="1" si="11"/>
        <v>4.3333855796214085E-3</v>
      </c>
    </row>
    <row r="168" spans="1:13">
      <c r="A168" s="171"/>
      <c r="B168" s="172">
        <v>1.253875629566908</v>
      </c>
      <c r="C168" s="172">
        <v>3.2592166127769939E-2</v>
      </c>
      <c r="D168" s="172">
        <v>-0.73934661383723232</v>
      </c>
      <c r="E168" s="171"/>
      <c r="F168" s="173"/>
      <c r="J168">
        <v>156</v>
      </c>
      <c r="K168" s="35">
        <f ca="1">MCond(OFFSET($B$12,(ROW(A156)-1)*4,0,3,3))</f>
        <v>286.9294314386575</v>
      </c>
      <c r="M168">
        <f t="shared" ca="1" si="11"/>
        <v>0.13350721473592761</v>
      </c>
    </row>
    <row r="169" spans="1:13">
      <c r="A169" s="171" t="s">
        <v>253</v>
      </c>
      <c r="B169" s="172">
        <v>2.2957880185781296</v>
      </c>
      <c r="C169" s="172">
        <v>-8.2263663034425338E-3</v>
      </c>
      <c r="D169" s="172">
        <v>3.3137218009327896E-2</v>
      </c>
      <c r="E169" s="171"/>
      <c r="F169" s="173">
        <f>MCond(B168:D170)</f>
        <v>5.1746470606257837</v>
      </c>
      <c r="J169">
        <v>157</v>
      </c>
      <c r="K169" s="35">
        <f ca="1">MCond(OFFSET($B$12,(ROW(A157)-1)*4,0,3,3))</f>
        <v>155.61168544988374</v>
      </c>
      <c r="M169">
        <f t="shared" ca="1" si="11"/>
        <v>7.2405547944700083E-2</v>
      </c>
    </row>
    <row r="170" spans="1:13">
      <c r="A170" s="171"/>
      <c r="B170" s="172">
        <v>1.2284177840385118</v>
      </c>
      <c r="C170" s="172">
        <v>2.3993580133895418</v>
      </c>
      <c r="D170" s="172">
        <v>-0.6756623603325641</v>
      </c>
      <c r="E170" s="171"/>
      <c r="F170" s="173"/>
      <c r="J170">
        <v>158</v>
      </c>
      <c r="K170" s="35">
        <f ca="1">MCond(OFFSET($B$12,(ROW(A158)-1)*4,0,3,3))</f>
        <v>159.28604006876967</v>
      </c>
      <c r="M170">
        <f t="shared" ca="1" si="11"/>
        <v>7.4115211706482664E-2</v>
      </c>
    </row>
    <row r="171" spans="1:13">
      <c r="A171" s="171"/>
      <c r="B171" s="172"/>
      <c r="C171" s="172"/>
      <c r="D171" s="172"/>
      <c r="E171" s="171"/>
      <c r="F171" s="174"/>
      <c r="J171">
        <v>159</v>
      </c>
      <c r="K171" s="35">
        <f ca="1">MCond(OFFSET($B$12,(ROW(A159)-1)*4,0,3,3))</f>
        <v>11.339490785679912</v>
      </c>
      <c r="M171">
        <f t="shared" ca="1" si="11"/>
        <v>5.2762235777945882E-3</v>
      </c>
    </row>
    <row r="172" spans="1:13">
      <c r="A172" s="171"/>
      <c r="B172" s="172">
        <v>1.253875629566908</v>
      </c>
      <c r="C172" s="172">
        <v>3.2592166127769939E-2</v>
      </c>
      <c r="D172" s="172">
        <v>-0.73934661383723232</v>
      </c>
      <c r="E172" s="171"/>
      <c r="F172" s="173"/>
      <c r="J172">
        <v>160</v>
      </c>
      <c r="K172" s="35">
        <f ca="1">MCond(OFFSET($B$12,(ROW(A160)-1)*4,0,3,3))</f>
        <v>107.5399530016923</v>
      </c>
      <c r="M172">
        <f t="shared" ca="1" si="11"/>
        <v>5.0037946703832471E-2</v>
      </c>
    </row>
    <row r="173" spans="1:13">
      <c r="A173" s="171" t="s">
        <v>254</v>
      </c>
      <c r="B173" s="172">
        <v>-0.14897154656832046</v>
      </c>
      <c r="C173" s="172">
        <v>0.84725762547333594</v>
      </c>
      <c r="D173" s="172">
        <v>-1.9759438806851826E-2</v>
      </c>
      <c r="E173" s="171"/>
      <c r="F173" s="173">
        <f>MCond(B172:D174)</f>
        <v>5.3206171986713269</v>
      </c>
      <c r="J173">
        <v>161</v>
      </c>
      <c r="K173" s="35">
        <f ca="1">MCond(OFFSET($B$12,(ROW(A161)-1)*4,0,3,3))</f>
        <v>2149.1679832149403</v>
      </c>
      <c r="M173">
        <f t="shared" ca="1" si="11"/>
        <v>1</v>
      </c>
    </row>
    <row r="174" spans="1:13">
      <c r="A174" s="171"/>
      <c r="B174" s="172">
        <v>2.6959782234951333</v>
      </c>
      <c r="C174" s="172">
        <v>1.0757798809975587</v>
      </c>
      <c r="D174" s="172">
        <v>4.997772423355884E-2</v>
      </c>
      <c r="E174" s="171"/>
      <c r="F174" s="173"/>
      <c r="J174">
        <v>162</v>
      </c>
      <c r="K174" s="35">
        <f ca="1">MCond(OFFSET($B$12,(ROW(A162)-1)*4,0,3,3))</f>
        <v>19.571411138788417</v>
      </c>
      <c r="M174">
        <f t="shared" ca="1" si="11"/>
        <v>9.1065060021560274E-3</v>
      </c>
    </row>
    <row r="175" spans="1:13">
      <c r="A175" s="171"/>
      <c r="B175" s="172"/>
      <c r="C175" s="172"/>
      <c r="D175" s="172"/>
      <c r="E175" s="171"/>
      <c r="F175" s="174"/>
      <c r="J175">
        <v>163</v>
      </c>
      <c r="K175" s="35">
        <f ca="1">MCond(OFFSET($B$12,(ROW(A163)-1)*4,0,3,3))</f>
        <v>58.858855955017582</v>
      </c>
      <c r="M175">
        <f t="shared" ca="1" si="11"/>
        <v>2.7386810344610952E-2</v>
      </c>
    </row>
    <row r="176" spans="1:13">
      <c r="A176" s="171"/>
      <c r="B176" s="172">
        <v>1.253875629566908</v>
      </c>
      <c r="C176" s="172">
        <v>3.2592166127769939E-2</v>
      </c>
      <c r="D176" s="172">
        <v>-0.73934661383723232</v>
      </c>
      <c r="E176" s="171"/>
      <c r="F176" s="173"/>
      <c r="J176">
        <v>164</v>
      </c>
      <c r="K176" s="35">
        <f ca="1">MCond(OFFSET($B$12,(ROW(A164)-1)*4,0,3,3))</f>
        <v>7.33302063772613</v>
      </c>
      <c r="M176">
        <f t="shared" ca="1" si="11"/>
        <v>3.4120276753595896E-3</v>
      </c>
    </row>
    <row r="177" spans="1:13">
      <c r="A177" s="171" t="s">
        <v>255</v>
      </c>
      <c r="B177" s="172">
        <v>-0.14897154656832046</v>
      </c>
      <c r="C177" s="172">
        <v>0.84725762547333594</v>
      </c>
      <c r="D177" s="172">
        <v>-1.9759438806851826E-2</v>
      </c>
      <c r="E177" s="171"/>
      <c r="F177" s="173">
        <f>MCond(B176:D178)</f>
        <v>14.924598791824929</v>
      </c>
      <c r="J177">
        <v>165</v>
      </c>
      <c r="K177" s="35">
        <f ca="1">MCond(OFFSET($B$12,(ROW(A165)-1)*4,0,3,3))</f>
        <v>8.5028993454699311</v>
      </c>
      <c r="M177">
        <f t="shared" ca="1" si="11"/>
        <v>3.9563679581483642E-3</v>
      </c>
    </row>
    <row r="178" spans="1:13">
      <c r="A178" s="171"/>
      <c r="B178" s="172">
        <v>0.21871711292247331</v>
      </c>
      <c r="C178" s="172">
        <v>2.1363371502498802</v>
      </c>
      <c r="D178" s="172">
        <v>8.9790398854103559E-2</v>
      </c>
      <c r="E178" s="171"/>
      <c r="F178" s="173"/>
      <c r="J178">
        <v>166</v>
      </c>
      <c r="K178" s="35">
        <f ca="1">MCond(OFFSET($B$12,(ROW(A166)-1)*4,0,3,3))</f>
        <v>77.784722012998088</v>
      </c>
      <c r="M178">
        <f t="shared" ca="1" si="11"/>
        <v>3.6192946582351337E-2</v>
      </c>
    </row>
    <row r="179" spans="1:13">
      <c r="A179" s="171"/>
      <c r="B179" s="172"/>
      <c r="C179" s="172"/>
      <c r="D179" s="172"/>
      <c r="E179" s="171"/>
      <c r="F179" s="174"/>
      <c r="J179">
        <v>167</v>
      </c>
      <c r="K179" s="35">
        <f ca="1">MCond(OFFSET($B$12,(ROW(A167)-1)*4,0,3,3))</f>
        <v>190.43474137765517</v>
      </c>
      <c r="M179">
        <f t="shared" ca="1" si="11"/>
        <v>8.8608588470029157E-2</v>
      </c>
    </row>
    <row r="180" spans="1:13">
      <c r="A180" s="171"/>
      <c r="B180" s="172">
        <v>1.253875629566908</v>
      </c>
      <c r="C180" s="172">
        <v>3.2592166127769939E-2</v>
      </c>
      <c r="D180" s="172">
        <v>-0.73934661383723232</v>
      </c>
      <c r="E180" s="171"/>
      <c r="F180" s="173"/>
      <c r="J180">
        <v>168</v>
      </c>
      <c r="K180" s="35">
        <f ca="1">MCond(OFFSET($B$12,(ROW(A168)-1)*4,0,3,3))</f>
        <v>8.9880513431210201</v>
      </c>
      <c r="M180">
        <f t="shared" ca="1" si="11"/>
        <v>4.1821074077586966E-3</v>
      </c>
    </row>
    <row r="181" spans="1:13">
      <c r="A181" s="171" t="s">
        <v>256</v>
      </c>
      <c r="B181" s="172">
        <v>-0.14897154656832046</v>
      </c>
      <c r="C181" s="172">
        <v>0.84725762547333594</v>
      </c>
      <c r="D181" s="172">
        <v>-1.9759438806851826E-2</v>
      </c>
      <c r="E181" s="171"/>
      <c r="F181" s="173">
        <f>MCond(B180:D182)</f>
        <v>7.888357243357154</v>
      </c>
      <c r="J181">
        <v>169</v>
      </c>
      <c r="K181" s="35">
        <f ca="1">MCond(OFFSET($B$12,(ROW(A169)-1)*4,0,3,3))</f>
        <v>56.386053470483816</v>
      </c>
      <c r="M181">
        <f t="shared" ca="1" si="11"/>
        <v>2.6236224395142869E-2</v>
      </c>
    </row>
    <row r="182" spans="1:13">
      <c r="A182" s="171"/>
      <c r="B182" s="172">
        <v>1.8375474863113905</v>
      </c>
      <c r="C182" s="172">
        <v>2.1167426559988707</v>
      </c>
      <c r="D182" s="172">
        <v>1.2367606559382516E-2</v>
      </c>
      <c r="E182" s="171"/>
      <c r="F182" s="173"/>
      <c r="J182">
        <v>170</v>
      </c>
      <c r="K182" s="35">
        <f ca="1">MCond(OFFSET($B$12,(ROW(A170)-1)*4,0,3,3))</f>
        <v>5.9659507309582951</v>
      </c>
      <c r="M182">
        <f t="shared" ca="1" si="11"/>
        <v>2.7759350490759822E-3</v>
      </c>
    </row>
    <row r="183" spans="1:13">
      <c r="A183" s="171"/>
      <c r="B183" s="172"/>
      <c r="C183" s="172"/>
      <c r="D183" s="172"/>
      <c r="E183" s="171"/>
      <c r="F183" s="174"/>
      <c r="J183">
        <v>171</v>
      </c>
      <c r="K183" s="35">
        <f ca="1">MCond(OFFSET($B$12,(ROW(A171)-1)*4,0,3,3))</f>
        <v>7.5782362388487288</v>
      </c>
      <c r="M183">
        <f t="shared" ca="1" si="11"/>
        <v>3.5261255974567635E-3</v>
      </c>
    </row>
    <row r="184" spans="1:13">
      <c r="A184" s="171"/>
      <c r="B184" s="172">
        <v>1.253875629566908</v>
      </c>
      <c r="C184" s="172">
        <v>3.2592166127769939E-2</v>
      </c>
      <c r="D184" s="172">
        <v>-0.73934661383723232</v>
      </c>
      <c r="E184" s="171"/>
      <c r="F184" s="173"/>
      <c r="J184">
        <v>172</v>
      </c>
      <c r="K184" s="35">
        <f ca="1">MCond(OFFSET($B$12,(ROW(A172)-1)*4,0,3,3))</f>
        <v>53.026975700344195</v>
      </c>
      <c r="M184">
        <f t="shared" ca="1" si="11"/>
        <v>2.4673257797662305E-2</v>
      </c>
    </row>
    <row r="185" spans="1:13">
      <c r="A185" s="171" t="s">
        <v>257</v>
      </c>
      <c r="B185" s="172">
        <v>-0.14897154656832046</v>
      </c>
      <c r="C185" s="172">
        <v>0.84725762547333594</v>
      </c>
      <c r="D185" s="172">
        <v>-1.9759438806851826E-2</v>
      </c>
      <c r="E185" s="171"/>
      <c r="F185" s="173">
        <f>MCond(B184:D186)</f>
        <v>31.543651568563895</v>
      </c>
      <c r="J185">
        <v>173</v>
      </c>
      <c r="K185" s="35">
        <f ca="1">MCond(OFFSET($B$12,(ROW(A173)-1)*4,0,3,3))</f>
        <v>8.7470632700269135</v>
      </c>
      <c r="M185">
        <f t="shared" ca="1" si="11"/>
        <v>4.0699765389870463E-3</v>
      </c>
    </row>
    <row r="186" spans="1:13">
      <c r="A186" s="171"/>
      <c r="B186" s="172">
        <v>1.2284177840385118</v>
      </c>
      <c r="C186" s="172">
        <v>2.3993580133895418</v>
      </c>
      <c r="D186" s="172">
        <v>-0.6756623603325641</v>
      </c>
      <c r="E186" s="171"/>
      <c r="F186" s="173"/>
      <c r="J186">
        <v>174</v>
      </c>
      <c r="K186" s="35">
        <f ca="1">MCond(OFFSET($B$12,(ROW(A174)-1)*4,0,3,3))</f>
        <v>8.8256455143170687</v>
      </c>
      <c r="M186">
        <f t="shared" ca="1" si="11"/>
        <v>4.1065405697672764E-3</v>
      </c>
    </row>
    <row r="187" spans="1:13">
      <c r="A187" s="171"/>
      <c r="B187" s="172"/>
      <c r="C187" s="172"/>
      <c r="D187" s="172"/>
      <c r="E187" s="171"/>
      <c r="F187" s="174"/>
      <c r="J187">
        <v>175</v>
      </c>
      <c r="K187" s="35">
        <f ca="1">MCond(OFFSET($B$12,(ROW(A175)-1)*4,0,3,3))</f>
        <v>9.1035115127969473</v>
      </c>
      <c r="M187">
        <f t="shared" ca="1" si="11"/>
        <v>4.2358306023054584E-3</v>
      </c>
    </row>
    <row r="188" spans="1:13">
      <c r="A188" s="171"/>
      <c r="B188" s="172">
        <v>1.253875629566908</v>
      </c>
      <c r="C188" s="172">
        <v>3.2592166127769939E-2</v>
      </c>
      <c r="D188" s="172">
        <v>-0.73934661383723232</v>
      </c>
      <c r="E188" s="171"/>
      <c r="F188" s="173"/>
      <c r="J188">
        <v>176</v>
      </c>
      <c r="K188" s="35">
        <f ca="1">MCond(OFFSET($B$12,(ROW(A176)-1)*4,0,3,3))</f>
        <v>6.7459428276848676</v>
      </c>
      <c r="M188">
        <f t="shared" ca="1" si="11"/>
        <v>3.1388625181329997E-3</v>
      </c>
    </row>
    <row r="189" spans="1:13">
      <c r="A189" s="171" t="s">
        <v>258</v>
      </c>
      <c r="B189" s="172">
        <v>2.6959782234951333</v>
      </c>
      <c r="C189" s="172">
        <v>1.0757798809975587</v>
      </c>
      <c r="D189" s="172">
        <v>4.997772423355884E-2</v>
      </c>
      <c r="E189" s="171"/>
      <c r="F189" s="173">
        <f>MCond(B188:D190)</f>
        <v>5.1709959027855508</v>
      </c>
      <c r="J189">
        <v>177</v>
      </c>
      <c r="K189" s="35">
        <f ca="1">MCond(OFFSET($B$12,(ROW(A177)-1)*4,0,3,3))</f>
        <v>25.009188868397612</v>
      </c>
      <c r="M189">
        <f t="shared" ca="1" si="11"/>
        <v>1.1636684085990508E-2</v>
      </c>
    </row>
    <row r="190" spans="1:13">
      <c r="A190" s="171"/>
      <c r="B190" s="172">
        <v>0.21871711292247331</v>
      </c>
      <c r="C190" s="172">
        <v>2.1363371502498802</v>
      </c>
      <c r="D190" s="172">
        <v>8.9790398854103559E-2</v>
      </c>
      <c r="E190" s="171"/>
      <c r="F190" s="173"/>
      <c r="J190">
        <v>178</v>
      </c>
      <c r="K190" s="35">
        <f ca="1">MCond(OFFSET($B$12,(ROW(A178)-1)*4,0,3,3))</f>
        <v>6.7625217711569316</v>
      </c>
      <c r="M190">
        <f t="shared" ca="1" si="11"/>
        <v>3.1465766398775753E-3</v>
      </c>
    </row>
    <row r="191" spans="1:13">
      <c r="A191" s="171"/>
      <c r="B191" s="172"/>
      <c r="C191" s="172"/>
      <c r="D191" s="172"/>
      <c r="E191" s="171"/>
      <c r="F191" s="174"/>
      <c r="J191">
        <v>179</v>
      </c>
      <c r="K191" s="35">
        <f ca="1">MCond(OFFSET($B$12,(ROW(A179)-1)*4,0,3,3))</f>
        <v>7.648214420981799</v>
      </c>
      <c r="M191">
        <f t="shared" ca="1" si="11"/>
        <v>3.558686189592698E-3</v>
      </c>
    </row>
    <row r="192" spans="1:13">
      <c r="A192" s="171"/>
      <c r="B192" s="172">
        <v>1.253875629566908</v>
      </c>
      <c r="C192" s="172">
        <v>3.2592166127769939E-2</v>
      </c>
      <c r="D192" s="172">
        <v>-0.73934661383723232</v>
      </c>
      <c r="E192" s="171"/>
      <c r="F192" s="173"/>
      <c r="J192">
        <v>180</v>
      </c>
      <c r="K192" s="35">
        <f ca="1">MCond(OFFSET($B$12,(ROW(A180)-1)*4,0,3,3))</f>
        <v>30.732928259329775</v>
      </c>
      <c r="M192">
        <f t="shared" ca="1" si="11"/>
        <v>1.4299919084666612E-2</v>
      </c>
    </row>
    <row r="193" spans="1:13">
      <c r="A193" s="171" t="s">
        <v>259</v>
      </c>
      <c r="B193" s="172">
        <v>2.6959782234951333</v>
      </c>
      <c r="C193" s="172">
        <v>1.0757798809975587</v>
      </c>
      <c r="D193" s="172">
        <v>4.997772423355884E-2</v>
      </c>
      <c r="E193" s="171"/>
      <c r="F193" s="173">
        <f>MCond(B192:D194)</f>
        <v>7.1675826345810227</v>
      </c>
      <c r="J193">
        <v>181</v>
      </c>
      <c r="K193" s="35">
        <f ca="1">MCond(OFFSET($B$12,(ROW(A181)-1)*4,0,3,3))</f>
        <v>7.3967963927114955</v>
      </c>
      <c r="M193">
        <f t="shared" ca="1" si="11"/>
        <v>3.4417023008348692E-3</v>
      </c>
    </row>
    <row r="194" spans="1:13">
      <c r="A194" s="171"/>
      <c r="B194" s="172">
        <v>1.8375474863113905</v>
      </c>
      <c r="C194" s="172">
        <v>2.1167426559988707</v>
      </c>
      <c r="D194" s="172">
        <v>1.2367606559382516E-2</v>
      </c>
      <c r="E194" s="171"/>
      <c r="F194" s="173"/>
      <c r="J194">
        <v>182</v>
      </c>
      <c r="K194" s="35">
        <f ca="1">MCond(OFFSET($B$12,(ROW(A182)-1)*4,0,3,3))</f>
        <v>11.431778758175978</v>
      </c>
      <c r="M194">
        <f t="shared" ca="1" si="11"/>
        <v>5.3191648337675224E-3</v>
      </c>
    </row>
    <row r="195" spans="1:13">
      <c r="A195" s="171"/>
      <c r="B195" s="172"/>
      <c r="C195" s="172"/>
      <c r="D195" s="172"/>
      <c r="E195" s="171"/>
      <c r="F195" s="174"/>
      <c r="J195">
        <v>183</v>
      </c>
      <c r="K195" s="35">
        <f ca="1">MCond(OFFSET($B$12,(ROW(A183)-1)*4,0,3,3))</f>
        <v>7.7074988340721093</v>
      </c>
      <c r="M195">
        <f t="shared" ca="1" si="11"/>
        <v>3.5862710101154877E-3</v>
      </c>
    </row>
    <row r="196" spans="1:13">
      <c r="A196" s="171"/>
      <c r="B196" s="172">
        <v>1.253875629566908</v>
      </c>
      <c r="C196" s="172">
        <v>3.2592166127769939E-2</v>
      </c>
      <c r="D196" s="172">
        <v>-0.73934661383723232</v>
      </c>
      <c r="E196" s="171"/>
      <c r="F196" s="173"/>
      <c r="J196">
        <v>184</v>
      </c>
      <c r="K196" s="35">
        <f ca="1">MCond(OFFSET($B$12,(ROW(A184)-1)*4,0,3,3))</f>
        <v>4.638002539904412</v>
      </c>
      <c r="M196">
        <f t="shared" ca="1" si="11"/>
        <v>2.1580456139898493E-3</v>
      </c>
    </row>
    <row r="197" spans="1:13">
      <c r="A197" s="171" t="s">
        <v>260</v>
      </c>
      <c r="B197" s="172">
        <v>2.6959782234951333</v>
      </c>
      <c r="C197" s="172">
        <v>1.0757798809975587</v>
      </c>
      <c r="D197" s="172">
        <v>4.997772423355884E-2</v>
      </c>
      <c r="E197" s="171"/>
      <c r="F197" s="173">
        <f>MCond(B196:D198)</f>
        <v>5.020555181865034</v>
      </c>
      <c r="J197">
        <v>185</v>
      </c>
      <c r="K197" s="35">
        <f ca="1">MCond(OFFSET($B$12,(ROW(A185)-1)*4,0,3,3))</f>
        <v>8.6904484429411184</v>
      </c>
      <c r="M197">
        <f t="shared" ca="1" si="11"/>
        <v>4.0436338670656524E-3</v>
      </c>
    </row>
    <row r="198" spans="1:13">
      <c r="A198" s="171"/>
      <c r="B198" s="172">
        <v>1.2284177840385118</v>
      </c>
      <c r="C198" s="172">
        <v>2.3993580133895418</v>
      </c>
      <c r="D198" s="172">
        <v>-0.6756623603325641</v>
      </c>
      <c r="E198" s="171"/>
      <c r="F198" s="173"/>
      <c r="J198">
        <v>186</v>
      </c>
      <c r="K198" s="35">
        <f ca="1">MCond(OFFSET($B$12,(ROW(A186)-1)*4,0,3,3))</f>
        <v>10.838976396829279</v>
      </c>
      <c r="M198">
        <f t="shared" ca="1" si="11"/>
        <v>5.0433360637614074E-3</v>
      </c>
    </row>
    <row r="199" spans="1:13">
      <c r="A199" s="171"/>
      <c r="B199" s="172"/>
      <c r="C199" s="172"/>
      <c r="D199" s="172"/>
      <c r="E199" s="171"/>
      <c r="F199" s="174"/>
      <c r="J199">
        <v>187</v>
      </c>
      <c r="K199" s="35">
        <f ca="1">MCond(OFFSET($B$12,(ROW(A187)-1)*4,0,3,3))</f>
        <v>12.611025430513319</v>
      </c>
      <c r="M199">
        <f t="shared" ca="1" si="11"/>
        <v>5.8678639962095871E-3</v>
      </c>
    </row>
    <row r="200" spans="1:13">
      <c r="A200" s="171"/>
      <c r="B200" s="172">
        <v>1.253875629566908</v>
      </c>
      <c r="C200" s="172">
        <v>3.2592166127769939E-2</v>
      </c>
      <c r="D200" s="172">
        <v>-0.73934661383723232</v>
      </c>
      <c r="E200" s="171"/>
      <c r="F200" s="173"/>
      <c r="J200">
        <v>188</v>
      </c>
      <c r="K200" s="35">
        <f ca="1">MCond(OFFSET($B$12,(ROW(A188)-1)*4,0,3,3))</f>
        <v>14.023075414159493</v>
      </c>
      <c r="M200">
        <f t="shared" ca="1" si="11"/>
        <v>6.5248856877080288E-3</v>
      </c>
    </row>
    <row r="201" spans="1:13">
      <c r="A201" s="171" t="s">
        <v>261</v>
      </c>
      <c r="B201" s="172">
        <v>0.21871711292247331</v>
      </c>
      <c r="C201" s="172">
        <v>2.1363371502498802</v>
      </c>
      <c r="D201" s="172">
        <v>8.9790398854103559E-2</v>
      </c>
      <c r="E201" s="171"/>
      <c r="F201" s="173">
        <f>MCond(B200:D202)</f>
        <v>8.0179728515029733</v>
      </c>
      <c r="J201">
        <v>189</v>
      </c>
      <c r="K201" s="35">
        <f ca="1">MCond(OFFSET($B$12,(ROW(A189)-1)*4,0,3,3))</f>
        <v>4.0515953972785423</v>
      </c>
      <c r="M201">
        <f t="shared" ca="1" si="11"/>
        <v>1.8851925158580489E-3</v>
      </c>
    </row>
    <row r="202" spans="1:13">
      <c r="A202" s="171"/>
      <c r="B202" s="172">
        <v>1.8375474863113905</v>
      </c>
      <c r="C202" s="172">
        <v>2.1167426559988707</v>
      </c>
      <c r="D202" s="172">
        <v>1.2367606559382516E-2</v>
      </c>
      <c r="E202" s="171"/>
      <c r="F202" s="173"/>
      <c r="J202">
        <v>190</v>
      </c>
      <c r="K202" s="35">
        <f ca="1">MCond(OFFSET($B$12,(ROW(A190)-1)*4,0,3,3))</f>
        <v>4.3704074811251417</v>
      </c>
      <c r="M202">
        <f t="shared" ca="1" si="11"/>
        <v>2.0335346121188019E-3</v>
      </c>
    </row>
    <row r="203" spans="1:13">
      <c r="A203" s="171"/>
      <c r="B203" s="172"/>
      <c r="C203" s="172"/>
      <c r="D203" s="172"/>
      <c r="E203" s="171"/>
      <c r="F203" s="174"/>
      <c r="J203">
        <v>191</v>
      </c>
      <c r="K203" s="35">
        <f ca="1">MCond(OFFSET($B$12,(ROW(A191)-1)*4,0,3,3))</f>
        <v>83.460835017935977</v>
      </c>
      <c r="M203">
        <f t="shared" ca="1" si="11"/>
        <v>3.8834021197862306E-2</v>
      </c>
    </row>
    <row r="204" spans="1:13">
      <c r="A204" s="171"/>
      <c r="B204" s="172">
        <v>1.253875629566908</v>
      </c>
      <c r="C204" s="172">
        <v>3.2592166127769939E-2</v>
      </c>
      <c r="D204" s="172">
        <v>-0.73934661383723232</v>
      </c>
      <c r="E204" s="171"/>
      <c r="F204" s="173"/>
      <c r="J204">
        <v>192</v>
      </c>
      <c r="K204" s="35">
        <f ca="1">MCond(OFFSET($B$12,(ROW(A192)-1)*4,0,3,3))</f>
        <v>204.78346391597921</v>
      </c>
      <c r="M204">
        <f t="shared" ca="1" si="11"/>
        <v>9.5284996573252331E-2</v>
      </c>
    </row>
    <row r="205" spans="1:13">
      <c r="A205" s="171" t="s">
        <v>262</v>
      </c>
      <c r="B205" s="172">
        <v>0.21871711292247331</v>
      </c>
      <c r="C205" s="172">
        <v>2.1363371502498802</v>
      </c>
      <c r="D205" s="172">
        <v>8.9790398854103559E-2</v>
      </c>
      <c r="E205" s="171"/>
      <c r="F205" s="173">
        <f>MCond(B204:D206)</f>
        <v>35.843588743019239</v>
      </c>
      <c r="J205">
        <v>193</v>
      </c>
      <c r="K205" s="35">
        <f ca="1">MCond(OFFSET($B$12,(ROW(A193)-1)*4,0,3,3))</f>
        <v>49.247927504726903</v>
      </c>
      <c r="M205">
        <f t="shared" ca="1" si="11"/>
        <v>2.2914880497641198E-2</v>
      </c>
    </row>
    <row r="206" spans="1:13">
      <c r="A206" s="171"/>
      <c r="B206" s="172">
        <v>1.2284177840385118</v>
      </c>
      <c r="C206" s="172">
        <v>2.3993580133895418</v>
      </c>
      <c r="D206" s="172">
        <v>-0.6756623603325641</v>
      </c>
      <c r="E206" s="171"/>
      <c r="F206" s="173"/>
      <c r="J206">
        <v>194</v>
      </c>
      <c r="K206" s="35">
        <f ca="1">MCond(OFFSET($B$12,(ROW(A194)-1)*4,0,3,3))</f>
        <v>5.3867085530333512</v>
      </c>
      <c r="M206">
        <f t="shared" ref="M206:M269" ca="1" si="15">K206/$L$13</f>
        <v>2.50641578280697E-3</v>
      </c>
    </row>
    <row r="207" spans="1:13">
      <c r="A207" s="171"/>
      <c r="B207" s="172"/>
      <c r="C207" s="172"/>
      <c r="D207" s="172"/>
      <c r="E207" s="171"/>
      <c r="F207" s="174"/>
      <c r="J207">
        <v>195</v>
      </c>
      <c r="K207" s="35">
        <f ca="1">MCond(OFFSET($B$12,(ROW(A195)-1)*4,0,3,3))</f>
        <v>63.944981854448542</v>
      </c>
      <c r="M207">
        <f t="shared" ca="1" si="15"/>
        <v>2.9753366118358625E-2</v>
      </c>
    </row>
    <row r="208" spans="1:13">
      <c r="A208" s="171"/>
      <c r="B208" s="172">
        <v>1.253875629566908</v>
      </c>
      <c r="C208" s="172">
        <v>3.2592166127769939E-2</v>
      </c>
      <c r="D208" s="172">
        <v>-0.73934661383723232</v>
      </c>
      <c r="E208" s="171"/>
      <c r="F208" s="173"/>
      <c r="J208">
        <v>196</v>
      </c>
      <c r="K208" s="35">
        <f ca="1">MCond(OFFSET($B$12,(ROW(A196)-1)*4,0,3,3))</f>
        <v>45.152375765832033</v>
      </c>
      <c r="M208">
        <f t="shared" ca="1" si="15"/>
        <v>2.1009235256840463E-2</v>
      </c>
    </row>
    <row r="209" spans="1:13">
      <c r="A209" s="171" t="s">
        <v>263</v>
      </c>
      <c r="B209" s="172">
        <v>1.8375474863113905</v>
      </c>
      <c r="C209" s="172">
        <v>2.1167426559988707</v>
      </c>
      <c r="D209" s="172">
        <v>1.2367606559382516E-2</v>
      </c>
      <c r="E209" s="171"/>
      <c r="F209" s="173">
        <f>MCond(B208:D210)</f>
        <v>6.0262694639012206</v>
      </c>
      <c r="J209">
        <v>197</v>
      </c>
      <c r="K209" s="35">
        <f ca="1">MCond(OFFSET($B$12,(ROW(A197)-1)*4,0,3,3))</f>
        <v>15.911611789340494</v>
      </c>
      <c r="M209">
        <f t="shared" ca="1" si="15"/>
        <v>7.4036147539934573E-3</v>
      </c>
    </row>
    <row r="210" spans="1:13">
      <c r="A210" s="171"/>
      <c r="B210" s="172">
        <v>1.2284177840385118</v>
      </c>
      <c r="C210" s="172">
        <v>2.3993580133895418</v>
      </c>
      <c r="D210" s="172">
        <v>-0.6756623603325641</v>
      </c>
      <c r="E210" s="171"/>
      <c r="F210" s="173"/>
      <c r="J210">
        <v>198</v>
      </c>
      <c r="K210" s="35">
        <f ca="1">MCond(OFFSET($B$12,(ROW(A198)-1)*4,0,3,3))</f>
        <v>48.308554874402986</v>
      </c>
      <c r="M210">
        <f t="shared" ca="1" si="15"/>
        <v>2.2477793849384552E-2</v>
      </c>
    </row>
    <row r="211" spans="1:13">
      <c r="A211" s="171"/>
      <c r="B211" s="172"/>
      <c r="C211" s="172"/>
      <c r="D211" s="172"/>
      <c r="E211" s="171"/>
      <c r="F211" s="174"/>
      <c r="J211">
        <v>199</v>
      </c>
      <c r="K211" s="35">
        <f ca="1">MCond(OFFSET($B$12,(ROW(A199)-1)*4,0,3,3))</f>
        <v>4.2325598033353158</v>
      </c>
      <c r="M211">
        <f t="shared" ca="1" si="15"/>
        <v>1.9693945919498717E-3</v>
      </c>
    </row>
    <row r="212" spans="1:13">
      <c r="A212" s="171"/>
      <c r="B212" s="172">
        <v>2.2957880185781296</v>
      </c>
      <c r="C212" s="172">
        <v>-8.2263663034425338E-3</v>
      </c>
      <c r="D212" s="172">
        <v>3.3137218009327896E-2</v>
      </c>
      <c r="E212" s="171"/>
      <c r="F212" s="173"/>
      <c r="J212">
        <v>200</v>
      </c>
      <c r="K212" s="35">
        <f ca="1">MCond(OFFSET($B$12,(ROW(A200)-1)*4,0,3,3))</f>
        <v>3.743001491301829</v>
      </c>
      <c r="M212">
        <f t="shared" ca="1" si="15"/>
        <v>1.7416049003776211E-3</v>
      </c>
    </row>
    <row r="213" spans="1:13">
      <c r="A213" s="171" t="s">
        <v>264</v>
      </c>
      <c r="B213" s="172">
        <v>-0.14897154656832046</v>
      </c>
      <c r="C213" s="172">
        <v>0.84725762547333594</v>
      </c>
      <c r="D213" s="172">
        <v>-1.9759438806851826E-2</v>
      </c>
      <c r="E213" s="171"/>
      <c r="F213" s="173">
        <f>MCond(B212:D214)</f>
        <v>222.32523405718308</v>
      </c>
      <c r="J213">
        <v>201</v>
      </c>
      <c r="K213" s="35">
        <f ca="1">MCond(OFFSET($B$12,(ROW(A201)-1)*4,0,3,3))</f>
        <v>84.872649675684883</v>
      </c>
      <c r="M213">
        <f t="shared" ca="1" si="15"/>
        <v>3.9490933393081677E-2</v>
      </c>
    </row>
    <row r="214" spans="1:13">
      <c r="A214" s="171"/>
      <c r="B214" s="172">
        <v>2.6959782234951333</v>
      </c>
      <c r="C214" s="172">
        <v>1.0757798809975587</v>
      </c>
      <c r="D214" s="172">
        <v>4.997772423355884E-2</v>
      </c>
      <c r="E214" s="171"/>
      <c r="F214" s="173"/>
      <c r="J214">
        <v>202</v>
      </c>
      <c r="K214" s="35">
        <f ca="1">MCond(OFFSET($B$12,(ROW(A202)-1)*4,0,3,3))</f>
        <v>33.069426713699293</v>
      </c>
      <c r="M214">
        <f t="shared" ca="1" si="15"/>
        <v>1.5387083267558612E-2</v>
      </c>
    </row>
    <row r="215" spans="1:13">
      <c r="A215" s="171"/>
      <c r="B215" s="172"/>
      <c r="C215" s="172"/>
      <c r="D215" s="172"/>
      <c r="E215" s="171"/>
      <c r="F215" s="174"/>
      <c r="J215">
        <v>203</v>
      </c>
      <c r="K215" s="35">
        <f ca="1">MCond(OFFSET($B$12,(ROW(A203)-1)*4,0,3,3))</f>
        <v>5.155149298810846</v>
      </c>
      <c r="M215">
        <f t="shared" ca="1" si="15"/>
        <v>2.3986721089615613E-3</v>
      </c>
    </row>
    <row r="216" spans="1:13">
      <c r="A216" s="171"/>
      <c r="B216" s="172">
        <v>2.2957880185781296</v>
      </c>
      <c r="C216" s="172">
        <v>-8.2263663034425338E-3</v>
      </c>
      <c r="D216" s="172">
        <v>3.3137218009327896E-2</v>
      </c>
      <c r="E216" s="171"/>
      <c r="F216" s="173"/>
      <c r="J216">
        <v>204</v>
      </c>
      <c r="K216" s="35">
        <f ca="1">MCond(OFFSET($B$12,(ROW(A204)-1)*4,0,3,3))</f>
        <v>103.43008876337434</v>
      </c>
      <c r="M216">
        <f t="shared" ca="1" si="15"/>
        <v>4.8125641909411508E-2</v>
      </c>
    </row>
    <row r="217" spans="1:13">
      <c r="A217" s="171" t="s">
        <v>265</v>
      </c>
      <c r="B217" s="172">
        <v>-0.14897154656832046</v>
      </c>
      <c r="C217" s="172">
        <v>0.84725762547333594</v>
      </c>
      <c r="D217" s="172">
        <v>-1.9759438806851826E-2</v>
      </c>
      <c r="E217" s="171"/>
      <c r="F217" s="173">
        <f>MCond(B216:D218)</f>
        <v>49.448565792947846</v>
      </c>
      <c r="J217">
        <v>205</v>
      </c>
      <c r="K217" s="35">
        <f ca="1">MCond(OFFSET($B$12,(ROW(A205)-1)*4,0,3,3))</f>
        <v>8.5031850746050246</v>
      </c>
      <c r="M217">
        <f t="shared" ca="1" si="15"/>
        <v>3.9565009068696019E-3</v>
      </c>
    </row>
    <row r="218" spans="1:13">
      <c r="A218" s="171"/>
      <c r="B218" s="172">
        <v>0.21871711292247331</v>
      </c>
      <c r="C218" s="172">
        <v>2.1363371502498802</v>
      </c>
      <c r="D218" s="172">
        <v>8.9790398854103559E-2</v>
      </c>
      <c r="E218" s="171"/>
      <c r="F218" s="173"/>
      <c r="J218">
        <v>206</v>
      </c>
      <c r="K218" s="35">
        <f ca="1">MCond(OFFSET($B$12,(ROW(A206)-1)*4,0,3,3))</f>
        <v>6.3921465350608555</v>
      </c>
      <c r="M218">
        <f t="shared" ca="1" si="15"/>
        <v>2.9742423975155463E-3</v>
      </c>
    </row>
    <row r="219" spans="1:13">
      <c r="A219" s="171"/>
      <c r="B219" s="172"/>
      <c r="C219" s="172"/>
      <c r="D219" s="172"/>
      <c r="E219" s="171"/>
      <c r="F219" s="174"/>
      <c r="J219">
        <v>207</v>
      </c>
      <c r="K219" s="35">
        <f ca="1">MCond(OFFSET($B$12,(ROW(A207)-1)*4,0,3,3))</f>
        <v>36.849822091727596</v>
      </c>
      <c r="M219">
        <f t="shared" ca="1" si="15"/>
        <v>1.7146087406626983E-2</v>
      </c>
    </row>
    <row r="220" spans="1:13">
      <c r="A220" s="171"/>
      <c r="B220" s="172">
        <v>2.2957880185781296</v>
      </c>
      <c r="C220" s="172">
        <v>-8.2263663034425338E-3</v>
      </c>
      <c r="D220" s="172">
        <v>3.3137218009327896E-2</v>
      </c>
      <c r="E220" s="171"/>
      <c r="F220" s="173"/>
      <c r="J220">
        <v>208</v>
      </c>
      <c r="K220" s="35">
        <f ca="1">MCond(OFFSET($B$12,(ROW(A208)-1)*4,0,3,3))</f>
        <v>4.1630934361703984</v>
      </c>
      <c r="M220">
        <f t="shared" ca="1" si="15"/>
        <v>1.9370721454461774E-3</v>
      </c>
    </row>
    <row r="221" spans="1:13">
      <c r="A221" s="171" t="s">
        <v>266</v>
      </c>
      <c r="B221" s="172">
        <v>-0.14897154656832046</v>
      </c>
      <c r="C221" s="172">
        <v>0.84725762547333594</v>
      </c>
      <c r="D221" s="172">
        <v>-1.9759438806851826E-2</v>
      </c>
      <c r="E221" s="171"/>
      <c r="F221" s="173">
        <f>MCond(B220:D222)</f>
        <v>317.80209627578216</v>
      </c>
      <c r="J221">
        <v>209</v>
      </c>
      <c r="K221" s="35">
        <f ca="1">MCond(OFFSET($B$12,(ROW(A209)-1)*4,0,3,3))</f>
        <v>3.3413406696182579</v>
      </c>
      <c r="M221">
        <f t="shared" ca="1" si="15"/>
        <v>1.5547135894979911E-3</v>
      </c>
    </row>
    <row r="222" spans="1:13">
      <c r="A222" s="171"/>
      <c r="B222" s="172">
        <v>1.8375474863113905</v>
      </c>
      <c r="C222" s="172">
        <v>2.1167426559988707</v>
      </c>
      <c r="D222" s="172">
        <v>1.2367606559382516E-2</v>
      </c>
      <c r="E222" s="171"/>
      <c r="F222" s="173"/>
      <c r="J222">
        <v>210</v>
      </c>
      <c r="K222" s="35">
        <f ca="1">MCond(OFFSET($B$12,(ROW(A210)-1)*4,0,3,3))</f>
        <v>8.7645356999874178</v>
      </c>
      <c r="M222">
        <f t="shared" ca="1" si="15"/>
        <v>4.0781063967259314E-3</v>
      </c>
    </row>
    <row r="223" spans="1:13">
      <c r="A223" s="171"/>
      <c r="B223" s="172"/>
      <c r="C223" s="172"/>
      <c r="D223" s="172"/>
      <c r="E223" s="171"/>
      <c r="F223" s="174"/>
      <c r="J223">
        <v>211</v>
      </c>
      <c r="K223" s="35">
        <f ca="1">MCond(OFFSET($B$12,(ROW(A211)-1)*4,0,3,3))</f>
        <v>6.2959412294601558</v>
      </c>
      <c r="M223">
        <f t="shared" ca="1" si="15"/>
        <v>2.9294784207803326E-3</v>
      </c>
    </row>
    <row r="224" spans="1:13">
      <c r="A224" s="171"/>
      <c r="B224" s="172">
        <v>2.2957880185781296</v>
      </c>
      <c r="C224" s="172">
        <v>-8.2263663034425338E-3</v>
      </c>
      <c r="D224" s="172">
        <v>3.3137218009327896E-2</v>
      </c>
      <c r="E224" s="171"/>
      <c r="F224" s="173"/>
      <c r="J224">
        <v>212</v>
      </c>
      <c r="K224" s="35">
        <f ca="1">MCond(OFFSET($B$12,(ROW(A212)-1)*4,0,3,3))</f>
        <v>14.956503161585864</v>
      </c>
      <c r="M224">
        <f t="shared" ca="1" si="15"/>
        <v>6.9592062037014124E-3</v>
      </c>
    </row>
    <row r="225" spans="1:13">
      <c r="A225" s="171" t="s">
        <v>267</v>
      </c>
      <c r="B225" s="172">
        <v>-0.14897154656832046</v>
      </c>
      <c r="C225" s="172">
        <v>0.84725762547333594</v>
      </c>
      <c r="D225" s="172">
        <v>-1.9759438806851826E-2</v>
      </c>
      <c r="E225" s="171"/>
      <c r="F225" s="173">
        <f>MCond(B224:D226)</f>
        <v>15.482311838444748</v>
      </c>
      <c r="J225">
        <v>213</v>
      </c>
      <c r="K225" s="35">
        <f ca="1">MCond(OFFSET($B$12,(ROW(A213)-1)*4,0,3,3))</f>
        <v>6.4314927648957179</v>
      </c>
      <c r="M225">
        <f t="shared" ca="1" si="15"/>
        <v>2.9925500543121104E-3</v>
      </c>
    </row>
    <row r="226" spans="1:13">
      <c r="A226" s="171"/>
      <c r="B226" s="172">
        <v>1.2284177840385118</v>
      </c>
      <c r="C226" s="172">
        <v>2.3993580133895418</v>
      </c>
      <c r="D226" s="172">
        <v>-0.6756623603325641</v>
      </c>
      <c r="E226" s="171"/>
      <c r="F226" s="173"/>
      <c r="J226">
        <v>214</v>
      </c>
      <c r="K226" s="35">
        <f ca="1">MCond(OFFSET($B$12,(ROW(A214)-1)*4,0,3,3))</f>
        <v>8.8485901024953062</v>
      </c>
      <c r="M226">
        <f t="shared" ca="1" si="15"/>
        <v>4.1172166027053413E-3</v>
      </c>
    </row>
    <row r="227" spans="1:13">
      <c r="A227" s="171"/>
      <c r="B227" s="172"/>
      <c r="C227" s="172"/>
      <c r="D227" s="172"/>
      <c r="E227" s="171"/>
      <c r="F227" s="174"/>
      <c r="J227">
        <v>215</v>
      </c>
      <c r="K227" s="35">
        <f ca="1">MCond(OFFSET($B$12,(ROW(A215)-1)*4,0,3,3))</f>
        <v>3.9236550276169364</v>
      </c>
      <c r="M227">
        <f t="shared" ca="1" si="15"/>
        <v>1.8256623299159431E-3</v>
      </c>
    </row>
    <row r="228" spans="1:13">
      <c r="A228" s="171"/>
      <c r="B228" s="172">
        <v>2.2957880185781296</v>
      </c>
      <c r="C228" s="172">
        <v>-8.2263663034425338E-3</v>
      </c>
      <c r="D228" s="172">
        <v>3.3137218009327896E-2</v>
      </c>
      <c r="E228" s="171"/>
      <c r="F228" s="173"/>
      <c r="J228">
        <v>216</v>
      </c>
      <c r="K228" s="35">
        <f ca="1">MCond(OFFSET($B$12,(ROW(A216)-1)*4,0,3,3))</f>
        <v>6.037916237878159</v>
      </c>
      <c r="M228">
        <f t="shared" ca="1" si="15"/>
        <v>2.8094203361647145E-3</v>
      </c>
    </row>
    <row r="229" spans="1:13">
      <c r="A229" s="171" t="s">
        <v>268</v>
      </c>
      <c r="B229" s="172">
        <v>2.6959782234951333</v>
      </c>
      <c r="C229" s="172">
        <v>1.0757798809975587</v>
      </c>
      <c r="D229" s="172">
        <v>4.997772423355884E-2</v>
      </c>
      <c r="E229" s="171"/>
      <c r="F229" s="173">
        <f>MCond(B228:D230)</f>
        <v>180.39381408191585</v>
      </c>
      <c r="J229">
        <v>217</v>
      </c>
      <c r="K229" s="35">
        <f ca="1">MCond(OFFSET($B$12,(ROW(A217)-1)*4,0,3,3))</f>
        <v>12.875006476495159</v>
      </c>
      <c r="M229">
        <f t="shared" ca="1" si="15"/>
        <v>5.9906934111476186E-3</v>
      </c>
    </row>
    <row r="230" spans="1:13">
      <c r="A230" s="171"/>
      <c r="B230" s="172">
        <v>0.21871711292247331</v>
      </c>
      <c r="C230" s="172">
        <v>2.1363371502498802</v>
      </c>
      <c r="D230" s="172">
        <v>8.9790398854103559E-2</v>
      </c>
      <c r="E230" s="171"/>
      <c r="F230" s="173"/>
      <c r="J230">
        <v>218</v>
      </c>
      <c r="K230" s="35">
        <f ca="1">MCond(OFFSET($B$12,(ROW(A218)-1)*4,0,3,3))</f>
        <v>5.7889076511012911</v>
      </c>
      <c r="M230">
        <f t="shared" ca="1" si="15"/>
        <v>2.6935575517189982E-3</v>
      </c>
    </row>
    <row r="231" spans="1:13">
      <c r="A231" s="171"/>
      <c r="B231" s="172"/>
      <c r="C231" s="172"/>
      <c r="D231" s="172"/>
      <c r="E231" s="171"/>
      <c r="F231" s="174"/>
      <c r="J231">
        <v>219</v>
      </c>
      <c r="K231" s="35">
        <f ca="1">MCond(OFFSET($B$12,(ROW(A219)-1)*4,0,3,3))</f>
        <v>19.829028382126939</v>
      </c>
      <c r="M231">
        <f t="shared" ca="1" si="15"/>
        <v>9.2263743630056766E-3</v>
      </c>
    </row>
    <row r="232" spans="1:13">
      <c r="A232" s="171"/>
      <c r="B232" s="172">
        <v>2.2957880185781296</v>
      </c>
      <c r="C232" s="172">
        <v>-8.2263663034425338E-3</v>
      </c>
      <c r="D232" s="172">
        <v>3.3137218009327896E-2</v>
      </c>
      <c r="E232" s="171"/>
      <c r="F232" s="173"/>
      <c r="J232">
        <v>220</v>
      </c>
      <c r="K232" s="35">
        <f ca="1">MCond(OFFSET($B$12,(ROW(A220)-1)*4,0,3,3))</f>
        <v>6.768419778847786</v>
      </c>
      <c r="M232">
        <f t="shared" ca="1" si="15"/>
        <v>3.1493209612786558E-3</v>
      </c>
    </row>
    <row r="233" spans="1:13">
      <c r="A233" s="171" t="s">
        <v>269</v>
      </c>
      <c r="B233" s="172">
        <v>2.6959782234951333</v>
      </c>
      <c r="C233" s="172">
        <v>1.0757798809975587</v>
      </c>
      <c r="D233" s="172">
        <v>4.997772423355884E-2</v>
      </c>
      <c r="E233" s="171"/>
      <c r="F233" s="173">
        <f>MCond(B232:D234)</f>
        <v>326.12223160360338</v>
      </c>
      <c r="J233">
        <v>221</v>
      </c>
      <c r="K233" s="35">
        <f ca="1">MCond(OFFSET($B$12,(ROW(A221)-1)*4,0,3,3))</f>
        <v>15.003266209049313</v>
      </c>
      <c r="M233">
        <f t="shared" ca="1" si="15"/>
        <v>6.9809648786066172E-3</v>
      </c>
    </row>
    <row r="234" spans="1:13">
      <c r="A234" s="171"/>
      <c r="B234" s="172">
        <v>1.8375474863113905</v>
      </c>
      <c r="C234" s="172">
        <v>2.1167426559988707</v>
      </c>
      <c r="D234" s="172">
        <v>1.2367606559382516E-2</v>
      </c>
      <c r="E234" s="171"/>
      <c r="F234" s="173"/>
      <c r="J234">
        <v>222</v>
      </c>
      <c r="K234" s="35">
        <f ca="1">MCond(OFFSET($B$12,(ROW(A222)-1)*4,0,3,3))</f>
        <v>3.7367318839826384</v>
      </c>
      <c r="M234">
        <f t="shared" ca="1" si="15"/>
        <v>1.7386876750289484E-3</v>
      </c>
    </row>
    <row r="235" spans="1:13">
      <c r="A235" s="171"/>
      <c r="B235" s="172"/>
      <c r="C235" s="172"/>
      <c r="D235" s="172"/>
      <c r="E235" s="171"/>
      <c r="F235" s="174"/>
      <c r="J235">
        <v>223</v>
      </c>
      <c r="K235" s="35">
        <f ca="1">MCond(OFFSET($B$12,(ROW(A223)-1)*4,0,3,3))</f>
        <v>7.2355412286088452</v>
      </c>
      <c r="M235">
        <f t="shared" ca="1" si="15"/>
        <v>3.3666708629193328E-3</v>
      </c>
    </row>
    <row r="236" spans="1:13">
      <c r="A236" s="171"/>
      <c r="B236" s="172">
        <v>2.2957880185781296</v>
      </c>
      <c r="C236" s="172">
        <v>-8.2263663034425338E-3</v>
      </c>
      <c r="D236" s="172">
        <v>3.3137218009327896E-2</v>
      </c>
      <c r="E236" s="171"/>
      <c r="F236" s="173"/>
      <c r="J236">
        <v>224</v>
      </c>
      <c r="K236" s="35">
        <f ca="1">MCond(OFFSET($B$12,(ROW(A224)-1)*4,0,3,3))</f>
        <v>6.3260146733038898</v>
      </c>
      <c r="M236">
        <f t="shared" ca="1" si="15"/>
        <v>2.9434714841791031E-3</v>
      </c>
    </row>
    <row r="237" spans="1:13">
      <c r="A237" s="171" t="s">
        <v>270</v>
      </c>
      <c r="B237" s="172">
        <v>2.6959782234951333</v>
      </c>
      <c r="C237" s="172">
        <v>1.0757798809975587</v>
      </c>
      <c r="D237" s="172">
        <v>4.997772423355884E-2</v>
      </c>
      <c r="E237" s="171"/>
      <c r="F237" s="173">
        <f>MCond(B236:D238)</f>
        <v>19.373118971201439</v>
      </c>
      <c r="J237">
        <v>225</v>
      </c>
      <c r="K237" s="35">
        <f ca="1">MCond(OFFSET($B$12,(ROW(A225)-1)*4,0,3,3))</f>
        <v>3.3124115126012943</v>
      </c>
      <c r="M237">
        <f t="shared" ca="1" si="15"/>
        <v>1.5412529585734187E-3</v>
      </c>
    </row>
    <row r="238" spans="1:13">
      <c r="A238" s="171"/>
      <c r="B238" s="172">
        <v>1.2284177840385118</v>
      </c>
      <c r="C238" s="172">
        <v>2.3993580133895418</v>
      </c>
      <c r="D238" s="172">
        <v>-0.6756623603325641</v>
      </c>
      <c r="E238" s="171"/>
      <c r="F238" s="173"/>
      <c r="J238">
        <v>226</v>
      </c>
      <c r="K238" s="35">
        <f ca="1">MCond(OFFSET($B$12,(ROW(A226)-1)*4,0,3,3))</f>
        <v>466.83042019142619</v>
      </c>
      <c r="M238">
        <f t="shared" ca="1" si="15"/>
        <v>0.21721448664663923</v>
      </c>
    </row>
    <row r="239" spans="1:13">
      <c r="A239" s="171"/>
      <c r="B239" s="172"/>
      <c r="C239" s="172"/>
      <c r="D239" s="172"/>
      <c r="E239" s="171"/>
      <c r="F239" s="174"/>
      <c r="J239">
        <v>227</v>
      </c>
      <c r="K239" s="35">
        <f ca="1">MCond(OFFSET($B$12,(ROW(A227)-1)*4,0,3,3))</f>
        <v>230.68313650592344</v>
      </c>
      <c r="M239">
        <f t="shared" ca="1" si="15"/>
        <v>0.10733601947710228</v>
      </c>
    </row>
    <row r="240" spans="1:13">
      <c r="A240" s="171"/>
      <c r="B240" s="172">
        <v>2.2957880185781296</v>
      </c>
      <c r="C240" s="172">
        <v>-8.2263663034425338E-3</v>
      </c>
      <c r="D240" s="172">
        <v>3.3137218009327896E-2</v>
      </c>
      <c r="E240" s="171"/>
      <c r="F240" s="173"/>
      <c r="J240">
        <v>228</v>
      </c>
      <c r="K240" s="35">
        <f ca="1">MCond(OFFSET($B$12,(ROW(A228)-1)*4,0,3,3))</f>
        <v>46.088572117461673</v>
      </c>
      <c r="M240">
        <f t="shared" ca="1" si="15"/>
        <v>2.1444843994240868E-2</v>
      </c>
    </row>
    <row r="241" spans="1:13">
      <c r="A241" s="171" t="s">
        <v>271</v>
      </c>
      <c r="B241" s="172">
        <v>0.21871711292247331</v>
      </c>
      <c r="C241" s="172">
        <v>2.1363371502498802</v>
      </c>
      <c r="D241" s="172">
        <v>8.9790398854103559E-2</v>
      </c>
      <c r="E241" s="171"/>
      <c r="F241" s="173">
        <f>MCond(B240:D242)</f>
        <v>57.193413755542728</v>
      </c>
      <c r="J241">
        <v>229</v>
      </c>
      <c r="K241" s="35">
        <f ca="1">MCond(OFFSET($B$12,(ROW(A229)-1)*4,0,3,3))</f>
        <v>5.2672257276525398</v>
      </c>
      <c r="M241">
        <f t="shared" ca="1" si="15"/>
        <v>2.4508208612773474E-3</v>
      </c>
    </row>
    <row r="242" spans="1:13">
      <c r="A242" s="171"/>
      <c r="B242" s="172">
        <v>1.8375474863113905</v>
      </c>
      <c r="C242" s="172">
        <v>2.1167426559988707</v>
      </c>
      <c r="D242" s="172">
        <v>1.2367606559382516E-2</v>
      </c>
      <c r="E242" s="171"/>
      <c r="F242" s="173"/>
      <c r="J242">
        <v>230</v>
      </c>
      <c r="K242" s="35">
        <f ca="1">MCond(OFFSET($B$12,(ROW(A230)-1)*4,0,3,3))</f>
        <v>1832.2683886248421</v>
      </c>
      <c r="M242">
        <f t="shared" ca="1" si="15"/>
        <v>0.8525477779935805</v>
      </c>
    </row>
    <row r="243" spans="1:13">
      <c r="A243" s="171"/>
      <c r="B243" s="172"/>
      <c r="C243" s="172"/>
      <c r="D243" s="172"/>
      <c r="E243" s="171"/>
      <c r="F243" s="174"/>
      <c r="J243">
        <v>231</v>
      </c>
      <c r="K243" s="35">
        <f ca="1">MCond(OFFSET($B$12,(ROW(A231)-1)*4,0,3,3))</f>
        <v>74.307372366081026</v>
      </c>
      <c r="M243">
        <f t="shared" ca="1" si="15"/>
        <v>3.4574948513296122E-2</v>
      </c>
    </row>
    <row r="244" spans="1:13">
      <c r="A244" s="171"/>
      <c r="B244" s="172">
        <v>2.2957880185781296</v>
      </c>
      <c r="C244" s="172">
        <v>-8.2263663034425338E-3</v>
      </c>
      <c r="D244" s="172">
        <v>3.3137218009327896E-2</v>
      </c>
      <c r="E244" s="171"/>
      <c r="F244" s="173"/>
      <c r="J244">
        <v>232</v>
      </c>
      <c r="K244" s="35">
        <f ca="1">MCond(OFFSET($B$12,(ROW(A232)-1)*4,0,3,3))</f>
        <v>10.595880661889572</v>
      </c>
      <c r="M244">
        <f t="shared" ca="1" si="15"/>
        <v>4.9302245076437417E-3</v>
      </c>
    </row>
    <row r="245" spans="1:13">
      <c r="A245" s="171" t="s">
        <v>272</v>
      </c>
      <c r="B245" s="172">
        <v>0.21871711292247331</v>
      </c>
      <c r="C245" s="172">
        <v>2.1363371502498802</v>
      </c>
      <c r="D245" s="172">
        <v>8.9790398854103559E-2</v>
      </c>
      <c r="E245" s="171"/>
      <c r="F245" s="173">
        <f>MCond(B244:D246)</f>
        <v>7.0862524060099732</v>
      </c>
      <c r="J245">
        <v>233</v>
      </c>
      <c r="K245" s="35">
        <f ca="1">MCond(OFFSET($B$12,(ROW(A233)-1)*4,0,3,3))</f>
        <v>36.89616878253937</v>
      </c>
      <c r="M245">
        <f t="shared" ca="1" si="15"/>
        <v>1.7167652352305374E-2</v>
      </c>
    </row>
    <row r="246" spans="1:13">
      <c r="A246" s="171"/>
      <c r="B246" s="172">
        <v>1.2284177840385118</v>
      </c>
      <c r="C246" s="172">
        <v>2.3993580133895418</v>
      </c>
      <c r="D246" s="172">
        <v>-0.6756623603325641</v>
      </c>
      <c r="E246" s="171"/>
      <c r="F246" s="173"/>
      <c r="J246">
        <v>234</v>
      </c>
      <c r="K246" s="35">
        <f ca="1">MCond(OFFSET($B$12,(ROW(A234)-1)*4,0,3,3))</f>
        <v>4.8522872767527137</v>
      </c>
      <c r="M246">
        <f t="shared" ca="1" si="15"/>
        <v>2.2577515180987285E-3</v>
      </c>
    </row>
    <row r="247" spans="1:13">
      <c r="A247" s="171"/>
      <c r="B247" s="172"/>
      <c r="C247" s="172"/>
      <c r="D247" s="172"/>
      <c r="E247" s="171"/>
      <c r="F247" s="174"/>
      <c r="J247">
        <v>235</v>
      </c>
      <c r="K247" s="35">
        <f ca="1">MCond(OFFSET($B$12,(ROW(A235)-1)*4,0,3,3))</f>
        <v>4.8511161019732283</v>
      </c>
      <c r="M247">
        <f t="shared" ca="1" si="15"/>
        <v>2.2572065747584998E-3</v>
      </c>
    </row>
    <row r="248" spans="1:13">
      <c r="A248" s="171"/>
      <c r="B248" s="172">
        <v>2.2957880185781296</v>
      </c>
      <c r="C248" s="172">
        <v>-8.2263663034425338E-3</v>
      </c>
      <c r="D248" s="172">
        <v>3.3137218009327896E-2</v>
      </c>
      <c r="E248" s="171"/>
      <c r="F248" s="173"/>
      <c r="J248">
        <v>236</v>
      </c>
      <c r="K248" s="35">
        <f ca="1">MCond(OFFSET($B$12,(ROW(A236)-1)*4,0,3,3))</f>
        <v>223.5443970413034</v>
      </c>
      <c r="M248">
        <f t="shared" ca="1" si="15"/>
        <v>0.10401439012082403</v>
      </c>
    </row>
    <row r="249" spans="1:13">
      <c r="A249" s="171" t="s">
        <v>273</v>
      </c>
      <c r="B249" s="172">
        <v>1.8375474863113905</v>
      </c>
      <c r="C249" s="172">
        <v>2.1167426559988707</v>
      </c>
      <c r="D249" s="172">
        <v>1.2367606559382516E-2</v>
      </c>
      <c r="E249" s="171"/>
      <c r="F249" s="173">
        <f>MCond(B248:D250)</f>
        <v>9.7216302727657062</v>
      </c>
      <c r="J249">
        <v>237</v>
      </c>
      <c r="K249" s="35">
        <f ca="1">MCond(OFFSET($B$12,(ROW(A237)-1)*4,0,3,3))</f>
        <v>33.712309903347119</v>
      </c>
      <c r="M249">
        <f t="shared" ca="1" si="15"/>
        <v>1.5686214463755819E-2</v>
      </c>
    </row>
    <row r="250" spans="1:13">
      <c r="A250" s="171"/>
      <c r="B250" s="172">
        <v>1.2284177840385118</v>
      </c>
      <c r="C250" s="172">
        <v>2.3993580133895418</v>
      </c>
      <c r="D250" s="172">
        <v>-0.6756623603325641</v>
      </c>
      <c r="E250" s="171"/>
      <c r="F250" s="173"/>
      <c r="J250">
        <v>238</v>
      </c>
      <c r="K250" s="35">
        <f ca="1">MCond(OFFSET($B$12,(ROW(A238)-1)*4,0,3,3))</f>
        <v>4.2207727224315219</v>
      </c>
      <c r="M250">
        <f t="shared" ca="1" si="15"/>
        <v>1.9639101063275975E-3</v>
      </c>
    </row>
    <row r="251" spans="1:13">
      <c r="A251" s="171"/>
      <c r="B251" s="172"/>
      <c r="C251" s="172"/>
      <c r="D251" s="172"/>
      <c r="E251" s="171"/>
      <c r="F251" s="174"/>
      <c r="J251">
        <v>239</v>
      </c>
      <c r="K251" s="35">
        <f ca="1">MCond(OFFSET($B$12,(ROW(A239)-1)*4,0,3,3))</f>
        <v>52.914300823005625</v>
      </c>
      <c r="M251">
        <f t="shared" ca="1" si="15"/>
        <v>2.4620830589450308E-2</v>
      </c>
    </row>
    <row r="252" spans="1:13">
      <c r="A252" s="171"/>
      <c r="B252" s="172">
        <v>-0.14897154656832046</v>
      </c>
      <c r="C252" s="172">
        <v>0.84725762547333594</v>
      </c>
      <c r="D252" s="172">
        <v>-1.9759438806851826E-2</v>
      </c>
      <c r="E252" s="171"/>
      <c r="F252" s="173"/>
      <c r="J252">
        <v>240</v>
      </c>
      <c r="K252" s="35">
        <f ca="1">MCond(OFFSET($B$12,(ROW(A240)-1)*4,0,3,3))</f>
        <v>6.5646293729706269</v>
      </c>
      <c r="M252">
        <f t="shared" ca="1" si="15"/>
        <v>3.0544980309778289E-3</v>
      </c>
    </row>
    <row r="253" spans="1:13">
      <c r="A253" s="171" t="s">
        <v>274</v>
      </c>
      <c r="B253" s="172">
        <v>2.6959782234951333</v>
      </c>
      <c r="C253" s="172">
        <v>1.0757798809975587</v>
      </c>
      <c r="D253" s="172">
        <v>4.997772423355884E-2</v>
      </c>
      <c r="E253" s="171"/>
      <c r="F253" s="173">
        <f>MCond(B252:D254)</f>
        <v>63.728386371176278</v>
      </c>
      <c r="J253">
        <v>241</v>
      </c>
      <c r="K253" s="35">
        <f ca="1">MCond(OFFSET($B$12,(ROW(A241)-1)*4,0,3,3))</f>
        <v>3.455632551064447</v>
      </c>
      <c r="M253">
        <f t="shared" ca="1" si="15"/>
        <v>1.607893183805561E-3</v>
      </c>
    </row>
    <row r="254" spans="1:13">
      <c r="A254" s="171"/>
      <c r="B254" s="172">
        <v>0.21871711292247331</v>
      </c>
      <c r="C254" s="172">
        <v>2.1363371502498802</v>
      </c>
      <c r="D254" s="172">
        <v>8.9790398854103559E-2</v>
      </c>
      <c r="E254" s="171"/>
      <c r="F254" s="173"/>
      <c r="J254">
        <v>242</v>
      </c>
      <c r="K254" s="35">
        <f ca="1">MCond(OFFSET($B$12,(ROW(A242)-1)*4,0,3,3))</f>
        <v>30.68925723895747</v>
      </c>
      <c r="M254">
        <f t="shared" ca="1" si="15"/>
        <v>1.4279599118654937E-2</v>
      </c>
    </row>
    <row r="255" spans="1:13">
      <c r="A255" s="171"/>
      <c r="B255" s="172"/>
      <c r="C255" s="172"/>
      <c r="D255" s="172"/>
      <c r="E255" s="171"/>
      <c r="F255" s="174"/>
      <c r="J255">
        <v>243</v>
      </c>
      <c r="K255" s="35">
        <f ca="1">MCond(OFFSET($B$12,(ROW(A243)-1)*4,0,3,3))</f>
        <v>4.0321439196075497</v>
      </c>
      <c r="M255">
        <f t="shared" ca="1" si="15"/>
        <v>1.8761418144596896E-3</v>
      </c>
    </row>
    <row r="256" spans="1:13">
      <c r="A256" s="171"/>
      <c r="B256" s="172">
        <v>-0.14897154656832046</v>
      </c>
      <c r="C256" s="172">
        <v>0.84725762547333594</v>
      </c>
      <c r="D256" s="172">
        <v>-1.9759438806851826E-2</v>
      </c>
      <c r="E256" s="171"/>
      <c r="F256" s="173"/>
      <c r="J256">
        <v>244</v>
      </c>
      <c r="K256" s="35">
        <f ca="1">MCond(OFFSET($B$12,(ROW(A244)-1)*4,0,3,3))</f>
        <v>4.9236532994760909</v>
      </c>
      <c r="M256">
        <f t="shared" ca="1" si="15"/>
        <v>2.290957867384009E-3</v>
      </c>
    </row>
    <row r="257" spans="1:13">
      <c r="A257" s="171" t="s">
        <v>275</v>
      </c>
      <c r="B257" s="172">
        <v>2.6959782234951333</v>
      </c>
      <c r="C257" s="172">
        <v>1.0757798809975587</v>
      </c>
      <c r="D257" s="172">
        <v>4.997772423355884E-2</v>
      </c>
      <c r="E257" s="171"/>
      <c r="F257" s="173">
        <f>MCond(B256:D258)</f>
        <v>1839.1895225872963</v>
      </c>
      <c r="J257">
        <v>245</v>
      </c>
      <c r="K257" s="35">
        <f ca="1">MCond(OFFSET($B$12,(ROW(A245)-1)*4,0,3,3))</f>
        <v>3.1934764631216082</v>
      </c>
      <c r="M257">
        <f t="shared" ca="1" si="15"/>
        <v>1.4859129151665877E-3</v>
      </c>
    </row>
    <row r="258" spans="1:13">
      <c r="A258" s="171"/>
      <c r="B258" s="172">
        <v>1.8375474863113905</v>
      </c>
      <c r="C258" s="172">
        <v>2.1167426559988707</v>
      </c>
      <c r="D258" s="172">
        <v>1.2367606559382516E-2</v>
      </c>
      <c r="E258" s="171"/>
      <c r="F258" s="173"/>
      <c r="J258">
        <v>246</v>
      </c>
      <c r="K258" s="35">
        <f ca="1">MCond(OFFSET($B$12,(ROW(A246)-1)*4,0,3,3))</f>
        <v>7.0062729721822521</v>
      </c>
      <c r="M258">
        <f t="shared" ca="1" si="15"/>
        <v>3.2599931819668974E-3</v>
      </c>
    </row>
    <row r="259" spans="1:13">
      <c r="A259" s="171"/>
      <c r="B259" s="172"/>
      <c r="C259" s="172"/>
      <c r="D259" s="172"/>
      <c r="E259" s="171"/>
      <c r="F259" s="174"/>
      <c r="J259">
        <v>247</v>
      </c>
      <c r="K259" s="35">
        <f ca="1">MCond(OFFSET($B$12,(ROW(A247)-1)*4,0,3,3))</f>
        <v>57.301482607717354</v>
      </c>
      <c r="M259">
        <f t="shared" ca="1" si="15"/>
        <v>2.6662170223660259E-2</v>
      </c>
    </row>
    <row r="260" spans="1:13">
      <c r="A260" s="171"/>
      <c r="B260" s="172">
        <v>-0.14897154656832046</v>
      </c>
      <c r="C260" s="172">
        <v>0.84725762547333594</v>
      </c>
      <c r="D260" s="172">
        <v>-1.9759438806851826E-2</v>
      </c>
      <c r="E260" s="171"/>
      <c r="F260" s="173"/>
      <c r="J260">
        <v>248</v>
      </c>
      <c r="K260" s="35">
        <f ca="1">MCond(OFFSET($B$12,(ROW(A248)-1)*4,0,3,3))</f>
        <v>5.4207004825352429</v>
      </c>
      <c r="M260">
        <f t="shared" ca="1" si="15"/>
        <v>2.5222321032469584E-3</v>
      </c>
    </row>
    <row r="261" spans="1:13">
      <c r="A261" s="171" t="s">
        <v>276</v>
      </c>
      <c r="B261" s="172">
        <v>2.6959782234951333</v>
      </c>
      <c r="C261" s="172">
        <v>1.0757798809975587</v>
      </c>
      <c r="D261" s="172">
        <v>4.997772423355884E-2</v>
      </c>
      <c r="E261" s="171"/>
      <c r="F261" s="173">
        <f>MCond(B260:D262)</f>
        <v>14.280317337938845</v>
      </c>
      <c r="J261">
        <v>249</v>
      </c>
      <c r="K261" s="35">
        <f ca="1">MCond(OFFSET($B$12,(ROW(A249)-1)*4,0,3,3))</f>
        <v>36.492219185194912</v>
      </c>
      <c r="M261">
        <f t="shared" ca="1" si="15"/>
        <v>1.6979696082484071E-2</v>
      </c>
    </row>
    <row r="262" spans="1:13">
      <c r="A262" s="171"/>
      <c r="B262" s="172">
        <v>1.2284177840385118</v>
      </c>
      <c r="C262" s="172">
        <v>2.3993580133895418</v>
      </c>
      <c r="D262" s="172">
        <v>-0.6756623603325641</v>
      </c>
      <c r="E262" s="171"/>
      <c r="F262" s="173"/>
      <c r="J262">
        <v>250</v>
      </c>
      <c r="K262" s="35">
        <f ca="1">MCond(OFFSET($B$12,(ROW(A250)-1)*4,0,3,3))</f>
        <v>4.2840265157871062</v>
      </c>
      <c r="M262">
        <f t="shared" ca="1" si="15"/>
        <v>1.9933418649661027E-3</v>
      </c>
    </row>
    <row r="263" spans="1:13">
      <c r="A263" s="171"/>
      <c r="B263" s="172"/>
      <c r="C263" s="172"/>
      <c r="D263" s="172"/>
      <c r="E263" s="171"/>
      <c r="F263" s="174"/>
      <c r="J263">
        <v>251</v>
      </c>
      <c r="K263" s="35">
        <f ca="1">MCond(OFFSET($B$12,(ROW(A251)-1)*4,0,3,3))</f>
        <v>5.8454524208722907</v>
      </c>
      <c r="M263">
        <f t="shared" ca="1" si="15"/>
        <v>2.7198676262281179E-3</v>
      </c>
    </row>
    <row r="264" spans="1:13">
      <c r="A264" s="171"/>
      <c r="B264" s="172">
        <v>-0.14897154656832046</v>
      </c>
      <c r="C264" s="172">
        <v>0.84725762547333594</v>
      </c>
      <c r="D264" s="172">
        <v>-1.9759438806851826E-2</v>
      </c>
      <c r="E264" s="171"/>
      <c r="F264" s="173"/>
      <c r="J264">
        <v>252</v>
      </c>
      <c r="K264" s="35">
        <f ca="1">MCond(OFFSET($B$12,(ROW(A252)-1)*4,0,3,3))</f>
        <v>27.264608409535779</v>
      </c>
      <c r="M264">
        <f t="shared" ca="1" si="15"/>
        <v>1.2686122547177841E-2</v>
      </c>
    </row>
    <row r="265" spans="1:13">
      <c r="A265" s="171" t="s">
        <v>277</v>
      </c>
      <c r="B265" s="172">
        <v>0.21871711292247331</v>
      </c>
      <c r="C265" s="172">
        <v>2.1363371502498802</v>
      </c>
      <c r="D265" s="172">
        <v>8.9790398854103559E-2</v>
      </c>
      <c r="E265" s="171"/>
      <c r="F265" s="173">
        <f>MCond(B264:D266)</f>
        <v>59.461695313516891</v>
      </c>
      <c r="J265">
        <v>253</v>
      </c>
      <c r="K265" s="35">
        <f ca="1">MCond(OFFSET($B$12,(ROW(A253)-1)*4,0,3,3))</f>
        <v>4.3649803826438793</v>
      </c>
      <c r="M265">
        <f t="shared" ca="1" si="15"/>
        <v>2.0310094030501539E-3</v>
      </c>
    </row>
    <row r="266" spans="1:13">
      <c r="A266" s="171"/>
      <c r="B266" s="172">
        <v>1.8375474863113905</v>
      </c>
      <c r="C266" s="172">
        <v>2.1167426559988707</v>
      </c>
      <c r="D266" s="172">
        <v>1.2367606559382516E-2</v>
      </c>
      <c r="E266" s="171"/>
      <c r="F266" s="173"/>
      <c r="J266">
        <v>254</v>
      </c>
      <c r="K266" s="35">
        <f ca="1">MCond(OFFSET($B$12,(ROW(A254)-1)*4,0,3,3))</f>
        <v>24.489132951843487</v>
      </c>
      <c r="M266">
        <f t="shared" ca="1" si="15"/>
        <v>1.1394703970608289E-2</v>
      </c>
    </row>
    <row r="267" spans="1:13">
      <c r="A267" s="171"/>
      <c r="B267" s="172"/>
      <c r="C267" s="172"/>
      <c r="D267" s="172"/>
      <c r="E267" s="171"/>
      <c r="F267" s="174"/>
      <c r="J267">
        <v>255</v>
      </c>
      <c r="K267" s="35">
        <f ca="1">MCond(OFFSET($B$12,(ROW(A255)-1)*4,0,3,3))</f>
        <v>4.155062022143496</v>
      </c>
      <c r="M267">
        <f t="shared" ca="1" si="15"/>
        <v>1.9333351578818604E-3</v>
      </c>
    </row>
    <row r="268" spans="1:13">
      <c r="A268" s="171"/>
      <c r="B268" s="172">
        <v>-0.14897154656832046</v>
      </c>
      <c r="C268" s="172">
        <v>0.84725762547333594</v>
      </c>
      <c r="D268" s="172">
        <v>-1.9759438806851826E-2</v>
      </c>
      <c r="E268" s="171"/>
      <c r="F268" s="173"/>
      <c r="J268">
        <v>256</v>
      </c>
      <c r="K268" s="35">
        <f ca="1">MCond(OFFSET($B$12,(ROW(A256)-1)*4,0,3,3))</f>
        <v>17.378066776989606</v>
      </c>
      <c r="M268">
        <f t="shared" ca="1" si="15"/>
        <v>8.0859508948173311E-3</v>
      </c>
    </row>
    <row r="269" spans="1:13">
      <c r="A269" s="171" t="s">
        <v>278</v>
      </c>
      <c r="B269" s="172">
        <v>0.21871711292247331</v>
      </c>
      <c r="C269" s="172">
        <v>2.1363371502498802</v>
      </c>
      <c r="D269" s="172">
        <v>8.9790398854103559E-2</v>
      </c>
      <c r="E269" s="171"/>
      <c r="F269" s="173">
        <f>MCond(B268:D270)</f>
        <v>21.170385241601402</v>
      </c>
      <c r="J269">
        <v>257</v>
      </c>
      <c r="K269" s="35">
        <f ca="1">MCond(OFFSET($B$12,(ROW(A257)-1)*4,0,3,3))</f>
        <v>3.5193506190429562</v>
      </c>
      <c r="M269">
        <f t="shared" ca="1" si="15"/>
        <v>1.6375409677275947E-3</v>
      </c>
    </row>
    <row r="270" spans="1:13">
      <c r="A270" s="171"/>
      <c r="B270" s="172">
        <v>1.2284177840385118</v>
      </c>
      <c r="C270" s="172">
        <v>2.3993580133895418</v>
      </c>
      <c r="D270" s="172">
        <v>-0.6756623603325641</v>
      </c>
      <c r="E270" s="171"/>
      <c r="F270" s="173"/>
      <c r="J270">
        <v>258</v>
      </c>
      <c r="K270" s="35">
        <f ca="1">MCond(OFFSET($B$12,(ROW(A258)-1)*4,0,3,3))</f>
        <v>2.9250187817951137</v>
      </c>
      <c r="M270">
        <f t="shared" ref="M270:M292" ca="1" si="16">K270/$L$13</f>
        <v>1.3610005381801652E-3</v>
      </c>
    </row>
    <row r="271" spans="1:13">
      <c r="A271" s="171"/>
      <c r="B271" s="172"/>
      <c r="C271" s="172"/>
      <c r="D271" s="172"/>
      <c r="E271" s="171"/>
      <c r="F271" s="174"/>
      <c r="J271">
        <v>259</v>
      </c>
      <c r="K271" s="35">
        <f ca="1">MCond(OFFSET($B$12,(ROW(A259)-1)*4,0,3,3))</f>
        <v>10.029851549914012</v>
      </c>
      <c r="M271">
        <f t="shared" ca="1" si="16"/>
        <v>4.666853232621844E-3</v>
      </c>
    </row>
    <row r="272" spans="1:13">
      <c r="A272" s="171"/>
      <c r="B272" s="172">
        <v>-0.14897154656832046</v>
      </c>
      <c r="C272" s="172">
        <v>0.84725762547333594</v>
      </c>
      <c r="D272" s="172">
        <v>-1.9759438806851826E-2</v>
      </c>
      <c r="E272" s="171"/>
      <c r="F272" s="173"/>
      <c r="J272">
        <v>260</v>
      </c>
      <c r="K272" s="35">
        <f ca="1">MCond(OFFSET($B$12,(ROW(A260)-1)*4,0,3,3))</f>
        <v>2.6374470926098281</v>
      </c>
      <c r="M272">
        <f t="shared" ca="1" si="16"/>
        <v>1.2271944832643893E-3</v>
      </c>
    </row>
    <row r="273" spans="1:13">
      <c r="A273" s="171" t="s">
        <v>279</v>
      </c>
      <c r="B273" s="172">
        <v>1.8375474863113905</v>
      </c>
      <c r="C273" s="172">
        <v>2.1167426559988707</v>
      </c>
      <c r="D273" s="172">
        <v>1.2367606559382516E-2</v>
      </c>
      <c r="E273" s="171"/>
      <c r="F273" s="173">
        <f>MCond(B272:D274)</f>
        <v>10.1367998366946</v>
      </c>
      <c r="J273">
        <v>261</v>
      </c>
      <c r="K273" s="35">
        <f ca="1">MCond(OFFSET($B$12,(ROW(A261)-1)*4,0,3,3))</f>
        <v>25.249585470075854</v>
      </c>
      <c r="M273">
        <f t="shared" ca="1" si="16"/>
        <v>1.1748539745276216E-2</v>
      </c>
    </row>
    <row r="274" spans="1:13">
      <c r="A274" s="171"/>
      <c r="B274" s="172">
        <v>1.2284177840385118</v>
      </c>
      <c r="C274" s="172">
        <v>2.3993580133895418</v>
      </c>
      <c r="D274" s="172">
        <v>-0.6756623603325641</v>
      </c>
      <c r="E274" s="171"/>
      <c r="F274" s="173"/>
      <c r="J274">
        <v>262</v>
      </c>
      <c r="K274" s="35">
        <f ca="1">MCond(OFFSET($B$12,(ROW(A262)-1)*4,0,3,3))</f>
        <v>17.866956947533616</v>
      </c>
      <c r="M274">
        <f t="shared" ca="1" si="16"/>
        <v>8.3134297025988808E-3</v>
      </c>
    </row>
    <row r="275" spans="1:13">
      <c r="A275" s="171"/>
      <c r="B275" s="172"/>
      <c r="C275" s="172"/>
      <c r="D275" s="172"/>
      <c r="E275" s="171"/>
      <c r="F275" s="174"/>
      <c r="J275">
        <v>263</v>
      </c>
      <c r="K275" s="35">
        <f ca="1">MCond(OFFSET($B$12,(ROW(A263)-1)*4,0,3,3))</f>
        <v>6.3541258749953187</v>
      </c>
      <c r="M275">
        <f t="shared" ca="1" si="16"/>
        <v>2.9565515234831396E-3</v>
      </c>
    </row>
    <row r="276" spans="1:13">
      <c r="A276" s="171"/>
      <c r="B276" s="172">
        <v>2.6959782234951333</v>
      </c>
      <c r="C276" s="172">
        <v>1.0757798809975587</v>
      </c>
      <c r="D276" s="172">
        <v>4.997772423355884E-2</v>
      </c>
      <c r="E276" s="171"/>
      <c r="F276" s="173"/>
      <c r="J276">
        <v>264</v>
      </c>
      <c r="K276" s="35">
        <f ca="1">MCond(OFFSET($B$12,(ROW(A264)-1)*4,0,3,3))</f>
        <v>6.7607681639683301</v>
      </c>
      <c r="M276">
        <f t="shared" ca="1" si="16"/>
        <v>3.1457606928681756E-3</v>
      </c>
    </row>
    <row r="277" spans="1:13">
      <c r="A277" s="171" t="s">
        <v>280</v>
      </c>
      <c r="B277" s="172">
        <v>0.21871711292247331</v>
      </c>
      <c r="C277" s="172">
        <v>2.1363371502498802</v>
      </c>
      <c r="D277" s="172">
        <v>8.9790398854103559E-2</v>
      </c>
      <c r="E277" s="171"/>
      <c r="F277" s="173">
        <f>MCond(B276:D278)</f>
        <v>71.937522903691658</v>
      </c>
      <c r="J277">
        <v>265</v>
      </c>
      <c r="K277" s="35">
        <f ca="1">MCond(OFFSET($B$12,(ROW(A265)-1)*4,0,3,3))</f>
        <v>15.979311741978162</v>
      </c>
      <c r="M277">
        <f t="shared" ca="1" si="16"/>
        <v>7.4351152942799337E-3</v>
      </c>
    </row>
    <row r="278" spans="1:13">
      <c r="A278" s="171"/>
      <c r="B278" s="172">
        <v>1.8375474863113905</v>
      </c>
      <c r="C278" s="172">
        <v>2.1167426559988707</v>
      </c>
      <c r="D278" s="172">
        <v>1.2367606559382516E-2</v>
      </c>
      <c r="E278" s="171"/>
      <c r="F278" s="173"/>
      <c r="J278">
        <v>266</v>
      </c>
      <c r="K278" s="35">
        <f ca="1">MCond(OFFSET($B$12,(ROW(A266)-1)*4,0,3,3))</f>
        <v>24.622553140187737</v>
      </c>
      <c r="M278">
        <f t="shared" ca="1" si="16"/>
        <v>1.1456783896135872E-2</v>
      </c>
    </row>
    <row r="279" spans="1:13">
      <c r="A279" s="171"/>
      <c r="B279" s="172"/>
      <c r="C279" s="172"/>
      <c r="D279" s="172"/>
      <c r="E279" s="171"/>
      <c r="F279" s="174"/>
      <c r="J279">
        <v>267</v>
      </c>
      <c r="K279" s="35">
        <f ca="1">MCond(OFFSET($B$12,(ROW(A267)-1)*4,0,3,3))</f>
        <v>9.6873396835531249</v>
      </c>
      <c r="M279">
        <f t="shared" ca="1" si="16"/>
        <v>4.5074837142612904E-3</v>
      </c>
    </row>
    <row r="280" spans="1:13">
      <c r="A280" s="171"/>
      <c r="B280" s="172">
        <v>2.6959782234951333</v>
      </c>
      <c r="C280" s="172">
        <v>1.0757798809975587</v>
      </c>
      <c r="D280" s="172">
        <v>4.997772423355884E-2</v>
      </c>
      <c r="E280" s="171"/>
      <c r="F280" s="173"/>
      <c r="J280">
        <v>268</v>
      </c>
      <c r="K280" s="35">
        <f ca="1">MCond(OFFSET($B$12,(ROW(A268)-1)*4,0,3,3))</f>
        <v>4.3639483646416055</v>
      </c>
      <c r="M280">
        <f t="shared" ca="1" si="16"/>
        <v>2.0305292088492661E-3</v>
      </c>
    </row>
    <row r="281" spans="1:13">
      <c r="A281" s="171" t="s">
        <v>281</v>
      </c>
      <c r="B281" s="172">
        <v>0.21871711292247331</v>
      </c>
      <c r="C281" s="172">
        <v>2.1363371502498802</v>
      </c>
      <c r="D281" s="172">
        <v>8.9790398854103559E-2</v>
      </c>
      <c r="E281" s="171"/>
      <c r="F281" s="173">
        <f>MCond(B280:D282)</f>
        <v>7.5230904443487656</v>
      </c>
      <c r="J281">
        <v>269</v>
      </c>
      <c r="K281" s="35">
        <f ca="1">MCond(OFFSET($B$12,(ROW(A269)-1)*4,0,3,3))</f>
        <v>7.1573490093416128</v>
      </c>
      <c r="M281">
        <f t="shared" ca="1" si="16"/>
        <v>3.3302883093553884E-3</v>
      </c>
    </row>
    <row r="282" spans="1:13">
      <c r="A282" s="171"/>
      <c r="B282" s="172">
        <v>1.2284177840385118</v>
      </c>
      <c r="C282" s="172">
        <v>2.3993580133895418</v>
      </c>
      <c r="D282" s="172">
        <v>-0.6756623603325641</v>
      </c>
      <c r="E282" s="171"/>
      <c r="F282" s="173"/>
      <c r="J282">
        <v>270</v>
      </c>
      <c r="K282" s="35">
        <f ca="1">MCond(OFFSET($B$12,(ROW(A270)-1)*4,0,3,3))</f>
        <v>3.4265372448109996</v>
      </c>
      <c r="M282">
        <f t="shared" ca="1" si="16"/>
        <v>1.594355244249099E-3</v>
      </c>
    </row>
    <row r="283" spans="1:13">
      <c r="A283" s="171"/>
      <c r="B283" s="172"/>
      <c r="C283" s="172"/>
      <c r="D283" s="172"/>
      <c r="E283" s="171"/>
      <c r="F283" s="174"/>
      <c r="J283">
        <v>271</v>
      </c>
      <c r="K283" s="35">
        <f ca="1">MCond(OFFSET($B$12,(ROW(A271)-1)*4,0,3,3))</f>
        <v>12.100449578887144</v>
      </c>
      <c r="M283">
        <f t="shared" ca="1" si="16"/>
        <v>5.6302949203561473E-3</v>
      </c>
    </row>
    <row r="284" spans="1:13">
      <c r="A284" s="171"/>
      <c r="B284" s="172">
        <v>2.6959782234951333</v>
      </c>
      <c r="C284" s="172">
        <v>1.0757798809975587</v>
      </c>
      <c r="D284" s="172">
        <v>4.997772423355884E-2</v>
      </c>
      <c r="E284" s="171"/>
      <c r="F284" s="173"/>
      <c r="J284">
        <v>272</v>
      </c>
      <c r="K284" s="35">
        <f ca="1">MCond(OFFSET($B$12,(ROW(A272)-1)*4,0,3,3))</f>
        <v>6.7197741867997447</v>
      </c>
      <c r="M284">
        <f t="shared" ca="1" si="16"/>
        <v>3.1266863452654057E-3</v>
      </c>
    </row>
    <row r="285" spans="1:13">
      <c r="A285" s="171" t="s">
        <v>282</v>
      </c>
      <c r="B285" s="172">
        <v>1.8375474863113905</v>
      </c>
      <c r="C285" s="172">
        <v>2.1167426559988707</v>
      </c>
      <c r="D285" s="172">
        <v>1.2367606559382516E-2</v>
      </c>
      <c r="E285" s="171"/>
      <c r="F285" s="173">
        <f>MCond(B284:D286)</f>
        <v>13.005132427828926</v>
      </c>
      <c r="J285">
        <v>273</v>
      </c>
      <c r="K285" s="35">
        <f ca="1">MCond(OFFSET($B$12,(ROW(A273)-1)*4,0,3,3))</f>
        <v>5.3162933238372769</v>
      </c>
      <c r="M285">
        <f t="shared" ca="1" si="16"/>
        <v>2.4736518342715276E-3</v>
      </c>
    </row>
    <row r="286" spans="1:13">
      <c r="A286" s="171"/>
      <c r="B286" s="172">
        <v>1.2284177840385118</v>
      </c>
      <c r="C286" s="172">
        <v>2.3993580133895418</v>
      </c>
      <c r="D286" s="172">
        <v>-0.6756623603325641</v>
      </c>
      <c r="E286" s="171"/>
      <c r="F286" s="173"/>
      <c r="J286">
        <v>274</v>
      </c>
      <c r="K286" s="35">
        <f ca="1">MCond(OFFSET($B$12,(ROW(A274)-1)*4,0,3,3))</f>
        <v>6.5721137062563466</v>
      </c>
      <c r="M286">
        <f t="shared" ca="1" si="16"/>
        <v>3.0579804638747325E-3</v>
      </c>
    </row>
    <row r="287" spans="1:13">
      <c r="A287" s="171"/>
      <c r="B287" s="172"/>
      <c r="C287" s="172"/>
      <c r="D287" s="172"/>
      <c r="E287" s="171"/>
      <c r="F287" s="174"/>
      <c r="J287">
        <v>275</v>
      </c>
      <c r="K287" s="35">
        <f ca="1">MCond(OFFSET($B$12,(ROW(A275)-1)*4,0,3,3))</f>
        <v>11.385227489967416</v>
      </c>
      <c r="M287">
        <f t="shared" ca="1" si="16"/>
        <v>5.2975046989748352E-3</v>
      </c>
    </row>
    <row r="288" spans="1:13">
      <c r="A288" s="171"/>
      <c r="B288" s="172">
        <v>0.21871711292247331</v>
      </c>
      <c r="C288" s="172">
        <v>2.1363371502498802</v>
      </c>
      <c r="D288" s="172">
        <v>8.9790398854103559E-2</v>
      </c>
      <c r="E288" s="171"/>
      <c r="F288" s="173"/>
      <c r="J288">
        <v>276</v>
      </c>
      <c r="K288" s="35">
        <f ca="1">MCond(OFFSET($B$12,(ROW(A276)-1)*4,0,3,3))</f>
        <v>4.1936501463501141</v>
      </c>
      <c r="M288">
        <f t="shared" ca="1" si="16"/>
        <v>1.9512900709030819E-3</v>
      </c>
    </row>
    <row r="289" spans="1:13">
      <c r="A289" s="171" t="s">
        <v>283</v>
      </c>
      <c r="B289" s="172">
        <v>1.8375474863113905</v>
      </c>
      <c r="C289" s="172">
        <v>2.1167426559988707</v>
      </c>
      <c r="D289" s="172">
        <v>1.2367606559382516E-2</v>
      </c>
      <c r="E289" s="171"/>
      <c r="F289" s="173">
        <f>MCond(B288:D290)</f>
        <v>7.6469926989996724</v>
      </c>
      <c r="J289">
        <v>277</v>
      </c>
      <c r="K289" s="35">
        <f ca="1">MCond(OFFSET($B$12,(ROW(A277)-1)*4,0,3,3))</f>
        <v>4.4300562065933597</v>
      </c>
      <c r="M289">
        <f t="shared" ca="1" si="16"/>
        <v>2.0612889458582195E-3</v>
      </c>
    </row>
    <row r="290" spans="1:13">
      <c r="A290" s="171"/>
      <c r="B290" s="172">
        <v>1.2284177840385118</v>
      </c>
      <c r="C290" s="172">
        <v>2.3993580133895418</v>
      </c>
      <c r="D290" s="172">
        <v>-0.6756623603325641</v>
      </c>
      <c r="E290" s="171"/>
      <c r="F290" s="173"/>
      <c r="J290">
        <v>278</v>
      </c>
      <c r="K290" s="35">
        <f ca="1">MCond(OFFSET($B$12,(ROW(A278)-1)*4,0,3,3))</f>
        <v>5.4697357909735507</v>
      </c>
      <c r="M290">
        <f t="shared" ca="1" si="16"/>
        <v>2.5450480528708477E-3</v>
      </c>
    </row>
    <row r="291" spans="1:13">
      <c r="A291" s="171"/>
      <c r="B291" s="172"/>
      <c r="C291" s="172"/>
      <c r="D291" s="172"/>
      <c r="E291" s="171"/>
      <c r="F291" s="174"/>
      <c r="J291">
        <v>279</v>
      </c>
      <c r="K291" s="35">
        <f ca="1">MCond(OFFSET($B$12,(ROW(A279)-1)*4,0,3,3))</f>
        <v>3.6876331792039538</v>
      </c>
      <c r="M291">
        <f t="shared" ca="1" si="16"/>
        <v>1.7158422273198131E-3</v>
      </c>
    </row>
    <row r="292" spans="1:13">
      <c r="A292" s="171"/>
      <c r="B292" s="172">
        <v>-1.0419123890112216</v>
      </c>
      <c r="C292" s="172">
        <v>4.0818532431212473E-2</v>
      </c>
      <c r="D292" s="172">
        <v>-0.77248383184656022</v>
      </c>
      <c r="E292" s="171"/>
      <c r="F292" s="173"/>
      <c r="J292">
        <v>280</v>
      </c>
      <c r="K292" s="35">
        <f ca="1">MCond(OFFSET($B$12,(ROW(A280)-1)*4,0,3,3))</f>
        <v>5.7586173410951851</v>
      </c>
      <c r="M292">
        <f t="shared" ca="1" si="16"/>
        <v>2.6794635812882666E-3</v>
      </c>
    </row>
    <row r="293" spans="1:13">
      <c r="A293" s="171" t="s">
        <v>284</v>
      </c>
      <c r="B293" s="172">
        <v>-2.2957880185781296</v>
      </c>
      <c r="C293" s="172">
        <v>8.2263663034425338E-3</v>
      </c>
      <c r="D293" s="172">
        <v>-3.3137218009327896E-2</v>
      </c>
      <c r="E293" s="171"/>
      <c r="F293" s="173">
        <f>MCond(B292:D294)</f>
        <v>6.5447871116906784</v>
      </c>
      <c r="K293" s="35"/>
    </row>
    <row r="294" spans="1:13">
      <c r="A294" s="171"/>
      <c r="B294" s="172">
        <v>-2.44475956514645</v>
      </c>
      <c r="C294" s="172">
        <v>0.85548399177677847</v>
      </c>
      <c r="D294" s="172">
        <v>-5.2896656816179721E-2</v>
      </c>
      <c r="E294" s="171"/>
      <c r="F294" s="173"/>
      <c r="J294">
        <v>1</v>
      </c>
      <c r="K294" s="35">
        <v>4.136985868324337</v>
      </c>
    </row>
    <row r="295" spans="1:13">
      <c r="A295" s="171"/>
      <c r="B295" s="172"/>
      <c r="C295" s="172"/>
      <c r="D295" s="172"/>
      <c r="E295" s="171"/>
      <c r="F295" s="174"/>
      <c r="J295" s="176">
        <v>161</v>
      </c>
      <c r="K295" s="177">
        <v>2149.1679832149403</v>
      </c>
    </row>
    <row r="296" spans="1:13">
      <c r="A296" s="171"/>
      <c r="B296" s="172">
        <v>-1.0419123890112216</v>
      </c>
      <c r="C296" s="172">
        <v>4.0818532431212473E-2</v>
      </c>
      <c r="D296" s="172">
        <v>-0.77248383184656022</v>
      </c>
      <c r="E296" s="171"/>
      <c r="F296" s="173"/>
      <c r="J296" s="176">
        <v>62</v>
      </c>
      <c r="K296" s="177">
        <v>1839.1895225872963</v>
      </c>
    </row>
    <row r="297" spans="1:13">
      <c r="A297" s="171" t="s">
        <v>285</v>
      </c>
      <c r="B297" s="172">
        <v>-2.2957880185781296</v>
      </c>
      <c r="C297" s="172">
        <v>8.2263663034425338E-3</v>
      </c>
      <c r="D297" s="172">
        <v>-3.3137218009327896E-2</v>
      </c>
      <c r="E297" s="171"/>
      <c r="F297" s="173">
        <f>MCond(B296:D298)</f>
        <v>3.8029292847047502</v>
      </c>
      <c r="J297" s="176">
        <v>230</v>
      </c>
      <c r="K297" s="177">
        <v>1832.2683886248421</v>
      </c>
    </row>
    <row r="298" spans="1:13">
      <c r="A298" s="171"/>
      <c r="B298" s="172">
        <v>0.40019020491700363</v>
      </c>
      <c r="C298" s="172">
        <v>1.0840062473010013</v>
      </c>
      <c r="D298" s="172">
        <v>1.6840506224230944E-2</v>
      </c>
      <c r="E298" s="171"/>
      <c r="F298" s="173"/>
      <c r="J298" s="176">
        <v>126</v>
      </c>
      <c r="K298" s="177">
        <v>1531.9211719884818</v>
      </c>
    </row>
    <row r="299" spans="1:13">
      <c r="A299" s="171"/>
      <c r="B299" s="172"/>
      <c r="C299" s="172"/>
      <c r="D299" s="172"/>
      <c r="E299" s="171"/>
      <c r="F299" s="174"/>
      <c r="J299" s="176">
        <v>226</v>
      </c>
      <c r="K299" s="177">
        <v>466.83042019142619</v>
      </c>
    </row>
    <row r="300" spans="1:13">
      <c r="A300" s="171"/>
      <c r="B300" s="172">
        <v>-1.0419123890112216</v>
      </c>
      <c r="C300" s="172">
        <v>4.0818532431212473E-2</v>
      </c>
      <c r="D300" s="172">
        <v>-0.77248383184656022</v>
      </c>
      <c r="E300" s="171"/>
      <c r="F300" s="173"/>
      <c r="J300">
        <v>88</v>
      </c>
      <c r="K300" s="35">
        <v>435.33148403717917</v>
      </c>
    </row>
    <row r="301" spans="1:13">
      <c r="A301" s="171" t="s">
        <v>286</v>
      </c>
      <c r="B301" s="172">
        <v>-2.2957880185781296</v>
      </c>
      <c r="C301" s="172">
        <v>8.2263663034425338E-3</v>
      </c>
      <c r="D301" s="172">
        <v>-3.3137218009327896E-2</v>
      </c>
      <c r="E301" s="171"/>
      <c r="F301" s="173">
        <f>MCond(B300:D302)</f>
        <v>5.3446407282175681</v>
      </c>
      <c r="J301">
        <v>132</v>
      </c>
      <c r="K301" s="35">
        <v>384.18771801649655</v>
      </c>
    </row>
    <row r="302" spans="1:13">
      <c r="A302" s="171"/>
      <c r="B302" s="172">
        <v>-2.0770709056556562</v>
      </c>
      <c r="C302" s="172">
        <v>2.1445635165533226</v>
      </c>
      <c r="D302" s="172">
        <v>5.6653180844775664E-2</v>
      </c>
      <c r="E302" s="171"/>
      <c r="F302" s="173"/>
      <c r="J302">
        <v>56</v>
      </c>
      <c r="K302" s="35">
        <v>326.12223160360338</v>
      </c>
    </row>
    <row r="303" spans="1:13">
      <c r="A303" s="171"/>
      <c r="B303" s="172"/>
      <c r="C303" s="172"/>
      <c r="D303" s="172"/>
      <c r="E303" s="171"/>
      <c r="F303" s="174"/>
      <c r="J303">
        <v>53</v>
      </c>
      <c r="K303" s="35">
        <v>317.80209627578216</v>
      </c>
    </row>
    <row r="304" spans="1:13">
      <c r="A304" s="171"/>
      <c r="B304" s="172">
        <v>-1.0419123890112216</v>
      </c>
      <c r="C304" s="172">
        <v>4.0818532431212473E-2</v>
      </c>
      <c r="D304" s="172">
        <v>-0.77248383184656022</v>
      </c>
      <c r="E304" s="171"/>
      <c r="F304" s="173"/>
      <c r="J304">
        <v>123</v>
      </c>
      <c r="K304" s="35">
        <v>298.22841835546393</v>
      </c>
    </row>
    <row r="305" spans="1:11">
      <c r="A305" s="171" t="s">
        <v>287</v>
      </c>
      <c r="B305" s="172">
        <v>-2.2957880185781296</v>
      </c>
      <c r="C305" s="172">
        <v>8.2263663034425338E-3</v>
      </c>
      <c r="D305" s="172">
        <v>-3.3137218009327896E-2</v>
      </c>
      <c r="E305" s="171"/>
      <c r="F305" s="173">
        <f>MCond(B304:D306)</f>
        <v>3.9026598544515507</v>
      </c>
      <c r="J305">
        <v>156</v>
      </c>
      <c r="K305" s="35">
        <v>286.9294314386575</v>
      </c>
    </row>
    <row r="306" spans="1:11">
      <c r="A306" s="171"/>
      <c r="B306" s="172">
        <v>-0.45824053226673911</v>
      </c>
      <c r="C306" s="172">
        <v>2.124969022302313</v>
      </c>
      <c r="D306" s="172">
        <v>-2.076961144994538E-2</v>
      </c>
      <c r="E306" s="171"/>
      <c r="F306" s="173"/>
      <c r="J306">
        <v>121</v>
      </c>
      <c r="K306" s="35">
        <v>250.1521200358882</v>
      </c>
    </row>
    <row r="307" spans="1:11">
      <c r="A307" s="171"/>
      <c r="B307" s="172"/>
      <c r="C307" s="172"/>
      <c r="D307" s="172"/>
      <c r="E307" s="171"/>
      <c r="F307" s="174"/>
      <c r="J307">
        <v>97</v>
      </c>
      <c r="K307" s="35">
        <v>243.43943945414657</v>
      </c>
    </row>
    <row r="308" spans="1:11">
      <c r="A308" s="171"/>
      <c r="B308" s="172">
        <v>-1.0419123890112216</v>
      </c>
      <c r="C308" s="172">
        <v>4.0818532431212473E-2</v>
      </c>
      <c r="D308" s="172">
        <v>-0.77248383184656022</v>
      </c>
      <c r="E308" s="171"/>
      <c r="F308" s="173"/>
      <c r="J308">
        <v>227</v>
      </c>
      <c r="K308" s="35">
        <v>230.68313650592344</v>
      </c>
    </row>
    <row r="309" spans="1:11">
      <c r="A309" s="171" t="s">
        <v>288</v>
      </c>
      <c r="B309" s="172">
        <v>-2.2957880185781296</v>
      </c>
      <c r="C309" s="172">
        <v>8.2263663034425338E-3</v>
      </c>
      <c r="D309" s="172">
        <v>-3.3137218009327896E-2</v>
      </c>
      <c r="E309" s="171"/>
      <c r="F309" s="173">
        <f>MCond(B308:D310)</f>
        <v>4.8270811041221897</v>
      </c>
      <c r="J309">
        <v>86</v>
      </c>
      <c r="K309" s="35">
        <v>227.7065416836075</v>
      </c>
    </row>
    <row r="310" spans="1:11">
      <c r="A310" s="171"/>
      <c r="B310" s="172">
        <v>-1.0673702345396179</v>
      </c>
      <c r="C310" s="172">
        <v>2.4075843796929846</v>
      </c>
      <c r="D310" s="172">
        <v>-0.708799578341892</v>
      </c>
      <c r="E310" s="171"/>
      <c r="F310" s="173"/>
      <c r="J310">
        <v>236</v>
      </c>
      <c r="K310" s="35">
        <v>223.5443970413034</v>
      </c>
    </row>
    <row r="311" spans="1:11">
      <c r="A311" s="171"/>
      <c r="B311" s="172"/>
      <c r="C311" s="172"/>
      <c r="D311" s="172"/>
      <c r="E311" s="171"/>
      <c r="F311" s="174"/>
      <c r="J311">
        <v>51</v>
      </c>
      <c r="K311" s="35">
        <v>222.32523405718308</v>
      </c>
    </row>
    <row r="312" spans="1:11">
      <c r="A312" s="171"/>
      <c r="B312" s="172">
        <v>-1.0419123890112216</v>
      </c>
      <c r="C312" s="172">
        <v>4.0818532431212473E-2</v>
      </c>
      <c r="D312" s="172">
        <v>-0.77248383184656022</v>
      </c>
      <c r="E312" s="171"/>
      <c r="F312" s="173"/>
      <c r="J312">
        <v>192</v>
      </c>
      <c r="K312" s="35">
        <v>204.78346391597921</v>
      </c>
    </row>
    <row r="313" spans="1:11">
      <c r="A313" s="171" t="s">
        <v>289</v>
      </c>
      <c r="B313" s="172">
        <v>-2.44475956514645</v>
      </c>
      <c r="C313" s="172">
        <v>0.85548399177677847</v>
      </c>
      <c r="D313" s="172">
        <v>-5.2896656816179721E-2</v>
      </c>
      <c r="E313" s="171"/>
      <c r="F313" s="173">
        <f>MCond(B312:D314)</f>
        <v>4.2243239500446652</v>
      </c>
      <c r="J313">
        <v>167</v>
      </c>
      <c r="K313" s="35">
        <v>190.43474137765517</v>
      </c>
    </row>
    <row r="314" spans="1:11">
      <c r="A314" s="171"/>
      <c r="B314" s="172">
        <v>0.40019020491700363</v>
      </c>
      <c r="C314" s="172">
        <v>1.0840062473010013</v>
      </c>
      <c r="D314" s="172">
        <v>1.6840506224230944E-2</v>
      </c>
      <c r="E314" s="171"/>
      <c r="F314" s="173"/>
      <c r="J314">
        <v>55</v>
      </c>
      <c r="K314" s="35">
        <v>180.39381408191585</v>
      </c>
    </row>
    <row r="315" spans="1:11">
      <c r="A315" s="171"/>
      <c r="B315" s="172"/>
      <c r="C315" s="172"/>
      <c r="D315" s="172"/>
      <c r="E315" s="171"/>
      <c r="F315" s="174"/>
      <c r="J315">
        <v>158</v>
      </c>
      <c r="K315" s="35">
        <v>159.28604006876967</v>
      </c>
    </row>
    <row r="316" spans="1:11">
      <c r="A316" s="171"/>
      <c r="B316" s="172">
        <v>-1.0419123890112216</v>
      </c>
      <c r="C316" s="172">
        <v>4.0818532431212473E-2</v>
      </c>
      <c r="D316" s="172">
        <v>-0.77248383184656022</v>
      </c>
      <c r="E316" s="171"/>
      <c r="F316" s="173"/>
      <c r="J316">
        <v>91</v>
      </c>
      <c r="K316" s="35">
        <v>157.71990388339927</v>
      </c>
    </row>
    <row r="317" spans="1:11">
      <c r="A317" s="171" t="s">
        <v>290</v>
      </c>
      <c r="B317" s="172">
        <v>-2.44475956514645</v>
      </c>
      <c r="C317" s="172">
        <v>0.85548399177677847</v>
      </c>
      <c r="D317" s="172">
        <v>-5.2896656816179721E-2</v>
      </c>
      <c r="E317" s="171"/>
      <c r="F317" s="173">
        <f>MCond(B316:D318)</f>
        <v>7.309134947611736</v>
      </c>
      <c r="J317">
        <v>157</v>
      </c>
      <c r="K317" s="35">
        <v>155.61168544988374</v>
      </c>
    </row>
    <row r="318" spans="1:11">
      <c r="A318" s="171"/>
      <c r="B318" s="172">
        <v>-2.0770709056556562</v>
      </c>
      <c r="C318" s="172">
        <v>2.1445635165533226</v>
      </c>
      <c r="D318" s="172">
        <v>5.6653180844775664E-2</v>
      </c>
      <c r="E318" s="171"/>
      <c r="F318" s="173"/>
      <c r="J318">
        <v>90</v>
      </c>
      <c r="K318" s="35">
        <v>137.0330195917372</v>
      </c>
    </row>
    <row r="319" spans="1:11">
      <c r="A319" s="171"/>
      <c r="B319" s="172"/>
      <c r="C319" s="172"/>
      <c r="D319" s="172"/>
      <c r="E319" s="171"/>
      <c r="F319" s="174"/>
      <c r="J319">
        <v>160</v>
      </c>
      <c r="K319" s="35">
        <v>107.5399530016923</v>
      </c>
    </row>
    <row r="320" spans="1:11">
      <c r="A320" s="171"/>
      <c r="B320" s="172">
        <v>-1.0419123890112216</v>
      </c>
      <c r="C320" s="172">
        <v>4.0818532431212473E-2</v>
      </c>
      <c r="D320" s="172">
        <v>-0.77248383184656022</v>
      </c>
      <c r="E320" s="171"/>
      <c r="F320" s="173"/>
      <c r="J320">
        <v>87</v>
      </c>
      <c r="K320" s="35">
        <v>107.48734647321321</v>
      </c>
    </row>
    <row r="321" spans="1:11">
      <c r="A321" s="171" t="s">
        <v>291</v>
      </c>
      <c r="B321" s="172">
        <v>-2.44475956514645</v>
      </c>
      <c r="C321" s="172">
        <v>0.85548399177677847</v>
      </c>
      <c r="D321" s="172">
        <v>-5.2896656816179721E-2</v>
      </c>
      <c r="E321" s="171"/>
      <c r="F321" s="173">
        <f>MCond(B320:D322)</f>
        <v>4.6643551181710254</v>
      </c>
      <c r="J321">
        <v>204</v>
      </c>
      <c r="K321" s="35">
        <v>103.43008876337434</v>
      </c>
    </row>
    <row r="322" spans="1:11">
      <c r="A322" s="171"/>
      <c r="B322" s="172">
        <v>-0.45824053226673911</v>
      </c>
      <c r="C322" s="172">
        <v>2.124969022302313</v>
      </c>
      <c r="D322" s="172">
        <v>-2.076961144994538E-2</v>
      </c>
      <c r="E322" s="171"/>
      <c r="F322" s="173"/>
      <c r="J322">
        <v>102</v>
      </c>
      <c r="K322" s="35">
        <v>88.262830753422278</v>
      </c>
    </row>
    <row r="323" spans="1:11">
      <c r="A323" s="171"/>
      <c r="B323" s="172"/>
      <c r="C323" s="172"/>
      <c r="D323" s="172"/>
      <c r="E323" s="171"/>
      <c r="F323" s="174"/>
      <c r="J323">
        <v>201</v>
      </c>
      <c r="K323" s="35">
        <v>84.872649675684883</v>
      </c>
    </row>
    <row r="324" spans="1:11">
      <c r="A324" s="171"/>
      <c r="B324" s="172">
        <v>-1.0419123890112216</v>
      </c>
      <c r="C324" s="172">
        <v>4.0818532431212473E-2</v>
      </c>
      <c r="D324" s="172">
        <v>-0.77248383184656022</v>
      </c>
      <c r="E324" s="171"/>
      <c r="F324" s="173"/>
      <c r="J324">
        <v>191</v>
      </c>
      <c r="K324" s="35">
        <v>83.460835017935977</v>
      </c>
    </row>
    <row r="325" spans="1:11">
      <c r="A325" s="171" t="s">
        <v>292</v>
      </c>
      <c r="B325" s="172">
        <v>-2.44475956514645</v>
      </c>
      <c r="C325" s="172">
        <v>0.85548399177677847</v>
      </c>
      <c r="D325" s="172">
        <v>-5.2896656816179721E-2</v>
      </c>
      <c r="E325" s="171"/>
      <c r="F325" s="173">
        <f>MCond(B324:D326)</f>
        <v>4.8011093563140337</v>
      </c>
      <c r="J325">
        <v>131</v>
      </c>
      <c r="K325" s="35">
        <v>79.914011691529879</v>
      </c>
    </row>
    <row r="326" spans="1:11">
      <c r="A326" s="171"/>
      <c r="B326" s="172">
        <v>-1.0673702345396179</v>
      </c>
      <c r="C326" s="172">
        <v>2.4075843796929846</v>
      </c>
      <c r="D326" s="172">
        <v>-0.708799578341892</v>
      </c>
      <c r="E326" s="171"/>
      <c r="F326" s="173"/>
      <c r="J326">
        <v>166</v>
      </c>
      <c r="K326" s="35">
        <v>77.784722012998088</v>
      </c>
    </row>
    <row r="327" spans="1:11">
      <c r="A327" s="171"/>
      <c r="B327" s="172"/>
      <c r="C327" s="172"/>
      <c r="D327" s="172"/>
      <c r="E327" s="171"/>
      <c r="F327" s="174"/>
      <c r="J327">
        <v>96</v>
      </c>
      <c r="K327" s="35">
        <v>77.582923469237784</v>
      </c>
    </row>
    <row r="328" spans="1:11">
      <c r="A328" s="171"/>
      <c r="B328" s="172">
        <v>-1.0419123890112216</v>
      </c>
      <c r="C328" s="172">
        <v>4.0818532431212473E-2</v>
      </c>
      <c r="D328" s="172">
        <v>-0.77248383184656022</v>
      </c>
      <c r="E328" s="171"/>
      <c r="F328" s="173"/>
      <c r="J328">
        <v>231</v>
      </c>
      <c r="K328" s="35">
        <v>74.307372366081026</v>
      </c>
    </row>
    <row r="329" spans="1:11">
      <c r="A329" s="171" t="s">
        <v>293</v>
      </c>
      <c r="B329" s="172">
        <v>0.40019020491700363</v>
      </c>
      <c r="C329" s="172">
        <v>1.0840062473010013</v>
      </c>
      <c r="D329" s="172">
        <v>1.6840506224230944E-2</v>
      </c>
      <c r="E329" s="171"/>
      <c r="F329" s="173">
        <f>MCond(B328:D330)</f>
        <v>5.4695394540896514</v>
      </c>
      <c r="J329">
        <v>67</v>
      </c>
      <c r="K329" s="35">
        <v>71.937522903691658</v>
      </c>
    </row>
    <row r="330" spans="1:11">
      <c r="A330" s="171"/>
      <c r="B330" s="172">
        <v>-2.0770709056556562</v>
      </c>
      <c r="C330" s="172">
        <v>2.1445635165533226</v>
      </c>
      <c r="D330" s="172">
        <v>5.6653180844775664E-2</v>
      </c>
      <c r="E330" s="171"/>
      <c r="F330" s="173"/>
      <c r="J330">
        <v>195</v>
      </c>
      <c r="K330" s="35">
        <v>63.944981854448542</v>
      </c>
    </row>
    <row r="331" spans="1:11">
      <c r="A331" s="171"/>
      <c r="B331" s="172"/>
      <c r="C331" s="172"/>
      <c r="D331" s="172"/>
      <c r="E331" s="171"/>
      <c r="F331" s="174"/>
      <c r="J331">
        <v>61</v>
      </c>
      <c r="K331" s="35">
        <v>63.728386371176278</v>
      </c>
    </row>
    <row r="332" spans="1:11">
      <c r="A332" s="171"/>
      <c r="B332" s="172">
        <v>-1.0419123890112216</v>
      </c>
      <c r="C332" s="172">
        <v>4.0818532431212473E-2</v>
      </c>
      <c r="D332" s="172">
        <v>-0.77248383184656022</v>
      </c>
      <c r="E332" s="171"/>
      <c r="F332" s="173"/>
      <c r="J332">
        <v>93</v>
      </c>
      <c r="K332" s="35">
        <v>60.630725200579725</v>
      </c>
    </row>
    <row r="333" spans="1:11">
      <c r="A333" s="171" t="s">
        <v>294</v>
      </c>
      <c r="B333" s="172">
        <v>0.40019020491700363</v>
      </c>
      <c r="C333" s="172">
        <v>1.0840062473010013</v>
      </c>
      <c r="D333" s="172">
        <v>1.6840506224230944E-2</v>
      </c>
      <c r="E333" s="171"/>
      <c r="F333" s="173">
        <f>MCond(B332:D334)</f>
        <v>8.0842653543142653</v>
      </c>
      <c r="J333">
        <v>64</v>
      </c>
      <c r="K333" s="35">
        <v>59.461695313516891</v>
      </c>
    </row>
    <row r="334" spans="1:11">
      <c r="A334" s="171"/>
      <c r="B334" s="172">
        <v>-0.45824053226673911</v>
      </c>
      <c r="C334" s="172">
        <v>2.124969022302313</v>
      </c>
      <c r="D334" s="172">
        <v>-2.076961144994538E-2</v>
      </c>
      <c r="E334" s="171"/>
      <c r="F334" s="173"/>
      <c r="J334">
        <v>163</v>
      </c>
      <c r="K334" s="35">
        <v>58.858855955017582</v>
      </c>
    </row>
    <row r="335" spans="1:11">
      <c r="A335" s="171"/>
      <c r="B335" s="172"/>
      <c r="C335" s="172"/>
      <c r="D335" s="172"/>
      <c r="E335" s="171"/>
      <c r="F335" s="174"/>
      <c r="J335">
        <v>247</v>
      </c>
      <c r="K335" s="35">
        <v>57.301482607717354</v>
      </c>
    </row>
    <row r="336" spans="1:11">
      <c r="A336" s="171"/>
      <c r="B336" s="172">
        <v>-1.0419123890112216</v>
      </c>
      <c r="C336" s="172">
        <v>4.0818532431212473E-2</v>
      </c>
      <c r="D336" s="172">
        <v>-0.77248383184656022</v>
      </c>
      <c r="E336" s="171"/>
      <c r="F336" s="173"/>
      <c r="J336">
        <v>58</v>
      </c>
      <c r="K336" s="35">
        <v>57.193413755542728</v>
      </c>
    </row>
    <row r="337" spans="1:11">
      <c r="A337" s="171" t="s">
        <v>295</v>
      </c>
      <c r="B337" s="172">
        <v>0.40019020491700363</v>
      </c>
      <c r="C337" s="172">
        <v>1.0840062473010013</v>
      </c>
      <c r="D337" s="172">
        <v>1.6840506224230944E-2</v>
      </c>
      <c r="E337" s="171"/>
      <c r="F337" s="173">
        <f>MCond(B336:D338)</f>
        <v>15.029251889619651</v>
      </c>
      <c r="J337">
        <v>169</v>
      </c>
      <c r="K337" s="35">
        <v>56.386053470483816</v>
      </c>
    </row>
    <row r="338" spans="1:11">
      <c r="A338" s="171"/>
      <c r="B338" s="172">
        <v>-1.0673702345396179</v>
      </c>
      <c r="C338" s="172">
        <v>2.4075843796929846</v>
      </c>
      <c r="D338" s="172">
        <v>-0.708799578341892</v>
      </c>
      <c r="E338" s="171"/>
      <c r="F338" s="173"/>
      <c r="J338">
        <v>99</v>
      </c>
      <c r="K338" s="35">
        <v>54.798719298337076</v>
      </c>
    </row>
    <row r="339" spans="1:11">
      <c r="A339" s="171"/>
      <c r="B339" s="172"/>
      <c r="C339" s="172"/>
      <c r="D339" s="172"/>
      <c r="E339" s="171"/>
      <c r="F339" s="174"/>
      <c r="J339">
        <v>172</v>
      </c>
      <c r="K339" s="35">
        <v>53.026975700344195</v>
      </c>
    </row>
    <row r="340" spans="1:11">
      <c r="A340" s="171"/>
      <c r="B340" s="172">
        <v>-1.0419123890112216</v>
      </c>
      <c r="C340" s="172">
        <v>4.0818532431212473E-2</v>
      </c>
      <c r="D340" s="172">
        <v>-0.77248383184656022</v>
      </c>
      <c r="E340" s="171"/>
      <c r="F340" s="173"/>
      <c r="J340">
        <v>239</v>
      </c>
      <c r="K340" s="35">
        <v>52.914300823005625</v>
      </c>
    </row>
    <row r="341" spans="1:11">
      <c r="A341" s="171" t="s">
        <v>296</v>
      </c>
      <c r="B341" s="172">
        <v>-2.0770709056556562</v>
      </c>
      <c r="C341" s="172">
        <v>2.1445635165533226</v>
      </c>
      <c r="D341" s="172">
        <v>5.6653180844775664E-2</v>
      </c>
      <c r="E341" s="171"/>
      <c r="F341" s="173">
        <f>MCond(B340:D342)</f>
        <v>6.3906270108779077</v>
      </c>
      <c r="J341">
        <v>137</v>
      </c>
      <c r="K341" s="35">
        <v>50.896502091007278</v>
      </c>
    </row>
    <row r="342" spans="1:11">
      <c r="A342" s="171"/>
      <c r="B342" s="172">
        <v>-0.45824053226673911</v>
      </c>
      <c r="C342" s="172">
        <v>2.124969022302313</v>
      </c>
      <c r="D342" s="172">
        <v>-2.076961144994538E-2</v>
      </c>
      <c r="E342" s="171"/>
      <c r="F342" s="173"/>
      <c r="J342">
        <v>52</v>
      </c>
      <c r="K342" s="35">
        <v>49.448565792947846</v>
      </c>
    </row>
    <row r="343" spans="1:11">
      <c r="A343" s="171"/>
      <c r="B343" s="172"/>
      <c r="C343" s="172"/>
      <c r="D343" s="172"/>
      <c r="E343" s="171"/>
      <c r="F343" s="174"/>
      <c r="J343">
        <v>193</v>
      </c>
      <c r="K343" s="35">
        <v>49.247927504726903</v>
      </c>
    </row>
    <row r="344" spans="1:11">
      <c r="A344" s="171"/>
      <c r="B344" s="172">
        <v>-1.0419123890112216</v>
      </c>
      <c r="C344" s="172">
        <v>4.0818532431212473E-2</v>
      </c>
      <c r="D344" s="172">
        <v>-0.77248383184656022</v>
      </c>
      <c r="E344" s="171"/>
      <c r="F344" s="173"/>
      <c r="J344">
        <v>198</v>
      </c>
      <c r="K344" s="35">
        <v>48.308554874402986</v>
      </c>
    </row>
    <row r="345" spans="1:11">
      <c r="A345" s="171" t="s">
        <v>297</v>
      </c>
      <c r="B345" s="172">
        <v>-2.0770709056556562</v>
      </c>
      <c r="C345" s="172">
        <v>2.1445635165533226</v>
      </c>
      <c r="D345" s="172">
        <v>5.6653180844775664E-2</v>
      </c>
      <c r="E345" s="171"/>
      <c r="F345" s="173">
        <f>MCond(B344:D346)</f>
        <v>4.7098691394570427</v>
      </c>
      <c r="J345">
        <v>228</v>
      </c>
      <c r="K345" s="35">
        <v>46.088572117461673</v>
      </c>
    </row>
    <row r="346" spans="1:11">
      <c r="A346" s="171"/>
      <c r="B346" s="172">
        <v>-1.0673702345396179</v>
      </c>
      <c r="C346" s="172">
        <v>2.4075843796929846</v>
      </c>
      <c r="D346" s="172">
        <v>-0.708799578341892</v>
      </c>
      <c r="E346" s="171"/>
      <c r="F346" s="173"/>
      <c r="J346">
        <v>196</v>
      </c>
      <c r="K346" s="35">
        <v>45.152375765832033</v>
      </c>
    </row>
    <row r="347" spans="1:11">
      <c r="A347" s="171"/>
      <c r="B347" s="172"/>
      <c r="C347" s="172"/>
      <c r="D347" s="172"/>
      <c r="E347" s="171"/>
      <c r="F347" s="174"/>
      <c r="J347">
        <v>125</v>
      </c>
      <c r="K347" s="35">
        <v>41.827755997562726</v>
      </c>
    </row>
    <row r="348" spans="1:11">
      <c r="A348" s="171"/>
      <c r="B348" s="172">
        <v>-1.0419123890112216</v>
      </c>
      <c r="C348" s="172">
        <v>4.0818532431212473E-2</v>
      </c>
      <c r="D348" s="172">
        <v>-0.77248383184656022</v>
      </c>
      <c r="E348" s="171"/>
      <c r="F348" s="173"/>
      <c r="J348">
        <v>122</v>
      </c>
      <c r="K348" s="35">
        <v>41.479009433576415</v>
      </c>
    </row>
    <row r="349" spans="1:11">
      <c r="A349" s="171" t="s">
        <v>298</v>
      </c>
      <c r="B349" s="172">
        <v>-0.45824053226673911</v>
      </c>
      <c r="C349" s="172">
        <v>2.124969022302313</v>
      </c>
      <c r="D349" s="172">
        <v>-2.076961144994538E-2</v>
      </c>
      <c r="E349" s="171"/>
      <c r="F349" s="173">
        <f>MCond(B348:D350)</f>
        <v>26.01158928757074</v>
      </c>
      <c r="J349">
        <v>134</v>
      </c>
      <c r="K349" s="35">
        <v>38.193455921208319</v>
      </c>
    </row>
    <row r="350" spans="1:11">
      <c r="A350" s="171"/>
      <c r="B350" s="172">
        <v>-1.0673702345396179</v>
      </c>
      <c r="C350" s="172">
        <v>2.4075843796929846</v>
      </c>
      <c r="D350" s="172">
        <v>-0.708799578341892</v>
      </c>
      <c r="E350" s="171"/>
      <c r="F350" s="173"/>
      <c r="J350">
        <v>9</v>
      </c>
      <c r="K350" s="35">
        <v>37.099744408603527</v>
      </c>
    </row>
    <row r="351" spans="1:11">
      <c r="A351" s="171"/>
      <c r="B351" s="172"/>
      <c r="C351" s="172"/>
      <c r="D351" s="172"/>
      <c r="E351" s="171"/>
      <c r="F351" s="174"/>
      <c r="J351">
        <v>233</v>
      </c>
      <c r="K351" s="35">
        <v>36.89616878253937</v>
      </c>
    </row>
    <row r="352" spans="1:11">
      <c r="A352" s="171"/>
      <c r="B352" s="172">
        <v>-2.2957880185781296</v>
      </c>
      <c r="C352" s="172">
        <v>8.2263663034425338E-3</v>
      </c>
      <c r="D352" s="172">
        <v>-3.3137218009327896E-2</v>
      </c>
      <c r="E352" s="171"/>
      <c r="F352" s="173"/>
      <c r="J352">
        <v>207</v>
      </c>
      <c r="K352" s="35">
        <v>36.849822091727596</v>
      </c>
    </row>
    <row r="353" spans="1:11">
      <c r="A353" s="171" t="s">
        <v>299</v>
      </c>
      <c r="B353" s="172">
        <v>-2.44475956514645</v>
      </c>
      <c r="C353" s="172">
        <v>0.85548399177677847</v>
      </c>
      <c r="D353" s="172">
        <v>-5.2896656816179721E-2</v>
      </c>
      <c r="E353" s="171"/>
      <c r="F353" s="173">
        <f>MCond(B352:D354)</f>
        <v>227.7065416836075</v>
      </c>
      <c r="J353">
        <v>249</v>
      </c>
      <c r="K353" s="35">
        <v>36.492219185194912</v>
      </c>
    </row>
    <row r="354" spans="1:11">
      <c r="A354" s="171"/>
      <c r="B354" s="172">
        <v>0.40019020491700363</v>
      </c>
      <c r="C354" s="172">
        <v>1.0840062473010013</v>
      </c>
      <c r="D354" s="172">
        <v>1.6840506224230944E-2</v>
      </c>
      <c r="E354" s="171"/>
      <c r="F354" s="173"/>
      <c r="J354">
        <v>49</v>
      </c>
      <c r="K354" s="35">
        <v>35.843588743019239</v>
      </c>
    </row>
    <row r="355" spans="1:11">
      <c r="A355" s="171"/>
      <c r="B355" s="172"/>
      <c r="C355" s="172"/>
      <c r="D355" s="172"/>
      <c r="E355" s="171"/>
      <c r="F355" s="174"/>
      <c r="J355">
        <v>14</v>
      </c>
      <c r="K355" s="35">
        <v>35.570359419370689</v>
      </c>
    </row>
    <row r="356" spans="1:11">
      <c r="A356" s="171"/>
      <c r="B356" s="172">
        <v>-2.2957880185781296</v>
      </c>
      <c r="C356" s="172">
        <v>8.2263663034425338E-3</v>
      </c>
      <c r="D356" s="172">
        <v>-3.3137218009327896E-2</v>
      </c>
      <c r="E356" s="171"/>
      <c r="F356" s="173"/>
      <c r="J356">
        <v>237</v>
      </c>
      <c r="K356" s="35">
        <v>33.712309903347119</v>
      </c>
    </row>
    <row r="357" spans="1:11">
      <c r="A357" s="171" t="s">
        <v>300</v>
      </c>
      <c r="B357" s="172">
        <v>-2.44475956514645</v>
      </c>
      <c r="C357" s="172">
        <v>0.85548399177677847</v>
      </c>
      <c r="D357" s="172">
        <v>-5.2896656816179721E-2</v>
      </c>
      <c r="E357" s="171"/>
      <c r="F357" s="173">
        <f>MCond(B356:D358)</f>
        <v>107.48734647321321</v>
      </c>
      <c r="J357">
        <v>202</v>
      </c>
      <c r="K357" s="35">
        <v>33.069426713699293</v>
      </c>
    </row>
    <row r="358" spans="1:11">
      <c r="A358" s="171"/>
      <c r="B358" s="172">
        <v>-2.0770709056556562</v>
      </c>
      <c r="C358" s="172">
        <v>2.1445635165533226</v>
      </c>
      <c r="D358" s="172">
        <v>5.6653180844775664E-2</v>
      </c>
      <c r="E358" s="171"/>
      <c r="F358" s="173"/>
      <c r="J358">
        <v>128</v>
      </c>
      <c r="K358" s="35">
        <v>32.637782807572336</v>
      </c>
    </row>
    <row r="359" spans="1:11">
      <c r="A359" s="171"/>
      <c r="B359" s="172"/>
      <c r="C359" s="172"/>
      <c r="D359" s="172"/>
      <c r="E359" s="171"/>
      <c r="F359" s="174"/>
      <c r="J359">
        <v>44</v>
      </c>
      <c r="K359" s="35">
        <v>31.543651568563895</v>
      </c>
    </row>
    <row r="360" spans="1:11">
      <c r="A360" s="171"/>
      <c r="B360" s="172">
        <v>-2.2957880185781296</v>
      </c>
      <c r="C360" s="172">
        <v>8.2263663034425338E-3</v>
      </c>
      <c r="D360" s="172">
        <v>-3.3137218009327896E-2</v>
      </c>
      <c r="E360" s="171"/>
      <c r="F360" s="173"/>
      <c r="J360">
        <v>180</v>
      </c>
      <c r="K360" s="35">
        <v>30.732928259329775</v>
      </c>
    </row>
    <row r="361" spans="1:11">
      <c r="A361" s="171" t="s">
        <v>301</v>
      </c>
      <c r="B361" s="172">
        <v>-2.44475956514645</v>
      </c>
      <c r="C361" s="172">
        <v>0.85548399177677847</v>
      </c>
      <c r="D361" s="172">
        <v>-5.2896656816179721E-2</v>
      </c>
      <c r="E361" s="171"/>
      <c r="F361" s="173">
        <f>MCond(B360:D362)</f>
        <v>435.33148403717917</v>
      </c>
      <c r="J361">
        <v>242</v>
      </c>
      <c r="K361" s="35">
        <v>30.68925723895747</v>
      </c>
    </row>
    <row r="362" spans="1:11">
      <c r="A362" s="171"/>
      <c r="B362" s="172">
        <v>-0.45824053226673911</v>
      </c>
      <c r="C362" s="172">
        <v>2.124969022302313</v>
      </c>
      <c r="D362" s="172">
        <v>-2.076961144994538E-2</v>
      </c>
      <c r="E362" s="171"/>
      <c r="F362" s="173"/>
      <c r="J362">
        <v>252</v>
      </c>
      <c r="K362" s="35">
        <v>27.264608409535779</v>
      </c>
    </row>
    <row r="363" spans="1:11">
      <c r="A363" s="171"/>
      <c r="B363" s="172"/>
      <c r="C363" s="172"/>
      <c r="D363" s="172"/>
      <c r="E363" s="171"/>
      <c r="F363" s="174"/>
      <c r="J363">
        <v>110</v>
      </c>
      <c r="K363" s="35">
        <v>26.099112239465395</v>
      </c>
    </row>
    <row r="364" spans="1:11">
      <c r="A364" s="171"/>
      <c r="B364" s="172">
        <v>-2.2957880185781296</v>
      </c>
      <c r="C364" s="172">
        <v>8.2263663034425338E-3</v>
      </c>
      <c r="D364" s="172">
        <v>-3.3137218009327896E-2</v>
      </c>
      <c r="E364" s="171"/>
      <c r="F364" s="173"/>
      <c r="J364">
        <v>85</v>
      </c>
      <c r="K364" s="35">
        <v>26.01158928757074</v>
      </c>
    </row>
    <row r="365" spans="1:11">
      <c r="A365" s="171" t="s">
        <v>302</v>
      </c>
      <c r="B365" s="172">
        <v>-2.44475956514645</v>
      </c>
      <c r="C365" s="172">
        <v>0.85548399177677847</v>
      </c>
      <c r="D365" s="172">
        <v>-5.2896656816179721E-2</v>
      </c>
      <c r="E365" s="171"/>
      <c r="F365" s="173">
        <f>MCond(B364:D366)</f>
        <v>24.930718886766446</v>
      </c>
      <c r="J365">
        <v>261</v>
      </c>
      <c r="K365" s="35">
        <v>25.249585470075854</v>
      </c>
    </row>
    <row r="366" spans="1:11">
      <c r="A366" s="171"/>
      <c r="B366" s="172">
        <v>-1.0673702345396179</v>
      </c>
      <c r="C366" s="172">
        <v>2.4075843796929846</v>
      </c>
      <c r="D366" s="172">
        <v>-0.708799578341892</v>
      </c>
      <c r="E366" s="171"/>
      <c r="F366" s="173"/>
      <c r="J366">
        <v>177</v>
      </c>
      <c r="K366" s="35">
        <v>25.009188868397612</v>
      </c>
    </row>
    <row r="367" spans="1:11">
      <c r="A367" s="171"/>
      <c r="B367" s="172"/>
      <c r="C367" s="172"/>
      <c r="D367" s="172"/>
      <c r="E367" s="171"/>
      <c r="F367" s="174"/>
      <c r="J367">
        <v>89</v>
      </c>
      <c r="K367" s="35">
        <v>24.930718886766446</v>
      </c>
    </row>
    <row r="368" spans="1:11">
      <c r="A368" s="171"/>
      <c r="B368" s="172">
        <v>-2.2957880185781296</v>
      </c>
      <c r="C368" s="172">
        <v>8.2263663034425338E-3</v>
      </c>
      <c r="D368" s="172">
        <v>-3.3137218009327896E-2</v>
      </c>
      <c r="E368" s="171"/>
      <c r="F368" s="173"/>
      <c r="J368">
        <v>25</v>
      </c>
      <c r="K368" s="35">
        <v>24.848605975354669</v>
      </c>
    </row>
    <row r="369" spans="1:11">
      <c r="A369" s="171" t="s">
        <v>303</v>
      </c>
      <c r="B369" s="172">
        <v>0.40019020491700363</v>
      </c>
      <c r="C369" s="172">
        <v>1.0840062473010013</v>
      </c>
      <c r="D369" s="172">
        <v>1.6840506224230944E-2</v>
      </c>
      <c r="E369" s="171"/>
      <c r="F369" s="173">
        <f>MCond(B368:D370)</f>
        <v>137.0330195917372</v>
      </c>
      <c r="J369">
        <v>266</v>
      </c>
      <c r="K369" s="35">
        <v>24.622553140187737</v>
      </c>
    </row>
    <row r="370" spans="1:11">
      <c r="A370" s="171"/>
      <c r="B370" s="172">
        <v>-2.0770709056556562</v>
      </c>
      <c r="C370" s="172">
        <v>2.1445635165533226</v>
      </c>
      <c r="D370" s="172">
        <v>5.6653180844775664E-2</v>
      </c>
      <c r="E370" s="171"/>
      <c r="F370" s="173"/>
      <c r="J370">
        <v>254</v>
      </c>
      <c r="K370" s="35">
        <v>24.489132951843487</v>
      </c>
    </row>
    <row r="371" spans="1:11">
      <c r="A371" s="171"/>
      <c r="B371" s="172"/>
      <c r="C371" s="172"/>
      <c r="D371" s="172"/>
      <c r="E371" s="171"/>
      <c r="F371" s="174"/>
      <c r="J371">
        <v>7</v>
      </c>
      <c r="K371" s="35">
        <v>24.281240562435144</v>
      </c>
    </row>
    <row r="372" spans="1:11">
      <c r="A372" s="171"/>
      <c r="B372" s="172">
        <v>-2.2957880185781296</v>
      </c>
      <c r="C372" s="172">
        <v>8.2263663034425338E-3</v>
      </c>
      <c r="D372" s="172">
        <v>-3.3137218009327896E-2</v>
      </c>
      <c r="E372" s="171"/>
      <c r="F372" s="173"/>
      <c r="J372">
        <v>30</v>
      </c>
      <c r="K372" s="35">
        <v>21.390548698925272</v>
      </c>
    </row>
    <row r="373" spans="1:11">
      <c r="A373" s="171" t="s">
        <v>304</v>
      </c>
      <c r="B373" s="172">
        <v>0.40019020491700363</v>
      </c>
      <c r="C373" s="172">
        <v>1.0840062473010013</v>
      </c>
      <c r="D373" s="172">
        <v>1.6840506224230944E-2</v>
      </c>
      <c r="E373" s="171"/>
      <c r="F373" s="173">
        <f>MCond(B372:D374)</f>
        <v>157.71990388339927</v>
      </c>
      <c r="J373">
        <v>65</v>
      </c>
      <c r="K373" s="35">
        <v>21.170385241601402</v>
      </c>
    </row>
    <row r="374" spans="1:11">
      <c r="A374" s="171"/>
      <c r="B374" s="172">
        <v>-0.45824053226673911</v>
      </c>
      <c r="C374" s="172">
        <v>2.124969022302313</v>
      </c>
      <c r="D374" s="172">
        <v>-2.076961144994538E-2</v>
      </c>
      <c r="E374" s="171"/>
      <c r="F374" s="173"/>
      <c r="J374">
        <v>219</v>
      </c>
      <c r="K374" s="35">
        <v>19.829028382126939</v>
      </c>
    </row>
    <row r="375" spans="1:11">
      <c r="A375" s="171"/>
      <c r="B375" s="172"/>
      <c r="C375" s="172"/>
      <c r="D375" s="172"/>
      <c r="E375" s="171"/>
      <c r="F375" s="174"/>
      <c r="J375">
        <v>162</v>
      </c>
      <c r="K375" s="35">
        <v>19.571411138788417</v>
      </c>
    </row>
    <row r="376" spans="1:11">
      <c r="A376" s="171"/>
      <c r="B376" s="172">
        <v>-2.2957880185781296</v>
      </c>
      <c r="C376" s="172">
        <v>8.2263663034425338E-3</v>
      </c>
      <c r="D376" s="172">
        <v>-3.3137218009327896E-2</v>
      </c>
      <c r="E376" s="171"/>
      <c r="F376" s="173"/>
      <c r="J376">
        <v>57</v>
      </c>
      <c r="K376" s="35">
        <v>19.373118971201439</v>
      </c>
    </row>
    <row r="377" spans="1:11">
      <c r="A377" s="171" t="s">
        <v>305</v>
      </c>
      <c r="B377" s="172">
        <v>0.40019020491700363</v>
      </c>
      <c r="C377" s="172">
        <v>1.0840062473010013</v>
      </c>
      <c r="D377" s="172">
        <v>1.6840506224230944E-2</v>
      </c>
      <c r="E377" s="171"/>
      <c r="F377" s="173">
        <f>MCond(B376:D378)</f>
        <v>11.236298448789524</v>
      </c>
      <c r="J377">
        <v>22</v>
      </c>
      <c r="K377" s="35">
        <v>18.020767054039418</v>
      </c>
    </row>
    <row r="378" spans="1:11">
      <c r="A378" s="171"/>
      <c r="B378" s="172">
        <v>-1.0673702345396179</v>
      </c>
      <c r="C378" s="172">
        <v>2.4075843796929846</v>
      </c>
      <c r="D378" s="172">
        <v>-0.708799578341892</v>
      </c>
      <c r="E378" s="171"/>
      <c r="F378" s="173"/>
      <c r="J378">
        <v>262</v>
      </c>
      <c r="K378" s="35">
        <v>17.866956947533616</v>
      </c>
    </row>
    <row r="379" spans="1:11">
      <c r="A379" s="171"/>
      <c r="B379" s="172"/>
      <c r="C379" s="172"/>
      <c r="D379" s="172"/>
      <c r="E379" s="171"/>
      <c r="F379" s="174"/>
      <c r="J379">
        <v>256</v>
      </c>
      <c r="K379" s="35">
        <v>17.378066776989606</v>
      </c>
    </row>
    <row r="380" spans="1:11">
      <c r="A380" s="171"/>
      <c r="B380" s="172">
        <v>-2.2957880185781296</v>
      </c>
      <c r="C380" s="172">
        <v>8.2263663034425338E-3</v>
      </c>
      <c r="D380" s="172">
        <v>-3.3137218009327896E-2</v>
      </c>
      <c r="E380" s="171"/>
      <c r="F380" s="173"/>
      <c r="J380">
        <v>29</v>
      </c>
      <c r="K380" s="35">
        <v>16.234426054507814</v>
      </c>
    </row>
    <row r="381" spans="1:11">
      <c r="A381" s="171" t="s">
        <v>306</v>
      </c>
      <c r="B381" s="172">
        <v>-2.0770709056556562</v>
      </c>
      <c r="C381" s="172">
        <v>2.1445635165533226</v>
      </c>
      <c r="D381" s="172">
        <v>5.6653180844775664E-2</v>
      </c>
      <c r="E381" s="171"/>
      <c r="F381" s="173">
        <f>MCond(B380:D382)</f>
        <v>60.630725200579725</v>
      </c>
      <c r="J381">
        <v>265</v>
      </c>
      <c r="K381" s="35">
        <v>15.979311741978162</v>
      </c>
    </row>
    <row r="382" spans="1:11">
      <c r="A382" s="171"/>
      <c r="B382" s="172">
        <v>-0.45824053226673911</v>
      </c>
      <c r="C382" s="172">
        <v>2.124969022302313</v>
      </c>
      <c r="D382" s="172">
        <v>-2.076961144994538E-2</v>
      </c>
      <c r="E382" s="171"/>
      <c r="F382" s="173"/>
      <c r="J382">
        <v>197</v>
      </c>
      <c r="K382" s="35">
        <v>15.911611789340494</v>
      </c>
    </row>
    <row r="383" spans="1:11">
      <c r="A383" s="171"/>
      <c r="B383" s="172"/>
      <c r="C383" s="172"/>
      <c r="D383" s="172"/>
      <c r="E383" s="171"/>
      <c r="F383" s="174"/>
      <c r="J383">
        <v>54</v>
      </c>
      <c r="K383" s="35">
        <v>15.482311838444748</v>
      </c>
    </row>
    <row r="384" spans="1:11">
      <c r="A384" s="171"/>
      <c r="B384" s="172">
        <v>-2.2957880185781296</v>
      </c>
      <c r="C384" s="172">
        <v>8.2263663034425338E-3</v>
      </c>
      <c r="D384" s="172">
        <v>-3.3137218009327896E-2</v>
      </c>
      <c r="E384" s="171"/>
      <c r="F384" s="173"/>
      <c r="J384">
        <v>82</v>
      </c>
      <c r="K384" s="35">
        <v>15.029251889619651</v>
      </c>
    </row>
    <row r="385" spans="1:11">
      <c r="A385" s="171" t="s">
        <v>307</v>
      </c>
      <c r="B385" s="172">
        <v>-2.0770709056556562</v>
      </c>
      <c r="C385" s="172">
        <v>2.1445635165533226</v>
      </c>
      <c r="D385" s="172">
        <v>5.6653180844775664E-2</v>
      </c>
      <c r="E385" s="171"/>
      <c r="F385" s="173">
        <f>MCond(B384:D386)</f>
        <v>8.7267189339788906</v>
      </c>
      <c r="J385">
        <v>221</v>
      </c>
      <c r="K385" s="35">
        <v>15.003266209049313</v>
      </c>
    </row>
    <row r="386" spans="1:11">
      <c r="A386" s="171"/>
      <c r="B386" s="172">
        <v>-1.0673702345396179</v>
      </c>
      <c r="C386" s="172">
        <v>2.4075843796929846</v>
      </c>
      <c r="D386" s="172">
        <v>-0.708799578341892</v>
      </c>
      <c r="E386" s="171"/>
      <c r="F386" s="173"/>
      <c r="J386">
        <v>212</v>
      </c>
      <c r="K386" s="35">
        <v>14.956503161585864</v>
      </c>
    </row>
    <row r="387" spans="1:11">
      <c r="A387" s="171"/>
      <c r="B387" s="172"/>
      <c r="C387" s="172"/>
      <c r="D387" s="172"/>
      <c r="E387" s="171"/>
      <c r="F387" s="174"/>
      <c r="J387">
        <v>42</v>
      </c>
      <c r="K387" s="35">
        <v>14.924598791824929</v>
      </c>
    </row>
    <row r="388" spans="1:11">
      <c r="A388" s="171"/>
      <c r="B388" s="172">
        <v>-2.2957880185781296</v>
      </c>
      <c r="C388" s="172">
        <v>8.2263663034425338E-3</v>
      </c>
      <c r="D388" s="172">
        <v>-3.3137218009327896E-2</v>
      </c>
      <c r="E388" s="171"/>
      <c r="F388" s="173"/>
      <c r="J388">
        <v>133</v>
      </c>
      <c r="K388" s="35">
        <v>14.309656637068336</v>
      </c>
    </row>
    <row r="389" spans="1:11">
      <c r="A389" s="171" t="s">
        <v>308</v>
      </c>
      <c r="B389" s="172">
        <v>-0.45824053226673911</v>
      </c>
      <c r="C389" s="172">
        <v>2.124969022302313</v>
      </c>
      <c r="D389" s="172">
        <v>-2.076961144994538E-2</v>
      </c>
      <c r="E389" s="171"/>
      <c r="F389" s="173">
        <f>MCond(B388:D390)</f>
        <v>8.1773167465735472</v>
      </c>
      <c r="J389">
        <v>63</v>
      </c>
      <c r="K389" s="35">
        <v>14.280317337938845</v>
      </c>
    </row>
    <row r="390" spans="1:11">
      <c r="A390" s="171"/>
      <c r="B390" s="172">
        <v>-1.0673702345396179</v>
      </c>
      <c r="C390" s="172">
        <v>2.4075843796929846</v>
      </c>
      <c r="D390" s="172">
        <v>-0.708799578341892</v>
      </c>
      <c r="E390" s="171"/>
      <c r="F390" s="173"/>
      <c r="J390">
        <v>149</v>
      </c>
      <c r="K390" s="35">
        <v>14.088858695576636</v>
      </c>
    </row>
    <row r="391" spans="1:11">
      <c r="A391" s="171"/>
      <c r="B391" s="172"/>
      <c r="C391" s="172"/>
      <c r="D391" s="172"/>
      <c r="E391" s="171"/>
      <c r="F391" s="174"/>
      <c r="J391">
        <v>188</v>
      </c>
      <c r="K391" s="35">
        <v>14.023075414159493</v>
      </c>
    </row>
    <row r="392" spans="1:11">
      <c r="A392" s="171"/>
      <c r="B392" s="172">
        <v>-2.44475956514645</v>
      </c>
      <c r="C392" s="172">
        <v>0.85548399177677847</v>
      </c>
      <c r="D392" s="172">
        <v>-5.2896656816179721E-2</v>
      </c>
      <c r="E392" s="171"/>
      <c r="F392" s="173"/>
      <c r="J392">
        <v>32</v>
      </c>
      <c r="K392" s="35">
        <v>13.908174758807807</v>
      </c>
    </row>
    <row r="393" spans="1:11">
      <c r="A393" s="171" t="s">
        <v>309</v>
      </c>
      <c r="B393" s="172">
        <v>0.40019020491700363</v>
      </c>
      <c r="C393" s="172">
        <v>1.0840062473010013</v>
      </c>
      <c r="D393" s="172">
        <v>1.6840506224230944E-2</v>
      </c>
      <c r="E393" s="171"/>
      <c r="F393" s="173">
        <f>MCond(B392:D394)</f>
        <v>77.582923469237784</v>
      </c>
      <c r="J393">
        <v>34</v>
      </c>
      <c r="K393" s="35">
        <v>13.812589110219603</v>
      </c>
    </row>
    <row r="394" spans="1:11">
      <c r="A394" s="171"/>
      <c r="B394" s="172">
        <v>-2.0770709056556562</v>
      </c>
      <c r="C394" s="172">
        <v>2.1445635165533226</v>
      </c>
      <c r="D394" s="172">
        <v>5.6653180844775664E-2</v>
      </c>
      <c r="E394" s="171"/>
      <c r="F394" s="173"/>
      <c r="J394">
        <v>119</v>
      </c>
      <c r="K394" s="35">
        <v>13.161138632442416</v>
      </c>
    </row>
    <row r="395" spans="1:11">
      <c r="A395" s="171"/>
      <c r="B395" s="172"/>
      <c r="C395" s="172"/>
      <c r="D395" s="172"/>
      <c r="E395" s="171"/>
      <c r="F395" s="174"/>
      <c r="J395">
        <v>124</v>
      </c>
      <c r="K395" s="35">
        <v>13.015143058743432</v>
      </c>
    </row>
    <row r="396" spans="1:11">
      <c r="A396" s="171"/>
      <c r="B396" s="172">
        <v>-2.44475956514645</v>
      </c>
      <c r="C396" s="172">
        <v>0.85548399177677847</v>
      </c>
      <c r="D396" s="172">
        <v>-5.2896656816179721E-2</v>
      </c>
      <c r="E396" s="171"/>
      <c r="F396" s="173"/>
      <c r="J396">
        <v>69</v>
      </c>
      <c r="K396" s="35">
        <v>13.005132427828926</v>
      </c>
    </row>
    <row r="397" spans="1:11">
      <c r="A397" s="171" t="s">
        <v>310</v>
      </c>
      <c r="B397" s="172">
        <v>0.40019020491700363</v>
      </c>
      <c r="C397" s="172">
        <v>1.0840062473010013</v>
      </c>
      <c r="D397" s="172">
        <v>1.6840506224230944E-2</v>
      </c>
      <c r="E397" s="171"/>
      <c r="F397" s="173">
        <f>MCond(B396:D398)</f>
        <v>243.43943945414657</v>
      </c>
      <c r="J397">
        <v>217</v>
      </c>
      <c r="K397" s="35">
        <v>12.875006476495159</v>
      </c>
    </row>
    <row r="398" spans="1:11">
      <c r="A398" s="171"/>
      <c r="B398" s="172">
        <v>-0.45824053226673911</v>
      </c>
      <c r="C398" s="172">
        <v>2.124969022302313</v>
      </c>
      <c r="D398" s="172">
        <v>-2.076961144994538E-2</v>
      </c>
      <c r="E398" s="171"/>
      <c r="F398" s="173"/>
      <c r="J398">
        <v>187</v>
      </c>
      <c r="K398" s="35">
        <v>12.611025430513319</v>
      </c>
    </row>
    <row r="399" spans="1:11">
      <c r="A399" s="171"/>
      <c r="B399" s="172"/>
      <c r="C399" s="172"/>
      <c r="D399" s="172"/>
      <c r="E399" s="171"/>
      <c r="F399" s="174"/>
      <c r="J399">
        <v>104</v>
      </c>
      <c r="K399" s="35">
        <v>12.299736121719162</v>
      </c>
    </row>
    <row r="400" spans="1:11">
      <c r="A400" s="171"/>
      <c r="B400" s="172">
        <v>-2.44475956514645</v>
      </c>
      <c r="C400" s="172">
        <v>0.85548399177677847</v>
      </c>
      <c r="D400" s="172">
        <v>-5.2896656816179721E-2</v>
      </c>
      <c r="E400" s="171"/>
      <c r="F400" s="173"/>
      <c r="J400">
        <v>21</v>
      </c>
      <c r="K400" s="35">
        <v>12.13640308765223</v>
      </c>
    </row>
    <row r="401" spans="1:11">
      <c r="A401" s="171" t="s">
        <v>311</v>
      </c>
      <c r="B401" s="172">
        <v>0.40019020491700363</v>
      </c>
      <c r="C401" s="172">
        <v>1.0840062473010013</v>
      </c>
      <c r="D401" s="172">
        <v>1.6840506224230944E-2</v>
      </c>
      <c r="E401" s="171"/>
      <c r="F401" s="173">
        <f>MCond(B400:D402)</f>
        <v>10.517949300669882</v>
      </c>
      <c r="J401">
        <v>271</v>
      </c>
      <c r="K401" s="35">
        <v>12.100449578887144</v>
      </c>
    </row>
    <row r="402" spans="1:11">
      <c r="A402" s="171"/>
      <c r="B402" s="172">
        <v>-1.0673702345396179</v>
      </c>
      <c r="C402" s="172">
        <v>2.4075843796929846</v>
      </c>
      <c r="D402" s="172">
        <v>-0.708799578341892</v>
      </c>
      <c r="E402" s="171"/>
      <c r="F402" s="173"/>
      <c r="J402">
        <v>182</v>
      </c>
      <c r="K402" s="35">
        <v>11.431778758175978</v>
      </c>
    </row>
    <row r="403" spans="1:11">
      <c r="A403" s="171"/>
      <c r="B403" s="172"/>
      <c r="C403" s="172"/>
      <c r="D403" s="172"/>
      <c r="E403" s="171"/>
      <c r="F403" s="174"/>
      <c r="J403">
        <v>275</v>
      </c>
      <c r="K403" s="35">
        <v>11.385227489967416</v>
      </c>
    </row>
    <row r="404" spans="1:11">
      <c r="A404" s="171"/>
      <c r="B404" s="172">
        <v>-2.44475956514645</v>
      </c>
      <c r="C404" s="172">
        <v>0.85548399177677847</v>
      </c>
      <c r="D404" s="172">
        <v>-5.2896656816179721E-2</v>
      </c>
      <c r="E404" s="171"/>
      <c r="F404" s="173"/>
      <c r="J404">
        <v>159</v>
      </c>
      <c r="K404" s="35">
        <v>11.339490785679912</v>
      </c>
    </row>
    <row r="405" spans="1:11">
      <c r="A405" s="171" t="s">
        <v>312</v>
      </c>
      <c r="B405" s="172">
        <v>-2.0770709056556562</v>
      </c>
      <c r="C405" s="172">
        <v>2.1445635165533226</v>
      </c>
      <c r="D405" s="172">
        <v>5.6653180844775664E-2</v>
      </c>
      <c r="E405" s="171"/>
      <c r="F405" s="173">
        <f>MCond(B404:D406)</f>
        <v>54.798719298337076</v>
      </c>
      <c r="J405">
        <v>92</v>
      </c>
      <c r="K405" s="35">
        <v>11.236298448789524</v>
      </c>
    </row>
    <row r="406" spans="1:11">
      <c r="A406" s="171"/>
      <c r="B406" s="172">
        <v>-0.45824053226673911</v>
      </c>
      <c r="C406" s="172">
        <v>2.124969022302313</v>
      </c>
      <c r="D406" s="172">
        <v>-2.076961144994538E-2</v>
      </c>
      <c r="E406" s="171"/>
      <c r="F406" s="173"/>
      <c r="J406">
        <v>150</v>
      </c>
      <c r="K406" s="35">
        <v>10.969037156132696</v>
      </c>
    </row>
    <row r="407" spans="1:11">
      <c r="A407" s="171"/>
      <c r="B407" s="172"/>
      <c r="C407" s="172"/>
      <c r="D407" s="172"/>
      <c r="E407" s="171"/>
      <c r="F407" s="174"/>
      <c r="J407">
        <v>129</v>
      </c>
      <c r="K407" s="35">
        <v>10.964478005785088</v>
      </c>
    </row>
    <row r="408" spans="1:11">
      <c r="A408" s="171"/>
      <c r="B408" s="172">
        <v>-2.44475956514645</v>
      </c>
      <c r="C408" s="172">
        <v>0.85548399177677847</v>
      </c>
      <c r="D408" s="172">
        <v>-5.2896656816179721E-2</v>
      </c>
      <c r="E408" s="171"/>
      <c r="F408" s="173"/>
      <c r="J408">
        <v>100</v>
      </c>
      <c r="K408" s="35">
        <v>10.938849692911305</v>
      </c>
    </row>
    <row r="409" spans="1:11">
      <c r="A409" s="171" t="s">
        <v>313</v>
      </c>
      <c r="B409" s="172">
        <v>-2.0770709056556562</v>
      </c>
      <c r="C409" s="172">
        <v>2.1445635165533226</v>
      </c>
      <c r="D409" s="172">
        <v>5.6653180844775664E-2</v>
      </c>
      <c r="E409" s="171"/>
      <c r="F409" s="173">
        <f>MCond(B408:D410)</f>
        <v>10.938849692911305</v>
      </c>
      <c r="J409">
        <v>139</v>
      </c>
      <c r="K409" s="35">
        <v>10.927909861320535</v>
      </c>
    </row>
    <row r="410" spans="1:11">
      <c r="A410" s="171"/>
      <c r="B410" s="172">
        <v>-1.0673702345396179</v>
      </c>
      <c r="C410" s="172">
        <v>2.4075843796929846</v>
      </c>
      <c r="D410" s="172">
        <v>-0.708799578341892</v>
      </c>
      <c r="E410" s="171"/>
      <c r="F410" s="173"/>
      <c r="J410">
        <v>153</v>
      </c>
      <c r="K410" s="35">
        <v>10.911698904326556</v>
      </c>
    </row>
    <row r="411" spans="1:11">
      <c r="A411" s="171"/>
      <c r="B411" s="172"/>
      <c r="C411" s="172"/>
      <c r="D411" s="172"/>
      <c r="E411" s="171"/>
      <c r="F411" s="174"/>
      <c r="J411">
        <v>186</v>
      </c>
      <c r="K411" s="35">
        <v>10.838976396829279</v>
      </c>
    </row>
    <row r="412" spans="1:11">
      <c r="A412" s="171"/>
      <c r="B412" s="172">
        <v>-2.44475956514645</v>
      </c>
      <c r="C412" s="172">
        <v>0.85548399177677847</v>
      </c>
      <c r="D412" s="172">
        <v>-5.2896656816179721E-2</v>
      </c>
      <c r="E412" s="171"/>
      <c r="F412" s="173"/>
      <c r="J412">
        <v>118</v>
      </c>
      <c r="K412" s="35">
        <v>10.814350744949346</v>
      </c>
    </row>
    <row r="413" spans="1:11">
      <c r="A413" s="171" t="s">
        <v>314</v>
      </c>
      <c r="B413" s="172">
        <v>-0.45824053226673911</v>
      </c>
      <c r="C413" s="172">
        <v>2.124969022302313</v>
      </c>
      <c r="D413" s="172">
        <v>-2.076961144994538E-2</v>
      </c>
      <c r="E413" s="171"/>
      <c r="F413" s="173">
        <f>MCond(B412:D414)</f>
        <v>8.6070566754854791</v>
      </c>
      <c r="J413">
        <v>127</v>
      </c>
      <c r="K413" s="35">
        <v>10.782827837381458</v>
      </c>
    </row>
    <row r="414" spans="1:11">
      <c r="A414" s="171"/>
      <c r="B414" s="172">
        <v>-1.0673702345396179</v>
      </c>
      <c r="C414" s="172">
        <v>2.4075843796929846</v>
      </c>
      <c r="D414" s="172">
        <v>-0.708799578341892</v>
      </c>
      <c r="E414" s="171"/>
      <c r="F414" s="173"/>
      <c r="J414">
        <v>232</v>
      </c>
      <c r="K414" s="35">
        <v>10.595880661889572</v>
      </c>
    </row>
    <row r="415" spans="1:11">
      <c r="A415" s="171"/>
      <c r="B415" s="172"/>
      <c r="C415" s="172"/>
      <c r="D415" s="172"/>
      <c r="E415" s="171"/>
      <c r="F415" s="174"/>
      <c r="J415">
        <v>98</v>
      </c>
      <c r="K415" s="35">
        <v>10.517949300669882</v>
      </c>
    </row>
    <row r="416" spans="1:11">
      <c r="A416" s="171"/>
      <c r="B416" s="172">
        <v>0.40019020491700363</v>
      </c>
      <c r="C416" s="172">
        <v>1.0840062473010013</v>
      </c>
      <c r="D416" s="172">
        <v>1.6840506224230944E-2</v>
      </c>
      <c r="E416" s="171"/>
      <c r="F416" s="173"/>
      <c r="J416">
        <v>142</v>
      </c>
      <c r="K416" s="35">
        <v>10.502318144486368</v>
      </c>
    </row>
    <row r="417" spans="1:11">
      <c r="A417" s="171" t="s">
        <v>315</v>
      </c>
      <c r="B417" s="172">
        <v>-2.0770709056556562</v>
      </c>
      <c r="C417" s="172">
        <v>2.1445635165533226</v>
      </c>
      <c r="D417" s="172">
        <v>5.6653180844775664E-2</v>
      </c>
      <c r="E417" s="171"/>
      <c r="F417" s="173">
        <f>MCond(B416:D418)</f>
        <v>88.262830753422278</v>
      </c>
      <c r="J417">
        <v>66</v>
      </c>
      <c r="K417" s="35">
        <v>10.1367998366946</v>
      </c>
    </row>
    <row r="418" spans="1:11">
      <c r="A418" s="171"/>
      <c r="B418" s="172">
        <v>-0.45824053226673911</v>
      </c>
      <c r="C418" s="172">
        <v>2.124969022302313</v>
      </c>
      <c r="D418" s="172">
        <v>-2.076961144994538E-2</v>
      </c>
      <c r="E418" s="171"/>
      <c r="F418" s="173"/>
      <c r="J418">
        <v>259</v>
      </c>
      <c r="K418" s="35">
        <v>10.029851549914012</v>
      </c>
    </row>
    <row r="419" spans="1:11">
      <c r="A419" s="171"/>
      <c r="B419" s="172"/>
      <c r="C419" s="172"/>
      <c r="D419" s="172"/>
      <c r="E419" s="171"/>
      <c r="F419" s="174"/>
      <c r="J419">
        <v>108</v>
      </c>
      <c r="K419" s="35">
        <v>9.9372843807971485</v>
      </c>
    </row>
    <row r="420" spans="1:11">
      <c r="A420" s="171"/>
      <c r="B420" s="172">
        <v>0.40019020491700363</v>
      </c>
      <c r="C420" s="172">
        <v>1.0840062473010013</v>
      </c>
      <c r="D420" s="172">
        <v>1.6840506224230944E-2</v>
      </c>
      <c r="E420" s="171"/>
      <c r="F420" s="173"/>
      <c r="J420">
        <v>60</v>
      </c>
      <c r="K420" s="35">
        <v>9.7216302727657062</v>
      </c>
    </row>
    <row r="421" spans="1:11">
      <c r="A421" s="171" t="s">
        <v>316</v>
      </c>
      <c r="B421" s="172">
        <v>-2.0770709056556562</v>
      </c>
      <c r="C421" s="172">
        <v>2.1445635165533226</v>
      </c>
      <c r="D421" s="172">
        <v>5.6653180844775664E-2</v>
      </c>
      <c r="E421" s="171"/>
      <c r="F421" s="173">
        <f>MCond(B420:D422)</f>
        <v>8.1126859890305525</v>
      </c>
      <c r="J421">
        <v>267</v>
      </c>
      <c r="K421" s="35">
        <v>9.6873396835531249</v>
      </c>
    </row>
    <row r="422" spans="1:11">
      <c r="A422" s="171"/>
      <c r="B422" s="172">
        <v>-1.0673702345396179</v>
      </c>
      <c r="C422" s="172">
        <v>2.4075843796929846</v>
      </c>
      <c r="D422" s="172">
        <v>-0.708799578341892</v>
      </c>
      <c r="E422" s="171"/>
      <c r="F422" s="173"/>
      <c r="J422">
        <v>155</v>
      </c>
      <c r="K422" s="35">
        <v>9.3131735466476471</v>
      </c>
    </row>
    <row r="423" spans="1:11">
      <c r="A423" s="171"/>
      <c r="B423" s="172"/>
      <c r="C423" s="172"/>
      <c r="D423" s="172"/>
      <c r="E423" s="171"/>
      <c r="F423" s="174"/>
      <c r="J423">
        <v>175</v>
      </c>
      <c r="K423" s="35">
        <v>9.1035115127969473</v>
      </c>
    </row>
    <row r="424" spans="1:11">
      <c r="A424" s="171"/>
      <c r="B424" s="172">
        <v>0.40019020491700363</v>
      </c>
      <c r="C424" s="172">
        <v>1.0840062473010013</v>
      </c>
      <c r="D424" s="172">
        <v>1.6840506224230944E-2</v>
      </c>
      <c r="E424" s="171"/>
      <c r="F424" s="173"/>
      <c r="J424">
        <v>116</v>
      </c>
      <c r="K424" s="35">
        <v>8.9992558577730577</v>
      </c>
    </row>
    <row r="425" spans="1:11">
      <c r="A425" s="171" t="s">
        <v>317</v>
      </c>
      <c r="B425" s="172">
        <v>-0.45824053226673911</v>
      </c>
      <c r="C425" s="172">
        <v>2.124969022302313</v>
      </c>
      <c r="D425" s="172">
        <v>-2.076961144994538E-2</v>
      </c>
      <c r="E425" s="171"/>
      <c r="F425" s="173">
        <f>MCond(B424:D426)</f>
        <v>12.299736121719162</v>
      </c>
      <c r="J425">
        <v>168</v>
      </c>
      <c r="K425" s="35">
        <v>8.9880513431210201</v>
      </c>
    </row>
    <row r="426" spans="1:11">
      <c r="A426" s="171"/>
      <c r="B426" s="172">
        <v>-1.0673702345396179</v>
      </c>
      <c r="C426" s="172">
        <v>2.4075843796929846</v>
      </c>
      <c r="D426" s="172">
        <v>-0.708799578341892</v>
      </c>
      <c r="E426" s="171"/>
      <c r="F426" s="173"/>
      <c r="J426">
        <v>214</v>
      </c>
      <c r="K426" s="35">
        <v>8.8485901024953062</v>
      </c>
    </row>
    <row r="427" spans="1:11">
      <c r="A427" s="171"/>
      <c r="B427" s="172"/>
      <c r="C427" s="172"/>
      <c r="D427" s="172"/>
      <c r="E427" s="171"/>
      <c r="F427" s="174"/>
      <c r="J427">
        <v>174</v>
      </c>
      <c r="K427" s="35">
        <v>8.8256455143170687</v>
      </c>
    </row>
    <row r="428" spans="1:11">
      <c r="A428" s="171"/>
      <c r="B428" s="172">
        <v>-2.0770709056556562</v>
      </c>
      <c r="C428" s="172">
        <v>2.1445635165533226</v>
      </c>
      <c r="D428" s="172">
        <v>5.6653180844775664E-2</v>
      </c>
      <c r="E428" s="171"/>
      <c r="F428" s="173"/>
      <c r="J428">
        <v>8</v>
      </c>
      <c r="K428" s="35">
        <v>8.8077991376995399</v>
      </c>
    </row>
    <row r="429" spans="1:11">
      <c r="A429" s="171" t="s">
        <v>318</v>
      </c>
      <c r="B429" s="172">
        <v>-0.45824053226673911</v>
      </c>
      <c r="C429" s="172">
        <v>2.124969022302313</v>
      </c>
      <c r="D429" s="172">
        <v>-2.076961144994538E-2</v>
      </c>
      <c r="E429" s="171"/>
      <c r="F429" s="173">
        <f>MCond(B428:D430)</f>
        <v>8.5693135695380551</v>
      </c>
      <c r="J429">
        <v>210</v>
      </c>
      <c r="K429" s="35">
        <v>8.7645356999874178</v>
      </c>
    </row>
    <row r="430" spans="1:11">
      <c r="A430" s="171"/>
      <c r="B430" s="172">
        <v>-1.0673702345396179</v>
      </c>
      <c r="C430" s="172">
        <v>2.4075843796929846</v>
      </c>
      <c r="D430" s="172">
        <v>-0.708799578341892</v>
      </c>
      <c r="E430" s="171"/>
      <c r="F430" s="173"/>
      <c r="J430">
        <v>173</v>
      </c>
      <c r="K430" s="35">
        <v>8.7470632700269135</v>
      </c>
    </row>
    <row r="431" spans="1:11">
      <c r="A431" s="171"/>
      <c r="B431" s="172"/>
      <c r="C431" s="172"/>
      <c r="D431" s="172"/>
      <c r="E431" s="171"/>
      <c r="F431" s="174"/>
      <c r="J431">
        <v>94</v>
      </c>
      <c r="K431" s="35">
        <v>8.7267189339788906</v>
      </c>
    </row>
    <row r="432" spans="1:11">
      <c r="A432" s="171"/>
      <c r="B432" s="172">
        <v>1.4028471761352286</v>
      </c>
      <c r="C432" s="172">
        <v>-0.814665459345566</v>
      </c>
      <c r="D432" s="172">
        <v>-0.7195871750303805</v>
      </c>
      <c r="E432" s="171"/>
      <c r="F432" s="173"/>
      <c r="J432">
        <v>185</v>
      </c>
      <c r="K432" s="35">
        <v>8.6904484429411184</v>
      </c>
    </row>
    <row r="433" spans="1:11">
      <c r="A433" s="171" t="s">
        <v>319</v>
      </c>
      <c r="B433" s="172">
        <v>0.14897154656832046</v>
      </c>
      <c r="C433" s="172">
        <v>-0.84725762547333594</v>
      </c>
      <c r="D433" s="172">
        <v>1.9759438806851826E-2</v>
      </c>
      <c r="E433" s="171"/>
      <c r="F433" s="173">
        <f>MCond(B432:D434)</f>
        <v>5.2226620862837869</v>
      </c>
      <c r="J433">
        <v>101</v>
      </c>
      <c r="K433" s="35">
        <v>8.6070566754854791</v>
      </c>
    </row>
    <row r="434" spans="1:11">
      <c r="A434" s="171"/>
      <c r="B434" s="172">
        <v>2.44475956514645</v>
      </c>
      <c r="C434" s="172">
        <v>-0.85548399177677847</v>
      </c>
      <c r="D434" s="172">
        <v>5.2896656816179721E-2</v>
      </c>
      <c r="E434" s="171"/>
      <c r="F434" s="173"/>
      <c r="J434">
        <v>105</v>
      </c>
      <c r="K434" s="35">
        <v>8.5693135695380551</v>
      </c>
    </row>
    <row r="435" spans="1:11">
      <c r="A435" s="171"/>
      <c r="B435" s="172"/>
      <c r="C435" s="172"/>
      <c r="D435" s="172"/>
      <c r="E435" s="171"/>
      <c r="F435" s="174"/>
      <c r="J435">
        <v>205</v>
      </c>
      <c r="K435" s="35">
        <v>8.5031850746050246</v>
      </c>
    </row>
    <row r="436" spans="1:11">
      <c r="A436" s="171"/>
      <c r="B436" s="172">
        <v>1.4028471761352286</v>
      </c>
      <c r="C436" s="172">
        <v>-0.814665459345566</v>
      </c>
      <c r="D436" s="172">
        <v>-0.7195871750303805</v>
      </c>
      <c r="E436" s="171"/>
      <c r="F436" s="173"/>
      <c r="J436">
        <v>165</v>
      </c>
      <c r="K436" s="35">
        <v>8.5028993454699311</v>
      </c>
    </row>
    <row r="437" spans="1:11">
      <c r="A437" s="171" t="s">
        <v>320</v>
      </c>
      <c r="B437" s="172">
        <v>0.14897154656832046</v>
      </c>
      <c r="C437" s="172">
        <v>-0.84725762547333594</v>
      </c>
      <c r="D437" s="172">
        <v>1.9759438806851826E-2</v>
      </c>
      <c r="E437" s="171"/>
      <c r="F437" s="173">
        <f>MCond(B436:D438)</f>
        <v>6.8946518551856064</v>
      </c>
      <c r="J437">
        <v>111</v>
      </c>
      <c r="K437" s="35">
        <v>8.2529665998791568</v>
      </c>
    </row>
    <row r="438" spans="1:11">
      <c r="A438" s="171"/>
      <c r="B438" s="172">
        <v>2.8449497700634536</v>
      </c>
      <c r="C438" s="172">
        <v>0.22852225552422287</v>
      </c>
      <c r="D438" s="172">
        <v>6.9737163040410666E-2</v>
      </c>
      <c r="E438" s="171"/>
      <c r="F438" s="173"/>
      <c r="J438">
        <v>95</v>
      </c>
      <c r="K438" s="35">
        <v>8.1773167465735472</v>
      </c>
    </row>
    <row r="439" spans="1:11">
      <c r="A439" s="171"/>
      <c r="B439" s="172"/>
      <c r="C439" s="172"/>
      <c r="D439" s="172"/>
      <c r="E439" s="171"/>
      <c r="F439" s="174"/>
      <c r="J439">
        <v>103</v>
      </c>
      <c r="K439" s="35">
        <v>8.1126859890305525</v>
      </c>
    </row>
    <row r="440" spans="1:11">
      <c r="A440" s="171"/>
      <c r="B440" s="172">
        <v>1.4028471761352286</v>
      </c>
      <c r="C440" s="172">
        <v>-0.814665459345566</v>
      </c>
      <c r="D440" s="172">
        <v>-0.7195871750303805</v>
      </c>
      <c r="E440" s="171"/>
      <c r="F440" s="173"/>
      <c r="J440">
        <v>81</v>
      </c>
      <c r="K440" s="35">
        <v>8.0842653543142653</v>
      </c>
    </row>
    <row r="441" spans="1:11">
      <c r="A441" s="171" t="s">
        <v>321</v>
      </c>
      <c r="B441" s="172">
        <v>0.14897154656832046</v>
      </c>
      <c r="C441" s="172">
        <v>-0.84725762547333594</v>
      </c>
      <c r="D441" s="172">
        <v>1.9759438806851826E-2</v>
      </c>
      <c r="E441" s="171"/>
      <c r="F441" s="173">
        <f>MCond(B440:D442)</f>
        <v>9.9372843807971485</v>
      </c>
      <c r="J441">
        <v>48</v>
      </c>
      <c r="K441" s="35">
        <v>8.0179728515029733</v>
      </c>
    </row>
    <row r="442" spans="1:11">
      <c r="A442" s="171"/>
      <c r="B442" s="172">
        <v>0.36768865949079377</v>
      </c>
      <c r="C442" s="172">
        <v>1.2890795247765441</v>
      </c>
      <c r="D442" s="172">
        <v>0.10954983766095538</v>
      </c>
      <c r="E442" s="171"/>
      <c r="F442" s="173"/>
      <c r="J442">
        <v>136</v>
      </c>
      <c r="K442" s="35">
        <v>7.9300802487334305</v>
      </c>
    </row>
    <row r="443" spans="1:11">
      <c r="A443" s="171"/>
      <c r="B443" s="172"/>
      <c r="C443" s="172"/>
      <c r="D443" s="172"/>
      <c r="E443" s="171"/>
      <c r="F443" s="174"/>
      <c r="J443">
        <v>43</v>
      </c>
      <c r="K443" s="35">
        <v>7.888357243357154</v>
      </c>
    </row>
    <row r="444" spans="1:11">
      <c r="A444" s="171"/>
      <c r="B444" s="172">
        <v>1.4028471761352286</v>
      </c>
      <c r="C444" s="172">
        <v>-0.814665459345566</v>
      </c>
      <c r="D444" s="172">
        <v>-0.7195871750303805</v>
      </c>
      <c r="E444" s="171"/>
      <c r="F444" s="173"/>
      <c r="J444">
        <v>183</v>
      </c>
      <c r="K444" s="35">
        <v>7.7074988340721093</v>
      </c>
    </row>
    <row r="445" spans="1:11">
      <c r="A445" s="171" t="s">
        <v>322</v>
      </c>
      <c r="B445" s="172">
        <v>0.14897154656832046</v>
      </c>
      <c r="C445" s="172">
        <v>-0.84725762547333594</v>
      </c>
      <c r="D445" s="172">
        <v>1.9759438806851826E-2</v>
      </c>
      <c r="E445" s="171"/>
      <c r="F445" s="173">
        <f>MCond(B444:D446)</f>
        <v>7.5591544987062864</v>
      </c>
      <c r="J445">
        <v>179</v>
      </c>
      <c r="K445" s="35">
        <v>7.648214420981799</v>
      </c>
    </row>
    <row r="446" spans="1:11">
      <c r="A446" s="171"/>
      <c r="B446" s="172">
        <v>1.9865190328797109</v>
      </c>
      <c r="C446" s="172">
        <v>1.2694850305255347</v>
      </c>
      <c r="D446" s="172">
        <v>3.2127045366234341E-2</v>
      </c>
      <c r="E446" s="171"/>
      <c r="F446" s="173"/>
      <c r="J446">
        <v>70</v>
      </c>
      <c r="K446" s="35">
        <v>7.6469926989996724</v>
      </c>
    </row>
    <row r="447" spans="1:11">
      <c r="A447" s="171"/>
      <c r="B447" s="172"/>
      <c r="C447" s="172"/>
      <c r="D447" s="172"/>
      <c r="E447" s="171"/>
      <c r="F447" s="174"/>
      <c r="J447">
        <v>13</v>
      </c>
      <c r="K447" s="35">
        <v>7.6413054265435116</v>
      </c>
    </row>
    <row r="448" spans="1:11">
      <c r="A448" s="171"/>
      <c r="B448" s="172">
        <v>1.4028471761352286</v>
      </c>
      <c r="C448" s="172">
        <v>-0.814665459345566</v>
      </c>
      <c r="D448" s="172">
        <v>-0.7195871750303805</v>
      </c>
      <c r="E448" s="171"/>
      <c r="F448" s="173"/>
      <c r="J448">
        <v>171</v>
      </c>
      <c r="K448" s="35">
        <v>7.5782362388487288</v>
      </c>
    </row>
    <row r="449" spans="1:11">
      <c r="A449" s="171" t="s">
        <v>323</v>
      </c>
      <c r="B449" s="172">
        <v>0.14897154656832046</v>
      </c>
      <c r="C449" s="172">
        <v>-0.84725762547333594</v>
      </c>
      <c r="D449" s="172">
        <v>1.9759438806851826E-2</v>
      </c>
      <c r="E449" s="171"/>
      <c r="F449" s="173">
        <f>MCond(B448:D450)</f>
        <v>26.099112239465395</v>
      </c>
      <c r="J449">
        <v>109</v>
      </c>
      <c r="K449" s="35">
        <v>7.5591544987062864</v>
      </c>
    </row>
    <row r="450" spans="1:11">
      <c r="A450" s="171"/>
      <c r="B450" s="172">
        <v>1.3773893306068323</v>
      </c>
      <c r="C450" s="172">
        <v>1.5521003879162059</v>
      </c>
      <c r="D450" s="172">
        <v>-0.65590292152571228</v>
      </c>
      <c r="E450" s="171"/>
      <c r="F450" s="173"/>
      <c r="J450">
        <v>68</v>
      </c>
      <c r="K450" s="35">
        <v>7.5230904443487656</v>
      </c>
    </row>
    <row r="451" spans="1:11">
      <c r="A451" s="171"/>
      <c r="B451" s="172"/>
      <c r="C451" s="172"/>
      <c r="D451" s="172"/>
      <c r="E451" s="171"/>
      <c r="F451" s="174"/>
      <c r="J451">
        <v>181</v>
      </c>
      <c r="K451" s="35">
        <v>7.3967963927114955</v>
      </c>
    </row>
    <row r="452" spans="1:11">
      <c r="A452" s="171"/>
      <c r="B452" s="172">
        <v>1.4028471761352286</v>
      </c>
      <c r="C452" s="172">
        <v>-0.814665459345566</v>
      </c>
      <c r="D452" s="172">
        <v>-0.7195871750303805</v>
      </c>
      <c r="E452" s="171"/>
      <c r="F452" s="173"/>
      <c r="J452">
        <v>26</v>
      </c>
      <c r="K452" s="35">
        <v>7.3654400484483462</v>
      </c>
    </row>
    <row r="453" spans="1:11">
      <c r="A453" s="171" t="s">
        <v>324</v>
      </c>
      <c r="B453" s="172">
        <v>2.44475956514645</v>
      </c>
      <c r="C453" s="172">
        <v>-0.85548399177677847</v>
      </c>
      <c r="D453" s="172">
        <v>5.2896656816179721E-2</v>
      </c>
      <c r="E453" s="171"/>
      <c r="F453" s="173">
        <f>MCond(B452:D454)</f>
        <v>8.2529665998791568</v>
      </c>
      <c r="J453">
        <v>164</v>
      </c>
      <c r="K453" s="35">
        <v>7.33302063772613</v>
      </c>
    </row>
    <row r="454" spans="1:11">
      <c r="A454" s="171"/>
      <c r="B454" s="172">
        <v>2.8449497700634536</v>
      </c>
      <c r="C454" s="172">
        <v>0.22852225552422287</v>
      </c>
      <c r="D454" s="172">
        <v>6.9737163040410666E-2</v>
      </c>
      <c r="E454" s="171"/>
      <c r="F454" s="173"/>
      <c r="J454">
        <v>77</v>
      </c>
      <c r="K454" s="35">
        <v>7.309134947611736</v>
      </c>
    </row>
    <row r="455" spans="1:11">
      <c r="A455" s="171"/>
      <c r="B455" s="172"/>
      <c r="C455" s="172"/>
      <c r="D455" s="172"/>
      <c r="E455" s="171"/>
      <c r="F455" s="174"/>
      <c r="J455">
        <v>223</v>
      </c>
      <c r="K455" s="35">
        <v>7.2355412286088452</v>
      </c>
    </row>
    <row r="456" spans="1:11">
      <c r="A456" s="171"/>
      <c r="B456" s="172">
        <v>1.4028471761352286</v>
      </c>
      <c r="C456" s="172">
        <v>-0.814665459345566</v>
      </c>
      <c r="D456" s="172">
        <v>-0.7195871750303805</v>
      </c>
      <c r="E456" s="171"/>
      <c r="F456" s="173"/>
      <c r="J456">
        <v>130</v>
      </c>
      <c r="K456" s="35">
        <v>7.2055376032001162</v>
      </c>
    </row>
    <row r="457" spans="1:11">
      <c r="A457" s="171" t="s">
        <v>325</v>
      </c>
      <c r="B457" s="172">
        <v>2.44475956514645</v>
      </c>
      <c r="C457" s="172">
        <v>-0.85548399177677847</v>
      </c>
      <c r="D457" s="172">
        <v>5.2896656816179721E-2</v>
      </c>
      <c r="E457" s="171"/>
      <c r="F457" s="173">
        <f>MCond(B456:D458)</f>
        <v>5.1437331426071831</v>
      </c>
      <c r="J457">
        <v>46</v>
      </c>
      <c r="K457" s="35">
        <v>7.1675826345810227</v>
      </c>
    </row>
    <row r="458" spans="1:11">
      <c r="A458" s="171"/>
      <c r="B458" s="172">
        <v>0.36768865949079377</v>
      </c>
      <c r="C458" s="172">
        <v>1.2890795247765441</v>
      </c>
      <c r="D458" s="172">
        <v>0.10954983766095538</v>
      </c>
      <c r="E458" s="171"/>
      <c r="F458" s="173"/>
      <c r="J458">
        <v>269</v>
      </c>
      <c r="K458" s="35">
        <v>7.1573490093416128</v>
      </c>
    </row>
    <row r="459" spans="1:11">
      <c r="A459" s="171"/>
      <c r="B459" s="172"/>
      <c r="C459" s="172"/>
      <c r="D459" s="172"/>
      <c r="E459" s="171"/>
      <c r="F459" s="174"/>
      <c r="J459">
        <v>59</v>
      </c>
      <c r="K459" s="35">
        <v>7.0862524060099732</v>
      </c>
    </row>
    <row r="460" spans="1:11">
      <c r="A460" s="171"/>
      <c r="B460" s="172">
        <v>1.4028471761352286</v>
      </c>
      <c r="C460" s="172">
        <v>-0.814665459345566</v>
      </c>
      <c r="D460" s="172">
        <v>-0.7195871750303805</v>
      </c>
      <c r="E460" s="171"/>
      <c r="F460" s="173"/>
      <c r="J460">
        <v>148</v>
      </c>
      <c r="K460" s="35">
        <v>7.0402993519910142</v>
      </c>
    </row>
    <row r="461" spans="1:11">
      <c r="A461" s="171" t="s">
        <v>326</v>
      </c>
      <c r="B461" s="172">
        <v>2.44475956514645</v>
      </c>
      <c r="C461" s="172">
        <v>-0.85548399177677847</v>
      </c>
      <c r="D461" s="172">
        <v>5.2896656816179721E-2</v>
      </c>
      <c r="E461" s="171"/>
      <c r="F461" s="173">
        <f>MCond(B460:D462)</f>
        <v>5.8121432217475695</v>
      </c>
      <c r="J461">
        <v>143</v>
      </c>
      <c r="K461" s="35">
        <v>7.0264412742510673</v>
      </c>
    </row>
    <row r="462" spans="1:11">
      <c r="A462" s="171"/>
      <c r="B462" s="172">
        <v>1.9865190328797109</v>
      </c>
      <c r="C462" s="172">
        <v>1.2694850305255347</v>
      </c>
      <c r="D462" s="172">
        <v>3.2127045366234341E-2</v>
      </c>
      <c r="E462" s="171"/>
      <c r="F462" s="173"/>
      <c r="J462">
        <v>246</v>
      </c>
      <c r="K462" s="35">
        <v>7.0062729721822521</v>
      </c>
    </row>
    <row r="463" spans="1:11">
      <c r="A463" s="171"/>
      <c r="B463" s="172"/>
      <c r="C463" s="172"/>
      <c r="D463" s="172"/>
      <c r="E463" s="171"/>
      <c r="F463" s="174"/>
      <c r="J463">
        <v>151</v>
      </c>
      <c r="K463" s="35">
        <v>6.9688671966435978</v>
      </c>
    </row>
    <row r="464" spans="1:11">
      <c r="A464" s="171"/>
      <c r="B464" s="172">
        <v>1.4028471761352286</v>
      </c>
      <c r="C464" s="172">
        <v>-0.814665459345566</v>
      </c>
      <c r="D464" s="172">
        <v>-0.7195871750303805</v>
      </c>
      <c r="E464" s="171"/>
      <c r="F464" s="173"/>
      <c r="J464">
        <v>107</v>
      </c>
      <c r="K464" s="35">
        <v>6.8946518551856064</v>
      </c>
    </row>
    <row r="465" spans="1:11">
      <c r="A465" s="171" t="s">
        <v>327</v>
      </c>
      <c r="B465" s="172">
        <v>2.44475956514645</v>
      </c>
      <c r="C465" s="172">
        <v>-0.85548399177677847</v>
      </c>
      <c r="D465" s="172">
        <v>5.2896656816179721E-2</v>
      </c>
      <c r="E465" s="171"/>
      <c r="F465" s="173">
        <f>MCond(B464:D466)</f>
        <v>4.7138939593144054</v>
      </c>
      <c r="J465">
        <v>115</v>
      </c>
      <c r="K465" s="35">
        <v>6.8287657968734292</v>
      </c>
    </row>
    <row r="466" spans="1:11">
      <c r="A466" s="171"/>
      <c r="B466" s="172">
        <v>1.3773893306068323</v>
      </c>
      <c r="C466" s="172">
        <v>1.5521003879162059</v>
      </c>
      <c r="D466" s="172">
        <v>-0.65590292152571228</v>
      </c>
      <c r="E466" s="171"/>
      <c r="F466" s="173"/>
      <c r="J466">
        <v>220</v>
      </c>
      <c r="K466" s="35">
        <v>6.768419778847786</v>
      </c>
    </row>
    <row r="467" spans="1:11">
      <c r="A467" s="171"/>
      <c r="B467" s="172"/>
      <c r="C467" s="172"/>
      <c r="D467" s="172"/>
      <c r="E467" s="171"/>
      <c r="F467" s="174"/>
      <c r="J467">
        <v>178</v>
      </c>
      <c r="K467" s="35">
        <v>6.7625217711569316</v>
      </c>
    </row>
    <row r="468" spans="1:11">
      <c r="A468" s="171"/>
      <c r="B468" s="172">
        <v>1.4028471761352286</v>
      </c>
      <c r="C468" s="172">
        <v>-0.814665459345566</v>
      </c>
      <c r="D468" s="172">
        <v>-0.7195871750303805</v>
      </c>
      <c r="E468" s="171"/>
      <c r="F468" s="173"/>
      <c r="J468">
        <v>264</v>
      </c>
      <c r="K468" s="35">
        <v>6.7607681639683301</v>
      </c>
    </row>
    <row r="469" spans="1:11">
      <c r="A469" s="171" t="s">
        <v>328</v>
      </c>
      <c r="B469" s="172">
        <v>2.8449497700634536</v>
      </c>
      <c r="C469" s="172">
        <v>0.22852225552422287</v>
      </c>
      <c r="D469" s="172">
        <v>6.9737163040410666E-2</v>
      </c>
      <c r="E469" s="171"/>
      <c r="F469" s="173">
        <f>MCond(B468:D470)</f>
        <v>6.8287657968734292</v>
      </c>
      <c r="J469">
        <v>138</v>
      </c>
      <c r="K469" s="35">
        <v>6.7566483524299317</v>
      </c>
    </row>
    <row r="470" spans="1:11">
      <c r="A470" s="171"/>
      <c r="B470" s="172">
        <v>0.36768865949079377</v>
      </c>
      <c r="C470" s="172">
        <v>1.2890795247765441</v>
      </c>
      <c r="D470" s="172">
        <v>0.10954983766095538</v>
      </c>
      <c r="E470" s="171"/>
      <c r="F470" s="173"/>
      <c r="J470">
        <v>176</v>
      </c>
      <c r="K470" s="35">
        <v>6.7459428276848676</v>
      </c>
    </row>
    <row r="471" spans="1:11">
      <c r="A471" s="171"/>
      <c r="B471" s="172"/>
      <c r="C471" s="172"/>
      <c r="D471" s="172"/>
      <c r="E471" s="171"/>
      <c r="F471" s="174"/>
      <c r="J471">
        <v>272</v>
      </c>
      <c r="K471" s="35">
        <v>6.7197741867997447</v>
      </c>
    </row>
    <row r="472" spans="1:11">
      <c r="A472" s="171"/>
      <c r="B472" s="172">
        <v>1.4028471761352286</v>
      </c>
      <c r="C472" s="172">
        <v>-0.814665459345566</v>
      </c>
      <c r="D472" s="172">
        <v>-0.7195871750303805</v>
      </c>
      <c r="E472" s="171"/>
      <c r="F472" s="173"/>
      <c r="J472">
        <v>147</v>
      </c>
      <c r="K472" s="35">
        <v>6.7148325139077363</v>
      </c>
    </row>
    <row r="473" spans="1:11">
      <c r="A473" s="171" t="s">
        <v>329</v>
      </c>
      <c r="B473" s="172">
        <v>2.8449497700634536</v>
      </c>
      <c r="C473" s="172">
        <v>0.22852225552422287</v>
      </c>
      <c r="D473" s="172">
        <v>6.9737163040410666E-2</v>
      </c>
      <c r="E473" s="171"/>
      <c r="F473" s="173">
        <f>MCond(B472:D474)</f>
        <v>8.9992558577730577</v>
      </c>
      <c r="J473">
        <v>146</v>
      </c>
      <c r="K473" s="35">
        <v>6.5952649754803758</v>
      </c>
    </row>
    <row r="474" spans="1:11">
      <c r="A474" s="171"/>
      <c r="B474" s="172">
        <v>1.9865190328797109</v>
      </c>
      <c r="C474" s="172">
        <v>1.2694850305255347</v>
      </c>
      <c r="D474" s="172">
        <v>3.2127045366234341E-2</v>
      </c>
      <c r="E474" s="171"/>
      <c r="F474" s="173"/>
      <c r="J474">
        <v>27</v>
      </c>
      <c r="K474" s="35">
        <v>6.5826761170413119</v>
      </c>
    </row>
    <row r="475" spans="1:11">
      <c r="A475" s="171"/>
      <c r="B475" s="172"/>
      <c r="C475" s="172"/>
      <c r="D475" s="172"/>
      <c r="E475" s="171"/>
      <c r="F475" s="174"/>
      <c r="J475">
        <v>274</v>
      </c>
      <c r="K475" s="35">
        <v>6.5721137062563466</v>
      </c>
    </row>
    <row r="476" spans="1:11">
      <c r="A476" s="171"/>
      <c r="B476" s="172">
        <v>1.4028471761352286</v>
      </c>
      <c r="C476" s="172">
        <v>-0.814665459345566</v>
      </c>
      <c r="D476" s="172">
        <v>-0.7195871750303805</v>
      </c>
      <c r="E476" s="171"/>
      <c r="F476" s="173"/>
      <c r="J476">
        <v>240</v>
      </c>
      <c r="K476" s="35">
        <v>6.5646293729706269</v>
      </c>
    </row>
    <row r="477" spans="1:11">
      <c r="A477" s="171" t="s">
        <v>330</v>
      </c>
      <c r="B477" s="172">
        <v>2.8449497700634536</v>
      </c>
      <c r="C477" s="172">
        <v>0.22852225552422287</v>
      </c>
      <c r="D477" s="172">
        <v>6.9737163040410666E-2</v>
      </c>
      <c r="E477" s="171"/>
      <c r="F477" s="173">
        <f>MCond(B476:D478)</f>
        <v>4.292123906712999</v>
      </c>
      <c r="J477">
        <v>37</v>
      </c>
      <c r="K477" s="35">
        <v>6.5562246319096911</v>
      </c>
    </row>
    <row r="478" spans="1:11">
      <c r="A478" s="171"/>
      <c r="B478" s="172">
        <v>1.3773893306068323</v>
      </c>
      <c r="C478" s="172">
        <v>1.5521003879162059</v>
      </c>
      <c r="D478" s="172">
        <v>-0.65590292152571228</v>
      </c>
      <c r="E478" s="171"/>
      <c r="F478" s="173"/>
      <c r="J478">
        <v>71</v>
      </c>
      <c r="K478" s="35">
        <v>6.5447871116906784</v>
      </c>
    </row>
    <row r="479" spans="1:11">
      <c r="A479" s="171"/>
      <c r="B479" s="172"/>
      <c r="C479" s="172"/>
      <c r="D479" s="172"/>
      <c r="E479" s="171"/>
      <c r="F479" s="174"/>
      <c r="J479">
        <v>213</v>
      </c>
      <c r="K479" s="35">
        <v>6.4314927648957179</v>
      </c>
    </row>
    <row r="480" spans="1:11">
      <c r="A480" s="171"/>
      <c r="B480" s="172">
        <v>1.4028471761352286</v>
      </c>
      <c r="C480" s="172">
        <v>-0.814665459345566</v>
      </c>
      <c r="D480" s="172">
        <v>-0.7195871750303805</v>
      </c>
      <c r="E480" s="171"/>
      <c r="F480" s="173"/>
      <c r="J480">
        <v>35</v>
      </c>
      <c r="K480" s="35">
        <v>6.4227760464603234</v>
      </c>
    </row>
    <row r="481" spans="1:11">
      <c r="A481" s="171" t="s">
        <v>331</v>
      </c>
      <c r="B481" s="172">
        <v>0.36768865949079377</v>
      </c>
      <c r="C481" s="172">
        <v>1.2890795247765441</v>
      </c>
      <c r="D481" s="172">
        <v>0.10954983766095538</v>
      </c>
      <c r="E481" s="171"/>
      <c r="F481" s="173">
        <f>MCond(B480:D482)</f>
        <v>10.814350744949346</v>
      </c>
      <c r="J481">
        <v>206</v>
      </c>
      <c r="K481" s="35">
        <v>6.3921465350608555</v>
      </c>
    </row>
    <row r="482" spans="1:11">
      <c r="A482" s="171"/>
      <c r="B482" s="172">
        <v>1.9865190328797109</v>
      </c>
      <c r="C482" s="172">
        <v>1.2694850305255347</v>
      </c>
      <c r="D482" s="172">
        <v>3.2127045366234341E-2</v>
      </c>
      <c r="E482" s="171"/>
      <c r="F482" s="173"/>
      <c r="J482">
        <v>83</v>
      </c>
      <c r="K482" s="35">
        <v>6.3906270108779077</v>
      </c>
    </row>
    <row r="483" spans="1:11">
      <c r="A483" s="171"/>
      <c r="B483" s="172"/>
      <c r="C483" s="172"/>
      <c r="D483" s="172"/>
      <c r="E483" s="171"/>
      <c r="F483" s="174"/>
      <c r="J483">
        <v>263</v>
      </c>
      <c r="K483" s="35">
        <v>6.3541258749953187</v>
      </c>
    </row>
    <row r="484" spans="1:11">
      <c r="A484" s="171"/>
      <c r="B484" s="172">
        <v>1.4028471761352286</v>
      </c>
      <c r="C484" s="172">
        <v>-0.814665459345566</v>
      </c>
      <c r="D484" s="172">
        <v>-0.7195871750303805</v>
      </c>
      <c r="E484" s="171"/>
      <c r="F484" s="173"/>
      <c r="J484">
        <v>224</v>
      </c>
      <c r="K484" s="35">
        <v>6.3260146733038898</v>
      </c>
    </row>
    <row r="485" spans="1:11">
      <c r="A485" s="171" t="s">
        <v>332</v>
      </c>
      <c r="B485" s="172">
        <v>0.36768865949079377</v>
      </c>
      <c r="C485" s="172">
        <v>1.2890795247765441</v>
      </c>
      <c r="D485" s="172">
        <v>0.10954983766095538</v>
      </c>
      <c r="E485" s="171"/>
      <c r="F485" s="173">
        <f>MCond(B484:D486)</f>
        <v>13.161138632442416</v>
      </c>
      <c r="J485">
        <v>211</v>
      </c>
      <c r="K485" s="35">
        <v>6.2959412294601558</v>
      </c>
    </row>
    <row r="486" spans="1:11">
      <c r="A486" s="171"/>
      <c r="B486" s="172">
        <v>1.3773893306068323</v>
      </c>
      <c r="C486" s="172">
        <v>1.5521003879162059</v>
      </c>
      <c r="D486" s="172">
        <v>-0.65590292152571228</v>
      </c>
      <c r="E486" s="171"/>
      <c r="F486" s="173"/>
      <c r="J486">
        <v>135</v>
      </c>
      <c r="K486" s="35">
        <v>6.2639720915040158</v>
      </c>
    </row>
    <row r="487" spans="1:11">
      <c r="A487" s="171"/>
      <c r="B487" s="172"/>
      <c r="C487" s="172"/>
      <c r="D487" s="172"/>
      <c r="E487" s="171"/>
      <c r="F487" s="174"/>
      <c r="J487">
        <v>20</v>
      </c>
      <c r="K487" s="35">
        <v>6.0546724397063105</v>
      </c>
    </row>
    <row r="488" spans="1:11">
      <c r="A488" s="171"/>
      <c r="B488" s="172">
        <v>1.4028471761352286</v>
      </c>
      <c r="C488" s="172">
        <v>-0.814665459345566</v>
      </c>
      <c r="D488" s="172">
        <v>-0.7195871750303805</v>
      </c>
      <c r="E488" s="171"/>
      <c r="F488" s="173"/>
      <c r="J488">
        <v>216</v>
      </c>
      <c r="K488" s="35">
        <v>6.037916237878159</v>
      </c>
    </row>
    <row r="489" spans="1:11">
      <c r="A489" s="171" t="s">
        <v>333</v>
      </c>
      <c r="B489" s="172">
        <v>1.9865190328797109</v>
      </c>
      <c r="C489" s="172">
        <v>1.2694850305255347</v>
      </c>
      <c r="D489" s="172">
        <v>3.2127045366234341E-2</v>
      </c>
      <c r="E489" s="171"/>
      <c r="F489" s="173">
        <f>MCond(B488:D490)</f>
        <v>5.1208665031360203</v>
      </c>
      <c r="J489">
        <v>50</v>
      </c>
      <c r="K489" s="35">
        <v>6.0262694639012206</v>
      </c>
    </row>
    <row r="490" spans="1:11">
      <c r="A490" s="171"/>
      <c r="B490" s="172">
        <v>1.3773893306068323</v>
      </c>
      <c r="C490" s="172">
        <v>1.5521003879162059</v>
      </c>
      <c r="D490" s="172">
        <v>-0.65590292152571228</v>
      </c>
      <c r="E490" s="171"/>
      <c r="F490" s="173"/>
      <c r="J490">
        <v>170</v>
      </c>
      <c r="K490" s="35">
        <v>5.9659507309582951</v>
      </c>
    </row>
    <row r="491" spans="1:11">
      <c r="A491" s="171"/>
      <c r="B491" s="172"/>
      <c r="C491" s="172"/>
      <c r="D491" s="172"/>
      <c r="E491" s="171"/>
      <c r="F491" s="174"/>
      <c r="J491">
        <v>140</v>
      </c>
      <c r="K491" s="35">
        <v>5.9522483324166</v>
      </c>
    </row>
    <row r="492" spans="1:11">
      <c r="A492" s="171"/>
      <c r="B492" s="172">
        <v>0.14897154656832046</v>
      </c>
      <c r="C492" s="172">
        <v>-0.84725762547333594</v>
      </c>
      <c r="D492" s="172">
        <v>1.9759438806851826E-2</v>
      </c>
      <c r="E492" s="171"/>
      <c r="F492" s="173"/>
      <c r="J492">
        <v>141</v>
      </c>
      <c r="K492" s="35">
        <v>5.9241424686026916</v>
      </c>
    </row>
    <row r="493" spans="1:11">
      <c r="A493" s="171" t="s">
        <v>334</v>
      </c>
      <c r="B493" s="172">
        <v>2.44475956514645</v>
      </c>
      <c r="C493" s="172">
        <v>-0.85548399177677847</v>
      </c>
      <c r="D493" s="172">
        <v>5.2896656816179721E-2</v>
      </c>
      <c r="E493" s="171"/>
      <c r="F493" s="173">
        <f>MCond(B492:D494)</f>
        <v>250.1521200358882</v>
      </c>
      <c r="J493">
        <v>23</v>
      </c>
      <c r="K493" s="35">
        <v>5.8822782062311054</v>
      </c>
    </row>
    <row r="494" spans="1:11">
      <c r="A494" s="171"/>
      <c r="B494" s="172">
        <v>2.8449497700634536</v>
      </c>
      <c r="C494" s="172">
        <v>0.22852225552422287</v>
      </c>
      <c r="D494" s="172">
        <v>6.9737163040410666E-2</v>
      </c>
      <c r="E494" s="171"/>
      <c r="F494" s="173"/>
      <c r="J494">
        <v>251</v>
      </c>
      <c r="K494" s="35">
        <v>5.8454524208722907</v>
      </c>
    </row>
    <row r="495" spans="1:11">
      <c r="A495" s="171"/>
      <c r="B495" s="172"/>
      <c r="C495" s="172"/>
      <c r="D495" s="172"/>
      <c r="E495" s="171"/>
      <c r="F495" s="174"/>
      <c r="J495">
        <v>113</v>
      </c>
      <c r="K495" s="35">
        <v>5.8121432217475695</v>
      </c>
    </row>
    <row r="496" spans="1:11">
      <c r="A496" s="171"/>
      <c r="B496" s="172">
        <v>0.14897154656832046</v>
      </c>
      <c r="C496" s="172">
        <v>-0.84725762547333594</v>
      </c>
      <c r="D496" s="172">
        <v>1.9759438806851826E-2</v>
      </c>
      <c r="E496" s="171"/>
      <c r="F496" s="173"/>
      <c r="J496">
        <v>218</v>
      </c>
      <c r="K496" s="35">
        <v>5.7889076511012911</v>
      </c>
    </row>
    <row r="497" spans="1:11">
      <c r="A497" s="171" t="s">
        <v>335</v>
      </c>
      <c r="B497" s="172">
        <v>2.44475956514645</v>
      </c>
      <c r="C497" s="172">
        <v>-0.85548399177677847</v>
      </c>
      <c r="D497" s="172">
        <v>5.2896656816179721E-2</v>
      </c>
      <c r="E497" s="171"/>
      <c r="F497" s="173">
        <f>MCond(B496:D498)</f>
        <v>41.479009433576415</v>
      </c>
      <c r="J497">
        <v>280</v>
      </c>
      <c r="K497" s="35">
        <v>5.7586173410951851</v>
      </c>
    </row>
    <row r="498" spans="1:11">
      <c r="A498" s="171"/>
      <c r="B498" s="172">
        <v>0.36768865949079377</v>
      </c>
      <c r="C498" s="172">
        <v>1.2890795247765441</v>
      </c>
      <c r="D498" s="172">
        <v>0.10954983766095538</v>
      </c>
      <c r="E498" s="171"/>
      <c r="F498" s="173"/>
      <c r="J498">
        <v>144</v>
      </c>
      <c r="K498" s="35">
        <v>5.6287738318733966</v>
      </c>
    </row>
    <row r="499" spans="1:11">
      <c r="A499" s="171"/>
      <c r="B499" s="172"/>
      <c r="C499" s="172"/>
      <c r="D499" s="172"/>
      <c r="E499" s="171"/>
      <c r="F499" s="174"/>
      <c r="J499">
        <v>278</v>
      </c>
      <c r="K499" s="35">
        <v>5.4697357909735507</v>
      </c>
    </row>
    <row r="500" spans="1:11">
      <c r="A500" s="171"/>
      <c r="B500" s="172">
        <v>0.14897154656832046</v>
      </c>
      <c r="C500" s="172">
        <v>-0.84725762547333594</v>
      </c>
      <c r="D500" s="172">
        <v>1.9759438806851826E-2</v>
      </c>
      <c r="E500" s="171"/>
      <c r="F500" s="173"/>
      <c r="J500">
        <v>80</v>
      </c>
      <c r="K500" s="35">
        <v>5.4695394540896514</v>
      </c>
    </row>
    <row r="501" spans="1:11">
      <c r="A501" s="171" t="s">
        <v>336</v>
      </c>
      <c r="B501" s="172">
        <v>2.44475956514645</v>
      </c>
      <c r="C501" s="172">
        <v>-0.85548399177677847</v>
      </c>
      <c r="D501" s="172">
        <v>5.2896656816179721E-2</v>
      </c>
      <c r="E501" s="171"/>
      <c r="F501" s="173">
        <f>MCond(B500:D502)</f>
        <v>298.22841835546393</v>
      </c>
      <c r="J501">
        <v>248</v>
      </c>
      <c r="K501" s="35">
        <v>5.4207004825352429</v>
      </c>
    </row>
    <row r="502" spans="1:11">
      <c r="A502" s="171"/>
      <c r="B502" s="172">
        <v>1.9865190328797109</v>
      </c>
      <c r="C502" s="172">
        <v>1.2694850305255347</v>
      </c>
      <c r="D502" s="172">
        <v>3.2127045366234341E-2</v>
      </c>
      <c r="E502" s="171"/>
      <c r="F502" s="173"/>
      <c r="J502">
        <v>194</v>
      </c>
      <c r="K502" s="35">
        <v>5.3867085530333512</v>
      </c>
    </row>
    <row r="503" spans="1:11">
      <c r="A503" s="171"/>
      <c r="B503" s="172"/>
      <c r="C503" s="172"/>
      <c r="D503" s="172"/>
      <c r="E503" s="171"/>
      <c r="F503" s="174"/>
      <c r="J503">
        <v>6</v>
      </c>
      <c r="K503" s="35">
        <v>5.3803548414248699</v>
      </c>
    </row>
    <row r="504" spans="1:11">
      <c r="A504" s="171"/>
      <c r="B504" s="172">
        <v>0.14897154656832046</v>
      </c>
      <c r="C504" s="172">
        <v>-0.84725762547333594</v>
      </c>
      <c r="D504" s="172">
        <v>1.9759438806851826E-2</v>
      </c>
      <c r="E504" s="171"/>
      <c r="F504" s="173"/>
      <c r="J504">
        <v>73</v>
      </c>
      <c r="K504" s="35">
        <v>5.3446407282175681</v>
      </c>
    </row>
    <row r="505" spans="1:11">
      <c r="A505" s="171" t="s">
        <v>337</v>
      </c>
      <c r="B505" s="172">
        <v>2.44475956514645</v>
      </c>
      <c r="C505" s="172">
        <v>-0.85548399177677847</v>
      </c>
      <c r="D505" s="172">
        <v>5.2896656816179721E-2</v>
      </c>
      <c r="E505" s="171"/>
      <c r="F505" s="173">
        <f>MCond(B504:D506)</f>
        <v>13.015143058743432</v>
      </c>
      <c r="J505">
        <v>41</v>
      </c>
      <c r="K505" s="35">
        <v>5.3206171986713269</v>
      </c>
    </row>
    <row r="506" spans="1:11">
      <c r="A506" s="171"/>
      <c r="B506" s="172">
        <v>1.3773893306068323</v>
      </c>
      <c r="C506" s="172">
        <v>1.5521003879162059</v>
      </c>
      <c r="D506" s="172">
        <v>-0.65590292152571228</v>
      </c>
      <c r="E506" s="171"/>
      <c r="F506" s="173"/>
      <c r="J506">
        <v>39</v>
      </c>
      <c r="K506" s="35">
        <v>5.3172710655545243</v>
      </c>
    </row>
    <row r="507" spans="1:11">
      <c r="A507" s="171"/>
      <c r="B507" s="172"/>
      <c r="C507" s="172"/>
      <c r="D507" s="172"/>
      <c r="E507" s="171"/>
      <c r="F507" s="174"/>
      <c r="J507">
        <v>273</v>
      </c>
      <c r="K507" s="35">
        <v>5.3162933238372769</v>
      </c>
    </row>
    <row r="508" spans="1:11">
      <c r="A508" s="171"/>
      <c r="B508" s="172">
        <v>0.14897154656832046</v>
      </c>
      <c r="C508" s="172">
        <v>-0.84725762547333594</v>
      </c>
      <c r="D508" s="172">
        <v>1.9759438806851826E-2</v>
      </c>
      <c r="E508" s="171"/>
      <c r="F508" s="173"/>
      <c r="J508">
        <v>31</v>
      </c>
      <c r="K508" s="35">
        <v>5.3134649198272017</v>
      </c>
    </row>
    <row r="509" spans="1:11">
      <c r="A509" s="171" t="s">
        <v>338</v>
      </c>
      <c r="B509" s="172">
        <v>2.8449497700634536</v>
      </c>
      <c r="C509" s="172">
        <v>0.22852225552422287</v>
      </c>
      <c r="D509" s="172">
        <v>6.9737163040410666E-2</v>
      </c>
      <c r="E509" s="171"/>
      <c r="F509" s="173">
        <f>MCond(B508:D510)</f>
        <v>41.827755997562726</v>
      </c>
      <c r="J509">
        <v>229</v>
      </c>
      <c r="K509" s="35">
        <v>5.2672257276525398</v>
      </c>
    </row>
    <row r="510" spans="1:11">
      <c r="A510" s="171"/>
      <c r="B510" s="172">
        <v>0.36768865949079377</v>
      </c>
      <c r="C510" s="172">
        <v>1.2890795247765441</v>
      </c>
      <c r="D510" s="172">
        <v>0.10954983766095538</v>
      </c>
      <c r="E510" s="171"/>
      <c r="F510" s="173"/>
      <c r="J510">
        <v>106</v>
      </c>
      <c r="K510" s="35">
        <v>5.2226620862837869</v>
      </c>
    </row>
    <row r="511" spans="1:11">
      <c r="A511" s="171"/>
      <c r="B511" s="172"/>
      <c r="C511" s="172"/>
      <c r="D511" s="172"/>
      <c r="E511" s="171"/>
      <c r="F511" s="174"/>
      <c r="J511">
        <v>40</v>
      </c>
      <c r="K511" s="35">
        <v>5.1746470606257837</v>
      </c>
    </row>
    <row r="512" spans="1:11">
      <c r="A512" s="171"/>
      <c r="B512" s="172">
        <v>0.14897154656832046</v>
      </c>
      <c r="C512" s="172">
        <v>-0.84725762547333594</v>
      </c>
      <c r="D512" s="172">
        <v>1.9759438806851826E-2</v>
      </c>
      <c r="E512" s="171"/>
      <c r="F512" s="173"/>
      <c r="J512">
        <v>45</v>
      </c>
      <c r="K512" s="35">
        <v>5.1709959027855508</v>
      </c>
    </row>
    <row r="513" spans="1:11">
      <c r="A513" s="171" t="s">
        <v>339</v>
      </c>
      <c r="B513" s="172">
        <v>2.8449497700634536</v>
      </c>
      <c r="C513" s="172">
        <v>0.22852225552422287</v>
      </c>
      <c r="D513" s="172">
        <v>6.9737163040410666E-2</v>
      </c>
      <c r="E513" s="171"/>
      <c r="F513" s="173">
        <f>MCond(B512:D514)</f>
        <v>1531.9211719884818</v>
      </c>
      <c r="J513">
        <v>203</v>
      </c>
      <c r="K513" s="35">
        <v>5.155149298810846</v>
      </c>
    </row>
    <row r="514" spans="1:11">
      <c r="A514" s="171"/>
      <c r="B514" s="172">
        <v>1.9865190328797109</v>
      </c>
      <c r="C514" s="172">
        <v>1.2694850305255347</v>
      </c>
      <c r="D514" s="172">
        <v>3.2127045366234341E-2</v>
      </c>
      <c r="E514" s="171"/>
      <c r="F514" s="173"/>
      <c r="J514">
        <v>112</v>
      </c>
      <c r="K514" s="35">
        <v>5.1437331426071831</v>
      </c>
    </row>
    <row r="515" spans="1:11">
      <c r="A515" s="171"/>
      <c r="B515" s="172"/>
      <c r="C515" s="172"/>
      <c r="D515" s="172"/>
      <c r="E515" s="171"/>
      <c r="F515" s="174"/>
      <c r="J515">
        <v>120</v>
      </c>
      <c r="K515" s="35">
        <v>5.1208665031360203</v>
      </c>
    </row>
    <row r="516" spans="1:11">
      <c r="A516" s="171"/>
      <c r="B516" s="172">
        <v>0.14897154656832046</v>
      </c>
      <c r="C516" s="172">
        <v>-0.84725762547333594</v>
      </c>
      <c r="D516" s="172">
        <v>1.9759438806851826E-2</v>
      </c>
      <c r="E516" s="171"/>
      <c r="F516" s="173"/>
      <c r="J516">
        <v>47</v>
      </c>
      <c r="K516" s="35">
        <v>5.020555181865034</v>
      </c>
    </row>
    <row r="517" spans="1:11">
      <c r="A517" s="171" t="s">
        <v>340</v>
      </c>
      <c r="B517" s="172">
        <v>2.8449497700634536</v>
      </c>
      <c r="C517" s="172">
        <v>0.22852225552422287</v>
      </c>
      <c r="D517" s="172">
        <v>6.9737163040410666E-2</v>
      </c>
      <c r="E517" s="171"/>
      <c r="F517" s="173">
        <f>MCond(B516:D518)</f>
        <v>10.782827837381458</v>
      </c>
      <c r="J517">
        <v>244</v>
      </c>
      <c r="K517" s="35">
        <v>4.9236532994760909</v>
      </c>
    </row>
    <row r="518" spans="1:11">
      <c r="A518" s="171"/>
      <c r="B518" s="172">
        <v>1.3773893306068323</v>
      </c>
      <c r="C518" s="172">
        <v>1.5521003879162059</v>
      </c>
      <c r="D518" s="172">
        <v>-0.65590292152571228</v>
      </c>
      <c r="E518" s="171"/>
      <c r="F518" s="173"/>
      <c r="J518">
        <v>145</v>
      </c>
      <c r="K518" s="35">
        <v>4.9007064832167684</v>
      </c>
    </row>
    <row r="519" spans="1:11">
      <c r="A519" s="171"/>
      <c r="B519" s="172"/>
      <c r="C519" s="172"/>
      <c r="D519" s="172"/>
      <c r="E519" s="171"/>
      <c r="F519" s="174"/>
      <c r="J519">
        <v>15</v>
      </c>
      <c r="K519" s="35">
        <v>4.8602217427722341</v>
      </c>
    </row>
    <row r="520" spans="1:11">
      <c r="A520" s="171"/>
      <c r="B520" s="172">
        <v>0.14897154656832046</v>
      </c>
      <c r="C520" s="172">
        <v>-0.84725762547333594</v>
      </c>
      <c r="D520" s="172">
        <v>1.9759438806851826E-2</v>
      </c>
      <c r="E520" s="171"/>
      <c r="F520" s="173"/>
      <c r="J520">
        <v>234</v>
      </c>
      <c r="K520" s="35">
        <v>4.8522872767527137</v>
      </c>
    </row>
    <row r="521" spans="1:11">
      <c r="A521" s="171" t="s">
        <v>341</v>
      </c>
      <c r="B521" s="172">
        <v>0.36768865949079377</v>
      </c>
      <c r="C521" s="172">
        <v>1.2890795247765441</v>
      </c>
      <c r="D521" s="172">
        <v>0.10954983766095538</v>
      </c>
      <c r="E521" s="171"/>
      <c r="F521" s="173">
        <f>MCond(B520:D522)</f>
        <v>32.637782807572336</v>
      </c>
      <c r="J521">
        <v>235</v>
      </c>
      <c r="K521" s="35">
        <v>4.8511161019732283</v>
      </c>
    </row>
    <row r="522" spans="1:11">
      <c r="A522" s="171"/>
      <c r="B522" s="172">
        <v>1.9865190328797109</v>
      </c>
      <c r="C522" s="172">
        <v>1.2694850305255347</v>
      </c>
      <c r="D522" s="172">
        <v>3.2127045366234341E-2</v>
      </c>
      <c r="E522" s="171"/>
      <c r="F522" s="173"/>
      <c r="J522">
        <v>75</v>
      </c>
      <c r="K522" s="35">
        <v>4.8270811041221897</v>
      </c>
    </row>
    <row r="523" spans="1:11">
      <c r="A523" s="171"/>
      <c r="B523" s="172"/>
      <c r="C523" s="172"/>
      <c r="D523" s="172"/>
      <c r="E523" s="171"/>
      <c r="F523" s="174"/>
      <c r="J523">
        <v>79</v>
      </c>
      <c r="K523" s="35">
        <v>4.8011093563140337</v>
      </c>
    </row>
    <row r="524" spans="1:11">
      <c r="A524" s="171"/>
      <c r="B524" s="172">
        <v>0.14897154656832046</v>
      </c>
      <c r="C524" s="172">
        <v>-0.84725762547333594</v>
      </c>
      <c r="D524" s="172">
        <v>1.9759438806851826E-2</v>
      </c>
      <c r="E524" s="171"/>
      <c r="F524" s="173"/>
      <c r="J524">
        <v>33</v>
      </c>
      <c r="K524" s="35">
        <v>4.7248309144760778</v>
      </c>
    </row>
    <row r="525" spans="1:11">
      <c r="A525" s="171" t="s">
        <v>342</v>
      </c>
      <c r="B525" s="172">
        <v>0.36768865949079377</v>
      </c>
      <c r="C525" s="172">
        <v>1.2890795247765441</v>
      </c>
      <c r="D525" s="172">
        <v>0.10954983766095538</v>
      </c>
      <c r="E525" s="171"/>
      <c r="F525" s="173">
        <f>MCond(B524:D526)</f>
        <v>10.964478005785088</v>
      </c>
      <c r="J525">
        <v>114</v>
      </c>
      <c r="K525" s="35">
        <v>4.7138939593144054</v>
      </c>
    </row>
    <row r="526" spans="1:11">
      <c r="A526" s="171"/>
      <c r="B526" s="172">
        <v>1.3773893306068323</v>
      </c>
      <c r="C526" s="172">
        <v>1.5521003879162059</v>
      </c>
      <c r="D526" s="172">
        <v>-0.65590292152571228</v>
      </c>
      <c r="E526" s="171"/>
      <c r="F526" s="173"/>
      <c r="J526">
        <v>84</v>
      </c>
      <c r="K526" s="35">
        <v>4.7098691394570427</v>
      </c>
    </row>
    <row r="527" spans="1:11">
      <c r="A527" s="171"/>
      <c r="B527" s="172"/>
      <c r="C527" s="172"/>
      <c r="D527" s="172"/>
      <c r="E527" s="171"/>
      <c r="F527" s="174"/>
      <c r="J527">
        <v>78</v>
      </c>
      <c r="K527" s="35">
        <v>4.6643551181710254</v>
      </c>
    </row>
    <row r="528" spans="1:11">
      <c r="A528" s="171"/>
      <c r="B528" s="172">
        <v>0.14897154656832046</v>
      </c>
      <c r="C528" s="172">
        <v>-0.84725762547333594</v>
      </c>
      <c r="D528" s="172">
        <v>1.9759438806851826E-2</v>
      </c>
      <c r="E528" s="171"/>
      <c r="F528" s="173"/>
      <c r="J528">
        <v>17</v>
      </c>
      <c r="K528" s="35">
        <v>4.6589206831506358</v>
      </c>
    </row>
    <row r="529" spans="1:11">
      <c r="A529" s="171" t="s">
        <v>343</v>
      </c>
      <c r="B529" s="172">
        <v>1.9865190328797109</v>
      </c>
      <c r="C529" s="172">
        <v>1.2694850305255347</v>
      </c>
      <c r="D529" s="172">
        <v>3.2127045366234341E-2</v>
      </c>
      <c r="E529" s="171"/>
      <c r="F529" s="173">
        <f>MCond(B528:D530)</f>
        <v>7.2055376032001162</v>
      </c>
      <c r="J529">
        <v>184</v>
      </c>
      <c r="K529" s="35">
        <v>4.638002539904412</v>
      </c>
    </row>
    <row r="530" spans="1:11">
      <c r="A530" s="171"/>
      <c r="B530" s="172">
        <v>1.3773893306068323</v>
      </c>
      <c r="C530" s="172">
        <v>1.5521003879162059</v>
      </c>
      <c r="D530" s="172">
        <v>-0.65590292152571228</v>
      </c>
      <c r="E530" s="171"/>
      <c r="F530" s="173"/>
      <c r="J530">
        <v>154</v>
      </c>
      <c r="K530" s="35">
        <v>4.5861496106463111</v>
      </c>
    </row>
    <row r="531" spans="1:11">
      <c r="A531" s="171"/>
      <c r="B531" s="172"/>
      <c r="C531" s="172"/>
      <c r="D531" s="172"/>
      <c r="E531" s="171"/>
      <c r="F531" s="174"/>
      <c r="J531">
        <v>11</v>
      </c>
      <c r="K531" s="35">
        <v>4.497468867237159</v>
      </c>
    </row>
    <row r="532" spans="1:11">
      <c r="A532" s="171"/>
      <c r="B532" s="172">
        <v>2.44475956514645</v>
      </c>
      <c r="C532" s="172">
        <v>-0.85548399177677847</v>
      </c>
      <c r="D532" s="172">
        <v>5.2896656816179721E-2</v>
      </c>
      <c r="E532" s="171"/>
      <c r="F532" s="173"/>
      <c r="J532">
        <v>152</v>
      </c>
      <c r="K532" s="35">
        <v>4.4471433415054369</v>
      </c>
    </row>
    <row r="533" spans="1:11">
      <c r="A533" s="171" t="s">
        <v>344</v>
      </c>
      <c r="B533" s="172">
        <v>2.8449497700634536</v>
      </c>
      <c r="C533" s="172">
        <v>0.22852225552422287</v>
      </c>
      <c r="D533" s="172">
        <v>6.9737163040410666E-2</v>
      </c>
      <c r="E533" s="171"/>
      <c r="F533" s="173">
        <f>MCond(B532:D534)</f>
        <v>79.914011691529879</v>
      </c>
      <c r="J533">
        <v>277</v>
      </c>
      <c r="K533" s="35">
        <v>4.4300562065933597</v>
      </c>
    </row>
    <row r="534" spans="1:11">
      <c r="A534" s="171"/>
      <c r="B534" s="172">
        <v>0.36768865949079377</v>
      </c>
      <c r="C534" s="172">
        <v>1.2890795247765441</v>
      </c>
      <c r="D534" s="172">
        <v>0.10954983766095538</v>
      </c>
      <c r="E534" s="171"/>
      <c r="F534" s="173"/>
      <c r="J534">
        <v>190</v>
      </c>
      <c r="K534" s="35">
        <v>4.3704074811251417</v>
      </c>
    </row>
    <row r="535" spans="1:11">
      <c r="A535" s="171"/>
      <c r="B535" s="172"/>
      <c r="C535" s="172"/>
      <c r="D535" s="172"/>
      <c r="E535" s="171"/>
      <c r="F535" s="174"/>
      <c r="J535">
        <v>253</v>
      </c>
      <c r="K535" s="35">
        <v>4.3649803826438793</v>
      </c>
    </row>
    <row r="536" spans="1:11">
      <c r="A536" s="171"/>
      <c r="B536" s="172">
        <v>2.44475956514645</v>
      </c>
      <c r="C536" s="172">
        <v>-0.85548399177677847</v>
      </c>
      <c r="D536" s="172">
        <v>5.2896656816179721E-2</v>
      </c>
      <c r="E536" s="171"/>
      <c r="F536" s="173"/>
      <c r="J536">
        <v>268</v>
      </c>
      <c r="K536" s="35">
        <v>4.3639483646416055</v>
      </c>
    </row>
    <row r="537" spans="1:11">
      <c r="A537" s="171" t="s">
        <v>345</v>
      </c>
      <c r="B537" s="172">
        <v>2.8449497700634536</v>
      </c>
      <c r="C537" s="172">
        <v>0.22852225552422287</v>
      </c>
      <c r="D537" s="172">
        <v>6.9737163040410666E-2</v>
      </c>
      <c r="E537" s="171"/>
      <c r="F537" s="173">
        <f>MCond(B536:D538)</f>
        <v>384.18771801649655</v>
      </c>
      <c r="J537">
        <v>117</v>
      </c>
      <c r="K537" s="35">
        <v>4.292123906712999</v>
      </c>
    </row>
    <row r="538" spans="1:11">
      <c r="A538" s="171"/>
      <c r="B538" s="172">
        <v>1.9865190328797109</v>
      </c>
      <c r="C538" s="172">
        <v>1.2694850305255347</v>
      </c>
      <c r="D538" s="172">
        <v>3.2127045366234341E-2</v>
      </c>
      <c r="E538" s="171"/>
      <c r="F538" s="173"/>
      <c r="J538">
        <v>250</v>
      </c>
      <c r="K538" s="35">
        <v>4.2840265157871062</v>
      </c>
    </row>
    <row r="539" spans="1:11">
      <c r="A539" s="171"/>
      <c r="B539" s="172"/>
      <c r="C539" s="172"/>
      <c r="D539" s="172"/>
      <c r="E539" s="171"/>
      <c r="F539" s="174"/>
      <c r="J539">
        <v>199</v>
      </c>
      <c r="K539" s="35">
        <v>4.2325598033353158</v>
      </c>
    </row>
    <row r="540" spans="1:11">
      <c r="A540" s="171"/>
      <c r="B540" s="172">
        <v>2.44475956514645</v>
      </c>
      <c r="C540" s="172">
        <v>-0.85548399177677847</v>
      </c>
      <c r="D540" s="172">
        <v>5.2896656816179721E-2</v>
      </c>
      <c r="E540" s="171"/>
      <c r="F540" s="173"/>
      <c r="J540">
        <v>76</v>
      </c>
      <c r="K540" s="35">
        <v>4.2243239500446652</v>
      </c>
    </row>
    <row r="541" spans="1:11">
      <c r="A541" s="171" t="s">
        <v>346</v>
      </c>
      <c r="B541" s="172">
        <v>2.8449497700634536</v>
      </c>
      <c r="C541" s="172">
        <v>0.22852225552422287</v>
      </c>
      <c r="D541" s="172">
        <v>6.9737163040410666E-2</v>
      </c>
      <c r="E541" s="171"/>
      <c r="F541" s="173">
        <f>MCond(B540:D542)</f>
        <v>14.309656637068336</v>
      </c>
      <c r="J541">
        <v>238</v>
      </c>
      <c r="K541" s="35">
        <v>4.2207727224315219</v>
      </c>
    </row>
    <row r="542" spans="1:11">
      <c r="A542" s="171"/>
      <c r="B542" s="172">
        <v>1.3773893306068323</v>
      </c>
      <c r="C542" s="172">
        <v>1.5521003879162059</v>
      </c>
      <c r="D542" s="172">
        <v>-0.65590292152571228</v>
      </c>
      <c r="E542" s="171"/>
      <c r="F542" s="173"/>
      <c r="J542">
        <v>276</v>
      </c>
      <c r="K542" s="35">
        <v>4.1936501463501141</v>
      </c>
    </row>
    <row r="543" spans="1:11">
      <c r="A543" s="171"/>
      <c r="B543" s="172"/>
      <c r="C543" s="172"/>
      <c r="D543" s="172"/>
      <c r="E543" s="171"/>
      <c r="F543" s="174"/>
      <c r="J543">
        <v>208</v>
      </c>
      <c r="K543" s="35">
        <v>4.1630934361703984</v>
      </c>
    </row>
    <row r="544" spans="1:11">
      <c r="A544" s="171"/>
      <c r="B544" s="172">
        <v>2.44475956514645</v>
      </c>
      <c r="C544" s="172">
        <v>-0.85548399177677847</v>
      </c>
      <c r="D544" s="172">
        <v>5.2896656816179721E-2</v>
      </c>
      <c r="E544" s="171"/>
      <c r="F544" s="173"/>
      <c r="J544">
        <v>255</v>
      </c>
      <c r="K544" s="35">
        <v>4.155062022143496</v>
      </c>
    </row>
    <row r="545" spans="1:11">
      <c r="A545" s="171" t="s">
        <v>347</v>
      </c>
      <c r="B545" s="172">
        <v>0.36768865949079377</v>
      </c>
      <c r="C545" s="172">
        <v>1.2890795247765441</v>
      </c>
      <c r="D545" s="172">
        <v>0.10954983766095538</v>
      </c>
      <c r="E545" s="171"/>
      <c r="F545" s="173">
        <f>MCond(B544:D546)</f>
        <v>38.193455921208319</v>
      </c>
      <c r="J545">
        <v>16</v>
      </c>
      <c r="K545" s="35">
        <v>4.1121618081555962</v>
      </c>
    </row>
    <row r="546" spans="1:11">
      <c r="A546" s="171"/>
      <c r="B546" s="172">
        <v>1.9865190328797109</v>
      </c>
      <c r="C546" s="172">
        <v>1.2694850305255347</v>
      </c>
      <c r="D546" s="172">
        <v>3.2127045366234341E-2</v>
      </c>
      <c r="E546" s="171"/>
      <c r="F546" s="173"/>
      <c r="J546">
        <v>189</v>
      </c>
      <c r="K546" s="35">
        <v>4.0515953972785423</v>
      </c>
    </row>
    <row r="547" spans="1:11">
      <c r="A547" s="171"/>
      <c r="B547" s="172"/>
      <c r="C547" s="172"/>
      <c r="D547" s="172"/>
      <c r="E547" s="171"/>
      <c r="F547" s="174"/>
      <c r="J547">
        <v>36</v>
      </c>
      <c r="K547" s="35">
        <v>4.0468810703453864</v>
      </c>
    </row>
    <row r="548" spans="1:11">
      <c r="A548" s="171"/>
      <c r="B548" s="172">
        <v>2.44475956514645</v>
      </c>
      <c r="C548" s="172">
        <v>-0.85548399177677847</v>
      </c>
      <c r="D548" s="172">
        <v>5.2896656816179721E-2</v>
      </c>
      <c r="E548" s="171"/>
      <c r="F548" s="173"/>
      <c r="J548">
        <v>243</v>
      </c>
      <c r="K548" s="35">
        <v>4.0321439196075497</v>
      </c>
    </row>
    <row r="549" spans="1:11">
      <c r="A549" s="171" t="s">
        <v>348</v>
      </c>
      <c r="B549" s="172">
        <v>0.36768865949079377</v>
      </c>
      <c r="C549" s="172">
        <v>1.2890795247765441</v>
      </c>
      <c r="D549" s="172">
        <v>0.10954983766095538</v>
      </c>
      <c r="E549" s="171"/>
      <c r="F549" s="173">
        <f>MCond(B548:D550)</f>
        <v>6.2639720915040158</v>
      </c>
      <c r="J549">
        <v>38</v>
      </c>
      <c r="K549" s="35">
        <v>4.0319098330014373</v>
      </c>
    </row>
    <row r="550" spans="1:11">
      <c r="A550" s="171"/>
      <c r="B550" s="172">
        <v>1.3773893306068323</v>
      </c>
      <c r="C550" s="172">
        <v>1.5521003879162059</v>
      </c>
      <c r="D550" s="172">
        <v>-0.65590292152571228</v>
      </c>
      <c r="E550" s="171"/>
      <c r="F550" s="173"/>
      <c r="J550">
        <v>215</v>
      </c>
      <c r="K550" s="35">
        <v>3.9236550276169364</v>
      </c>
    </row>
    <row r="551" spans="1:11">
      <c r="A551" s="171"/>
      <c r="B551" s="172"/>
      <c r="C551" s="172"/>
      <c r="D551" s="172"/>
      <c r="E551" s="171"/>
      <c r="F551" s="174"/>
      <c r="J551">
        <v>74</v>
      </c>
      <c r="K551" s="35">
        <v>3.9026598544515507</v>
      </c>
    </row>
    <row r="552" spans="1:11">
      <c r="A552" s="171"/>
      <c r="B552" s="172">
        <v>2.44475956514645</v>
      </c>
      <c r="C552" s="172">
        <v>-0.85548399177677847</v>
      </c>
      <c r="D552" s="172">
        <v>5.2896656816179721E-2</v>
      </c>
      <c r="E552" s="171"/>
      <c r="F552" s="173"/>
      <c r="J552">
        <v>24</v>
      </c>
      <c r="K552" s="35">
        <v>3.8811004351956018</v>
      </c>
    </row>
    <row r="553" spans="1:11">
      <c r="A553" s="171" t="s">
        <v>349</v>
      </c>
      <c r="B553" s="172">
        <v>1.9865190328797109</v>
      </c>
      <c r="C553" s="172">
        <v>1.2694850305255347</v>
      </c>
      <c r="D553" s="172">
        <v>3.2127045366234341E-2</v>
      </c>
      <c r="E553" s="171"/>
      <c r="F553" s="173">
        <f>MCond(B552:D554)</f>
        <v>7.9300802487334305</v>
      </c>
      <c r="J553">
        <v>72</v>
      </c>
      <c r="K553" s="35">
        <v>3.8029292847047502</v>
      </c>
    </row>
    <row r="554" spans="1:11">
      <c r="A554" s="171"/>
      <c r="B554" s="172">
        <v>1.3773893306068323</v>
      </c>
      <c r="C554" s="172">
        <v>1.5521003879162059</v>
      </c>
      <c r="D554" s="172">
        <v>-0.65590292152571228</v>
      </c>
      <c r="E554" s="171"/>
      <c r="F554" s="173"/>
      <c r="J554">
        <v>200</v>
      </c>
      <c r="K554" s="35">
        <v>3.743001491301829</v>
      </c>
    </row>
    <row r="555" spans="1:11">
      <c r="A555" s="171"/>
      <c r="B555" s="172"/>
      <c r="C555" s="172"/>
      <c r="D555" s="172"/>
      <c r="E555" s="171"/>
      <c r="F555" s="174"/>
      <c r="J555">
        <v>222</v>
      </c>
      <c r="K555" s="35">
        <v>3.7367318839826384</v>
      </c>
    </row>
    <row r="556" spans="1:11">
      <c r="A556" s="171"/>
      <c r="B556" s="172">
        <v>2.8449497700634536</v>
      </c>
      <c r="C556" s="172">
        <v>0.22852225552422287</v>
      </c>
      <c r="D556" s="172">
        <v>6.9737163040410666E-2</v>
      </c>
      <c r="E556" s="171"/>
      <c r="F556" s="173"/>
      <c r="J556">
        <v>2</v>
      </c>
      <c r="K556" s="35">
        <v>3.6962112341108457</v>
      </c>
    </row>
    <row r="557" spans="1:11">
      <c r="A557" s="171" t="s">
        <v>350</v>
      </c>
      <c r="B557" s="172">
        <v>0.36768865949079377</v>
      </c>
      <c r="C557" s="172">
        <v>1.2890795247765441</v>
      </c>
      <c r="D557" s="172">
        <v>0.10954983766095538</v>
      </c>
      <c r="E557" s="171"/>
      <c r="F557" s="173">
        <f>MCond(B556:D558)</f>
        <v>50.896502091007278</v>
      </c>
      <c r="J557">
        <v>279</v>
      </c>
      <c r="K557" s="35">
        <v>3.6876331792039538</v>
      </c>
    </row>
    <row r="558" spans="1:11">
      <c r="A558" s="171"/>
      <c r="B558" s="172">
        <v>1.9865190328797109</v>
      </c>
      <c r="C558" s="172">
        <v>1.2694850305255347</v>
      </c>
      <c r="D558" s="172">
        <v>3.2127045366234341E-2</v>
      </c>
      <c r="E558" s="171"/>
      <c r="F558" s="173"/>
      <c r="J558">
        <v>10</v>
      </c>
      <c r="K558" s="35">
        <v>3.6568969588621991</v>
      </c>
    </row>
    <row r="559" spans="1:11">
      <c r="A559" s="171"/>
      <c r="B559" s="172"/>
      <c r="C559" s="172"/>
      <c r="D559" s="172"/>
      <c r="E559" s="171"/>
      <c r="F559" s="174"/>
      <c r="J559">
        <v>257</v>
      </c>
      <c r="K559" s="35">
        <v>3.5193506190429562</v>
      </c>
    </row>
    <row r="560" spans="1:11">
      <c r="A560" s="171"/>
      <c r="B560" s="172">
        <v>2.8449497700634536</v>
      </c>
      <c r="C560" s="172">
        <v>0.22852225552422287</v>
      </c>
      <c r="D560" s="172">
        <v>6.9737163040410666E-2</v>
      </c>
      <c r="E560" s="171"/>
      <c r="F560" s="173"/>
      <c r="J560">
        <v>241</v>
      </c>
      <c r="K560" s="35">
        <v>3.455632551064447</v>
      </c>
    </row>
    <row r="561" spans="1:11">
      <c r="A561" s="171" t="s">
        <v>351</v>
      </c>
      <c r="B561" s="172">
        <v>0.36768865949079377</v>
      </c>
      <c r="C561" s="172">
        <v>1.2890795247765441</v>
      </c>
      <c r="D561" s="172">
        <v>0.10954983766095538</v>
      </c>
      <c r="E561" s="171"/>
      <c r="F561" s="173">
        <f>MCond(B560:D562)</f>
        <v>6.7566483524299317</v>
      </c>
      <c r="J561">
        <v>270</v>
      </c>
      <c r="K561" s="35">
        <v>3.4265372448109996</v>
      </c>
    </row>
    <row r="562" spans="1:11">
      <c r="A562" s="171"/>
      <c r="B562" s="172">
        <v>1.3773893306068323</v>
      </c>
      <c r="C562" s="172">
        <v>1.5521003879162059</v>
      </c>
      <c r="D562" s="172">
        <v>-0.65590292152571228</v>
      </c>
      <c r="E562" s="171"/>
      <c r="F562" s="173"/>
      <c r="J562">
        <v>209</v>
      </c>
      <c r="K562" s="35">
        <v>3.3413406696182579</v>
      </c>
    </row>
    <row r="563" spans="1:11">
      <c r="A563" s="171"/>
      <c r="B563" s="172"/>
      <c r="C563" s="172"/>
      <c r="D563" s="172"/>
      <c r="E563" s="171"/>
      <c r="F563" s="174"/>
      <c r="J563">
        <v>225</v>
      </c>
      <c r="K563" s="35">
        <v>3.3124115126012943</v>
      </c>
    </row>
    <row r="564" spans="1:11">
      <c r="A564" s="171"/>
      <c r="B564" s="172">
        <v>2.8449497700634536</v>
      </c>
      <c r="C564" s="172">
        <v>0.22852225552422287</v>
      </c>
      <c r="D564" s="172">
        <v>6.9737163040410666E-2</v>
      </c>
      <c r="E564" s="171"/>
      <c r="F564" s="173"/>
      <c r="J564">
        <v>245</v>
      </c>
      <c r="K564" s="35">
        <v>3.1934764631216082</v>
      </c>
    </row>
    <row r="565" spans="1:11">
      <c r="A565" s="171" t="s">
        <v>352</v>
      </c>
      <c r="B565" s="172">
        <v>1.9865190328797109</v>
      </c>
      <c r="C565" s="172">
        <v>1.2694850305255347</v>
      </c>
      <c r="D565" s="172">
        <v>3.2127045366234341E-2</v>
      </c>
      <c r="E565" s="171"/>
      <c r="F565" s="173">
        <f>MCond(B564:D566)</f>
        <v>10.927909861320535</v>
      </c>
      <c r="J565">
        <v>28</v>
      </c>
      <c r="K565" s="35">
        <v>3.1648692167093064</v>
      </c>
    </row>
    <row r="566" spans="1:11">
      <c r="A566" s="171"/>
      <c r="B566" s="172">
        <v>1.3773893306068323</v>
      </c>
      <c r="C566" s="172">
        <v>1.5521003879162059</v>
      </c>
      <c r="D566" s="172">
        <v>-0.65590292152571228</v>
      </c>
      <c r="E566" s="171"/>
      <c r="F566" s="173"/>
      <c r="J566">
        <v>18</v>
      </c>
      <c r="K566" s="35">
        <v>3.0892013418031681</v>
      </c>
    </row>
    <row r="567" spans="1:11">
      <c r="A567" s="171"/>
      <c r="B567" s="172"/>
      <c r="C567" s="172"/>
      <c r="D567" s="172"/>
      <c r="E567" s="171"/>
      <c r="F567" s="174"/>
      <c r="J567">
        <v>258</v>
      </c>
      <c r="K567" s="35">
        <v>2.9250187817951137</v>
      </c>
    </row>
    <row r="568" spans="1:11">
      <c r="A568" s="171"/>
      <c r="B568" s="172">
        <v>0.36768865949079377</v>
      </c>
      <c r="C568" s="172">
        <v>1.2890795247765441</v>
      </c>
      <c r="D568" s="172">
        <v>0.10954983766095538</v>
      </c>
      <c r="E568" s="171"/>
      <c r="F568" s="173"/>
      <c r="J568">
        <v>12</v>
      </c>
      <c r="K568" s="35">
        <v>2.7091989128856673</v>
      </c>
    </row>
    <row r="569" spans="1:11">
      <c r="A569" s="171" t="s">
        <v>353</v>
      </c>
      <c r="B569" s="172">
        <v>1.9865190328797109</v>
      </c>
      <c r="C569" s="172">
        <v>1.2694850305255347</v>
      </c>
      <c r="D569" s="172">
        <v>3.2127045366234341E-2</v>
      </c>
      <c r="E569" s="171"/>
      <c r="F569" s="173">
        <f>MCond(B568:D570)</f>
        <v>5.9522483324166</v>
      </c>
      <c r="J569">
        <v>3</v>
      </c>
      <c r="K569" s="35">
        <v>2.6538713862709233</v>
      </c>
    </row>
    <row r="570" spans="1:11">
      <c r="A570" s="171"/>
      <c r="B570" s="172">
        <v>1.3773893306068323</v>
      </c>
      <c r="C570" s="172">
        <v>1.5521003879162059</v>
      </c>
      <c r="D570" s="172">
        <v>-0.65590292152571228</v>
      </c>
      <c r="E570" s="171"/>
      <c r="F570" s="173"/>
      <c r="J570">
        <v>260</v>
      </c>
      <c r="K570" s="35">
        <v>2.6374470926098281</v>
      </c>
    </row>
    <row r="571" spans="1:11">
      <c r="A571" s="171"/>
      <c r="B571" s="172"/>
      <c r="C571" s="172"/>
      <c r="D571" s="172"/>
      <c r="E571" s="171"/>
      <c r="F571" s="174"/>
      <c r="J571">
        <v>19</v>
      </c>
      <c r="K571" s="35">
        <v>2.5761959575841629</v>
      </c>
    </row>
    <row r="572" spans="1:11">
      <c r="A572" s="171"/>
      <c r="B572" s="172">
        <v>-1.4421025939282253</v>
      </c>
      <c r="C572" s="172">
        <v>-1.0431877148697888</v>
      </c>
      <c r="D572" s="172">
        <v>-0.78932433807079116</v>
      </c>
      <c r="E572" s="171"/>
      <c r="F572" s="173"/>
      <c r="J572">
        <v>4</v>
      </c>
      <c r="K572" s="35">
        <v>2.3783411134574881</v>
      </c>
    </row>
    <row r="573" spans="1:11">
      <c r="A573" s="171" t="s">
        <v>354</v>
      </c>
      <c r="B573" s="172">
        <v>-2.6959782234951333</v>
      </c>
      <c r="C573" s="172">
        <v>-1.0757798809975587</v>
      </c>
      <c r="D573" s="172">
        <v>-4.997772423355884E-2</v>
      </c>
      <c r="E573" s="171"/>
      <c r="F573" s="173">
        <f>MCond(B572:D574)</f>
        <v>5.9241424686026916</v>
      </c>
      <c r="J573">
        <v>5</v>
      </c>
      <c r="K573" s="35">
        <v>2.2222525155344348</v>
      </c>
    </row>
    <row r="574" spans="1:11">
      <c r="A574" s="171"/>
      <c r="B574" s="172">
        <v>-0.40019020491700363</v>
      </c>
      <c r="C574" s="172">
        <v>-1.0840062473010013</v>
      </c>
      <c r="D574" s="172">
        <v>-1.6840506224230944E-2</v>
      </c>
      <c r="E574" s="171"/>
      <c r="F574" s="173"/>
      <c r="K574" s="35"/>
    </row>
    <row r="575" spans="1:11">
      <c r="A575" s="171"/>
      <c r="B575" s="172"/>
      <c r="C575" s="172"/>
      <c r="D575" s="172"/>
      <c r="E575" s="171"/>
      <c r="F575" s="174"/>
      <c r="K575" s="35"/>
    </row>
    <row r="576" spans="1:11">
      <c r="A576" s="171"/>
      <c r="B576" s="172">
        <v>-1.4421025939282253</v>
      </c>
      <c r="C576" s="172">
        <v>-1.0431877148697888</v>
      </c>
      <c r="D576" s="172">
        <v>-0.78932433807079116</v>
      </c>
      <c r="E576" s="171"/>
      <c r="F576" s="173"/>
      <c r="K576" s="35"/>
    </row>
    <row r="577" spans="1:11">
      <c r="A577" s="171" t="s">
        <v>355</v>
      </c>
      <c r="B577" s="172">
        <v>-2.6959782234951333</v>
      </c>
      <c r="C577" s="172">
        <v>-1.0757798809975587</v>
      </c>
      <c r="D577" s="172">
        <v>-4.997772423355884E-2</v>
      </c>
      <c r="E577" s="171"/>
      <c r="F577" s="173">
        <f>MCond(B576:D578)</f>
        <v>10.502318144486368</v>
      </c>
      <c r="K577" s="35"/>
    </row>
    <row r="578" spans="1:11">
      <c r="A578" s="171"/>
      <c r="B578" s="172">
        <v>-2.8449497700634536</v>
      </c>
      <c r="C578" s="172">
        <v>-0.22852225552422287</v>
      </c>
      <c r="D578" s="172">
        <v>-6.9737163040410666E-2</v>
      </c>
      <c r="E578" s="171"/>
      <c r="F578" s="173"/>
      <c r="K578" s="35"/>
    </row>
    <row r="579" spans="1:11">
      <c r="A579" s="171"/>
      <c r="B579" s="172"/>
      <c r="C579" s="172"/>
      <c r="D579" s="172"/>
      <c r="E579" s="171"/>
      <c r="F579" s="174"/>
      <c r="K579" s="35"/>
    </row>
    <row r="580" spans="1:11">
      <c r="A580" s="171"/>
      <c r="B580" s="172">
        <v>-1.4421025939282253</v>
      </c>
      <c r="C580" s="172">
        <v>-1.0431877148697888</v>
      </c>
      <c r="D580" s="172">
        <v>-0.78932433807079116</v>
      </c>
      <c r="E580" s="171"/>
      <c r="F580" s="173"/>
      <c r="K580" s="35"/>
    </row>
    <row r="581" spans="1:11">
      <c r="A581" s="171" t="s">
        <v>356</v>
      </c>
      <c r="B581" s="172">
        <v>-2.6959782234951333</v>
      </c>
      <c r="C581" s="172">
        <v>-1.0757798809975587</v>
      </c>
      <c r="D581" s="172">
        <v>-4.997772423355884E-2</v>
      </c>
      <c r="E581" s="171"/>
      <c r="F581" s="173">
        <f>MCond(B580:D582)</f>
        <v>7.0264412742510673</v>
      </c>
      <c r="K581" s="35"/>
    </row>
    <row r="582" spans="1:11">
      <c r="A582" s="171"/>
      <c r="B582" s="172">
        <v>-2.4772611105726599</v>
      </c>
      <c r="C582" s="172">
        <v>1.0605572692523213</v>
      </c>
      <c r="D582" s="172">
        <v>3.9812674620544719E-2</v>
      </c>
      <c r="E582" s="171"/>
      <c r="F582" s="173"/>
      <c r="K582" s="35"/>
    </row>
    <row r="583" spans="1:11">
      <c r="A583" s="171"/>
      <c r="B583" s="172"/>
      <c r="C583" s="172"/>
      <c r="D583" s="172"/>
      <c r="E583" s="171"/>
      <c r="F583" s="174"/>
      <c r="K583" s="35"/>
    </row>
    <row r="584" spans="1:11">
      <c r="A584" s="171"/>
      <c r="B584" s="172">
        <v>-1.4421025939282253</v>
      </c>
      <c r="C584" s="172">
        <v>-1.0431877148697888</v>
      </c>
      <c r="D584" s="172">
        <v>-0.78932433807079116</v>
      </c>
      <c r="E584" s="171"/>
      <c r="F584" s="173"/>
      <c r="K584" s="35"/>
    </row>
    <row r="585" spans="1:11">
      <c r="A585" s="171" t="s">
        <v>357</v>
      </c>
      <c r="B585" s="172">
        <v>-2.6959782234951333</v>
      </c>
      <c r="C585" s="172">
        <v>-1.0757798809975587</v>
      </c>
      <c r="D585" s="172">
        <v>-4.997772423355884E-2</v>
      </c>
      <c r="E585" s="171"/>
      <c r="F585" s="173">
        <f>MCond(B584:D586)</f>
        <v>5.6287738318733966</v>
      </c>
      <c r="K585" s="35"/>
    </row>
    <row r="586" spans="1:11">
      <c r="A586" s="171"/>
      <c r="B586" s="172">
        <v>-0.85843073718374274</v>
      </c>
      <c r="C586" s="172">
        <v>1.040962775001312</v>
      </c>
      <c r="D586" s="172">
        <v>-3.7610117674176324E-2</v>
      </c>
      <c r="E586" s="171"/>
      <c r="F586" s="173"/>
      <c r="K586" s="35"/>
    </row>
    <row r="587" spans="1:11">
      <c r="A587" s="171"/>
      <c r="B587" s="172"/>
      <c r="C587" s="172"/>
      <c r="D587" s="172"/>
      <c r="E587" s="171"/>
      <c r="F587" s="174"/>
      <c r="K587" s="35"/>
    </row>
    <row r="588" spans="1:11">
      <c r="A588" s="171"/>
      <c r="B588" s="172">
        <v>-1.4421025939282253</v>
      </c>
      <c r="C588" s="172">
        <v>-1.0431877148697888</v>
      </c>
      <c r="D588" s="172">
        <v>-0.78932433807079116</v>
      </c>
      <c r="E588" s="171"/>
      <c r="F588" s="173"/>
      <c r="K588" s="35"/>
    </row>
    <row r="589" spans="1:11">
      <c r="A589" s="171" t="s">
        <v>358</v>
      </c>
      <c r="B589" s="172">
        <v>-2.6959782234951333</v>
      </c>
      <c r="C589" s="172">
        <v>-1.0757798809975587</v>
      </c>
      <c r="D589" s="172">
        <v>-4.997772423355884E-2</v>
      </c>
      <c r="E589" s="171"/>
      <c r="F589" s="173">
        <f>MCond(B588:D590)</f>
        <v>4.9007064832167684</v>
      </c>
      <c r="K589" s="35"/>
    </row>
    <row r="590" spans="1:11">
      <c r="A590" s="171"/>
      <c r="B590" s="172">
        <v>-1.4675604394566215</v>
      </c>
      <c r="C590" s="172">
        <v>1.3235781323919831</v>
      </c>
      <c r="D590" s="172">
        <v>-0.72564008456612294</v>
      </c>
      <c r="E590" s="171"/>
      <c r="F590" s="173"/>
      <c r="K590" s="35"/>
    </row>
    <row r="591" spans="1:11">
      <c r="A591" s="171"/>
      <c r="B591" s="172"/>
      <c r="C591" s="172"/>
      <c r="D591" s="172"/>
      <c r="E591" s="171"/>
      <c r="F591" s="174"/>
      <c r="K591" s="35"/>
    </row>
    <row r="592" spans="1:11">
      <c r="A592" s="171"/>
      <c r="B592" s="172">
        <v>-1.4421025939282253</v>
      </c>
      <c r="C592" s="172">
        <v>-1.0431877148697888</v>
      </c>
      <c r="D592" s="172">
        <v>-0.78932433807079116</v>
      </c>
      <c r="E592" s="171"/>
      <c r="F592" s="173"/>
      <c r="K592" s="35"/>
    </row>
    <row r="593" spans="1:11">
      <c r="A593" s="171" t="s">
        <v>359</v>
      </c>
      <c r="B593" s="172">
        <v>-0.40019020491700363</v>
      </c>
      <c r="C593" s="172">
        <v>-1.0840062473010013</v>
      </c>
      <c r="D593" s="172">
        <v>-1.6840506224230944E-2</v>
      </c>
      <c r="E593" s="171"/>
      <c r="F593" s="173">
        <f>MCond(B592:D594)</f>
        <v>6.5952649754803758</v>
      </c>
      <c r="K593" s="35"/>
    </row>
    <row r="594" spans="1:11">
      <c r="A594" s="171"/>
      <c r="B594" s="172">
        <v>-2.8449497700634536</v>
      </c>
      <c r="C594" s="172">
        <v>-0.22852225552422287</v>
      </c>
      <c r="D594" s="172">
        <v>-6.9737163040410666E-2</v>
      </c>
      <c r="E594" s="171"/>
      <c r="F594" s="173"/>
      <c r="K594" s="35"/>
    </row>
    <row r="595" spans="1:11">
      <c r="A595" s="171"/>
      <c r="B595" s="172"/>
      <c r="C595" s="172"/>
      <c r="D595" s="172"/>
      <c r="E595" s="171"/>
      <c r="F595" s="174"/>
      <c r="K595" s="35"/>
    </row>
    <row r="596" spans="1:11">
      <c r="A596" s="171"/>
      <c r="B596" s="172">
        <v>-1.4421025939282253</v>
      </c>
      <c r="C596" s="172">
        <v>-1.0431877148697888</v>
      </c>
      <c r="D596" s="172">
        <v>-0.78932433807079116</v>
      </c>
      <c r="E596" s="171"/>
      <c r="F596" s="173"/>
      <c r="K596" s="35"/>
    </row>
    <row r="597" spans="1:11">
      <c r="A597" s="171" t="s">
        <v>360</v>
      </c>
      <c r="B597" s="172">
        <v>-0.40019020491700363</v>
      </c>
      <c r="C597" s="172">
        <v>-1.0840062473010013</v>
      </c>
      <c r="D597" s="172">
        <v>-1.6840506224230944E-2</v>
      </c>
      <c r="E597" s="171"/>
      <c r="F597" s="173">
        <f>MCond(B596:D598)</f>
        <v>6.7148325139077363</v>
      </c>
      <c r="K597" s="35"/>
    </row>
    <row r="598" spans="1:11">
      <c r="A598" s="171"/>
      <c r="B598" s="172">
        <v>-2.4772611105726599</v>
      </c>
      <c r="C598" s="172">
        <v>1.0605572692523213</v>
      </c>
      <c r="D598" s="172">
        <v>3.9812674620544719E-2</v>
      </c>
      <c r="E598" s="171"/>
      <c r="F598" s="173"/>
      <c r="K598" s="35"/>
    </row>
    <row r="599" spans="1:11">
      <c r="A599" s="171"/>
      <c r="B599" s="172"/>
      <c r="C599" s="172"/>
      <c r="D599" s="172"/>
      <c r="E599" s="171"/>
      <c r="F599" s="174"/>
      <c r="K599" s="35"/>
    </row>
    <row r="600" spans="1:11">
      <c r="A600" s="171"/>
      <c r="B600" s="172">
        <v>-1.4421025939282253</v>
      </c>
      <c r="C600" s="172">
        <v>-1.0431877148697888</v>
      </c>
      <c r="D600" s="172">
        <v>-0.78932433807079116</v>
      </c>
      <c r="E600" s="171"/>
      <c r="F600" s="173"/>
      <c r="K600" s="35"/>
    </row>
    <row r="601" spans="1:11">
      <c r="A601" s="171" t="s">
        <v>361</v>
      </c>
      <c r="B601" s="172">
        <v>-0.40019020491700363</v>
      </c>
      <c r="C601" s="172">
        <v>-1.0840062473010013</v>
      </c>
      <c r="D601" s="172">
        <v>-1.6840506224230944E-2</v>
      </c>
      <c r="E601" s="171"/>
      <c r="F601" s="173">
        <f>MCond(B600:D602)</f>
        <v>7.0402993519910142</v>
      </c>
      <c r="K601" s="35"/>
    </row>
    <row r="602" spans="1:11">
      <c r="A602" s="171"/>
      <c r="B602" s="172">
        <v>-0.85843073718374274</v>
      </c>
      <c r="C602" s="172">
        <v>1.040962775001312</v>
      </c>
      <c r="D602" s="172">
        <v>-3.7610117674176324E-2</v>
      </c>
      <c r="E602" s="171"/>
      <c r="F602" s="173"/>
      <c r="K602" s="35"/>
    </row>
    <row r="603" spans="1:11">
      <c r="A603" s="171"/>
      <c r="B603" s="172"/>
      <c r="C603" s="172"/>
      <c r="D603" s="172"/>
      <c r="E603" s="171"/>
      <c r="F603" s="174"/>
      <c r="K603" s="35"/>
    </row>
    <row r="604" spans="1:11">
      <c r="A604" s="171"/>
      <c r="B604" s="172">
        <v>-1.4421025939282253</v>
      </c>
      <c r="C604" s="172">
        <v>-1.0431877148697888</v>
      </c>
      <c r="D604" s="172">
        <v>-0.78932433807079116</v>
      </c>
      <c r="E604" s="171"/>
      <c r="F604" s="173"/>
      <c r="K604" s="35"/>
    </row>
    <row r="605" spans="1:11">
      <c r="A605" s="171" t="s">
        <v>362</v>
      </c>
      <c r="B605" s="172">
        <v>-0.40019020491700363</v>
      </c>
      <c r="C605" s="172">
        <v>-1.0840062473010013</v>
      </c>
      <c r="D605" s="172">
        <v>-1.6840506224230944E-2</v>
      </c>
      <c r="E605" s="171"/>
      <c r="F605" s="173">
        <f>MCond(B604:D606)</f>
        <v>14.088858695576636</v>
      </c>
      <c r="K605" s="35"/>
    </row>
    <row r="606" spans="1:11">
      <c r="A606" s="171"/>
      <c r="B606" s="172">
        <v>-1.4675604394566215</v>
      </c>
      <c r="C606" s="172">
        <v>1.3235781323919831</v>
      </c>
      <c r="D606" s="172">
        <v>-0.72564008456612294</v>
      </c>
      <c r="E606" s="171"/>
      <c r="F606" s="173"/>
      <c r="K606" s="35"/>
    </row>
    <row r="607" spans="1:11">
      <c r="A607" s="171"/>
      <c r="B607" s="172"/>
      <c r="C607" s="172"/>
      <c r="D607" s="172"/>
      <c r="E607" s="171"/>
      <c r="F607" s="174"/>
      <c r="K607" s="35"/>
    </row>
    <row r="608" spans="1:11">
      <c r="A608" s="171"/>
      <c r="B608" s="172">
        <v>-1.4421025939282253</v>
      </c>
      <c r="C608" s="172">
        <v>-1.0431877148697888</v>
      </c>
      <c r="D608" s="172">
        <v>-0.78932433807079116</v>
      </c>
      <c r="E608" s="171"/>
      <c r="F608" s="173"/>
      <c r="K608" s="35"/>
    </row>
    <row r="609" spans="1:11">
      <c r="A609" s="171" t="s">
        <v>363</v>
      </c>
      <c r="B609" s="172">
        <v>-2.8449497700634536</v>
      </c>
      <c r="C609" s="172">
        <v>-0.22852225552422287</v>
      </c>
      <c r="D609" s="172">
        <v>-6.9737163040410666E-2</v>
      </c>
      <c r="E609" s="171"/>
      <c r="F609" s="173">
        <f>MCond(B608:D610)</f>
        <v>10.969037156132696</v>
      </c>
      <c r="K609" s="35"/>
    </row>
    <row r="610" spans="1:11">
      <c r="A610" s="171"/>
      <c r="B610" s="172">
        <v>-2.4772611105726599</v>
      </c>
      <c r="C610" s="172">
        <v>1.0605572692523213</v>
      </c>
      <c r="D610" s="172">
        <v>3.9812674620544719E-2</v>
      </c>
      <c r="E610" s="171"/>
      <c r="F610" s="173"/>
      <c r="K610" s="35"/>
    </row>
    <row r="611" spans="1:11">
      <c r="A611" s="171"/>
      <c r="B611" s="172"/>
      <c r="C611" s="172"/>
      <c r="D611" s="172"/>
      <c r="E611" s="171"/>
      <c r="F611" s="174"/>
      <c r="K611" s="35"/>
    </row>
    <row r="612" spans="1:11">
      <c r="A612" s="171"/>
      <c r="B612" s="172">
        <v>-1.4421025939282253</v>
      </c>
      <c r="C612" s="172">
        <v>-1.0431877148697888</v>
      </c>
      <c r="D612" s="172">
        <v>-0.78932433807079116</v>
      </c>
      <c r="E612" s="171"/>
      <c r="F612" s="173"/>
      <c r="K612" s="35"/>
    </row>
    <row r="613" spans="1:11">
      <c r="A613" s="171" t="s">
        <v>364</v>
      </c>
      <c r="B613" s="172">
        <v>-2.8449497700634536</v>
      </c>
      <c r="C613" s="172">
        <v>-0.22852225552422287</v>
      </c>
      <c r="D613" s="172">
        <v>-6.9737163040410666E-2</v>
      </c>
      <c r="E613" s="171"/>
      <c r="F613" s="173">
        <f>MCond(B612:D614)</f>
        <v>6.9688671966435978</v>
      </c>
      <c r="K613" s="35"/>
    </row>
    <row r="614" spans="1:11">
      <c r="A614" s="171"/>
      <c r="B614" s="172">
        <v>-0.85843073718374274</v>
      </c>
      <c r="C614" s="172">
        <v>1.040962775001312</v>
      </c>
      <c r="D614" s="172">
        <v>-3.7610117674176324E-2</v>
      </c>
      <c r="E614" s="171"/>
      <c r="F614" s="173"/>
      <c r="K614" s="35"/>
    </row>
    <row r="615" spans="1:11">
      <c r="A615" s="171"/>
      <c r="B615" s="172"/>
      <c r="C615" s="172"/>
      <c r="D615" s="172"/>
      <c r="E615" s="171"/>
      <c r="F615" s="174"/>
      <c r="K615" s="35"/>
    </row>
    <row r="616" spans="1:11">
      <c r="A616" s="171"/>
      <c r="B616" s="172">
        <v>-1.4421025939282253</v>
      </c>
      <c r="C616" s="172">
        <v>-1.0431877148697888</v>
      </c>
      <c r="D616" s="172">
        <v>-0.78932433807079116</v>
      </c>
      <c r="E616" s="171"/>
      <c r="F616" s="173"/>
      <c r="K616" s="35"/>
    </row>
    <row r="617" spans="1:11">
      <c r="A617" s="171" t="s">
        <v>365</v>
      </c>
      <c r="B617" s="172">
        <v>-2.8449497700634536</v>
      </c>
      <c r="C617" s="172">
        <v>-0.22852225552422287</v>
      </c>
      <c r="D617" s="172">
        <v>-6.9737163040410666E-2</v>
      </c>
      <c r="E617" s="171"/>
      <c r="F617" s="173">
        <f>MCond(B616:D618)</f>
        <v>4.4471433415054369</v>
      </c>
      <c r="K617" s="35"/>
    </row>
    <row r="618" spans="1:11">
      <c r="A618" s="171"/>
      <c r="B618" s="172">
        <v>-1.4675604394566215</v>
      </c>
      <c r="C618" s="172">
        <v>1.3235781323919831</v>
      </c>
      <c r="D618" s="172">
        <v>-0.72564008456612294</v>
      </c>
      <c r="E618" s="171"/>
      <c r="F618" s="173"/>
      <c r="K618" s="35"/>
    </row>
    <row r="619" spans="1:11">
      <c r="A619" s="171"/>
      <c r="B619" s="172"/>
      <c r="C619" s="172"/>
      <c r="D619" s="172"/>
      <c r="E619" s="171"/>
      <c r="F619" s="174"/>
      <c r="K619" s="35"/>
    </row>
    <row r="620" spans="1:11">
      <c r="A620" s="171"/>
      <c r="B620" s="172">
        <v>-1.4421025939282253</v>
      </c>
      <c r="C620" s="172">
        <v>-1.0431877148697888</v>
      </c>
      <c r="D620" s="172">
        <v>-0.78932433807079116</v>
      </c>
      <c r="E620" s="171"/>
      <c r="F620" s="173"/>
      <c r="K620" s="35"/>
    </row>
    <row r="621" spans="1:11">
      <c r="A621" s="171" t="s">
        <v>366</v>
      </c>
      <c r="B621" s="172">
        <v>-2.4772611105726599</v>
      </c>
      <c r="C621" s="172">
        <v>1.0605572692523213</v>
      </c>
      <c r="D621" s="172">
        <v>3.9812674620544719E-2</v>
      </c>
      <c r="E621" s="171"/>
      <c r="F621" s="173">
        <f>MCond(B620:D622)</f>
        <v>10.911698904326556</v>
      </c>
      <c r="K621" s="35"/>
    </row>
    <row r="622" spans="1:11">
      <c r="A622" s="171"/>
      <c r="B622" s="172">
        <v>-0.85843073718374274</v>
      </c>
      <c r="C622" s="172">
        <v>1.040962775001312</v>
      </c>
      <c r="D622" s="172">
        <v>-3.7610117674176324E-2</v>
      </c>
      <c r="E622" s="171"/>
      <c r="F622" s="173"/>
      <c r="K622" s="35"/>
    </row>
    <row r="623" spans="1:11">
      <c r="A623" s="171"/>
      <c r="B623" s="172"/>
      <c r="C623" s="172"/>
      <c r="D623" s="172"/>
      <c r="E623" s="171"/>
      <c r="F623" s="174"/>
      <c r="K623" s="35"/>
    </row>
    <row r="624" spans="1:11">
      <c r="A624" s="171"/>
      <c r="B624" s="172">
        <v>-1.4421025939282253</v>
      </c>
      <c r="C624" s="172">
        <v>-1.0431877148697888</v>
      </c>
      <c r="D624" s="172">
        <v>-0.78932433807079116</v>
      </c>
      <c r="E624" s="171"/>
      <c r="F624" s="173"/>
      <c r="K624" s="35"/>
    </row>
    <row r="625" spans="1:11">
      <c r="A625" s="171" t="s">
        <v>367</v>
      </c>
      <c r="B625" s="172">
        <v>-2.4772611105726599</v>
      </c>
      <c r="C625" s="172">
        <v>1.0605572692523213</v>
      </c>
      <c r="D625" s="172">
        <v>3.9812674620544719E-2</v>
      </c>
      <c r="E625" s="171"/>
      <c r="F625" s="173">
        <f>MCond(B624:D626)</f>
        <v>4.5861496106463111</v>
      </c>
      <c r="K625" s="35"/>
    </row>
    <row r="626" spans="1:11">
      <c r="A626" s="171"/>
      <c r="B626" s="172">
        <v>-1.4675604394566215</v>
      </c>
      <c r="C626" s="172">
        <v>1.3235781323919831</v>
      </c>
      <c r="D626" s="172">
        <v>-0.72564008456612294</v>
      </c>
      <c r="E626" s="171"/>
      <c r="F626" s="173"/>
      <c r="K626" s="35"/>
    </row>
    <row r="627" spans="1:11">
      <c r="A627" s="171"/>
      <c r="B627" s="172"/>
      <c r="C627" s="172"/>
      <c r="D627" s="172"/>
      <c r="E627" s="171"/>
      <c r="F627" s="174"/>
      <c r="K627" s="35"/>
    </row>
    <row r="628" spans="1:11">
      <c r="A628" s="171"/>
      <c r="B628" s="172">
        <v>-1.4421025939282253</v>
      </c>
      <c r="C628" s="172">
        <v>-1.0431877148697888</v>
      </c>
      <c r="D628" s="172">
        <v>-0.78932433807079116</v>
      </c>
      <c r="E628" s="171"/>
      <c r="F628" s="173"/>
      <c r="K628" s="35"/>
    </row>
    <row r="629" spans="1:11">
      <c r="A629" s="171" t="s">
        <v>368</v>
      </c>
      <c r="B629" s="172">
        <v>-0.85843073718374274</v>
      </c>
      <c r="C629" s="172">
        <v>1.040962775001312</v>
      </c>
      <c r="D629" s="172">
        <v>-3.7610117674176324E-2</v>
      </c>
      <c r="E629" s="171"/>
      <c r="F629" s="173">
        <f>MCond(B628:D630)</f>
        <v>9.3131735466476471</v>
      </c>
      <c r="K629" s="35"/>
    </row>
    <row r="630" spans="1:11">
      <c r="A630" s="171"/>
      <c r="B630" s="172">
        <v>-1.4675604394566215</v>
      </c>
      <c r="C630" s="172">
        <v>1.3235781323919831</v>
      </c>
      <c r="D630" s="172">
        <v>-0.72564008456612294</v>
      </c>
      <c r="E630" s="171"/>
      <c r="F630" s="173"/>
    </row>
    <row r="631" spans="1:11">
      <c r="A631" s="171"/>
      <c r="B631" s="172"/>
      <c r="C631" s="172"/>
      <c r="D631" s="172"/>
      <c r="E631" s="171"/>
      <c r="F631" s="174"/>
    </row>
    <row r="632" spans="1:11">
      <c r="A632" s="171"/>
      <c r="B632" s="172">
        <v>-2.6959782234951333</v>
      </c>
      <c r="C632" s="172">
        <v>-1.0757798809975587</v>
      </c>
      <c r="D632" s="172">
        <v>-4.997772423355884E-2</v>
      </c>
      <c r="E632" s="171"/>
      <c r="F632" s="173"/>
    </row>
    <row r="633" spans="1:11">
      <c r="A633" s="171" t="s">
        <v>369</v>
      </c>
      <c r="B633" s="172">
        <v>-0.40019020491700363</v>
      </c>
      <c r="C633" s="172">
        <v>-1.0840062473010013</v>
      </c>
      <c r="D633" s="172">
        <v>-1.6840506224230944E-2</v>
      </c>
      <c r="E633" s="171"/>
      <c r="F633" s="173">
        <f>MCond(B632:D634)</f>
        <v>286.9294314386575</v>
      </c>
    </row>
    <row r="634" spans="1:11">
      <c r="A634" s="171"/>
      <c r="B634" s="172">
        <v>-2.8449497700634536</v>
      </c>
      <c r="C634" s="172">
        <v>-0.22852225552422287</v>
      </c>
      <c r="D634" s="172">
        <v>-6.9737163040410666E-2</v>
      </c>
      <c r="E634" s="171"/>
      <c r="F634" s="173"/>
    </row>
    <row r="635" spans="1:11">
      <c r="A635" s="171"/>
      <c r="B635" s="172"/>
      <c r="C635" s="172"/>
      <c r="D635" s="172"/>
      <c r="E635" s="171"/>
      <c r="F635" s="174"/>
    </row>
    <row r="636" spans="1:11">
      <c r="A636" s="171"/>
      <c r="B636" s="172">
        <v>-2.6959782234951333</v>
      </c>
      <c r="C636" s="172">
        <v>-1.0757798809975587</v>
      </c>
      <c r="D636" s="172">
        <v>-4.997772423355884E-2</v>
      </c>
      <c r="E636" s="171"/>
      <c r="F636" s="173"/>
    </row>
    <row r="637" spans="1:11">
      <c r="A637" s="171" t="s">
        <v>370</v>
      </c>
      <c r="B637" s="172">
        <v>-0.40019020491700363</v>
      </c>
      <c r="C637" s="172">
        <v>-1.0840062473010013</v>
      </c>
      <c r="D637" s="172">
        <v>-1.6840506224230944E-2</v>
      </c>
      <c r="E637" s="171"/>
      <c r="F637" s="173">
        <f>MCond(B636:D638)</f>
        <v>155.61168544988374</v>
      </c>
    </row>
    <row r="638" spans="1:11">
      <c r="A638" s="171"/>
      <c r="B638" s="172">
        <v>-2.4772611105726599</v>
      </c>
      <c r="C638" s="172">
        <v>1.0605572692523213</v>
      </c>
      <c r="D638" s="172">
        <v>3.9812674620544719E-2</v>
      </c>
      <c r="E638" s="171"/>
      <c r="F638" s="173"/>
    </row>
    <row r="639" spans="1:11">
      <c r="A639" s="171"/>
      <c r="B639" s="172"/>
      <c r="C639" s="172"/>
      <c r="D639" s="172"/>
      <c r="E639" s="171"/>
      <c r="F639" s="174"/>
    </row>
    <row r="640" spans="1:11">
      <c r="A640" s="171"/>
      <c r="B640" s="172">
        <v>-2.6959782234951333</v>
      </c>
      <c r="C640" s="172">
        <v>-1.0757798809975587</v>
      </c>
      <c r="D640" s="172">
        <v>-4.997772423355884E-2</v>
      </c>
      <c r="E640" s="171"/>
      <c r="F640" s="173"/>
    </row>
    <row r="641" spans="1:6">
      <c r="A641" s="171" t="s">
        <v>371</v>
      </c>
      <c r="B641" s="172">
        <v>-0.40019020491700363</v>
      </c>
      <c r="C641" s="172">
        <v>-1.0840062473010013</v>
      </c>
      <c r="D641" s="172">
        <v>-1.6840506224230944E-2</v>
      </c>
      <c r="E641" s="171"/>
      <c r="F641" s="173">
        <f>MCond(B640:D642)</f>
        <v>159.28604006876967</v>
      </c>
    </row>
    <row r="642" spans="1:6">
      <c r="A642" s="171"/>
      <c r="B642" s="172">
        <v>-0.85843073718374274</v>
      </c>
      <c r="C642" s="172">
        <v>1.040962775001312</v>
      </c>
      <c r="D642" s="172">
        <v>-3.7610117674176324E-2</v>
      </c>
      <c r="E642" s="171"/>
      <c r="F642" s="173"/>
    </row>
    <row r="643" spans="1:6">
      <c r="A643" s="171"/>
      <c r="B643" s="172"/>
      <c r="C643" s="172"/>
      <c r="D643" s="172"/>
      <c r="E643" s="171"/>
      <c r="F643" s="174"/>
    </row>
    <row r="644" spans="1:6">
      <c r="A644" s="171"/>
      <c r="B644" s="172">
        <v>-2.6959782234951333</v>
      </c>
      <c r="C644" s="172">
        <v>-1.0757798809975587</v>
      </c>
      <c r="D644" s="172">
        <v>-4.997772423355884E-2</v>
      </c>
      <c r="E644" s="171"/>
      <c r="F644" s="173"/>
    </row>
    <row r="645" spans="1:6">
      <c r="A645" s="171" t="s">
        <v>372</v>
      </c>
      <c r="B645" s="172">
        <v>-0.40019020491700363</v>
      </c>
      <c r="C645" s="172">
        <v>-1.0840062473010013</v>
      </c>
      <c r="D645" s="172">
        <v>-1.6840506224230944E-2</v>
      </c>
      <c r="E645" s="171"/>
      <c r="F645" s="173">
        <f>MCond(B644:D646)</f>
        <v>11.339490785679912</v>
      </c>
    </row>
    <row r="646" spans="1:6">
      <c r="A646" s="171"/>
      <c r="B646" s="172">
        <v>-1.4675604394566215</v>
      </c>
      <c r="C646" s="172">
        <v>1.3235781323919831</v>
      </c>
      <c r="D646" s="172">
        <v>-0.72564008456612294</v>
      </c>
      <c r="E646" s="171"/>
      <c r="F646" s="173"/>
    </row>
    <row r="647" spans="1:6">
      <c r="A647" s="171"/>
      <c r="B647" s="172"/>
      <c r="C647" s="172"/>
      <c r="D647" s="172"/>
      <c r="E647" s="171"/>
      <c r="F647" s="174"/>
    </row>
    <row r="648" spans="1:6">
      <c r="A648" s="171"/>
      <c r="B648" s="172">
        <v>-2.6959782234951333</v>
      </c>
      <c r="C648" s="172">
        <v>-1.0757798809975587</v>
      </c>
      <c r="D648" s="172">
        <v>-4.997772423355884E-2</v>
      </c>
      <c r="E648" s="171"/>
      <c r="F648" s="173"/>
    </row>
    <row r="649" spans="1:6">
      <c r="A649" s="171" t="s">
        <v>373</v>
      </c>
      <c r="B649" s="172">
        <v>-2.8449497700634536</v>
      </c>
      <c r="C649" s="172">
        <v>-0.22852225552422287</v>
      </c>
      <c r="D649" s="172">
        <v>-6.9737163040410666E-2</v>
      </c>
      <c r="E649" s="171"/>
      <c r="F649" s="173">
        <f>MCond(B648:D650)</f>
        <v>107.5399530016923</v>
      </c>
    </row>
    <row r="650" spans="1:6">
      <c r="A650" s="171"/>
      <c r="B650" s="172">
        <v>-2.4772611105726599</v>
      </c>
      <c r="C650" s="172">
        <v>1.0605572692523213</v>
      </c>
      <c r="D650" s="172">
        <v>3.9812674620544719E-2</v>
      </c>
      <c r="E650" s="171"/>
      <c r="F650" s="173"/>
    </row>
    <row r="651" spans="1:6">
      <c r="A651" s="171"/>
      <c r="B651" s="172"/>
      <c r="C651" s="172"/>
      <c r="D651" s="172"/>
      <c r="E651" s="171"/>
      <c r="F651" s="174"/>
    </row>
    <row r="652" spans="1:6">
      <c r="A652" s="171"/>
      <c r="B652" s="172">
        <v>-2.6959782234951333</v>
      </c>
      <c r="C652" s="172">
        <v>-1.0757798809975587</v>
      </c>
      <c r="D652" s="172">
        <v>-4.997772423355884E-2</v>
      </c>
      <c r="E652" s="171"/>
      <c r="F652" s="173"/>
    </row>
    <row r="653" spans="1:6">
      <c r="A653" s="171" t="s">
        <v>374</v>
      </c>
      <c r="B653" s="172">
        <v>-2.8449497700634536</v>
      </c>
      <c r="C653" s="172">
        <v>-0.22852225552422287</v>
      </c>
      <c r="D653" s="172">
        <v>-6.9737163040410666E-2</v>
      </c>
      <c r="E653" s="171"/>
      <c r="F653" s="173">
        <f>MCond(B652:D654)</f>
        <v>2149.1679832149403</v>
      </c>
    </row>
    <row r="654" spans="1:6">
      <c r="A654" s="171"/>
      <c r="B654" s="172">
        <v>-0.85843073718374274</v>
      </c>
      <c r="C654" s="172">
        <v>1.040962775001312</v>
      </c>
      <c r="D654" s="172">
        <v>-3.7610117674176324E-2</v>
      </c>
      <c r="E654" s="171"/>
      <c r="F654" s="173"/>
    </row>
    <row r="655" spans="1:6">
      <c r="A655" s="171"/>
      <c r="B655" s="172"/>
      <c r="C655" s="172"/>
      <c r="D655" s="172"/>
      <c r="E655" s="171"/>
      <c r="F655" s="174"/>
    </row>
    <row r="656" spans="1:6">
      <c r="A656" s="171"/>
      <c r="B656" s="172">
        <v>-2.6959782234951333</v>
      </c>
      <c r="C656" s="172">
        <v>-1.0757798809975587</v>
      </c>
      <c r="D656" s="172">
        <v>-4.997772423355884E-2</v>
      </c>
      <c r="E656" s="171"/>
      <c r="F656" s="173"/>
    </row>
    <row r="657" spans="1:6">
      <c r="A657" s="171" t="s">
        <v>375</v>
      </c>
      <c r="B657" s="172">
        <v>-2.8449497700634536</v>
      </c>
      <c r="C657" s="172">
        <v>-0.22852225552422287</v>
      </c>
      <c r="D657" s="172">
        <v>-6.9737163040410666E-2</v>
      </c>
      <c r="E657" s="171"/>
      <c r="F657" s="173">
        <f>MCond(B656:D658)</f>
        <v>19.571411138788417</v>
      </c>
    </row>
    <row r="658" spans="1:6">
      <c r="A658" s="171"/>
      <c r="B658" s="172">
        <v>-1.4675604394566215</v>
      </c>
      <c r="C658" s="172">
        <v>1.3235781323919831</v>
      </c>
      <c r="D658" s="172">
        <v>-0.72564008456612294</v>
      </c>
      <c r="E658" s="171"/>
      <c r="F658" s="173"/>
    </row>
    <row r="659" spans="1:6">
      <c r="A659" s="171"/>
      <c r="B659" s="172"/>
      <c r="C659" s="172"/>
      <c r="D659" s="172"/>
      <c r="E659" s="171"/>
      <c r="F659" s="174"/>
    </row>
    <row r="660" spans="1:6">
      <c r="A660" s="171"/>
      <c r="B660" s="172">
        <v>-2.6959782234951333</v>
      </c>
      <c r="C660" s="172">
        <v>-1.0757798809975587</v>
      </c>
      <c r="D660" s="172">
        <v>-4.997772423355884E-2</v>
      </c>
      <c r="E660" s="171"/>
      <c r="F660" s="173"/>
    </row>
    <row r="661" spans="1:6">
      <c r="A661" s="171" t="s">
        <v>376</v>
      </c>
      <c r="B661" s="172">
        <v>-2.4772611105726599</v>
      </c>
      <c r="C661" s="172">
        <v>1.0605572692523213</v>
      </c>
      <c r="D661" s="172">
        <v>3.9812674620544719E-2</v>
      </c>
      <c r="E661" s="171"/>
      <c r="F661" s="173">
        <f>MCond(B660:D662)</f>
        <v>58.858855955017582</v>
      </c>
    </row>
    <row r="662" spans="1:6">
      <c r="A662" s="171"/>
      <c r="B662" s="172">
        <v>-0.85843073718374274</v>
      </c>
      <c r="C662" s="172">
        <v>1.040962775001312</v>
      </c>
      <c r="D662" s="172">
        <v>-3.7610117674176324E-2</v>
      </c>
      <c r="E662" s="171"/>
      <c r="F662" s="173"/>
    </row>
    <row r="663" spans="1:6">
      <c r="A663" s="171"/>
      <c r="B663" s="172"/>
      <c r="C663" s="172"/>
      <c r="D663" s="172"/>
      <c r="E663" s="171"/>
      <c r="F663" s="174"/>
    </row>
    <row r="664" spans="1:6">
      <c r="A664" s="171"/>
      <c r="B664" s="172">
        <v>-2.6959782234951333</v>
      </c>
      <c r="C664" s="172">
        <v>-1.0757798809975587</v>
      </c>
      <c r="D664" s="172">
        <v>-4.997772423355884E-2</v>
      </c>
      <c r="E664" s="171"/>
      <c r="F664" s="173"/>
    </row>
    <row r="665" spans="1:6">
      <c r="A665" s="171" t="s">
        <v>377</v>
      </c>
      <c r="B665" s="172">
        <v>-2.4772611105726599</v>
      </c>
      <c r="C665" s="172">
        <v>1.0605572692523213</v>
      </c>
      <c r="D665" s="172">
        <v>3.9812674620544719E-2</v>
      </c>
      <c r="E665" s="171"/>
      <c r="F665" s="173">
        <f>MCond(B664:D666)</f>
        <v>7.33302063772613</v>
      </c>
    </row>
    <row r="666" spans="1:6">
      <c r="A666" s="171"/>
      <c r="B666" s="172">
        <v>-1.4675604394566215</v>
      </c>
      <c r="C666" s="172">
        <v>1.3235781323919831</v>
      </c>
      <c r="D666" s="172">
        <v>-0.72564008456612294</v>
      </c>
      <c r="E666" s="171"/>
      <c r="F666" s="173"/>
    </row>
    <row r="667" spans="1:6">
      <c r="A667" s="171"/>
      <c r="B667" s="172"/>
      <c r="C667" s="172"/>
      <c r="D667" s="172"/>
      <c r="E667" s="171"/>
      <c r="F667" s="174"/>
    </row>
    <row r="668" spans="1:6">
      <c r="A668" s="171"/>
      <c r="B668" s="172">
        <v>-2.6959782234951333</v>
      </c>
      <c r="C668" s="172">
        <v>-1.0757798809975587</v>
      </c>
      <c r="D668" s="172">
        <v>-4.997772423355884E-2</v>
      </c>
      <c r="E668" s="171"/>
      <c r="F668" s="173"/>
    </row>
    <row r="669" spans="1:6">
      <c r="A669" s="171" t="s">
        <v>378</v>
      </c>
      <c r="B669" s="172">
        <v>-0.85843073718374274</v>
      </c>
      <c r="C669" s="172">
        <v>1.040962775001312</v>
      </c>
      <c r="D669" s="172">
        <v>-3.7610117674176324E-2</v>
      </c>
      <c r="E669" s="171"/>
      <c r="F669" s="173">
        <f>MCond(B668:D670)</f>
        <v>8.5028993454699311</v>
      </c>
    </row>
    <row r="670" spans="1:6">
      <c r="A670" s="171"/>
      <c r="B670" s="172">
        <v>-1.4675604394566215</v>
      </c>
      <c r="C670" s="172">
        <v>1.3235781323919831</v>
      </c>
      <c r="D670" s="172">
        <v>-0.72564008456612294</v>
      </c>
      <c r="E670" s="171"/>
      <c r="F670" s="173"/>
    </row>
    <row r="671" spans="1:6">
      <c r="A671" s="171"/>
      <c r="B671" s="172"/>
      <c r="C671" s="172"/>
      <c r="D671" s="172"/>
      <c r="E671" s="171"/>
      <c r="F671" s="174"/>
    </row>
    <row r="672" spans="1:6">
      <c r="A672" s="171"/>
      <c r="B672" s="172">
        <v>-0.40019020491700363</v>
      </c>
      <c r="C672" s="172">
        <v>-1.0840062473010013</v>
      </c>
      <c r="D672" s="172">
        <v>-1.6840506224230944E-2</v>
      </c>
      <c r="E672" s="171"/>
      <c r="F672" s="173"/>
    </row>
    <row r="673" spans="1:6">
      <c r="A673" s="171" t="s">
        <v>379</v>
      </c>
      <c r="B673" s="172">
        <v>-2.8449497700634536</v>
      </c>
      <c r="C673" s="172">
        <v>-0.22852225552422287</v>
      </c>
      <c r="D673" s="172">
        <v>-6.9737163040410666E-2</v>
      </c>
      <c r="E673" s="171"/>
      <c r="F673" s="173">
        <f>MCond(B672:D674)</f>
        <v>77.784722012998088</v>
      </c>
    </row>
    <row r="674" spans="1:6">
      <c r="A674" s="171"/>
      <c r="B674" s="172">
        <v>-2.4772611105726599</v>
      </c>
      <c r="C674" s="172">
        <v>1.0605572692523213</v>
      </c>
      <c r="D674" s="172">
        <v>3.9812674620544719E-2</v>
      </c>
      <c r="E674" s="171"/>
      <c r="F674" s="173"/>
    </row>
    <row r="675" spans="1:6">
      <c r="A675" s="171"/>
      <c r="B675" s="172"/>
      <c r="C675" s="172"/>
      <c r="D675" s="172"/>
      <c r="E675" s="171"/>
      <c r="F675" s="174"/>
    </row>
    <row r="676" spans="1:6">
      <c r="A676" s="171"/>
      <c r="B676" s="172">
        <v>-0.40019020491700363</v>
      </c>
      <c r="C676" s="172">
        <v>-1.0840062473010013</v>
      </c>
      <c r="D676" s="172">
        <v>-1.6840506224230944E-2</v>
      </c>
      <c r="E676" s="171"/>
      <c r="F676" s="173"/>
    </row>
    <row r="677" spans="1:6">
      <c r="A677" s="171" t="s">
        <v>380</v>
      </c>
      <c r="B677" s="172">
        <v>-2.8449497700634536</v>
      </c>
      <c r="C677" s="172">
        <v>-0.22852225552422287</v>
      </c>
      <c r="D677" s="172">
        <v>-6.9737163040410666E-2</v>
      </c>
      <c r="E677" s="171"/>
      <c r="F677" s="173">
        <f>MCond(B676:D678)</f>
        <v>190.43474137765517</v>
      </c>
    </row>
    <row r="678" spans="1:6">
      <c r="A678" s="171"/>
      <c r="B678" s="172">
        <v>-0.85843073718374274</v>
      </c>
      <c r="C678" s="172">
        <v>1.040962775001312</v>
      </c>
      <c r="D678" s="172">
        <v>-3.7610117674176324E-2</v>
      </c>
      <c r="E678" s="171"/>
      <c r="F678" s="173"/>
    </row>
    <row r="679" spans="1:6">
      <c r="A679" s="171"/>
      <c r="B679" s="172"/>
      <c r="C679" s="172"/>
      <c r="D679" s="172"/>
      <c r="E679" s="171"/>
      <c r="F679" s="174"/>
    </row>
    <row r="680" spans="1:6">
      <c r="A680" s="171"/>
      <c r="B680" s="172">
        <v>-0.40019020491700363</v>
      </c>
      <c r="C680" s="172">
        <v>-1.0840062473010013</v>
      </c>
      <c r="D680" s="172">
        <v>-1.6840506224230944E-2</v>
      </c>
      <c r="E680" s="171"/>
      <c r="F680" s="173"/>
    </row>
    <row r="681" spans="1:6">
      <c r="A681" s="171" t="s">
        <v>381</v>
      </c>
      <c r="B681" s="172">
        <v>-2.8449497700634536</v>
      </c>
      <c r="C681" s="172">
        <v>-0.22852225552422287</v>
      </c>
      <c r="D681" s="172">
        <v>-6.9737163040410666E-2</v>
      </c>
      <c r="E681" s="171"/>
      <c r="F681" s="173">
        <f>MCond(B680:D682)</f>
        <v>8.9880513431210201</v>
      </c>
    </row>
    <row r="682" spans="1:6">
      <c r="A682" s="171"/>
      <c r="B682" s="172">
        <v>-1.4675604394566215</v>
      </c>
      <c r="C682" s="172">
        <v>1.3235781323919831</v>
      </c>
      <c r="D682" s="172">
        <v>-0.72564008456612294</v>
      </c>
      <c r="E682" s="171"/>
      <c r="F682" s="173"/>
    </row>
    <row r="683" spans="1:6">
      <c r="A683" s="171"/>
      <c r="B683" s="172"/>
      <c r="C683" s="172"/>
      <c r="D683" s="172"/>
      <c r="E683" s="171"/>
      <c r="F683" s="174"/>
    </row>
    <row r="684" spans="1:6">
      <c r="A684" s="171"/>
      <c r="B684" s="172">
        <v>-0.40019020491700363</v>
      </c>
      <c r="C684" s="172">
        <v>-1.0840062473010013</v>
      </c>
      <c r="D684" s="172">
        <v>-1.6840506224230944E-2</v>
      </c>
      <c r="E684" s="171"/>
      <c r="F684" s="173"/>
    </row>
    <row r="685" spans="1:6">
      <c r="A685" s="171" t="s">
        <v>382</v>
      </c>
      <c r="B685" s="172">
        <v>-2.4772611105726599</v>
      </c>
      <c r="C685" s="172">
        <v>1.0605572692523213</v>
      </c>
      <c r="D685" s="172">
        <v>3.9812674620544719E-2</v>
      </c>
      <c r="E685" s="171"/>
      <c r="F685" s="173">
        <f>MCond(B684:D686)</f>
        <v>56.386053470483816</v>
      </c>
    </row>
    <row r="686" spans="1:6">
      <c r="A686" s="171"/>
      <c r="B686" s="172">
        <v>-0.85843073718374274</v>
      </c>
      <c r="C686" s="172">
        <v>1.040962775001312</v>
      </c>
      <c r="D686" s="172">
        <v>-3.7610117674176324E-2</v>
      </c>
      <c r="E686" s="171"/>
      <c r="F686" s="173"/>
    </row>
    <row r="687" spans="1:6">
      <c r="A687" s="171"/>
      <c r="B687" s="172"/>
      <c r="C687" s="172"/>
      <c r="D687" s="172"/>
      <c r="E687" s="171"/>
      <c r="F687" s="174"/>
    </row>
    <row r="688" spans="1:6">
      <c r="A688" s="171"/>
      <c r="B688" s="172">
        <v>-0.40019020491700363</v>
      </c>
      <c r="C688" s="172">
        <v>-1.0840062473010013</v>
      </c>
      <c r="D688" s="172">
        <v>-1.6840506224230944E-2</v>
      </c>
      <c r="E688" s="171"/>
      <c r="F688" s="173"/>
    </row>
    <row r="689" spans="1:6">
      <c r="A689" s="171" t="s">
        <v>383</v>
      </c>
      <c r="B689" s="172">
        <v>-2.4772611105726599</v>
      </c>
      <c r="C689" s="172">
        <v>1.0605572692523213</v>
      </c>
      <c r="D689" s="172">
        <v>3.9812674620544719E-2</v>
      </c>
      <c r="E689" s="171"/>
      <c r="F689" s="173">
        <f>MCond(B688:D690)</f>
        <v>5.9659507309582951</v>
      </c>
    </row>
    <row r="690" spans="1:6">
      <c r="A690" s="171"/>
      <c r="B690" s="172">
        <v>-1.4675604394566215</v>
      </c>
      <c r="C690" s="172">
        <v>1.3235781323919831</v>
      </c>
      <c r="D690" s="172">
        <v>-0.72564008456612294</v>
      </c>
      <c r="E690" s="171"/>
      <c r="F690" s="173"/>
    </row>
    <row r="691" spans="1:6">
      <c r="A691" s="171"/>
      <c r="B691" s="172"/>
      <c r="C691" s="172"/>
      <c r="D691" s="172"/>
      <c r="E691" s="171"/>
      <c r="F691" s="174"/>
    </row>
    <row r="692" spans="1:6">
      <c r="A692" s="171"/>
      <c r="B692" s="172">
        <v>-0.40019020491700363</v>
      </c>
      <c r="C692" s="172">
        <v>-1.0840062473010013</v>
      </c>
      <c r="D692" s="172">
        <v>-1.6840506224230944E-2</v>
      </c>
      <c r="E692" s="171"/>
      <c r="F692" s="173"/>
    </row>
    <row r="693" spans="1:6">
      <c r="A693" s="171" t="s">
        <v>384</v>
      </c>
      <c r="B693" s="172">
        <v>-0.85843073718374274</v>
      </c>
      <c r="C693" s="172">
        <v>1.040962775001312</v>
      </c>
      <c r="D693" s="172">
        <v>-3.7610117674176324E-2</v>
      </c>
      <c r="E693" s="171"/>
      <c r="F693" s="173">
        <f>MCond(B692:D694)</f>
        <v>7.5782362388487288</v>
      </c>
    </row>
    <row r="694" spans="1:6">
      <c r="A694" s="171"/>
      <c r="B694" s="172">
        <v>-1.4675604394566215</v>
      </c>
      <c r="C694" s="172">
        <v>1.3235781323919831</v>
      </c>
      <c r="D694" s="172">
        <v>-0.72564008456612294</v>
      </c>
      <c r="E694" s="171"/>
      <c r="F694" s="173"/>
    </row>
    <row r="695" spans="1:6">
      <c r="A695" s="171"/>
      <c r="B695" s="172"/>
      <c r="C695" s="172"/>
      <c r="D695" s="172"/>
      <c r="E695" s="171"/>
      <c r="F695" s="174"/>
    </row>
    <row r="696" spans="1:6">
      <c r="A696" s="171"/>
      <c r="B696" s="172">
        <v>-2.8449497700634536</v>
      </c>
      <c r="C696" s="172">
        <v>-0.22852225552422287</v>
      </c>
      <c r="D696" s="172">
        <v>-6.9737163040410666E-2</v>
      </c>
      <c r="E696" s="171"/>
      <c r="F696" s="173"/>
    </row>
    <row r="697" spans="1:6">
      <c r="A697" s="171" t="s">
        <v>385</v>
      </c>
      <c r="B697" s="172">
        <v>-2.4772611105726599</v>
      </c>
      <c r="C697" s="172">
        <v>1.0605572692523213</v>
      </c>
      <c r="D697" s="172">
        <v>3.9812674620544719E-2</v>
      </c>
      <c r="E697" s="171"/>
      <c r="F697" s="173">
        <f>MCond(B696:D698)</f>
        <v>53.026975700344195</v>
      </c>
    </row>
    <row r="698" spans="1:6">
      <c r="A698" s="171"/>
      <c r="B698" s="172">
        <v>-0.85843073718374274</v>
      </c>
      <c r="C698" s="172">
        <v>1.040962775001312</v>
      </c>
      <c r="D698" s="172">
        <v>-3.7610117674176324E-2</v>
      </c>
      <c r="E698" s="171"/>
      <c r="F698" s="173"/>
    </row>
    <row r="699" spans="1:6">
      <c r="A699" s="171"/>
      <c r="B699" s="172"/>
      <c r="C699" s="172"/>
      <c r="D699" s="172"/>
      <c r="E699" s="171"/>
      <c r="F699" s="174"/>
    </row>
    <row r="700" spans="1:6">
      <c r="A700" s="171"/>
      <c r="B700" s="172">
        <v>-2.8449497700634536</v>
      </c>
      <c r="C700" s="172">
        <v>-0.22852225552422287</v>
      </c>
      <c r="D700" s="172">
        <v>-6.9737163040410666E-2</v>
      </c>
      <c r="E700" s="171"/>
      <c r="F700" s="173"/>
    </row>
    <row r="701" spans="1:6">
      <c r="A701" s="171" t="s">
        <v>386</v>
      </c>
      <c r="B701" s="172">
        <v>-2.4772611105726599</v>
      </c>
      <c r="C701" s="172">
        <v>1.0605572692523213</v>
      </c>
      <c r="D701" s="172">
        <v>3.9812674620544719E-2</v>
      </c>
      <c r="E701" s="171"/>
      <c r="F701" s="173">
        <f>MCond(B700:D702)</f>
        <v>8.7470632700269135</v>
      </c>
    </row>
    <row r="702" spans="1:6">
      <c r="A702" s="171"/>
      <c r="B702" s="172">
        <v>-1.4675604394566215</v>
      </c>
      <c r="C702" s="172">
        <v>1.3235781323919831</v>
      </c>
      <c r="D702" s="172">
        <v>-0.72564008456612294</v>
      </c>
      <c r="E702" s="171"/>
      <c r="F702" s="173"/>
    </row>
    <row r="703" spans="1:6">
      <c r="A703" s="171"/>
      <c r="B703" s="172"/>
      <c r="C703" s="172"/>
      <c r="D703" s="172"/>
      <c r="E703" s="171"/>
      <c r="F703" s="174"/>
    </row>
    <row r="704" spans="1:6">
      <c r="A704" s="171"/>
      <c r="B704" s="172">
        <v>-2.8449497700634536</v>
      </c>
      <c r="C704" s="172">
        <v>-0.22852225552422287</v>
      </c>
      <c r="D704" s="172">
        <v>-6.9737163040410666E-2</v>
      </c>
      <c r="E704" s="171"/>
      <c r="F704" s="173"/>
    </row>
    <row r="705" spans="1:6">
      <c r="A705" s="171" t="s">
        <v>387</v>
      </c>
      <c r="B705" s="172">
        <v>-0.85843073718374274</v>
      </c>
      <c r="C705" s="172">
        <v>1.040962775001312</v>
      </c>
      <c r="D705" s="172">
        <v>-3.7610117674176324E-2</v>
      </c>
      <c r="E705" s="171"/>
      <c r="F705" s="173">
        <f>MCond(B704:D706)</f>
        <v>8.8256455143170687</v>
      </c>
    </row>
    <row r="706" spans="1:6">
      <c r="A706" s="171"/>
      <c r="B706" s="172">
        <v>-1.4675604394566215</v>
      </c>
      <c r="C706" s="172">
        <v>1.3235781323919831</v>
      </c>
      <c r="D706" s="172">
        <v>-0.72564008456612294</v>
      </c>
      <c r="E706" s="171"/>
      <c r="F706" s="173"/>
    </row>
    <row r="707" spans="1:6">
      <c r="A707" s="171"/>
      <c r="B707" s="172"/>
      <c r="C707" s="172"/>
      <c r="D707" s="172"/>
      <c r="E707" s="171"/>
      <c r="F707" s="174"/>
    </row>
    <row r="708" spans="1:6">
      <c r="A708" s="171"/>
      <c r="B708" s="172">
        <v>-2.4772611105726599</v>
      </c>
      <c r="C708" s="172">
        <v>1.0605572692523213</v>
      </c>
      <c r="D708" s="172">
        <v>3.9812674620544719E-2</v>
      </c>
      <c r="E708" s="171"/>
      <c r="F708" s="173"/>
    </row>
    <row r="709" spans="1:6">
      <c r="A709" s="171" t="s">
        <v>388</v>
      </c>
      <c r="B709" s="172">
        <v>-0.85843073718374274</v>
      </c>
      <c r="C709" s="172">
        <v>1.040962775001312</v>
      </c>
      <c r="D709" s="172">
        <v>-3.7610117674176324E-2</v>
      </c>
      <c r="E709" s="171"/>
      <c r="F709" s="173">
        <f>MCond(B708:D710)</f>
        <v>9.1035115127969473</v>
      </c>
    </row>
    <row r="710" spans="1:6">
      <c r="A710" s="171"/>
      <c r="B710" s="172">
        <v>-1.4675604394566215</v>
      </c>
      <c r="C710" s="172">
        <v>1.3235781323919831</v>
      </c>
      <c r="D710" s="172">
        <v>-0.72564008456612294</v>
      </c>
      <c r="E710" s="171"/>
      <c r="F710" s="173"/>
    </row>
    <row r="711" spans="1:6">
      <c r="A711" s="171"/>
      <c r="B711" s="172"/>
      <c r="C711" s="172"/>
      <c r="D711" s="172"/>
      <c r="E711" s="171"/>
      <c r="F711" s="174"/>
    </row>
    <row r="712" spans="1:6">
      <c r="A712" s="171"/>
      <c r="B712" s="172">
        <v>1.0351585166444348</v>
      </c>
      <c r="C712" s="172">
        <v>-2.1037449841221099</v>
      </c>
      <c r="D712" s="172">
        <v>-0.82913701269133588</v>
      </c>
      <c r="E712" s="171"/>
      <c r="F712" s="173"/>
    </row>
    <row r="713" spans="1:6">
      <c r="A713" s="171" t="s">
        <v>389</v>
      </c>
      <c r="B713" s="172">
        <v>-0.21871711292247331</v>
      </c>
      <c r="C713" s="172">
        <v>-2.1363371502498802</v>
      </c>
      <c r="D713" s="172">
        <v>-8.9790398854103559E-2</v>
      </c>
      <c r="E713" s="171"/>
      <c r="F713" s="173">
        <f>MCond(B712:D714)</f>
        <v>6.7459428276848676</v>
      </c>
    </row>
    <row r="714" spans="1:6">
      <c r="A714" s="171"/>
      <c r="B714" s="172">
        <v>2.0770709056556562</v>
      </c>
      <c r="C714" s="172">
        <v>-2.1445635165533226</v>
      </c>
      <c r="D714" s="172">
        <v>-5.6653180844775664E-2</v>
      </c>
      <c r="E714" s="171"/>
      <c r="F714" s="173"/>
    </row>
    <row r="715" spans="1:6">
      <c r="A715" s="171"/>
      <c r="B715" s="172"/>
      <c r="C715" s="172"/>
      <c r="D715" s="172"/>
      <c r="E715" s="171"/>
      <c r="F715" s="174"/>
    </row>
    <row r="716" spans="1:6">
      <c r="A716" s="171"/>
      <c r="B716" s="172">
        <v>1.0351585166444348</v>
      </c>
      <c r="C716" s="172">
        <v>-2.1037449841221099</v>
      </c>
      <c r="D716" s="172">
        <v>-0.82913701269133588</v>
      </c>
      <c r="E716" s="171"/>
      <c r="F716" s="173"/>
    </row>
    <row r="717" spans="1:6">
      <c r="A717" s="171" t="s">
        <v>390</v>
      </c>
      <c r="B717" s="172">
        <v>-0.21871711292247331</v>
      </c>
      <c r="C717" s="172">
        <v>-2.1363371502498802</v>
      </c>
      <c r="D717" s="172">
        <v>-8.9790398854103559E-2</v>
      </c>
      <c r="E717" s="171"/>
      <c r="F717" s="173">
        <f>MCond(B716:D718)</f>
        <v>25.009188868397612</v>
      </c>
    </row>
    <row r="718" spans="1:6">
      <c r="A718" s="171"/>
      <c r="B718" s="172">
        <v>-0.36768865949079377</v>
      </c>
      <c r="C718" s="172">
        <v>-1.2890795247765441</v>
      </c>
      <c r="D718" s="172">
        <v>-0.10954983766095538</v>
      </c>
      <c r="E718" s="171"/>
      <c r="F718" s="173"/>
    </row>
    <row r="719" spans="1:6">
      <c r="A719" s="171"/>
      <c r="B719" s="172"/>
      <c r="C719" s="172"/>
      <c r="D719" s="172"/>
      <c r="E719" s="171"/>
      <c r="F719" s="174"/>
    </row>
    <row r="720" spans="1:6">
      <c r="A720" s="171"/>
      <c r="B720" s="172">
        <v>1.0351585166444348</v>
      </c>
      <c r="C720" s="172">
        <v>-2.1037449841221099</v>
      </c>
      <c r="D720" s="172">
        <v>-0.82913701269133588</v>
      </c>
      <c r="E720" s="171"/>
      <c r="F720" s="173"/>
    </row>
    <row r="721" spans="1:6">
      <c r="A721" s="171" t="s">
        <v>391</v>
      </c>
      <c r="B721" s="172">
        <v>-0.21871711292247331</v>
      </c>
      <c r="C721" s="172">
        <v>-2.1363371502498802</v>
      </c>
      <c r="D721" s="172">
        <v>-8.9790398854103559E-2</v>
      </c>
      <c r="E721" s="171"/>
      <c r="F721" s="173">
        <f>MCond(B720:D722)</f>
        <v>6.7625217711569316</v>
      </c>
    </row>
    <row r="722" spans="1:6">
      <c r="A722" s="171"/>
      <c r="B722" s="172">
        <v>2.4772611105726599</v>
      </c>
      <c r="C722" s="172">
        <v>-1.0605572692523213</v>
      </c>
      <c r="D722" s="172">
        <v>-3.9812674620544719E-2</v>
      </c>
      <c r="E722" s="171"/>
      <c r="F722" s="173"/>
    </row>
    <row r="723" spans="1:6">
      <c r="A723" s="171"/>
      <c r="B723" s="172"/>
      <c r="C723" s="172"/>
      <c r="D723" s="172"/>
      <c r="E723" s="171"/>
      <c r="F723" s="174"/>
    </row>
    <row r="724" spans="1:6">
      <c r="A724" s="171"/>
      <c r="B724" s="172">
        <v>1.0351585166444348</v>
      </c>
      <c r="C724" s="172">
        <v>-2.1037449841221099</v>
      </c>
      <c r="D724" s="172">
        <v>-0.82913701269133588</v>
      </c>
      <c r="E724" s="171"/>
      <c r="F724" s="173"/>
    </row>
    <row r="725" spans="1:6">
      <c r="A725" s="171" t="s">
        <v>392</v>
      </c>
      <c r="B725" s="172">
        <v>-0.21871711292247331</v>
      </c>
      <c r="C725" s="172">
        <v>-2.1363371502498802</v>
      </c>
      <c r="D725" s="172">
        <v>-8.9790398854103559E-2</v>
      </c>
      <c r="E725" s="171"/>
      <c r="F725" s="173">
        <f>MCond(B724:D726)</f>
        <v>7.648214420981799</v>
      </c>
    </row>
    <row r="726" spans="1:6">
      <c r="A726" s="171"/>
      <c r="B726" s="172">
        <v>1.6188303733889171</v>
      </c>
      <c r="C726" s="172">
        <v>-1.9594494251009342E-2</v>
      </c>
      <c r="D726" s="172">
        <v>-7.7422792294721043E-2</v>
      </c>
      <c r="E726" s="171"/>
      <c r="F726" s="173"/>
    </row>
    <row r="727" spans="1:6">
      <c r="A727" s="171"/>
      <c r="B727" s="172"/>
      <c r="C727" s="172"/>
      <c r="D727" s="172"/>
      <c r="E727" s="171"/>
      <c r="F727" s="174"/>
    </row>
    <row r="728" spans="1:6">
      <c r="A728" s="171"/>
      <c r="B728" s="172">
        <v>1.0351585166444348</v>
      </c>
      <c r="C728" s="172">
        <v>-2.1037449841221099</v>
      </c>
      <c r="D728" s="172">
        <v>-0.82913701269133588</v>
      </c>
      <c r="E728" s="171"/>
      <c r="F728" s="173"/>
    </row>
    <row r="729" spans="1:6">
      <c r="A729" s="171" t="s">
        <v>393</v>
      </c>
      <c r="B729" s="172">
        <v>-0.21871711292247331</v>
      </c>
      <c r="C729" s="172">
        <v>-2.1363371502498802</v>
      </c>
      <c r="D729" s="172">
        <v>-8.9790398854103559E-2</v>
      </c>
      <c r="E729" s="171"/>
      <c r="F729" s="173">
        <f>MCond(B728:D730)</f>
        <v>30.732928259329775</v>
      </c>
    </row>
    <row r="730" spans="1:6">
      <c r="A730" s="171"/>
      <c r="B730" s="172">
        <v>1.0097006711160386</v>
      </c>
      <c r="C730" s="172">
        <v>0.26302086313966178</v>
      </c>
      <c r="D730" s="172">
        <v>-0.76545275918666766</v>
      </c>
      <c r="E730" s="171"/>
      <c r="F730" s="173"/>
    </row>
    <row r="731" spans="1:6">
      <c r="A731" s="171"/>
      <c r="B731" s="172"/>
      <c r="C731" s="172"/>
      <c r="D731" s="172"/>
      <c r="E731" s="171"/>
      <c r="F731" s="174"/>
    </row>
    <row r="732" spans="1:6">
      <c r="A732" s="171"/>
      <c r="B732" s="172">
        <v>1.0351585166444348</v>
      </c>
      <c r="C732" s="172">
        <v>-2.1037449841221099</v>
      </c>
      <c r="D732" s="172">
        <v>-0.82913701269133588</v>
      </c>
      <c r="E732" s="171"/>
      <c r="F732" s="173"/>
    </row>
    <row r="733" spans="1:6">
      <c r="A733" s="171" t="s">
        <v>394</v>
      </c>
      <c r="B733" s="172">
        <v>2.0770709056556562</v>
      </c>
      <c r="C733" s="172">
        <v>-2.1445635165533226</v>
      </c>
      <c r="D733" s="172">
        <v>-5.6653180844775664E-2</v>
      </c>
      <c r="E733" s="171"/>
      <c r="F733" s="173">
        <f>MCond(B732:D734)</f>
        <v>7.3967963927114955</v>
      </c>
    </row>
    <row r="734" spans="1:6">
      <c r="A734" s="171"/>
      <c r="B734" s="172">
        <v>-0.36768865949079377</v>
      </c>
      <c r="C734" s="172">
        <v>-1.2890795247765441</v>
      </c>
      <c r="D734" s="172">
        <v>-0.10954983766095538</v>
      </c>
      <c r="E734" s="171"/>
      <c r="F734" s="173"/>
    </row>
    <row r="735" spans="1:6">
      <c r="A735" s="171"/>
      <c r="B735" s="172"/>
      <c r="C735" s="172"/>
      <c r="D735" s="172"/>
      <c r="E735" s="171"/>
      <c r="F735" s="174"/>
    </row>
    <row r="736" spans="1:6">
      <c r="A736" s="171"/>
      <c r="B736" s="172">
        <v>1.0351585166444348</v>
      </c>
      <c r="C736" s="172">
        <v>-2.1037449841221099</v>
      </c>
      <c r="D736" s="172">
        <v>-0.82913701269133588</v>
      </c>
      <c r="E736" s="171"/>
      <c r="F736" s="173"/>
    </row>
    <row r="737" spans="1:6">
      <c r="A737" s="171" t="s">
        <v>395</v>
      </c>
      <c r="B737" s="172">
        <v>2.0770709056556562</v>
      </c>
      <c r="C737" s="172">
        <v>-2.1445635165533226</v>
      </c>
      <c r="D737" s="172">
        <v>-5.6653180844775664E-2</v>
      </c>
      <c r="E737" s="171"/>
      <c r="F737" s="173">
        <f>MCond(B736:D738)</f>
        <v>11.431778758175978</v>
      </c>
    </row>
    <row r="738" spans="1:6">
      <c r="A738" s="171"/>
      <c r="B738" s="172">
        <v>2.4772611105726599</v>
      </c>
      <c r="C738" s="172">
        <v>-1.0605572692523213</v>
      </c>
      <c r="D738" s="172">
        <v>-3.9812674620544719E-2</v>
      </c>
      <c r="E738" s="171"/>
      <c r="F738" s="173"/>
    </row>
    <row r="739" spans="1:6">
      <c r="A739" s="171"/>
      <c r="B739" s="172"/>
      <c r="C739" s="172"/>
      <c r="D739" s="172"/>
      <c r="E739" s="171"/>
      <c r="F739" s="174"/>
    </row>
    <row r="740" spans="1:6">
      <c r="A740" s="171"/>
      <c r="B740" s="172">
        <v>1.0351585166444348</v>
      </c>
      <c r="C740" s="172">
        <v>-2.1037449841221099</v>
      </c>
      <c r="D740" s="172">
        <v>-0.82913701269133588</v>
      </c>
      <c r="E740" s="171"/>
      <c r="F740" s="173"/>
    </row>
    <row r="741" spans="1:6">
      <c r="A741" s="171" t="s">
        <v>396</v>
      </c>
      <c r="B741" s="172">
        <v>2.0770709056556562</v>
      </c>
      <c r="C741" s="172">
        <v>-2.1445635165533226</v>
      </c>
      <c r="D741" s="172">
        <v>-5.6653180844775664E-2</v>
      </c>
      <c r="E741" s="171"/>
      <c r="F741" s="173">
        <f>MCond(B740:D742)</f>
        <v>7.7074988340721093</v>
      </c>
    </row>
    <row r="742" spans="1:6">
      <c r="A742" s="171"/>
      <c r="B742" s="172">
        <v>1.6188303733889171</v>
      </c>
      <c r="C742" s="172">
        <v>-1.9594494251009342E-2</v>
      </c>
      <c r="D742" s="172">
        <v>-7.7422792294721043E-2</v>
      </c>
      <c r="E742" s="171"/>
      <c r="F742" s="173"/>
    </row>
    <row r="743" spans="1:6">
      <c r="A743" s="171"/>
      <c r="B743" s="172"/>
      <c r="C743" s="172"/>
      <c r="D743" s="172"/>
      <c r="E743" s="171"/>
      <c r="F743" s="174"/>
    </row>
    <row r="744" spans="1:6">
      <c r="A744" s="171"/>
      <c r="B744" s="172">
        <v>1.0351585166444348</v>
      </c>
      <c r="C744" s="172">
        <v>-2.1037449841221099</v>
      </c>
      <c r="D744" s="172">
        <v>-0.82913701269133588</v>
      </c>
      <c r="E744" s="171"/>
      <c r="F744" s="173"/>
    </row>
    <row r="745" spans="1:6">
      <c r="A745" s="171" t="s">
        <v>397</v>
      </c>
      <c r="B745" s="172">
        <v>2.0770709056556562</v>
      </c>
      <c r="C745" s="172">
        <v>-2.1445635165533226</v>
      </c>
      <c r="D745" s="172">
        <v>-5.6653180844775664E-2</v>
      </c>
      <c r="E745" s="171"/>
      <c r="F745" s="173">
        <f>MCond(B744:D746)</f>
        <v>4.638002539904412</v>
      </c>
    </row>
    <row r="746" spans="1:6">
      <c r="A746" s="171"/>
      <c r="B746" s="172">
        <v>1.0097006711160386</v>
      </c>
      <c r="C746" s="172">
        <v>0.26302086313966178</v>
      </c>
      <c r="D746" s="172">
        <v>-0.76545275918666766</v>
      </c>
      <c r="E746" s="171"/>
      <c r="F746" s="173"/>
    </row>
    <row r="747" spans="1:6">
      <c r="A747" s="171"/>
      <c r="B747" s="172"/>
      <c r="C747" s="172"/>
      <c r="D747" s="172"/>
      <c r="E747" s="171"/>
      <c r="F747" s="174"/>
    </row>
    <row r="748" spans="1:6">
      <c r="A748" s="171"/>
      <c r="B748" s="172">
        <v>1.0351585166444348</v>
      </c>
      <c r="C748" s="172">
        <v>-2.1037449841221099</v>
      </c>
      <c r="D748" s="172">
        <v>-0.82913701269133588</v>
      </c>
      <c r="E748" s="171"/>
      <c r="F748" s="173"/>
    </row>
    <row r="749" spans="1:6">
      <c r="A749" s="171" t="s">
        <v>398</v>
      </c>
      <c r="B749" s="172">
        <v>-0.36768865949079377</v>
      </c>
      <c r="C749" s="172">
        <v>-1.2890795247765441</v>
      </c>
      <c r="D749" s="172">
        <v>-0.10954983766095538</v>
      </c>
      <c r="E749" s="171"/>
      <c r="F749" s="173">
        <f>MCond(B748:D750)</f>
        <v>8.6904484429411184</v>
      </c>
    </row>
    <row r="750" spans="1:6">
      <c r="A750" s="171"/>
      <c r="B750" s="172">
        <v>2.4772611105726599</v>
      </c>
      <c r="C750" s="172">
        <v>-1.0605572692523213</v>
      </c>
      <c r="D750" s="172">
        <v>-3.9812674620544719E-2</v>
      </c>
      <c r="E750" s="171"/>
      <c r="F750" s="173"/>
    </row>
    <row r="751" spans="1:6">
      <c r="A751" s="171"/>
      <c r="B751" s="172"/>
      <c r="C751" s="172"/>
      <c r="D751" s="172"/>
      <c r="E751" s="171"/>
      <c r="F751" s="174"/>
    </row>
    <row r="752" spans="1:6">
      <c r="A752" s="171"/>
      <c r="B752" s="172">
        <v>1.0351585166444348</v>
      </c>
      <c r="C752" s="172">
        <v>-2.1037449841221099</v>
      </c>
      <c r="D752" s="172">
        <v>-0.82913701269133588</v>
      </c>
      <c r="E752" s="171"/>
      <c r="F752" s="173"/>
    </row>
    <row r="753" spans="1:6">
      <c r="A753" s="171" t="s">
        <v>399</v>
      </c>
      <c r="B753" s="172">
        <v>-0.36768865949079377</v>
      </c>
      <c r="C753" s="172">
        <v>-1.2890795247765441</v>
      </c>
      <c r="D753" s="172">
        <v>-0.10954983766095538</v>
      </c>
      <c r="E753" s="171"/>
      <c r="F753" s="173">
        <f>MCond(B752:D754)</f>
        <v>10.838976396829279</v>
      </c>
    </row>
    <row r="754" spans="1:6">
      <c r="A754" s="171"/>
      <c r="B754" s="172">
        <v>1.6188303733889171</v>
      </c>
      <c r="C754" s="172">
        <v>-1.9594494251009342E-2</v>
      </c>
      <c r="D754" s="172">
        <v>-7.7422792294721043E-2</v>
      </c>
      <c r="E754" s="171"/>
      <c r="F754" s="173"/>
    </row>
    <row r="755" spans="1:6">
      <c r="A755" s="171"/>
      <c r="B755" s="172"/>
      <c r="C755" s="172"/>
      <c r="D755" s="172"/>
      <c r="E755" s="171"/>
      <c r="F755" s="174"/>
    </row>
    <row r="756" spans="1:6">
      <c r="A756" s="171"/>
      <c r="B756" s="172">
        <v>1.0351585166444348</v>
      </c>
      <c r="C756" s="172">
        <v>-2.1037449841221099</v>
      </c>
      <c r="D756" s="172">
        <v>-0.82913701269133588</v>
      </c>
      <c r="E756" s="171"/>
      <c r="F756" s="173"/>
    </row>
    <row r="757" spans="1:6">
      <c r="A757" s="171" t="s">
        <v>400</v>
      </c>
      <c r="B757" s="172">
        <v>-0.36768865949079377</v>
      </c>
      <c r="C757" s="172">
        <v>-1.2890795247765441</v>
      </c>
      <c r="D757" s="172">
        <v>-0.10954983766095538</v>
      </c>
      <c r="E757" s="171"/>
      <c r="F757" s="173">
        <f>MCond(B756:D758)</f>
        <v>12.611025430513319</v>
      </c>
    </row>
    <row r="758" spans="1:6">
      <c r="A758" s="171"/>
      <c r="B758" s="172">
        <v>1.0097006711160386</v>
      </c>
      <c r="C758" s="172">
        <v>0.26302086313966178</v>
      </c>
      <c r="D758" s="172">
        <v>-0.76545275918666766</v>
      </c>
      <c r="E758" s="171"/>
      <c r="F758" s="173"/>
    </row>
    <row r="759" spans="1:6">
      <c r="A759" s="171"/>
      <c r="B759" s="172"/>
      <c r="C759" s="172"/>
      <c r="D759" s="172"/>
      <c r="E759" s="171"/>
      <c r="F759" s="174"/>
    </row>
    <row r="760" spans="1:6">
      <c r="A760" s="171"/>
      <c r="B760" s="172">
        <v>1.0351585166444348</v>
      </c>
      <c r="C760" s="172">
        <v>-2.1037449841221099</v>
      </c>
      <c r="D760" s="172">
        <v>-0.82913701269133588</v>
      </c>
      <c r="E760" s="171"/>
      <c r="F760" s="173"/>
    </row>
    <row r="761" spans="1:6">
      <c r="A761" s="171" t="s">
        <v>401</v>
      </c>
      <c r="B761" s="172">
        <v>2.4772611105726599</v>
      </c>
      <c r="C761" s="172">
        <v>-1.0605572692523213</v>
      </c>
      <c r="D761" s="172">
        <v>-3.9812674620544719E-2</v>
      </c>
      <c r="E761" s="171"/>
      <c r="F761" s="173">
        <f>MCond(B760:D762)</f>
        <v>14.023075414159493</v>
      </c>
    </row>
    <row r="762" spans="1:6">
      <c r="A762" s="171"/>
      <c r="B762" s="172">
        <v>1.6188303733889171</v>
      </c>
      <c r="C762" s="172">
        <v>-1.9594494251009342E-2</v>
      </c>
      <c r="D762" s="172">
        <v>-7.7422792294721043E-2</v>
      </c>
      <c r="E762" s="171"/>
      <c r="F762" s="173"/>
    </row>
    <row r="763" spans="1:6">
      <c r="A763" s="171"/>
      <c r="B763" s="172"/>
      <c r="C763" s="172"/>
      <c r="D763" s="172"/>
      <c r="E763" s="171"/>
      <c r="F763" s="174"/>
    </row>
    <row r="764" spans="1:6">
      <c r="A764" s="171"/>
      <c r="B764" s="172">
        <v>1.0351585166444348</v>
      </c>
      <c r="C764" s="172">
        <v>-2.1037449841221099</v>
      </c>
      <c r="D764" s="172">
        <v>-0.82913701269133588</v>
      </c>
      <c r="E764" s="171"/>
      <c r="F764" s="173"/>
    </row>
    <row r="765" spans="1:6">
      <c r="A765" s="171" t="s">
        <v>402</v>
      </c>
      <c r="B765" s="172">
        <v>2.4772611105726599</v>
      </c>
      <c r="C765" s="172">
        <v>-1.0605572692523213</v>
      </c>
      <c r="D765" s="172">
        <v>-3.9812674620544719E-2</v>
      </c>
      <c r="E765" s="171"/>
      <c r="F765" s="173">
        <f>MCond(B764:D766)</f>
        <v>4.0515953972785423</v>
      </c>
    </row>
    <row r="766" spans="1:6">
      <c r="A766" s="171"/>
      <c r="B766" s="172">
        <v>1.0097006711160386</v>
      </c>
      <c r="C766" s="172">
        <v>0.26302086313966178</v>
      </c>
      <c r="D766" s="172">
        <v>-0.76545275918666766</v>
      </c>
      <c r="E766" s="171"/>
      <c r="F766" s="173"/>
    </row>
    <row r="767" spans="1:6">
      <c r="A767" s="171"/>
      <c r="B767" s="172"/>
      <c r="C767" s="172"/>
      <c r="D767" s="172"/>
      <c r="E767" s="171"/>
      <c r="F767" s="174"/>
    </row>
    <row r="768" spans="1:6">
      <c r="A768" s="171"/>
      <c r="B768" s="172">
        <v>1.0351585166444348</v>
      </c>
      <c r="C768" s="172">
        <v>-2.1037449841221099</v>
      </c>
      <c r="D768" s="172">
        <v>-0.82913701269133588</v>
      </c>
      <c r="E768" s="171"/>
      <c r="F768" s="173"/>
    </row>
    <row r="769" spans="1:6">
      <c r="A769" s="171" t="s">
        <v>403</v>
      </c>
      <c r="B769" s="172">
        <v>1.6188303733889171</v>
      </c>
      <c r="C769" s="172">
        <v>-1.9594494251009342E-2</v>
      </c>
      <c r="D769" s="172">
        <v>-7.7422792294721043E-2</v>
      </c>
      <c r="E769" s="171"/>
      <c r="F769" s="173">
        <f>MCond(B768:D770)</f>
        <v>4.3704074811251417</v>
      </c>
    </row>
    <row r="770" spans="1:6">
      <c r="A770" s="171"/>
      <c r="B770" s="172">
        <v>1.0097006711160386</v>
      </c>
      <c r="C770" s="172">
        <v>0.26302086313966178</v>
      </c>
      <c r="D770" s="172">
        <v>-0.76545275918666766</v>
      </c>
      <c r="E770" s="171"/>
      <c r="F770" s="173"/>
    </row>
    <row r="771" spans="1:6">
      <c r="A771" s="171"/>
      <c r="B771" s="172"/>
      <c r="C771" s="172"/>
      <c r="D771" s="172"/>
      <c r="E771" s="171"/>
      <c r="F771" s="174"/>
    </row>
    <row r="772" spans="1:6">
      <c r="A772" s="171"/>
      <c r="B772" s="172">
        <v>-0.21871711292247331</v>
      </c>
      <c r="C772" s="172">
        <v>-2.1363371502498802</v>
      </c>
      <c r="D772" s="172">
        <v>-8.9790398854103559E-2</v>
      </c>
      <c r="E772" s="171"/>
      <c r="F772" s="173"/>
    </row>
    <row r="773" spans="1:6">
      <c r="A773" s="171" t="s">
        <v>404</v>
      </c>
      <c r="B773" s="172">
        <v>2.0770709056556562</v>
      </c>
      <c r="C773" s="172">
        <v>-2.1445635165533226</v>
      </c>
      <c r="D773" s="172">
        <v>-5.6653180844775664E-2</v>
      </c>
      <c r="E773" s="171"/>
      <c r="F773" s="173">
        <f>MCond(B772:D774)</f>
        <v>83.460835017935977</v>
      </c>
    </row>
    <row r="774" spans="1:6">
      <c r="A774" s="171"/>
      <c r="B774" s="172">
        <v>-0.36768865949079377</v>
      </c>
      <c r="C774" s="172">
        <v>-1.2890795247765441</v>
      </c>
      <c r="D774" s="172">
        <v>-0.10954983766095538</v>
      </c>
      <c r="E774" s="171"/>
      <c r="F774" s="173"/>
    </row>
    <row r="775" spans="1:6">
      <c r="A775" s="171"/>
      <c r="B775" s="172"/>
      <c r="C775" s="172"/>
      <c r="D775" s="172"/>
      <c r="E775" s="171"/>
      <c r="F775" s="174"/>
    </row>
    <row r="776" spans="1:6">
      <c r="A776" s="171"/>
      <c r="B776" s="172">
        <v>-0.21871711292247331</v>
      </c>
      <c r="C776" s="172">
        <v>-2.1363371502498802</v>
      </c>
      <c r="D776" s="172">
        <v>-8.9790398854103559E-2</v>
      </c>
      <c r="E776" s="171"/>
      <c r="F776" s="173"/>
    </row>
    <row r="777" spans="1:6">
      <c r="A777" s="171" t="s">
        <v>405</v>
      </c>
      <c r="B777" s="172">
        <v>2.0770709056556562</v>
      </c>
      <c r="C777" s="172">
        <v>-2.1445635165533226</v>
      </c>
      <c r="D777" s="172">
        <v>-5.6653180844775664E-2</v>
      </c>
      <c r="E777" s="171"/>
      <c r="F777" s="173">
        <f>MCond(B776:D778)</f>
        <v>204.78346391597921</v>
      </c>
    </row>
    <row r="778" spans="1:6">
      <c r="A778" s="171"/>
      <c r="B778" s="172">
        <v>2.4772611105726599</v>
      </c>
      <c r="C778" s="172">
        <v>-1.0605572692523213</v>
      </c>
      <c r="D778" s="172">
        <v>-3.9812674620544719E-2</v>
      </c>
      <c r="E778" s="171"/>
      <c r="F778" s="173"/>
    </row>
    <row r="779" spans="1:6">
      <c r="A779" s="171"/>
      <c r="B779" s="172"/>
      <c r="C779" s="172"/>
      <c r="D779" s="172"/>
      <c r="E779" s="171"/>
      <c r="F779" s="174"/>
    </row>
    <row r="780" spans="1:6">
      <c r="A780" s="171"/>
      <c r="B780" s="172">
        <v>-0.21871711292247331</v>
      </c>
      <c r="C780" s="172">
        <v>-2.1363371502498802</v>
      </c>
      <c r="D780" s="172">
        <v>-8.9790398854103559E-2</v>
      </c>
      <c r="E780" s="171"/>
      <c r="F780" s="173"/>
    </row>
    <row r="781" spans="1:6">
      <c r="A781" s="171" t="s">
        <v>406</v>
      </c>
      <c r="B781" s="172">
        <v>2.0770709056556562</v>
      </c>
      <c r="C781" s="172">
        <v>-2.1445635165533226</v>
      </c>
      <c r="D781" s="172">
        <v>-5.6653180844775664E-2</v>
      </c>
      <c r="E781" s="171"/>
      <c r="F781" s="173">
        <f>MCond(B780:D782)</f>
        <v>49.247927504726903</v>
      </c>
    </row>
    <row r="782" spans="1:6">
      <c r="A782" s="171"/>
      <c r="B782" s="172">
        <v>1.6188303733889171</v>
      </c>
      <c r="C782" s="172">
        <v>-1.9594494251009342E-2</v>
      </c>
      <c r="D782" s="172">
        <v>-7.7422792294721043E-2</v>
      </c>
      <c r="E782" s="171"/>
      <c r="F782" s="173"/>
    </row>
    <row r="783" spans="1:6">
      <c r="A783" s="171"/>
      <c r="B783" s="172"/>
      <c r="C783" s="172"/>
      <c r="D783" s="172"/>
      <c r="E783" s="171"/>
      <c r="F783" s="174"/>
    </row>
    <row r="784" spans="1:6">
      <c r="A784" s="171"/>
      <c r="B784" s="172">
        <v>-0.21871711292247331</v>
      </c>
      <c r="C784" s="172">
        <v>-2.1363371502498802</v>
      </c>
      <c r="D784" s="172">
        <v>-8.9790398854103559E-2</v>
      </c>
      <c r="E784" s="171"/>
      <c r="F784" s="173"/>
    </row>
    <row r="785" spans="1:6">
      <c r="A785" s="171" t="s">
        <v>407</v>
      </c>
      <c r="B785" s="172">
        <v>2.0770709056556562</v>
      </c>
      <c r="C785" s="172">
        <v>-2.1445635165533226</v>
      </c>
      <c r="D785" s="172">
        <v>-5.6653180844775664E-2</v>
      </c>
      <c r="E785" s="171"/>
      <c r="F785" s="173">
        <f>MCond(B784:D786)</f>
        <v>5.3867085530333512</v>
      </c>
    </row>
    <row r="786" spans="1:6">
      <c r="A786" s="171"/>
      <c r="B786" s="172">
        <v>1.0097006711160386</v>
      </c>
      <c r="C786" s="172">
        <v>0.26302086313966178</v>
      </c>
      <c r="D786" s="172">
        <v>-0.76545275918666766</v>
      </c>
      <c r="E786" s="171"/>
      <c r="F786" s="173"/>
    </row>
    <row r="787" spans="1:6">
      <c r="A787" s="171"/>
      <c r="B787" s="172"/>
      <c r="C787" s="172"/>
      <c r="D787" s="172"/>
      <c r="E787" s="171"/>
      <c r="F787" s="174"/>
    </row>
    <row r="788" spans="1:6">
      <c r="A788" s="171"/>
      <c r="B788" s="172">
        <v>-0.21871711292247331</v>
      </c>
      <c r="C788" s="172">
        <v>-2.1363371502498802</v>
      </c>
      <c r="D788" s="172">
        <v>-8.9790398854103559E-2</v>
      </c>
      <c r="E788" s="171"/>
      <c r="F788" s="173"/>
    </row>
    <row r="789" spans="1:6">
      <c r="A789" s="171" t="s">
        <v>408</v>
      </c>
      <c r="B789" s="172">
        <v>-0.36768865949079377</v>
      </c>
      <c r="C789" s="172">
        <v>-1.2890795247765441</v>
      </c>
      <c r="D789" s="172">
        <v>-0.10954983766095538</v>
      </c>
      <c r="E789" s="171"/>
      <c r="F789" s="173">
        <f>MCond(B788:D790)</f>
        <v>63.944981854448542</v>
      </c>
    </row>
    <row r="790" spans="1:6">
      <c r="A790" s="171"/>
      <c r="B790" s="172">
        <v>2.4772611105726599</v>
      </c>
      <c r="C790" s="172">
        <v>-1.0605572692523213</v>
      </c>
      <c r="D790" s="172">
        <v>-3.9812674620544719E-2</v>
      </c>
      <c r="E790" s="171"/>
      <c r="F790" s="173"/>
    </row>
    <row r="791" spans="1:6">
      <c r="A791" s="171"/>
      <c r="B791" s="172"/>
      <c r="C791" s="172"/>
      <c r="D791" s="172"/>
      <c r="E791" s="171"/>
      <c r="F791" s="174"/>
    </row>
    <row r="792" spans="1:6">
      <c r="A792" s="171"/>
      <c r="B792" s="172">
        <v>-0.21871711292247331</v>
      </c>
      <c r="C792" s="172">
        <v>-2.1363371502498802</v>
      </c>
      <c r="D792" s="172">
        <v>-8.9790398854103559E-2</v>
      </c>
      <c r="E792" s="171"/>
      <c r="F792" s="173"/>
    </row>
    <row r="793" spans="1:6">
      <c r="A793" s="171" t="s">
        <v>409</v>
      </c>
      <c r="B793" s="172">
        <v>-0.36768865949079377</v>
      </c>
      <c r="C793" s="172">
        <v>-1.2890795247765441</v>
      </c>
      <c r="D793" s="172">
        <v>-0.10954983766095538</v>
      </c>
      <c r="E793" s="171"/>
      <c r="F793" s="173">
        <f>MCond(B792:D794)</f>
        <v>45.152375765832033</v>
      </c>
    </row>
    <row r="794" spans="1:6">
      <c r="A794" s="171"/>
      <c r="B794" s="172">
        <v>1.6188303733889171</v>
      </c>
      <c r="C794" s="172">
        <v>-1.9594494251009342E-2</v>
      </c>
      <c r="D794" s="172">
        <v>-7.7422792294721043E-2</v>
      </c>
      <c r="E794" s="171"/>
      <c r="F794" s="173"/>
    </row>
    <row r="795" spans="1:6">
      <c r="A795" s="171"/>
      <c r="B795" s="172"/>
      <c r="C795" s="172"/>
      <c r="D795" s="172"/>
      <c r="E795" s="171"/>
      <c r="F795" s="174"/>
    </row>
    <row r="796" spans="1:6">
      <c r="A796" s="171"/>
      <c r="B796" s="172">
        <v>-0.21871711292247331</v>
      </c>
      <c r="C796" s="172">
        <v>-2.1363371502498802</v>
      </c>
      <c r="D796" s="172">
        <v>-8.9790398854103559E-2</v>
      </c>
      <c r="E796" s="171"/>
      <c r="F796" s="173"/>
    </row>
    <row r="797" spans="1:6">
      <c r="A797" s="171" t="s">
        <v>410</v>
      </c>
      <c r="B797" s="172">
        <v>-0.36768865949079377</v>
      </c>
      <c r="C797" s="172">
        <v>-1.2890795247765441</v>
      </c>
      <c r="D797" s="172">
        <v>-0.10954983766095538</v>
      </c>
      <c r="E797" s="171"/>
      <c r="F797" s="173">
        <f>MCond(B796:D798)</f>
        <v>15.911611789340494</v>
      </c>
    </row>
    <row r="798" spans="1:6">
      <c r="A798" s="171"/>
      <c r="B798" s="172">
        <v>1.0097006711160386</v>
      </c>
      <c r="C798" s="172">
        <v>0.26302086313966178</v>
      </c>
      <c r="D798" s="172">
        <v>-0.76545275918666766</v>
      </c>
      <c r="E798" s="171"/>
      <c r="F798" s="173"/>
    </row>
    <row r="799" spans="1:6">
      <c r="A799" s="171"/>
      <c r="B799" s="172"/>
      <c r="C799" s="172"/>
      <c r="D799" s="172"/>
      <c r="E799" s="171"/>
      <c r="F799" s="174"/>
    </row>
    <row r="800" spans="1:6">
      <c r="A800" s="171"/>
      <c r="B800" s="172">
        <v>-0.21871711292247331</v>
      </c>
      <c r="C800" s="172">
        <v>-2.1363371502498802</v>
      </c>
      <c r="D800" s="172">
        <v>-8.9790398854103559E-2</v>
      </c>
      <c r="E800" s="171"/>
      <c r="F800" s="173"/>
    </row>
    <row r="801" spans="1:6">
      <c r="A801" s="171" t="s">
        <v>411</v>
      </c>
      <c r="B801" s="172">
        <v>2.4772611105726599</v>
      </c>
      <c r="C801" s="172">
        <v>-1.0605572692523213</v>
      </c>
      <c r="D801" s="172">
        <v>-3.9812674620544719E-2</v>
      </c>
      <c r="E801" s="171"/>
      <c r="F801" s="173">
        <f>MCond(B800:D802)</f>
        <v>48.308554874402986</v>
      </c>
    </row>
    <row r="802" spans="1:6">
      <c r="A802" s="171"/>
      <c r="B802" s="172">
        <v>1.6188303733889171</v>
      </c>
      <c r="C802" s="172">
        <v>-1.9594494251009342E-2</v>
      </c>
      <c r="D802" s="172">
        <v>-7.7422792294721043E-2</v>
      </c>
      <c r="E802" s="171"/>
      <c r="F802" s="173"/>
    </row>
    <row r="803" spans="1:6">
      <c r="A803" s="171"/>
      <c r="B803" s="172"/>
      <c r="C803" s="172"/>
      <c r="D803" s="172"/>
      <c r="E803" s="171"/>
      <c r="F803" s="174"/>
    </row>
    <row r="804" spans="1:6">
      <c r="A804" s="171"/>
      <c r="B804" s="172">
        <v>-0.21871711292247331</v>
      </c>
      <c r="C804" s="172">
        <v>-2.1363371502498802</v>
      </c>
      <c r="D804" s="172">
        <v>-8.9790398854103559E-2</v>
      </c>
      <c r="E804" s="171"/>
      <c r="F804" s="173"/>
    </row>
    <row r="805" spans="1:6">
      <c r="A805" s="171" t="s">
        <v>412</v>
      </c>
      <c r="B805" s="172">
        <v>2.4772611105726599</v>
      </c>
      <c r="C805" s="172">
        <v>-1.0605572692523213</v>
      </c>
      <c r="D805" s="172">
        <v>-3.9812674620544719E-2</v>
      </c>
      <c r="E805" s="171"/>
      <c r="F805" s="173">
        <f>MCond(B804:D806)</f>
        <v>4.2325598033353158</v>
      </c>
    </row>
    <row r="806" spans="1:6">
      <c r="A806" s="171"/>
      <c r="B806" s="172">
        <v>1.0097006711160386</v>
      </c>
      <c r="C806" s="172">
        <v>0.26302086313966178</v>
      </c>
      <c r="D806" s="172">
        <v>-0.76545275918666766</v>
      </c>
      <c r="E806" s="171"/>
      <c r="F806" s="173"/>
    </row>
    <row r="807" spans="1:6">
      <c r="A807" s="171"/>
      <c r="B807" s="172"/>
      <c r="C807" s="172"/>
      <c r="D807" s="172"/>
      <c r="E807" s="171"/>
      <c r="F807" s="174"/>
    </row>
    <row r="808" spans="1:6">
      <c r="A808" s="171"/>
      <c r="B808" s="172">
        <v>-0.21871711292247331</v>
      </c>
      <c r="C808" s="172">
        <v>-2.1363371502498802</v>
      </c>
      <c r="D808" s="172">
        <v>-8.9790398854103559E-2</v>
      </c>
      <c r="E808" s="171"/>
      <c r="F808" s="173"/>
    </row>
    <row r="809" spans="1:6">
      <c r="A809" s="171" t="s">
        <v>413</v>
      </c>
      <c r="B809" s="172">
        <v>1.6188303733889171</v>
      </c>
      <c r="C809" s="172">
        <v>-1.9594494251009342E-2</v>
      </c>
      <c r="D809" s="172">
        <v>-7.7422792294721043E-2</v>
      </c>
      <c r="E809" s="171"/>
      <c r="F809" s="173">
        <f>MCond(B808:D810)</f>
        <v>3.743001491301829</v>
      </c>
    </row>
    <row r="810" spans="1:6">
      <c r="A810" s="171"/>
      <c r="B810" s="172">
        <v>1.0097006711160386</v>
      </c>
      <c r="C810" s="172">
        <v>0.26302086313966178</v>
      </c>
      <c r="D810" s="172">
        <v>-0.76545275918666766</v>
      </c>
      <c r="E810" s="171"/>
      <c r="F810" s="173"/>
    </row>
    <row r="811" spans="1:6">
      <c r="A811" s="171"/>
      <c r="B811" s="172"/>
      <c r="C811" s="172"/>
      <c r="D811" s="172"/>
      <c r="E811" s="171"/>
      <c r="F811" s="174"/>
    </row>
    <row r="812" spans="1:6">
      <c r="A812" s="171"/>
      <c r="B812" s="172">
        <v>2.0770709056556562</v>
      </c>
      <c r="C812" s="172">
        <v>-2.1445635165533226</v>
      </c>
      <c r="D812" s="172">
        <v>-5.6653180844775664E-2</v>
      </c>
      <c r="E812" s="171"/>
      <c r="F812" s="173"/>
    </row>
    <row r="813" spans="1:6">
      <c r="A813" s="171" t="s">
        <v>414</v>
      </c>
      <c r="B813" s="172">
        <v>-0.36768865949079377</v>
      </c>
      <c r="C813" s="172">
        <v>-1.2890795247765441</v>
      </c>
      <c r="D813" s="172">
        <v>-0.10954983766095538</v>
      </c>
      <c r="E813" s="171"/>
      <c r="F813" s="173">
        <f>MCond(B812:D814)</f>
        <v>84.872649675684883</v>
      </c>
    </row>
    <row r="814" spans="1:6">
      <c r="A814" s="171"/>
      <c r="B814" s="172">
        <v>2.4772611105726599</v>
      </c>
      <c r="C814" s="172">
        <v>-1.0605572692523213</v>
      </c>
      <c r="D814" s="172">
        <v>-3.9812674620544719E-2</v>
      </c>
      <c r="E814" s="171"/>
      <c r="F814" s="173"/>
    </row>
    <row r="815" spans="1:6">
      <c r="A815" s="171"/>
      <c r="B815" s="172"/>
      <c r="C815" s="172"/>
      <c r="D815" s="172"/>
      <c r="E815" s="171"/>
      <c r="F815" s="174"/>
    </row>
    <row r="816" spans="1:6">
      <c r="A816" s="171"/>
      <c r="B816" s="172">
        <v>2.0770709056556562</v>
      </c>
      <c r="C816" s="172">
        <v>-2.1445635165533226</v>
      </c>
      <c r="D816" s="172">
        <v>-5.6653180844775664E-2</v>
      </c>
      <c r="E816" s="171"/>
      <c r="F816" s="173"/>
    </row>
    <row r="817" spans="1:6">
      <c r="A817" s="171" t="s">
        <v>415</v>
      </c>
      <c r="B817" s="172">
        <v>-0.36768865949079377</v>
      </c>
      <c r="C817" s="172">
        <v>-1.2890795247765441</v>
      </c>
      <c r="D817" s="172">
        <v>-0.10954983766095538</v>
      </c>
      <c r="E817" s="171"/>
      <c r="F817" s="173">
        <f>MCond(B816:D818)</f>
        <v>33.069426713699293</v>
      </c>
    </row>
    <row r="818" spans="1:6">
      <c r="A818" s="171"/>
      <c r="B818" s="172">
        <v>1.6188303733889171</v>
      </c>
      <c r="C818" s="172">
        <v>-1.9594494251009342E-2</v>
      </c>
      <c r="D818" s="172">
        <v>-7.7422792294721043E-2</v>
      </c>
      <c r="E818" s="171"/>
      <c r="F818" s="173"/>
    </row>
    <row r="819" spans="1:6">
      <c r="A819" s="171"/>
      <c r="B819" s="172"/>
      <c r="C819" s="172"/>
      <c r="D819" s="172"/>
      <c r="E819" s="171"/>
      <c r="F819" s="174"/>
    </row>
    <row r="820" spans="1:6">
      <c r="A820" s="171"/>
      <c r="B820" s="172">
        <v>2.0770709056556562</v>
      </c>
      <c r="C820" s="172">
        <v>-2.1445635165533226</v>
      </c>
      <c r="D820" s="172">
        <v>-5.6653180844775664E-2</v>
      </c>
      <c r="E820" s="171"/>
      <c r="F820" s="173"/>
    </row>
    <row r="821" spans="1:6">
      <c r="A821" s="171" t="s">
        <v>416</v>
      </c>
      <c r="B821" s="172">
        <v>-0.36768865949079377</v>
      </c>
      <c r="C821" s="172">
        <v>-1.2890795247765441</v>
      </c>
      <c r="D821" s="172">
        <v>-0.10954983766095538</v>
      </c>
      <c r="E821" s="171"/>
      <c r="F821" s="173">
        <f>MCond(B820:D822)</f>
        <v>5.155149298810846</v>
      </c>
    </row>
    <row r="822" spans="1:6">
      <c r="A822" s="171"/>
      <c r="B822" s="172">
        <v>1.0097006711160386</v>
      </c>
      <c r="C822" s="172">
        <v>0.26302086313966178</v>
      </c>
      <c r="D822" s="172">
        <v>-0.76545275918666766</v>
      </c>
      <c r="E822" s="171"/>
      <c r="F822" s="173"/>
    </row>
    <row r="823" spans="1:6">
      <c r="A823" s="171"/>
      <c r="B823" s="172"/>
      <c r="C823" s="172"/>
      <c r="D823" s="172"/>
      <c r="E823" s="171"/>
      <c r="F823" s="174"/>
    </row>
    <row r="824" spans="1:6">
      <c r="A824" s="171"/>
      <c r="B824" s="172">
        <v>2.0770709056556562</v>
      </c>
      <c r="C824" s="172">
        <v>-2.1445635165533226</v>
      </c>
      <c r="D824" s="172">
        <v>-5.6653180844775664E-2</v>
      </c>
      <c r="E824" s="171"/>
      <c r="F824" s="173"/>
    </row>
    <row r="825" spans="1:6">
      <c r="A825" s="171" t="s">
        <v>417</v>
      </c>
      <c r="B825" s="172">
        <v>2.4772611105726599</v>
      </c>
      <c r="C825" s="172">
        <v>-1.0605572692523213</v>
      </c>
      <c r="D825" s="172">
        <v>-3.9812674620544719E-2</v>
      </c>
      <c r="E825" s="171"/>
      <c r="F825" s="173">
        <f>MCond(B824:D826)</f>
        <v>103.43008876337434</v>
      </c>
    </row>
    <row r="826" spans="1:6">
      <c r="A826" s="171"/>
      <c r="B826" s="172">
        <v>1.6188303733889171</v>
      </c>
      <c r="C826" s="172">
        <v>-1.9594494251009342E-2</v>
      </c>
      <c r="D826" s="172">
        <v>-7.7422792294721043E-2</v>
      </c>
      <c r="E826" s="171"/>
      <c r="F826" s="173"/>
    </row>
    <row r="827" spans="1:6">
      <c r="A827" s="171"/>
      <c r="B827" s="172"/>
      <c r="C827" s="172"/>
      <c r="D827" s="172"/>
      <c r="E827" s="171"/>
      <c r="F827" s="174"/>
    </row>
    <row r="828" spans="1:6">
      <c r="A828" s="171"/>
      <c r="B828" s="172">
        <v>2.0770709056556562</v>
      </c>
      <c r="C828" s="172">
        <v>-2.1445635165533226</v>
      </c>
      <c r="D828" s="172">
        <v>-5.6653180844775664E-2</v>
      </c>
      <c r="E828" s="171"/>
      <c r="F828" s="173"/>
    </row>
    <row r="829" spans="1:6">
      <c r="A829" s="171" t="s">
        <v>418</v>
      </c>
      <c r="B829" s="172">
        <v>2.4772611105726599</v>
      </c>
      <c r="C829" s="172">
        <v>-1.0605572692523213</v>
      </c>
      <c r="D829" s="172">
        <v>-3.9812674620544719E-2</v>
      </c>
      <c r="E829" s="171"/>
      <c r="F829" s="173">
        <f>MCond(B828:D830)</f>
        <v>8.5031850746050246</v>
      </c>
    </row>
    <row r="830" spans="1:6">
      <c r="A830" s="171"/>
      <c r="B830" s="172">
        <v>1.0097006711160386</v>
      </c>
      <c r="C830" s="172">
        <v>0.26302086313966178</v>
      </c>
      <c r="D830" s="172">
        <v>-0.76545275918666766</v>
      </c>
      <c r="E830" s="171"/>
      <c r="F830" s="173"/>
    </row>
    <row r="831" spans="1:6">
      <c r="A831" s="171"/>
      <c r="B831" s="172"/>
      <c r="C831" s="172"/>
      <c r="D831" s="172"/>
      <c r="E831" s="171"/>
      <c r="F831" s="174"/>
    </row>
    <row r="832" spans="1:6">
      <c r="A832" s="171"/>
      <c r="B832" s="172">
        <v>2.0770709056556562</v>
      </c>
      <c r="C832" s="172">
        <v>-2.1445635165533226</v>
      </c>
      <c r="D832" s="172">
        <v>-5.6653180844775664E-2</v>
      </c>
      <c r="E832" s="171"/>
      <c r="F832" s="173"/>
    </row>
    <row r="833" spans="1:6">
      <c r="A833" s="171" t="s">
        <v>419</v>
      </c>
      <c r="B833" s="172">
        <v>1.6188303733889171</v>
      </c>
      <c r="C833" s="172">
        <v>-1.9594494251009342E-2</v>
      </c>
      <c r="D833" s="172">
        <v>-7.7422792294721043E-2</v>
      </c>
      <c r="E833" s="171"/>
      <c r="F833" s="173">
        <f>MCond(B832:D834)</f>
        <v>6.3921465350608555</v>
      </c>
    </row>
    <row r="834" spans="1:6">
      <c r="A834" s="171"/>
      <c r="B834" s="172">
        <v>1.0097006711160386</v>
      </c>
      <c r="C834" s="172">
        <v>0.26302086313966178</v>
      </c>
      <c r="D834" s="172">
        <v>-0.76545275918666766</v>
      </c>
      <c r="E834" s="171"/>
      <c r="F834" s="173"/>
    </row>
    <row r="835" spans="1:6">
      <c r="A835" s="171"/>
      <c r="B835" s="172"/>
      <c r="C835" s="172"/>
      <c r="D835" s="172"/>
      <c r="E835" s="171"/>
      <c r="F835" s="174"/>
    </row>
    <row r="836" spans="1:6">
      <c r="A836" s="171"/>
      <c r="B836" s="172">
        <v>-0.36768865949079377</v>
      </c>
      <c r="C836" s="172">
        <v>-1.2890795247765441</v>
      </c>
      <c r="D836" s="172">
        <v>-0.10954983766095538</v>
      </c>
      <c r="E836" s="171"/>
      <c r="F836" s="173"/>
    </row>
    <row r="837" spans="1:6">
      <c r="A837" s="171" t="s">
        <v>420</v>
      </c>
      <c r="B837" s="172">
        <v>2.4772611105726599</v>
      </c>
      <c r="C837" s="172">
        <v>-1.0605572692523213</v>
      </c>
      <c r="D837" s="172">
        <v>-3.9812674620544719E-2</v>
      </c>
      <c r="E837" s="171"/>
      <c r="F837" s="173">
        <f>MCond(B836:D838)</f>
        <v>36.849822091727596</v>
      </c>
    </row>
    <row r="838" spans="1:6">
      <c r="A838" s="171"/>
      <c r="B838" s="172">
        <v>1.6188303733889171</v>
      </c>
      <c r="C838" s="172">
        <v>-1.9594494251009342E-2</v>
      </c>
      <c r="D838" s="172">
        <v>-7.7422792294721043E-2</v>
      </c>
      <c r="E838" s="171"/>
      <c r="F838" s="173"/>
    </row>
    <row r="839" spans="1:6">
      <c r="A839" s="171"/>
      <c r="B839" s="172"/>
      <c r="C839" s="172"/>
      <c r="D839" s="172"/>
      <c r="E839" s="171"/>
      <c r="F839" s="174"/>
    </row>
    <row r="840" spans="1:6">
      <c r="A840" s="171"/>
      <c r="B840" s="172">
        <v>-0.36768865949079377</v>
      </c>
      <c r="C840" s="172">
        <v>-1.2890795247765441</v>
      </c>
      <c r="D840" s="172">
        <v>-0.10954983766095538</v>
      </c>
      <c r="E840" s="171"/>
      <c r="F840" s="173"/>
    </row>
    <row r="841" spans="1:6">
      <c r="A841" s="171" t="s">
        <v>421</v>
      </c>
      <c r="B841" s="172">
        <v>2.4772611105726599</v>
      </c>
      <c r="C841" s="172">
        <v>-1.0605572692523213</v>
      </c>
      <c r="D841" s="172">
        <v>-3.9812674620544719E-2</v>
      </c>
      <c r="E841" s="171"/>
      <c r="F841" s="173">
        <f>MCond(B840:D842)</f>
        <v>4.1630934361703984</v>
      </c>
    </row>
    <row r="842" spans="1:6">
      <c r="A842" s="171"/>
      <c r="B842" s="172">
        <v>1.0097006711160386</v>
      </c>
      <c r="C842" s="172">
        <v>0.26302086313966178</v>
      </c>
      <c r="D842" s="172">
        <v>-0.76545275918666766</v>
      </c>
      <c r="E842" s="171"/>
      <c r="F842" s="173"/>
    </row>
    <row r="843" spans="1:6">
      <c r="A843" s="171"/>
      <c r="B843" s="172"/>
      <c r="C843" s="172"/>
      <c r="D843" s="172"/>
      <c r="E843" s="171"/>
      <c r="F843" s="174"/>
    </row>
    <row r="844" spans="1:6">
      <c r="A844" s="171"/>
      <c r="B844" s="172">
        <v>-0.36768865949079377</v>
      </c>
      <c r="C844" s="172">
        <v>-1.2890795247765441</v>
      </c>
      <c r="D844" s="172">
        <v>-0.10954983766095538</v>
      </c>
      <c r="E844" s="171"/>
      <c r="F844" s="173"/>
    </row>
    <row r="845" spans="1:6">
      <c r="A845" s="171" t="s">
        <v>422</v>
      </c>
      <c r="B845" s="172">
        <v>1.6188303733889171</v>
      </c>
      <c r="C845" s="172">
        <v>-1.9594494251009342E-2</v>
      </c>
      <c r="D845" s="172">
        <v>-7.7422792294721043E-2</v>
      </c>
      <c r="E845" s="171"/>
      <c r="F845" s="173">
        <f>MCond(B844:D846)</f>
        <v>3.3413406696182579</v>
      </c>
    </row>
    <row r="846" spans="1:6">
      <c r="A846" s="171"/>
      <c r="B846" s="172">
        <v>1.0097006711160386</v>
      </c>
      <c r="C846" s="172">
        <v>0.26302086313966178</v>
      </c>
      <c r="D846" s="172">
        <v>-0.76545275918666766</v>
      </c>
      <c r="E846" s="171"/>
      <c r="F846" s="173"/>
    </row>
    <row r="847" spans="1:6">
      <c r="A847" s="171"/>
      <c r="B847" s="172"/>
      <c r="C847" s="172"/>
      <c r="D847" s="172"/>
      <c r="E847" s="171"/>
      <c r="F847" s="174"/>
    </row>
    <row r="848" spans="1:6">
      <c r="A848" s="171"/>
      <c r="B848" s="172">
        <v>2.4772611105726599</v>
      </c>
      <c r="C848" s="172">
        <v>-1.0605572692523213</v>
      </c>
      <c r="D848" s="172">
        <v>-3.9812674620544719E-2</v>
      </c>
      <c r="E848" s="171"/>
      <c r="F848" s="173"/>
    </row>
    <row r="849" spans="1:6">
      <c r="A849" s="171" t="s">
        <v>423</v>
      </c>
      <c r="B849" s="172">
        <v>1.6188303733889171</v>
      </c>
      <c r="C849" s="172">
        <v>-1.9594494251009342E-2</v>
      </c>
      <c r="D849" s="172">
        <v>-7.7422792294721043E-2</v>
      </c>
      <c r="E849" s="171"/>
      <c r="F849" s="173">
        <f>MCond(B848:D850)</f>
        <v>8.7645356999874178</v>
      </c>
    </row>
    <row r="850" spans="1:6">
      <c r="A850" s="171"/>
      <c r="B850" s="172">
        <v>1.0097006711160386</v>
      </c>
      <c r="C850" s="172">
        <v>0.26302086313966178</v>
      </c>
      <c r="D850" s="172">
        <v>-0.76545275918666766</v>
      </c>
      <c r="E850" s="171"/>
      <c r="F850" s="173"/>
    </row>
    <row r="851" spans="1:6">
      <c r="A851" s="171"/>
      <c r="B851" s="172"/>
      <c r="C851" s="172"/>
      <c r="D851" s="172"/>
      <c r="E851" s="171"/>
      <c r="F851" s="174"/>
    </row>
    <row r="852" spans="1:6">
      <c r="A852" s="171"/>
      <c r="B852" s="172">
        <v>-0.58367185674448252</v>
      </c>
      <c r="C852" s="172">
        <v>-2.0841504898711007</v>
      </c>
      <c r="D852" s="172">
        <v>-0.75171422039661484</v>
      </c>
      <c r="E852" s="171"/>
      <c r="F852" s="173"/>
    </row>
    <row r="853" spans="1:6">
      <c r="A853" s="171" t="s">
        <v>424</v>
      </c>
      <c r="B853" s="172">
        <v>-1.8375474863113905</v>
      </c>
      <c r="C853" s="172">
        <v>-2.1167426559988707</v>
      </c>
      <c r="D853" s="172">
        <v>-1.2367606559382516E-2</v>
      </c>
      <c r="E853" s="171"/>
      <c r="F853" s="173">
        <f>MCond(B852:D854)</f>
        <v>6.2959412294601558</v>
      </c>
    </row>
    <row r="854" spans="1:6">
      <c r="A854" s="171"/>
      <c r="B854" s="172">
        <v>0.45824053226673911</v>
      </c>
      <c r="C854" s="172">
        <v>-2.124969022302313</v>
      </c>
      <c r="D854" s="172">
        <v>2.076961144994538E-2</v>
      </c>
      <c r="E854" s="171"/>
      <c r="F854" s="173"/>
    </row>
    <row r="855" spans="1:6">
      <c r="A855" s="171"/>
      <c r="B855" s="172"/>
      <c r="C855" s="172"/>
      <c r="D855" s="172"/>
      <c r="E855" s="171"/>
      <c r="F855" s="174"/>
    </row>
    <row r="856" spans="1:6">
      <c r="A856" s="171"/>
      <c r="B856" s="172">
        <v>-0.58367185674448252</v>
      </c>
      <c r="C856" s="172">
        <v>-2.0841504898711007</v>
      </c>
      <c r="D856" s="172">
        <v>-0.75171422039661484</v>
      </c>
      <c r="E856" s="171"/>
      <c r="F856" s="173"/>
    </row>
    <row r="857" spans="1:6">
      <c r="A857" s="171" t="s">
        <v>425</v>
      </c>
      <c r="B857" s="172">
        <v>-1.8375474863113905</v>
      </c>
      <c r="C857" s="172">
        <v>-2.1167426559988707</v>
      </c>
      <c r="D857" s="172">
        <v>-1.2367606559382516E-2</v>
      </c>
      <c r="E857" s="171"/>
      <c r="F857" s="173">
        <f>MCond(B856:D858)</f>
        <v>14.956503161585864</v>
      </c>
    </row>
    <row r="858" spans="1:6">
      <c r="A858" s="171"/>
      <c r="B858" s="172">
        <v>-1.9865190328797109</v>
      </c>
      <c r="C858" s="172">
        <v>-1.2694850305255347</v>
      </c>
      <c r="D858" s="172">
        <v>-3.2127045366234341E-2</v>
      </c>
      <c r="E858" s="171"/>
      <c r="F858" s="173"/>
    </row>
    <row r="859" spans="1:6">
      <c r="A859" s="171"/>
      <c r="B859" s="172"/>
      <c r="C859" s="172"/>
      <c r="D859" s="172"/>
      <c r="E859" s="171"/>
      <c r="F859" s="174"/>
    </row>
    <row r="860" spans="1:6">
      <c r="A860" s="171"/>
      <c r="B860" s="172">
        <v>-0.58367185674448252</v>
      </c>
      <c r="C860" s="172">
        <v>-2.0841504898711007</v>
      </c>
      <c r="D860" s="172">
        <v>-0.75171422039661484</v>
      </c>
      <c r="E860" s="171"/>
      <c r="F860" s="173"/>
    </row>
    <row r="861" spans="1:6">
      <c r="A861" s="171" t="s">
        <v>426</v>
      </c>
      <c r="B861" s="172">
        <v>-1.8375474863113905</v>
      </c>
      <c r="C861" s="172">
        <v>-2.1167426559988707</v>
      </c>
      <c r="D861" s="172">
        <v>-1.2367606559382516E-2</v>
      </c>
      <c r="E861" s="171"/>
      <c r="F861" s="173">
        <f>MCond(B860:D862)</f>
        <v>6.4314927648957179</v>
      </c>
    </row>
    <row r="862" spans="1:6">
      <c r="A862" s="171"/>
      <c r="B862" s="172">
        <v>0.85843073718374274</v>
      </c>
      <c r="C862" s="172">
        <v>-1.040962775001312</v>
      </c>
      <c r="D862" s="172">
        <v>3.7610117674176324E-2</v>
      </c>
      <c r="E862" s="171"/>
      <c r="F862" s="173"/>
    </row>
    <row r="863" spans="1:6">
      <c r="A863" s="171"/>
      <c r="B863" s="172"/>
      <c r="C863" s="172"/>
      <c r="D863" s="172"/>
      <c r="E863" s="171"/>
      <c r="F863" s="174"/>
    </row>
    <row r="864" spans="1:6">
      <c r="A864" s="171"/>
      <c r="B864" s="172">
        <v>-0.58367185674448252</v>
      </c>
      <c r="C864" s="172">
        <v>-2.0841504898711007</v>
      </c>
      <c r="D864" s="172">
        <v>-0.75171422039661484</v>
      </c>
      <c r="E864" s="171"/>
      <c r="F864" s="173"/>
    </row>
    <row r="865" spans="1:6">
      <c r="A865" s="171" t="s">
        <v>427</v>
      </c>
      <c r="B865" s="172">
        <v>-1.8375474863113905</v>
      </c>
      <c r="C865" s="172">
        <v>-2.1167426559988707</v>
      </c>
      <c r="D865" s="172">
        <v>-1.2367606559382516E-2</v>
      </c>
      <c r="E865" s="171"/>
      <c r="F865" s="173">
        <f>MCond(B864:D866)</f>
        <v>8.8485901024953062</v>
      </c>
    </row>
    <row r="866" spans="1:6">
      <c r="A866" s="171"/>
      <c r="B866" s="172">
        <v>-1.6188303733889171</v>
      </c>
      <c r="C866" s="172">
        <v>1.9594494251009342E-2</v>
      </c>
      <c r="D866" s="172">
        <v>7.7422792294721043E-2</v>
      </c>
      <c r="E866" s="171"/>
      <c r="F866" s="173"/>
    </row>
    <row r="867" spans="1:6">
      <c r="A867" s="171"/>
      <c r="B867" s="172"/>
      <c r="C867" s="172"/>
      <c r="D867" s="172"/>
      <c r="E867" s="171"/>
      <c r="F867" s="174"/>
    </row>
    <row r="868" spans="1:6">
      <c r="A868" s="171"/>
      <c r="B868" s="172">
        <v>-0.58367185674448252</v>
      </c>
      <c r="C868" s="172">
        <v>-2.0841504898711007</v>
      </c>
      <c r="D868" s="172">
        <v>-0.75171422039661484</v>
      </c>
      <c r="E868" s="171"/>
      <c r="F868" s="173"/>
    </row>
    <row r="869" spans="1:6">
      <c r="A869" s="171" t="s">
        <v>428</v>
      </c>
      <c r="B869" s="172">
        <v>-1.8375474863113905</v>
      </c>
      <c r="C869" s="172">
        <v>-2.1167426559988707</v>
      </c>
      <c r="D869" s="172">
        <v>-1.2367606559382516E-2</v>
      </c>
      <c r="E869" s="171"/>
      <c r="F869" s="173">
        <f>MCond(B868:D870)</f>
        <v>3.9236550276169364</v>
      </c>
    </row>
    <row r="870" spans="1:6">
      <c r="A870" s="171"/>
      <c r="B870" s="172">
        <v>-0.60912970227287866</v>
      </c>
      <c r="C870" s="172">
        <v>0.28261535739067112</v>
      </c>
      <c r="D870" s="172">
        <v>-0.68802996689194662</v>
      </c>
      <c r="E870" s="171"/>
      <c r="F870" s="173"/>
    </row>
    <row r="871" spans="1:6">
      <c r="A871" s="171"/>
      <c r="B871" s="172"/>
      <c r="C871" s="172"/>
      <c r="D871" s="172"/>
      <c r="E871" s="171"/>
      <c r="F871" s="174"/>
    </row>
    <row r="872" spans="1:6">
      <c r="A872" s="171"/>
      <c r="B872" s="172">
        <v>-0.58367185674448252</v>
      </c>
      <c r="C872" s="172">
        <v>-2.0841504898711007</v>
      </c>
      <c r="D872" s="172">
        <v>-0.75171422039661484</v>
      </c>
      <c r="E872" s="171"/>
      <c r="F872" s="173"/>
    </row>
    <row r="873" spans="1:6">
      <c r="A873" s="171" t="s">
        <v>429</v>
      </c>
      <c r="B873" s="172">
        <v>0.45824053226673911</v>
      </c>
      <c r="C873" s="172">
        <v>-2.124969022302313</v>
      </c>
      <c r="D873" s="172">
        <v>2.076961144994538E-2</v>
      </c>
      <c r="E873" s="171"/>
      <c r="F873" s="173">
        <f>MCond(B872:D874)</f>
        <v>6.037916237878159</v>
      </c>
    </row>
    <row r="874" spans="1:6">
      <c r="A874" s="171"/>
      <c r="B874" s="172">
        <v>-1.9865190328797109</v>
      </c>
      <c r="C874" s="172">
        <v>-1.2694850305255347</v>
      </c>
      <c r="D874" s="172">
        <v>-3.2127045366234341E-2</v>
      </c>
      <c r="E874" s="171"/>
      <c r="F874" s="173"/>
    </row>
    <row r="875" spans="1:6">
      <c r="A875" s="171"/>
      <c r="B875" s="172"/>
      <c r="C875" s="172"/>
      <c r="D875" s="172"/>
      <c r="E875" s="171"/>
      <c r="F875" s="174"/>
    </row>
    <row r="876" spans="1:6">
      <c r="A876" s="171"/>
      <c r="B876" s="172">
        <v>-0.58367185674448252</v>
      </c>
      <c r="C876" s="172">
        <v>-2.0841504898711007</v>
      </c>
      <c r="D876" s="172">
        <v>-0.75171422039661484</v>
      </c>
      <c r="E876" s="171"/>
      <c r="F876" s="173"/>
    </row>
    <row r="877" spans="1:6">
      <c r="A877" s="171" t="s">
        <v>430</v>
      </c>
      <c r="B877" s="172">
        <v>0.45824053226673911</v>
      </c>
      <c r="C877" s="172">
        <v>-2.124969022302313</v>
      </c>
      <c r="D877" s="172">
        <v>2.076961144994538E-2</v>
      </c>
      <c r="E877" s="171"/>
      <c r="F877" s="173">
        <f>MCond(B876:D878)</f>
        <v>12.875006476495159</v>
      </c>
    </row>
    <row r="878" spans="1:6">
      <c r="A878" s="171"/>
      <c r="B878" s="172">
        <v>0.85843073718374274</v>
      </c>
      <c r="C878" s="172">
        <v>-1.040962775001312</v>
      </c>
      <c r="D878" s="172">
        <v>3.7610117674176324E-2</v>
      </c>
      <c r="E878" s="171"/>
      <c r="F878" s="173"/>
    </row>
    <row r="879" spans="1:6">
      <c r="A879" s="171"/>
      <c r="B879" s="172"/>
      <c r="C879" s="172"/>
      <c r="D879" s="172"/>
      <c r="E879" s="171"/>
      <c r="F879" s="174"/>
    </row>
    <row r="880" spans="1:6">
      <c r="A880" s="171"/>
      <c r="B880" s="172">
        <v>-0.58367185674448252</v>
      </c>
      <c r="C880" s="172">
        <v>-2.0841504898711007</v>
      </c>
      <c r="D880" s="172">
        <v>-0.75171422039661484</v>
      </c>
      <c r="E880" s="171"/>
      <c r="F880" s="173"/>
    </row>
    <row r="881" spans="1:6">
      <c r="A881" s="171" t="s">
        <v>431</v>
      </c>
      <c r="B881" s="172">
        <v>0.45824053226673911</v>
      </c>
      <c r="C881" s="172">
        <v>-2.124969022302313</v>
      </c>
      <c r="D881" s="172">
        <v>2.076961144994538E-2</v>
      </c>
      <c r="E881" s="171"/>
      <c r="F881" s="173">
        <f>MCond(B880:D882)</f>
        <v>5.7889076511012911</v>
      </c>
    </row>
    <row r="882" spans="1:6">
      <c r="A882" s="171"/>
      <c r="B882" s="172">
        <v>-1.6188303733889171</v>
      </c>
      <c r="C882" s="172">
        <v>1.9594494251009342E-2</v>
      </c>
      <c r="D882" s="172">
        <v>7.7422792294721043E-2</v>
      </c>
      <c r="E882" s="171"/>
      <c r="F882" s="173"/>
    </row>
    <row r="883" spans="1:6">
      <c r="A883" s="171"/>
      <c r="B883" s="172"/>
      <c r="C883" s="172"/>
      <c r="D883" s="172"/>
      <c r="E883" s="171"/>
      <c r="F883" s="174"/>
    </row>
    <row r="884" spans="1:6">
      <c r="A884" s="171"/>
      <c r="B884" s="172">
        <v>-0.58367185674448252</v>
      </c>
      <c r="C884" s="172">
        <v>-2.0841504898711007</v>
      </c>
      <c r="D884" s="172">
        <v>-0.75171422039661484</v>
      </c>
      <c r="E884" s="171"/>
      <c r="F884" s="173"/>
    </row>
    <row r="885" spans="1:6">
      <c r="A885" s="171" t="s">
        <v>432</v>
      </c>
      <c r="B885" s="172">
        <v>0.45824053226673911</v>
      </c>
      <c r="C885" s="172">
        <v>-2.124969022302313</v>
      </c>
      <c r="D885" s="172">
        <v>2.076961144994538E-2</v>
      </c>
      <c r="E885" s="171"/>
      <c r="F885" s="173">
        <f>MCond(B884:D886)</f>
        <v>19.829028382126939</v>
      </c>
    </row>
    <row r="886" spans="1:6">
      <c r="A886" s="171"/>
      <c r="B886" s="172">
        <v>-0.60912970227287866</v>
      </c>
      <c r="C886" s="172">
        <v>0.28261535739067112</v>
      </c>
      <c r="D886" s="172">
        <v>-0.68802996689194662</v>
      </c>
      <c r="E886" s="171"/>
      <c r="F886" s="173"/>
    </row>
    <row r="887" spans="1:6">
      <c r="A887" s="171"/>
      <c r="B887" s="172"/>
      <c r="C887" s="172"/>
      <c r="D887" s="172"/>
      <c r="E887" s="171"/>
      <c r="F887" s="174"/>
    </row>
    <row r="888" spans="1:6">
      <c r="A888" s="171"/>
      <c r="B888" s="172">
        <v>-0.58367185674448252</v>
      </c>
      <c r="C888" s="172">
        <v>-2.0841504898711007</v>
      </c>
      <c r="D888" s="172">
        <v>-0.75171422039661484</v>
      </c>
      <c r="E888" s="171"/>
      <c r="F888" s="173"/>
    </row>
    <row r="889" spans="1:6">
      <c r="A889" s="171" t="s">
        <v>433</v>
      </c>
      <c r="B889" s="172">
        <v>-1.9865190328797109</v>
      </c>
      <c r="C889" s="172">
        <v>-1.2694850305255347</v>
      </c>
      <c r="D889" s="172">
        <v>-3.2127045366234341E-2</v>
      </c>
      <c r="E889" s="171"/>
      <c r="F889" s="173">
        <f>MCond(B888:D890)</f>
        <v>6.768419778847786</v>
      </c>
    </row>
    <row r="890" spans="1:6">
      <c r="A890" s="171"/>
      <c r="B890" s="172">
        <v>0.85843073718374274</v>
      </c>
      <c r="C890" s="172">
        <v>-1.040962775001312</v>
      </c>
      <c r="D890" s="172">
        <v>3.7610117674176324E-2</v>
      </c>
      <c r="E890" s="171"/>
      <c r="F890" s="173"/>
    </row>
    <row r="891" spans="1:6">
      <c r="A891" s="171"/>
      <c r="B891" s="172"/>
      <c r="C891" s="172"/>
      <c r="D891" s="172"/>
      <c r="E891" s="171"/>
      <c r="F891" s="174"/>
    </row>
    <row r="892" spans="1:6">
      <c r="A892" s="171"/>
      <c r="B892" s="172">
        <v>-0.58367185674448252</v>
      </c>
      <c r="C892" s="172">
        <v>-2.0841504898711007</v>
      </c>
      <c r="D892" s="172">
        <v>-0.75171422039661484</v>
      </c>
      <c r="E892" s="171"/>
      <c r="F892" s="173"/>
    </row>
    <row r="893" spans="1:6">
      <c r="A893" s="171" t="s">
        <v>434</v>
      </c>
      <c r="B893" s="172">
        <v>-1.9865190328797109</v>
      </c>
      <c r="C893" s="172">
        <v>-1.2694850305255347</v>
      </c>
      <c r="D893" s="172">
        <v>-3.2127045366234341E-2</v>
      </c>
      <c r="E893" s="171"/>
      <c r="F893" s="173">
        <f>MCond(B892:D894)</f>
        <v>15.003266209049313</v>
      </c>
    </row>
    <row r="894" spans="1:6">
      <c r="A894" s="171"/>
      <c r="B894" s="172">
        <v>-1.6188303733889171</v>
      </c>
      <c r="C894" s="172">
        <v>1.9594494251009342E-2</v>
      </c>
      <c r="D894" s="172">
        <v>7.7422792294721043E-2</v>
      </c>
      <c r="E894" s="171"/>
      <c r="F894" s="173"/>
    </row>
    <row r="895" spans="1:6">
      <c r="A895" s="171"/>
      <c r="B895" s="172"/>
      <c r="C895" s="172"/>
      <c r="D895" s="172"/>
      <c r="E895" s="171"/>
      <c r="F895" s="174"/>
    </row>
    <row r="896" spans="1:6">
      <c r="A896" s="171"/>
      <c r="B896" s="172">
        <v>-0.58367185674448252</v>
      </c>
      <c r="C896" s="172">
        <v>-2.0841504898711007</v>
      </c>
      <c r="D896" s="172">
        <v>-0.75171422039661484</v>
      </c>
      <c r="E896" s="171"/>
      <c r="F896" s="173"/>
    </row>
    <row r="897" spans="1:6">
      <c r="A897" s="171" t="s">
        <v>435</v>
      </c>
      <c r="B897" s="172">
        <v>-1.9865190328797109</v>
      </c>
      <c r="C897" s="172">
        <v>-1.2694850305255347</v>
      </c>
      <c r="D897" s="172">
        <v>-3.2127045366234341E-2</v>
      </c>
      <c r="E897" s="171"/>
      <c r="F897" s="173">
        <f>MCond(B896:D898)</f>
        <v>3.7367318839826384</v>
      </c>
    </row>
    <row r="898" spans="1:6">
      <c r="A898" s="171"/>
      <c r="B898" s="172">
        <v>-0.60912970227287866</v>
      </c>
      <c r="C898" s="172">
        <v>0.28261535739067112</v>
      </c>
      <c r="D898" s="172">
        <v>-0.68802996689194662</v>
      </c>
      <c r="E898" s="171"/>
      <c r="F898" s="173"/>
    </row>
    <row r="899" spans="1:6">
      <c r="A899" s="171"/>
      <c r="B899" s="172"/>
      <c r="C899" s="172"/>
      <c r="D899" s="172"/>
      <c r="E899" s="171"/>
      <c r="F899" s="174"/>
    </row>
    <row r="900" spans="1:6">
      <c r="A900" s="171"/>
      <c r="B900" s="172">
        <v>-0.58367185674448252</v>
      </c>
      <c r="C900" s="172">
        <v>-2.0841504898711007</v>
      </c>
      <c r="D900" s="172">
        <v>-0.75171422039661484</v>
      </c>
      <c r="E900" s="171"/>
      <c r="F900" s="173"/>
    </row>
    <row r="901" spans="1:6">
      <c r="A901" s="171" t="s">
        <v>436</v>
      </c>
      <c r="B901" s="172">
        <v>0.85843073718374274</v>
      </c>
      <c r="C901" s="172">
        <v>-1.040962775001312</v>
      </c>
      <c r="D901" s="172">
        <v>3.7610117674176324E-2</v>
      </c>
      <c r="E901" s="171"/>
      <c r="F901" s="173">
        <f>MCond(B900:D902)</f>
        <v>7.2355412286088452</v>
      </c>
    </row>
    <row r="902" spans="1:6">
      <c r="A902" s="171"/>
      <c r="B902" s="172">
        <v>-1.6188303733889171</v>
      </c>
      <c r="C902" s="172">
        <v>1.9594494251009342E-2</v>
      </c>
      <c r="D902" s="172">
        <v>7.7422792294721043E-2</v>
      </c>
      <c r="E902" s="171"/>
      <c r="F902" s="173"/>
    </row>
    <row r="903" spans="1:6">
      <c r="A903" s="171"/>
      <c r="B903" s="172"/>
      <c r="C903" s="172"/>
      <c r="D903" s="172"/>
      <c r="E903" s="171"/>
      <c r="F903" s="174"/>
    </row>
    <row r="904" spans="1:6">
      <c r="A904" s="171"/>
      <c r="B904" s="172">
        <v>-0.58367185674448252</v>
      </c>
      <c r="C904" s="172">
        <v>-2.0841504898711007</v>
      </c>
      <c r="D904" s="172">
        <v>-0.75171422039661484</v>
      </c>
      <c r="E904" s="171"/>
      <c r="F904" s="173"/>
    </row>
    <row r="905" spans="1:6">
      <c r="A905" s="171" t="s">
        <v>437</v>
      </c>
      <c r="B905" s="172">
        <v>0.85843073718374274</v>
      </c>
      <c r="C905" s="172">
        <v>-1.040962775001312</v>
      </c>
      <c r="D905" s="172">
        <v>3.7610117674176324E-2</v>
      </c>
      <c r="E905" s="171"/>
      <c r="F905" s="173">
        <f>MCond(B904:D906)</f>
        <v>6.3260146733038898</v>
      </c>
    </row>
    <row r="906" spans="1:6">
      <c r="A906" s="171"/>
      <c r="B906" s="172">
        <v>-0.60912970227287866</v>
      </c>
      <c r="C906" s="172">
        <v>0.28261535739067112</v>
      </c>
      <c r="D906" s="172">
        <v>-0.68802996689194662</v>
      </c>
      <c r="E906" s="171"/>
      <c r="F906" s="173"/>
    </row>
    <row r="907" spans="1:6">
      <c r="A907" s="171"/>
      <c r="B907" s="172"/>
      <c r="C907" s="172"/>
      <c r="D907" s="172"/>
      <c r="E907" s="171"/>
      <c r="F907" s="174"/>
    </row>
    <row r="908" spans="1:6">
      <c r="A908" s="171"/>
      <c r="B908" s="172">
        <v>-0.58367185674448252</v>
      </c>
      <c r="C908" s="172">
        <v>-2.0841504898711007</v>
      </c>
      <c r="D908" s="172">
        <v>-0.75171422039661484</v>
      </c>
      <c r="E908" s="171"/>
      <c r="F908" s="173"/>
    </row>
    <row r="909" spans="1:6">
      <c r="A909" s="171" t="s">
        <v>438</v>
      </c>
      <c r="B909" s="172">
        <v>-1.6188303733889171</v>
      </c>
      <c r="C909" s="172">
        <v>1.9594494251009342E-2</v>
      </c>
      <c r="D909" s="172">
        <v>7.7422792294721043E-2</v>
      </c>
      <c r="E909" s="171"/>
      <c r="F909" s="173">
        <f>MCond(B908:D910)</f>
        <v>3.3124115126012943</v>
      </c>
    </row>
    <row r="910" spans="1:6">
      <c r="A910" s="171"/>
      <c r="B910" s="172">
        <v>-0.60912970227287866</v>
      </c>
      <c r="C910" s="172">
        <v>0.28261535739067112</v>
      </c>
      <c r="D910" s="172">
        <v>-0.68802996689194662</v>
      </c>
      <c r="E910" s="171"/>
      <c r="F910" s="173"/>
    </row>
    <row r="911" spans="1:6">
      <c r="A911" s="171"/>
      <c r="B911" s="172"/>
      <c r="C911" s="172"/>
      <c r="D911" s="172"/>
      <c r="E911" s="171"/>
      <c r="F911" s="174"/>
    </row>
    <row r="912" spans="1:6">
      <c r="A912" s="171"/>
      <c r="B912" s="172">
        <v>-1.8375474863113905</v>
      </c>
      <c r="C912" s="172">
        <v>-2.1167426559988707</v>
      </c>
      <c r="D912" s="172">
        <v>-1.2367606559382516E-2</v>
      </c>
      <c r="E912" s="171"/>
      <c r="F912" s="173"/>
    </row>
    <row r="913" spans="1:6">
      <c r="A913" s="171" t="s">
        <v>439</v>
      </c>
      <c r="B913" s="172">
        <v>0.45824053226673911</v>
      </c>
      <c r="C913" s="172">
        <v>-2.124969022302313</v>
      </c>
      <c r="D913" s="172">
        <v>2.076961144994538E-2</v>
      </c>
      <c r="E913" s="171"/>
      <c r="F913" s="173">
        <f>MCond(B912:D914)</f>
        <v>466.83042019142619</v>
      </c>
    </row>
    <row r="914" spans="1:6">
      <c r="A914" s="171"/>
      <c r="B914" s="172">
        <v>-1.9865190328797109</v>
      </c>
      <c r="C914" s="172">
        <v>-1.2694850305255347</v>
      </c>
      <c r="D914" s="172">
        <v>-3.2127045366234341E-2</v>
      </c>
      <c r="E914" s="171"/>
      <c r="F914" s="173"/>
    </row>
    <row r="915" spans="1:6">
      <c r="A915" s="171"/>
      <c r="B915" s="172"/>
      <c r="C915" s="172"/>
      <c r="D915" s="172"/>
      <c r="E915" s="171"/>
      <c r="F915" s="174"/>
    </row>
    <row r="916" spans="1:6">
      <c r="A916" s="171"/>
      <c r="B916" s="172">
        <v>-1.8375474863113905</v>
      </c>
      <c r="C916" s="172">
        <v>-2.1167426559988707</v>
      </c>
      <c r="D916" s="172">
        <v>-1.2367606559382516E-2</v>
      </c>
      <c r="E916" s="171"/>
      <c r="F916" s="173"/>
    </row>
    <row r="917" spans="1:6">
      <c r="A917" s="171" t="s">
        <v>440</v>
      </c>
      <c r="B917" s="172">
        <v>0.45824053226673911</v>
      </c>
      <c r="C917" s="172">
        <v>-2.124969022302313</v>
      </c>
      <c r="D917" s="172">
        <v>2.076961144994538E-2</v>
      </c>
      <c r="E917" s="171"/>
      <c r="F917" s="173">
        <f>MCond(B916:D918)</f>
        <v>230.68313650592344</v>
      </c>
    </row>
    <row r="918" spans="1:6">
      <c r="A918" s="171"/>
      <c r="B918" s="172">
        <v>0.85843073718374274</v>
      </c>
      <c r="C918" s="172">
        <v>-1.040962775001312</v>
      </c>
      <c r="D918" s="172">
        <v>3.7610117674176324E-2</v>
      </c>
      <c r="E918" s="171"/>
      <c r="F918" s="173"/>
    </row>
    <row r="919" spans="1:6">
      <c r="A919" s="171"/>
      <c r="B919" s="172"/>
      <c r="C919" s="172"/>
      <c r="D919" s="172"/>
      <c r="E919" s="171"/>
      <c r="F919" s="174"/>
    </row>
    <row r="920" spans="1:6">
      <c r="A920" s="171"/>
      <c r="B920" s="172">
        <v>-1.8375474863113905</v>
      </c>
      <c r="C920" s="172">
        <v>-2.1167426559988707</v>
      </c>
      <c r="D920" s="172">
        <v>-1.2367606559382516E-2</v>
      </c>
      <c r="E920" s="171"/>
      <c r="F920" s="173"/>
    </row>
    <row r="921" spans="1:6">
      <c r="A921" s="171" t="s">
        <v>441</v>
      </c>
      <c r="B921" s="172">
        <v>0.45824053226673911</v>
      </c>
      <c r="C921" s="172">
        <v>-2.124969022302313</v>
      </c>
      <c r="D921" s="172">
        <v>2.076961144994538E-2</v>
      </c>
      <c r="E921" s="171"/>
      <c r="F921" s="173">
        <f>MCond(B920:D922)</f>
        <v>46.088572117461673</v>
      </c>
    </row>
    <row r="922" spans="1:6">
      <c r="A922" s="171"/>
      <c r="B922" s="172">
        <v>-1.6188303733889171</v>
      </c>
      <c r="C922" s="172">
        <v>1.9594494251009342E-2</v>
      </c>
      <c r="D922" s="172">
        <v>7.7422792294721043E-2</v>
      </c>
      <c r="E922" s="171"/>
      <c r="F922" s="173"/>
    </row>
    <row r="923" spans="1:6">
      <c r="A923" s="171"/>
      <c r="B923" s="172"/>
      <c r="C923" s="172"/>
      <c r="D923" s="172"/>
      <c r="E923" s="171"/>
      <c r="F923" s="174"/>
    </row>
    <row r="924" spans="1:6">
      <c r="A924" s="171"/>
      <c r="B924" s="172">
        <v>-1.8375474863113905</v>
      </c>
      <c r="C924" s="172">
        <v>-2.1167426559988707</v>
      </c>
      <c r="D924" s="172">
        <v>-1.2367606559382516E-2</v>
      </c>
      <c r="E924" s="171"/>
      <c r="F924" s="173"/>
    </row>
    <row r="925" spans="1:6">
      <c r="A925" s="171" t="s">
        <v>442</v>
      </c>
      <c r="B925" s="172">
        <v>0.45824053226673911</v>
      </c>
      <c r="C925" s="172">
        <v>-2.124969022302313</v>
      </c>
      <c r="D925" s="172">
        <v>2.076961144994538E-2</v>
      </c>
      <c r="E925" s="171"/>
      <c r="F925" s="173">
        <f>MCond(B924:D926)</f>
        <v>5.2672257276525398</v>
      </c>
    </row>
    <row r="926" spans="1:6">
      <c r="A926" s="171"/>
      <c r="B926" s="172">
        <v>-0.60912970227287866</v>
      </c>
      <c r="C926" s="172">
        <v>0.28261535739067112</v>
      </c>
      <c r="D926" s="172">
        <v>-0.68802996689194662</v>
      </c>
      <c r="E926" s="171"/>
      <c r="F926" s="173"/>
    </row>
    <row r="927" spans="1:6">
      <c r="A927" s="171"/>
      <c r="B927" s="172"/>
      <c r="C927" s="172"/>
      <c r="D927" s="172"/>
      <c r="E927" s="171"/>
      <c r="F927" s="174"/>
    </row>
    <row r="928" spans="1:6">
      <c r="A928" s="171"/>
      <c r="B928" s="172">
        <v>-1.8375474863113905</v>
      </c>
      <c r="C928" s="172">
        <v>-2.1167426559988707</v>
      </c>
      <c r="D928" s="172">
        <v>-1.2367606559382516E-2</v>
      </c>
      <c r="E928" s="171"/>
      <c r="F928" s="173"/>
    </row>
    <row r="929" spans="1:6">
      <c r="A929" s="171" t="s">
        <v>443</v>
      </c>
      <c r="B929" s="172">
        <v>-1.9865190328797109</v>
      </c>
      <c r="C929" s="172">
        <v>-1.2694850305255347</v>
      </c>
      <c r="D929" s="172">
        <v>-3.2127045366234341E-2</v>
      </c>
      <c r="E929" s="171"/>
      <c r="F929" s="173">
        <f>MCond(B928:D930)</f>
        <v>1832.2683886248421</v>
      </c>
    </row>
    <row r="930" spans="1:6">
      <c r="A930" s="171"/>
      <c r="B930" s="172">
        <v>0.85843073718374274</v>
      </c>
      <c r="C930" s="172">
        <v>-1.040962775001312</v>
      </c>
      <c r="D930" s="172">
        <v>3.7610117674176324E-2</v>
      </c>
      <c r="E930" s="171"/>
      <c r="F930" s="173"/>
    </row>
    <row r="931" spans="1:6">
      <c r="A931" s="171"/>
      <c r="B931" s="172"/>
      <c r="C931" s="172"/>
      <c r="D931" s="172"/>
      <c r="E931" s="171"/>
      <c r="F931" s="174"/>
    </row>
    <row r="932" spans="1:6">
      <c r="A932" s="171"/>
      <c r="B932" s="172">
        <v>-1.8375474863113905</v>
      </c>
      <c r="C932" s="172">
        <v>-2.1167426559988707</v>
      </c>
      <c r="D932" s="172">
        <v>-1.2367606559382516E-2</v>
      </c>
      <c r="E932" s="171"/>
      <c r="F932" s="173"/>
    </row>
    <row r="933" spans="1:6">
      <c r="A933" s="171" t="s">
        <v>444</v>
      </c>
      <c r="B933" s="172">
        <v>-1.9865190328797109</v>
      </c>
      <c r="C933" s="172">
        <v>-1.2694850305255347</v>
      </c>
      <c r="D933" s="172">
        <v>-3.2127045366234341E-2</v>
      </c>
      <c r="E933" s="171"/>
      <c r="F933" s="173">
        <f>MCond(B932:D934)</f>
        <v>74.307372366081026</v>
      </c>
    </row>
    <row r="934" spans="1:6">
      <c r="A934" s="171"/>
      <c r="B934" s="172">
        <v>-1.6188303733889171</v>
      </c>
      <c r="C934" s="172">
        <v>1.9594494251009342E-2</v>
      </c>
      <c r="D934" s="172">
        <v>7.7422792294721043E-2</v>
      </c>
      <c r="E934" s="171"/>
      <c r="F934" s="173"/>
    </row>
    <row r="935" spans="1:6">
      <c r="A935" s="171"/>
      <c r="B935" s="172"/>
      <c r="C935" s="172"/>
      <c r="D935" s="172"/>
      <c r="E935" s="171"/>
      <c r="F935" s="174"/>
    </row>
    <row r="936" spans="1:6">
      <c r="A936" s="171"/>
      <c r="B936" s="172">
        <v>-1.8375474863113905</v>
      </c>
      <c r="C936" s="172">
        <v>-2.1167426559988707</v>
      </c>
      <c r="D936" s="172">
        <v>-1.2367606559382516E-2</v>
      </c>
      <c r="E936" s="171"/>
      <c r="F936" s="173"/>
    </row>
    <row r="937" spans="1:6">
      <c r="A937" s="171" t="s">
        <v>445</v>
      </c>
      <c r="B937" s="172">
        <v>-1.9865190328797109</v>
      </c>
      <c r="C937" s="172">
        <v>-1.2694850305255347</v>
      </c>
      <c r="D937" s="172">
        <v>-3.2127045366234341E-2</v>
      </c>
      <c r="E937" s="171"/>
      <c r="F937" s="173">
        <f>MCond(B936:D938)</f>
        <v>10.595880661889572</v>
      </c>
    </row>
    <row r="938" spans="1:6">
      <c r="A938" s="171"/>
      <c r="B938" s="172">
        <v>-0.60912970227287866</v>
      </c>
      <c r="C938" s="172">
        <v>0.28261535739067112</v>
      </c>
      <c r="D938" s="172">
        <v>-0.68802996689194662</v>
      </c>
      <c r="E938" s="171"/>
      <c r="F938" s="173"/>
    </row>
    <row r="939" spans="1:6">
      <c r="A939" s="171"/>
      <c r="B939" s="172"/>
      <c r="C939" s="172"/>
      <c r="D939" s="172"/>
      <c r="E939" s="171"/>
      <c r="F939" s="174"/>
    </row>
    <row r="940" spans="1:6">
      <c r="A940" s="171"/>
      <c r="B940" s="172">
        <v>-1.8375474863113905</v>
      </c>
      <c r="C940" s="172">
        <v>-2.1167426559988707</v>
      </c>
      <c r="D940" s="172">
        <v>-1.2367606559382516E-2</v>
      </c>
      <c r="E940" s="171"/>
      <c r="F940" s="173"/>
    </row>
    <row r="941" spans="1:6">
      <c r="A941" s="171" t="s">
        <v>446</v>
      </c>
      <c r="B941" s="172">
        <v>0.85843073718374274</v>
      </c>
      <c r="C941" s="172">
        <v>-1.040962775001312</v>
      </c>
      <c r="D941" s="172">
        <v>3.7610117674176324E-2</v>
      </c>
      <c r="E941" s="171"/>
      <c r="F941" s="173">
        <f>MCond(B940:D942)</f>
        <v>36.89616878253937</v>
      </c>
    </row>
    <row r="942" spans="1:6">
      <c r="A942" s="171"/>
      <c r="B942" s="172">
        <v>-1.6188303733889171</v>
      </c>
      <c r="C942" s="172">
        <v>1.9594494251009342E-2</v>
      </c>
      <c r="D942" s="172">
        <v>7.7422792294721043E-2</v>
      </c>
      <c r="E942" s="171"/>
      <c r="F942" s="173"/>
    </row>
    <row r="943" spans="1:6">
      <c r="A943" s="171"/>
      <c r="B943" s="172"/>
      <c r="C943" s="172"/>
      <c r="D943" s="172"/>
      <c r="E943" s="171"/>
      <c r="F943" s="174"/>
    </row>
    <row r="944" spans="1:6">
      <c r="A944" s="171"/>
      <c r="B944" s="172">
        <v>-1.8375474863113905</v>
      </c>
      <c r="C944" s="172">
        <v>-2.1167426559988707</v>
      </c>
      <c r="D944" s="172">
        <v>-1.2367606559382516E-2</v>
      </c>
      <c r="E944" s="171"/>
      <c r="F944" s="173"/>
    </row>
    <row r="945" spans="1:6">
      <c r="A945" s="171" t="s">
        <v>447</v>
      </c>
      <c r="B945" s="172">
        <v>0.85843073718374274</v>
      </c>
      <c r="C945" s="172">
        <v>-1.040962775001312</v>
      </c>
      <c r="D945" s="172">
        <v>3.7610117674176324E-2</v>
      </c>
      <c r="E945" s="171"/>
      <c r="F945" s="173">
        <f>MCond(B944:D946)</f>
        <v>4.8522872767527137</v>
      </c>
    </row>
    <row r="946" spans="1:6">
      <c r="A946" s="171"/>
      <c r="B946" s="172">
        <v>-0.60912970227287866</v>
      </c>
      <c r="C946" s="172">
        <v>0.28261535739067112</v>
      </c>
      <c r="D946" s="172">
        <v>-0.68802996689194662</v>
      </c>
      <c r="E946" s="171"/>
      <c r="F946" s="173"/>
    </row>
    <row r="947" spans="1:6">
      <c r="A947" s="171"/>
      <c r="B947" s="172"/>
      <c r="C947" s="172"/>
      <c r="D947" s="172"/>
      <c r="E947" s="171"/>
      <c r="F947" s="174"/>
    </row>
    <row r="948" spans="1:6">
      <c r="A948" s="171"/>
      <c r="B948" s="172">
        <v>-1.8375474863113905</v>
      </c>
      <c r="C948" s="172">
        <v>-2.1167426559988707</v>
      </c>
      <c r="D948" s="172">
        <v>-1.2367606559382516E-2</v>
      </c>
      <c r="E948" s="171"/>
      <c r="F948" s="173"/>
    </row>
    <row r="949" spans="1:6">
      <c r="A949" s="171" t="s">
        <v>448</v>
      </c>
      <c r="B949" s="172">
        <v>-1.6188303733889171</v>
      </c>
      <c r="C949" s="172">
        <v>1.9594494251009342E-2</v>
      </c>
      <c r="D949" s="172">
        <v>7.7422792294721043E-2</v>
      </c>
      <c r="E949" s="171"/>
      <c r="F949" s="173">
        <f>MCond(B948:D950)</f>
        <v>4.8511161019732283</v>
      </c>
    </row>
    <row r="950" spans="1:6">
      <c r="A950" s="171"/>
      <c r="B950" s="172">
        <v>-0.60912970227287866</v>
      </c>
      <c r="C950" s="172">
        <v>0.28261535739067112</v>
      </c>
      <c r="D950" s="172">
        <v>-0.68802996689194662</v>
      </c>
      <c r="E950" s="171"/>
      <c r="F950" s="173"/>
    </row>
    <row r="951" spans="1:6">
      <c r="A951" s="171"/>
      <c r="B951" s="172"/>
      <c r="C951" s="172"/>
      <c r="D951" s="172"/>
      <c r="E951" s="171"/>
      <c r="F951" s="174"/>
    </row>
    <row r="952" spans="1:6">
      <c r="A952" s="171"/>
      <c r="B952" s="172">
        <v>0.45824053226673911</v>
      </c>
      <c r="C952" s="172">
        <v>-2.124969022302313</v>
      </c>
      <c r="D952" s="172">
        <v>2.076961144994538E-2</v>
      </c>
      <c r="E952" s="171"/>
      <c r="F952" s="173"/>
    </row>
    <row r="953" spans="1:6">
      <c r="A953" s="171" t="s">
        <v>449</v>
      </c>
      <c r="B953" s="172">
        <v>-1.9865190328797109</v>
      </c>
      <c r="C953" s="172">
        <v>-1.2694850305255347</v>
      </c>
      <c r="D953" s="172">
        <v>-3.2127045366234341E-2</v>
      </c>
      <c r="E953" s="171"/>
      <c r="F953" s="173">
        <f>MCond(B952:D954)</f>
        <v>223.5443970413034</v>
      </c>
    </row>
    <row r="954" spans="1:6">
      <c r="A954" s="171"/>
      <c r="B954" s="172">
        <v>0.85843073718374274</v>
      </c>
      <c r="C954" s="172">
        <v>-1.040962775001312</v>
      </c>
      <c r="D954" s="172">
        <v>3.7610117674176324E-2</v>
      </c>
      <c r="E954" s="171"/>
      <c r="F954" s="173"/>
    </row>
    <row r="955" spans="1:6">
      <c r="A955" s="171"/>
      <c r="B955" s="172"/>
      <c r="C955" s="172"/>
      <c r="D955" s="172"/>
      <c r="E955" s="171"/>
      <c r="F955" s="174"/>
    </row>
    <row r="956" spans="1:6">
      <c r="A956" s="171"/>
      <c r="B956" s="172">
        <v>0.45824053226673911</v>
      </c>
      <c r="C956" s="172">
        <v>-2.124969022302313</v>
      </c>
      <c r="D956" s="172">
        <v>2.076961144994538E-2</v>
      </c>
      <c r="E956" s="171"/>
      <c r="F956" s="173"/>
    </row>
    <row r="957" spans="1:6">
      <c r="A957" s="171" t="s">
        <v>450</v>
      </c>
      <c r="B957" s="172">
        <v>-1.9865190328797109</v>
      </c>
      <c r="C957" s="172">
        <v>-1.2694850305255347</v>
      </c>
      <c r="D957" s="172">
        <v>-3.2127045366234341E-2</v>
      </c>
      <c r="E957" s="171"/>
      <c r="F957" s="173">
        <f>MCond(B956:D958)</f>
        <v>33.712309903347119</v>
      </c>
    </row>
    <row r="958" spans="1:6">
      <c r="A958" s="171"/>
      <c r="B958" s="172">
        <v>-1.6188303733889171</v>
      </c>
      <c r="C958" s="172">
        <v>1.9594494251009342E-2</v>
      </c>
      <c r="D958" s="172">
        <v>7.7422792294721043E-2</v>
      </c>
      <c r="E958" s="171"/>
      <c r="F958" s="173"/>
    </row>
    <row r="959" spans="1:6">
      <c r="A959" s="171"/>
      <c r="B959" s="172"/>
      <c r="C959" s="172"/>
      <c r="D959" s="172"/>
      <c r="E959" s="171"/>
      <c r="F959" s="174"/>
    </row>
    <row r="960" spans="1:6">
      <c r="A960" s="171"/>
      <c r="B960" s="172">
        <v>0.45824053226673911</v>
      </c>
      <c r="C960" s="172">
        <v>-2.124969022302313</v>
      </c>
      <c r="D960" s="172">
        <v>2.076961144994538E-2</v>
      </c>
      <c r="E960" s="171"/>
      <c r="F960" s="173"/>
    </row>
    <row r="961" spans="1:6">
      <c r="A961" s="171" t="s">
        <v>451</v>
      </c>
      <c r="B961" s="172">
        <v>-1.9865190328797109</v>
      </c>
      <c r="C961" s="172">
        <v>-1.2694850305255347</v>
      </c>
      <c r="D961" s="172">
        <v>-3.2127045366234341E-2</v>
      </c>
      <c r="E961" s="171"/>
      <c r="F961" s="173">
        <f>MCond(B960:D962)</f>
        <v>4.2207727224315219</v>
      </c>
    </row>
    <row r="962" spans="1:6">
      <c r="A962" s="171"/>
      <c r="B962" s="172">
        <v>-0.60912970227287866</v>
      </c>
      <c r="C962" s="172">
        <v>0.28261535739067112</v>
      </c>
      <c r="D962" s="172">
        <v>-0.68802996689194662</v>
      </c>
      <c r="E962" s="171"/>
      <c r="F962" s="173"/>
    </row>
    <row r="963" spans="1:6">
      <c r="A963" s="171"/>
      <c r="B963" s="172"/>
      <c r="C963" s="172"/>
      <c r="D963" s="172"/>
      <c r="E963" s="171"/>
      <c r="F963" s="174"/>
    </row>
    <row r="964" spans="1:6">
      <c r="A964" s="171"/>
      <c r="B964" s="172">
        <v>0.45824053226673911</v>
      </c>
      <c r="C964" s="172">
        <v>-2.124969022302313</v>
      </c>
      <c r="D964" s="172">
        <v>2.076961144994538E-2</v>
      </c>
      <c r="E964" s="171"/>
      <c r="F964" s="173"/>
    </row>
    <row r="965" spans="1:6">
      <c r="A965" s="171" t="s">
        <v>452</v>
      </c>
      <c r="B965" s="172">
        <v>0.85843073718374274</v>
      </c>
      <c r="C965" s="172">
        <v>-1.040962775001312</v>
      </c>
      <c r="D965" s="172">
        <v>3.7610117674176324E-2</v>
      </c>
      <c r="E965" s="171"/>
      <c r="F965" s="173">
        <f>MCond(B964:D966)</f>
        <v>52.914300823005625</v>
      </c>
    </row>
    <row r="966" spans="1:6">
      <c r="A966" s="171"/>
      <c r="B966" s="172">
        <v>-1.6188303733889171</v>
      </c>
      <c r="C966" s="172">
        <v>1.9594494251009342E-2</v>
      </c>
      <c r="D966" s="172">
        <v>7.7422792294721043E-2</v>
      </c>
      <c r="E966" s="171"/>
      <c r="F966" s="173"/>
    </row>
    <row r="967" spans="1:6">
      <c r="A967" s="171"/>
      <c r="B967" s="172"/>
      <c r="C967" s="172"/>
      <c r="D967" s="172"/>
      <c r="E967" s="171"/>
      <c r="F967" s="174"/>
    </row>
    <row r="968" spans="1:6">
      <c r="A968" s="171"/>
      <c r="B968" s="172">
        <v>0.45824053226673911</v>
      </c>
      <c r="C968" s="172">
        <v>-2.124969022302313</v>
      </c>
      <c r="D968" s="172">
        <v>2.076961144994538E-2</v>
      </c>
      <c r="E968" s="171"/>
      <c r="F968" s="173"/>
    </row>
    <row r="969" spans="1:6">
      <c r="A969" s="171" t="s">
        <v>453</v>
      </c>
      <c r="B969" s="172">
        <v>0.85843073718374274</v>
      </c>
      <c r="C969" s="172">
        <v>-1.040962775001312</v>
      </c>
      <c r="D969" s="172">
        <v>3.7610117674176324E-2</v>
      </c>
      <c r="E969" s="171"/>
      <c r="F969" s="173">
        <f>MCond(B968:D970)</f>
        <v>6.5646293729706269</v>
      </c>
    </row>
    <row r="970" spans="1:6">
      <c r="A970" s="171"/>
      <c r="B970" s="172">
        <v>-0.60912970227287866</v>
      </c>
      <c r="C970" s="172">
        <v>0.28261535739067112</v>
      </c>
      <c r="D970" s="172">
        <v>-0.68802996689194662</v>
      </c>
      <c r="E970" s="171"/>
      <c r="F970" s="173"/>
    </row>
    <row r="971" spans="1:6">
      <c r="A971" s="171"/>
      <c r="B971" s="172"/>
      <c r="C971" s="172"/>
      <c r="D971" s="172"/>
      <c r="E971" s="171"/>
      <c r="F971" s="174"/>
    </row>
    <row r="972" spans="1:6">
      <c r="A972" s="171"/>
      <c r="B972" s="172">
        <v>0.45824053226673911</v>
      </c>
      <c r="C972" s="172">
        <v>-2.124969022302313</v>
      </c>
      <c r="D972" s="172">
        <v>2.076961144994538E-2</v>
      </c>
      <c r="E972" s="171"/>
      <c r="F972" s="173"/>
    </row>
    <row r="973" spans="1:6">
      <c r="A973" s="171" t="s">
        <v>454</v>
      </c>
      <c r="B973" s="172">
        <v>-1.6188303733889171</v>
      </c>
      <c r="C973" s="172">
        <v>1.9594494251009342E-2</v>
      </c>
      <c r="D973" s="172">
        <v>7.7422792294721043E-2</v>
      </c>
      <c r="E973" s="171"/>
      <c r="F973" s="173">
        <f>MCond(B972:D974)</f>
        <v>3.455632551064447</v>
      </c>
    </row>
    <row r="974" spans="1:6">
      <c r="A974" s="171"/>
      <c r="B974" s="172">
        <v>-0.60912970227287866</v>
      </c>
      <c r="C974" s="172">
        <v>0.28261535739067112</v>
      </c>
      <c r="D974" s="172">
        <v>-0.68802996689194662</v>
      </c>
      <c r="E974" s="171"/>
      <c r="F974" s="173"/>
    </row>
    <row r="975" spans="1:6">
      <c r="A975" s="171"/>
      <c r="B975" s="172"/>
      <c r="C975" s="172"/>
      <c r="D975" s="172"/>
      <c r="E975" s="171"/>
      <c r="F975" s="174"/>
    </row>
    <row r="976" spans="1:6">
      <c r="A976" s="171"/>
      <c r="B976" s="172">
        <v>-1.9865190328797109</v>
      </c>
      <c r="C976" s="172">
        <v>-1.2694850305255347</v>
      </c>
      <c r="D976" s="172">
        <v>-3.2127045366234341E-2</v>
      </c>
      <c r="E976" s="171"/>
      <c r="F976" s="173"/>
    </row>
    <row r="977" spans="1:6">
      <c r="A977" s="171" t="s">
        <v>455</v>
      </c>
      <c r="B977" s="172">
        <v>0.85843073718374274</v>
      </c>
      <c r="C977" s="172">
        <v>-1.040962775001312</v>
      </c>
      <c r="D977" s="172">
        <v>3.7610117674176324E-2</v>
      </c>
      <c r="E977" s="171"/>
      <c r="F977" s="173">
        <f>MCond(B976:D978)</f>
        <v>30.68925723895747</v>
      </c>
    </row>
    <row r="978" spans="1:6">
      <c r="A978" s="171"/>
      <c r="B978" s="172">
        <v>-1.6188303733889171</v>
      </c>
      <c r="C978" s="172">
        <v>1.9594494251009342E-2</v>
      </c>
      <c r="D978" s="172">
        <v>7.7422792294721043E-2</v>
      </c>
      <c r="E978" s="171"/>
      <c r="F978" s="173"/>
    </row>
    <row r="979" spans="1:6">
      <c r="A979" s="171"/>
      <c r="B979" s="172"/>
      <c r="C979" s="172"/>
      <c r="D979" s="172"/>
      <c r="E979" s="171"/>
      <c r="F979" s="174"/>
    </row>
    <row r="980" spans="1:6">
      <c r="A980" s="171"/>
      <c r="B980" s="172">
        <v>-1.9865190328797109</v>
      </c>
      <c r="C980" s="172">
        <v>-1.2694850305255347</v>
      </c>
      <c r="D980" s="172">
        <v>-3.2127045366234341E-2</v>
      </c>
      <c r="E980" s="171"/>
      <c r="F980" s="173"/>
    </row>
    <row r="981" spans="1:6">
      <c r="A981" s="171" t="s">
        <v>456</v>
      </c>
      <c r="B981" s="172">
        <v>0.85843073718374274</v>
      </c>
      <c r="C981" s="172">
        <v>-1.040962775001312</v>
      </c>
      <c r="D981" s="172">
        <v>3.7610117674176324E-2</v>
      </c>
      <c r="E981" s="171"/>
      <c r="F981" s="173">
        <f>MCond(B980:D982)</f>
        <v>4.0321439196075497</v>
      </c>
    </row>
    <row r="982" spans="1:6">
      <c r="A982" s="171"/>
      <c r="B982" s="172">
        <v>-0.60912970227287866</v>
      </c>
      <c r="C982" s="172">
        <v>0.28261535739067112</v>
      </c>
      <c r="D982" s="172">
        <v>-0.68802996689194662</v>
      </c>
      <c r="E982" s="171"/>
      <c r="F982" s="173"/>
    </row>
    <row r="983" spans="1:6">
      <c r="A983" s="171"/>
      <c r="B983" s="172"/>
      <c r="C983" s="172"/>
      <c r="D983" s="172"/>
      <c r="E983" s="171"/>
      <c r="F983" s="174"/>
    </row>
    <row r="984" spans="1:6">
      <c r="A984" s="171"/>
      <c r="B984" s="172">
        <v>-1.9865190328797109</v>
      </c>
      <c r="C984" s="172">
        <v>-1.2694850305255347</v>
      </c>
      <c r="D984" s="172">
        <v>-3.2127045366234341E-2</v>
      </c>
      <c r="E984" s="171"/>
      <c r="F984" s="173"/>
    </row>
    <row r="985" spans="1:6">
      <c r="A985" s="171" t="s">
        <v>457</v>
      </c>
      <c r="B985" s="172">
        <v>-1.6188303733889171</v>
      </c>
      <c r="C985" s="172">
        <v>1.9594494251009342E-2</v>
      </c>
      <c r="D985" s="172">
        <v>7.7422792294721043E-2</v>
      </c>
      <c r="E985" s="171"/>
      <c r="F985" s="173">
        <f>MCond(B984:D986)</f>
        <v>4.9236532994760909</v>
      </c>
    </row>
    <row r="986" spans="1:6">
      <c r="A986" s="171"/>
      <c r="B986" s="172">
        <v>-0.60912970227287866</v>
      </c>
      <c r="C986" s="172">
        <v>0.28261535739067112</v>
      </c>
      <c r="D986" s="172">
        <v>-0.68802996689194662</v>
      </c>
      <c r="E986" s="171"/>
      <c r="F986" s="173"/>
    </row>
    <row r="987" spans="1:6">
      <c r="A987" s="171"/>
      <c r="B987" s="172"/>
      <c r="C987" s="172"/>
      <c r="D987" s="172"/>
      <c r="E987" s="171"/>
      <c r="F987" s="174"/>
    </row>
    <row r="988" spans="1:6">
      <c r="A988" s="171"/>
      <c r="B988" s="172">
        <v>0.85843073718374274</v>
      </c>
      <c r="C988" s="172">
        <v>-1.040962775001312</v>
      </c>
      <c r="D988" s="172">
        <v>3.7610117674176324E-2</v>
      </c>
      <c r="E988" s="171"/>
      <c r="F988" s="173"/>
    </row>
    <row r="989" spans="1:6">
      <c r="A989" s="171" t="s">
        <v>458</v>
      </c>
      <c r="B989" s="172">
        <v>-1.6188303733889171</v>
      </c>
      <c r="C989" s="172">
        <v>1.9594494251009342E-2</v>
      </c>
      <c r="D989" s="172">
        <v>7.7422792294721043E-2</v>
      </c>
      <c r="E989" s="171"/>
      <c r="F989" s="173">
        <f>MCond(B988:D990)</f>
        <v>3.1934764631216082</v>
      </c>
    </row>
    <row r="990" spans="1:6">
      <c r="A990" s="171"/>
      <c r="B990" s="172">
        <v>-0.60912970227287866</v>
      </c>
      <c r="C990" s="172">
        <v>0.28261535739067112</v>
      </c>
      <c r="D990" s="172">
        <v>-0.68802996689194662</v>
      </c>
      <c r="E990" s="171"/>
      <c r="F990" s="173"/>
    </row>
    <row r="991" spans="1:6">
      <c r="A991" s="171"/>
      <c r="B991" s="172"/>
      <c r="C991" s="172"/>
      <c r="D991" s="172"/>
      <c r="E991" s="171"/>
      <c r="F991" s="174"/>
    </row>
    <row r="992" spans="1:6">
      <c r="A992" s="171"/>
      <c r="B992" s="172">
        <v>2.5457845528396139E-2</v>
      </c>
      <c r="C992" s="172">
        <v>-2.3667658472617719</v>
      </c>
      <c r="D992" s="172">
        <v>-6.368425350466822E-2</v>
      </c>
      <c r="E992" s="171"/>
      <c r="F992" s="173"/>
    </row>
    <row r="993" spans="1:6">
      <c r="A993" s="171" t="s">
        <v>459</v>
      </c>
      <c r="B993" s="172">
        <v>-1.2284177840385118</v>
      </c>
      <c r="C993" s="172">
        <v>-2.3993580133895418</v>
      </c>
      <c r="D993" s="172">
        <v>0.6756623603325641</v>
      </c>
      <c r="E993" s="171"/>
      <c r="F993" s="173">
        <f>MCond(B992:D994)</f>
        <v>7.0062729721822521</v>
      </c>
    </row>
    <row r="994" spans="1:6">
      <c r="A994" s="171"/>
      <c r="B994" s="172">
        <v>1.0673702345396179</v>
      </c>
      <c r="C994" s="172">
        <v>-2.4075843796929846</v>
      </c>
      <c r="D994" s="172">
        <v>0.708799578341892</v>
      </c>
      <c r="E994" s="171"/>
      <c r="F994" s="173"/>
    </row>
    <row r="995" spans="1:6">
      <c r="A995" s="171"/>
      <c r="B995" s="172"/>
      <c r="C995" s="172"/>
      <c r="D995" s="172"/>
      <c r="E995" s="171"/>
      <c r="F995" s="174"/>
    </row>
    <row r="996" spans="1:6">
      <c r="A996" s="171"/>
      <c r="B996" s="172">
        <v>2.5457845528396139E-2</v>
      </c>
      <c r="C996" s="172">
        <v>-2.3667658472617719</v>
      </c>
      <c r="D996" s="172">
        <v>-6.368425350466822E-2</v>
      </c>
      <c r="E996" s="171"/>
      <c r="F996" s="173"/>
    </row>
    <row r="997" spans="1:6">
      <c r="A997" s="171" t="s">
        <v>460</v>
      </c>
      <c r="B997" s="172">
        <v>-1.2284177840385118</v>
      </c>
      <c r="C997" s="172">
        <v>-2.3993580133895418</v>
      </c>
      <c r="D997" s="172">
        <v>0.6756623603325641</v>
      </c>
      <c r="E997" s="171"/>
      <c r="F997" s="173">
        <f>MCond(B996:D998)</f>
        <v>57.301482607717354</v>
      </c>
    </row>
    <row r="998" spans="1:6">
      <c r="A998" s="171"/>
      <c r="B998" s="172">
        <v>-1.3773893306068323</v>
      </c>
      <c r="C998" s="172">
        <v>-1.5521003879162059</v>
      </c>
      <c r="D998" s="172">
        <v>0.65590292152571228</v>
      </c>
      <c r="E998" s="171"/>
      <c r="F998" s="173"/>
    </row>
    <row r="999" spans="1:6">
      <c r="A999" s="171"/>
      <c r="B999" s="172"/>
      <c r="C999" s="172"/>
      <c r="D999" s="172"/>
      <c r="E999" s="171"/>
      <c r="F999" s="174"/>
    </row>
    <row r="1000" spans="1:6">
      <c r="A1000" s="171"/>
      <c r="B1000" s="172">
        <v>2.5457845528396139E-2</v>
      </c>
      <c r="C1000" s="172">
        <v>-2.3667658472617719</v>
      </c>
      <c r="D1000" s="172">
        <v>-6.368425350466822E-2</v>
      </c>
      <c r="E1000" s="171"/>
      <c r="F1000" s="173"/>
    </row>
    <row r="1001" spans="1:6">
      <c r="A1001" s="171" t="s">
        <v>461</v>
      </c>
      <c r="B1001" s="172">
        <v>-1.2284177840385118</v>
      </c>
      <c r="C1001" s="172">
        <v>-2.3993580133895418</v>
      </c>
      <c r="D1001" s="172">
        <v>0.6756623603325641</v>
      </c>
      <c r="E1001" s="171"/>
      <c r="F1001" s="173">
        <f>MCond(B1000:D1002)</f>
        <v>5.4207004825352429</v>
      </c>
    </row>
    <row r="1002" spans="1:6">
      <c r="A1002" s="171"/>
      <c r="B1002" s="172">
        <v>1.4675604394566215</v>
      </c>
      <c r="C1002" s="172">
        <v>-1.3235781323919831</v>
      </c>
      <c r="D1002" s="172">
        <v>0.72564008456612294</v>
      </c>
      <c r="E1002" s="171"/>
      <c r="F1002" s="173"/>
    </row>
    <row r="1003" spans="1:6">
      <c r="A1003" s="171"/>
      <c r="B1003" s="172"/>
      <c r="C1003" s="172"/>
      <c r="D1003" s="172"/>
      <c r="E1003" s="171"/>
      <c r="F1003" s="174"/>
    </row>
    <row r="1004" spans="1:6">
      <c r="A1004" s="171"/>
      <c r="B1004" s="172">
        <v>2.5457845528396139E-2</v>
      </c>
      <c r="C1004" s="172">
        <v>-2.3667658472617719</v>
      </c>
      <c r="D1004" s="172">
        <v>-6.368425350466822E-2</v>
      </c>
      <c r="E1004" s="171"/>
      <c r="F1004" s="173"/>
    </row>
    <row r="1005" spans="1:6">
      <c r="A1005" s="171" t="s">
        <v>462</v>
      </c>
      <c r="B1005" s="172">
        <v>-1.2284177840385118</v>
      </c>
      <c r="C1005" s="172">
        <v>-2.3993580133895418</v>
      </c>
      <c r="D1005" s="172">
        <v>0.6756623603325641</v>
      </c>
      <c r="E1005" s="171"/>
      <c r="F1005" s="173">
        <f>MCond(B1004:D1006)</f>
        <v>36.492219185194912</v>
      </c>
    </row>
    <row r="1006" spans="1:6">
      <c r="A1006" s="171"/>
      <c r="B1006" s="172">
        <v>-1.0097006711160386</v>
      </c>
      <c r="C1006" s="172">
        <v>-0.26302086313966178</v>
      </c>
      <c r="D1006" s="172">
        <v>0.76545275918666766</v>
      </c>
      <c r="E1006" s="171"/>
      <c r="F1006" s="173"/>
    </row>
    <row r="1007" spans="1:6">
      <c r="A1007" s="171"/>
      <c r="B1007" s="172"/>
      <c r="C1007" s="172"/>
      <c r="D1007" s="172"/>
      <c r="E1007" s="171"/>
      <c r="F1007" s="174"/>
    </row>
    <row r="1008" spans="1:6">
      <c r="A1008" s="171"/>
      <c r="B1008" s="172">
        <v>2.5457845528396139E-2</v>
      </c>
      <c r="C1008" s="172">
        <v>-2.3667658472617719</v>
      </c>
      <c r="D1008" s="172">
        <v>-6.368425350466822E-2</v>
      </c>
      <c r="E1008" s="171"/>
      <c r="F1008" s="173"/>
    </row>
    <row r="1009" spans="1:6">
      <c r="A1009" s="171" t="s">
        <v>463</v>
      </c>
      <c r="B1009" s="172">
        <v>-1.2284177840385118</v>
      </c>
      <c r="C1009" s="172">
        <v>-2.3993580133895418</v>
      </c>
      <c r="D1009" s="172">
        <v>0.6756623603325641</v>
      </c>
      <c r="E1009" s="171"/>
      <c r="F1009" s="173">
        <f>MCond(B1008:D1010)</f>
        <v>4.2840265157871062</v>
      </c>
    </row>
    <row r="1010" spans="1:6">
      <c r="A1010" s="171"/>
      <c r="B1010" s="172">
        <v>0.60912970227287866</v>
      </c>
      <c r="C1010" s="172">
        <v>-0.28261535739067112</v>
      </c>
      <c r="D1010" s="172">
        <v>0.68802996689194662</v>
      </c>
      <c r="E1010" s="171"/>
      <c r="F1010" s="173"/>
    </row>
    <row r="1011" spans="1:6">
      <c r="A1011" s="171"/>
      <c r="B1011" s="172"/>
      <c r="C1011" s="172"/>
      <c r="D1011" s="172"/>
      <c r="E1011" s="171"/>
      <c r="F1011" s="174"/>
    </row>
    <row r="1012" spans="1:6">
      <c r="A1012" s="171"/>
      <c r="B1012" s="172">
        <v>2.5457845528396139E-2</v>
      </c>
      <c r="C1012" s="172">
        <v>-2.3667658472617719</v>
      </c>
      <c r="D1012" s="172">
        <v>-6.368425350466822E-2</v>
      </c>
      <c r="E1012" s="171"/>
      <c r="F1012" s="173"/>
    </row>
    <row r="1013" spans="1:6">
      <c r="A1013" s="171" t="s">
        <v>464</v>
      </c>
      <c r="B1013" s="172">
        <v>1.0673702345396179</v>
      </c>
      <c r="C1013" s="172">
        <v>-2.4075843796929846</v>
      </c>
      <c r="D1013" s="172">
        <v>0.708799578341892</v>
      </c>
      <c r="E1013" s="171"/>
      <c r="F1013" s="173">
        <f>MCond(B1012:D1014)</f>
        <v>5.8454524208722907</v>
      </c>
    </row>
    <row r="1014" spans="1:6">
      <c r="A1014" s="171"/>
      <c r="B1014" s="172">
        <v>-1.3773893306068323</v>
      </c>
      <c r="C1014" s="172">
        <v>-1.5521003879162059</v>
      </c>
      <c r="D1014" s="172">
        <v>0.65590292152571228</v>
      </c>
      <c r="E1014" s="171"/>
      <c r="F1014" s="173"/>
    </row>
    <row r="1015" spans="1:6">
      <c r="A1015" s="171"/>
      <c r="B1015" s="172"/>
      <c r="C1015" s="172"/>
      <c r="D1015" s="172"/>
      <c r="E1015" s="171"/>
      <c r="F1015" s="174"/>
    </row>
    <row r="1016" spans="1:6">
      <c r="A1016" s="171"/>
      <c r="B1016" s="172">
        <v>2.5457845528396139E-2</v>
      </c>
      <c r="C1016" s="172">
        <v>-2.3667658472617719</v>
      </c>
      <c r="D1016" s="172">
        <v>-6.368425350466822E-2</v>
      </c>
      <c r="E1016" s="171"/>
      <c r="F1016" s="173"/>
    </row>
    <row r="1017" spans="1:6">
      <c r="A1017" s="171" t="s">
        <v>465</v>
      </c>
      <c r="B1017" s="172">
        <v>1.0673702345396179</v>
      </c>
      <c r="C1017" s="172">
        <v>-2.4075843796929846</v>
      </c>
      <c r="D1017" s="172">
        <v>0.708799578341892</v>
      </c>
      <c r="E1017" s="171"/>
      <c r="F1017" s="173">
        <f>MCond(B1016:D1018)</f>
        <v>27.264608409535779</v>
      </c>
    </row>
    <row r="1018" spans="1:6">
      <c r="A1018" s="171"/>
      <c r="B1018" s="172">
        <v>1.4675604394566215</v>
      </c>
      <c r="C1018" s="172">
        <v>-1.3235781323919831</v>
      </c>
      <c r="D1018" s="172">
        <v>0.72564008456612294</v>
      </c>
      <c r="E1018" s="171"/>
      <c r="F1018" s="173"/>
    </row>
    <row r="1019" spans="1:6">
      <c r="A1019" s="171"/>
      <c r="B1019" s="172"/>
      <c r="C1019" s="172"/>
      <c r="D1019" s="172"/>
      <c r="E1019" s="171"/>
      <c r="F1019" s="174"/>
    </row>
    <row r="1020" spans="1:6">
      <c r="A1020" s="171"/>
      <c r="B1020" s="172">
        <v>2.5457845528396139E-2</v>
      </c>
      <c r="C1020" s="172">
        <v>-2.3667658472617719</v>
      </c>
      <c r="D1020" s="172">
        <v>-6.368425350466822E-2</v>
      </c>
      <c r="E1020" s="171"/>
      <c r="F1020" s="173"/>
    </row>
    <row r="1021" spans="1:6">
      <c r="A1021" s="171" t="s">
        <v>466</v>
      </c>
      <c r="B1021" s="172">
        <v>1.0673702345396179</v>
      </c>
      <c r="C1021" s="172">
        <v>-2.4075843796929846</v>
      </c>
      <c r="D1021" s="172">
        <v>0.708799578341892</v>
      </c>
      <c r="E1021" s="171"/>
      <c r="F1021" s="173">
        <f>MCond(B1020:D1022)</f>
        <v>4.3649803826438793</v>
      </c>
    </row>
    <row r="1022" spans="1:6">
      <c r="A1022" s="171"/>
      <c r="B1022" s="172">
        <v>-1.0097006711160386</v>
      </c>
      <c r="C1022" s="172">
        <v>-0.26302086313966178</v>
      </c>
      <c r="D1022" s="172">
        <v>0.76545275918666766</v>
      </c>
      <c r="E1022" s="171"/>
      <c r="F1022" s="173"/>
    </row>
    <row r="1023" spans="1:6">
      <c r="A1023" s="171"/>
      <c r="B1023" s="172"/>
      <c r="C1023" s="172"/>
      <c r="D1023" s="172"/>
      <c r="E1023" s="171"/>
      <c r="F1023" s="174"/>
    </row>
    <row r="1024" spans="1:6">
      <c r="A1024" s="171"/>
      <c r="B1024" s="172">
        <v>2.5457845528396139E-2</v>
      </c>
      <c r="C1024" s="172">
        <v>-2.3667658472617719</v>
      </c>
      <c r="D1024" s="172">
        <v>-6.368425350466822E-2</v>
      </c>
      <c r="E1024" s="171"/>
      <c r="F1024" s="173"/>
    </row>
    <row r="1025" spans="1:6">
      <c r="A1025" s="171" t="s">
        <v>467</v>
      </c>
      <c r="B1025" s="172">
        <v>1.0673702345396179</v>
      </c>
      <c r="C1025" s="172">
        <v>-2.4075843796929846</v>
      </c>
      <c r="D1025" s="172">
        <v>0.708799578341892</v>
      </c>
      <c r="E1025" s="171"/>
      <c r="F1025" s="173">
        <f>MCond(B1024:D1026)</f>
        <v>24.489132951843487</v>
      </c>
    </row>
    <row r="1026" spans="1:6">
      <c r="A1026" s="171"/>
      <c r="B1026" s="172">
        <v>0.60912970227287866</v>
      </c>
      <c r="C1026" s="172">
        <v>-0.28261535739067112</v>
      </c>
      <c r="D1026" s="172">
        <v>0.68802996689194662</v>
      </c>
      <c r="E1026" s="171"/>
      <c r="F1026" s="173"/>
    </row>
    <row r="1027" spans="1:6">
      <c r="A1027" s="171"/>
      <c r="B1027" s="172"/>
      <c r="C1027" s="172"/>
      <c r="D1027" s="172"/>
      <c r="E1027" s="171"/>
      <c r="F1027" s="174"/>
    </row>
    <row r="1028" spans="1:6">
      <c r="A1028" s="171"/>
      <c r="B1028" s="172">
        <v>2.5457845528396139E-2</v>
      </c>
      <c r="C1028" s="172">
        <v>-2.3667658472617719</v>
      </c>
      <c r="D1028" s="172">
        <v>-6.368425350466822E-2</v>
      </c>
      <c r="E1028" s="171"/>
      <c r="F1028" s="173"/>
    </row>
    <row r="1029" spans="1:6">
      <c r="A1029" s="171" t="s">
        <v>468</v>
      </c>
      <c r="B1029" s="172">
        <v>-1.3773893306068323</v>
      </c>
      <c r="C1029" s="172">
        <v>-1.5521003879162059</v>
      </c>
      <c r="D1029" s="172">
        <v>0.65590292152571228</v>
      </c>
      <c r="E1029" s="171"/>
      <c r="F1029" s="173">
        <f>MCond(B1028:D1030)</f>
        <v>4.155062022143496</v>
      </c>
    </row>
    <row r="1030" spans="1:6">
      <c r="A1030" s="171"/>
      <c r="B1030" s="172">
        <v>1.4675604394566215</v>
      </c>
      <c r="C1030" s="172">
        <v>-1.3235781323919831</v>
      </c>
      <c r="D1030" s="172">
        <v>0.72564008456612294</v>
      </c>
      <c r="E1030" s="171"/>
      <c r="F1030" s="173"/>
    </row>
    <row r="1031" spans="1:6">
      <c r="A1031" s="171"/>
      <c r="B1031" s="172"/>
      <c r="C1031" s="172"/>
      <c r="D1031" s="172"/>
      <c r="E1031" s="171"/>
      <c r="F1031" s="174"/>
    </row>
    <row r="1032" spans="1:6">
      <c r="A1032" s="171"/>
      <c r="B1032" s="172">
        <v>2.5457845528396139E-2</v>
      </c>
      <c r="C1032" s="172">
        <v>-2.3667658472617719</v>
      </c>
      <c r="D1032" s="172">
        <v>-6.368425350466822E-2</v>
      </c>
      <c r="E1032" s="171"/>
      <c r="F1032" s="173"/>
    </row>
    <row r="1033" spans="1:6">
      <c r="A1033" s="171" t="s">
        <v>469</v>
      </c>
      <c r="B1033" s="172">
        <v>-1.3773893306068323</v>
      </c>
      <c r="C1033" s="172">
        <v>-1.5521003879162059</v>
      </c>
      <c r="D1033" s="172">
        <v>0.65590292152571228</v>
      </c>
      <c r="E1033" s="171"/>
      <c r="F1033" s="173">
        <f>MCond(B1032:D1034)</f>
        <v>17.378066776989606</v>
      </c>
    </row>
    <row r="1034" spans="1:6">
      <c r="A1034" s="171"/>
      <c r="B1034" s="172">
        <v>-1.0097006711160386</v>
      </c>
      <c r="C1034" s="172">
        <v>-0.26302086313966178</v>
      </c>
      <c r="D1034" s="172">
        <v>0.76545275918666766</v>
      </c>
      <c r="E1034" s="171"/>
      <c r="F1034" s="173"/>
    </row>
    <row r="1035" spans="1:6">
      <c r="A1035" s="171"/>
      <c r="B1035" s="172"/>
      <c r="C1035" s="172"/>
      <c r="D1035" s="172"/>
      <c r="E1035" s="171"/>
      <c r="F1035" s="174"/>
    </row>
    <row r="1036" spans="1:6">
      <c r="A1036" s="171"/>
      <c r="B1036" s="172">
        <v>2.5457845528396139E-2</v>
      </c>
      <c r="C1036" s="172">
        <v>-2.3667658472617719</v>
      </c>
      <c r="D1036" s="172">
        <v>-6.368425350466822E-2</v>
      </c>
      <c r="E1036" s="171"/>
      <c r="F1036" s="173"/>
    </row>
    <row r="1037" spans="1:6">
      <c r="A1037" s="171" t="s">
        <v>470</v>
      </c>
      <c r="B1037" s="172">
        <v>-1.3773893306068323</v>
      </c>
      <c r="C1037" s="172">
        <v>-1.5521003879162059</v>
      </c>
      <c r="D1037" s="172">
        <v>0.65590292152571228</v>
      </c>
      <c r="E1037" s="171"/>
      <c r="F1037" s="173">
        <f>MCond(B1036:D1038)</f>
        <v>3.5193506190429562</v>
      </c>
    </row>
    <row r="1038" spans="1:6">
      <c r="A1038" s="171"/>
      <c r="B1038" s="172">
        <v>0.60912970227287866</v>
      </c>
      <c r="C1038" s="172">
        <v>-0.28261535739067112</v>
      </c>
      <c r="D1038" s="172">
        <v>0.68802996689194662</v>
      </c>
      <c r="E1038" s="171"/>
      <c r="F1038" s="173"/>
    </row>
    <row r="1039" spans="1:6">
      <c r="A1039" s="171"/>
      <c r="B1039" s="172"/>
      <c r="C1039" s="172"/>
      <c r="D1039" s="172"/>
      <c r="E1039" s="171"/>
      <c r="F1039" s="174"/>
    </row>
    <row r="1040" spans="1:6">
      <c r="A1040" s="171"/>
      <c r="B1040" s="172">
        <v>2.5457845528396139E-2</v>
      </c>
      <c r="C1040" s="172">
        <v>-2.3667658472617719</v>
      </c>
      <c r="D1040" s="172">
        <v>-6.368425350466822E-2</v>
      </c>
      <c r="E1040" s="171"/>
      <c r="F1040" s="173"/>
    </row>
    <row r="1041" spans="1:6">
      <c r="A1041" s="171" t="s">
        <v>471</v>
      </c>
      <c r="B1041" s="172">
        <v>1.4675604394566215</v>
      </c>
      <c r="C1041" s="172">
        <v>-1.3235781323919831</v>
      </c>
      <c r="D1041" s="172">
        <v>0.72564008456612294</v>
      </c>
      <c r="E1041" s="171"/>
      <c r="F1041" s="173">
        <f>MCond(B1040:D1042)</f>
        <v>2.9250187817951137</v>
      </c>
    </row>
    <row r="1042" spans="1:6">
      <c r="A1042" s="171"/>
      <c r="B1042" s="172">
        <v>-1.0097006711160386</v>
      </c>
      <c r="C1042" s="172">
        <v>-0.26302086313966178</v>
      </c>
      <c r="D1042" s="172">
        <v>0.76545275918666766</v>
      </c>
      <c r="E1042" s="171"/>
      <c r="F1042" s="173"/>
    </row>
    <row r="1043" spans="1:6">
      <c r="A1043" s="171"/>
      <c r="B1043" s="172"/>
      <c r="C1043" s="172"/>
      <c r="D1043" s="172"/>
      <c r="E1043" s="171"/>
      <c r="F1043" s="174"/>
    </row>
    <row r="1044" spans="1:6">
      <c r="A1044" s="171"/>
      <c r="B1044" s="172">
        <v>2.5457845528396139E-2</v>
      </c>
      <c r="C1044" s="172">
        <v>-2.3667658472617719</v>
      </c>
      <c r="D1044" s="172">
        <v>-6.368425350466822E-2</v>
      </c>
      <c r="E1044" s="171"/>
      <c r="F1044" s="173"/>
    </row>
    <row r="1045" spans="1:6">
      <c r="A1045" s="171" t="s">
        <v>472</v>
      </c>
      <c r="B1045" s="172">
        <v>1.4675604394566215</v>
      </c>
      <c r="C1045" s="172">
        <v>-1.3235781323919831</v>
      </c>
      <c r="D1045" s="172">
        <v>0.72564008456612294</v>
      </c>
      <c r="E1045" s="171"/>
      <c r="F1045" s="173">
        <f>MCond(B1044:D1046)</f>
        <v>10.029851549914012</v>
      </c>
    </row>
    <row r="1046" spans="1:6">
      <c r="A1046" s="171"/>
      <c r="B1046" s="172">
        <v>0.60912970227287866</v>
      </c>
      <c r="C1046" s="172">
        <v>-0.28261535739067112</v>
      </c>
      <c r="D1046" s="172">
        <v>0.68802996689194662</v>
      </c>
      <c r="E1046" s="171"/>
      <c r="F1046" s="173"/>
    </row>
    <row r="1047" spans="1:6">
      <c r="A1047" s="171"/>
      <c r="B1047" s="172"/>
      <c r="C1047" s="172"/>
      <c r="D1047" s="172"/>
      <c r="E1047" s="171"/>
      <c r="F1047" s="174"/>
    </row>
    <row r="1048" spans="1:6">
      <c r="A1048" s="171"/>
      <c r="B1048" s="172">
        <v>2.5457845528396139E-2</v>
      </c>
      <c r="C1048" s="172">
        <v>-2.3667658472617719</v>
      </c>
      <c r="D1048" s="172">
        <v>-6.368425350466822E-2</v>
      </c>
      <c r="E1048" s="171"/>
      <c r="F1048" s="173"/>
    </row>
    <row r="1049" spans="1:6">
      <c r="A1049" s="171" t="s">
        <v>473</v>
      </c>
      <c r="B1049" s="172">
        <v>-1.0097006711160386</v>
      </c>
      <c r="C1049" s="172">
        <v>-0.26302086313966178</v>
      </c>
      <c r="D1049" s="172">
        <v>0.76545275918666766</v>
      </c>
      <c r="E1049" s="171"/>
      <c r="F1049" s="173">
        <f>MCond(B1048:D1050)</f>
        <v>2.6374470926098281</v>
      </c>
    </row>
    <row r="1050" spans="1:6">
      <c r="A1050" s="171"/>
      <c r="B1050" s="172">
        <v>0.60912970227287866</v>
      </c>
      <c r="C1050" s="172">
        <v>-0.28261535739067112</v>
      </c>
      <c r="D1050" s="172">
        <v>0.68802996689194662</v>
      </c>
      <c r="E1050" s="171"/>
      <c r="F1050" s="173"/>
    </row>
    <row r="1051" spans="1:6">
      <c r="A1051" s="171"/>
      <c r="B1051" s="172"/>
      <c r="C1051" s="172"/>
      <c r="D1051" s="172"/>
      <c r="E1051" s="171"/>
      <c r="F1051" s="174"/>
    </row>
    <row r="1052" spans="1:6">
      <c r="A1052" s="171"/>
      <c r="B1052" s="172">
        <v>-1.2284177840385118</v>
      </c>
      <c r="C1052" s="172">
        <v>-2.3993580133895418</v>
      </c>
      <c r="D1052" s="172">
        <v>0.6756623603325641</v>
      </c>
      <c r="E1052" s="171"/>
      <c r="F1052" s="173"/>
    </row>
    <row r="1053" spans="1:6">
      <c r="A1053" s="171" t="s">
        <v>474</v>
      </c>
      <c r="B1053" s="172">
        <v>1.0673702345396179</v>
      </c>
      <c r="C1053" s="172">
        <v>-2.4075843796929846</v>
      </c>
      <c r="D1053" s="172">
        <v>0.708799578341892</v>
      </c>
      <c r="E1053" s="171"/>
      <c r="F1053" s="173">
        <f>MCond(B1052:D1054)</f>
        <v>25.249585470075854</v>
      </c>
    </row>
    <row r="1054" spans="1:6">
      <c r="A1054" s="171"/>
      <c r="B1054" s="172">
        <v>-1.3773893306068323</v>
      </c>
      <c r="C1054" s="172">
        <v>-1.5521003879162059</v>
      </c>
      <c r="D1054" s="172">
        <v>0.65590292152571228</v>
      </c>
      <c r="E1054" s="171"/>
      <c r="F1054" s="173"/>
    </row>
    <row r="1055" spans="1:6">
      <c r="A1055" s="171"/>
      <c r="B1055" s="172"/>
      <c r="C1055" s="172"/>
      <c r="D1055" s="172"/>
      <c r="E1055" s="171"/>
      <c r="F1055" s="174"/>
    </row>
    <row r="1056" spans="1:6">
      <c r="A1056" s="171"/>
      <c r="B1056" s="172">
        <v>-1.2284177840385118</v>
      </c>
      <c r="C1056" s="172">
        <v>-2.3993580133895418</v>
      </c>
      <c r="D1056" s="172">
        <v>0.6756623603325641</v>
      </c>
      <c r="E1056" s="171"/>
      <c r="F1056" s="173"/>
    </row>
    <row r="1057" spans="1:6">
      <c r="A1057" s="171" t="s">
        <v>475</v>
      </c>
      <c r="B1057" s="172">
        <v>1.0673702345396179</v>
      </c>
      <c r="C1057" s="172">
        <v>-2.4075843796929846</v>
      </c>
      <c r="D1057" s="172">
        <v>0.708799578341892</v>
      </c>
      <c r="E1057" s="171"/>
      <c r="F1057" s="173">
        <f>MCond(B1056:D1058)</f>
        <v>17.866956947533616</v>
      </c>
    </row>
    <row r="1058" spans="1:6">
      <c r="A1058" s="171"/>
      <c r="B1058" s="172">
        <v>1.4675604394566215</v>
      </c>
      <c r="C1058" s="172">
        <v>-1.3235781323919831</v>
      </c>
      <c r="D1058" s="172">
        <v>0.72564008456612294</v>
      </c>
      <c r="E1058" s="171"/>
      <c r="F1058" s="173"/>
    </row>
    <row r="1059" spans="1:6">
      <c r="A1059" s="171"/>
      <c r="B1059" s="172"/>
      <c r="C1059" s="172"/>
      <c r="D1059" s="172"/>
      <c r="E1059" s="171"/>
      <c r="F1059" s="174"/>
    </row>
    <row r="1060" spans="1:6">
      <c r="A1060" s="171"/>
      <c r="B1060" s="172">
        <v>-1.2284177840385118</v>
      </c>
      <c r="C1060" s="172">
        <v>-2.3993580133895418</v>
      </c>
      <c r="D1060" s="172">
        <v>0.6756623603325641</v>
      </c>
      <c r="E1060" s="171"/>
      <c r="F1060" s="173"/>
    </row>
    <row r="1061" spans="1:6">
      <c r="A1061" s="171" t="s">
        <v>476</v>
      </c>
      <c r="B1061" s="172">
        <v>1.0673702345396179</v>
      </c>
      <c r="C1061" s="172">
        <v>-2.4075843796929846</v>
      </c>
      <c r="D1061" s="172">
        <v>0.708799578341892</v>
      </c>
      <c r="E1061" s="171"/>
      <c r="F1061" s="173">
        <f>MCond(B1060:D1062)</f>
        <v>6.3541258749953187</v>
      </c>
    </row>
    <row r="1062" spans="1:6">
      <c r="A1062" s="171"/>
      <c r="B1062" s="172">
        <v>-1.0097006711160386</v>
      </c>
      <c r="C1062" s="172">
        <v>-0.26302086313966178</v>
      </c>
      <c r="D1062" s="172">
        <v>0.76545275918666766</v>
      </c>
      <c r="E1062" s="171"/>
      <c r="F1062" s="173"/>
    </row>
    <row r="1063" spans="1:6">
      <c r="A1063" s="171"/>
      <c r="B1063" s="172"/>
      <c r="C1063" s="172"/>
      <c r="D1063" s="172"/>
      <c r="E1063" s="171"/>
      <c r="F1063" s="174"/>
    </row>
    <row r="1064" spans="1:6">
      <c r="A1064" s="171"/>
      <c r="B1064" s="172">
        <v>-1.2284177840385118</v>
      </c>
      <c r="C1064" s="172">
        <v>-2.3993580133895418</v>
      </c>
      <c r="D1064" s="172">
        <v>0.6756623603325641</v>
      </c>
      <c r="E1064" s="171"/>
      <c r="F1064" s="173"/>
    </row>
    <row r="1065" spans="1:6">
      <c r="A1065" s="171" t="s">
        <v>477</v>
      </c>
      <c r="B1065" s="172">
        <v>1.0673702345396179</v>
      </c>
      <c r="C1065" s="172">
        <v>-2.4075843796929846</v>
      </c>
      <c r="D1065" s="172">
        <v>0.708799578341892</v>
      </c>
      <c r="E1065" s="171"/>
      <c r="F1065" s="173">
        <f>MCond(B1064:D1066)</f>
        <v>6.7607681639683301</v>
      </c>
    </row>
    <row r="1066" spans="1:6">
      <c r="A1066" s="171"/>
      <c r="B1066" s="172">
        <v>0.60912970227287866</v>
      </c>
      <c r="C1066" s="172">
        <v>-0.28261535739067112</v>
      </c>
      <c r="D1066" s="172">
        <v>0.68802996689194662</v>
      </c>
      <c r="E1066" s="171"/>
      <c r="F1066" s="173"/>
    </row>
    <row r="1067" spans="1:6">
      <c r="A1067" s="171"/>
      <c r="B1067" s="172"/>
      <c r="C1067" s="172"/>
      <c r="D1067" s="172"/>
      <c r="E1067" s="171"/>
      <c r="F1067" s="174"/>
    </row>
    <row r="1068" spans="1:6">
      <c r="A1068" s="171"/>
      <c r="B1068" s="172">
        <v>-1.2284177840385118</v>
      </c>
      <c r="C1068" s="172">
        <v>-2.3993580133895418</v>
      </c>
      <c r="D1068" s="172">
        <v>0.6756623603325641</v>
      </c>
      <c r="E1068" s="171"/>
      <c r="F1068" s="173"/>
    </row>
    <row r="1069" spans="1:6">
      <c r="A1069" s="171" t="s">
        <v>478</v>
      </c>
      <c r="B1069" s="172">
        <v>-1.3773893306068323</v>
      </c>
      <c r="C1069" s="172">
        <v>-1.5521003879162059</v>
      </c>
      <c r="D1069" s="172">
        <v>0.65590292152571228</v>
      </c>
      <c r="E1069" s="171"/>
      <c r="F1069" s="173">
        <f>MCond(B1068:D1070)</f>
        <v>15.979311741978162</v>
      </c>
    </row>
    <row r="1070" spans="1:6">
      <c r="A1070" s="171"/>
      <c r="B1070" s="172">
        <v>1.4675604394566215</v>
      </c>
      <c r="C1070" s="172">
        <v>-1.3235781323919831</v>
      </c>
      <c r="D1070" s="172">
        <v>0.72564008456612294</v>
      </c>
      <c r="E1070" s="171"/>
      <c r="F1070" s="173"/>
    </row>
    <row r="1071" spans="1:6">
      <c r="A1071" s="171"/>
      <c r="B1071" s="172"/>
      <c r="C1071" s="172"/>
      <c r="D1071" s="172"/>
      <c r="E1071" s="171"/>
      <c r="F1071" s="174"/>
    </row>
    <row r="1072" spans="1:6">
      <c r="A1072" s="171"/>
      <c r="B1072" s="172">
        <v>-1.2284177840385118</v>
      </c>
      <c r="C1072" s="172">
        <v>-2.3993580133895418</v>
      </c>
      <c r="D1072" s="172">
        <v>0.6756623603325641</v>
      </c>
      <c r="E1072" s="171"/>
      <c r="F1072" s="173"/>
    </row>
    <row r="1073" spans="1:6">
      <c r="A1073" s="171" t="s">
        <v>479</v>
      </c>
      <c r="B1073" s="172">
        <v>-1.3773893306068323</v>
      </c>
      <c r="C1073" s="172">
        <v>-1.5521003879162059</v>
      </c>
      <c r="D1073" s="172">
        <v>0.65590292152571228</v>
      </c>
      <c r="E1073" s="171"/>
      <c r="F1073" s="173">
        <f>MCond(B1072:D1074)</f>
        <v>24.622553140187737</v>
      </c>
    </row>
    <row r="1074" spans="1:6">
      <c r="A1074" s="171"/>
      <c r="B1074" s="172">
        <v>-1.0097006711160386</v>
      </c>
      <c r="C1074" s="172">
        <v>-0.26302086313966178</v>
      </c>
      <c r="D1074" s="172">
        <v>0.76545275918666766</v>
      </c>
      <c r="E1074" s="171"/>
      <c r="F1074" s="173"/>
    </row>
    <row r="1075" spans="1:6">
      <c r="A1075" s="171"/>
      <c r="B1075" s="172"/>
      <c r="C1075" s="172"/>
      <c r="D1075" s="172"/>
      <c r="E1075" s="171"/>
      <c r="F1075" s="174"/>
    </row>
    <row r="1076" spans="1:6">
      <c r="A1076" s="171"/>
      <c r="B1076" s="172">
        <v>-1.2284177840385118</v>
      </c>
      <c r="C1076" s="172">
        <v>-2.3993580133895418</v>
      </c>
      <c r="D1076" s="172">
        <v>0.6756623603325641</v>
      </c>
      <c r="E1076" s="171"/>
      <c r="F1076" s="173"/>
    </row>
    <row r="1077" spans="1:6">
      <c r="A1077" s="171" t="s">
        <v>480</v>
      </c>
      <c r="B1077" s="172">
        <v>-1.3773893306068323</v>
      </c>
      <c r="C1077" s="172">
        <v>-1.5521003879162059</v>
      </c>
      <c r="D1077" s="172">
        <v>0.65590292152571228</v>
      </c>
      <c r="E1077" s="171"/>
      <c r="F1077" s="173">
        <f>MCond(B1076:D1078)</f>
        <v>9.6873396835531249</v>
      </c>
    </row>
    <row r="1078" spans="1:6">
      <c r="A1078" s="171"/>
      <c r="B1078" s="172">
        <v>0.60912970227287866</v>
      </c>
      <c r="C1078" s="172">
        <v>-0.28261535739067112</v>
      </c>
      <c r="D1078" s="172">
        <v>0.68802996689194662</v>
      </c>
      <c r="E1078" s="171"/>
      <c r="F1078" s="173"/>
    </row>
    <row r="1079" spans="1:6">
      <c r="A1079" s="171"/>
      <c r="B1079" s="172"/>
      <c r="C1079" s="172"/>
      <c r="D1079" s="172"/>
      <c r="E1079" s="171"/>
      <c r="F1079" s="174"/>
    </row>
    <row r="1080" spans="1:6">
      <c r="A1080" s="171"/>
      <c r="B1080" s="172">
        <v>-1.2284177840385118</v>
      </c>
      <c r="C1080" s="172">
        <v>-2.3993580133895418</v>
      </c>
      <c r="D1080" s="172">
        <v>0.6756623603325641</v>
      </c>
      <c r="E1080" s="171"/>
      <c r="F1080" s="173"/>
    </row>
    <row r="1081" spans="1:6">
      <c r="A1081" s="171" t="s">
        <v>481</v>
      </c>
      <c r="B1081" s="172">
        <v>1.4675604394566215</v>
      </c>
      <c r="C1081" s="172">
        <v>-1.3235781323919831</v>
      </c>
      <c r="D1081" s="172">
        <v>0.72564008456612294</v>
      </c>
      <c r="E1081" s="171"/>
      <c r="F1081" s="173">
        <f>MCond(B1080:D1082)</f>
        <v>4.3639483646416055</v>
      </c>
    </row>
    <row r="1082" spans="1:6">
      <c r="A1082" s="171"/>
      <c r="B1082" s="172">
        <v>-1.0097006711160386</v>
      </c>
      <c r="C1082" s="172">
        <v>-0.26302086313966178</v>
      </c>
      <c r="D1082" s="172">
        <v>0.76545275918666766</v>
      </c>
      <c r="E1082" s="171"/>
      <c r="F1082" s="173"/>
    </row>
    <row r="1083" spans="1:6">
      <c r="A1083" s="171"/>
      <c r="B1083" s="172"/>
      <c r="C1083" s="172"/>
      <c r="D1083" s="172"/>
      <c r="E1083" s="171"/>
      <c r="F1083" s="174"/>
    </row>
    <row r="1084" spans="1:6">
      <c r="A1084" s="171"/>
      <c r="B1084" s="172">
        <v>-1.2284177840385118</v>
      </c>
      <c r="C1084" s="172">
        <v>-2.3993580133895418</v>
      </c>
      <c r="D1084" s="172">
        <v>0.6756623603325641</v>
      </c>
      <c r="E1084" s="171"/>
      <c r="F1084" s="173"/>
    </row>
    <row r="1085" spans="1:6">
      <c r="A1085" s="171" t="s">
        <v>482</v>
      </c>
      <c r="B1085" s="172">
        <v>1.4675604394566215</v>
      </c>
      <c r="C1085" s="172">
        <v>-1.3235781323919831</v>
      </c>
      <c r="D1085" s="172">
        <v>0.72564008456612294</v>
      </c>
      <c r="E1085" s="171"/>
      <c r="F1085" s="173">
        <f>MCond(B1084:D1086)</f>
        <v>7.1573490093416128</v>
      </c>
    </row>
    <row r="1086" spans="1:6">
      <c r="A1086" s="171"/>
      <c r="B1086" s="172">
        <v>0.60912970227287866</v>
      </c>
      <c r="C1086" s="172">
        <v>-0.28261535739067112</v>
      </c>
      <c r="D1086" s="172">
        <v>0.68802996689194662</v>
      </c>
      <c r="E1086" s="171"/>
      <c r="F1086" s="173"/>
    </row>
    <row r="1087" spans="1:6">
      <c r="A1087" s="171"/>
      <c r="B1087" s="172"/>
      <c r="C1087" s="172"/>
      <c r="D1087" s="172"/>
      <c r="E1087" s="171"/>
      <c r="F1087" s="174"/>
    </row>
    <row r="1088" spans="1:6">
      <c r="A1088" s="171"/>
      <c r="B1088" s="172">
        <v>-1.2284177840385118</v>
      </c>
      <c r="C1088" s="172">
        <v>-2.3993580133895418</v>
      </c>
      <c r="D1088" s="172">
        <v>0.6756623603325641</v>
      </c>
      <c r="E1088" s="171"/>
      <c r="F1088" s="173"/>
    </row>
    <row r="1089" spans="1:6">
      <c r="A1089" s="171" t="s">
        <v>483</v>
      </c>
      <c r="B1089" s="172">
        <v>-1.0097006711160386</v>
      </c>
      <c r="C1089" s="172">
        <v>-0.26302086313966178</v>
      </c>
      <c r="D1089" s="172">
        <v>0.76545275918666766</v>
      </c>
      <c r="E1089" s="171"/>
      <c r="F1089" s="173">
        <f>MCond(B1088:D1090)</f>
        <v>3.4265372448109996</v>
      </c>
    </row>
    <row r="1090" spans="1:6">
      <c r="A1090" s="171"/>
      <c r="B1090" s="172">
        <v>0.60912970227287866</v>
      </c>
      <c r="C1090" s="172">
        <v>-0.28261535739067112</v>
      </c>
      <c r="D1090" s="172">
        <v>0.68802996689194662</v>
      </c>
      <c r="E1090" s="171"/>
      <c r="F1090" s="173"/>
    </row>
    <row r="1091" spans="1:6">
      <c r="A1091" s="171"/>
      <c r="B1091" s="172"/>
      <c r="C1091" s="172"/>
      <c r="D1091" s="172"/>
      <c r="E1091" s="171"/>
      <c r="F1091" s="174"/>
    </row>
    <row r="1092" spans="1:6">
      <c r="A1092" s="171"/>
      <c r="B1092" s="172">
        <v>1.0673702345396179</v>
      </c>
      <c r="C1092" s="172">
        <v>-2.4075843796929846</v>
      </c>
      <c r="D1092" s="172">
        <v>0.708799578341892</v>
      </c>
      <c r="E1092" s="171"/>
      <c r="F1092" s="173"/>
    </row>
    <row r="1093" spans="1:6">
      <c r="A1093" s="171" t="s">
        <v>484</v>
      </c>
      <c r="B1093" s="172">
        <v>-1.3773893306068323</v>
      </c>
      <c r="C1093" s="172">
        <v>-1.5521003879162059</v>
      </c>
      <c r="D1093" s="172">
        <v>0.65590292152571228</v>
      </c>
      <c r="E1093" s="171"/>
      <c r="F1093" s="173">
        <f>MCond(B1092:D1094)</f>
        <v>12.100449578887144</v>
      </c>
    </row>
    <row r="1094" spans="1:6">
      <c r="A1094" s="171"/>
      <c r="B1094" s="172">
        <v>1.4675604394566215</v>
      </c>
      <c r="C1094" s="172">
        <v>-1.3235781323919831</v>
      </c>
      <c r="D1094" s="172">
        <v>0.72564008456612294</v>
      </c>
      <c r="E1094" s="171"/>
      <c r="F1094" s="173"/>
    </row>
    <row r="1095" spans="1:6">
      <c r="A1095" s="171"/>
      <c r="B1095" s="172"/>
      <c r="C1095" s="172"/>
      <c r="D1095" s="172"/>
      <c r="E1095" s="171"/>
      <c r="F1095" s="174"/>
    </row>
    <row r="1096" spans="1:6">
      <c r="A1096" s="171"/>
      <c r="B1096" s="172">
        <v>1.0673702345396179</v>
      </c>
      <c r="C1096" s="172">
        <v>-2.4075843796929846</v>
      </c>
      <c r="D1096" s="172">
        <v>0.708799578341892</v>
      </c>
      <c r="E1096" s="171"/>
      <c r="F1096" s="173"/>
    </row>
    <row r="1097" spans="1:6">
      <c r="A1097" s="171" t="s">
        <v>485</v>
      </c>
      <c r="B1097" s="172">
        <v>-1.3773893306068323</v>
      </c>
      <c r="C1097" s="172">
        <v>-1.5521003879162059</v>
      </c>
      <c r="D1097" s="172">
        <v>0.65590292152571228</v>
      </c>
      <c r="E1097" s="171"/>
      <c r="F1097" s="173">
        <f>MCond(B1096:D1098)</f>
        <v>6.7197741867997447</v>
      </c>
    </row>
    <row r="1098" spans="1:6">
      <c r="A1098" s="171"/>
      <c r="B1098" s="172">
        <v>-1.0097006711160386</v>
      </c>
      <c r="C1098" s="172">
        <v>-0.26302086313966178</v>
      </c>
      <c r="D1098" s="172">
        <v>0.76545275918666766</v>
      </c>
      <c r="E1098" s="171"/>
      <c r="F1098" s="173"/>
    </row>
    <row r="1099" spans="1:6">
      <c r="A1099" s="171"/>
      <c r="B1099" s="172"/>
      <c r="C1099" s="172"/>
      <c r="D1099" s="172"/>
      <c r="E1099" s="171"/>
      <c r="F1099" s="174"/>
    </row>
    <row r="1100" spans="1:6">
      <c r="A1100" s="171"/>
      <c r="B1100" s="172">
        <v>1.0673702345396179</v>
      </c>
      <c r="C1100" s="172">
        <v>-2.4075843796929846</v>
      </c>
      <c r="D1100" s="172">
        <v>0.708799578341892</v>
      </c>
      <c r="E1100" s="171"/>
      <c r="F1100" s="173"/>
    </row>
    <row r="1101" spans="1:6">
      <c r="A1101" s="171" t="s">
        <v>486</v>
      </c>
      <c r="B1101" s="172">
        <v>-1.3773893306068323</v>
      </c>
      <c r="C1101" s="172">
        <v>-1.5521003879162059</v>
      </c>
      <c r="D1101" s="172">
        <v>0.65590292152571228</v>
      </c>
      <c r="E1101" s="171"/>
      <c r="F1101" s="173">
        <f>MCond(B1100:D1102)</f>
        <v>5.3162933238372769</v>
      </c>
    </row>
    <row r="1102" spans="1:6">
      <c r="A1102" s="171"/>
      <c r="B1102" s="172">
        <v>0.60912970227287866</v>
      </c>
      <c r="C1102" s="172">
        <v>-0.28261535739067112</v>
      </c>
      <c r="D1102" s="172">
        <v>0.68802996689194662</v>
      </c>
      <c r="E1102" s="171"/>
      <c r="F1102" s="173"/>
    </row>
    <row r="1103" spans="1:6">
      <c r="A1103" s="171"/>
      <c r="B1103" s="172"/>
      <c r="C1103" s="172"/>
      <c r="D1103" s="172"/>
      <c r="E1103" s="171"/>
      <c r="F1103" s="174"/>
    </row>
    <row r="1104" spans="1:6">
      <c r="A1104" s="171"/>
      <c r="B1104" s="172">
        <v>1.0673702345396179</v>
      </c>
      <c r="C1104" s="172">
        <v>-2.4075843796929846</v>
      </c>
      <c r="D1104" s="172">
        <v>0.708799578341892</v>
      </c>
      <c r="E1104" s="171"/>
      <c r="F1104" s="173"/>
    </row>
    <row r="1105" spans="1:6">
      <c r="A1105" s="171" t="s">
        <v>487</v>
      </c>
      <c r="B1105" s="172">
        <v>1.4675604394566215</v>
      </c>
      <c r="C1105" s="172">
        <v>-1.3235781323919831</v>
      </c>
      <c r="D1105" s="172">
        <v>0.72564008456612294</v>
      </c>
      <c r="E1105" s="171"/>
      <c r="F1105" s="173">
        <f>MCond(B1104:D1106)</f>
        <v>6.5721137062563466</v>
      </c>
    </row>
    <row r="1106" spans="1:6">
      <c r="A1106" s="171"/>
      <c r="B1106" s="172">
        <v>-1.0097006711160386</v>
      </c>
      <c r="C1106" s="172">
        <v>-0.26302086313966178</v>
      </c>
      <c r="D1106" s="172">
        <v>0.76545275918666766</v>
      </c>
      <c r="E1106" s="171"/>
      <c r="F1106" s="173"/>
    </row>
    <row r="1107" spans="1:6">
      <c r="A1107" s="171"/>
      <c r="B1107" s="172"/>
      <c r="C1107" s="172"/>
      <c r="D1107" s="172"/>
      <c r="E1107" s="171"/>
      <c r="F1107" s="174"/>
    </row>
    <row r="1108" spans="1:6">
      <c r="A1108" s="171"/>
      <c r="B1108" s="172">
        <v>1.0673702345396179</v>
      </c>
      <c r="C1108" s="172">
        <v>-2.4075843796929846</v>
      </c>
      <c r="D1108" s="172">
        <v>0.708799578341892</v>
      </c>
      <c r="E1108" s="171"/>
      <c r="F1108" s="173"/>
    </row>
    <row r="1109" spans="1:6">
      <c r="A1109" s="171" t="s">
        <v>488</v>
      </c>
      <c r="B1109" s="172">
        <v>1.4675604394566215</v>
      </c>
      <c r="C1109" s="172">
        <v>-1.3235781323919831</v>
      </c>
      <c r="D1109" s="172">
        <v>0.72564008456612294</v>
      </c>
      <c r="E1109" s="171"/>
      <c r="F1109" s="173">
        <f>MCond(B1108:D1110)</f>
        <v>11.385227489967416</v>
      </c>
    </row>
    <row r="1110" spans="1:6">
      <c r="A1110" s="171"/>
      <c r="B1110" s="172">
        <v>0.60912970227287866</v>
      </c>
      <c r="C1110" s="172">
        <v>-0.28261535739067112</v>
      </c>
      <c r="D1110" s="172">
        <v>0.68802996689194662</v>
      </c>
      <c r="E1110" s="171"/>
      <c r="F1110" s="173"/>
    </row>
    <row r="1111" spans="1:6">
      <c r="A1111" s="171"/>
      <c r="B1111" s="172"/>
      <c r="C1111" s="172"/>
      <c r="D1111" s="172"/>
      <c r="E1111" s="171"/>
      <c r="F1111" s="174"/>
    </row>
    <row r="1112" spans="1:6">
      <c r="A1112" s="171"/>
      <c r="B1112" s="172">
        <v>1.0673702345396179</v>
      </c>
      <c r="C1112" s="172">
        <v>-2.4075843796929846</v>
      </c>
      <c r="D1112" s="172">
        <v>0.708799578341892</v>
      </c>
      <c r="E1112" s="171"/>
      <c r="F1112" s="173"/>
    </row>
    <row r="1113" spans="1:6">
      <c r="A1113" s="171" t="s">
        <v>489</v>
      </c>
      <c r="B1113" s="172">
        <v>-1.0097006711160386</v>
      </c>
      <c r="C1113" s="172">
        <v>-0.26302086313966178</v>
      </c>
      <c r="D1113" s="172">
        <v>0.76545275918666766</v>
      </c>
      <c r="E1113" s="171"/>
      <c r="F1113" s="173">
        <f>MCond(B1112:D1114)</f>
        <v>4.1936501463501141</v>
      </c>
    </row>
    <row r="1114" spans="1:6">
      <c r="A1114" s="171"/>
      <c r="B1114" s="172">
        <v>0.60912970227287866</v>
      </c>
      <c r="C1114" s="172">
        <v>-0.28261535739067112</v>
      </c>
      <c r="D1114" s="172">
        <v>0.68802996689194662</v>
      </c>
      <c r="E1114" s="171"/>
      <c r="F1114" s="173"/>
    </row>
    <row r="1115" spans="1:6">
      <c r="A1115" s="171"/>
      <c r="B1115" s="172"/>
      <c r="C1115" s="172"/>
      <c r="D1115" s="172"/>
      <c r="E1115" s="171"/>
      <c r="F1115" s="174"/>
    </row>
    <row r="1116" spans="1:6">
      <c r="A1116" s="171"/>
      <c r="B1116" s="172">
        <v>-1.3773893306068323</v>
      </c>
      <c r="C1116" s="172">
        <v>-1.5521003879162059</v>
      </c>
      <c r="D1116" s="172">
        <v>0.65590292152571228</v>
      </c>
      <c r="E1116" s="171"/>
      <c r="F1116" s="173"/>
    </row>
    <row r="1117" spans="1:6">
      <c r="A1117" s="171" t="s">
        <v>490</v>
      </c>
      <c r="B1117" s="172">
        <v>1.4675604394566215</v>
      </c>
      <c r="C1117" s="172">
        <v>-1.3235781323919831</v>
      </c>
      <c r="D1117" s="172">
        <v>0.72564008456612294</v>
      </c>
      <c r="E1117" s="171"/>
      <c r="F1117" s="173">
        <f>MCond(B1116:D1118)</f>
        <v>4.4300562065933597</v>
      </c>
    </row>
    <row r="1118" spans="1:6">
      <c r="A1118" s="171"/>
      <c r="B1118" s="172">
        <v>-1.0097006711160386</v>
      </c>
      <c r="C1118" s="172">
        <v>-0.26302086313966178</v>
      </c>
      <c r="D1118" s="172">
        <v>0.76545275918666766</v>
      </c>
      <c r="E1118" s="171"/>
      <c r="F1118" s="173"/>
    </row>
    <row r="1119" spans="1:6">
      <c r="A1119" s="171"/>
      <c r="B1119" s="172"/>
      <c r="C1119" s="172"/>
      <c r="D1119" s="172"/>
      <c r="E1119" s="171"/>
      <c r="F1119" s="174"/>
    </row>
    <row r="1120" spans="1:6">
      <c r="A1120" s="171"/>
      <c r="B1120" s="172">
        <v>-1.3773893306068323</v>
      </c>
      <c r="C1120" s="172">
        <v>-1.5521003879162059</v>
      </c>
      <c r="D1120" s="172">
        <v>0.65590292152571228</v>
      </c>
      <c r="E1120" s="171"/>
      <c r="F1120" s="173"/>
    </row>
    <row r="1121" spans="1:8">
      <c r="A1121" s="171" t="s">
        <v>491</v>
      </c>
      <c r="B1121" s="172">
        <v>1.4675604394566215</v>
      </c>
      <c r="C1121" s="172">
        <v>-1.3235781323919831</v>
      </c>
      <c r="D1121" s="172">
        <v>0.72564008456612294</v>
      </c>
      <c r="E1121" s="171"/>
      <c r="F1121" s="173">
        <f>MCond(B1120:D1122)</f>
        <v>5.4697357909735507</v>
      </c>
    </row>
    <row r="1122" spans="1:8">
      <c r="A1122" s="171"/>
      <c r="B1122" s="172">
        <v>0.60912970227287866</v>
      </c>
      <c r="C1122" s="172">
        <v>-0.28261535739067112</v>
      </c>
      <c r="D1122" s="172">
        <v>0.68802996689194662</v>
      </c>
      <c r="E1122" s="171"/>
      <c r="F1122" s="173"/>
    </row>
    <row r="1123" spans="1:8">
      <c r="A1123" s="171"/>
      <c r="B1123" s="172"/>
      <c r="C1123" s="172"/>
      <c r="D1123" s="172"/>
      <c r="E1123" s="171"/>
      <c r="F1123" s="174"/>
    </row>
    <row r="1124" spans="1:8">
      <c r="A1124" s="171"/>
      <c r="B1124" s="172">
        <v>-1.3773893306068323</v>
      </c>
      <c r="C1124" s="172">
        <v>-1.5521003879162059</v>
      </c>
      <c r="D1124" s="172">
        <v>0.65590292152571228</v>
      </c>
      <c r="E1124" s="171"/>
      <c r="F1124" s="173"/>
    </row>
    <row r="1125" spans="1:8">
      <c r="A1125" s="171" t="s">
        <v>492</v>
      </c>
      <c r="B1125" s="172">
        <v>-1.0097006711160386</v>
      </c>
      <c r="C1125" s="172">
        <v>-0.26302086313966178</v>
      </c>
      <c r="D1125" s="172">
        <v>0.76545275918666766</v>
      </c>
      <c r="E1125" s="171"/>
      <c r="F1125" s="173">
        <f>MCond(B1124:D1126)</f>
        <v>3.6876331792039538</v>
      </c>
    </row>
    <row r="1126" spans="1:8">
      <c r="A1126" s="171"/>
      <c r="B1126" s="172">
        <v>0.60912970227287866</v>
      </c>
      <c r="C1126" s="172">
        <v>-0.28261535739067112</v>
      </c>
      <c r="D1126" s="172">
        <v>0.68802996689194662</v>
      </c>
      <c r="E1126" s="171"/>
      <c r="F1126" s="173"/>
    </row>
    <row r="1127" spans="1:8">
      <c r="A1127" s="171"/>
      <c r="B1127" s="172"/>
      <c r="C1127" s="172"/>
      <c r="D1127" s="172"/>
      <c r="E1127" s="171"/>
      <c r="F1127" s="174"/>
    </row>
    <row r="1128" spans="1:8">
      <c r="A1128" s="171"/>
      <c r="B1128" s="172">
        <v>1.4675604394566215</v>
      </c>
      <c r="C1128" s="172">
        <v>-1.3235781323919831</v>
      </c>
      <c r="D1128" s="172">
        <v>0.72564008456612294</v>
      </c>
      <c r="E1128" s="171"/>
      <c r="F1128" s="173"/>
      <c r="G1128" s="35"/>
      <c r="H1128" s="35"/>
    </row>
    <row r="1129" spans="1:8">
      <c r="A1129" s="171" t="s">
        <v>493</v>
      </c>
      <c r="B1129" s="172">
        <v>-1.0097006711160386</v>
      </c>
      <c r="C1129" s="172">
        <v>-0.26302086313966178</v>
      </c>
      <c r="D1129" s="172">
        <v>0.76545275918666766</v>
      </c>
      <c r="E1129" s="171"/>
      <c r="F1129" s="173">
        <f>MCond(B1128:D1130)</f>
        <v>5.7586173410951851</v>
      </c>
      <c r="G1129" s="35"/>
      <c r="H1129" s="35"/>
    </row>
    <row r="1130" spans="1:8">
      <c r="A1130" s="171"/>
      <c r="B1130" s="172">
        <v>0.60912970227287866</v>
      </c>
      <c r="C1130" s="172">
        <v>-0.28261535739067112</v>
      </c>
      <c r="D1130" s="172">
        <v>0.68802996689194662</v>
      </c>
      <c r="E1130" s="171"/>
      <c r="F1130" s="173"/>
      <c r="G1130" s="35"/>
      <c r="H1130" s="35"/>
    </row>
    <row r="1131" spans="1:8">
      <c r="A1131" s="171"/>
      <c r="B1131" s="171"/>
      <c r="C1131" s="171"/>
      <c r="D1131" s="171"/>
      <c r="E1131" s="171"/>
      <c r="F1131" s="175"/>
    </row>
  </sheetData>
  <autoFilter ref="J294:K573">
    <sortState ref="J295:K573">
      <sortCondition descending="1" ref="K294:K573"/>
    </sortState>
  </autoFilter>
  <conditionalFormatting sqref="G144:H146">
    <cfRule type="cellIs" dxfId="1" priority="2" operator="equal">
      <formula>"0$B$148:$D$150"</formula>
    </cfRule>
  </conditionalFormatting>
  <conditionalFormatting sqref="G140:H142">
    <cfRule type="cellIs" dxfId="0" priority="1" operator="equal">
      <formula>"0$B$148:$D$150"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K1" sqref="K1:N1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80">
        <v>1.4990492230334603E-2</v>
      </c>
      <c r="M1" s="119" t="s">
        <v>76</v>
      </c>
      <c r="N1" s="180">
        <v>4.7716218756768064E-3</v>
      </c>
    </row>
    <row r="2" spans="1:28" s="160" customFormat="1" ht="18.75">
      <c r="A2" s="160" t="s">
        <v>498</v>
      </c>
      <c r="L2" s="160" t="s">
        <v>499</v>
      </c>
      <c r="R2" s="179" t="s">
        <v>497</v>
      </c>
      <c r="S2" s="160" t="s">
        <v>496</v>
      </c>
      <c r="U2" s="160" t="s">
        <v>495</v>
      </c>
    </row>
    <row r="3" spans="1:28">
      <c r="A3" s="171"/>
      <c r="B3" s="172">
        <v>-1.253875629566908</v>
      </c>
      <c r="C3" s="172">
        <v>-3.2592166127769939E-2</v>
      </c>
      <c r="D3" s="172">
        <v>0.73934661383723232</v>
      </c>
      <c r="E3" s="171">
        <f>-$L$1</f>
        <v>-1.4990492230334603E-2</v>
      </c>
      <c r="F3" s="172">
        <v>0</v>
      </c>
      <c r="G3" s="172">
        <v>0</v>
      </c>
      <c r="H3" s="178">
        <f>-$N$1</f>
        <v>-4.7716218756768064E-3</v>
      </c>
      <c r="I3" s="171">
        <v>0</v>
      </c>
      <c r="J3" s="171">
        <v>0</v>
      </c>
      <c r="L3">
        <f t="array" ref="L3:N5">SVDD(B3:J5)</f>
        <v>2.3119576831558182</v>
      </c>
      <c r="M3">
        <v>0</v>
      </c>
      <c r="N3">
        <v>0</v>
      </c>
      <c r="P3">
        <f>MAX(L3,M4,N5)/MIN(L3,M4,N5)</f>
        <v>4.1354433936190542</v>
      </c>
      <c r="R3" s="35">
        <f ca="1">OFFSET($P$3,4*(ROW(A1)-1),0,1,1)</f>
        <v>4.1354433936190542</v>
      </c>
      <c r="S3">
        <f ca="1">MAX(R3:R282)</f>
        <v>257.13512217323864</v>
      </c>
      <c r="U3" s="35">
        <f ca="1">OFFSET($R3,(COLUMN(A1)-1)*35,0,1,1)/$S$3</f>
        <v>1.6082763640639097E-2</v>
      </c>
      <c r="V3" s="35">
        <f t="shared" ref="V3:AB3" ca="1" si="0">OFFSET($R3,(COLUMN(B1)-1)*35,0,1,1)/$S$3</f>
        <v>1.5734054789135064E-2</v>
      </c>
      <c r="W3" s="35">
        <f t="shared" ca="1" si="0"/>
        <v>2.5442430667659863E-2</v>
      </c>
      <c r="X3" s="35">
        <f t="shared" ca="1" si="0"/>
        <v>2.0304095202856424E-2</v>
      </c>
      <c r="Y3" s="35">
        <f t="shared" ca="1" si="0"/>
        <v>2.3031181103622584E-2</v>
      </c>
      <c r="Z3" s="35">
        <f t="shared" ca="1" si="0"/>
        <v>2.6226621431374716E-2</v>
      </c>
      <c r="AA3" s="35">
        <f t="shared" ca="1" si="0"/>
        <v>2.4477191188267206E-2</v>
      </c>
      <c r="AB3" s="35">
        <f t="shared" ca="1" si="0"/>
        <v>2.723831375633512E-2</v>
      </c>
    </row>
    <row r="4" spans="1:28">
      <c r="A4" s="171" t="s">
        <v>214</v>
      </c>
      <c r="B4" s="172">
        <v>1.0419123890112216</v>
      </c>
      <c r="C4" s="172">
        <v>-4.0818532431212473E-2</v>
      </c>
      <c r="D4" s="172">
        <v>0.77248383184656022</v>
      </c>
      <c r="E4" s="171">
        <v>0</v>
      </c>
      <c r="F4" s="171">
        <f>-$L$1</f>
        <v>-1.4990492230334603E-2</v>
      </c>
      <c r="G4" s="172">
        <v>0</v>
      </c>
      <c r="H4" s="172">
        <v>0</v>
      </c>
      <c r="I4" s="178">
        <f>-$N$1</f>
        <v>-4.7716218756768064E-3</v>
      </c>
      <c r="J4" s="171">
        <v>0</v>
      </c>
      <c r="L4">
        <v>0</v>
      </c>
      <c r="M4">
        <v>1.1385917841822004</v>
      </c>
      <c r="N4">
        <v>0</v>
      </c>
      <c r="R4" s="35">
        <f ca="1">OFFSET($P$3,4*(ROW(A2)-1),0,1,1)</f>
        <v>3.695188393935255</v>
      </c>
      <c r="S4">
        <f ca="1">MIN(R4:R283)</f>
        <v>2.2220594231277939</v>
      </c>
      <c r="U4" s="35">
        <f t="shared" ref="U4:U37" ca="1" si="1">OFFSET($R4,(COLUMN(A2)-1)*35,0,1,1)/$S$3</f>
        <v>1.4370609361741372E-2</v>
      </c>
      <c r="V4" s="35">
        <f t="shared" ref="V4:V37" ca="1" si="2">OFFSET($R4,(COLUMN(B2)-1)*35,0,1,1)/$S$3</f>
        <v>2.5488234917730609E-2</v>
      </c>
      <c r="W4" s="35">
        <f t="shared" ref="W4:W37" ca="1" si="3">OFFSET($R4,(COLUMN(C2)-1)*35,0,1,1)/$S$3</f>
        <v>1.4785922716611173E-2</v>
      </c>
      <c r="X4" s="35">
        <f t="shared" ref="X4:X37" ca="1" si="4">OFFSET($R4,(COLUMN(D2)-1)*35,0,1,1)/$S$3</f>
        <v>2.6798220725306698E-2</v>
      </c>
      <c r="Y4" s="35">
        <f t="shared" ref="Y4:Y37" ca="1" si="5">OFFSET($R4,(COLUMN(E2)-1)*35,0,1,1)/$S$3</f>
        <v>4.0814723092749777E-2</v>
      </c>
      <c r="Z4" s="35">
        <f t="shared" ref="Z4:Z37" ca="1" si="6">OFFSET($R4,(COLUMN(F2)-1)*35,0,1,1)/$S$3</f>
        <v>9.6599999628417352E-2</v>
      </c>
      <c r="AA4" s="35">
        <f t="shared" ref="AA4:AA37" ca="1" si="7">OFFSET($R4,(COLUMN(G2)-1)*35,0,1,1)/$S$3</f>
        <v>5.8071635195943175E-2</v>
      </c>
      <c r="AB4" s="35">
        <f t="shared" ref="AB4:AB37" ca="1" si="8">OFFSET($R4,(COLUMN(H2)-1)*35,0,1,1)/$S$3</f>
        <v>0.21751439858653523</v>
      </c>
    </row>
    <row r="5" spans="1:28">
      <c r="A5" s="171"/>
      <c r="B5" s="172">
        <v>-1.4028471761352286</v>
      </c>
      <c r="C5" s="172">
        <v>0.814665459345566</v>
      </c>
      <c r="D5" s="172">
        <v>0.7195871750303805</v>
      </c>
      <c r="E5" s="171">
        <v>0</v>
      </c>
      <c r="F5" s="172">
        <v>0</v>
      </c>
      <c r="G5" s="171">
        <f>-$L$1</f>
        <v>-1.4990492230334603E-2</v>
      </c>
      <c r="H5" s="172">
        <v>0</v>
      </c>
      <c r="I5" s="172">
        <v>0</v>
      </c>
      <c r="J5" s="178">
        <f>-$N$1</f>
        <v>-4.7716218756768064E-3</v>
      </c>
      <c r="L5">
        <v>0</v>
      </c>
      <c r="M5">
        <v>0</v>
      </c>
      <c r="N5">
        <v>0.55905920190399527</v>
      </c>
      <c r="R5" s="35">
        <f t="shared" ref="R5:R68" ca="1" si="9">OFFSET($P$3,4*(ROW(A3)-1),0,1,1)</f>
        <v>2.6535880650197381</v>
      </c>
      <c r="U5" s="35">
        <f t="shared" ca="1" si="1"/>
        <v>1.0319819566429928E-2</v>
      </c>
      <c r="V5" s="35">
        <f t="shared" ca="1" si="2"/>
        <v>1.5675943967512575E-2</v>
      </c>
      <c r="W5" s="35">
        <f t="shared" ca="1" si="3"/>
        <v>2.0779932803000421E-2</v>
      </c>
      <c r="X5" s="35">
        <f t="shared" ca="1" si="4"/>
        <v>3.8526090955380843E-2</v>
      </c>
      <c r="Y5" s="35">
        <f t="shared" ca="1" si="5"/>
        <v>2.731555843549844E-2</v>
      </c>
      <c r="Z5" s="35">
        <f t="shared" ca="1" si="6"/>
        <v>2.6288798857621521E-2</v>
      </c>
      <c r="AA5" s="35">
        <f t="shared" ca="1" si="7"/>
        <v>2.5002057105313752E-2</v>
      </c>
      <c r="AB5" s="35">
        <f t="shared" ca="1" si="8"/>
        <v>2.1075716904740732E-2</v>
      </c>
    </row>
    <row r="6" spans="1:28">
      <c r="A6" s="171"/>
      <c r="B6" s="172"/>
      <c r="C6" s="172"/>
      <c r="D6" s="172"/>
      <c r="E6" s="171"/>
      <c r="F6" s="171"/>
      <c r="G6" s="171"/>
      <c r="H6" s="171"/>
      <c r="I6" s="171"/>
      <c r="J6" s="171"/>
      <c r="R6" s="35">
        <f t="shared" ca="1" si="9"/>
        <v>2.3780972819345165</v>
      </c>
      <c r="U6" s="35">
        <f t="shared" ca="1" si="1"/>
        <v>9.2484342933608667E-3</v>
      </c>
      <c r="V6" s="35">
        <f t="shared" ca="1" si="2"/>
        <v>2.0673202961869069E-2</v>
      </c>
      <c r="W6" s="35">
        <f t="shared" ca="1" si="3"/>
        <v>1.5173709491036995E-2</v>
      </c>
      <c r="X6" s="35">
        <f t="shared" ca="1" si="4"/>
        <v>2.9366114589279679E-2</v>
      </c>
      <c r="Y6" s="35">
        <f t="shared" ca="1" si="5"/>
        <v>2.1883287873207341E-2</v>
      </c>
      <c r="Z6" s="35">
        <f t="shared" ca="1" si="6"/>
        <v>2.9722824655476758E-2</v>
      </c>
      <c r="AA6" s="35">
        <f t="shared" ca="1" si="7"/>
        <v>3.4386886478521818E-2</v>
      </c>
      <c r="AB6" s="35">
        <f t="shared" ca="1" si="8"/>
        <v>0.14012763893784203</v>
      </c>
    </row>
    <row r="7" spans="1:28">
      <c r="A7" s="171"/>
      <c r="B7" s="172">
        <v>-1.253875629566908</v>
      </c>
      <c r="C7" s="172">
        <v>-3.2592166127769939E-2</v>
      </c>
      <c r="D7" s="172">
        <v>0.73934661383723232</v>
      </c>
      <c r="E7" s="171">
        <f>-$L$1</f>
        <v>-1.4990492230334603E-2</v>
      </c>
      <c r="F7" s="172">
        <v>0</v>
      </c>
      <c r="G7" s="172">
        <v>0</v>
      </c>
      <c r="H7" s="178">
        <f>-$N$1</f>
        <v>-4.7716218756768064E-3</v>
      </c>
      <c r="I7" s="171">
        <v>0</v>
      </c>
      <c r="J7" s="171">
        <v>0</v>
      </c>
      <c r="L7">
        <f t="array" ref="L7:N9">SVDD(B7:J9)</f>
        <v>2.3789921710623565</v>
      </c>
      <c r="M7">
        <v>0</v>
      </c>
      <c r="N7">
        <v>0</v>
      </c>
      <c r="P7">
        <f t="shared" ref="P7" si="10">MAX(L7,M8,N9)/MIN(L7,M8,N9)</f>
        <v>3.695188393935255</v>
      </c>
      <c r="R7" s="35">
        <f t="shared" ca="1" si="9"/>
        <v>2.2220594231277939</v>
      </c>
      <c r="U7" s="35">
        <f t="shared" ca="1" si="1"/>
        <v>8.6416021442249132E-3</v>
      </c>
      <c r="V7" s="35">
        <f t="shared" ca="1" si="2"/>
        <v>2.0118313066539412E-2</v>
      </c>
      <c r="W7" s="35">
        <f t="shared" ca="1" si="3"/>
        <v>1.8767384450018385E-2</v>
      </c>
      <c r="X7" s="35">
        <f t="shared" ca="1" si="4"/>
        <v>9.9958138240355765E-2</v>
      </c>
      <c r="Y7" s="35">
        <f t="shared" ca="1" si="5"/>
        <v>1.9054592208955348E-2</v>
      </c>
      <c r="Z7" s="35">
        <f t="shared" ca="1" si="6"/>
        <v>0.11812655302001442</v>
      </c>
      <c r="AA7" s="35">
        <f t="shared" ca="1" si="7"/>
        <v>1.5256895590109856E-2</v>
      </c>
      <c r="AB7" s="35">
        <f t="shared" ca="1" si="8"/>
        <v>1.6657722803641667E-2</v>
      </c>
    </row>
    <row r="8" spans="1:28">
      <c r="A8" s="171" t="s">
        <v>215</v>
      </c>
      <c r="B8" s="172">
        <v>1.0419123890112216</v>
      </c>
      <c r="C8" s="172">
        <v>-4.0818532431212473E-2</v>
      </c>
      <c r="D8" s="172">
        <v>0.77248383184656022</v>
      </c>
      <c r="E8" s="171">
        <v>0</v>
      </c>
      <c r="F8" s="171">
        <f>-$L$1</f>
        <v>-1.4990492230334603E-2</v>
      </c>
      <c r="G8" s="172">
        <v>0</v>
      </c>
      <c r="H8" s="172">
        <v>0</v>
      </c>
      <c r="I8" s="178">
        <f>-$N$1</f>
        <v>-4.7716218756768064E-3</v>
      </c>
      <c r="J8" s="171">
        <v>0</v>
      </c>
      <c r="L8">
        <v>0</v>
      </c>
      <c r="M8">
        <v>1.2334755230211099</v>
      </c>
      <c r="N8">
        <v>0</v>
      </c>
      <c r="R8" s="35">
        <f t="shared" ca="1" si="9"/>
        <v>5.3771388673477363</v>
      </c>
      <c r="U8" s="35">
        <f t="shared" ca="1" si="1"/>
        <v>2.0911724629064939E-2</v>
      </c>
      <c r="V8" s="35">
        <f t="shared" ca="1" si="2"/>
        <v>2.0684862510711659E-2</v>
      </c>
      <c r="W8" s="35">
        <f t="shared" ca="1" si="3"/>
        <v>1.6424052993345897E-2</v>
      </c>
      <c r="X8" s="35">
        <f t="shared" ca="1" si="4"/>
        <v>3.2079713106714307E-2</v>
      </c>
      <c r="Y8" s="35">
        <f t="shared" ca="1" si="5"/>
        <v>2.5637113557281266E-2</v>
      </c>
      <c r="Z8" s="35">
        <f t="shared" ca="1" si="6"/>
        <v>2.8753543380107643E-2</v>
      </c>
      <c r="AA8" s="35">
        <f t="shared" ca="1" si="7"/>
        <v>2.3472761568838287E-2</v>
      </c>
      <c r="AB8" s="35">
        <f t="shared" ca="1" si="8"/>
        <v>2.272648640400101E-2</v>
      </c>
    </row>
    <row r="9" spans="1:28">
      <c r="A9" s="171"/>
      <c r="B9" s="172">
        <v>1.4421025939282253</v>
      </c>
      <c r="C9" s="172">
        <v>1.0431877148697888</v>
      </c>
      <c r="D9" s="172">
        <v>0.78932433807079116</v>
      </c>
      <c r="E9" s="171">
        <v>0</v>
      </c>
      <c r="F9" s="172">
        <v>0</v>
      </c>
      <c r="G9" s="171">
        <f>-$L$1</f>
        <v>-1.4990492230334603E-2</v>
      </c>
      <c r="H9" s="172">
        <v>0</v>
      </c>
      <c r="I9" s="172">
        <v>0</v>
      </c>
      <c r="J9" s="178">
        <f>-$N$1</f>
        <v>-4.7716218756768064E-3</v>
      </c>
      <c r="L9">
        <v>0</v>
      </c>
      <c r="M9">
        <v>0</v>
      </c>
      <c r="N9">
        <v>0.64380808701577663</v>
      </c>
      <c r="R9" s="35">
        <f t="shared" ca="1" si="9"/>
        <v>24.102001417683255</v>
      </c>
      <c r="U9" s="35">
        <f t="shared" ca="1" si="1"/>
        <v>9.3732825037589021E-2</v>
      </c>
      <c r="V9" s="35">
        <f t="shared" ca="1" si="2"/>
        <v>5.7744976771611112E-2</v>
      </c>
      <c r="W9" s="35">
        <f t="shared" ca="1" si="3"/>
        <v>2.841348061024862E-2</v>
      </c>
      <c r="X9" s="35">
        <f t="shared" ca="1" si="4"/>
        <v>1.9997324500657273E-2</v>
      </c>
      <c r="Y9" s="35">
        <f t="shared" ca="1" si="5"/>
        <v>2.6097432167962488E-2</v>
      </c>
      <c r="Z9" s="35">
        <f t="shared" ca="1" si="6"/>
        <v>4.4423225177216065E-2</v>
      </c>
      <c r="AA9" s="35">
        <f t="shared" ca="1" si="7"/>
        <v>4.9971274438864996E-2</v>
      </c>
      <c r="AB9" s="35">
        <f t="shared" ca="1" si="8"/>
        <v>0.10541207582822597</v>
      </c>
    </row>
    <row r="10" spans="1:28">
      <c r="A10" s="171"/>
      <c r="B10" s="172"/>
      <c r="C10" s="172"/>
      <c r="D10" s="172"/>
      <c r="E10" s="171"/>
      <c r="F10" s="171"/>
      <c r="G10" s="171"/>
      <c r="H10" s="171"/>
      <c r="I10" s="171"/>
      <c r="J10" s="171"/>
      <c r="R10" s="35">
        <f t="shared" ca="1" si="9"/>
        <v>8.7943477489155359</v>
      </c>
      <c r="U10" s="35">
        <f t="shared" ca="1" si="1"/>
        <v>3.4201270034945108E-2</v>
      </c>
      <c r="V10" s="35">
        <f t="shared" ca="1" si="2"/>
        <v>3.0651903513319697E-2</v>
      </c>
      <c r="W10" s="35">
        <f t="shared" ca="1" si="3"/>
        <v>1.8134856704669834E-2</v>
      </c>
      <c r="X10" s="35">
        <f t="shared" ca="1" si="4"/>
        <v>2.2595830339393243E-2</v>
      </c>
      <c r="Y10" s="35">
        <f t="shared" ca="1" si="5"/>
        <v>2.7344764153374286E-2</v>
      </c>
      <c r="Z10" s="35">
        <f t="shared" ca="1" si="6"/>
        <v>2.9960544223610639E-2</v>
      </c>
      <c r="AA10" s="35">
        <f t="shared" ca="1" si="7"/>
        <v>2.2503196262669514E-2</v>
      </c>
      <c r="AB10" s="35">
        <f t="shared" ca="1" si="8"/>
        <v>1.6972350483539195E-2</v>
      </c>
    </row>
    <row r="11" spans="1:28">
      <c r="A11" s="171"/>
      <c r="B11" s="172">
        <v>-1.253875629566908</v>
      </c>
      <c r="C11" s="172">
        <v>-3.2592166127769939E-2</v>
      </c>
      <c r="D11" s="172">
        <v>0.73934661383723232</v>
      </c>
      <c r="E11" s="171">
        <f>-$L$1</f>
        <v>-1.4990492230334603E-2</v>
      </c>
      <c r="F11" s="172">
        <v>0</v>
      </c>
      <c r="G11" s="172">
        <v>0</v>
      </c>
      <c r="H11" s="178">
        <f>-$N$1</f>
        <v>-4.7716218756768064E-3</v>
      </c>
      <c r="I11" s="171">
        <v>0</v>
      </c>
      <c r="J11" s="171">
        <v>0</v>
      </c>
      <c r="L11">
        <f t="array" ref="L11:N13">SVDD(B11:J13)</f>
        <v>2.6463724841580936</v>
      </c>
      <c r="M11">
        <v>0</v>
      </c>
      <c r="N11">
        <v>0</v>
      </c>
      <c r="P11">
        <f t="shared" ref="P11" si="11">MAX(L11,M12,N13)/MIN(L11,M12,N13)</f>
        <v>2.6535880650197381</v>
      </c>
      <c r="R11" s="35">
        <f t="shared" ca="1" si="9"/>
        <v>36.233071045058026</v>
      </c>
      <c r="U11" s="35">
        <f t="shared" ca="1" si="1"/>
        <v>0.14091062605071453</v>
      </c>
      <c r="V11" s="35">
        <f t="shared" ca="1" si="2"/>
        <v>0.12099463845073792</v>
      </c>
      <c r="W11" s="35">
        <f t="shared" ca="1" si="3"/>
        <v>1.8667519401942806E-2</v>
      </c>
      <c r="X11" s="35">
        <f t="shared" ca="1" si="4"/>
        <v>1.8327705966424628E-2</v>
      </c>
      <c r="Y11" s="35">
        <f t="shared" ca="1" si="5"/>
        <v>5.4550475414722847E-2</v>
      </c>
      <c r="Z11" s="35">
        <f t="shared" ca="1" si="6"/>
        <v>1.8034102396564753E-2</v>
      </c>
      <c r="AA11" s="35">
        <f t="shared" ca="1" si="7"/>
        <v>7.6709951834771459E-2</v>
      </c>
      <c r="AB11" s="35">
        <f t="shared" ca="1" si="8"/>
        <v>9.4681332780519031E-2</v>
      </c>
    </row>
    <row r="12" spans="1:28">
      <c r="A12" s="171" t="s">
        <v>216</v>
      </c>
      <c r="B12" s="172">
        <v>1.0419123890112216</v>
      </c>
      <c r="C12" s="172">
        <v>-4.0818532431212473E-2</v>
      </c>
      <c r="D12" s="172">
        <v>0.77248383184656022</v>
      </c>
      <c r="E12" s="171">
        <v>0</v>
      </c>
      <c r="F12" s="171">
        <f>-$L$1</f>
        <v>-1.4990492230334603E-2</v>
      </c>
      <c r="G12" s="172">
        <v>0</v>
      </c>
      <c r="H12" s="172">
        <v>0</v>
      </c>
      <c r="I12" s="178">
        <f>-$N$1</f>
        <v>-4.7716218756768064E-3</v>
      </c>
      <c r="J12" s="171">
        <v>0</v>
      </c>
      <c r="L12">
        <v>0</v>
      </c>
      <c r="M12">
        <v>1.411215432152868</v>
      </c>
      <c r="N12">
        <v>0</v>
      </c>
      <c r="R12" s="35">
        <f t="shared" ca="1" si="9"/>
        <v>3.6561116410493621</v>
      </c>
      <c r="U12" s="35">
        <f t="shared" ca="1" si="1"/>
        <v>1.4218639640313875E-2</v>
      </c>
      <c r="V12" s="35">
        <f t="shared" ca="1" si="2"/>
        <v>2.0104260725301228E-2</v>
      </c>
      <c r="W12" s="35">
        <f t="shared" ca="1" si="3"/>
        <v>2.1263269906962253E-2</v>
      </c>
      <c r="X12" s="35">
        <f t="shared" ca="1" si="4"/>
        <v>2.6542505272991939E-2</v>
      </c>
      <c r="Y12" s="35">
        <f t="shared" ca="1" si="5"/>
        <v>4.2620340918269821E-2</v>
      </c>
      <c r="Z12" s="35">
        <f t="shared" ca="1" si="6"/>
        <v>3.3771194648027685E-2</v>
      </c>
      <c r="AA12" s="35">
        <f t="shared" ca="1" si="7"/>
        <v>2.6306808612740939E-2</v>
      </c>
      <c r="AB12" s="35">
        <f t="shared" ca="1" si="8"/>
        <v>1.6155850756220176E-2</v>
      </c>
    </row>
    <row r="13" spans="1:28">
      <c r="A13" s="171"/>
      <c r="B13" s="172">
        <v>-1.0351585166444348</v>
      </c>
      <c r="C13" s="172">
        <v>2.1037449841221099</v>
      </c>
      <c r="D13" s="172">
        <v>0.82913701269133588</v>
      </c>
      <c r="E13" s="171">
        <v>0</v>
      </c>
      <c r="F13" s="172">
        <v>0</v>
      </c>
      <c r="G13" s="171">
        <f>-$L$1</f>
        <v>-1.4990492230334603E-2</v>
      </c>
      <c r="H13" s="172">
        <v>0</v>
      </c>
      <c r="I13" s="172">
        <v>0</v>
      </c>
      <c r="J13" s="178">
        <f>-$N$1</f>
        <v>-4.7716218756768064E-3</v>
      </c>
      <c r="L13">
        <v>0</v>
      </c>
      <c r="M13">
        <v>0</v>
      </c>
      <c r="N13">
        <v>0.99728082102992466</v>
      </c>
      <c r="R13" s="35">
        <f t="shared" ca="1" si="9"/>
        <v>4.4961895496851163</v>
      </c>
      <c r="U13" s="35">
        <f t="shared" ca="1" si="1"/>
        <v>1.7485707559840528E-2</v>
      </c>
      <c r="V13" s="35">
        <f t="shared" ca="1" si="2"/>
        <v>2.7864267893736097E-2</v>
      </c>
      <c r="W13" s="35">
        <f t="shared" ca="1" si="3"/>
        <v>3.1396503205807821E-2</v>
      </c>
      <c r="X13" s="35">
        <f t="shared" ca="1" si="4"/>
        <v>3.4974093702678948E-2</v>
      </c>
      <c r="Y13" s="35">
        <f t="shared" ca="1" si="5"/>
        <v>2.7087850904867827E-2</v>
      </c>
      <c r="Z13" s="35">
        <f t="shared" ca="1" si="6"/>
        <v>4.2073825060262193E-2</v>
      </c>
      <c r="AA13" s="35">
        <f t="shared" ca="1" si="7"/>
        <v>5.8192182664336664E-2</v>
      </c>
      <c r="AB13" s="35">
        <f t="shared" ca="1" si="8"/>
        <v>6.7314406707896235E-2</v>
      </c>
    </row>
    <row r="14" spans="1:28">
      <c r="A14" s="171"/>
      <c r="B14" s="172"/>
      <c r="C14" s="172"/>
      <c r="D14" s="172"/>
      <c r="E14" s="171"/>
      <c r="F14" s="171"/>
      <c r="G14" s="171"/>
      <c r="H14" s="171"/>
      <c r="I14" s="171"/>
      <c r="J14" s="171"/>
      <c r="R14" s="35">
        <f t="shared" ca="1" si="9"/>
        <v>2.7089134150747789</v>
      </c>
      <c r="U14" s="35">
        <f t="shared" ca="1" si="1"/>
        <v>1.0534980177658162E-2</v>
      </c>
      <c r="V14" s="35">
        <f t="shared" ca="1" si="2"/>
        <v>1.9521103360709117E-2</v>
      </c>
      <c r="W14" s="35">
        <f t="shared" ca="1" si="3"/>
        <v>5.8258289259792241E-2</v>
      </c>
      <c r="X14" s="35">
        <f t="shared" ca="1" si="4"/>
        <v>1.6689222381454382E-2</v>
      </c>
      <c r="Y14" s="35">
        <f t="shared" ca="1" si="5"/>
        <v>1.7291834118610884E-2</v>
      </c>
      <c r="Z14" s="35">
        <f t="shared" ca="1" si="6"/>
        <v>4.8914724940924643E-2</v>
      </c>
      <c r="AA14" s="35">
        <f t="shared" ca="1" si="7"/>
        <v>1.4529671327453503E-2</v>
      </c>
      <c r="AB14" s="35">
        <f t="shared" ca="1" si="8"/>
        <v>1.3684591368770465E-2</v>
      </c>
    </row>
    <row r="15" spans="1:28">
      <c r="A15" s="171"/>
      <c r="B15" s="172">
        <v>-1.253875629566908</v>
      </c>
      <c r="C15" s="172">
        <v>-3.2592166127769939E-2</v>
      </c>
      <c r="D15" s="172">
        <v>0.73934661383723232</v>
      </c>
      <c r="E15" s="171">
        <f>-$L$1</f>
        <v>-1.4990492230334603E-2</v>
      </c>
      <c r="F15" s="172">
        <v>0</v>
      </c>
      <c r="G15" s="172">
        <v>0</v>
      </c>
      <c r="H15" s="178">
        <f>-$N$1</f>
        <v>-4.7716218756768064E-3</v>
      </c>
      <c r="I15" s="171">
        <v>0</v>
      </c>
      <c r="J15" s="171">
        <v>0</v>
      </c>
      <c r="L15">
        <f t="array" ref="L15:N17">SVDD(B15:J17)</f>
        <v>2.3705370496248284</v>
      </c>
      <c r="M15">
        <v>0</v>
      </c>
      <c r="N15">
        <v>0</v>
      </c>
      <c r="P15">
        <f t="shared" ref="P15" si="12">MAX(L15,M16,N17)/MIN(L15,M16,N17)</f>
        <v>2.3780972819345165</v>
      </c>
      <c r="R15" s="35">
        <f t="shared" ca="1" si="9"/>
        <v>7.6360567302864579</v>
      </c>
      <c r="U15" s="35">
        <f t="shared" ca="1" si="1"/>
        <v>2.9696669462143128E-2</v>
      </c>
      <c r="V15" s="35">
        <f t="shared" ca="1" si="2"/>
        <v>3.1161393790382273E-2</v>
      </c>
      <c r="W15" s="35">
        <f t="shared" ca="1" si="3"/>
        <v>2.48438520313836E-2</v>
      </c>
      <c r="X15" s="35">
        <f t="shared" ca="1" si="4"/>
        <v>4.1972945432483574E-2</v>
      </c>
      <c r="Y15" s="35">
        <f t="shared" ca="1" si="5"/>
        <v>4.2371664592074455E-2</v>
      </c>
      <c r="Z15" s="35">
        <f t="shared" ca="1" si="6"/>
        <v>5.4436543788071078E-2</v>
      </c>
      <c r="AA15" s="35">
        <f t="shared" ca="1" si="7"/>
        <v>2.8108971361777806E-2</v>
      </c>
      <c r="AB15" s="35">
        <f t="shared" ca="1" si="8"/>
        <v>1.1374118157747658E-2</v>
      </c>
    </row>
    <row r="16" spans="1:28">
      <c r="A16" s="171" t="s">
        <v>217</v>
      </c>
      <c r="B16" s="172">
        <v>1.0419123890112216</v>
      </c>
      <c r="C16" s="172">
        <v>-4.0818532431212473E-2</v>
      </c>
      <c r="D16" s="172">
        <v>0.77248383184656022</v>
      </c>
      <c r="E16" s="171">
        <v>0</v>
      </c>
      <c r="F16" s="171">
        <f>-$L$1</f>
        <v>-1.4990492230334603E-2</v>
      </c>
      <c r="G16" s="172">
        <v>0</v>
      </c>
      <c r="H16" s="172">
        <v>0</v>
      </c>
      <c r="I16" s="178">
        <f>-$N$1</f>
        <v>-4.7716218756768064E-3</v>
      </c>
      <c r="J16" s="171">
        <v>0</v>
      </c>
      <c r="L16">
        <v>0</v>
      </c>
      <c r="M16">
        <v>1.5623551572318988</v>
      </c>
      <c r="N16">
        <v>0</v>
      </c>
      <c r="R16" s="35">
        <f t="shared" ca="1" si="9"/>
        <v>35.082172573625854</v>
      </c>
      <c r="U16" s="35">
        <f t="shared" ca="1" si="1"/>
        <v>0.13643477513736951</v>
      </c>
      <c r="V16" s="35">
        <f t="shared" ca="1" si="2"/>
        <v>0.13759782398309275</v>
      </c>
      <c r="W16" s="35">
        <f t="shared" ca="1" si="3"/>
        <v>1.8313728301004514E-2</v>
      </c>
      <c r="X16" s="35">
        <f t="shared" ca="1" si="4"/>
        <v>5.1010866678057522E-2</v>
      </c>
      <c r="Y16" s="35">
        <f t="shared" ca="1" si="5"/>
        <v>1.783186979090921E-2</v>
      </c>
      <c r="Z16" s="35">
        <f t="shared" ca="1" si="6"/>
        <v>1.5754204873296505E-2</v>
      </c>
      <c r="AA16" s="35">
        <f t="shared" ca="1" si="7"/>
        <v>2.4581829518738132E-2</v>
      </c>
      <c r="AB16" s="35">
        <f t="shared" ca="1" si="8"/>
        <v>3.8950040182762741E-2</v>
      </c>
    </row>
    <row r="17" spans="1:28">
      <c r="A17" s="171"/>
      <c r="B17" s="172">
        <v>0.58367185674448252</v>
      </c>
      <c r="C17" s="172">
        <v>2.0841504898711007</v>
      </c>
      <c r="D17" s="172">
        <v>0.75171422039661484</v>
      </c>
      <c r="E17" s="171">
        <v>0</v>
      </c>
      <c r="F17" s="172">
        <v>0</v>
      </c>
      <c r="G17" s="171">
        <f>-$L$1</f>
        <v>-1.4990492230334603E-2</v>
      </c>
      <c r="H17" s="172">
        <v>0</v>
      </c>
      <c r="I17" s="172">
        <v>0</v>
      </c>
      <c r="J17" s="178">
        <f>-$N$1</f>
        <v>-4.7716218756768064E-3</v>
      </c>
      <c r="L17">
        <v>0</v>
      </c>
      <c r="M17">
        <v>0</v>
      </c>
      <c r="N17">
        <v>0.99682089022719111</v>
      </c>
      <c r="R17" s="35">
        <f t="shared" ca="1" si="9"/>
        <v>4.8589141529747186</v>
      </c>
      <c r="U17" s="35">
        <f t="shared" ca="1" si="1"/>
        <v>1.8896345671911521E-2</v>
      </c>
      <c r="V17" s="35">
        <f t="shared" ca="1" si="2"/>
        <v>2.3429738404976509E-2</v>
      </c>
      <c r="W17" s="35">
        <f t="shared" ca="1" si="3"/>
        <v>0.1004704847254418</v>
      </c>
      <c r="X17" s="35">
        <f t="shared" ca="1" si="4"/>
        <v>1.990912130938555E-2</v>
      </c>
      <c r="Y17" s="35">
        <f t="shared" ca="1" si="5"/>
        <v>3.616106247116304E-2</v>
      </c>
      <c r="Z17" s="35">
        <f t="shared" ca="1" si="6"/>
        <v>1.6991424542282401E-2</v>
      </c>
      <c r="AA17" s="35">
        <f t="shared" ca="1" si="7"/>
        <v>1.2879131863396818E-2</v>
      </c>
      <c r="AB17" s="35">
        <f t="shared" ca="1" si="8"/>
        <v>1.0255736013011496E-2</v>
      </c>
    </row>
    <row r="18" spans="1:28">
      <c r="A18" s="171"/>
      <c r="B18" s="172"/>
      <c r="C18" s="172"/>
      <c r="D18" s="172"/>
      <c r="E18" s="171"/>
      <c r="F18" s="171"/>
      <c r="G18" s="171"/>
      <c r="H18" s="171"/>
      <c r="I18" s="171"/>
      <c r="J18" s="171"/>
      <c r="R18" s="35">
        <f t="shared" ca="1" si="9"/>
        <v>4.1106906545114148</v>
      </c>
      <c r="U18" s="35">
        <f t="shared" ca="1" si="1"/>
        <v>1.5986500092904209E-2</v>
      </c>
      <c r="V18" s="35">
        <f t="shared" ca="1" si="2"/>
        <v>0.62328154727359431</v>
      </c>
      <c r="W18" s="35">
        <f t="shared" ca="1" si="3"/>
        <v>0.6115501265360187</v>
      </c>
      <c r="X18" s="35">
        <f t="shared" ca="1" si="4"/>
        <v>0.67398114804047859</v>
      </c>
      <c r="Y18" s="35">
        <f t="shared" ca="1" si="5"/>
        <v>0.74822107506597058</v>
      </c>
      <c r="Z18" s="35">
        <f t="shared" ca="1" si="6"/>
        <v>0.30413651295083738</v>
      </c>
      <c r="AA18" s="35">
        <f t="shared" ca="1" si="7"/>
        <v>0.84069723337637436</v>
      </c>
      <c r="AB18" s="35">
        <f t="shared" ca="1" si="8"/>
        <v>9.7714540994677995E-2</v>
      </c>
    </row>
    <row r="19" spans="1:28">
      <c r="A19" s="171"/>
      <c r="B19" s="172">
        <v>-1.253875629566908</v>
      </c>
      <c r="C19" s="172">
        <v>-3.2592166127769939E-2</v>
      </c>
      <c r="D19" s="172">
        <v>0.73934661383723232</v>
      </c>
      <c r="E19" s="171">
        <f>-$L$1</f>
        <v>-1.4990492230334603E-2</v>
      </c>
      <c r="F19" s="172">
        <v>0</v>
      </c>
      <c r="G19" s="172">
        <v>0</v>
      </c>
      <c r="H19" s="178">
        <f>-$N$1</f>
        <v>-4.7716218756768064E-3</v>
      </c>
      <c r="I19" s="171">
        <v>0</v>
      </c>
      <c r="J19" s="171">
        <v>0</v>
      </c>
      <c r="L19">
        <f t="array" ref="L19:N21">SVDD(B19:J21)</f>
        <v>2.3681213316595731</v>
      </c>
      <c r="M19">
        <v>0</v>
      </c>
      <c r="N19">
        <v>0</v>
      </c>
      <c r="P19">
        <f t="shared" ref="P19" si="13">MAX(L19,M20,N21)/MIN(L19,M20,N21)</f>
        <v>2.2220594231277939</v>
      </c>
      <c r="R19" s="35">
        <f t="shared" ca="1" si="9"/>
        <v>4.6575730124244128</v>
      </c>
      <c r="U19" s="35">
        <f t="shared" ca="1" si="1"/>
        <v>1.8113328794059042E-2</v>
      </c>
      <c r="V19" s="35">
        <f t="shared" ca="1" si="2"/>
        <v>0.18275739353968895</v>
      </c>
      <c r="W19" s="35">
        <f t="shared" ca="1" si="3"/>
        <v>0.38941080060201788</v>
      </c>
      <c r="X19" s="35">
        <f t="shared" ca="1" si="4"/>
        <v>0.15657816938072325</v>
      </c>
      <c r="Y19" s="35">
        <f t="shared" ca="1" si="5"/>
        <v>0.50428651593181284</v>
      </c>
      <c r="Z19" s="35">
        <f t="shared" ca="1" si="6"/>
        <v>0.62768411174008365</v>
      </c>
      <c r="AA19" s="35">
        <f t="shared" ca="1" si="7"/>
        <v>0.60095590902622698</v>
      </c>
      <c r="AB19" s="35">
        <f t="shared" ca="1" si="8"/>
        <v>6.9303161742620537E-2</v>
      </c>
    </row>
    <row r="20" spans="1:28">
      <c r="A20" s="171" t="s">
        <v>218</v>
      </c>
      <c r="B20" s="172">
        <v>1.0419123890112216</v>
      </c>
      <c r="C20" s="172">
        <v>-4.0818532431212473E-2</v>
      </c>
      <c r="D20" s="172">
        <v>0.77248383184656022</v>
      </c>
      <c r="E20" s="171">
        <v>0</v>
      </c>
      <c r="F20" s="171">
        <f>-$L$1</f>
        <v>-1.4990492230334603E-2</v>
      </c>
      <c r="G20" s="172">
        <v>0</v>
      </c>
      <c r="H20" s="172">
        <v>0</v>
      </c>
      <c r="I20" s="178">
        <f>-$N$1</f>
        <v>-4.7716218756768064E-3</v>
      </c>
      <c r="J20" s="171">
        <v>0</v>
      </c>
      <c r="L20">
        <v>0</v>
      </c>
      <c r="M20">
        <v>1.633132157947651</v>
      </c>
      <c r="N20">
        <v>0</v>
      </c>
      <c r="R20" s="35">
        <f t="shared" ca="1" si="9"/>
        <v>3.0886614750230454</v>
      </c>
      <c r="U20" s="35">
        <f t="shared" ca="1" si="1"/>
        <v>1.2011822612634511E-2</v>
      </c>
      <c r="V20" s="35">
        <f t="shared" ca="1" si="2"/>
        <v>0.68456996250079583</v>
      </c>
      <c r="W20" s="35">
        <f t="shared" ca="1" si="3"/>
        <v>0.78231397095862565</v>
      </c>
      <c r="X20" s="35">
        <f t="shared" ca="1" si="4"/>
        <v>0.64741264006579569</v>
      </c>
      <c r="Y20" s="35">
        <f t="shared" ca="1" si="5"/>
        <v>0.47756626844211236</v>
      </c>
      <c r="Z20" s="35">
        <f t="shared" ca="1" si="6"/>
        <v>0.18700058264452066</v>
      </c>
      <c r="AA20" s="35">
        <f t="shared" ca="1" si="7"/>
        <v>0.17503373567767069</v>
      </c>
      <c r="AB20" s="35">
        <f t="shared" ca="1" si="8"/>
        <v>2.4701845287094657E-2</v>
      </c>
    </row>
    <row r="21" spans="1:28">
      <c r="A21" s="171"/>
      <c r="B21" s="172">
        <v>-2.5457845528396139E-2</v>
      </c>
      <c r="C21" s="172">
        <v>2.3667658472617719</v>
      </c>
      <c r="D21" s="172">
        <v>6.368425350466822E-2</v>
      </c>
      <c r="E21" s="171">
        <v>0</v>
      </c>
      <c r="F21" s="172">
        <v>0</v>
      </c>
      <c r="G21" s="171">
        <f>-$L$1</f>
        <v>-1.4990492230334603E-2</v>
      </c>
      <c r="H21" s="172">
        <v>0</v>
      </c>
      <c r="I21" s="172">
        <v>0</v>
      </c>
      <c r="J21" s="178">
        <f>-$N$1</f>
        <v>-4.7716218756768064E-3</v>
      </c>
      <c r="L21">
        <v>0</v>
      </c>
      <c r="M21">
        <v>0</v>
      </c>
      <c r="N21">
        <v>1.0657326743882398</v>
      </c>
      <c r="R21" s="35">
        <f t="shared" ca="1" si="9"/>
        <v>2.5759313040446781</v>
      </c>
      <c r="U21" s="35">
        <f t="shared" ca="1" si="1"/>
        <v>1.0017811967006227E-2</v>
      </c>
      <c r="V21" s="35">
        <f t="shared" ca="1" si="2"/>
        <v>6.0029191853459778E-2</v>
      </c>
      <c r="W21" s="35">
        <f t="shared" ca="1" si="3"/>
        <v>9.6468806594998555E-2</v>
      </c>
      <c r="X21" s="35">
        <f t="shared" ca="1" si="4"/>
        <v>5.0484242354865996E-2</v>
      </c>
      <c r="Y21" s="35">
        <f t="shared" ca="1" si="5"/>
        <v>4.4029995949964644E-2</v>
      </c>
      <c r="Z21" s="35">
        <f t="shared" ca="1" si="6"/>
        <v>2.0942642381582194E-2</v>
      </c>
      <c r="AA21" s="35">
        <f t="shared" ca="1" si="7"/>
        <v>2.0477673703662564E-2</v>
      </c>
      <c r="AB21" s="35">
        <f t="shared" ca="1" si="8"/>
        <v>2.6281250263256457E-2</v>
      </c>
    </row>
    <row r="22" spans="1:28">
      <c r="A22" s="171"/>
      <c r="B22" s="172"/>
      <c r="C22" s="172"/>
      <c r="D22" s="172"/>
      <c r="E22" s="171"/>
      <c r="F22" s="171"/>
      <c r="G22" s="171"/>
      <c r="H22" s="171"/>
      <c r="I22" s="171"/>
      <c r="J22" s="171"/>
      <c r="R22" s="35">
        <f t="shared" ca="1" si="9"/>
        <v>6.0507660010919153</v>
      </c>
      <c r="U22" s="35">
        <f t="shared" ca="1" si="1"/>
        <v>2.3531464507658181E-2</v>
      </c>
      <c r="V22" s="35">
        <f t="shared" ca="1" si="2"/>
        <v>0.55865064117095375</v>
      </c>
      <c r="W22" s="35">
        <f t="shared" ca="1" si="3"/>
        <v>0.45382082976134114</v>
      </c>
      <c r="X22" s="35">
        <f t="shared" ca="1" si="4"/>
        <v>0.15864549969002006</v>
      </c>
      <c r="Y22" s="35">
        <f t="shared" ca="1" si="5"/>
        <v>0.39294078423238848</v>
      </c>
      <c r="Z22" s="35">
        <f t="shared" ca="1" si="6"/>
        <v>0.23524618696911481</v>
      </c>
      <c r="AA22" s="35">
        <f t="shared" ca="1" si="7"/>
        <v>0.88959151051757768</v>
      </c>
      <c r="AB22" s="35">
        <f t="shared" ca="1" si="8"/>
        <v>6.1989779990120501E-2</v>
      </c>
    </row>
    <row r="23" spans="1:28">
      <c r="A23" s="171"/>
      <c r="B23" s="172">
        <v>-1.253875629566908</v>
      </c>
      <c r="C23" s="172">
        <v>-3.2592166127769939E-2</v>
      </c>
      <c r="D23" s="172">
        <v>0.73934661383723232</v>
      </c>
      <c r="E23" s="171">
        <f>-$L$1</f>
        <v>-1.4990492230334603E-2</v>
      </c>
      <c r="F23" s="172">
        <v>0</v>
      </c>
      <c r="G23" s="172">
        <v>0</v>
      </c>
      <c r="H23" s="178">
        <f>-$N$1</f>
        <v>-4.7716218756768064E-3</v>
      </c>
      <c r="I23" s="171">
        <v>0</v>
      </c>
      <c r="J23" s="171">
        <v>0</v>
      </c>
      <c r="L23">
        <f t="array" ref="L23:N25">SVDD(B23:J25)</f>
        <v>2.4043040349622533</v>
      </c>
      <c r="M23">
        <v>0</v>
      </c>
      <c r="N23">
        <v>0</v>
      </c>
      <c r="P23">
        <f t="shared" ref="P23" si="14">MAX(L23,M24,N25)/MIN(L23,M24,N25)</f>
        <v>5.3771388673477363</v>
      </c>
      <c r="R23" s="35">
        <f t="shared" ca="1" si="9"/>
        <v>12.111695063154006</v>
      </c>
      <c r="U23" s="35">
        <f t="shared" ca="1" si="1"/>
        <v>4.7102453219105715E-2</v>
      </c>
      <c r="V23" s="35">
        <f t="shared" ca="1" si="2"/>
        <v>0.82468348854394513</v>
      </c>
      <c r="W23" s="35">
        <f t="shared" ca="1" si="3"/>
        <v>0.43495174124557018</v>
      </c>
      <c r="X23" s="35">
        <f t="shared" ca="1" si="4"/>
        <v>0.87973915007086279</v>
      </c>
      <c r="Y23" s="35">
        <f t="shared" ca="1" si="5"/>
        <v>1</v>
      </c>
      <c r="Z23" s="35">
        <f t="shared" ca="1" si="6"/>
        <v>0.16912800086354368</v>
      </c>
      <c r="AA23" s="35">
        <f t="shared" ca="1" si="7"/>
        <v>0.27640732131798706</v>
      </c>
      <c r="AB23" s="35">
        <f t="shared" ca="1" si="8"/>
        <v>9.5219277818233569E-2</v>
      </c>
    </row>
    <row r="24" spans="1:28">
      <c r="A24" s="171" t="s">
        <v>219</v>
      </c>
      <c r="B24" s="172">
        <v>-1.4028471761352286</v>
      </c>
      <c r="C24" s="172">
        <v>0.814665459345566</v>
      </c>
      <c r="D24" s="172">
        <v>0.7195871750303805</v>
      </c>
      <c r="E24" s="171">
        <v>0</v>
      </c>
      <c r="F24" s="171">
        <f>-$L$1</f>
        <v>-1.4990492230334603E-2</v>
      </c>
      <c r="G24" s="172">
        <v>0</v>
      </c>
      <c r="H24" s="172">
        <v>0</v>
      </c>
      <c r="I24" s="178">
        <f>-$N$1</f>
        <v>-4.7716218756768064E-3</v>
      </c>
      <c r="J24" s="171">
        <v>0</v>
      </c>
      <c r="L24">
        <v>0</v>
      </c>
      <c r="M24">
        <v>1.7551165836837452</v>
      </c>
      <c r="N24">
        <v>0</v>
      </c>
      <c r="R24" s="35">
        <f t="shared" ca="1" si="9"/>
        <v>17.926260578701314</v>
      </c>
      <c r="U24" s="35">
        <f t="shared" ca="1" si="1"/>
        <v>6.9715332651538453E-2</v>
      </c>
      <c r="V24" s="35">
        <f t="shared" ca="1" si="2"/>
        <v>7.5142594086747547E-2</v>
      </c>
      <c r="W24" s="35">
        <f t="shared" ca="1" si="3"/>
        <v>4.3625472356880829E-2</v>
      </c>
      <c r="X24" s="35">
        <f t="shared" ca="1" si="4"/>
        <v>4.1880317458717314E-2</v>
      </c>
      <c r="Y24" s="35">
        <f t="shared" ca="1" si="5"/>
        <v>7.5911862966281093E-2</v>
      </c>
      <c r="Z24" s="35">
        <f t="shared" ca="1" si="6"/>
        <v>6.1588376488543324E-2</v>
      </c>
      <c r="AA24" s="35">
        <f t="shared" ca="1" si="7"/>
        <v>4.1164608122437947E-2</v>
      </c>
      <c r="AB24" s="35">
        <f t="shared" ca="1" si="8"/>
        <v>3.7638942281069419E-2</v>
      </c>
    </row>
    <row r="25" spans="1:28">
      <c r="A25" s="171"/>
      <c r="B25" s="172">
        <v>1.4421025939282253</v>
      </c>
      <c r="C25" s="172">
        <v>1.0431877148697888</v>
      </c>
      <c r="D25" s="172">
        <v>0.78932433807079116</v>
      </c>
      <c r="E25" s="171">
        <v>0</v>
      </c>
      <c r="F25" s="172">
        <v>0</v>
      </c>
      <c r="G25" s="171">
        <f>-$L$1</f>
        <v>-1.4990492230334603E-2</v>
      </c>
      <c r="H25" s="172">
        <v>0</v>
      </c>
      <c r="I25" s="172">
        <v>0</v>
      </c>
      <c r="J25" s="178">
        <f>-$N$1</f>
        <v>-4.7716218756768064E-3</v>
      </c>
      <c r="L25">
        <v>0</v>
      </c>
      <c r="M25">
        <v>0</v>
      </c>
      <c r="N25">
        <v>0.44713445091816495</v>
      </c>
      <c r="R25" s="35">
        <f t="shared" ca="1" si="9"/>
        <v>5.8798725000747956</v>
      </c>
      <c r="U25" s="35">
        <f t="shared" ca="1" si="1"/>
        <v>2.2866858678735346E-2</v>
      </c>
      <c r="V25" s="35">
        <f t="shared" ca="1" si="2"/>
        <v>0.21591290359661944</v>
      </c>
      <c r="W25" s="35">
        <f t="shared" ca="1" si="3"/>
        <v>0.22891596100910713</v>
      </c>
      <c r="X25" s="35">
        <f t="shared" ca="1" si="4"/>
        <v>0.12458093316909546</v>
      </c>
      <c r="Y25" s="35">
        <f t="shared" ca="1" si="5"/>
        <v>0.22228213049815457</v>
      </c>
      <c r="Z25" s="35">
        <f t="shared" ca="1" si="6"/>
        <v>0.18264573417409835</v>
      </c>
      <c r="AA25" s="35">
        <f t="shared" ca="1" si="7"/>
        <v>0.14092621817525758</v>
      </c>
      <c r="AB25" s="35">
        <f t="shared" ca="1" si="8"/>
        <v>1.6967258063951173E-2</v>
      </c>
    </row>
    <row r="26" spans="1:28">
      <c r="A26" s="171"/>
      <c r="B26" s="172"/>
      <c r="C26" s="172"/>
      <c r="D26" s="172"/>
      <c r="E26" s="171"/>
      <c r="F26" s="171"/>
      <c r="G26" s="171"/>
      <c r="H26" s="171"/>
      <c r="I26" s="171"/>
      <c r="J26" s="171"/>
      <c r="R26" s="35">
        <f t="shared" ca="1" si="9"/>
        <v>3.8804856131708196</v>
      </c>
      <c r="U26" s="35">
        <f t="shared" ca="1" si="1"/>
        <v>1.509123133539274E-2</v>
      </c>
      <c r="V26" s="35">
        <f t="shared" ca="1" si="2"/>
        <v>2.7545172139323951E-2</v>
      </c>
      <c r="W26" s="35">
        <f t="shared" ca="1" si="3"/>
        <v>3.3920501028040798E-2</v>
      </c>
      <c r="X26" s="35">
        <f t="shared" ca="1" si="4"/>
        <v>4.2544463810584868E-2</v>
      </c>
      <c r="Y26" s="35">
        <f t="shared" ca="1" si="5"/>
        <v>2.8506448939537871E-2</v>
      </c>
      <c r="Z26" s="35">
        <f t="shared" ca="1" si="6"/>
        <v>1.6456433384913496E-2</v>
      </c>
      <c r="AA26" s="35">
        <f t="shared" ca="1" si="7"/>
        <v>1.8863955295186731E-2</v>
      </c>
      <c r="AB26" s="35">
        <f t="shared" ca="1" si="8"/>
        <v>2.7815160461605096E-2</v>
      </c>
    </row>
    <row r="27" spans="1:28">
      <c r="A27" s="171"/>
      <c r="B27" s="172">
        <v>-1.253875629566908</v>
      </c>
      <c r="C27" s="172">
        <v>-3.2592166127769939E-2</v>
      </c>
      <c r="D27" s="172">
        <v>0.73934661383723232</v>
      </c>
      <c r="E27" s="171">
        <f>-$L$1</f>
        <v>-1.4990492230334603E-2</v>
      </c>
      <c r="F27" s="172">
        <v>0</v>
      </c>
      <c r="G27" s="172">
        <v>0</v>
      </c>
      <c r="H27" s="178">
        <f>-$N$1</f>
        <v>-4.7716218756768064E-3</v>
      </c>
      <c r="I27" s="171">
        <v>0</v>
      </c>
      <c r="J27" s="171">
        <v>0</v>
      </c>
      <c r="L27">
        <f t="array" ref="L27:N29">SVDD(B27:J29)</f>
        <v>3.1236641502245508</v>
      </c>
      <c r="M27">
        <v>0</v>
      </c>
      <c r="N27">
        <v>0</v>
      </c>
      <c r="P27">
        <f t="shared" ref="P27" si="15">MAX(L27,M28,N29)/MIN(L27,M28,N29)</f>
        <v>24.102001417683255</v>
      </c>
      <c r="R27" s="35">
        <f t="shared" ca="1" si="9"/>
        <v>24.669275971177594</v>
      </c>
      <c r="U27" s="35">
        <f t="shared" ca="1" si="1"/>
        <v>9.5938959107100347E-2</v>
      </c>
      <c r="V27" s="35">
        <f t="shared" ca="1" si="2"/>
        <v>3.778203566378692E-2</v>
      </c>
      <c r="W27" s="35">
        <f t="shared" ca="1" si="3"/>
        <v>3.1781375109448687E-2</v>
      </c>
      <c r="X27" s="35">
        <f t="shared" ca="1" si="4"/>
        <v>2.8004812864434389E-2</v>
      </c>
      <c r="Y27" s="35">
        <f t="shared" ca="1" si="5"/>
        <v>3.3039577348951882E-2</v>
      </c>
      <c r="Z27" s="35">
        <f t="shared" ca="1" si="6"/>
        <v>1.4551916030364511E-2</v>
      </c>
      <c r="AA27" s="35">
        <f t="shared" ca="1" si="7"/>
        <v>1.8860342069460551E-2</v>
      </c>
      <c r="AB27" s="35">
        <f t="shared" ca="1" si="8"/>
        <v>1.3323757239240449E-2</v>
      </c>
    </row>
    <row r="28" spans="1:28">
      <c r="A28" s="171" t="s">
        <v>220</v>
      </c>
      <c r="B28" s="172">
        <v>-1.4028471761352286</v>
      </c>
      <c r="C28" s="172">
        <v>0.814665459345566</v>
      </c>
      <c r="D28" s="172">
        <v>0.7195871750303805</v>
      </c>
      <c r="E28" s="171">
        <v>0</v>
      </c>
      <c r="F28" s="171">
        <f>-$L$1</f>
        <v>-1.4990492230334603E-2</v>
      </c>
      <c r="G28" s="172">
        <v>0</v>
      </c>
      <c r="H28" s="172">
        <v>0</v>
      </c>
      <c r="I28" s="178">
        <f>-$N$1</f>
        <v>-4.7716218756768064E-3</v>
      </c>
      <c r="J28" s="171">
        <v>0</v>
      </c>
      <c r="L28">
        <v>0</v>
      </c>
      <c r="M28">
        <v>1.296455882510601</v>
      </c>
      <c r="N28">
        <v>0</v>
      </c>
      <c r="R28" s="35">
        <f t="shared" ca="1" si="9"/>
        <v>7.3599631124017391</v>
      </c>
      <c r="U28" s="35">
        <f t="shared" ca="1" si="1"/>
        <v>2.8622939760999042E-2</v>
      </c>
      <c r="V28" s="35">
        <f t="shared" ca="1" si="2"/>
        <v>0.23643293296772738</v>
      </c>
      <c r="W28" s="35">
        <f t="shared" ca="1" si="3"/>
        <v>0.28768589347940277</v>
      </c>
      <c r="X28" s="35">
        <f t="shared" ca="1" si="4"/>
        <v>0.29491167792491985</v>
      </c>
      <c r="Y28" s="35">
        <f t="shared" ca="1" si="5"/>
        <v>0.28808191271361472</v>
      </c>
      <c r="Z28" s="35">
        <f t="shared" ca="1" si="6"/>
        <v>0.312884072997822</v>
      </c>
      <c r="AA28" s="35">
        <f t="shared" ca="1" si="7"/>
        <v>0.53153983438594765</v>
      </c>
      <c r="AB28" s="35">
        <f t="shared" ca="1" si="8"/>
        <v>4.6989748223233249E-2</v>
      </c>
    </row>
    <row r="29" spans="1:28">
      <c r="A29" s="171"/>
      <c r="B29" s="172">
        <v>-1.0351585166444348</v>
      </c>
      <c r="C29" s="172">
        <v>2.1037449841221099</v>
      </c>
      <c r="D29" s="172">
        <v>0.82913701269133588</v>
      </c>
      <c r="E29" s="171">
        <v>0</v>
      </c>
      <c r="F29" s="172">
        <v>0</v>
      </c>
      <c r="G29" s="171">
        <f>-$L$1</f>
        <v>-1.4990492230334603E-2</v>
      </c>
      <c r="H29" s="172">
        <v>0</v>
      </c>
      <c r="I29" s="172">
        <v>0</v>
      </c>
      <c r="J29" s="178">
        <f>-$N$1</f>
        <v>-4.7716218756768064E-3</v>
      </c>
      <c r="L29">
        <v>0</v>
      </c>
      <c r="M29">
        <v>0</v>
      </c>
      <c r="N29">
        <v>0.12960185737657323</v>
      </c>
      <c r="R29" s="35">
        <f t="shared" ca="1" si="9"/>
        <v>6.5785291732093709</v>
      </c>
      <c r="U29" s="35">
        <f t="shared" ca="1" si="1"/>
        <v>2.5583938582988457E-2</v>
      </c>
      <c r="V29" s="35">
        <f t="shared" ca="1" si="2"/>
        <v>0.96490217010139223</v>
      </c>
      <c r="W29" s="35">
        <f t="shared" ca="1" si="3"/>
        <v>0.58421453778574939</v>
      </c>
      <c r="X29" s="35">
        <f t="shared" ca="1" si="4"/>
        <v>0.86002684664337725</v>
      </c>
      <c r="Y29" s="35">
        <f t="shared" ca="1" si="5"/>
        <v>0.52409058966295519</v>
      </c>
      <c r="Z29" s="35">
        <f t="shared" ca="1" si="6"/>
        <v>0.12701358903401291</v>
      </c>
      <c r="AA29" s="35">
        <f t="shared" ca="1" si="7"/>
        <v>0.12886448696832409</v>
      </c>
      <c r="AB29" s="35">
        <f t="shared" ca="1" si="8"/>
        <v>2.6118017464158434E-2</v>
      </c>
    </row>
    <row r="30" spans="1:28">
      <c r="A30" s="171"/>
      <c r="B30" s="172"/>
      <c r="C30" s="172"/>
      <c r="D30" s="172"/>
      <c r="E30" s="171"/>
      <c r="F30" s="171"/>
      <c r="G30" s="171"/>
      <c r="H30" s="171"/>
      <c r="I30" s="171"/>
      <c r="J30" s="171"/>
      <c r="R30" s="35">
        <f t="shared" ca="1" si="9"/>
        <v>3.1644138082772151</v>
      </c>
      <c r="U30" s="35">
        <f t="shared" ca="1" si="1"/>
        <v>1.2306423881469086E-2</v>
      </c>
      <c r="V30" s="35">
        <f t="shared" ca="1" si="2"/>
        <v>5.5437938910441062E-2</v>
      </c>
      <c r="W30" s="35">
        <f t="shared" ca="1" si="3"/>
        <v>4.0858310604848423E-2</v>
      </c>
      <c r="X30" s="35">
        <f t="shared" ca="1" si="4"/>
        <v>5.5563018389122795E-2</v>
      </c>
      <c r="Y30" s="35">
        <f t="shared" ca="1" si="5"/>
        <v>3.4922350170438307E-2</v>
      </c>
      <c r="Z30" s="35">
        <f t="shared" ca="1" si="6"/>
        <v>2.0041855089104919E-2</v>
      </c>
      <c r="AA30" s="35">
        <f t="shared" ca="1" si="7"/>
        <v>1.6409719048179231E-2</v>
      </c>
      <c r="AB30" s="35">
        <f t="shared" ca="1" si="8"/>
        <v>2.0667703244846701E-2</v>
      </c>
    </row>
    <row r="31" spans="1:28">
      <c r="A31" s="171"/>
      <c r="B31" s="172">
        <v>-1.253875629566908</v>
      </c>
      <c r="C31" s="172">
        <v>-3.2592166127769939E-2</v>
      </c>
      <c r="D31" s="172">
        <v>0.73934661383723232</v>
      </c>
      <c r="E31" s="171">
        <f>-$L$1</f>
        <v>-1.4990492230334603E-2</v>
      </c>
      <c r="F31" s="172">
        <v>0</v>
      </c>
      <c r="G31" s="172">
        <v>0</v>
      </c>
      <c r="H31" s="178">
        <f>-$N$1</f>
        <v>-4.7716218756768064E-3</v>
      </c>
      <c r="I31" s="171">
        <v>0</v>
      </c>
      <c r="J31" s="171">
        <v>0</v>
      </c>
      <c r="L31">
        <f t="array" ref="L31:N33">SVDD(B31:J33)</f>
        <v>2.4880565056882258</v>
      </c>
      <c r="M31">
        <v>0</v>
      </c>
      <c r="N31">
        <v>0</v>
      </c>
      <c r="P31">
        <f t="shared" ref="P31" si="16">MAX(L31,M32,N33)/MIN(L31,M32,N33)</f>
        <v>8.7943477489155359</v>
      </c>
      <c r="R31" s="35">
        <f t="shared" ca="1" si="9"/>
        <v>16.189935979563476</v>
      </c>
      <c r="U31" s="35">
        <f t="shared" ca="1" si="1"/>
        <v>6.2962756089990274E-2</v>
      </c>
      <c r="V31" s="35">
        <f t="shared" ca="1" si="2"/>
        <v>0.22318084520165771</v>
      </c>
      <c r="W31" s="35">
        <f t="shared" ca="1" si="3"/>
        <v>0.20877628997096473</v>
      </c>
      <c r="X31" s="35">
        <f t="shared" ca="1" si="4"/>
        <v>0.14597474169490884</v>
      </c>
      <c r="Y31" s="35">
        <f t="shared" ca="1" si="5"/>
        <v>0.2100924924176408</v>
      </c>
      <c r="Z31" s="35">
        <f t="shared" ca="1" si="6"/>
        <v>0.37475977559084528</v>
      </c>
      <c r="AA31" s="35">
        <f t="shared" ca="1" si="7"/>
        <v>0.1959573270877269</v>
      </c>
      <c r="AB31" s="35">
        <f t="shared" ca="1" si="8"/>
        <v>2.5547312281788623E-2</v>
      </c>
    </row>
    <row r="32" spans="1:28">
      <c r="A32" s="171" t="s">
        <v>221</v>
      </c>
      <c r="B32" s="172">
        <v>-1.4028471761352286</v>
      </c>
      <c r="C32" s="172">
        <v>0.814665459345566</v>
      </c>
      <c r="D32" s="172">
        <v>0.7195871750303805</v>
      </c>
      <c r="E32" s="171">
        <v>0</v>
      </c>
      <c r="F32" s="171">
        <f>-$L$1</f>
        <v>-1.4990492230334603E-2</v>
      </c>
      <c r="G32" s="172">
        <v>0</v>
      </c>
      <c r="H32" s="172">
        <v>0</v>
      </c>
      <c r="I32" s="178">
        <f>-$N$1</f>
        <v>-4.7716218756768064E-3</v>
      </c>
      <c r="J32" s="171">
        <v>0</v>
      </c>
      <c r="L32">
        <v>0</v>
      </c>
      <c r="M32">
        <v>2.0613277241398835</v>
      </c>
      <c r="N32">
        <v>0</v>
      </c>
      <c r="R32" s="35">
        <f t="shared" ca="1" si="9"/>
        <v>21.296368693023961</v>
      </c>
      <c r="U32" s="35">
        <f t="shared" ca="1" si="1"/>
        <v>8.2821702897031863E-2</v>
      </c>
      <c r="V32" s="35">
        <f t="shared" ca="1" si="2"/>
        <v>8.1963607344194486E-2</v>
      </c>
      <c r="W32" s="35">
        <f t="shared" ca="1" si="3"/>
        <v>4.2510871151632657E-2</v>
      </c>
      <c r="X32" s="35">
        <f t="shared" ca="1" si="4"/>
        <v>2.4346565556074642E-2</v>
      </c>
      <c r="Y32" s="35">
        <f t="shared" ca="1" si="5"/>
        <v>2.3192671467587883E-2</v>
      </c>
      <c r="Z32" s="35">
        <f t="shared" ca="1" si="6"/>
        <v>3.3050780724881636E-2</v>
      </c>
      <c r="AA32" s="35">
        <f t="shared" ca="1" si="7"/>
        <v>2.5509494292524377E-2</v>
      </c>
      <c r="AB32" s="35">
        <f t="shared" ca="1" si="8"/>
        <v>4.4218536815103578E-2</v>
      </c>
    </row>
    <row r="33" spans="1:28">
      <c r="A33" s="171"/>
      <c r="B33" s="172">
        <v>0.58367185674448252</v>
      </c>
      <c r="C33" s="172">
        <v>2.0841504898711007</v>
      </c>
      <c r="D33" s="172">
        <v>0.75171422039661484</v>
      </c>
      <c r="E33" s="171">
        <v>0</v>
      </c>
      <c r="F33" s="172">
        <v>0</v>
      </c>
      <c r="G33" s="171">
        <f>-$L$1</f>
        <v>-1.4990492230334603E-2</v>
      </c>
      <c r="H33" s="172">
        <v>0</v>
      </c>
      <c r="I33" s="172">
        <v>0</v>
      </c>
      <c r="J33" s="178">
        <f>-$N$1</f>
        <v>-4.7716218756768064E-3</v>
      </c>
      <c r="L33">
        <v>0</v>
      </c>
      <c r="M33">
        <v>0</v>
      </c>
      <c r="N33">
        <v>0.28291541075289378</v>
      </c>
      <c r="R33" s="35">
        <f t="shared" ca="1" si="9"/>
        <v>5.3118581440101593</v>
      </c>
      <c r="U33" s="35">
        <f t="shared" ca="1" si="1"/>
        <v>2.0657847512684097E-2</v>
      </c>
      <c r="V33" s="35">
        <f t="shared" ca="1" si="2"/>
        <v>3.939010004946341E-2</v>
      </c>
      <c r="W33" s="35">
        <f t="shared" ca="1" si="3"/>
        <v>3.3453232962228061E-2</v>
      </c>
      <c r="X33" s="35">
        <f t="shared" ca="1" si="4"/>
        <v>3.0821601184537396E-2</v>
      </c>
      <c r="Y33" s="35">
        <f t="shared" ca="1" si="5"/>
        <v>2.9439434951620054E-2</v>
      </c>
      <c r="Z33" s="35">
        <f t="shared" ca="1" si="6"/>
        <v>2.4847856557755777E-2</v>
      </c>
      <c r="AA33" s="35">
        <f t="shared" ca="1" si="7"/>
        <v>1.3435539532080067E-2</v>
      </c>
      <c r="AB33" s="35">
        <f t="shared" ca="1" si="8"/>
        <v>1.6304901390771624E-2</v>
      </c>
    </row>
    <row r="34" spans="1:28">
      <c r="A34" s="171"/>
      <c r="B34" s="172"/>
      <c r="C34" s="172"/>
      <c r="D34" s="172"/>
      <c r="E34" s="171"/>
      <c r="F34" s="171"/>
      <c r="G34" s="171"/>
      <c r="H34" s="171"/>
      <c r="I34" s="171"/>
      <c r="J34" s="171"/>
      <c r="R34" s="35">
        <f t="shared" ca="1" si="9"/>
        <v>13.879924968743053</v>
      </c>
      <c r="U34" s="35">
        <f t="shared" ca="1" si="1"/>
        <v>5.3979109704786983E-2</v>
      </c>
      <c r="V34" s="35">
        <f t="shared" ca="1" si="2"/>
        <v>0.27017121903704255</v>
      </c>
      <c r="W34" s="35">
        <f t="shared" ca="1" si="3"/>
        <v>0.32066333992425927</v>
      </c>
      <c r="X34" s="35">
        <f t="shared" ca="1" si="4"/>
        <v>0.19339746067476679</v>
      </c>
      <c r="Y34" s="35">
        <f t="shared" ca="1" si="5"/>
        <v>0.20176898448165514</v>
      </c>
      <c r="Z34" s="35">
        <f t="shared" ca="1" si="6"/>
        <v>0.1408665237942861</v>
      </c>
      <c r="AA34" s="35">
        <f t="shared" ca="1" si="7"/>
        <v>0.1176089310152499</v>
      </c>
      <c r="AB34" s="35">
        <f t="shared" ca="1" si="8"/>
        <v>1.7221890260540679E-2</v>
      </c>
    </row>
    <row r="35" spans="1:28">
      <c r="A35" s="171"/>
      <c r="B35" s="172">
        <v>-1.253875629566908</v>
      </c>
      <c r="C35" s="172">
        <v>-3.2592166127769939E-2</v>
      </c>
      <c r="D35" s="172">
        <v>0.73934661383723232</v>
      </c>
      <c r="E35" s="171">
        <f>-$L$1</f>
        <v>-1.4990492230334603E-2</v>
      </c>
      <c r="F35" s="172">
        <v>0</v>
      </c>
      <c r="G35" s="172">
        <v>0</v>
      </c>
      <c r="H35" s="178">
        <f>-$N$1</f>
        <v>-4.7716218756768064E-3</v>
      </c>
      <c r="I35" s="171">
        <v>0</v>
      </c>
      <c r="J35" s="171">
        <v>0</v>
      </c>
      <c r="L35">
        <f t="array" ref="L35:N37">SVDD(B35:J37)</f>
        <v>2.6516379511687895</v>
      </c>
      <c r="M35">
        <v>0</v>
      </c>
      <c r="N35">
        <v>0</v>
      </c>
      <c r="P35">
        <f t="shared" ref="P35" si="17">MAX(L35,M36,N37)/MIN(L35,M36,N37)</f>
        <v>36.233071045058026</v>
      </c>
      <c r="R35" s="35">
        <f t="shared" ca="1" si="9"/>
        <v>4.7237806352474765</v>
      </c>
      <c r="U35" s="35">
        <f t="shared" ca="1" si="1"/>
        <v>1.8370810627981588E-2</v>
      </c>
      <c r="V35" s="35">
        <f t="shared" ca="1" si="2"/>
        <v>2.9245327737119447E-2</v>
      </c>
      <c r="W35" s="35">
        <f t="shared" ca="1" si="3"/>
        <v>3.1534483807008795E-2</v>
      </c>
      <c r="X35" s="35">
        <f t="shared" ca="1" si="4"/>
        <v>2.6264180044744595E-2</v>
      </c>
      <c r="Y35" s="35">
        <f t="shared" ca="1" si="5"/>
        <v>3.3999285395467198E-2</v>
      </c>
      <c r="Z35" s="35">
        <f t="shared" ca="1" si="6"/>
        <v>1.6186240367464588E-2</v>
      </c>
      <c r="AA35" s="35">
        <f t="shared" ca="1" si="7"/>
        <v>1.5675921394404435E-2</v>
      </c>
      <c r="AB35" s="35">
        <f t="shared" ca="1" si="8"/>
        <v>2.1257979671054774E-2</v>
      </c>
    </row>
    <row r="36" spans="1:28">
      <c r="A36" s="171" t="s">
        <v>222</v>
      </c>
      <c r="B36" s="172">
        <v>-1.4028471761352286</v>
      </c>
      <c r="C36" s="172">
        <v>0.814665459345566</v>
      </c>
      <c r="D36" s="172">
        <v>0.7195871750303805</v>
      </c>
      <c r="E36" s="171">
        <v>0</v>
      </c>
      <c r="F36" s="171">
        <f>-$L$1</f>
        <v>-1.4990492230334603E-2</v>
      </c>
      <c r="G36" s="172">
        <v>0</v>
      </c>
      <c r="H36" s="172">
        <v>0</v>
      </c>
      <c r="I36" s="178">
        <f>-$N$1</f>
        <v>-4.7716218756768064E-3</v>
      </c>
      <c r="J36" s="171">
        <v>0</v>
      </c>
      <c r="L36">
        <v>0</v>
      </c>
      <c r="M36">
        <v>1.9595542185854871</v>
      </c>
      <c r="N36">
        <v>0</v>
      </c>
      <c r="R36" s="35">
        <f t="shared" ca="1" si="9"/>
        <v>13.786758091944304</v>
      </c>
      <c r="U36" s="35">
        <f t="shared" ca="1" si="1"/>
        <v>5.3616783173851316E-2</v>
      </c>
      <c r="V36" s="35">
        <f t="shared" ca="1" si="2"/>
        <v>5.052846573148146E-2</v>
      </c>
      <c r="W36" s="35">
        <f t="shared" ca="1" si="3"/>
        <v>4.7763677287762075E-2</v>
      </c>
      <c r="X36" s="35">
        <f t="shared" ca="1" si="4"/>
        <v>4.2460579560677128E-2</v>
      </c>
      <c r="Y36" s="35">
        <f t="shared" ca="1" si="5"/>
        <v>3.4295198734190159E-2</v>
      </c>
      <c r="Z36" s="35">
        <f t="shared" ca="1" si="6"/>
        <v>1.2990596785998548E-2</v>
      </c>
      <c r="AA36" s="35">
        <f t="shared" ca="1" si="7"/>
        <v>1.9141083856420053E-2</v>
      </c>
      <c r="AB36" s="35">
        <f t="shared" ca="1" si="8"/>
        <v>1.4337483454365592E-2</v>
      </c>
    </row>
    <row r="37" spans="1:28">
      <c r="A37" s="171"/>
      <c r="B37" s="172">
        <v>-2.5457845528396139E-2</v>
      </c>
      <c r="C37" s="172">
        <v>2.3667658472617719</v>
      </c>
      <c r="D37" s="172">
        <v>6.368425350466822E-2</v>
      </c>
      <c r="E37" s="171">
        <v>0</v>
      </c>
      <c r="F37" s="172">
        <v>0</v>
      </c>
      <c r="G37" s="171">
        <f>-$L$1</f>
        <v>-1.4990492230334603E-2</v>
      </c>
      <c r="H37" s="172">
        <v>0</v>
      </c>
      <c r="I37" s="172">
        <v>0</v>
      </c>
      <c r="J37" s="178">
        <f>-$N$1</f>
        <v>-4.7716218756768064E-3</v>
      </c>
      <c r="L37">
        <v>0</v>
      </c>
      <c r="M37">
        <v>0</v>
      </c>
      <c r="N37">
        <v>7.3182809921668424E-2</v>
      </c>
      <c r="R37" s="35">
        <f t="shared" ca="1" si="9"/>
        <v>6.4206881815900845</v>
      </c>
      <c r="U37" s="35">
        <f t="shared" ca="1" si="1"/>
        <v>2.4970094039756651E-2</v>
      </c>
      <c r="V37" s="35">
        <f t="shared" ca="1" si="2"/>
        <v>2.9727969118840087E-2</v>
      </c>
      <c r="W37" s="35">
        <f t="shared" ca="1" si="3"/>
        <v>3.3310945452163794E-2</v>
      </c>
      <c r="X37" s="35">
        <f t="shared" ca="1" si="4"/>
        <v>2.3139442806140831E-2</v>
      </c>
      <c r="Y37" s="35">
        <f t="shared" ca="1" si="5"/>
        <v>3.5375329777964079E-2</v>
      </c>
      <c r="Z37" s="35">
        <f t="shared" ca="1" si="6"/>
        <v>3.4054876302231994E-2</v>
      </c>
      <c r="AA37" s="35">
        <f t="shared" ca="1" si="7"/>
        <v>1.2416064028839694E-2</v>
      </c>
      <c r="AB37" s="35">
        <f t="shared" ca="1" si="8"/>
        <v>2.2378338832682983E-2</v>
      </c>
    </row>
    <row r="38" spans="1:28">
      <c r="A38" s="171"/>
      <c r="B38" s="172"/>
      <c r="C38" s="172"/>
      <c r="D38" s="172"/>
      <c r="E38" s="171"/>
      <c r="F38" s="171"/>
      <c r="G38" s="171"/>
      <c r="H38" s="171"/>
      <c r="I38" s="171"/>
      <c r="J38" s="171"/>
      <c r="R38" s="35">
        <f t="shared" ca="1" si="9"/>
        <v>4.0457781004846751</v>
      </c>
    </row>
    <row r="39" spans="1:28">
      <c r="A39" s="171"/>
      <c r="B39" s="172">
        <v>-1.253875629566908</v>
      </c>
      <c r="C39" s="172">
        <v>-3.2592166127769939E-2</v>
      </c>
      <c r="D39" s="172">
        <v>0.73934661383723232</v>
      </c>
      <c r="E39" s="171">
        <f>-$L$1</f>
        <v>-1.4990492230334603E-2</v>
      </c>
      <c r="F39" s="172">
        <v>0</v>
      </c>
      <c r="G39" s="172">
        <v>0</v>
      </c>
      <c r="H39" s="178">
        <f>-$N$1</f>
        <v>-4.7716218756768064E-3</v>
      </c>
      <c r="I39" s="171">
        <v>0</v>
      </c>
      <c r="J39" s="171">
        <v>0</v>
      </c>
      <c r="L39">
        <f t="array" ref="L39:N41">SVDD(B39:J41)</f>
        <v>2.6696679186563768</v>
      </c>
      <c r="M39">
        <v>0</v>
      </c>
      <c r="N39">
        <v>0</v>
      </c>
      <c r="P39">
        <f t="shared" ref="P39" si="18">MAX(L39,M40,N41)/MIN(L39,M40,N41)</f>
        <v>3.6561116410493621</v>
      </c>
      <c r="R39" s="35">
        <f t="shared" ca="1" si="9"/>
        <v>6.5539203995508677</v>
      </c>
    </row>
    <row r="40" spans="1:28">
      <c r="A40" s="171" t="s">
        <v>223</v>
      </c>
      <c r="B40" s="172">
        <v>1.4421025939282253</v>
      </c>
      <c r="C40" s="172">
        <v>1.0431877148697888</v>
      </c>
      <c r="D40" s="172">
        <v>0.78932433807079116</v>
      </c>
      <c r="E40" s="171">
        <v>0</v>
      </c>
      <c r="F40" s="171">
        <f>-$L$1</f>
        <v>-1.4990492230334603E-2</v>
      </c>
      <c r="G40" s="172">
        <v>0</v>
      </c>
      <c r="H40" s="172">
        <v>0</v>
      </c>
      <c r="I40" s="178">
        <f>-$N$1</f>
        <v>-4.7716218756768064E-3</v>
      </c>
      <c r="J40" s="171">
        <v>0</v>
      </c>
      <c r="L40">
        <v>0</v>
      </c>
      <c r="M40">
        <v>2.1061887353219095</v>
      </c>
      <c r="N40">
        <v>0</v>
      </c>
      <c r="R40" s="35">
        <f t="shared" ca="1" si="9"/>
        <v>4.0308357672671891</v>
      </c>
    </row>
    <row r="41" spans="1:28">
      <c r="A41" s="171"/>
      <c r="B41" s="172">
        <v>-1.0351585166444348</v>
      </c>
      <c r="C41" s="172">
        <v>2.1037449841221099</v>
      </c>
      <c r="D41" s="172">
        <v>0.82913701269133588</v>
      </c>
      <c r="E41" s="171">
        <v>0</v>
      </c>
      <c r="F41" s="172">
        <v>0</v>
      </c>
      <c r="G41" s="171">
        <f>-$L$1</f>
        <v>-1.4990492230334603E-2</v>
      </c>
      <c r="H41" s="172">
        <v>0</v>
      </c>
      <c r="I41" s="172">
        <v>0</v>
      </c>
      <c r="J41" s="178">
        <f>-$N$1</f>
        <v>-4.7716218756768064E-3</v>
      </c>
      <c r="L41">
        <v>0</v>
      </c>
      <c r="M41">
        <v>0</v>
      </c>
      <c r="N41">
        <v>0.73019321638934953</v>
      </c>
      <c r="R41" s="35">
        <f t="shared" ca="1" si="9"/>
        <v>5.315806569312362</v>
      </c>
    </row>
    <row r="42" spans="1:28">
      <c r="A42" s="171"/>
      <c r="B42" s="172"/>
      <c r="C42" s="172"/>
      <c r="D42" s="172"/>
      <c r="E42" s="171"/>
      <c r="F42" s="171"/>
      <c r="G42" s="171"/>
      <c r="H42" s="171"/>
      <c r="I42" s="171"/>
      <c r="J42" s="171"/>
      <c r="R42" s="35">
        <f t="shared" ca="1" si="9"/>
        <v>5.1731248882840752</v>
      </c>
    </row>
    <row r="43" spans="1:28">
      <c r="A43" s="171"/>
      <c r="B43" s="172">
        <v>-1.253875629566908</v>
      </c>
      <c r="C43" s="172">
        <v>-3.2592166127769939E-2</v>
      </c>
      <c r="D43" s="172">
        <v>0.73934661383723232</v>
      </c>
      <c r="E43" s="171">
        <f>-$L$1</f>
        <v>-1.4990492230334603E-2</v>
      </c>
      <c r="F43" s="172">
        <v>0</v>
      </c>
      <c r="G43" s="172">
        <v>0</v>
      </c>
      <c r="H43" s="178">
        <f>-$N$1</f>
        <v>-4.7716218756768064E-3</v>
      </c>
      <c r="I43" s="171">
        <v>0</v>
      </c>
      <c r="J43" s="171">
        <v>0</v>
      </c>
      <c r="L43">
        <f t="array" ref="L43:N45">SVDD(B43:J45)</f>
        <v>2.8914683725716639</v>
      </c>
      <c r="M43">
        <v>0</v>
      </c>
      <c r="N43">
        <v>0</v>
      </c>
      <c r="P43">
        <f t="shared" ref="P43" si="19">MAX(L43,M44,N45)/MIN(L43,M44,N45)</f>
        <v>4.4961895496851163</v>
      </c>
      <c r="R43" s="35">
        <f t="shared" ca="1" si="9"/>
        <v>5.3188046488284861</v>
      </c>
    </row>
    <row r="44" spans="1:28">
      <c r="A44" s="171" t="s">
        <v>224</v>
      </c>
      <c r="B44" s="172">
        <v>1.4421025939282253</v>
      </c>
      <c r="C44" s="172">
        <v>1.0431877148697888</v>
      </c>
      <c r="D44" s="172">
        <v>0.78932433807079116</v>
      </c>
      <c r="E44" s="171">
        <v>0</v>
      </c>
      <c r="F44" s="171">
        <f>-$L$1</f>
        <v>-1.4990492230334603E-2</v>
      </c>
      <c r="G44" s="172">
        <v>0</v>
      </c>
      <c r="H44" s="172">
        <v>0</v>
      </c>
      <c r="I44" s="178">
        <f>-$N$1</f>
        <v>-4.7716218756768064E-3</v>
      </c>
      <c r="J44" s="171">
        <v>0</v>
      </c>
      <c r="L44">
        <v>0</v>
      </c>
      <c r="M44">
        <v>1.5449426960012147</v>
      </c>
      <c r="N44">
        <v>0</v>
      </c>
      <c r="R44" s="35">
        <f t="shared" ca="1" si="9"/>
        <v>14.848261657059052</v>
      </c>
    </row>
    <row r="45" spans="1:28">
      <c r="A45" s="171"/>
      <c r="B45" s="172">
        <v>0.58367185674448252</v>
      </c>
      <c r="C45" s="172">
        <v>2.0841504898711007</v>
      </c>
      <c r="D45" s="172">
        <v>0.75171422039661484</v>
      </c>
      <c r="E45" s="171">
        <v>0</v>
      </c>
      <c r="F45" s="172">
        <v>0</v>
      </c>
      <c r="G45" s="171">
        <f>-$L$1</f>
        <v>-1.4990492230334603E-2</v>
      </c>
      <c r="H45" s="172">
        <v>0</v>
      </c>
      <c r="I45" s="172">
        <v>0</v>
      </c>
      <c r="J45" s="178">
        <f>-$N$1</f>
        <v>-4.7716218756768064E-3</v>
      </c>
      <c r="L45">
        <v>0</v>
      </c>
      <c r="M45">
        <v>0</v>
      </c>
      <c r="N45">
        <v>0.64309307706436969</v>
      </c>
      <c r="R45" s="35">
        <f t="shared" ca="1" si="9"/>
        <v>7.8816809547397835</v>
      </c>
    </row>
    <row r="46" spans="1:28" ht="19.5" customHeight="1">
      <c r="A46" s="171"/>
      <c r="B46" s="172"/>
      <c r="C46" s="172"/>
      <c r="D46" s="172"/>
      <c r="E46" s="171"/>
      <c r="F46" s="171"/>
      <c r="G46" s="171"/>
      <c r="H46" s="171"/>
      <c r="I46" s="171"/>
      <c r="J46" s="171"/>
      <c r="R46" s="35">
        <f t="shared" ca="1" si="9"/>
        <v>31.111971140337332</v>
      </c>
    </row>
    <row r="47" spans="1:28">
      <c r="A47" s="171"/>
      <c r="B47" s="172">
        <v>-1.253875629566908</v>
      </c>
      <c r="C47" s="172">
        <v>-3.2592166127769939E-2</v>
      </c>
      <c r="D47" s="172">
        <v>0.73934661383723232</v>
      </c>
      <c r="E47" s="171">
        <f>-$L$1</f>
        <v>-1.4990492230334603E-2</v>
      </c>
      <c r="F47" s="172">
        <v>0</v>
      </c>
      <c r="G47" s="172">
        <v>0</v>
      </c>
      <c r="H47" s="178">
        <f>-$N$1</f>
        <v>-4.7716218756768064E-3</v>
      </c>
      <c r="I47" s="171">
        <v>0</v>
      </c>
      <c r="J47" s="171">
        <v>0</v>
      </c>
      <c r="L47">
        <f t="array" ref="L47:N49">SVDD(B47:J49)</f>
        <v>2.7282174745563426</v>
      </c>
      <c r="M47">
        <v>0</v>
      </c>
      <c r="N47">
        <v>0</v>
      </c>
      <c r="P47">
        <f t="shared" ref="P47" si="20">MAX(L47,M48,N49)/MIN(L47,M48,N49)</f>
        <v>2.7089134150747789</v>
      </c>
      <c r="R47" s="35">
        <f t="shared" ca="1" si="9"/>
        <v>5.1695115378029746</v>
      </c>
    </row>
    <row r="48" spans="1:28">
      <c r="A48" s="171" t="s">
        <v>225</v>
      </c>
      <c r="B48" s="172">
        <v>1.4421025939282253</v>
      </c>
      <c r="C48" s="172">
        <v>1.0431877148697888</v>
      </c>
      <c r="D48" s="172">
        <v>0.78932433807079116</v>
      </c>
      <c r="E48" s="171">
        <v>0</v>
      </c>
      <c r="F48" s="171">
        <f>-$L$1</f>
        <v>-1.4990492230334603E-2</v>
      </c>
      <c r="G48" s="172">
        <v>0</v>
      </c>
      <c r="H48" s="172">
        <v>0</v>
      </c>
      <c r="I48" s="178">
        <f>-$N$1</f>
        <v>-4.7716218756768064E-3</v>
      </c>
      <c r="J48" s="171">
        <v>0</v>
      </c>
      <c r="L48">
        <v>0</v>
      </c>
      <c r="M48">
        <v>1.7493959980927993</v>
      </c>
      <c r="N48">
        <v>0</v>
      </c>
      <c r="R48" s="35">
        <f t="shared" ca="1" si="9"/>
        <v>7.1648819291236823</v>
      </c>
    </row>
    <row r="49" spans="1:18">
      <c r="A49" s="171"/>
      <c r="B49" s="172">
        <v>-2.5457845528396139E-2</v>
      </c>
      <c r="C49" s="172">
        <v>2.3667658472617719</v>
      </c>
      <c r="D49" s="172">
        <v>6.368425350466822E-2</v>
      </c>
      <c r="E49" s="171">
        <v>0</v>
      </c>
      <c r="F49" s="172">
        <v>0</v>
      </c>
      <c r="G49" s="171">
        <f>-$L$1</f>
        <v>-1.4990492230334603E-2</v>
      </c>
      <c r="H49" s="172">
        <v>0</v>
      </c>
      <c r="I49" s="172">
        <v>0</v>
      </c>
      <c r="J49" s="178">
        <f>-$N$1</f>
        <v>-4.7716218756768064E-3</v>
      </c>
      <c r="L49">
        <v>0</v>
      </c>
      <c r="M49">
        <v>0</v>
      </c>
      <c r="N49">
        <v>1.0071261264291944</v>
      </c>
      <c r="R49" s="35">
        <f t="shared" ca="1" si="9"/>
        <v>5.0195612976123583</v>
      </c>
    </row>
    <row r="50" spans="1:18">
      <c r="A50" s="171"/>
      <c r="B50" s="172"/>
      <c r="C50" s="172"/>
      <c r="D50" s="172"/>
      <c r="E50" s="171"/>
      <c r="F50" s="171"/>
      <c r="G50" s="171"/>
      <c r="H50" s="171"/>
      <c r="I50" s="171"/>
      <c r="J50" s="171"/>
      <c r="R50" s="35">
        <f t="shared" ca="1" si="9"/>
        <v>8.0126887993783455</v>
      </c>
    </row>
    <row r="51" spans="1:18">
      <c r="A51" s="171"/>
      <c r="B51" s="172">
        <v>-1.253875629566908</v>
      </c>
      <c r="C51" s="172">
        <v>-3.2592166127769939E-2</v>
      </c>
      <c r="D51" s="172">
        <v>0.73934661383723232</v>
      </c>
      <c r="E51" s="171">
        <f>-$L$1</f>
        <v>-1.4990492230334603E-2</v>
      </c>
      <c r="F51" s="172">
        <v>0</v>
      </c>
      <c r="G51" s="172">
        <v>0</v>
      </c>
      <c r="H51" s="178">
        <f>-$N$1</f>
        <v>-4.7716218756768064E-3</v>
      </c>
      <c r="I51" s="171">
        <v>0</v>
      </c>
      <c r="J51" s="171">
        <v>0</v>
      </c>
      <c r="L51">
        <f t="array" ref="L51:N53">SVDD(B51:J53)</f>
        <v>3.2137236843135017</v>
      </c>
      <c r="M51">
        <v>0</v>
      </c>
      <c r="N51">
        <v>0</v>
      </c>
      <c r="P51">
        <f t="shared" ref="P51" si="21">MAX(L51,M52,N53)/MIN(L51,M52,N53)</f>
        <v>7.6360567302864579</v>
      </c>
      <c r="R51" s="35">
        <f t="shared" ca="1" si="9"/>
        <v>35.38123328066434</v>
      </c>
    </row>
    <row r="52" spans="1:18">
      <c r="A52" s="171" t="s">
        <v>226</v>
      </c>
      <c r="B52" s="172">
        <v>-1.0351585166444348</v>
      </c>
      <c r="C52" s="172">
        <v>2.1037449841221099</v>
      </c>
      <c r="D52" s="172">
        <v>0.82913701269133588</v>
      </c>
      <c r="E52" s="171">
        <v>0</v>
      </c>
      <c r="F52" s="171">
        <f>-$L$1</f>
        <v>-1.4990492230334603E-2</v>
      </c>
      <c r="G52" s="172">
        <v>0</v>
      </c>
      <c r="H52" s="172">
        <v>0</v>
      </c>
      <c r="I52" s="178">
        <f>-$N$1</f>
        <v>-4.7716218756768064E-3</v>
      </c>
      <c r="J52" s="171">
        <v>0</v>
      </c>
      <c r="L52">
        <v>0</v>
      </c>
      <c r="M52">
        <v>1.74633685247504</v>
      </c>
      <c r="N52">
        <v>0</v>
      </c>
      <c r="R52" s="35">
        <f t="shared" ca="1" si="9"/>
        <v>6.0246086472506564</v>
      </c>
    </row>
    <row r="53" spans="1:18">
      <c r="A53" s="171"/>
      <c r="B53" s="172">
        <v>0.58367185674448252</v>
      </c>
      <c r="C53" s="172">
        <v>2.0841504898711007</v>
      </c>
      <c r="D53" s="172">
        <v>0.75171422039661484</v>
      </c>
      <c r="E53" s="171">
        <v>0</v>
      </c>
      <c r="F53" s="172">
        <v>0</v>
      </c>
      <c r="G53" s="171">
        <f>-$L$1</f>
        <v>-1.4990492230334603E-2</v>
      </c>
      <c r="H53" s="172">
        <v>0</v>
      </c>
      <c r="I53" s="172">
        <v>0</v>
      </c>
      <c r="J53" s="178">
        <f>-$N$1</f>
        <v>-4.7716218756768064E-3</v>
      </c>
      <c r="L53">
        <v>0</v>
      </c>
      <c r="M53">
        <v>0</v>
      </c>
      <c r="N53">
        <v>0.42086168264925167</v>
      </c>
      <c r="R53" s="35">
        <f t="shared" ca="1" si="9"/>
        <v>160.26757680652088</v>
      </c>
    </row>
    <row r="54" spans="1:18">
      <c r="A54" s="171"/>
      <c r="B54" s="172"/>
      <c r="C54" s="172"/>
      <c r="D54" s="172"/>
      <c r="E54" s="171"/>
      <c r="F54" s="171"/>
      <c r="G54" s="171"/>
      <c r="H54" s="171"/>
      <c r="I54" s="171"/>
      <c r="J54" s="171"/>
      <c r="R54" s="35">
        <f t="shared" ca="1" si="9"/>
        <v>46.993344715890572</v>
      </c>
    </row>
    <row r="55" spans="1:18">
      <c r="A55" s="171"/>
      <c r="B55" s="172">
        <v>-1.253875629566908</v>
      </c>
      <c r="C55" s="172">
        <v>-3.2592166127769939E-2</v>
      </c>
      <c r="D55" s="172">
        <v>0.73934661383723232</v>
      </c>
      <c r="E55" s="171">
        <f>-$L$1</f>
        <v>-1.4990492230334603E-2</v>
      </c>
      <c r="F55" s="172">
        <v>0</v>
      </c>
      <c r="G55" s="172">
        <v>0</v>
      </c>
      <c r="H55" s="178">
        <f>-$N$1</f>
        <v>-4.7716218756768064E-3</v>
      </c>
      <c r="I55" s="171">
        <v>0</v>
      </c>
      <c r="J55" s="171">
        <v>0</v>
      </c>
      <c r="L55">
        <f t="array" ref="L55:N57">SVDD(B55:J57)</f>
        <v>3.3413273890033057</v>
      </c>
      <c r="M55">
        <v>0</v>
      </c>
      <c r="N55">
        <v>0</v>
      </c>
      <c r="P55">
        <f t="shared" ref="P55" si="22">MAX(L55,M56,N57)/MIN(L55,M56,N57)</f>
        <v>35.082172573625854</v>
      </c>
      <c r="R55" s="35">
        <f t="shared" ca="1" si="9"/>
        <v>176.02698094377152</v>
      </c>
    </row>
    <row r="56" spans="1:18">
      <c r="A56" s="171" t="s">
        <v>227</v>
      </c>
      <c r="B56" s="172">
        <v>-1.0351585166444348</v>
      </c>
      <c r="C56" s="172">
        <v>2.1037449841221099</v>
      </c>
      <c r="D56" s="172">
        <v>0.82913701269133588</v>
      </c>
      <c r="E56" s="171">
        <v>0</v>
      </c>
      <c r="F56" s="171">
        <f>-$L$1</f>
        <v>-1.4990492230334603E-2</v>
      </c>
      <c r="G56" s="172">
        <v>0</v>
      </c>
      <c r="H56" s="172">
        <v>0</v>
      </c>
      <c r="I56" s="178">
        <f>-$N$1</f>
        <v>-4.7716218756768064E-3</v>
      </c>
      <c r="J56" s="171">
        <v>0</v>
      </c>
      <c r="L56">
        <v>0</v>
      </c>
      <c r="M56">
        <v>1.6547359128423997</v>
      </c>
      <c r="N56">
        <v>0</v>
      </c>
      <c r="R56" s="35">
        <f t="shared" ca="1" si="9"/>
        <v>15.435613581200162</v>
      </c>
    </row>
    <row r="57" spans="1:18">
      <c r="A57" s="171"/>
      <c r="B57" s="172">
        <v>-2.5457845528396139E-2</v>
      </c>
      <c r="C57" s="172">
        <v>2.3667658472617719</v>
      </c>
      <c r="D57" s="172">
        <v>6.368425350466822E-2</v>
      </c>
      <c r="E57" s="171">
        <v>0</v>
      </c>
      <c r="F57" s="172">
        <v>0</v>
      </c>
      <c r="G57" s="171">
        <f>-$L$1</f>
        <v>-1.4990492230334603E-2</v>
      </c>
      <c r="H57" s="172">
        <v>0</v>
      </c>
      <c r="I57" s="172">
        <v>0</v>
      </c>
      <c r="J57" s="178">
        <f>-$N$1</f>
        <v>-4.7716218756768064E-3</v>
      </c>
      <c r="L57">
        <v>0</v>
      </c>
      <c r="M57">
        <v>0</v>
      </c>
      <c r="N57">
        <v>9.5242886739439148E-2</v>
      </c>
      <c r="R57" s="35">
        <f t="shared" ca="1" si="9"/>
        <v>143.64870086965129</v>
      </c>
    </row>
    <row r="58" spans="1:18">
      <c r="A58" s="171"/>
      <c r="B58" s="172"/>
      <c r="C58" s="172"/>
      <c r="D58" s="172"/>
      <c r="E58" s="171"/>
      <c r="F58" s="171"/>
      <c r="G58" s="171"/>
      <c r="H58" s="171"/>
      <c r="I58" s="171"/>
      <c r="J58" s="171"/>
      <c r="R58" s="35">
        <f t="shared" ca="1" si="9"/>
        <v>212.05508958099998</v>
      </c>
    </row>
    <row r="59" spans="1:18">
      <c r="A59" s="171"/>
      <c r="B59" s="172">
        <v>-1.253875629566908</v>
      </c>
      <c r="C59" s="172">
        <v>-3.2592166127769939E-2</v>
      </c>
      <c r="D59" s="172">
        <v>0.73934661383723232</v>
      </c>
      <c r="E59" s="171">
        <f>-$L$1</f>
        <v>-1.4990492230334603E-2</v>
      </c>
      <c r="F59" s="172">
        <v>0</v>
      </c>
      <c r="G59" s="172">
        <v>0</v>
      </c>
      <c r="H59" s="178">
        <f>-$N$1</f>
        <v>-4.7716218756768064E-3</v>
      </c>
      <c r="I59" s="171">
        <v>0</v>
      </c>
      <c r="J59" s="171">
        <v>0</v>
      </c>
      <c r="L59">
        <f t="array" ref="L59:N61">SVDD(B59:J61)</f>
        <v>3.2249699936945686</v>
      </c>
      <c r="M59">
        <v>0</v>
      </c>
      <c r="N59">
        <v>0</v>
      </c>
      <c r="P59">
        <f t="shared" ref="P59" si="23">MAX(L59,M60,N61)/MIN(L59,M60,N61)</f>
        <v>4.8589141529747186</v>
      </c>
      <c r="R59" s="35">
        <f t="shared" ca="1" si="9"/>
        <v>19.321800110909908</v>
      </c>
    </row>
    <row r="60" spans="1:18">
      <c r="A60" s="171" t="s">
        <v>228</v>
      </c>
      <c r="B60" s="172">
        <v>0.58367185674448252</v>
      </c>
      <c r="C60" s="172">
        <v>2.0841504898711007</v>
      </c>
      <c r="D60" s="172">
        <v>0.75171422039661484</v>
      </c>
      <c r="E60" s="171">
        <v>0</v>
      </c>
      <c r="F60" s="171">
        <f>-$L$1</f>
        <v>-1.4990492230334603E-2</v>
      </c>
      <c r="G60" s="172">
        <v>0</v>
      </c>
      <c r="H60" s="172">
        <v>0</v>
      </c>
      <c r="I60" s="178">
        <f>-$N$1</f>
        <v>-4.7716218756768064E-3</v>
      </c>
      <c r="J60" s="171">
        <v>0</v>
      </c>
      <c r="L60">
        <v>0</v>
      </c>
      <c r="M60">
        <v>1.4613001410760218</v>
      </c>
      <c r="N60">
        <v>0</v>
      </c>
      <c r="R60" s="35">
        <f t="shared" ca="1" si="9"/>
        <v>55.518790845095438</v>
      </c>
    </row>
    <row r="61" spans="1:18">
      <c r="A61" s="171"/>
      <c r="B61" s="172">
        <v>-2.5457845528396139E-2</v>
      </c>
      <c r="C61" s="172">
        <v>2.3667658472617719</v>
      </c>
      <c r="D61" s="172">
        <v>6.368425350466822E-2</v>
      </c>
      <c r="E61" s="171">
        <v>0</v>
      </c>
      <c r="F61" s="172">
        <v>0</v>
      </c>
      <c r="G61" s="171">
        <f>-$L$1</f>
        <v>-1.4990492230334603E-2</v>
      </c>
      <c r="H61" s="172">
        <v>0</v>
      </c>
      <c r="I61" s="172">
        <v>0</v>
      </c>
      <c r="J61" s="178">
        <f>-$N$1</f>
        <v>-4.7716218756768064E-3</v>
      </c>
      <c r="L61">
        <v>0</v>
      </c>
      <c r="M61">
        <v>0</v>
      </c>
      <c r="N61">
        <v>0.66372236515440008</v>
      </c>
      <c r="R61" s="35">
        <f t="shared" ca="1" si="9"/>
        <v>7.0828312033279532</v>
      </c>
    </row>
    <row r="62" spans="1:18">
      <c r="A62" s="171"/>
      <c r="B62" s="172"/>
      <c r="C62" s="172"/>
      <c r="D62" s="172"/>
      <c r="E62" s="171"/>
      <c r="F62" s="171"/>
      <c r="G62" s="171"/>
      <c r="H62" s="171"/>
      <c r="I62" s="171"/>
      <c r="J62" s="171"/>
      <c r="R62" s="35">
        <f t="shared" ca="1" si="9"/>
        <v>9.7150883563615089</v>
      </c>
    </row>
    <row r="63" spans="1:18">
      <c r="A63" s="171"/>
      <c r="B63" s="172">
        <v>1.0419123890112216</v>
      </c>
      <c r="C63" s="172">
        <v>-4.0818532431212473E-2</v>
      </c>
      <c r="D63" s="172">
        <v>0.77248383184656022</v>
      </c>
      <c r="E63" s="171">
        <f>-$L$1</f>
        <v>-1.4990492230334603E-2</v>
      </c>
      <c r="F63" s="172">
        <v>0</v>
      </c>
      <c r="G63" s="172">
        <v>0</v>
      </c>
      <c r="H63" s="178">
        <f>-$N$1</f>
        <v>-4.7716218756768064E-3</v>
      </c>
      <c r="I63" s="171">
        <v>0</v>
      </c>
      <c r="J63" s="171">
        <v>0</v>
      </c>
      <c r="L63">
        <f t="array" ref="L63:N65">SVDD(B63:J65)</f>
        <v>2.3452049431916442</v>
      </c>
      <c r="M63">
        <v>0</v>
      </c>
      <c r="N63">
        <v>0</v>
      </c>
      <c r="P63">
        <f t="shared" ref="P63" si="24">MAX(L63,M64,N65)/MIN(L63,M64,N65)</f>
        <v>4.1106906545114148</v>
      </c>
      <c r="R63" s="35">
        <f t="shared" ca="1" si="9"/>
        <v>60.795211104433726</v>
      </c>
    </row>
    <row r="64" spans="1:18">
      <c r="A64" s="171" t="s">
        <v>229</v>
      </c>
      <c r="B64" s="172">
        <v>-1.4028471761352286</v>
      </c>
      <c r="C64" s="172">
        <v>0.814665459345566</v>
      </c>
      <c r="D64" s="172">
        <v>0.7195871750303805</v>
      </c>
      <c r="E64" s="171">
        <v>0</v>
      </c>
      <c r="F64" s="171">
        <f>-$L$1</f>
        <v>-1.4990492230334603E-2</v>
      </c>
      <c r="G64" s="172">
        <v>0</v>
      </c>
      <c r="H64" s="172">
        <v>0</v>
      </c>
      <c r="I64" s="178">
        <f>-$N$1</f>
        <v>-4.7716218756768064E-3</v>
      </c>
      <c r="J64" s="171">
        <v>0</v>
      </c>
      <c r="L64">
        <v>0</v>
      </c>
      <c r="M64">
        <v>1.6732149962383434</v>
      </c>
      <c r="N64">
        <v>0</v>
      </c>
      <c r="R64" s="35">
        <f t="shared" ca="1" si="9"/>
        <v>248.11023739424459</v>
      </c>
    </row>
    <row r="65" spans="1:18">
      <c r="A65" s="171"/>
      <c r="B65" s="172">
        <v>1.4421025939282253</v>
      </c>
      <c r="C65" s="172">
        <v>1.0431877148697888</v>
      </c>
      <c r="D65" s="172">
        <v>0.78932433807079116</v>
      </c>
      <c r="E65" s="171">
        <v>0</v>
      </c>
      <c r="F65" s="172">
        <v>0</v>
      </c>
      <c r="G65" s="171">
        <f>-$L$1</f>
        <v>-1.4990492230334603E-2</v>
      </c>
      <c r="H65" s="172">
        <v>0</v>
      </c>
      <c r="I65" s="172">
        <v>0</v>
      </c>
      <c r="J65" s="178">
        <f>-$N$1</f>
        <v>-4.7716218756768064E-3</v>
      </c>
      <c r="L65">
        <v>0</v>
      </c>
      <c r="M65">
        <v>0</v>
      </c>
      <c r="N65">
        <v>0.57051360471939694</v>
      </c>
      <c r="R65" s="35">
        <f t="shared" ca="1" si="9"/>
        <v>14.255041194768802</v>
      </c>
    </row>
    <row r="66" spans="1:18">
      <c r="A66" s="171"/>
      <c r="B66" s="172"/>
      <c r="C66" s="172"/>
      <c r="D66" s="172"/>
      <c r="E66" s="171"/>
      <c r="F66" s="171"/>
      <c r="G66" s="171"/>
      <c r="H66" s="171"/>
      <c r="I66" s="171"/>
      <c r="J66" s="171"/>
      <c r="R66" s="35">
        <f t="shared" ca="1" si="9"/>
        <v>57.387633897654915</v>
      </c>
    </row>
    <row r="67" spans="1:18">
      <c r="A67" s="171"/>
      <c r="B67" s="172">
        <v>1.0419123890112216</v>
      </c>
      <c r="C67" s="172">
        <v>-4.0818532431212473E-2</v>
      </c>
      <c r="D67" s="172">
        <v>0.77248383184656022</v>
      </c>
      <c r="E67" s="171">
        <f>-$L$1</f>
        <v>-1.4990492230334603E-2</v>
      </c>
      <c r="F67" s="172">
        <v>0</v>
      </c>
      <c r="G67" s="172">
        <v>0</v>
      </c>
      <c r="H67" s="178">
        <f>-$N$1</f>
        <v>-4.7716218756768064E-3</v>
      </c>
      <c r="I67" s="171">
        <v>0</v>
      </c>
      <c r="J67" s="171">
        <v>0</v>
      </c>
      <c r="L67">
        <f t="array" ref="L67:N69">SVDD(B67:J69)</f>
        <v>2.975484676671631</v>
      </c>
      <c r="M67">
        <v>0</v>
      </c>
      <c r="N67">
        <v>0</v>
      </c>
      <c r="P67">
        <f t="shared" ref="P67" si="25">MAX(L67,M68,N69)/MIN(L67,M68,N69)</f>
        <v>4.6575730124244128</v>
      </c>
      <c r="R67" s="35">
        <f t="shared" ca="1" si="9"/>
        <v>21.075722188208807</v>
      </c>
    </row>
    <row r="68" spans="1:18">
      <c r="A68" s="171" t="s">
        <v>230</v>
      </c>
      <c r="B68" s="172">
        <v>-1.4028471761352286</v>
      </c>
      <c r="C68" s="172">
        <v>0.814665459345566</v>
      </c>
      <c r="D68" s="172">
        <v>0.7195871750303805</v>
      </c>
      <c r="E68" s="171">
        <v>0</v>
      </c>
      <c r="F68" s="171">
        <f>-$L$1</f>
        <v>-1.4990492230334603E-2</v>
      </c>
      <c r="G68" s="172">
        <v>0</v>
      </c>
      <c r="H68" s="172">
        <v>0</v>
      </c>
      <c r="I68" s="178">
        <f>-$N$1</f>
        <v>-4.7716218756768064E-3</v>
      </c>
      <c r="J68" s="171">
        <v>0</v>
      </c>
      <c r="L68">
        <v>0</v>
      </c>
      <c r="M68">
        <v>1.3256374050055959</v>
      </c>
      <c r="N68">
        <v>0</v>
      </c>
      <c r="R68" s="35">
        <f t="shared" ca="1" si="9"/>
        <v>10.128578188634867</v>
      </c>
    </row>
    <row r="69" spans="1:18">
      <c r="A69" s="171"/>
      <c r="B69" s="172">
        <v>-1.0351585166444348</v>
      </c>
      <c r="C69" s="172">
        <v>2.1037449841221099</v>
      </c>
      <c r="D69" s="172">
        <v>0.82913701269133588</v>
      </c>
      <c r="E69" s="171">
        <v>0</v>
      </c>
      <c r="F69" s="172">
        <v>0</v>
      </c>
      <c r="G69" s="171">
        <f>-$L$1</f>
        <v>-1.4990492230334603E-2</v>
      </c>
      <c r="H69" s="172">
        <v>0</v>
      </c>
      <c r="I69" s="172">
        <v>0</v>
      </c>
      <c r="J69" s="178">
        <f>-$N$1</f>
        <v>-4.7716218756768064E-3</v>
      </c>
      <c r="L69">
        <v>0</v>
      </c>
      <c r="M69">
        <v>0</v>
      </c>
      <c r="N69">
        <v>0.638848745630892</v>
      </c>
      <c r="R69" s="35">
        <f t="shared" ref="R69:R132" ca="1" si="26">OFFSET($P$3,4*(ROW(A67)-1),0,1,1)</f>
        <v>69.470509414782754</v>
      </c>
    </row>
    <row r="70" spans="1:18">
      <c r="A70" s="171"/>
      <c r="B70" s="172"/>
      <c r="C70" s="172"/>
      <c r="D70" s="172"/>
      <c r="E70" s="171"/>
      <c r="F70" s="171"/>
      <c r="G70" s="171"/>
      <c r="H70" s="171"/>
      <c r="I70" s="171"/>
      <c r="J70" s="171"/>
      <c r="R70" s="35">
        <f t="shared" ca="1" si="26"/>
        <v>7.520000920680614</v>
      </c>
    </row>
    <row r="71" spans="1:18">
      <c r="A71" s="171"/>
      <c r="B71" s="172">
        <v>1.0419123890112216</v>
      </c>
      <c r="C71" s="172">
        <v>-4.0818532431212473E-2</v>
      </c>
      <c r="D71" s="172">
        <v>0.77248383184656022</v>
      </c>
      <c r="E71" s="171">
        <f>-$L$1</f>
        <v>-1.4990492230334603E-2</v>
      </c>
      <c r="F71" s="172">
        <v>0</v>
      </c>
      <c r="G71" s="172">
        <v>0</v>
      </c>
      <c r="H71" s="178">
        <f>-$N$1</f>
        <v>-4.7716218756768064E-3</v>
      </c>
      <c r="I71" s="171">
        <v>0</v>
      </c>
      <c r="J71" s="171">
        <v>0</v>
      </c>
      <c r="L71">
        <f t="array" ref="L71:N73">SVDD(B71:J73)</f>
        <v>2.4591791278336705</v>
      </c>
      <c r="M71">
        <v>0</v>
      </c>
      <c r="N71">
        <v>0</v>
      </c>
      <c r="P71">
        <f t="shared" ref="P71" si="27">MAX(L71,M72,N73)/MIN(L71,M72,N73)</f>
        <v>3.0886614750230454</v>
      </c>
      <c r="R71" s="35">
        <f t="shared" ca="1" si="26"/>
        <v>12.992643209090787</v>
      </c>
    </row>
    <row r="72" spans="1:18">
      <c r="A72" s="171" t="s">
        <v>231</v>
      </c>
      <c r="B72" s="172">
        <v>-1.4028471761352286</v>
      </c>
      <c r="C72" s="172">
        <v>0.814665459345566</v>
      </c>
      <c r="D72" s="172">
        <v>0.7195871750303805</v>
      </c>
      <c r="E72" s="171">
        <v>0</v>
      </c>
      <c r="F72" s="171">
        <f>-$L$1</f>
        <v>-1.4990492230334603E-2</v>
      </c>
      <c r="G72" s="172">
        <v>0</v>
      </c>
      <c r="H72" s="172">
        <v>0</v>
      </c>
      <c r="I72" s="178">
        <f>-$N$1</f>
        <v>-4.7716218756768064E-3</v>
      </c>
      <c r="J72" s="171">
        <v>0</v>
      </c>
      <c r="L72">
        <v>0</v>
      </c>
      <c r="M72">
        <v>1.8444857637686292</v>
      </c>
      <c r="N72">
        <v>0</v>
      </c>
      <c r="R72" s="35">
        <f t="shared" ca="1" si="26"/>
        <v>7.6441049713352109</v>
      </c>
    </row>
    <row r="73" spans="1:18">
      <c r="A73" s="171"/>
      <c r="B73" s="172">
        <v>0.58367185674448252</v>
      </c>
      <c r="C73" s="172">
        <v>2.0841504898711007</v>
      </c>
      <c r="D73" s="172">
        <v>0.75171422039661484</v>
      </c>
      <c r="E73" s="171">
        <v>0</v>
      </c>
      <c r="F73" s="172">
        <v>0</v>
      </c>
      <c r="G73" s="171">
        <f>-$L$1</f>
        <v>-1.4990492230334603E-2</v>
      </c>
      <c r="H73" s="172">
        <v>0</v>
      </c>
      <c r="I73" s="172">
        <v>0</v>
      </c>
      <c r="J73" s="178">
        <f>-$N$1</f>
        <v>-4.7716218756768064E-3</v>
      </c>
      <c r="L73">
        <v>0</v>
      </c>
      <c r="M73">
        <v>0</v>
      </c>
      <c r="N73">
        <v>0.79619574618980282</v>
      </c>
      <c r="R73" s="35">
        <f t="shared" ca="1" si="26"/>
        <v>6.5421425181128727</v>
      </c>
    </row>
    <row r="74" spans="1:18">
      <c r="A74" s="171"/>
      <c r="B74" s="172"/>
      <c r="C74" s="172"/>
      <c r="D74" s="172"/>
      <c r="E74" s="171"/>
      <c r="F74" s="171"/>
      <c r="G74" s="171"/>
      <c r="H74" s="171"/>
      <c r="I74" s="171"/>
      <c r="J74" s="171"/>
      <c r="R74" s="35">
        <f t="shared" ca="1" si="26"/>
        <v>3.8019800441798788</v>
      </c>
    </row>
    <row r="75" spans="1:18">
      <c r="A75" s="171"/>
      <c r="B75" s="172">
        <v>1.0419123890112216</v>
      </c>
      <c r="C75" s="172">
        <v>-4.0818532431212473E-2</v>
      </c>
      <c r="D75" s="172">
        <v>0.77248383184656022</v>
      </c>
      <c r="E75" s="171">
        <f>-$L$1</f>
        <v>-1.4990492230334603E-2</v>
      </c>
      <c r="F75" s="172">
        <v>0</v>
      </c>
      <c r="G75" s="172">
        <v>0</v>
      </c>
      <c r="H75" s="178">
        <f>-$N$1</f>
        <v>-4.7716218756768064E-3</v>
      </c>
      <c r="I75" s="171">
        <v>0</v>
      </c>
      <c r="J75" s="171">
        <v>0</v>
      </c>
      <c r="L75">
        <f t="array" ref="L75:N77">SVDD(B75:J77)</f>
        <v>2.6054982233006712</v>
      </c>
      <c r="M75">
        <v>0</v>
      </c>
      <c r="N75">
        <v>0</v>
      </c>
      <c r="P75">
        <f t="shared" ref="P75" si="28">MAX(L75,M76,N77)/MIN(L75,M76,N77)</f>
        <v>2.5759313040446781</v>
      </c>
      <c r="R75" s="35">
        <f t="shared" ca="1" si="26"/>
        <v>5.3432505600512021</v>
      </c>
    </row>
    <row r="76" spans="1:18">
      <c r="A76" s="171" t="s">
        <v>232</v>
      </c>
      <c r="B76" s="172">
        <v>-1.4028471761352286</v>
      </c>
      <c r="C76" s="172">
        <v>0.814665459345566</v>
      </c>
      <c r="D76" s="172">
        <v>0.7195871750303805</v>
      </c>
      <c r="E76" s="171">
        <v>0</v>
      </c>
      <c r="F76" s="171">
        <f>-$L$1</f>
        <v>-1.4990492230334603E-2</v>
      </c>
      <c r="G76" s="172">
        <v>0</v>
      </c>
      <c r="H76" s="172">
        <v>0</v>
      </c>
      <c r="I76" s="178">
        <f>-$N$1</f>
        <v>-4.7716218756768064E-3</v>
      </c>
      <c r="J76" s="171">
        <v>0</v>
      </c>
      <c r="L76">
        <v>0</v>
      </c>
      <c r="M76">
        <v>1.6213458419813467</v>
      </c>
      <c r="N76">
        <v>0</v>
      </c>
      <c r="R76" s="35">
        <f t="shared" ca="1" si="26"/>
        <v>3.9016936437990282</v>
      </c>
    </row>
    <row r="77" spans="1:18">
      <c r="A77" s="171"/>
      <c r="B77" s="172">
        <v>-2.5457845528396139E-2</v>
      </c>
      <c r="C77" s="172">
        <v>2.3667658472617719</v>
      </c>
      <c r="D77" s="172">
        <v>6.368425350466822E-2</v>
      </c>
      <c r="E77" s="171">
        <v>0</v>
      </c>
      <c r="F77" s="172">
        <v>0</v>
      </c>
      <c r="G77" s="171">
        <f>-$L$1</f>
        <v>-1.4990492230334603E-2</v>
      </c>
      <c r="H77" s="172">
        <v>0</v>
      </c>
      <c r="I77" s="172">
        <v>0</v>
      </c>
      <c r="J77" s="178">
        <f>-$N$1</f>
        <v>-4.7716218756768064E-3</v>
      </c>
      <c r="L77">
        <v>0</v>
      </c>
      <c r="M77">
        <v>0</v>
      </c>
      <c r="N77">
        <v>1.0114781474216985</v>
      </c>
      <c r="R77" s="35">
        <f t="shared" ca="1" si="26"/>
        <v>4.8257536934276164</v>
      </c>
    </row>
    <row r="78" spans="1:18">
      <c r="A78" s="171"/>
      <c r="B78" s="172"/>
      <c r="C78" s="172"/>
      <c r="D78" s="172"/>
      <c r="E78" s="171"/>
      <c r="F78" s="171"/>
      <c r="G78" s="171"/>
      <c r="H78" s="171"/>
      <c r="I78" s="171"/>
      <c r="J78" s="171"/>
      <c r="R78" s="35">
        <f t="shared" ca="1" si="26"/>
        <v>4.2232008730237434</v>
      </c>
    </row>
    <row r="79" spans="1:18">
      <c r="A79" s="171"/>
      <c r="B79" s="172">
        <v>1.0419123890112216</v>
      </c>
      <c r="C79" s="172">
        <v>-4.0818532431212473E-2</v>
      </c>
      <c r="D79" s="172">
        <v>0.77248383184656022</v>
      </c>
      <c r="E79" s="171">
        <f>-$L$1</f>
        <v>-1.4990492230334603E-2</v>
      </c>
      <c r="F79" s="172">
        <v>0</v>
      </c>
      <c r="G79" s="172">
        <v>0</v>
      </c>
      <c r="H79" s="178">
        <f>-$N$1</f>
        <v>-4.7716218756768064E-3</v>
      </c>
      <c r="I79" s="171">
        <v>0</v>
      </c>
      <c r="J79" s="171">
        <v>0</v>
      </c>
      <c r="L79">
        <f t="array" ref="L79:N81">SVDD(B79:J81)</f>
        <v>2.6138906751188418</v>
      </c>
      <c r="M79">
        <v>0</v>
      </c>
      <c r="N79">
        <v>0</v>
      </c>
      <c r="P79">
        <f t="shared" ref="P79" si="29">MAX(L79,M80,N81)/MIN(L79,M80,N81)</f>
        <v>6.0507660010919153</v>
      </c>
      <c r="R79" s="35">
        <f t="shared" ca="1" si="26"/>
        <v>7.3061038080832263</v>
      </c>
    </row>
    <row r="80" spans="1:18">
      <c r="A80" s="171" t="s">
        <v>233</v>
      </c>
      <c r="B80" s="172">
        <v>1.4421025939282253</v>
      </c>
      <c r="C80" s="172">
        <v>1.0431877148697888</v>
      </c>
      <c r="D80" s="172">
        <v>0.78932433807079116</v>
      </c>
      <c r="E80" s="171">
        <v>0</v>
      </c>
      <c r="F80" s="171">
        <f>-$L$1</f>
        <v>-1.4990492230334603E-2</v>
      </c>
      <c r="G80" s="172">
        <v>0</v>
      </c>
      <c r="H80" s="172">
        <v>0</v>
      </c>
      <c r="I80" s="178">
        <f>-$N$1</f>
        <v>-4.7716218756768064E-3</v>
      </c>
      <c r="J80" s="171">
        <v>0</v>
      </c>
      <c r="L80">
        <v>0</v>
      </c>
      <c r="M80">
        <v>2.1543853630052077</v>
      </c>
      <c r="N80">
        <v>0</v>
      </c>
      <c r="R80" s="35">
        <f t="shared" ca="1" si="26"/>
        <v>4.6631085943494535</v>
      </c>
    </row>
    <row r="81" spans="1:18">
      <c r="A81" s="171"/>
      <c r="B81" s="172">
        <v>-1.0351585166444348</v>
      </c>
      <c r="C81" s="172">
        <v>2.1037449841221099</v>
      </c>
      <c r="D81" s="172">
        <v>0.82913701269133588</v>
      </c>
      <c r="E81" s="171">
        <v>0</v>
      </c>
      <c r="F81" s="172">
        <v>0</v>
      </c>
      <c r="G81" s="171">
        <f>-$L$1</f>
        <v>-1.4990492230334603E-2</v>
      </c>
      <c r="H81" s="172">
        <v>0</v>
      </c>
      <c r="I81" s="172">
        <v>0</v>
      </c>
      <c r="J81" s="178">
        <f>-$N$1</f>
        <v>-4.7716218756768064E-3</v>
      </c>
      <c r="L81">
        <v>0</v>
      </c>
      <c r="M81">
        <v>0</v>
      </c>
      <c r="N81">
        <v>0.43199335003983652</v>
      </c>
      <c r="R81" s="35">
        <f t="shared" ca="1" si="26"/>
        <v>4.8000748820898664</v>
      </c>
    </row>
    <row r="82" spans="1:18">
      <c r="A82" s="171"/>
      <c r="B82" s="172"/>
      <c r="C82" s="172"/>
      <c r="D82" s="172"/>
      <c r="E82" s="171"/>
      <c r="F82" s="171"/>
      <c r="G82" s="171"/>
      <c r="H82" s="171"/>
      <c r="I82" s="171"/>
      <c r="J82" s="171"/>
      <c r="R82" s="35">
        <f t="shared" ca="1" si="26"/>
        <v>5.4675335053292873</v>
      </c>
    </row>
    <row r="83" spans="1:18">
      <c r="A83" s="171"/>
      <c r="B83" s="172">
        <v>1.0419123890112216</v>
      </c>
      <c r="C83" s="172">
        <v>-4.0818532431212473E-2</v>
      </c>
      <c r="D83" s="172">
        <v>0.77248383184656022</v>
      </c>
      <c r="E83" s="171">
        <f>-$L$1</f>
        <v>-1.4990492230334603E-2</v>
      </c>
      <c r="F83" s="172">
        <v>0</v>
      </c>
      <c r="G83" s="172">
        <v>0</v>
      </c>
      <c r="H83" s="178">
        <f>-$N$1</f>
        <v>-4.7716218756768064E-3</v>
      </c>
      <c r="I83" s="171">
        <v>0</v>
      </c>
      <c r="J83" s="171">
        <v>0</v>
      </c>
      <c r="L83">
        <f t="array" ref="L83:N85">SVDD(B83:J85)</f>
        <v>2.9773553417226419</v>
      </c>
      <c r="M83">
        <v>0</v>
      </c>
      <c r="N83">
        <v>0</v>
      </c>
      <c r="P83">
        <f t="shared" ref="P83" si="30">MAX(L83,M84,N85)/MIN(L83,M84,N85)</f>
        <v>12.111695063154006</v>
      </c>
      <c r="R83" s="35">
        <f t="shared" ca="1" si="26"/>
        <v>8.0731436876378737</v>
      </c>
    </row>
    <row r="84" spans="1:18">
      <c r="A84" s="171" t="s">
        <v>234</v>
      </c>
      <c r="B84" s="172">
        <v>1.4421025939282253</v>
      </c>
      <c r="C84" s="172">
        <v>1.0431877148697888</v>
      </c>
      <c r="D84" s="172">
        <v>0.78932433807079116</v>
      </c>
      <c r="E84" s="171">
        <v>0</v>
      </c>
      <c r="F84" s="171">
        <f>-$L$1</f>
        <v>-1.4990492230334603E-2</v>
      </c>
      <c r="G84" s="172">
        <v>0</v>
      </c>
      <c r="H84" s="172">
        <v>0</v>
      </c>
      <c r="I84" s="178">
        <f>-$N$1</f>
        <v>-4.7716218756768064E-3</v>
      </c>
      <c r="J84" s="171">
        <v>0</v>
      </c>
      <c r="L84">
        <v>0</v>
      </c>
      <c r="M84">
        <v>1.3416446635458756</v>
      </c>
      <c r="N84">
        <v>0</v>
      </c>
      <c r="R84" s="35">
        <f t="shared" ca="1" si="26"/>
        <v>14.980252326420555</v>
      </c>
    </row>
    <row r="85" spans="1:18">
      <c r="A85" s="171"/>
      <c r="B85" s="172">
        <v>0.58367185674448252</v>
      </c>
      <c r="C85" s="172">
        <v>2.0841504898711007</v>
      </c>
      <c r="D85" s="172">
        <v>0.75171422039661484</v>
      </c>
      <c r="E85" s="171">
        <v>0</v>
      </c>
      <c r="F85" s="172">
        <v>0</v>
      </c>
      <c r="G85" s="171">
        <f>-$L$1</f>
        <v>-1.4990492230334603E-2</v>
      </c>
      <c r="H85" s="172">
        <v>0</v>
      </c>
      <c r="I85" s="172">
        <v>0</v>
      </c>
      <c r="J85" s="178">
        <f>-$N$1</f>
        <v>-4.7716218756768064E-3</v>
      </c>
      <c r="L85">
        <v>0</v>
      </c>
      <c r="M85">
        <v>0</v>
      </c>
      <c r="N85">
        <v>0.2458248268469293</v>
      </c>
      <c r="R85" s="35">
        <f t="shared" ca="1" si="26"/>
        <v>6.3882269273436849</v>
      </c>
    </row>
    <row r="86" spans="1:18">
      <c r="A86" s="171"/>
      <c r="B86" s="172"/>
      <c r="C86" s="172"/>
      <c r="D86" s="172"/>
      <c r="E86" s="171"/>
      <c r="F86" s="171"/>
      <c r="G86" s="171"/>
      <c r="H86" s="171"/>
      <c r="I86" s="171"/>
      <c r="J86" s="171"/>
      <c r="R86" s="35">
        <f t="shared" ca="1" si="26"/>
        <v>4.7091027641262944</v>
      </c>
    </row>
    <row r="87" spans="1:18">
      <c r="A87" s="171"/>
      <c r="B87" s="172">
        <v>1.0419123890112216</v>
      </c>
      <c r="C87" s="172">
        <v>-4.0818532431212473E-2</v>
      </c>
      <c r="D87" s="172">
        <v>0.77248383184656022</v>
      </c>
      <c r="E87" s="171">
        <f>-$L$1</f>
        <v>-1.4990492230334603E-2</v>
      </c>
      <c r="F87" s="172">
        <v>0</v>
      </c>
      <c r="G87" s="172">
        <v>0</v>
      </c>
      <c r="H87" s="178">
        <f>-$N$1</f>
        <v>-4.7716218756768064E-3</v>
      </c>
      <c r="I87" s="171">
        <v>0</v>
      </c>
      <c r="J87" s="171">
        <v>0</v>
      </c>
      <c r="L87">
        <f t="array" ref="L87:N89">SVDD(B87:J89)</f>
        <v>2.7529853272175115</v>
      </c>
      <c r="M87">
        <v>0</v>
      </c>
      <c r="N87">
        <v>0</v>
      </c>
      <c r="P87">
        <f t="shared" ref="P87" si="31">MAX(L87,M88,N89)/MIN(L87,M88,N89)</f>
        <v>17.926260578701314</v>
      </c>
      <c r="R87" s="35">
        <f t="shared" ca="1" si="26"/>
        <v>25.834490364680985</v>
      </c>
    </row>
    <row r="88" spans="1:18">
      <c r="A88" s="171" t="s">
        <v>235</v>
      </c>
      <c r="B88" s="172">
        <v>1.4421025939282253</v>
      </c>
      <c r="C88" s="172">
        <v>1.0431877148697888</v>
      </c>
      <c r="D88" s="172">
        <v>0.78932433807079116</v>
      </c>
      <c r="E88" s="171">
        <v>0</v>
      </c>
      <c r="F88" s="171">
        <f>-$L$1</f>
        <v>-1.4990492230334603E-2</v>
      </c>
      <c r="G88" s="172">
        <v>0</v>
      </c>
      <c r="H88" s="172">
        <v>0</v>
      </c>
      <c r="I88" s="178">
        <f>-$N$1</f>
        <v>-4.7716218756768064E-3</v>
      </c>
      <c r="J88" s="171">
        <v>0</v>
      </c>
      <c r="L88">
        <v>0</v>
      </c>
      <c r="M88">
        <v>1.8653220276276257</v>
      </c>
      <c r="N88">
        <v>0</v>
      </c>
      <c r="R88" s="35">
        <f t="shared" ca="1" si="26"/>
        <v>157.25101650189873</v>
      </c>
    </row>
    <row r="89" spans="1:18">
      <c r="A89" s="171"/>
      <c r="B89" s="172">
        <v>-2.5457845528396139E-2</v>
      </c>
      <c r="C89" s="172">
        <v>2.3667658472617719</v>
      </c>
      <c r="D89" s="172">
        <v>6.368425350466822E-2</v>
      </c>
      <c r="E89" s="171">
        <v>0</v>
      </c>
      <c r="F89" s="172">
        <v>0</v>
      </c>
      <c r="G89" s="171">
        <f>-$L$1</f>
        <v>-1.4990492230334603E-2</v>
      </c>
      <c r="H89" s="172">
        <v>0</v>
      </c>
      <c r="I89" s="172">
        <v>0</v>
      </c>
      <c r="J89" s="178">
        <f>-$N$1</f>
        <v>-4.7716218756768064E-3</v>
      </c>
      <c r="L89">
        <v>0</v>
      </c>
      <c r="M89">
        <v>0</v>
      </c>
      <c r="N89">
        <v>0.15357276076240964</v>
      </c>
      <c r="R89" s="35">
        <f t="shared" ca="1" si="26"/>
        <v>100.13119378837854</v>
      </c>
    </row>
    <row r="90" spans="1:18">
      <c r="A90" s="171"/>
      <c r="B90" s="172"/>
      <c r="C90" s="172"/>
      <c r="D90" s="172"/>
      <c r="E90" s="171"/>
      <c r="F90" s="171"/>
      <c r="G90" s="171"/>
      <c r="H90" s="171"/>
      <c r="I90" s="171"/>
      <c r="J90" s="171"/>
      <c r="R90" s="35">
        <f t="shared" ca="1" si="26"/>
        <v>201.16039850027767</v>
      </c>
    </row>
    <row r="91" spans="1:18">
      <c r="A91" s="171"/>
      <c r="B91" s="172">
        <v>1.0419123890112216</v>
      </c>
      <c r="C91" s="172">
        <v>-4.0818532431212473E-2</v>
      </c>
      <c r="D91" s="172">
        <v>0.77248383184656022</v>
      </c>
      <c r="E91" s="171">
        <f>-$L$1</f>
        <v>-1.4990492230334603E-2</v>
      </c>
      <c r="F91" s="172">
        <v>0</v>
      </c>
      <c r="G91" s="172">
        <v>0</v>
      </c>
      <c r="H91" s="178">
        <f>-$N$1</f>
        <v>-4.7716218756768064E-3</v>
      </c>
      <c r="I91" s="171">
        <v>0</v>
      </c>
      <c r="J91" s="171">
        <v>0</v>
      </c>
      <c r="L91">
        <f t="array" ref="L91:N93">SVDD(B91:J93)</f>
        <v>3.1875243646931484</v>
      </c>
      <c r="M91">
        <v>0</v>
      </c>
      <c r="N91">
        <v>0</v>
      </c>
      <c r="P91">
        <f t="shared" ref="P91" si="32">MAX(L91,M92,N93)/MIN(L91,M92,N93)</f>
        <v>5.8798725000747956</v>
      </c>
      <c r="R91" s="35">
        <f t="shared" ca="1" si="26"/>
        <v>24.805518369711482</v>
      </c>
    </row>
    <row r="92" spans="1:18">
      <c r="A92" s="171" t="s">
        <v>236</v>
      </c>
      <c r="B92" s="172">
        <v>-1.0351585166444348</v>
      </c>
      <c r="C92" s="172">
        <v>2.1037449841221099</v>
      </c>
      <c r="D92" s="172">
        <v>0.82913701269133588</v>
      </c>
      <c r="E92" s="171">
        <v>0</v>
      </c>
      <c r="F92" s="171">
        <f>-$L$1</f>
        <v>-1.4990492230334603E-2</v>
      </c>
      <c r="G92" s="172">
        <v>0</v>
      </c>
      <c r="H92" s="172">
        <v>0</v>
      </c>
      <c r="I92" s="178">
        <f>-$N$1</f>
        <v>-4.7716218756768064E-3</v>
      </c>
      <c r="J92" s="171">
        <v>0</v>
      </c>
      <c r="L92">
        <v>0</v>
      </c>
      <c r="M92">
        <v>1.6323981118348685</v>
      </c>
      <c r="N92">
        <v>0</v>
      </c>
      <c r="R92" s="35">
        <f t="shared" ca="1" si="26"/>
        <v>116.69327450544299</v>
      </c>
    </row>
    <row r="93" spans="1:18">
      <c r="A93" s="171"/>
      <c r="B93" s="172">
        <v>0.58367185674448252</v>
      </c>
      <c r="C93" s="172">
        <v>2.0841504898711007</v>
      </c>
      <c r="D93" s="172">
        <v>0.75171422039661484</v>
      </c>
      <c r="E93" s="171">
        <v>0</v>
      </c>
      <c r="F93" s="172">
        <v>0</v>
      </c>
      <c r="G93" s="171">
        <f>-$L$1</f>
        <v>-1.4990492230334603E-2</v>
      </c>
      <c r="H93" s="172">
        <v>0</v>
      </c>
      <c r="I93" s="172">
        <v>0</v>
      </c>
      <c r="J93" s="178">
        <f>-$N$1</f>
        <v>-4.7716218756768064E-3</v>
      </c>
      <c r="L93">
        <v>0</v>
      </c>
      <c r="M93">
        <v>0</v>
      </c>
      <c r="N93">
        <v>0.54210773527021228</v>
      </c>
      <c r="R93" s="35">
        <f t="shared" ca="1" si="26"/>
        <v>111.84136912464257</v>
      </c>
    </row>
    <row r="94" spans="1:18">
      <c r="A94" s="171"/>
      <c r="B94" s="172"/>
      <c r="C94" s="172"/>
      <c r="D94" s="172"/>
      <c r="E94" s="171"/>
      <c r="F94" s="171"/>
      <c r="G94" s="171"/>
      <c r="H94" s="171"/>
      <c r="I94" s="171"/>
      <c r="J94" s="171"/>
      <c r="R94" s="35">
        <f t="shared" ca="1" si="26"/>
        <v>11.217641164351797</v>
      </c>
    </row>
    <row r="95" spans="1:18">
      <c r="A95" s="171"/>
      <c r="B95" s="172">
        <v>1.0419123890112216</v>
      </c>
      <c r="C95" s="172">
        <v>-4.0818532431212473E-2</v>
      </c>
      <c r="D95" s="172">
        <v>0.77248383184656022</v>
      </c>
      <c r="E95" s="171">
        <f>-$L$1</f>
        <v>-1.4990492230334603E-2</v>
      </c>
      <c r="F95" s="172">
        <v>0</v>
      </c>
      <c r="G95" s="172">
        <v>0</v>
      </c>
      <c r="H95" s="178">
        <f>-$N$1</f>
        <v>-4.7716218756768064E-3</v>
      </c>
      <c r="I95" s="171">
        <v>0</v>
      </c>
      <c r="J95" s="171">
        <v>0</v>
      </c>
      <c r="L95">
        <f t="array" ref="L95:N97">SVDD(B95:J97)</f>
        <v>3.3139587016971479</v>
      </c>
      <c r="M95">
        <v>0</v>
      </c>
      <c r="N95">
        <v>0</v>
      </c>
      <c r="P95">
        <f t="shared" ref="P95" si="33">MAX(L95,M96,N97)/MIN(L95,M96,N97)</f>
        <v>3.8804856131708196</v>
      </c>
      <c r="R95" s="35">
        <f t="shared" ca="1" si="26"/>
        <v>58.862333601481097</v>
      </c>
    </row>
    <row r="96" spans="1:18">
      <c r="A96" s="171" t="s">
        <v>237</v>
      </c>
      <c r="B96" s="172">
        <v>-1.0351585166444348</v>
      </c>
      <c r="C96" s="172">
        <v>2.1037449841221099</v>
      </c>
      <c r="D96" s="172">
        <v>0.82913701269133588</v>
      </c>
      <c r="E96" s="171">
        <v>0</v>
      </c>
      <c r="F96" s="171">
        <f>-$L$1</f>
        <v>-1.4990492230334603E-2</v>
      </c>
      <c r="G96" s="172">
        <v>0</v>
      </c>
      <c r="H96" s="172">
        <v>0</v>
      </c>
      <c r="I96" s="178">
        <f>-$N$1</f>
        <v>-4.7716218756768064E-3</v>
      </c>
      <c r="J96" s="171">
        <v>0</v>
      </c>
      <c r="L96">
        <v>0</v>
      </c>
      <c r="M96">
        <v>1.3282022152487847</v>
      </c>
      <c r="N96">
        <v>0</v>
      </c>
      <c r="R96" s="35">
        <f t="shared" ca="1" si="26"/>
        <v>8.7221521760227372</v>
      </c>
    </row>
    <row r="97" spans="1:18">
      <c r="A97" s="171"/>
      <c r="B97" s="172">
        <v>-2.5457845528396139E-2</v>
      </c>
      <c r="C97" s="172">
        <v>2.3667658472617719</v>
      </c>
      <c r="D97" s="172">
        <v>6.368425350466822E-2</v>
      </c>
      <c r="E97" s="171">
        <v>0</v>
      </c>
      <c r="F97" s="172">
        <v>0</v>
      </c>
      <c r="G97" s="171">
        <f>-$L$1</f>
        <v>-1.4990492230334603E-2</v>
      </c>
      <c r="H97" s="172">
        <v>0</v>
      </c>
      <c r="I97" s="172">
        <v>0</v>
      </c>
      <c r="J97" s="178">
        <f>-$N$1</f>
        <v>-4.7716218756768064E-3</v>
      </c>
      <c r="L97">
        <v>0</v>
      </c>
      <c r="M97">
        <v>0</v>
      </c>
      <c r="N97">
        <v>0.85400618171323361</v>
      </c>
      <c r="R97" s="35">
        <f t="shared" ca="1" si="26"/>
        <v>8.1721077716016133</v>
      </c>
    </row>
    <row r="98" spans="1:18">
      <c r="A98" s="171"/>
      <c r="B98" s="172"/>
      <c r="C98" s="172"/>
      <c r="D98" s="172"/>
      <c r="E98" s="171"/>
      <c r="F98" s="171"/>
      <c r="G98" s="171"/>
      <c r="H98" s="171"/>
      <c r="I98" s="171"/>
      <c r="J98" s="171"/>
      <c r="R98" s="35">
        <f t="shared" ca="1" si="26"/>
        <v>73.974147367343548</v>
      </c>
    </row>
    <row r="99" spans="1:18">
      <c r="A99" s="171"/>
      <c r="B99" s="172">
        <v>1.0419123890112216</v>
      </c>
      <c r="C99" s="172">
        <v>-4.0818532431212473E-2</v>
      </c>
      <c r="D99" s="172">
        <v>0.77248383184656022</v>
      </c>
      <c r="E99" s="171">
        <f>-$L$1</f>
        <v>-1.4990492230334603E-2</v>
      </c>
      <c r="F99" s="172">
        <v>0</v>
      </c>
      <c r="G99" s="172">
        <v>0</v>
      </c>
      <c r="H99" s="178">
        <f>-$N$1</f>
        <v>-4.7716218756768064E-3</v>
      </c>
      <c r="I99" s="171">
        <v>0</v>
      </c>
      <c r="J99" s="171">
        <v>0</v>
      </c>
      <c r="L99">
        <f t="array" ref="L99:N101">SVDD(B99:J101)</f>
        <v>3.2334924143171238</v>
      </c>
      <c r="M99">
        <v>0</v>
      </c>
      <c r="N99">
        <v>0</v>
      </c>
      <c r="P99">
        <f t="shared" ref="P99" si="34">MAX(L99,M100,N101)/MIN(L99,M100,N101)</f>
        <v>24.669275971177594</v>
      </c>
      <c r="R99" s="35">
        <f t="shared" ca="1" si="26"/>
        <v>150.22207654892082</v>
      </c>
    </row>
    <row r="100" spans="1:18">
      <c r="A100" s="171" t="s">
        <v>238</v>
      </c>
      <c r="B100" s="172">
        <v>0.58367185674448252</v>
      </c>
      <c r="C100" s="172">
        <v>2.0841504898711007</v>
      </c>
      <c r="D100" s="172">
        <v>0.75171422039661484</v>
      </c>
      <c r="E100" s="171">
        <v>0</v>
      </c>
      <c r="F100" s="171">
        <f>-$L$1</f>
        <v>-1.4990492230334603E-2</v>
      </c>
      <c r="G100" s="172">
        <v>0</v>
      </c>
      <c r="H100" s="172">
        <v>0</v>
      </c>
      <c r="I100" s="178">
        <f>-$N$1</f>
        <v>-4.7716218756768064E-3</v>
      </c>
      <c r="J100" s="171">
        <v>0</v>
      </c>
      <c r="L100">
        <v>0</v>
      </c>
      <c r="M100">
        <v>1.4379786270197621</v>
      </c>
      <c r="N100">
        <v>0</v>
      </c>
      <c r="R100" s="35">
        <f t="shared" ca="1" si="26"/>
        <v>10.506106689169831</v>
      </c>
    </row>
    <row r="101" spans="1:18">
      <c r="A101" s="171"/>
      <c r="B101" s="172">
        <v>-2.5457845528396139E-2</v>
      </c>
      <c r="C101" s="172">
        <v>2.3667658472617719</v>
      </c>
      <c r="D101" s="172">
        <v>6.368425350466822E-2</v>
      </c>
      <c r="E101" s="171">
        <v>0</v>
      </c>
      <c r="F101" s="172">
        <v>0</v>
      </c>
      <c r="G101" s="171">
        <f>-$L$1</f>
        <v>-1.4990492230334603E-2</v>
      </c>
      <c r="H101" s="172">
        <v>0</v>
      </c>
      <c r="I101" s="172">
        <v>0</v>
      </c>
      <c r="J101" s="178">
        <f>-$N$1</f>
        <v>-4.7716218756768064E-3</v>
      </c>
      <c r="L101">
        <v>0</v>
      </c>
      <c r="M101">
        <v>0</v>
      </c>
      <c r="N101">
        <v>0.1310736649950725</v>
      </c>
      <c r="R101" s="35">
        <f t="shared" ca="1" si="26"/>
        <v>53.683716828559511</v>
      </c>
    </row>
    <row r="102" spans="1:18">
      <c r="A102" s="171"/>
      <c r="B102" s="172"/>
      <c r="C102" s="172"/>
      <c r="D102" s="172"/>
      <c r="E102" s="171"/>
      <c r="F102" s="171"/>
      <c r="G102" s="171"/>
      <c r="H102" s="171"/>
      <c r="I102" s="171"/>
      <c r="J102" s="171"/>
      <c r="R102" s="35">
        <f t="shared" ca="1" si="26"/>
        <v>10.931038047265869</v>
      </c>
    </row>
    <row r="103" spans="1:18">
      <c r="A103" s="171"/>
      <c r="B103" s="172">
        <v>-1.4028471761352286</v>
      </c>
      <c r="C103" s="172">
        <v>0.814665459345566</v>
      </c>
      <c r="D103" s="172">
        <v>0.7195871750303805</v>
      </c>
      <c r="E103" s="171">
        <f>-$L$1</f>
        <v>-1.4990492230334603E-2</v>
      </c>
      <c r="F103" s="172">
        <v>0</v>
      </c>
      <c r="G103" s="172">
        <v>0</v>
      </c>
      <c r="H103" s="178">
        <f>-$N$1</f>
        <v>-4.7716218756768064E-3</v>
      </c>
      <c r="I103" s="171">
        <v>0</v>
      </c>
      <c r="J103" s="171">
        <v>0</v>
      </c>
      <c r="L103">
        <f t="array" ref="L103:N105">SVDD(B103:J105)</f>
        <v>2.9751215076832875</v>
      </c>
      <c r="M103">
        <v>0</v>
      </c>
      <c r="N103">
        <v>0</v>
      </c>
      <c r="P103">
        <f t="shared" ref="P103" si="35">MAX(L103,M104,N105)/MIN(L103,M104,N105)</f>
        <v>7.3599631124017391</v>
      </c>
      <c r="R103" s="35">
        <f t="shared" ca="1" si="26"/>
        <v>8.602001144832327</v>
      </c>
    </row>
    <row r="104" spans="1:18">
      <c r="A104" s="171" t="s">
        <v>239</v>
      </c>
      <c r="B104" s="172">
        <v>1.4421025939282253</v>
      </c>
      <c r="C104" s="172">
        <v>1.0431877148697888</v>
      </c>
      <c r="D104" s="172">
        <v>0.78932433807079116</v>
      </c>
      <c r="E104" s="171">
        <v>0</v>
      </c>
      <c r="F104" s="171">
        <f>-$L$1</f>
        <v>-1.4990492230334603E-2</v>
      </c>
      <c r="G104" s="172">
        <v>0</v>
      </c>
      <c r="H104" s="172">
        <v>0</v>
      </c>
      <c r="I104" s="178">
        <f>-$N$1</f>
        <v>-4.7716218756768064E-3</v>
      </c>
      <c r="J104" s="171">
        <v>0</v>
      </c>
      <c r="L104">
        <v>0</v>
      </c>
      <c r="M104">
        <v>2.0275984798964828</v>
      </c>
      <c r="N104">
        <v>0</v>
      </c>
      <c r="R104" s="35">
        <f t="shared" ca="1" si="26"/>
        <v>82.453807087903158</v>
      </c>
    </row>
    <row r="105" spans="1:18">
      <c r="A105" s="171"/>
      <c r="B105" s="172">
        <v>-1.0351585166444348</v>
      </c>
      <c r="C105" s="172">
        <v>2.1037449841221099</v>
      </c>
      <c r="D105" s="172">
        <v>0.82913701269133588</v>
      </c>
      <c r="E105" s="171">
        <v>0</v>
      </c>
      <c r="F105" s="172">
        <v>0</v>
      </c>
      <c r="G105" s="171">
        <f>-$L$1</f>
        <v>-1.4990492230334603E-2</v>
      </c>
      <c r="H105" s="172">
        <v>0</v>
      </c>
      <c r="I105" s="172">
        <v>0</v>
      </c>
      <c r="J105" s="178">
        <f>-$N$1</f>
        <v>-4.7716218756768064E-3</v>
      </c>
      <c r="L105">
        <v>0</v>
      </c>
      <c r="M105">
        <v>0</v>
      </c>
      <c r="N105">
        <v>0.4042304916814225</v>
      </c>
      <c r="R105" s="35">
        <f t="shared" ca="1" si="26"/>
        <v>8.1086233463852224</v>
      </c>
    </row>
    <row r="106" spans="1:18">
      <c r="A106" s="171"/>
      <c r="B106" s="172"/>
      <c r="C106" s="172"/>
      <c r="D106" s="172"/>
      <c r="E106" s="171"/>
      <c r="F106" s="171"/>
      <c r="G106" s="171"/>
      <c r="H106" s="171"/>
      <c r="I106" s="171"/>
      <c r="J106" s="171"/>
      <c r="R106" s="35">
        <f t="shared" ca="1" si="26"/>
        <v>12.281718994831845</v>
      </c>
    </row>
    <row r="107" spans="1:18">
      <c r="A107" s="171"/>
      <c r="B107" s="172">
        <v>-1.4028471761352286</v>
      </c>
      <c r="C107" s="172">
        <v>0.814665459345566</v>
      </c>
      <c r="D107" s="172">
        <v>0.7195871750303805</v>
      </c>
      <c r="E107" s="171">
        <f>-$L$1</f>
        <v>-1.4990492230334603E-2</v>
      </c>
      <c r="F107" s="172">
        <v>0</v>
      </c>
      <c r="G107" s="172">
        <v>0</v>
      </c>
      <c r="H107" s="178">
        <f>-$N$1</f>
        <v>-4.7716218756768064E-3</v>
      </c>
      <c r="I107" s="171">
        <v>0</v>
      </c>
      <c r="J107" s="171">
        <v>0</v>
      </c>
      <c r="L107">
        <f t="array" ref="L107:N109">SVDD(B107:J109)</f>
        <v>2.8821876716983033</v>
      </c>
      <c r="M107">
        <v>0</v>
      </c>
      <c r="N107">
        <v>0</v>
      </c>
      <c r="P107">
        <f t="shared" ref="P107" si="36">MAX(L107,M108,N109)/MIN(L107,M108,N109)</f>
        <v>6.5785291732093709</v>
      </c>
      <c r="R107" s="35">
        <f t="shared" ca="1" si="26"/>
        <v>8.5654140285482256</v>
      </c>
    </row>
    <row r="108" spans="1:18">
      <c r="A108" s="171" t="s">
        <v>240</v>
      </c>
      <c r="B108" s="172">
        <v>1.4421025939282253</v>
      </c>
      <c r="C108" s="172">
        <v>1.0431877148697888</v>
      </c>
      <c r="D108" s="172">
        <v>0.78932433807079116</v>
      </c>
      <c r="E108" s="171">
        <v>0</v>
      </c>
      <c r="F108" s="171">
        <f>-$L$1</f>
        <v>-1.4990492230334603E-2</v>
      </c>
      <c r="G108" s="172">
        <v>0</v>
      </c>
      <c r="H108" s="172">
        <v>0</v>
      </c>
      <c r="I108" s="178">
        <f>-$N$1</f>
        <v>-4.7716218756768064E-3</v>
      </c>
      <c r="J108" s="171">
        <v>0</v>
      </c>
      <c r="L108">
        <v>0</v>
      </c>
      <c r="M108">
        <v>1.9213580365329077</v>
      </c>
      <c r="N108">
        <v>0</v>
      </c>
      <c r="R108" s="35">
        <f t="shared" ca="1" si="26"/>
        <v>5.2208960006035552</v>
      </c>
    </row>
    <row r="109" spans="1:18">
      <c r="A109" s="171"/>
      <c r="B109" s="172">
        <v>0.58367185674448252</v>
      </c>
      <c r="C109" s="172">
        <v>2.0841504898711007</v>
      </c>
      <c r="D109" s="172">
        <v>0.75171422039661484</v>
      </c>
      <c r="E109" s="171">
        <v>0</v>
      </c>
      <c r="F109" s="172">
        <v>0</v>
      </c>
      <c r="G109" s="171">
        <f>-$L$1</f>
        <v>-1.4990492230334603E-2</v>
      </c>
      <c r="H109" s="172">
        <v>0</v>
      </c>
      <c r="I109" s="172">
        <v>0</v>
      </c>
      <c r="J109" s="178">
        <f>-$N$1</f>
        <v>-4.7716218756768064E-3</v>
      </c>
      <c r="L109">
        <v>0</v>
      </c>
      <c r="M109">
        <v>0</v>
      </c>
      <c r="N109">
        <v>0.43812037551430549</v>
      </c>
      <c r="R109" s="35">
        <f t="shared" ca="1" si="26"/>
        <v>6.8907637602271539</v>
      </c>
    </row>
    <row r="110" spans="1:18">
      <c r="A110" s="171"/>
      <c r="B110" s="172"/>
      <c r="C110" s="172"/>
      <c r="D110" s="172"/>
      <c r="E110" s="171"/>
      <c r="F110" s="171"/>
      <c r="G110" s="171"/>
      <c r="H110" s="171"/>
      <c r="I110" s="171"/>
      <c r="J110" s="171"/>
      <c r="R110" s="35">
        <f t="shared" ca="1" si="26"/>
        <v>9.9064111046691572</v>
      </c>
    </row>
    <row r="111" spans="1:18">
      <c r="A111" s="171"/>
      <c r="B111" s="172">
        <v>-1.4028471761352286</v>
      </c>
      <c r="C111" s="172">
        <v>0.814665459345566</v>
      </c>
      <c r="D111" s="172">
        <v>0.7195871750303805</v>
      </c>
      <c r="E111" s="171">
        <f>-$L$1</f>
        <v>-1.4990492230334603E-2</v>
      </c>
      <c r="F111" s="172">
        <v>0</v>
      </c>
      <c r="G111" s="172">
        <v>0</v>
      </c>
      <c r="H111" s="178">
        <f>-$N$1</f>
        <v>-4.7716218756768064E-3</v>
      </c>
      <c r="I111" s="171">
        <v>0</v>
      </c>
      <c r="J111" s="171">
        <v>0</v>
      </c>
      <c r="L111">
        <f t="array" ref="L111:N113">SVDD(B111:J113)</f>
        <v>2.784228571375345</v>
      </c>
      <c r="M111">
        <v>0</v>
      </c>
      <c r="N111">
        <v>0</v>
      </c>
      <c r="P111">
        <f t="shared" ref="P111" si="37">MAX(L111,M112,N113)/MIN(L111,M112,N113)</f>
        <v>3.1644138082772151</v>
      </c>
      <c r="R111" s="35">
        <f t="shared" ca="1" si="26"/>
        <v>7.5510594626677561</v>
      </c>
    </row>
    <row r="112" spans="1:18">
      <c r="A112" s="171" t="s">
        <v>241</v>
      </c>
      <c r="B112" s="172">
        <v>1.4421025939282253</v>
      </c>
      <c r="C112" s="172">
        <v>1.0431877148697888</v>
      </c>
      <c r="D112" s="172">
        <v>0.78932433807079116</v>
      </c>
      <c r="E112" s="171">
        <v>0</v>
      </c>
      <c r="F112" s="171">
        <f>-$L$1</f>
        <v>-1.4990492230334603E-2</v>
      </c>
      <c r="G112" s="172">
        <v>0</v>
      </c>
      <c r="H112" s="172">
        <v>0</v>
      </c>
      <c r="I112" s="178">
        <f>-$N$1</f>
        <v>-4.7716218756768064E-3</v>
      </c>
      <c r="J112" s="171">
        <v>0</v>
      </c>
      <c r="L112">
        <v>0</v>
      </c>
      <c r="M112">
        <v>2.005330537131079</v>
      </c>
      <c r="N112">
        <v>0</v>
      </c>
      <c r="R112" s="35">
        <f t="shared" ca="1" si="26"/>
        <v>25.702748088643357</v>
      </c>
    </row>
    <row r="113" spans="1:18">
      <c r="A113" s="171"/>
      <c r="B113" s="172">
        <v>-2.5457845528396139E-2</v>
      </c>
      <c r="C113" s="172">
        <v>2.3667658472617719</v>
      </c>
      <c r="D113" s="172">
        <v>6.368425350466822E-2</v>
      </c>
      <c r="E113" s="171">
        <v>0</v>
      </c>
      <c r="F113" s="172">
        <v>0</v>
      </c>
      <c r="G113" s="171">
        <f>-$L$1</f>
        <v>-1.4990492230334603E-2</v>
      </c>
      <c r="H113" s="172">
        <v>0</v>
      </c>
      <c r="I113" s="172">
        <v>0</v>
      </c>
      <c r="J113" s="178">
        <f>-$N$1</f>
        <v>-4.7716218756768064E-3</v>
      </c>
      <c r="L113">
        <v>0</v>
      </c>
      <c r="M113">
        <v>0</v>
      </c>
      <c r="N113">
        <v>0.87985603023618064</v>
      </c>
      <c r="R113" s="35">
        <f t="shared" ca="1" si="26"/>
        <v>8.2488209489774285</v>
      </c>
    </row>
    <row r="114" spans="1:18">
      <c r="A114" s="171"/>
      <c r="B114" s="172"/>
      <c r="C114" s="172"/>
      <c r="D114" s="172"/>
      <c r="E114" s="171"/>
      <c r="F114" s="171"/>
      <c r="G114" s="171"/>
      <c r="H114" s="171"/>
      <c r="I114" s="171"/>
      <c r="J114" s="171"/>
      <c r="R114" s="35">
        <f t="shared" ca="1" si="26"/>
        <v>5.1420144786144064</v>
      </c>
    </row>
    <row r="115" spans="1:18">
      <c r="A115" s="171"/>
      <c r="B115" s="172">
        <v>-1.4028471761352286</v>
      </c>
      <c r="C115" s="172">
        <v>0.814665459345566</v>
      </c>
      <c r="D115" s="172">
        <v>0.7195871750303805</v>
      </c>
      <c r="E115" s="171">
        <f>-$L$1</f>
        <v>-1.4990492230334603E-2</v>
      </c>
      <c r="F115" s="172">
        <v>0</v>
      </c>
      <c r="G115" s="172">
        <v>0</v>
      </c>
      <c r="H115" s="178">
        <f>-$N$1</f>
        <v>-4.7716218756768064E-3</v>
      </c>
      <c r="I115" s="171">
        <v>0</v>
      </c>
      <c r="J115" s="171">
        <v>0</v>
      </c>
      <c r="L115">
        <f t="array" ref="L115:N117">SVDD(B115:J117)</f>
        <v>3.4360715128468957</v>
      </c>
      <c r="M115">
        <v>0</v>
      </c>
      <c r="N115">
        <v>0</v>
      </c>
      <c r="P115">
        <f t="shared" ref="P115" si="38">MAX(L115,M116,N117)/MIN(L115,M116,N117)</f>
        <v>16.189935979563476</v>
      </c>
      <c r="R115" s="35">
        <f t="shared" ca="1" si="26"/>
        <v>5.8101815949256537</v>
      </c>
    </row>
    <row r="116" spans="1:18">
      <c r="A116" s="171" t="s">
        <v>242</v>
      </c>
      <c r="B116" s="172">
        <v>-1.0351585166444348</v>
      </c>
      <c r="C116" s="172">
        <v>2.1037449841221099</v>
      </c>
      <c r="D116" s="172">
        <v>0.82913701269133588</v>
      </c>
      <c r="E116" s="171">
        <v>0</v>
      </c>
      <c r="F116" s="171">
        <f>-$L$1</f>
        <v>-1.4990492230334603E-2</v>
      </c>
      <c r="G116" s="172">
        <v>0</v>
      </c>
      <c r="H116" s="172">
        <v>0</v>
      </c>
      <c r="I116" s="178">
        <f>-$N$1</f>
        <v>-4.7716218756768064E-3</v>
      </c>
      <c r="J116" s="171">
        <v>0</v>
      </c>
      <c r="L116">
        <v>0</v>
      </c>
      <c r="M116">
        <v>1.6531097006936872</v>
      </c>
      <c r="N116">
        <v>0</v>
      </c>
      <c r="R116" s="35">
        <f t="shared" ca="1" si="26"/>
        <v>4.7126969128317917</v>
      </c>
    </row>
    <row r="117" spans="1:18">
      <c r="A117" s="171"/>
      <c r="B117" s="172">
        <v>0.58367185674448252</v>
      </c>
      <c r="C117" s="172">
        <v>2.0841504898711007</v>
      </c>
      <c r="D117" s="172">
        <v>0.75171422039661484</v>
      </c>
      <c r="E117" s="171">
        <v>0</v>
      </c>
      <c r="F117" s="172">
        <v>0</v>
      </c>
      <c r="G117" s="171">
        <f>-$L$1</f>
        <v>-1.4990492230334603E-2</v>
      </c>
      <c r="H117" s="172">
        <v>0</v>
      </c>
      <c r="I117" s="172">
        <v>0</v>
      </c>
      <c r="J117" s="178">
        <f>-$N$1</f>
        <v>-4.7716218756768064E-3</v>
      </c>
      <c r="L117">
        <v>0</v>
      </c>
      <c r="M117">
        <v>0</v>
      </c>
      <c r="N117">
        <v>0.21223502780889572</v>
      </c>
      <c r="R117" s="35">
        <f t="shared" ca="1" si="26"/>
        <v>6.8250103361546133</v>
      </c>
    </row>
    <row r="118" spans="1:18">
      <c r="A118" s="171"/>
      <c r="B118" s="172"/>
      <c r="C118" s="172"/>
      <c r="D118" s="172"/>
      <c r="E118" s="171"/>
      <c r="F118" s="171"/>
      <c r="G118" s="171"/>
      <c r="H118" s="171"/>
      <c r="I118" s="171"/>
      <c r="J118" s="171"/>
      <c r="R118" s="35">
        <f t="shared" ca="1" si="26"/>
        <v>8.9930678571366478</v>
      </c>
    </row>
    <row r="119" spans="1:18">
      <c r="A119" s="171"/>
      <c r="B119" s="172">
        <v>-1.4028471761352286</v>
      </c>
      <c r="C119" s="172">
        <v>0.814665459345566</v>
      </c>
      <c r="D119" s="172">
        <v>0.7195871750303805</v>
      </c>
      <c r="E119" s="171">
        <f>-$L$1</f>
        <v>-1.4990492230334603E-2</v>
      </c>
      <c r="F119" s="172">
        <v>0</v>
      </c>
      <c r="G119" s="172">
        <v>0</v>
      </c>
      <c r="H119" s="178">
        <f>-$N$1</f>
        <v>-4.7716218756768064E-3</v>
      </c>
      <c r="I119" s="171">
        <v>0</v>
      </c>
      <c r="J119" s="171">
        <v>0</v>
      </c>
      <c r="L119">
        <f t="array" ref="L119:N121">SVDD(B119:J121)</f>
        <v>3.5702490972971481</v>
      </c>
      <c r="M119">
        <v>0</v>
      </c>
      <c r="N119">
        <v>0</v>
      </c>
      <c r="P119">
        <f t="shared" ref="P119" si="39">MAX(L119,M120,N121)/MIN(L119,M120,N121)</f>
        <v>21.296368693023961</v>
      </c>
      <c r="R119" s="35">
        <f t="shared" ca="1" si="26"/>
        <v>4.2913852360316209</v>
      </c>
    </row>
    <row r="120" spans="1:18">
      <c r="A120" s="171" t="s">
        <v>243</v>
      </c>
      <c r="B120" s="172">
        <v>-1.0351585166444348</v>
      </c>
      <c r="C120" s="172">
        <v>2.1037449841221099</v>
      </c>
      <c r="D120" s="172">
        <v>0.82913701269133588</v>
      </c>
      <c r="E120" s="171">
        <v>0</v>
      </c>
      <c r="F120" s="171">
        <f>-$L$1</f>
        <v>-1.4990492230334603E-2</v>
      </c>
      <c r="G120" s="172">
        <v>0</v>
      </c>
      <c r="H120" s="172">
        <v>0</v>
      </c>
      <c r="I120" s="178">
        <f>-$N$1</f>
        <v>-4.7716218756768064E-3</v>
      </c>
      <c r="J120" s="171">
        <v>0</v>
      </c>
      <c r="L120">
        <v>0</v>
      </c>
      <c r="M120">
        <v>1.4718943763490147</v>
      </c>
      <c r="N120">
        <v>0</v>
      </c>
      <c r="R120" s="35">
        <f t="shared" ca="1" si="26"/>
        <v>10.792718451752343</v>
      </c>
    </row>
    <row r="121" spans="1:18">
      <c r="A121" s="171"/>
      <c r="B121" s="172">
        <v>-2.5457845528396139E-2</v>
      </c>
      <c r="C121" s="172">
        <v>2.3667658472617719</v>
      </c>
      <c r="D121" s="172">
        <v>6.368425350466822E-2</v>
      </c>
      <c r="E121" s="171">
        <v>0</v>
      </c>
      <c r="F121" s="172">
        <v>0</v>
      </c>
      <c r="G121" s="171">
        <f>-$L$1</f>
        <v>-1.4990492230334603E-2</v>
      </c>
      <c r="H121" s="172">
        <v>0</v>
      </c>
      <c r="I121" s="172">
        <v>0</v>
      </c>
      <c r="J121" s="178">
        <f>-$N$1</f>
        <v>-4.7716218756768064E-3</v>
      </c>
      <c r="L121">
        <v>0</v>
      </c>
      <c r="M121">
        <v>0</v>
      </c>
      <c r="N121">
        <v>0.16764590943932392</v>
      </c>
      <c r="R121" s="35">
        <f t="shared" ca="1" si="26"/>
        <v>13.11668543542511</v>
      </c>
    </row>
    <row r="122" spans="1:18">
      <c r="A122" s="171"/>
      <c r="B122" s="172"/>
      <c r="C122" s="172"/>
      <c r="D122" s="172"/>
      <c r="E122" s="171"/>
      <c r="F122" s="171"/>
      <c r="G122" s="171"/>
      <c r="H122" s="171"/>
      <c r="I122" s="171"/>
      <c r="J122" s="171"/>
      <c r="R122" s="35">
        <f t="shared" ca="1" si="26"/>
        <v>5.1193343402506821</v>
      </c>
    </row>
    <row r="123" spans="1:18">
      <c r="A123" s="171"/>
      <c r="B123" s="172">
        <v>-1.4028471761352286</v>
      </c>
      <c r="C123" s="172">
        <v>0.814665459345566</v>
      </c>
      <c r="D123" s="172">
        <v>0.7195871750303805</v>
      </c>
      <c r="E123" s="171">
        <f>-$L$1</f>
        <v>-1.4990492230334603E-2</v>
      </c>
      <c r="F123" s="172">
        <v>0</v>
      </c>
      <c r="G123" s="172">
        <v>0</v>
      </c>
      <c r="H123" s="178">
        <f>-$N$1</f>
        <v>-4.7716218756768064E-3</v>
      </c>
      <c r="I123" s="171">
        <v>0</v>
      </c>
      <c r="J123" s="171">
        <v>0</v>
      </c>
      <c r="L123">
        <f t="array" ref="L123:N125">SVDD(B123:J125)</f>
        <v>3.3374722577107461</v>
      </c>
      <c r="M123">
        <v>0</v>
      </c>
      <c r="N123">
        <v>0</v>
      </c>
      <c r="P123">
        <f t="shared" ref="P123" si="40">MAX(L123,M124,N125)/MIN(L123,M124,N125)</f>
        <v>5.3118581440101593</v>
      </c>
      <c r="R123" s="35">
        <f t="shared" ca="1" si="26"/>
        <v>173.30422484384809</v>
      </c>
    </row>
    <row r="124" spans="1:18">
      <c r="A124" s="171" t="s">
        <v>244</v>
      </c>
      <c r="B124" s="172">
        <v>0.58367185674448252</v>
      </c>
      <c r="C124" s="172">
        <v>2.0841504898711007</v>
      </c>
      <c r="D124" s="172">
        <v>0.75171422039661484</v>
      </c>
      <c r="E124" s="171">
        <v>0</v>
      </c>
      <c r="F124" s="171">
        <f>-$L$1</f>
        <v>-1.4990492230334603E-2</v>
      </c>
      <c r="G124" s="172">
        <v>0</v>
      </c>
      <c r="H124" s="172">
        <v>0</v>
      </c>
      <c r="I124" s="178">
        <f>-$N$1</f>
        <v>-4.7716218756768064E-3</v>
      </c>
      <c r="J124" s="171">
        <v>0</v>
      </c>
      <c r="L124">
        <v>0</v>
      </c>
      <c r="M124">
        <v>1.5723973459995719</v>
      </c>
      <c r="N124">
        <v>0</v>
      </c>
      <c r="R124" s="35">
        <f t="shared" ca="1" si="26"/>
        <v>40.261746713374329</v>
      </c>
    </row>
    <row r="125" spans="1:18">
      <c r="A125" s="171"/>
      <c r="B125" s="172">
        <v>-2.5457845528396139E-2</v>
      </c>
      <c r="C125" s="172">
        <v>2.3667658472617719</v>
      </c>
      <c r="D125" s="172">
        <v>6.368425350466822E-2</v>
      </c>
      <c r="E125" s="171">
        <v>0</v>
      </c>
      <c r="F125" s="172">
        <v>0</v>
      </c>
      <c r="G125" s="171">
        <f>-$L$1</f>
        <v>-1.4990492230334603E-2</v>
      </c>
      <c r="H125" s="172">
        <v>0</v>
      </c>
      <c r="I125" s="172">
        <v>0</v>
      </c>
      <c r="J125" s="178">
        <f>-$N$1</f>
        <v>-4.7716218756768064E-3</v>
      </c>
      <c r="L125">
        <v>0</v>
      </c>
      <c r="M125">
        <v>0</v>
      </c>
      <c r="N125">
        <v>0.6283059839378804</v>
      </c>
      <c r="R125" s="35">
        <f t="shared" ca="1" si="26"/>
        <v>166.47252829981736</v>
      </c>
    </row>
    <row r="126" spans="1:18">
      <c r="A126" s="171"/>
      <c r="B126" s="172"/>
      <c r="C126" s="172"/>
      <c r="D126" s="172"/>
      <c r="E126" s="171"/>
      <c r="F126" s="171"/>
      <c r="G126" s="171"/>
      <c r="H126" s="171"/>
      <c r="I126" s="171"/>
      <c r="J126" s="171"/>
      <c r="R126" s="35">
        <f t="shared" ca="1" si="26"/>
        <v>12.981271825741857</v>
      </c>
    </row>
    <row r="127" spans="1:18">
      <c r="A127" s="171"/>
      <c r="B127" s="172">
        <v>1.4421025939282253</v>
      </c>
      <c r="C127" s="172">
        <v>1.0431877148697888</v>
      </c>
      <c r="D127" s="172">
        <v>0.78932433807079116</v>
      </c>
      <c r="E127" s="171">
        <f>-$L$1</f>
        <v>-1.4990492230334603E-2</v>
      </c>
      <c r="F127" s="172">
        <v>0</v>
      </c>
      <c r="G127" s="172">
        <v>0</v>
      </c>
      <c r="H127" s="178">
        <f>-$N$1</f>
        <v>-4.7716218756768064E-3</v>
      </c>
      <c r="I127" s="171">
        <v>0</v>
      </c>
      <c r="J127" s="171">
        <v>0</v>
      </c>
      <c r="L127">
        <f t="array" ref="L127:N129">SVDD(B127:J129)</f>
        <v>3.4187522343726138</v>
      </c>
      <c r="M127">
        <v>0</v>
      </c>
      <c r="N127">
        <v>0</v>
      </c>
      <c r="P127">
        <f t="shared" ref="P127" si="41">MAX(L127,M128,N129)/MIN(L127,M128,N129)</f>
        <v>13.879924968743053</v>
      </c>
      <c r="R127" s="35">
        <f t="shared" ca="1" si="26"/>
        <v>40.7933299450278</v>
      </c>
    </row>
    <row r="128" spans="1:18">
      <c r="A128" s="171" t="s">
        <v>245</v>
      </c>
      <c r="B128" s="172">
        <v>-1.0351585166444348</v>
      </c>
      <c r="C128" s="172">
        <v>2.1037449841221099</v>
      </c>
      <c r="D128" s="172">
        <v>0.82913701269133588</v>
      </c>
      <c r="E128" s="171">
        <v>0</v>
      </c>
      <c r="F128" s="171">
        <f>-$L$1</f>
        <v>-1.4990492230334603E-2</v>
      </c>
      <c r="G128" s="172">
        <v>0</v>
      </c>
      <c r="H128" s="172">
        <v>0</v>
      </c>
      <c r="I128" s="178">
        <f>-$N$1</f>
        <v>-4.7716218756768064E-3</v>
      </c>
      <c r="J128" s="171">
        <v>0</v>
      </c>
      <c r="L128">
        <v>0</v>
      </c>
      <c r="M128">
        <v>1.8647615133204412</v>
      </c>
      <c r="N128">
        <v>0</v>
      </c>
      <c r="R128" s="35">
        <f t="shared" ca="1" si="26"/>
        <v>226.21183383405241</v>
      </c>
    </row>
    <row r="129" spans="1:18">
      <c r="A129" s="171"/>
      <c r="B129" s="172">
        <v>0.58367185674448252</v>
      </c>
      <c r="C129" s="172">
        <v>2.0841504898711007</v>
      </c>
      <c r="D129" s="172">
        <v>0.75171422039661484</v>
      </c>
      <c r="E129" s="171">
        <v>0</v>
      </c>
      <c r="F129" s="172">
        <v>0</v>
      </c>
      <c r="G129" s="171">
        <f>-$L$1</f>
        <v>-1.4990492230334603E-2</v>
      </c>
      <c r="H129" s="172">
        <v>0</v>
      </c>
      <c r="I129" s="172">
        <v>0</v>
      </c>
      <c r="J129" s="178">
        <f>-$N$1</f>
        <v>-4.7716218756768064E-3</v>
      </c>
      <c r="L129">
        <v>0</v>
      </c>
      <c r="M129">
        <v>0</v>
      </c>
      <c r="N129">
        <v>0.24630912934122376</v>
      </c>
      <c r="R129" s="35">
        <f t="shared" ca="1" si="26"/>
        <v>10.768900546401296</v>
      </c>
    </row>
    <row r="130" spans="1:18">
      <c r="A130" s="171"/>
      <c r="B130" s="172"/>
      <c r="C130" s="172"/>
      <c r="D130" s="172"/>
      <c r="E130" s="171"/>
      <c r="F130" s="171"/>
      <c r="G130" s="171"/>
      <c r="H130" s="171"/>
      <c r="I130" s="171"/>
      <c r="J130" s="171"/>
      <c r="R130" s="35">
        <f t="shared" ca="1" si="26"/>
        <v>32.03413347089144</v>
      </c>
    </row>
    <row r="131" spans="1:18">
      <c r="A131" s="171"/>
      <c r="B131" s="172">
        <v>1.4421025939282253</v>
      </c>
      <c r="C131" s="172">
        <v>1.0431877148697888</v>
      </c>
      <c r="D131" s="172">
        <v>0.78932433807079116</v>
      </c>
      <c r="E131" s="171">
        <f>-$L$1</f>
        <v>-1.4990492230334603E-2</v>
      </c>
      <c r="F131" s="172">
        <v>0</v>
      </c>
      <c r="G131" s="172">
        <v>0</v>
      </c>
      <c r="H131" s="178">
        <f>-$N$1</f>
        <v>-4.7716218756768064E-3</v>
      </c>
      <c r="I131" s="171">
        <v>0</v>
      </c>
      <c r="J131" s="171">
        <v>0</v>
      </c>
      <c r="L131">
        <f t="array" ref="L131:N133">SVDD(B131:J133)</f>
        <v>3.4447748326315524</v>
      </c>
      <c r="M131">
        <v>0</v>
      </c>
      <c r="N131">
        <v>0</v>
      </c>
      <c r="P131">
        <f t="shared" ref="P131" si="42">MAX(L131,M132,N133)/MIN(L131,M132,N133)</f>
        <v>4.7237806352474765</v>
      </c>
      <c r="R131" s="35">
        <f t="shared" ca="1" si="26"/>
        <v>10.93967589972967</v>
      </c>
    </row>
    <row r="132" spans="1:18">
      <c r="A132" s="171" t="s">
        <v>246</v>
      </c>
      <c r="B132" s="172">
        <v>-1.0351585166444348</v>
      </c>
      <c r="C132" s="172">
        <v>2.1037449841221099</v>
      </c>
      <c r="D132" s="172">
        <v>0.82913701269133588</v>
      </c>
      <c r="E132" s="171">
        <v>0</v>
      </c>
      <c r="F132" s="171">
        <f>-$L$1</f>
        <v>-1.4990492230334603E-2</v>
      </c>
      <c r="G132" s="172">
        <v>0</v>
      </c>
      <c r="H132" s="172">
        <v>0</v>
      </c>
      <c r="I132" s="178">
        <f>-$N$1</f>
        <v>-4.7716218756768064E-3</v>
      </c>
      <c r="J132" s="171">
        <v>0</v>
      </c>
      <c r="L132">
        <v>0</v>
      </c>
      <c r="M132">
        <v>1.7845050682867623</v>
      </c>
      <c r="N132">
        <v>0</v>
      </c>
      <c r="R132" s="35">
        <f t="shared" ca="1" si="26"/>
        <v>7.2010209773350216</v>
      </c>
    </row>
    <row r="133" spans="1:18">
      <c r="A133" s="171"/>
      <c r="B133" s="172">
        <v>-2.5457845528396139E-2</v>
      </c>
      <c r="C133" s="172">
        <v>2.3667658472617719</v>
      </c>
      <c r="D133" s="172">
        <v>6.368425350466822E-2</v>
      </c>
      <c r="E133" s="171">
        <v>0</v>
      </c>
      <c r="F133" s="172">
        <v>0</v>
      </c>
      <c r="G133" s="171">
        <f>-$L$1</f>
        <v>-1.4990492230334603E-2</v>
      </c>
      <c r="H133" s="172">
        <v>0</v>
      </c>
      <c r="I133" s="172">
        <v>0</v>
      </c>
      <c r="J133" s="178">
        <f>-$N$1</f>
        <v>-4.7716218756768064E-3</v>
      </c>
      <c r="L133">
        <v>0</v>
      </c>
      <c r="M133">
        <v>0</v>
      </c>
      <c r="N133">
        <v>0.72924106740428318</v>
      </c>
      <c r="R133" s="35">
        <f t="shared" ref="R133:R196" ca="1" si="43">OFFSET($P$3,4*(ROW(A131)-1),0,1,1)</f>
        <v>75.832150333539076</v>
      </c>
    </row>
    <row r="134" spans="1:18">
      <c r="A134" s="171"/>
      <c r="B134" s="172"/>
      <c r="C134" s="172"/>
      <c r="D134" s="172"/>
      <c r="E134" s="171"/>
      <c r="F134" s="171"/>
      <c r="G134" s="171"/>
      <c r="H134" s="171"/>
      <c r="I134" s="171"/>
      <c r="J134" s="171"/>
      <c r="R134" s="35">
        <f t="shared" ca="1" si="43"/>
        <v>221.14310828390998</v>
      </c>
    </row>
    <row r="135" spans="1:18">
      <c r="A135" s="171"/>
      <c r="B135" s="172">
        <v>1.4421025939282253</v>
      </c>
      <c r="C135" s="172">
        <v>1.0431877148697888</v>
      </c>
      <c r="D135" s="172">
        <v>0.78932433807079116</v>
      </c>
      <c r="E135" s="171">
        <f>-$L$1</f>
        <v>-1.4990492230334603E-2</v>
      </c>
      <c r="F135" s="172">
        <v>0</v>
      </c>
      <c r="G135" s="172">
        <v>0</v>
      </c>
      <c r="H135" s="178">
        <f>-$N$1</f>
        <v>-4.7716218756768064E-3</v>
      </c>
      <c r="I135" s="171">
        <v>0</v>
      </c>
      <c r="J135" s="171">
        <v>0</v>
      </c>
      <c r="L135">
        <f t="array" ref="L135:N137">SVDD(B135:J137)</f>
        <v>3.5387412990720466</v>
      </c>
      <c r="M135">
        <v>0</v>
      </c>
      <c r="N135">
        <v>0</v>
      </c>
      <c r="P135">
        <f t="shared" ref="P135" si="44">MAX(L135,M136,N137)/MIN(L135,M136,N137)</f>
        <v>13.786758091944304</v>
      </c>
      <c r="R135" s="35">
        <f t="shared" ca="1" si="43"/>
        <v>14.287203521800995</v>
      </c>
    </row>
    <row r="136" spans="1:18">
      <c r="A136" s="171" t="s">
        <v>247</v>
      </c>
      <c r="B136" s="172">
        <v>0.58367185674448252</v>
      </c>
      <c r="C136" s="172">
        <v>2.0841504898711007</v>
      </c>
      <c r="D136" s="172">
        <v>0.75171422039661484</v>
      </c>
      <c r="E136" s="171">
        <v>0</v>
      </c>
      <c r="F136" s="171">
        <f>-$L$1</f>
        <v>-1.4990492230334603E-2</v>
      </c>
      <c r="G136" s="172">
        <v>0</v>
      </c>
      <c r="H136" s="172">
        <v>0</v>
      </c>
      <c r="I136" s="178">
        <f>-$N$1</f>
        <v>-4.7716218756768064E-3</v>
      </c>
      <c r="J136" s="171">
        <v>0</v>
      </c>
      <c r="L136">
        <v>0</v>
      </c>
      <c r="M136">
        <v>1.43485804787189</v>
      </c>
      <c r="N136">
        <v>0</v>
      </c>
      <c r="R136" s="35">
        <f t="shared" ca="1" si="43"/>
        <v>37.535233039927341</v>
      </c>
    </row>
    <row r="137" spans="1:18">
      <c r="A137" s="171"/>
      <c r="B137" s="172">
        <v>-2.5457845528396139E-2</v>
      </c>
      <c r="C137" s="172">
        <v>2.3667658472617719</v>
      </c>
      <c r="D137" s="172">
        <v>6.368425350466822E-2</v>
      </c>
      <c r="E137" s="171">
        <v>0</v>
      </c>
      <c r="F137" s="172">
        <v>0</v>
      </c>
      <c r="G137" s="171">
        <f>-$L$1</f>
        <v>-1.4990492230334603E-2</v>
      </c>
      <c r="H137" s="172">
        <v>0</v>
      </c>
      <c r="I137" s="172">
        <v>0</v>
      </c>
      <c r="J137" s="178">
        <f>-$N$1</f>
        <v>-4.7716218756768064E-3</v>
      </c>
      <c r="L137">
        <v>0</v>
      </c>
      <c r="M137">
        <v>0</v>
      </c>
      <c r="N137">
        <v>0.25667682536184899</v>
      </c>
      <c r="R137" s="35">
        <f t="shared" ca="1" si="43"/>
        <v>6.2603571087600169</v>
      </c>
    </row>
    <row r="138" spans="1:18">
      <c r="A138" s="171"/>
      <c r="B138" s="172"/>
      <c r="C138" s="172"/>
      <c r="D138" s="172"/>
      <c r="E138" s="171"/>
      <c r="F138" s="171"/>
      <c r="G138" s="171"/>
      <c r="H138" s="171"/>
      <c r="I138" s="171"/>
      <c r="J138" s="171"/>
      <c r="R138" s="35">
        <f t="shared" ca="1" si="43"/>
        <v>7.9253161861608605</v>
      </c>
    </row>
    <row r="139" spans="1:18">
      <c r="A139" s="171"/>
      <c r="B139" s="172">
        <v>-1.0351585166444348</v>
      </c>
      <c r="C139" s="172">
        <v>2.1037449841221099</v>
      </c>
      <c r="D139" s="172">
        <v>0.82913701269133588</v>
      </c>
      <c r="E139" s="171">
        <f>-$L$1</f>
        <v>-1.4990492230334603E-2</v>
      </c>
      <c r="F139" s="172">
        <v>0</v>
      </c>
      <c r="G139" s="172">
        <v>0</v>
      </c>
      <c r="H139" s="178">
        <f>-$N$1</f>
        <v>-4.7716218756768064E-3</v>
      </c>
      <c r="I139" s="171">
        <v>0</v>
      </c>
      <c r="J139" s="171">
        <v>0</v>
      </c>
      <c r="L139">
        <f t="array" ref="L139:N141">SVDD(B139:J141)</f>
        <v>3.9134176437581378</v>
      </c>
      <c r="M139">
        <v>0</v>
      </c>
      <c r="N139">
        <v>0</v>
      </c>
      <c r="P139">
        <f t="shared" ref="P139" si="45">MAX(L139,M140,N141)/MIN(L139,M140,N141)</f>
        <v>6.4206881815900845</v>
      </c>
      <c r="R139" s="35">
        <f t="shared" ca="1" si="43"/>
        <v>49.729279678600271</v>
      </c>
    </row>
    <row r="140" spans="1:18">
      <c r="A140" s="171" t="s">
        <v>248</v>
      </c>
      <c r="B140" s="172">
        <v>0.58367185674448252</v>
      </c>
      <c r="C140" s="172">
        <v>2.0841504898711007</v>
      </c>
      <c r="D140" s="172">
        <v>0.75171422039661484</v>
      </c>
      <c r="E140" s="171">
        <v>0</v>
      </c>
      <c r="F140" s="171">
        <f>-$L$1</f>
        <v>-1.4990492230334603E-2</v>
      </c>
      <c r="G140" s="172">
        <v>0</v>
      </c>
      <c r="H140" s="172">
        <v>0</v>
      </c>
      <c r="I140" s="178">
        <f>-$N$1</f>
        <v>-4.7716218756768064E-3</v>
      </c>
      <c r="J140" s="171">
        <v>0</v>
      </c>
      <c r="L140">
        <v>0</v>
      </c>
      <c r="M140">
        <v>1.1639982900834875</v>
      </c>
      <c r="N140">
        <v>0</v>
      </c>
      <c r="R140" s="35">
        <f t="shared" ca="1" si="43"/>
        <v>6.7534431445853373</v>
      </c>
    </row>
    <row r="141" spans="1:18">
      <c r="A141" s="171"/>
      <c r="B141" s="172">
        <v>-2.5457845528396139E-2</v>
      </c>
      <c r="C141" s="172">
        <v>2.3667658472617719</v>
      </c>
      <c r="D141" s="172">
        <v>6.368425350466822E-2</v>
      </c>
      <c r="E141" s="171">
        <v>0</v>
      </c>
      <c r="F141" s="172">
        <v>0</v>
      </c>
      <c r="G141" s="171">
        <f>-$L$1</f>
        <v>-1.4990492230334603E-2</v>
      </c>
      <c r="H141" s="172">
        <v>0</v>
      </c>
      <c r="I141" s="172">
        <v>0</v>
      </c>
      <c r="J141" s="178">
        <f>-$N$1</f>
        <v>-4.7716218756768064E-3</v>
      </c>
      <c r="L141">
        <v>0</v>
      </c>
      <c r="M141">
        <v>0</v>
      </c>
      <c r="N141">
        <v>0.60950127666672937</v>
      </c>
      <c r="R141" s="35">
        <f t="shared" ca="1" si="43"/>
        <v>10.918106312881234</v>
      </c>
    </row>
    <row r="142" spans="1:18">
      <c r="A142" s="171"/>
      <c r="B142" s="171"/>
      <c r="C142" s="171"/>
      <c r="D142" s="171"/>
      <c r="E142" s="171"/>
      <c r="F142" s="171"/>
      <c r="G142" s="171"/>
      <c r="H142" s="171"/>
      <c r="I142" s="171"/>
      <c r="J142" s="171"/>
      <c r="R142" s="35">
        <f t="shared" ca="1" si="43"/>
        <v>5.9499634529776904</v>
      </c>
    </row>
    <row r="143" spans="1:18">
      <c r="A143" s="171"/>
      <c r="B143" s="172">
        <v>1.253875629566908</v>
      </c>
      <c r="C143" s="172">
        <v>3.2592166127769939E-2</v>
      </c>
      <c r="D143" s="172">
        <v>-0.73934661383723232</v>
      </c>
      <c r="E143" s="171">
        <f>-$L$1</f>
        <v>-1.4990492230334603E-2</v>
      </c>
      <c r="F143" s="172">
        <v>0</v>
      </c>
      <c r="G143" s="172">
        <v>0</v>
      </c>
      <c r="H143" s="178">
        <f>-$N$1</f>
        <v>-4.7716218756768064E-3</v>
      </c>
      <c r="I143" s="171">
        <v>0</v>
      </c>
      <c r="J143" s="171">
        <v>0</v>
      </c>
      <c r="L143">
        <f t="array" ref="L143:N145">SVDD(B143:J145)</f>
        <v>2.6417200253024631</v>
      </c>
      <c r="M143">
        <v>0</v>
      </c>
      <c r="N143">
        <v>0</v>
      </c>
      <c r="P143">
        <f t="shared" ref="P143" si="46">MAX(L143,M144,N145)/MIN(L143,M144,N145)</f>
        <v>4.0457781004846751</v>
      </c>
      <c r="R143" s="35">
        <f t="shared" ca="1" si="43"/>
        <v>5.9221255668739783</v>
      </c>
    </row>
    <row r="144" spans="1:18">
      <c r="A144" s="171" t="s">
        <v>249</v>
      </c>
      <c r="B144" s="172">
        <v>2.2957880185781296</v>
      </c>
      <c r="C144" s="172">
        <v>-8.2263663034425338E-3</v>
      </c>
      <c r="D144" s="172">
        <v>3.3137218009327896E-2</v>
      </c>
      <c r="E144" s="171">
        <v>0</v>
      </c>
      <c r="F144" s="171">
        <f>-$L$1</f>
        <v>-1.4990492230334603E-2</v>
      </c>
      <c r="G144" s="172">
        <v>0</v>
      </c>
      <c r="H144" s="172">
        <v>0</v>
      </c>
      <c r="I144" s="178">
        <f>-$N$1</f>
        <v>-4.7716218756768064E-3</v>
      </c>
      <c r="J144" s="171">
        <v>0</v>
      </c>
      <c r="L144">
        <v>0</v>
      </c>
      <c r="M144">
        <v>0.8531360969123013</v>
      </c>
      <c r="N144">
        <v>0</v>
      </c>
      <c r="R144" s="35">
        <f t="shared" ca="1" si="43"/>
        <v>10.494898808921118</v>
      </c>
    </row>
    <row r="145" spans="1:18">
      <c r="A145" s="171"/>
      <c r="B145" s="172">
        <v>-0.14897154656832046</v>
      </c>
      <c r="C145" s="172">
        <v>0.84725762547333594</v>
      </c>
      <c r="D145" s="172">
        <v>-1.9759438806851826E-2</v>
      </c>
      <c r="E145" s="171">
        <v>0</v>
      </c>
      <c r="F145" s="172">
        <v>0</v>
      </c>
      <c r="G145" s="171">
        <f>-$L$1</f>
        <v>-1.4990492230334603E-2</v>
      </c>
      <c r="H145" s="172">
        <v>0</v>
      </c>
      <c r="I145" s="172">
        <v>0</v>
      </c>
      <c r="J145" s="178">
        <f>-$N$1</f>
        <v>-4.7716218756768064E-3</v>
      </c>
      <c r="L145">
        <v>0</v>
      </c>
      <c r="M145">
        <v>0</v>
      </c>
      <c r="N145">
        <v>0.65295722100675535</v>
      </c>
      <c r="R145" s="35">
        <f t="shared" ca="1" si="43"/>
        <v>7.023789455542131</v>
      </c>
    </row>
    <row r="146" spans="1:18">
      <c r="A146" s="171"/>
      <c r="B146" s="172"/>
      <c r="C146" s="172"/>
      <c r="D146" s="172"/>
      <c r="E146" s="171"/>
      <c r="F146" s="171"/>
      <c r="G146" s="171"/>
      <c r="H146" s="171"/>
      <c r="I146" s="171"/>
      <c r="J146" s="171"/>
      <c r="R146" s="35">
        <f t="shared" ca="1" si="43"/>
        <v>5.626961900829321</v>
      </c>
    </row>
    <row r="147" spans="1:18">
      <c r="A147" s="171"/>
      <c r="B147" s="172">
        <v>1.253875629566908</v>
      </c>
      <c r="C147" s="172">
        <v>3.2592166127769939E-2</v>
      </c>
      <c r="D147" s="172">
        <v>-0.73934661383723232</v>
      </c>
      <c r="E147" s="171">
        <f>-$L$1</f>
        <v>-1.4990492230334603E-2</v>
      </c>
      <c r="F147" s="172">
        <v>0</v>
      </c>
      <c r="G147" s="172">
        <v>0</v>
      </c>
      <c r="H147" s="178">
        <f>-$N$1</f>
        <v>-4.7716218756768064E-3</v>
      </c>
      <c r="I147" s="171">
        <v>0</v>
      </c>
      <c r="J147" s="171">
        <v>0</v>
      </c>
      <c r="L147">
        <f t="array" ref="L147:N149">SVDD(B147:J149)</f>
        <v>3.8437001138806743</v>
      </c>
      <c r="M147">
        <v>0</v>
      </c>
      <c r="N147">
        <v>0</v>
      </c>
      <c r="P147">
        <f t="shared" ref="P147" si="47">MAX(L147,M148,N149)/MIN(L147,M148,N149)</f>
        <v>6.5539203995508677</v>
      </c>
      <c r="R147" s="35">
        <f t="shared" ca="1" si="43"/>
        <v>4.8996048956109748</v>
      </c>
    </row>
    <row r="148" spans="1:18">
      <c r="A148" s="171" t="s">
        <v>250</v>
      </c>
      <c r="B148" s="172">
        <v>2.2957880185781296</v>
      </c>
      <c r="C148" s="172">
        <v>-8.2263663034425338E-3</v>
      </c>
      <c r="D148" s="172">
        <v>3.3137218009327896E-2</v>
      </c>
      <c r="E148" s="171">
        <v>0</v>
      </c>
      <c r="F148" s="171">
        <f>-$L$1</f>
        <v>-1.4990492230334603E-2</v>
      </c>
      <c r="G148" s="172">
        <v>0</v>
      </c>
      <c r="H148" s="172">
        <v>0</v>
      </c>
      <c r="I148" s="178">
        <f>-$N$1</f>
        <v>-4.7716218756768064E-3</v>
      </c>
      <c r="J148" s="171">
        <v>0</v>
      </c>
      <c r="L148">
        <v>0</v>
      </c>
      <c r="M148">
        <v>0.83819308748403598</v>
      </c>
      <c r="N148">
        <v>0</v>
      </c>
      <c r="R148" s="35">
        <f t="shared" ca="1" si="43"/>
        <v>6.5922023267207113</v>
      </c>
    </row>
    <row r="149" spans="1:18">
      <c r="A149" s="171"/>
      <c r="B149" s="172">
        <v>2.6959782234951333</v>
      </c>
      <c r="C149" s="172">
        <v>1.0757798809975587</v>
      </c>
      <c r="D149" s="172">
        <v>4.997772423355884E-2</v>
      </c>
      <c r="E149" s="171">
        <v>0</v>
      </c>
      <c r="F149" s="172">
        <v>0</v>
      </c>
      <c r="G149" s="171">
        <f>-$L$1</f>
        <v>-1.4990492230334603E-2</v>
      </c>
      <c r="H149" s="172">
        <v>0</v>
      </c>
      <c r="I149" s="172">
        <v>0</v>
      </c>
      <c r="J149" s="178">
        <f>-$N$1</f>
        <v>-4.7716218756768064E-3</v>
      </c>
      <c r="L149">
        <v>0</v>
      </c>
      <c r="M149">
        <v>0</v>
      </c>
      <c r="N149">
        <v>0.58647342041933836</v>
      </c>
      <c r="R149" s="35">
        <f t="shared" ca="1" si="43"/>
        <v>6.7105664089168426</v>
      </c>
    </row>
    <row r="150" spans="1:18">
      <c r="A150" s="171"/>
      <c r="B150" s="172"/>
      <c r="C150" s="172"/>
      <c r="D150" s="172"/>
      <c r="E150" s="171"/>
      <c r="F150" s="171"/>
      <c r="G150" s="171"/>
      <c r="H150" s="171"/>
      <c r="I150" s="171"/>
      <c r="J150" s="171"/>
      <c r="R150" s="35">
        <f t="shared" ca="1" si="43"/>
        <v>7.0312992713762936</v>
      </c>
    </row>
    <row r="151" spans="1:18">
      <c r="A151" s="171"/>
      <c r="B151" s="172">
        <v>1.253875629566908</v>
      </c>
      <c r="C151" s="172">
        <v>3.2592166127769939E-2</v>
      </c>
      <c r="D151" s="172">
        <v>-0.73934661383723232</v>
      </c>
      <c r="E151" s="171">
        <f>-$L$1</f>
        <v>-1.4990492230334603E-2</v>
      </c>
      <c r="F151" s="172">
        <v>0</v>
      </c>
      <c r="G151" s="172">
        <v>0</v>
      </c>
      <c r="H151" s="178">
        <f>-$N$1</f>
        <v>-4.7716218756768064E-3</v>
      </c>
      <c r="I151" s="171">
        <v>0</v>
      </c>
      <c r="J151" s="171">
        <v>0</v>
      </c>
      <c r="L151">
        <f t="array" ref="L151:N153">SVDD(B151:J153)</f>
        <v>2.6615562576384582</v>
      </c>
      <c r="M151">
        <v>0</v>
      </c>
      <c r="N151">
        <v>0</v>
      </c>
      <c r="P151">
        <f t="shared" ref="P151" si="48">MAX(L151,M152,N153)/MIN(L151,M152,N153)</f>
        <v>4.0308357672671891</v>
      </c>
      <c r="R151" s="35">
        <f t="shared" ca="1" si="43"/>
        <v>14.02684316037301</v>
      </c>
    </row>
    <row r="152" spans="1:18">
      <c r="A152" s="171" t="s">
        <v>251</v>
      </c>
      <c r="B152" s="172">
        <v>2.2957880185781296</v>
      </c>
      <c r="C152" s="172">
        <v>-8.2263663034425338E-3</v>
      </c>
      <c r="D152" s="172">
        <v>3.3137218009327896E-2</v>
      </c>
      <c r="E152" s="171">
        <v>0</v>
      </c>
      <c r="F152" s="171">
        <f>-$L$1</f>
        <v>-1.4990492230334603E-2</v>
      </c>
      <c r="G152" s="172">
        <v>0</v>
      </c>
      <c r="H152" s="172">
        <v>0</v>
      </c>
      <c r="I152" s="178">
        <f>-$N$1</f>
        <v>-4.7716218756768064E-3</v>
      </c>
      <c r="J152" s="171">
        <v>0</v>
      </c>
      <c r="L152">
        <v>0</v>
      </c>
      <c r="M152">
        <v>2.1195306552276967</v>
      </c>
      <c r="N152">
        <v>0</v>
      </c>
      <c r="R152" s="35">
        <f t="shared" ca="1" si="43"/>
        <v>10.959186569084393</v>
      </c>
    </row>
    <row r="153" spans="1:18">
      <c r="A153" s="171"/>
      <c r="B153" s="172">
        <v>0.21871711292247331</v>
      </c>
      <c r="C153" s="172">
        <v>2.1363371502498802</v>
      </c>
      <c r="D153" s="172">
        <v>8.9790398854103559E-2</v>
      </c>
      <c r="E153" s="171">
        <v>0</v>
      </c>
      <c r="F153" s="172">
        <v>0</v>
      </c>
      <c r="G153" s="171">
        <f>-$L$1</f>
        <v>-1.4990492230334603E-2</v>
      </c>
      <c r="H153" s="172">
        <v>0</v>
      </c>
      <c r="I153" s="172">
        <v>0</v>
      </c>
      <c r="J153" s="178">
        <f>-$N$1</f>
        <v>-4.7716218756768064E-3</v>
      </c>
      <c r="L153">
        <v>0</v>
      </c>
      <c r="M153">
        <v>0</v>
      </c>
      <c r="N153">
        <v>0.66029885892446816</v>
      </c>
      <c r="R153" s="35">
        <f t="shared" ca="1" si="43"/>
        <v>6.9652378518336615</v>
      </c>
    </row>
    <row r="154" spans="1:18">
      <c r="A154" s="171"/>
      <c r="B154" s="172"/>
      <c r="C154" s="172"/>
      <c r="D154" s="172"/>
      <c r="E154" s="171"/>
      <c r="F154" s="171"/>
      <c r="G154" s="171"/>
      <c r="H154" s="171"/>
      <c r="I154" s="171"/>
      <c r="J154" s="171"/>
      <c r="R154" s="35">
        <f t="shared" ca="1" si="43"/>
        <v>4.4463378786883858</v>
      </c>
    </row>
    <row r="155" spans="1:18">
      <c r="A155" s="171"/>
      <c r="B155" s="172">
        <v>1.253875629566908</v>
      </c>
      <c r="C155" s="172">
        <v>3.2592166127769939E-2</v>
      </c>
      <c r="D155" s="172">
        <v>-0.73934661383723232</v>
      </c>
      <c r="E155" s="171">
        <f>-$L$1</f>
        <v>-1.4990492230334603E-2</v>
      </c>
      <c r="F155" s="172">
        <v>0</v>
      </c>
      <c r="G155" s="172">
        <v>0</v>
      </c>
      <c r="H155" s="178">
        <f>-$N$1</f>
        <v>-4.7716218756768064E-3</v>
      </c>
      <c r="I155" s="171">
        <v>0</v>
      </c>
      <c r="J155" s="171">
        <v>0</v>
      </c>
      <c r="L155">
        <f t="array" ref="L155:N157">SVDD(B155:J157)</f>
        <v>3.4997566800993565</v>
      </c>
      <c r="M155">
        <v>0</v>
      </c>
      <c r="N155">
        <v>0</v>
      </c>
      <c r="P155">
        <f t="shared" ref="P155" si="49">MAX(L155,M156,N157)/MIN(L155,M156,N157)</f>
        <v>5.315806569312362</v>
      </c>
      <c r="R155" s="35">
        <f t="shared" ca="1" si="43"/>
        <v>10.895243151566556</v>
      </c>
    </row>
    <row r="156" spans="1:18">
      <c r="A156" s="171" t="s">
        <v>252</v>
      </c>
      <c r="B156" s="172">
        <v>2.2957880185781296</v>
      </c>
      <c r="C156" s="172">
        <v>-8.2263663034425338E-3</v>
      </c>
      <c r="D156" s="172">
        <v>3.3137218009327896E-2</v>
      </c>
      <c r="E156" s="171">
        <v>0</v>
      </c>
      <c r="F156" s="171">
        <f>-$L$1</f>
        <v>-1.4990492230334603E-2</v>
      </c>
      <c r="G156" s="172">
        <v>0</v>
      </c>
      <c r="H156" s="172">
        <v>0</v>
      </c>
      <c r="I156" s="178">
        <f>-$N$1</f>
        <v>-4.7716218756768064E-3</v>
      </c>
      <c r="J156" s="171">
        <v>0</v>
      </c>
      <c r="L156">
        <v>0</v>
      </c>
      <c r="M156">
        <v>1.6025100929947138</v>
      </c>
      <c r="N156">
        <v>0</v>
      </c>
      <c r="R156" s="35">
        <f t="shared" ca="1" si="43"/>
        <v>4.5852000172627232</v>
      </c>
    </row>
    <row r="157" spans="1:18">
      <c r="A157" s="171"/>
      <c r="B157" s="172">
        <v>1.8375474863113905</v>
      </c>
      <c r="C157" s="172">
        <v>2.1167426559988707</v>
      </c>
      <c r="D157" s="172">
        <v>1.2367606559382516E-2</v>
      </c>
      <c r="E157" s="171">
        <v>0</v>
      </c>
      <c r="F157" s="172">
        <v>0</v>
      </c>
      <c r="G157" s="171">
        <f>-$L$1</f>
        <v>-1.4990492230334603E-2</v>
      </c>
      <c r="H157" s="172">
        <v>0</v>
      </c>
      <c r="I157" s="172">
        <v>0</v>
      </c>
      <c r="J157" s="178">
        <f>-$N$1</f>
        <v>-4.7716218756768064E-3</v>
      </c>
      <c r="L157">
        <v>0</v>
      </c>
      <c r="M157">
        <v>0</v>
      </c>
      <c r="N157">
        <v>0.65836795121611724</v>
      </c>
      <c r="R157" s="35">
        <f t="shared" ca="1" si="43"/>
        <v>9.2982792164366224</v>
      </c>
    </row>
    <row r="158" spans="1:18">
      <c r="A158" s="171"/>
      <c r="B158" s="172"/>
      <c r="C158" s="172"/>
      <c r="D158" s="172"/>
      <c r="E158" s="171"/>
      <c r="F158" s="171"/>
      <c r="G158" s="171"/>
      <c r="H158" s="171"/>
      <c r="I158" s="171"/>
      <c r="J158" s="171"/>
      <c r="R158" s="35">
        <f t="shared" ca="1" si="43"/>
        <v>192.39391754968031</v>
      </c>
    </row>
    <row r="159" spans="1:18">
      <c r="A159" s="171"/>
      <c r="B159" s="172">
        <v>1.253875629566908</v>
      </c>
      <c r="C159" s="172">
        <v>3.2592166127769939E-2</v>
      </c>
      <c r="D159" s="172">
        <v>-0.73934661383723232</v>
      </c>
      <c r="E159" s="171">
        <f>-$L$1</f>
        <v>-1.4990492230334603E-2</v>
      </c>
      <c r="F159" s="172">
        <v>0</v>
      </c>
      <c r="G159" s="172">
        <v>0</v>
      </c>
      <c r="H159" s="178">
        <f>-$N$1</f>
        <v>-4.7716218756768064E-3</v>
      </c>
      <c r="I159" s="171">
        <v>0</v>
      </c>
      <c r="J159" s="171">
        <v>0</v>
      </c>
      <c r="L159">
        <f t="array" ref="L159:N161">SVDD(B159:J161)</f>
        <v>3.2922019452179012</v>
      </c>
      <c r="M159">
        <v>0</v>
      </c>
      <c r="N159">
        <v>0</v>
      </c>
      <c r="P159">
        <f t="shared" ref="P159" si="50">MAX(L159,M160,N161)/MIN(L159,M160,N161)</f>
        <v>5.1731248882840752</v>
      </c>
      <c r="R159" s="35">
        <f t="shared" ca="1" si="43"/>
        <v>129.66977488444354</v>
      </c>
    </row>
    <row r="160" spans="1:18">
      <c r="A160" s="171" t="s">
        <v>253</v>
      </c>
      <c r="B160" s="172">
        <v>2.2957880185781296</v>
      </c>
      <c r="C160" s="172">
        <v>-8.2263663034425338E-3</v>
      </c>
      <c r="D160" s="172">
        <v>3.3137218009327896E-2</v>
      </c>
      <c r="E160" s="171">
        <v>0</v>
      </c>
      <c r="F160" s="171">
        <f>-$L$1</f>
        <v>-1.4990492230334603E-2</v>
      </c>
      <c r="G160" s="172">
        <v>0</v>
      </c>
      <c r="H160" s="172">
        <v>0</v>
      </c>
      <c r="I160" s="178">
        <f>-$N$1</f>
        <v>-4.7716218756768064E-3</v>
      </c>
      <c r="J160" s="171">
        <v>0</v>
      </c>
      <c r="L160">
        <v>0</v>
      </c>
      <c r="M160">
        <v>1.9675605486071757</v>
      </c>
      <c r="N160">
        <v>0</v>
      </c>
      <c r="R160" s="35">
        <f t="shared" ca="1" si="43"/>
        <v>122.79906078168024</v>
      </c>
    </row>
    <row r="161" spans="1:18">
      <c r="A161" s="171"/>
      <c r="B161" s="172">
        <v>1.2284177840385118</v>
      </c>
      <c r="C161" s="172">
        <v>2.3993580133895418</v>
      </c>
      <c r="D161" s="172">
        <v>-0.6756623603325641</v>
      </c>
      <c r="E161" s="171">
        <v>0</v>
      </c>
      <c r="F161" s="172">
        <v>0</v>
      </c>
      <c r="G161" s="171">
        <f>-$L$1</f>
        <v>-1.4990492230334603E-2</v>
      </c>
      <c r="H161" s="172">
        <v>0</v>
      </c>
      <c r="I161" s="172">
        <v>0</v>
      </c>
      <c r="J161" s="178">
        <f>-$N$1</f>
        <v>-4.7716218756768064E-3</v>
      </c>
      <c r="L161">
        <v>0</v>
      </c>
      <c r="M161">
        <v>0</v>
      </c>
      <c r="N161">
        <v>0.63640488414922536</v>
      </c>
      <c r="R161" s="35">
        <f t="shared" ca="1" si="43"/>
        <v>11.321658387881362</v>
      </c>
    </row>
    <row r="162" spans="1:18">
      <c r="A162" s="171"/>
      <c r="B162" s="172"/>
      <c r="C162" s="172"/>
      <c r="D162" s="172"/>
      <c r="E162" s="171"/>
      <c r="F162" s="171"/>
      <c r="G162" s="171"/>
      <c r="H162" s="171"/>
      <c r="I162" s="171"/>
      <c r="J162" s="171"/>
      <c r="R162" s="35">
        <f t="shared" ca="1" si="43"/>
        <v>101.03887656044341</v>
      </c>
    </row>
    <row r="163" spans="1:18">
      <c r="A163" s="171"/>
      <c r="B163" s="172">
        <v>1.253875629566908</v>
      </c>
      <c r="C163" s="172">
        <v>3.2592166127769939E-2</v>
      </c>
      <c r="D163" s="172">
        <v>-0.73934661383723232</v>
      </c>
      <c r="E163" s="171">
        <f>-$L$1</f>
        <v>-1.4990492230334603E-2</v>
      </c>
      <c r="F163" s="172">
        <v>0</v>
      </c>
      <c r="G163" s="172">
        <v>0</v>
      </c>
      <c r="H163" s="178">
        <f>-$N$1</f>
        <v>-4.7716218756768064E-3</v>
      </c>
      <c r="I163" s="171">
        <v>0</v>
      </c>
      <c r="J163" s="171">
        <v>0</v>
      </c>
      <c r="L163">
        <f t="array" ref="L163:N165">SVDD(B163:J165)</f>
        <v>3.1487311144179766</v>
      </c>
      <c r="M163">
        <v>0</v>
      </c>
      <c r="N163">
        <v>0</v>
      </c>
      <c r="P163">
        <f t="shared" ref="P163" si="51">MAX(L163,M164,N165)/MIN(L163,M164,N165)</f>
        <v>5.3188046488284861</v>
      </c>
      <c r="R163" s="35">
        <f t="shared" ca="1" si="43"/>
        <v>257.13512217323864</v>
      </c>
    </row>
    <row r="164" spans="1:18">
      <c r="A164" s="171" t="s">
        <v>254</v>
      </c>
      <c r="B164" s="172">
        <v>-0.14897154656832046</v>
      </c>
      <c r="C164" s="172">
        <v>0.84725762547333594</v>
      </c>
      <c r="D164" s="172">
        <v>-1.9759438806851826E-2</v>
      </c>
      <c r="E164" s="171">
        <v>0</v>
      </c>
      <c r="F164" s="171">
        <f>-$L$1</f>
        <v>-1.4990492230334603E-2</v>
      </c>
      <c r="G164" s="172">
        <v>0</v>
      </c>
      <c r="H164" s="172">
        <v>0</v>
      </c>
      <c r="I164" s="178">
        <f>-$N$1</f>
        <v>-4.7716218756768064E-3</v>
      </c>
      <c r="J164" s="171">
        <v>0</v>
      </c>
      <c r="L164">
        <v>0</v>
      </c>
      <c r="M164">
        <v>1.0120266801270257</v>
      </c>
      <c r="N164">
        <v>0</v>
      </c>
      <c r="R164" s="35">
        <f t="shared" ca="1" si="43"/>
        <v>19.51960615823284</v>
      </c>
    </row>
    <row r="165" spans="1:18">
      <c r="A165" s="171"/>
      <c r="B165" s="172">
        <v>2.6959782234951333</v>
      </c>
      <c r="C165" s="172">
        <v>1.0757798809975587</v>
      </c>
      <c r="D165" s="172">
        <v>4.997772423355884E-2</v>
      </c>
      <c r="E165" s="171">
        <v>0</v>
      </c>
      <c r="F165" s="172">
        <v>0</v>
      </c>
      <c r="G165" s="171">
        <f>-$L$1</f>
        <v>-1.4990492230334603E-2</v>
      </c>
      <c r="H165" s="172">
        <v>0</v>
      </c>
      <c r="I165" s="172">
        <v>0</v>
      </c>
      <c r="J165" s="178">
        <f>-$N$1</f>
        <v>-4.7716218756768064E-3</v>
      </c>
      <c r="L165">
        <v>0</v>
      </c>
      <c r="M165">
        <v>0</v>
      </c>
      <c r="N165">
        <v>0.59199976729950265</v>
      </c>
      <c r="R165" s="35">
        <f t="shared" ca="1" si="43"/>
        <v>57.156542782570753</v>
      </c>
    </row>
    <row r="166" spans="1:18">
      <c r="A166" s="171"/>
      <c r="B166" s="172"/>
      <c r="C166" s="172"/>
      <c r="D166" s="172"/>
      <c r="E166" s="171"/>
      <c r="F166" s="171"/>
      <c r="G166" s="171"/>
      <c r="H166" s="171"/>
      <c r="I166" s="171"/>
      <c r="J166" s="171"/>
      <c r="R166" s="35">
        <f t="shared" ca="1" si="43"/>
        <v>7.3300092307932596</v>
      </c>
    </row>
    <row r="167" spans="1:18">
      <c r="A167" s="171"/>
      <c r="B167" s="172">
        <v>1.253875629566908</v>
      </c>
      <c r="C167" s="172">
        <v>3.2592166127769939E-2</v>
      </c>
      <c r="D167" s="172">
        <v>-0.73934661383723232</v>
      </c>
      <c r="E167" s="171">
        <f>-$L$1</f>
        <v>-1.4990492230334603E-2</v>
      </c>
      <c r="F167" s="172">
        <v>0</v>
      </c>
      <c r="G167" s="172">
        <v>0</v>
      </c>
      <c r="H167" s="178">
        <f>-$N$1</f>
        <v>-4.7716218756768064E-3</v>
      </c>
      <c r="I167" s="171">
        <v>0</v>
      </c>
      <c r="J167" s="171">
        <v>0</v>
      </c>
      <c r="L167">
        <f t="array" ref="L167:N169">SVDD(B167:J169)</f>
        <v>2.3072565565443726</v>
      </c>
      <c r="M167">
        <v>0</v>
      </c>
      <c r="N167">
        <v>0</v>
      </c>
      <c r="P167">
        <f t="shared" ref="P167" si="52">MAX(L167,M168,N169)/MIN(L167,M168,N169)</f>
        <v>14.848261657059052</v>
      </c>
      <c r="R167" s="35">
        <f t="shared" ca="1" si="43"/>
        <v>8.4956357581749096</v>
      </c>
    </row>
    <row r="168" spans="1:18">
      <c r="A168" s="171" t="s">
        <v>255</v>
      </c>
      <c r="B168" s="172">
        <v>-0.14897154656832046</v>
      </c>
      <c r="C168" s="172">
        <v>0.84725762547333594</v>
      </c>
      <c r="D168" s="172">
        <v>-1.9759438806851826E-2</v>
      </c>
      <c r="E168" s="171">
        <v>0</v>
      </c>
      <c r="F168" s="171">
        <f>-$L$1</f>
        <v>-1.4990492230334603E-2</v>
      </c>
      <c r="G168" s="172">
        <v>0</v>
      </c>
      <c r="H168" s="172">
        <v>0</v>
      </c>
      <c r="I168" s="178">
        <f>-$N$1</f>
        <v>-4.7716218756768064E-3</v>
      </c>
      <c r="J168" s="171">
        <v>0</v>
      </c>
      <c r="L168">
        <v>0</v>
      </c>
      <c r="M168">
        <v>1.4605916612817271</v>
      </c>
      <c r="N168">
        <v>0</v>
      </c>
      <c r="R168" s="35">
        <f t="shared" ca="1" si="43"/>
        <v>74.075977821515593</v>
      </c>
    </row>
    <row r="169" spans="1:18">
      <c r="A169" s="171"/>
      <c r="B169" s="172">
        <v>0.21871711292247331</v>
      </c>
      <c r="C169" s="172">
        <v>2.1363371502498802</v>
      </c>
      <c r="D169" s="172">
        <v>8.9790398854103559E-2</v>
      </c>
      <c r="E169" s="171">
        <v>0</v>
      </c>
      <c r="F169" s="172">
        <v>0</v>
      </c>
      <c r="G169" s="171">
        <f>-$L$1</f>
        <v>-1.4990492230334603E-2</v>
      </c>
      <c r="H169" s="172">
        <v>0</v>
      </c>
      <c r="I169" s="172">
        <v>0</v>
      </c>
      <c r="J169" s="178">
        <f>-$N$1</f>
        <v>-4.7716218756768064E-3</v>
      </c>
      <c r="L169">
        <v>0</v>
      </c>
      <c r="M169">
        <v>0</v>
      </c>
      <c r="N169">
        <v>0.15538900174536416</v>
      </c>
      <c r="R169" s="35">
        <f t="shared" ca="1" si="43"/>
        <v>134.76209780282866</v>
      </c>
    </row>
    <row r="170" spans="1:18">
      <c r="A170" s="171"/>
      <c r="B170" s="172"/>
      <c r="C170" s="172"/>
      <c r="D170" s="172"/>
      <c r="E170" s="171"/>
      <c r="F170" s="171"/>
      <c r="G170" s="171"/>
      <c r="H170" s="171"/>
      <c r="I170" s="171"/>
      <c r="J170" s="171"/>
      <c r="R170" s="35">
        <f t="shared" ca="1" si="43"/>
        <v>8.9797627776522759</v>
      </c>
    </row>
    <row r="171" spans="1:18">
      <c r="A171" s="171"/>
      <c r="B171" s="172">
        <v>1.253875629566908</v>
      </c>
      <c r="C171" s="172">
        <v>3.2592166127769939E-2</v>
      </c>
      <c r="D171" s="172">
        <v>-0.73934661383723232</v>
      </c>
      <c r="E171" s="171">
        <f>-$L$1</f>
        <v>-1.4990492230334603E-2</v>
      </c>
      <c r="F171" s="172">
        <v>0</v>
      </c>
      <c r="G171" s="172">
        <v>0</v>
      </c>
      <c r="H171" s="178">
        <f>-$N$1</f>
        <v>-4.7716218756768064E-3</v>
      </c>
      <c r="I171" s="171">
        <v>0</v>
      </c>
      <c r="J171" s="171">
        <v>0</v>
      </c>
      <c r="L171">
        <f t="array" ref="L171:N173">SVDD(B171:J173)</f>
        <v>2.9900358729994307</v>
      </c>
      <c r="M171">
        <v>0</v>
      </c>
      <c r="N171">
        <v>0</v>
      </c>
      <c r="P171">
        <f t="shared" ref="P171" si="53">MAX(L171,M172,N173)/MIN(L171,M172,N173)</f>
        <v>7.8816809547397835</v>
      </c>
      <c r="R171" s="35">
        <f t="shared" ca="1" si="43"/>
        <v>54.022158705490284</v>
      </c>
    </row>
    <row r="172" spans="1:18">
      <c r="A172" s="171" t="s">
        <v>256</v>
      </c>
      <c r="B172" s="172">
        <v>-0.14897154656832046</v>
      </c>
      <c r="C172" s="172">
        <v>0.84725762547333594</v>
      </c>
      <c r="D172" s="172">
        <v>-1.9759438806851826E-2</v>
      </c>
      <c r="E172" s="171">
        <v>0</v>
      </c>
      <c r="F172" s="171">
        <f>-$L$1</f>
        <v>-1.4990492230334603E-2</v>
      </c>
      <c r="G172" s="172">
        <v>0</v>
      </c>
      <c r="H172" s="172">
        <v>0</v>
      </c>
      <c r="I172" s="178">
        <f>-$N$1</f>
        <v>-4.7716218756768064E-3</v>
      </c>
      <c r="J172" s="171">
        <v>0</v>
      </c>
      <c r="L172">
        <v>0</v>
      </c>
      <c r="M172">
        <v>1.2783471079017101</v>
      </c>
      <c r="N172">
        <v>0</v>
      </c>
      <c r="R172" s="35">
        <f t="shared" ca="1" si="43"/>
        <v>5.9636504113419964</v>
      </c>
    </row>
    <row r="173" spans="1:18">
      <c r="A173" s="171"/>
      <c r="B173" s="172">
        <v>1.8375474863113905</v>
      </c>
      <c r="C173" s="172">
        <v>2.1167426559988707</v>
      </c>
      <c r="D173" s="172">
        <v>1.2367606559382516E-2</v>
      </c>
      <c r="E173" s="171">
        <v>0</v>
      </c>
      <c r="F173" s="172">
        <v>0</v>
      </c>
      <c r="G173" s="171">
        <f>-$L$1</f>
        <v>-1.4990492230334603E-2</v>
      </c>
      <c r="H173" s="172">
        <v>0</v>
      </c>
      <c r="I173" s="172">
        <v>0</v>
      </c>
      <c r="J173" s="178">
        <f>-$N$1</f>
        <v>-4.7716218756768064E-3</v>
      </c>
      <c r="L173">
        <v>0</v>
      </c>
      <c r="M173">
        <v>0</v>
      </c>
      <c r="N173">
        <v>0.37936525091152307</v>
      </c>
      <c r="R173" s="35">
        <f t="shared" ca="1" si="43"/>
        <v>7.5699127029959348</v>
      </c>
    </row>
    <row r="174" spans="1:18">
      <c r="A174" s="171"/>
      <c r="B174" s="172"/>
      <c r="C174" s="172"/>
      <c r="D174" s="172"/>
      <c r="E174" s="171"/>
      <c r="F174" s="171"/>
      <c r="G174" s="171"/>
      <c r="H174" s="171"/>
      <c r="I174" s="171"/>
      <c r="J174" s="171"/>
      <c r="R174" s="35">
        <f t="shared" ca="1" si="43"/>
        <v>51.881892475460688</v>
      </c>
    </row>
    <row r="175" spans="1:18">
      <c r="A175" s="171"/>
      <c r="B175" s="172">
        <v>1.253875629566908</v>
      </c>
      <c r="C175" s="172">
        <v>3.2592166127769939E-2</v>
      </c>
      <c r="D175" s="172">
        <v>-0.73934661383723232</v>
      </c>
      <c r="E175" s="171">
        <f>-$L$1</f>
        <v>-1.4990492230334603E-2</v>
      </c>
      <c r="F175" s="172">
        <v>0</v>
      </c>
      <c r="G175" s="172">
        <v>0</v>
      </c>
      <c r="H175" s="178">
        <f>-$N$1</f>
        <v>-4.7716218756768064E-3</v>
      </c>
      <c r="I175" s="171">
        <v>0</v>
      </c>
      <c r="J175" s="171">
        <v>0</v>
      </c>
      <c r="L175">
        <f t="array" ref="L175:N177">SVDD(B175:J177)</f>
        <v>2.9671044285439359</v>
      </c>
      <c r="M175">
        <v>0</v>
      </c>
      <c r="N175">
        <v>0</v>
      </c>
      <c r="P175">
        <f t="shared" ref="P175" si="54">MAX(L175,M176,N177)/MIN(L175,M176,N177)</f>
        <v>31.111971140337332</v>
      </c>
      <c r="R175" s="35">
        <f t="shared" ca="1" si="43"/>
        <v>8.7424104039662662</v>
      </c>
    </row>
    <row r="176" spans="1:18">
      <c r="A176" s="171" t="s">
        <v>257</v>
      </c>
      <c r="B176" s="172">
        <v>-0.14897154656832046</v>
      </c>
      <c r="C176" s="172">
        <v>0.84725762547333594</v>
      </c>
      <c r="D176" s="172">
        <v>-1.9759438806851826E-2</v>
      </c>
      <c r="E176" s="171">
        <v>0</v>
      </c>
      <c r="F176" s="171">
        <f>-$L$1</f>
        <v>-1.4990492230334603E-2</v>
      </c>
      <c r="G176" s="172">
        <v>0</v>
      </c>
      <c r="H176" s="172">
        <v>0</v>
      </c>
      <c r="I176" s="178">
        <f>-$N$1</f>
        <v>-4.7716218756768064E-3</v>
      </c>
      <c r="J176" s="171">
        <v>0</v>
      </c>
      <c r="L176">
        <v>0</v>
      </c>
      <c r="M176">
        <v>1.3306823618431896</v>
      </c>
      <c r="N176">
        <v>0</v>
      </c>
      <c r="R176" s="35">
        <f t="shared" ca="1" si="43"/>
        <v>8.8185001164714851</v>
      </c>
    </row>
    <row r="177" spans="1:18">
      <c r="A177" s="171"/>
      <c r="B177" s="172">
        <v>1.2284177840385118</v>
      </c>
      <c r="C177" s="172">
        <v>2.3993580133895418</v>
      </c>
      <c r="D177" s="172">
        <v>-0.6756623603325641</v>
      </c>
      <c r="E177" s="171">
        <v>0</v>
      </c>
      <c r="F177" s="172">
        <v>0</v>
      </c>
      <c r="G177" s="171">
        <f>-$L$1</f>
        <v>-1.4990492230334603E-2</v>
      </c>
      <c r="H177" s="172">
        <v>0</v>
      </c>
      <c r="I177" s="172">
        <v>0</v>
      </c>
      <c r="J177" s="178">
        <f>-$N$1</f>
        <v>-4.7716218756768064E-3</v>
      </c>
      <c r="L177">
        <v>0</v>
      </c>
      <c r="M177">
        <v>0</v>
      </c>
      <c r="N177">
        <v>9.5368577425074236E-2</v>
      </c>
      <c r="R177" s="35">
        <f t="shared" ca="1" si="43"/>
        <v>9.0962397443754011</v>
      </c>
    </row>
    <row r="178" spans="1:18">
      <c r="A178" s="171"/>
      <c r="B178" s="172"/>
      <c r="C178" s="172"/>
      <c r="D178" s="172"/>
      <c r="E178" s="171"/>
      <c r="F178" s="171"/>
      <c r="G178" s="171"/>
      <c r="H178" s="171"/>
      <c r="I178" s="171"/>
      <c r="J178" s="171"/>
      <c r="R178" s="35">
        <f t="shared" ca="1" si="43"/>
        <v>6.743785505947816</v>
      </c>
    </row>
    <row r="179" spans="1:18">
      <c r="A179" s="171"/>
      <c r="B179" s="172">
        <v>1.253875629566908</v>
      </c>
      <c r="C179" s="172">
        <v>3.2592166127769939E-2</v>
      </c>
      <c r="D179" s="172">
        <v>-0.73934661383723232</v>
      </c>
      <c r="E179" s="171">
        <f>-$L$1</f>
        <v>-1.4990492230334603E-2</v>
      </c>
      <c r="F179" s="172">
        <v>0</v>
      </c>
      <c r="G179" s="172">
        <v>0</v>
      </c>
      <c r="H179" s="178">
        <f>-$N$1</f>
        <v>-4.7716218756768064E-3</v>
      </c>
      <c r="I179" s="171">
        <v>0</v>
      </c>
      <c r="J179" s="171">
        <v>0</v>
      </c>
      <c r="L179">
        <f t="array" ref="L179:N181">SVDD(B179:J181)</f>
        <v>3.3302637780427533</v>
      </c>
      <c r="M179">
        <v>0</v>
      </c>
      <c r="N179">
        <v>0</v>
      </c>
      <c r="P179">
        <f t="shared" ref="P179" si="55">MAX(L179,M180,N181)/MIN(L179,M180,N181)</f>
        <v>5.1695115378029746</v>
      </c>
      <c r="R179" s="35">
        <f t="shared" ca="1" si="43"/>
        <v>24.839252706387903</v>
      </c>
    </row>
    <row r="180" spans="1:18">
      <c r="A180" s="171" t="s">
        <v>258</v>
      </c>
      <c r="B180" s="172">
        <v>2.6959782234951333</v>
      </c>
      <c r="C180" s="172">
        <v>1.0757798809975587</v>
      </c>
      <c r="D180" s="172">
        <v>4.997772423355884E-2</v>
      </c>
      <c r="E180" s="171">
        <v>0</v>
      </c>
      <c r="F180" s="171">
        <f>-$L$1</f>
        <v>-1.4990492230334603E-2</v>
      </c>
      <c r="G180" s="172">
        <v>0</v>
      </c>
      <c r="H180" s="172">
        <v>0</v>
      </c>
      <c r="I180" s="178">
        <f>-$N$1</f>
        <v>-4.7716218756768064E-3</v>
      </c>
      <c r="J180" s="171">
        <v>0</v>
      </c>
      <c r="L180">
        <v>0</v>
      </c>
      <c r="M180">
        <v>1.9138731131234046</v>
      </c>
      <c r="N180">
        <v>0</v>
      </c>
      <c r="R180" s="35">
        <f t="shared" ca="1" si="43"/>
        <v>6.7597735060422064</v>
      </c>
    </row>
    <row r="181" spans="1:18">
      <c r="A181" s="171"/>
      <c r="B181" s="172">
        <v>0.21871711292247331</v>
      </c>
      <c r="C181" s="172">
        <v>2.1363371502498802</v>
      </c>
      <c r="D181" s="172">
        <v>8.9790398854103559E-2</v>
      </c>
      <c r="E181" s="171">
        <v>0</v>
      </c>
      <c r="F181" s="172">
        <v>0</v>
      </c>
      <c r="G181" s="171">
        <f>-$L$1</f>
        <v>-1.4990492230334603E-2</v>
      </c>
      <c r="H181" s="172">
        <v>0</v>
      </c>
      <c r="I181" s="172">
        <v>0</v>
      </c>
      <c r="J181" s="178">
        <f>-$N$1</f>
        <v>-4.7716218756768064E-3</v>
      </c>
      <c r="L181">
        <v>0</v>
      </c>
      <c r="M181">
        <v>0</v>
      </c>
      <c r="N181">
        <v>0.64421246643703289</v>
      </c>
      <c r="R181" s="35">
        <f t="shared" ca="1" si="43"/>
        <v>7.6427821491197658</v>
      </c>
    </row>
    <row r="182" spans="1:18">
      <c r="A182" s="171"/>
      <c r="B182" s="172"/>
      <c r="C182" s="172"/>
      <c r="D182" s="172"/>
      <c r="E182" s="171"/>
      <c r="F182" s="171"/>
      <c r="G182" s="171"/>
      <c r="H182" s="171"/>
      <c r="I182" s="171"/>
      <c r="J182" s="171"/>
      <c r="R182" s="35">
        <f t="shared" ca="1" si="43"/>
        <v>30.374485642704958</v>
      </c>
    </row>
    <row r="183" spans="1:18">
      <c r="A183" s="171"/>
      <c r="B183" s="172">
        <v>1.253875629566908</v>
      </c>
      <c r="C183" s="172">
        <v>3.2592166127769939E-2</v>
      </c>
      <c r="D183" s="172">
        <v>-0.73934661383723232</v>
      </c>
      <c r="E183" s="171">
        <f>-$L$1</f>
        <v>-1.4990492230334603E-2</v>
      </c>
      <c r="F183" s="172">
        <v>0</v>
      </c>
      <c r="G183" s="172">
        <v>0</v>
      </c>
      <c r="H183" s="178">
        <f>-$N$1</f>
        <v>-4.7716218756768064E-3</v>
      </c>
      <c r="I183" s="171">
        <v>0</v>
      </c>
      <c r="J183" s="171">
        <v>0</v>
      </c>
      <c r="L183">
        <f t="array" ref="L183:N185">SVDD(B183:J185)</f>
        <v>4.0661850171888041</v>
      </c>
      <c r="M183">
        <v>0</v>
      </c>
      <c r="N183">
        <v>0</v>
      </c>
      <c r="P183">
        <f t="shared" ref="P183" si="56">MAX(L183,M184,N185)/MIN(L183,M184,N185)</f>
        <v>7.1648819291236823</v>
      </c>
      <c r="R183" s="35">
        <f t="shared" ca="1" si="43"/>
        <v>7.3935458899574957</v>
      </c>
    </row>
    <row r="184" spans="1:18">
      <c r="A184" s="171" t="s">
        <v>259</v>
      </c>
      <c r="B184" s="172">
        <v>2.6959782234951333</v>
      </c>
      <c r="C184" s="172">
        <v>1.0757798809975587</v>
      </c>
      <c r="D184" s="172">
        <v>4.997772423355884E-2</v>
      </c>
      <c r="E184" s="171">
        <v>0</v>
      </c>
      <c r="F184" s="171">
        <f>-$L$1</f>
        <v>-1.4990492230334603E-2</v>
      </c>
      <c r="G184" s="172">
        <v>0</v>
      </c>
      <c r="H184" s="172">
        <v>0</v>
      </c>
      <c r="I184" s="178">
        <f>-$N$1</f>
        <v>-4.7716218756768064E-3</v>
      </c>
      <c r="J184" s="171">
        <v>0</v>
      </c>
      <c r="L184">
        <v>0</v>
      </c>
      <c r="M184">
        <v>1.2450458319163589</v>
      </c>
      <c r="N184">
        <v>0</v>
      </c>
      <c r="R184" s="35">
        <f t="shared" ca="1" si="43"/>
        <v>11.422771433272743</v>
      </c>
    </row>
    <row r="185" spans="1:18">
      <c r="A185" s="171"/>
      <c r="B185" s="172">
        <v>1.8375474863113905</v>
      </c>
      <c r="C185" s="172">
        <v>2.1167426559988707</v>
      </c>
      <c r="D185" s="172">
        <v>1.2367606559382516E-2</v>
      </c>
      <c r="E185" s="171">
        <v>0</v>
      </c>
      <c r="F185" s="172">
        <v>0</v>
      </c>
      <c r="G185" s="171">
        <f>-$L$1</f>
        <v>-1.4990492230334603E-2</v>
      </c>
      <c r="H185" s="172">
        <v>0</v>
      </c>
      <c r="I185" s="172">
        <v>0</v>
      </c>
      <c r="J185" s="178">
        <f>-$N$1</f>
        <v>-4.7716218756768064E-3</v>
      </c>
      <c r="L185">
        <v>0</v>
      </c>
      <c r="M185">
        <v>0</v>
      </c>
      <c r="N185">
        <v>0.56751598385182722</v>
      </c>
      <c r="R185" s="35">
        <f t="shared" ca="1" si="43"/>
        <v>7.7039081993148413</v>
      </c>
    </row>
    <row r="186" spans="1:18">
      <c r="A186" s="171"/>
      <c r="B186" s="172"/>
      <c r="C186" s="172"/>
      <c r="D186" s="172"/>
      <c r="E186" s="171"/>
      <c r="F186" s="171"/>
      <c r="G186" s="171"/>
      <c r="H186" s="171"/>
      <c r="I186" s="171"/>
      <c r="J186" s="171"/>
      <c r="R186" s="35">
        <f t="shared" ca="1" si="43"/>
        <v>4.6372011230253731</v>
      </c>
    </row>
    <row r="187" spans="1:18">
      <c r="A187" s="171"/>
      <c r="B187" s="172">
        <v>1.253875629566908</v>
      </c>
      <c r="C187" s="172">
        <v>3.2592166127769939E-2</v>
      </c>
      <c r="D187" s="172">
        <v>-0.73934661383723232</v>
      </c>
      <c r="E187" s="171">
        <f>-$L$1</f>
        <v>-1.4990492230334603E-2</v>
      </c>
      <c r="F187" s="172">
        <v>0</v>
      </c>
      <c r="G187" s="172">
        <v>0</v>
      </c>
      <c r="H187" s="178">
        <f>-$N$1</f>
        <v>-4.7716218756768064E-3</v>
      </c>
      <c r="I187" s="171">
        <v>0</v>
      </c>
      <c r="J187" s="171">
        <v>0</v>
      </c>
      <c r="L187">
        <f t="array" ref="L187:N189">SVDD(B187:J189)</f>
        <v>3.8892213035497956</v>
      </c>
      <c r="M187">
        <v>0</v>
      </c>
      <c r="N187">
        <v>0</v>
      </c>
      <c r="P187">
        <f t="shared" ref="P187" si="57">MAX(L187,M188,N189)/MIN(L187,M188,N189)</f>
        <v>5.0195612976123583</v>
      </c>
      <c r="R187" s="35">
        <f t="shared" ca="1" si="43"/>
        <v>8.6837602617568219</v>
      </c>
    </row>
    <row r="188" spans="1:18">
      <c r="A188" s="171" t="s">
        <v>260</v>
      </c>
      <c r="B188" s="172">
        <v>2.6959782234951333</v>
      </c>
      <c r="C188" s="172">
        <v>1.0757798809975587</v>
      </c>
      <c r="D188" s="172">
        <v>4.997772423355884E-2</v>
      </c>
      <c r="E188" s="171">
        <v>0</v>
      </c>
      <c r="F188" s="171">
        <f>-$L$1</f>
        <v>-1.4990492230334603E-2</v>
      </c>
      <c r="G188" s="172">
        <v>0</v>
      </c>
      <c r="H188" s="172">
        <v>0</v>
      </c>
      <c r="I188" s="178">
        <f>-$N$1</f>
        <v>-4.7716218756768064E-3</v>
      </c>
      <c r="J188" s="171">
        <v>0</v>
      </c>
      <c r="L188">
        <v>0</v>
      </c>
      <c r="M188">
        <v>1.5952467364154179</v>
      </c>
      <c r="N188">
        <v>0</v>
      </c>
      <c r="R188" s="35">
        <f t="shared" ca="1" si="43"/>
        <v>10.818658147165989</v>
      </c>
    </row>
    <row r="189" spans="1:18">
      <c r="A189" s="171"/>
      <c r="B189" s="172">
        <v>1.2284177840385118</v>
      </c>
      <c r="C189" s="172">
        <v>2.3993580133895418</v>
      </c>
      <c r="D189" s="172">
        <v>-0.6756623603325641</v>
      </c>
      <c r="E189" s="171">
        <v>0</v>
      </c>
      <c r="F189" s="172">
        <v>0</v>
      </c>
      <c r="G189" s="171">
        <f>-$L$1</f>
        <v>-1.4990492230334603E-2</v>
      </c>
      <c r="H189" s="172">
        <v>0</v>
      </c>
      <c r="I189" s="172">
        <v>0</v>
      </c>
      <c r="J189" s="178">
        <f>-$N$1</f>
        <v>-4.7716218756768064E-3</v>
      </c>
      <c r="L189">
        <v>0</v>
      </c>
      <c r="M189">
        <v>0</v>
      </c>
      <c r="N189">
        <v>0.77481299120697489</v>
      </c>
      <c r="R189" s="35">
        <f t="shared" ca="1" si="43"/>
        <v>12.577693773755021</v>
      </c>
    </row>
    <row r="190" spans="1:18">
      <c r="A190" s="171"/>
      <c r="B190" s="172"/>
      <c r="C190" s="172"/>
      <c r="D190" s="172"/>
      <c r="E190" s="171"/>
      <c r="F190" s="171"/>
      <c r="G190" s="171"/>
      <c r="H190" s="171"/>
      <c r="I190" s="171"/>
      <c r="J190" s="171"/>
      <c r="R190" s="35">
        <f t="shared" ca="1" si="43"/>
        <v>13.997547337634511</v>
      </c>
    </row>
    <row r="191" spans="1:18">
      <c r="A191" s="171"/>
      <c r="B191" s="172">
        <v>1.253875629566908</v>
      </c>
      <c r="C191" s="172">
        <v>3.2592166127769939E-2</v>
      </c>
      <c r="D191" s="172">
        <v>-0.73934661383723232</v>
      </c>
      <c r="E191" s="171">
        <f>-$L$1</f>
        <v>-1.4990492230334603E-2</v>
      </c>
      <c r="F191" s="172">
        <v>0</v>
      </c>
      <c r="G191" s="172">
        <v>0</v>
      </c>
      <c r="H191" s="178">
        <f>-$N$1</f>
        <v>-4.7716218756768064E-3</v>
      </c>
      <c r="I191" s="171">
        <v>0</v>
      </c>
      <c r="J191" s="171">
        <v>0</v>
      </c>
      <c r="L191">
        <f t="array" ref="L191:N193">SVDD(B191:J193)</f>
        <v>3.4454995620478526</v>
      </c>
      <c r="M191">
        <v>0</v>
      </c>
      <c r="N191">
        <v>0</v>
      </c>
      <c r="P191">
        <f t="shared" ref="P191" si="58">MAX(L191,M192,N193)/MIN(L191,M192,N193)</f>
        <v>8.0126887993783455</v>
      </c>
      <c r="R191" s="35">
        <f t="shared" ca="1" si="43"/>
        <v>4.0509593948373288</v>
      </c>
    </row>
    <row r="192" spans="1:18">
      <c r="A192" s="171" t="s">
        <v>261</v>
      </c>
      <c r="B192" s="172">
        <v>0.21871711292247331</v>
      </c>
      <c r="C192" s="172">
        <v>2.1363371502498802</v>
      </c>
      <c r="D192" s="172">
        <v>8.9790398854103559E-2</v>
      </c>
      <c r="E192" s="171">
        <v>0</v>
      </c>
      <c r="F192" s="171">
        <f>-$L$1</f>
        <v>-1.4990492230334603E-2</v>
      </c>
      <c r="G192" s="172">
        <v>0</v>
      </c>
      <c r="H192" s="172">
        <v>0</v>
      </c>
      <c r="I192" s="178">
        <f>-$N$1</f>
        <v>-4.7716218756768064E-3</v>
      </c>
      <c r="J192" s="171">
        <v>0</v>
      </c>
      <c r="L192">
        <v>0</v>
      </c>
      <c r="M192">
        <v>1.594189269044098</v>
      </c>
      <c r="N192">
        <v>0</v>
      </c>
      <c r="R192" s="35">
        <f t="shared" ca="1" si="43"/>
        <v>4.3690920255771504</v>
      </c>
    </row>
    <row r="193" spans="1:18">
      <c r="A193" s="171"/>
      <c r="B193" s="172">
        <v>1.8375474863113905</v>
      </c>
      <c r="C193" s="172">
        <v>2.1167426559988707</v>
      </c>
      <c r="D193" s="172">
        <v>1.2367606559382516E-2</v>
      </c>
      <c r="E193" s="171">
        <v>0</v>
      </c>
      <c r="F193" s="172">
        <v>0</v>
      </c>
      <c r="G193" s="171">
        <f>-$L$1</f>
        <v>-1.4990492230334603E-2</v>
      </c>
      <c r="H193" s="172">
        <v>0</v>
      </c>
      <c r="I193" s="172">
        <v>0</v>
      </c>
      <c r="J193" s="178">
        <f>-$N$1</f>
        <v>-4.7716218756768064E-3</v>
      </c>
      <c r="L193">
        <v>0</v>
      </c>
      <c r="M193">
        <v>0</v>
      </c>
      <c r="N193">
        <v>0.43000541370272199</v>
      </c>
      <c r="R193" s="35">
        <f t="shared" ca="1" si="43"/>
        <v>78.204179414956343</v>
      </c>
    </row>
    <row r="194" spans="1:18">
      <c r="A194" s="171"/>
      <c r="B194" s="172"/>
      <c r="C194" s="172"/>
      <c r="D194" s="172"/>
      <c r="E194" s="171"/>
      <c r="F194" s="171"/>
      <c r="G194" s="171"/>
      <c r="H194" s="171"/>
      <c r="I194" s="171"/>
      <c r="J194" s="171"/>
      <c r="R194" s="35">
        <f t="shared" ca="1" si="43"/>
        <v>161.39963075848718</v>
      </c>
    </row>
    <row r="195" spans="1:18">
      <c r="A195" s="171"/>
      <c r="B195" s="172">
        <v>1.253875629566908</v>
      </c>
      <c r="C195" s="172">
        <v>3.2592166127769939E-2</v>
      </c>
      <c r="D195" s="172">
        <v>-0.73934661383723232</v>
      </c>
      <c r="E195" s="171">
        <f>-$L$1</f>
        <v>-1.4990492230334603E-2</v>
      </c>
      <c r="F195" s="172">
        <v>0</v>
      </c>
      <c r="G195" s="172">
        <v>0</v>
      </c>
      <c r="H195" s="178">
        <f>-$N$1</f>
        <v>-4.7716218756768064E-3</v>
      </c>
      <c r="I195" s="171">
        <v>0</v>
      </c>
      <c r="J195" s="171">
        <v>0</v>
      </c>
      <c r="L195">
        <f t="array" ref="L195:N197">SVDD(B195:J197)</f>
        <v>3.4752381958225356</v>
      </c>
      <c r="M195">
        <v>0</v>
      </c>
      <c r="N195">
        <v>0</v>
      </c>
      <c r="P195">
        <f t="shared" ref="P195" si="59">MAX(L195,M196,N197)/MIN(L195,M196,N197)</f>
        <v>35.38123328066434</v>
      </c>
      <c r="R195" s="35">
        <f t="shared" ca="1" si="43"/>
        <v>48.084417664765631</v>
      </c>
    </row>
    <row r="196" spans="1:18">
      <c r="A196" s="171" t="s">
        <v>262</v>
      </c>
      <c r="B196" s="172">
        <v>0.21871711292247331</v>
      </c>
      <c r="C196" s="172">
        <v>2.1363371502498802</v>
      </c>
      <c r="D196" s="172">
        <v>8.9790398854103559E-2</v>
      </c>
      <c r="E196" s="171">
        <v>0</v>
      </c>
      <c r="F196" s="171">
        <f>-$L$1</f>
        <v>-1.4990492230334603E-2</v>
      </c>
      <c r="G196" s="172">
        <v>0</v>
      </c>
      <c r="H196" s="172">
        <v>0</v>
      </c>
      <c r="I196" s="178">
        <f>-$N$1</f>
        <v>-4.7716218756768064E-3</v>
      </c>
      <c r="J196" s="171">
        <v>0</v>
      </c>
      <c r="L196">
        <v>0</v>
      </c>
      <c r="M196">
        <v>1.5414274774562025</v>
      </c>
      <c r="N196">
        <v>0</v>
      </c>
      <c r="R196" s="35">
        <f t="shared" ca="1" si="43"/>
        <v>5.3850889074185826</v>
      </c>
    </row>
    <row r="197" spans="1:18">
      <c r="A197" s="171"/>
      <c r="B197" s="172">
        <v>1.2284177840385118</v>
      </c>
      <c r="C197" s="172">
        <v>2.3993580133895418</v>
      </c>
      <c r="D197" s="172">
        <v>-0.6756623603325641</v>
      </c>
      <c r="E197" s="171">
        <v>0</v>
      </c>
      <c r="F197" s="172">
        <v>0</v>
      </c>
      <c r="G197" s="171">
        <f>-$L$1</f>
        <v>-1.4990492230334603E-2</v>
      </c>
      <c r="H197" s="172">
        <v>0</v>
      </c>
      <c r="I197" s="172">
        <v>0</v>
      </c>
      <c r="J197" s="178">
        <f>-$N$1</f>
        <v>-4.7716218756768064E-3</v>
      </c>
      <c r="L197">
        <v>0</v>
      </c>
      <c r="M197">
        <v>0</v>
      </c>
      <c r="N197">
        <v>9.8222641598017302E-2</v>
      </c>
      <c r="R197" s="35">
        <f t="shared" ref="R197:R260" ca="1" si="60">OFFSET($P$3,4*(ROW(A195)-1),0,1,1)</f>
        <v>60.490057027091879</v>
      </c>
    </row>
    <row r="198" spans="1:18">
      <c r="A198" s="171"/>
      <c r="B198" s="172"/>
      <c r="C198" s="172"/>
      <c r="D198" s="172"/>
      <c r="E198" s="171"/>
      <c r="F198" s="171"/>
      <c r="G198" s="171"/>
      <c r="H198" s="171"/>
      <c r="I198" s="171"/>
      <c r="J198" s="171"/>
      <c r="R198" s="35">
        <f t="shared" ca="1" si="60"/>
        <v>43.488749164962918</v>
      </c>
    </row>
    <row r="199" spans="1:18">
      <c r="A199" s="171"/>
      <c r="B199" s="172">
        <v>1.253875629566908</v>
      </c>
      <c r="C199" s="172">
        <v>3.2592166127769939E-2</v>
      </c>
      <c r="D199" s="172">
        <v>-0.73934661383723232</v>
      </c>
      <c r="E199" s="171">
        <f>-$L$1</f>
        <v>-1.4990492230334603E-2</v>
      </c>
      <c r="F199" s="172">
        <v>0</v>
      </c>
      <c r="G199" s="172">
        <v>0</v>
      </c>
      <c r="H199" s="178">
        <f>-$N$1</f>
        <v>-4.7716218756768064E-3</v>
      </c>
      <c r="I199" s="171">
        <v>0</v>
      </c>
      <c r="J199" s="171">
        <v>0</v>
      </c>
      <c r="L199">
        <f t="array" ref="L199:N201">SVDD(B199:J201)</f>
        <v>3.9812259255561386</v>
      </c>
      <c r="M199">
        <v>0</v>
      </c>
      <c r="N199">
        <v>0</v>
      </c>
      <c r="P199">
        <f t="shared" ref="P199" si="61">MAX(L199,M200,N201)/MIN(L199,M200,N201)</f>
        <v>6.0246086472506564</v>
      </c>
      <c r="R199" s="35">
        <f t="shared" ca="1" si="60"/>
        <v>15.836534712833005</v>
      </c>
    </row>
    <row r="200" spans="1:18">
      <c r="A200" s="171" t="s">
        <v>263</v>
      </c>
      <c r="B200" s="172">
        <v>1.8375474863113905</v>
      </c>
      <c r="C200" s="172">
        <v>2.1167426559988707</v>
      </c>
      <c r="D200" s="172">
        <v>1.2367606559382516E-2</v>
      </c>
      <c r="E200" s="171">
        <v>0</v>
      </c>
      <c r="F200" s="171">
        <f>-$L$1</f>
        <v>-1.4990492230334603E-2</v>
      </c>
      <c r="G200" s="172">
        <v>0</v>
      </c>
      <c r="H200" s="172">
        <v>0</v>
      </c>
      <c r="I200" s="178">
        <f>-$N$1</f>
        <v>-4.7716218756768064E-3</v>
      </c>
      <c r="J200" s="171">
        <v>0</v>
      </c>
      <c r="L200">
        <v>0</v>
      </c>
      <c r="M200">
        <v>1.1889371524904098</v>
      </c>
      <c r="N200">
        <v>0</v>
      </c>
      <c r="R200" s="35">
        <f t="shared" ca="1" si="60"/>
        <v>46.964633171277647</v>
      </c>
    </row>
    <row r="201" spans="1:18">
      <c r="A201" s="171"/>
      <c r="B201" s="172">
        <v>1.2284177840385118</v>
      </c>
      <c r="C201" s="172">
        <v>2.3993580133895418</v>
      </c>
      <c r="D201" s="172">
        <v>-0.6756623603325641</v>
      </c>
      <c r="E201" s="171">
        <v>0</v>
      </c>
      <c r="F201" s="172">
        <v>0</v>
      </c>
      <c r="G201" s="171">
        <f>-$L$1</f>
        <v>-1.4990492230334603E-2</v>
      </c>
      <c r="H201" s="172">
        <v>0</v>
      </c>
      <c r="I201" s="172">
        <v>0</v>
      </c>
      <c r="J201" s="178">
        <f>-$N$1</f>
        <v>-4.7716218756768064E-3</v>
      </c>
      <c r="L201">
        <v>0</v>
      </c>
      <c r="M201">
        <v>0</v>
      </c>
      <c r="N201">
        <v>0.66082730989887284</v>
      </c>
      <c r="R201" s="35">
        <f t="shared" ca="1" si="60"/>
        <v>4.2315270089654948</v>
      </c>
    </row>
    <row r="202" spans="1:18">
      <c r="A202" s="171"/>
      <c r="B202" s="172"/>
      <c r="C202" s="172"/>
      <c r="D202" s="172"/>
      <c r="E202" s="171"/>
      <c r="F202" s="171"/>
      <c r="G202" s="171"/>
      <c r="H202" s="171"/>
      <c r="I202" s="171"/>
      <c r="J202" s="171"/>
      <c r="R202" s="35">
        <f t="shared" ca="1" si="60"/>
        <v>3.7418087063224883</v>
      </c>
    </row>
    <row r="203" spans="1:18">
      <c r="A203" s="171"/>
      <c r="B203" s="172">
        <v>2.2957880185781296</v>
      </c>
      <c r="C203" s="172">
        <v>-8.2263663034425338E-3</v>
      </c>
      <c r="D203" s="172">
        <v>3.3137218009327896E-2</v>
      </c>
      <c r="E203" s="171">
        <f>-$L$1</f>
        <v>-1.4990492230334603E-2</v>
      </c>
      <c r="F203" s="172">
        <v>0</v>
      </c>
      <c r="G203" s="172">
        <v>0</v>
      </c>
      <c r="H203" s="178">
        <f>-$N$1</f>
        <v>-4.7716218756768064E-3</v>
      </c>
      <c r="I203" s="171">
        <v>0</v>
      </c>
      <c r="J203" s="171">
        <v>0</v>
      </c>
      <c r="L203">
        <f t="array" ref="L203:N205">SVDD(B203:J205)</f>
        <v>3.637783383561267</v>
      </c>
      <c r="M203">
        <v>0</v>
      </c>
      <c r="N203">
        <v>0</v>
      </c>
      <c r="P203">
        <f t="shared" ref="P203" si="62">MAX(L203,M204,N205)/MIN(L203,M204,N205)</f>
        <v>160.26757680652088</v>
      </c>
      <c r="R203" s="35">
        <f t="shared" ca="1" si="60"/>
        <v>80.453484336355473</v>
      </c>
    </row>
    <row r="204" spans="1:18">
      <c r="A204" s="171" t="s">
        <v>264</v>
      </c>
      <c r="B204" s="172">
        <v>-0.14897154656832046</v>
      </c>
      <c r="C204" s="172">
        <v>0.84725762547333594</v>
      </c>
      <c r="D204" s="172">
        <v>-1.9759438806851826E-2</v>
      </c>
      <c r="E204" s="171">
        <v>0</v>
      </c>
      <c r="F204" s="171">
        <f>-$L$1</f>
        <v>-1.4990492230334603E-2</v>
      </c>
      <c r="G204" s="172">
        <v>0</v>
      </c>
      <c r="H204" s="172">
        <v>0</v>
      </c>
      <c r="I204" s="178">
        <f>-$N$1</f>
        <v>-4.7716218756768064E-3</v>
      </c>
      <c r="J204" s="171">
        <v>0</v>
      </c>
      <c r="L204">
        <v>0</v>
      </c>
      <c r="M204">
        <v>1.0986786694662876</v>
      </c>
      <c r="N204">
        <v>0</v>
      </c>
      <c r="R204" s="35">
        <f t="shared" ca="1" si="60"/>
        <v>32.659654733922437</v>
      </c>
    </row>
    <row r="205" spans="1:18">
      <c r="A205" s="171"/>
      <c r="B205" s="172">
        <v>2.6959782234951333</v>
      </c>
      <c r="C205" s="172">
        <v>1.0757798809975587</v>
      </c>
      <c r="D205" s="172">
        <v>4.997772423355884E-2</v>
      </c>
      <c r="E205" s="171">
        <v>0</v>
      </c>
      <c r="F205" s="172">
        <v>0</v>
      </c>
      <c r="G205" s="171">
        <f>-$L$1</f>
        <v>-1.4990492230334603E-2</v>
      </c>
      <c r="H205" s="172">
        <v>0</v>
      </c>
      <c r="I205" s="172">
        <v>0</v>
      </c>
      <c r="J205" s="178">
        <f>-$N$1</f>
        <v>-4.7716218756768064E-3</v>
      </c>
      <c r="L205">
        <v>0</v>
      </c>
      <c r="M205">
        <v>0</v>
      </c>
      <c r="N205">
        <v>2.2698186720280247E-2</v>
      </c>
      <c r="R205" s="35">
        <f t="shared" ca="1" si="60"/>
        <v>5.1534648569153383</v>
      </c>
    </row>
    <row r="206" spans="1:18">
      <c r="A206" s="171"/>
      <c r="B206" s="172"/>
      <c r="C206" s="172"/>
      <c r="D206" s="172"/>
      <c r="E206" s="171"/>
      <c r="F206" s="171"/>
      <c r="G206" s="171"/>
      <c r="H206" s="171"/>
      <c r="I206" s="171"/>
      <c r="J206" s="171"/>
      <c r="R206" s="35">
        <f t="shared" ca="1" si="60"/>
        <v>96.363900682167497</v>
      </c>
    </row>
    <row r="207" spans="1:18">
      <c r="A207" s="171"/>
      <c r="B207" s="172">
        <v>2.2957880185781296</v>
      </c>
      <c r="C207" s="172">
        <v>-8.2263663034425338E-3</v>
      </c>
      <c r="D207" s="172">
        <v>3.3137218009327896E-2</v>
      </c>
      <c r="E207" s="171">
        <f>-$L$1</f>
        <v>-1.4990492230334603E-2</v>
      </c>
      <c r="F207" s="172">
        <v>0</v>
      </c>
      <c r="G207" s="172">
        <v>0</v>
      </c>
      <c r="H207" s="178">
        <f>-$N$1</f>
        <v>-4.7716218756768064E-3</v>
      </c>
      <c r="I207" s="171">
        <v>0</v>
      </c>
      <c r="J207" s="171">
        <v>0</v>
      </c>
      <c r="L207">
        <f t="array" ref="L207:N209">SVDD(B207:J209)</f>
        <v>2.3751766607739189</v>
      </c>
      <c r="M207">
        <v>0</v>
      </c>
      <c r="N207">
        <v>0</v>
      </c>
      <c r="P207">
        <f t="shared" ref="P207" si="63">MAX(L207,M208,N209)/MIN(L207,M208,N209)</f>
        <v>46.993344715890572</v>
      </c>
      <c r="R207" s="35">
        <f t="shared" ca="1" si="60"/>
        <v>8.4985165396133606</v>
      </c>
    </row>
    <row r="208" spans="1:18">
      <c r="A208" s="171" t="s">
        <v>265</v>
      </c>
      <c r="B208" s="172">
        <v>-0.14897154656832046</v>
      </c>
      <c r="C208" s="172">
        <v>0.84725762547333594</v>
      </c>
      <c r="D208" s="172">
        <v>-1.9759438806851826E-2</v>
      </c>
      <c r="E208" s="171">
        <v>0</v>
      </c>
      <c r="F208" s="171">
        <f>-$L$1</f>
        <v>-1.4990492230334603E-2</v>
      </c>
      <c r="G208" s="172">
        <v>0</v>
      </c>
      <c r="H208" s="172">
        <v>0</v>
      </c>
      <c r="I208" s="178">
        <f>-$N$1</f>
        <v>-4.7716218756768064E-3</v>
      </c>
      <c r="J208" s="171">
        <v>0</v>
      </c>
      <c r="L208">
        <v>0</v>
      </c>
      <c r="M208">
        <v>2.2335613778082322</v>
      </c>
      <c r="N208">
        <v>0</v>
      </c>
      <c r="R208" s="35">
        <f t="shared" ca="1" si="60"/>
        <v>6.3892566317216408</v>
      </c>
    </row>
    <row r="209" spans="1:18">
      <c r="A209" s="171"/>
      <c r="B209" s="172">
        <v>0.21871711292247331</v>
      </c>
      <c r="C209" s="172">
        <v>2.1363371502498802</v>
      </c>
      <c r="D209" s="172">
        <v>8.9790398854103559E-2</v>
      </c>
      <c r="E209" s="171">
        <v>0</v>
      </c>
      <c r="F209" s="172">
        <v>0</v>
      </c>
      <c r="G209" s="171">
        <f>-$L$1</f>
        <v>-1.4990492230334603E-2</v>
      </c>
      <c r="H209" s="172">
        <v>0</v>
      </c>
      <c r="I209" s="172">
        <v>0</v>
      </c>
      <c r="J209" s="178">
        <f>-$N$1</f>
        <v>-4.7716218756768064E-3</v>
      </c>
      <c r="L209">
        <v>0</v>
      </c>
      <c r="M209">
        <v>0</v>
      </c>
      <c r="N209">
        <v>5.0542830588748547E-2</v>
      </c>
      <c r="R209" s="35">
        <f t="shared" ca="1" si="60"/>
        <v>36.221730805963183</v>
      </c>
    </row>
    <row r="210" spans="1:18">
      <c r="A210" s="171"/>
      <c r="B210" s="172"/>
      <c r="C210" s="172"/>
      <c r="D210" s="172"/>
      <c r="E210" s="171"/>
      <c r="F210" s="171"/>
      <c r="G210" s="171"/>
      <c r="H210" s="171"/>
      <c r="I210" s="171"/>
      <c r="J210" s="171"/>
      <c r="R210" s="35">
        <f t="shared" ca="1" si="60"/>
        <v>4.1620508944134142</v>
      </c>
    </row>
    <row r="211" spans="1:18">
      <c r="A211" s="171"/>
      <c r="B211" s="172">
        <v>2.2957880185781296</v>
      </c>
      <c r="C211" s="172">
        <v>-8.2263663034425338E-3</v>
      </c>
      <c r="D211" s="172">
        <v>3.3137218009327896E-2</v>
      </c>
      <c r="E211" s="171">
        <f>-$L$1</f>
        <v>-1.4990492230334603E-2</v>
      </c>
      <c r="F211" s="172">
        <v>0</v>
      </c>
      <c r="G211" s="172">
        <v>0</v>
      </c>
      <c r="H211" s="178">
        <f>-$N$1</f>
        <v>-4.7716218756768064E-3</v>
      </c>
      <c r="I211" s="171">
        <v>0</v>
      </c>
      <c r="J211" s="171">
        <v>0</v>
      </c>
      <c r="L211">
        <f t="array" ref="L211:N213">SVDD(B211:J213)</f>
        <v>3.3259705877664603</v>
      </c>
      <c r="M211">
        <v>0</v>
      </c>
      <c r="N211">
        <v>0</v>
      </c>
      <c r="P211">
        <f t="shared" ref="P211" si="64">MAX(L211,M212,N213)/MIN(L211,M212,N213)</f>
        <v>176.02698094377152</v>
      </c>
      <c r="R211" s="35">
        <f t="shared" ca="1" si="60"/>
        <v>3.3403386916710178</v>
      </c>
    </row>
    <row r="212" spans="1:18">
      <c r="A212" s="171" t="s">
        <v>266</v>
      </c>
      <c r="B212" s="172">
        <v>-0.14897154656832046</v>
      </c>
      <c r="C212" s="172">
        <v>0.84725762547333594</v>
      </c>
      <c r="D212" s="172">
        <v>-1.9759438806851826E-2</v>
      </c>
      <c r="E212" s="171">
        <v>0</v>
      </c>
      <c r="F212" s="171">
        <f>-$L$1</f>
        <v>-1.4990492230334603E-2</v>
      </c>
      <c r="G212" s="172">
        <v>0</v>
      </c>
      <c r="H212" s="172">
        <v>0</v>
      </c>
      <c r="I212" s="178">
        <f>-$N$1</f>
        <v>-4.7716218756768064E-3</v>
      </c>
      <c r="J212" s="171">
        <v>0</v>
      </c>
      <c r="L212">
        <v>0</v>
      </c>
      <c r="M212">
        <v>1.6756715370749398</v>
      </c>
      <c r="N212">
        <v>0</v>
      </c>
      <c r="R212" s="35">
        <f t="shared" ca="1" si="60"/>
        <v>8.7567047785689525</v>
      </c>
    </row>
    <row r="213" spans="1:18">
      <c r="A213" s="171"/>
      <c r="B213" s="172">
        <v>1.8375474863113905</v>
      </c>
      <c r="C213" s="172">
        <v>2.1167426559988707</v>
      </c>
      <c r="D213" s="172">
        <v>1.2367606559382516E-2</v>
      </c>
      <c r="E213" s="171">
        <v>0</v>
      </c>
      <c r="F213" s="172">
        <v>0</v>
      </c>
      <c r="G213" s="171">
        <f>-$L$1</f>
        <v>-1.4990492230334603E-2</v>
      </c>
      <c r="H213" s="172">
        <v>0</v>
      </c>
      <c r="I213" s="172">
        <v>0</v>
      </c>
      <c r="J213" s="178">
        <f>-$N$1</f>
        <v>-4.7716218756768064E-3</v>
      </c>
      <c r="L213">
        <v>0</v>
      </c>
      <c r="M213">
        <v>0</v>
      </c>
      <c r="N213">
        <v>1.8894663590400828E-2</v>
      </c>
      <c r="R213" s="35">
        <f t="shared" ca="1" si="60"/>
        <v>6.2939455466528083</v>
      </c>
    </row>
    <row r="214" spans="1:18">
      <c r="A214" s="171"/>
      <c r="B214" s="172"/>
      <c r="C214" s="172"/>
      <c r="D214" s="172"/>
      <c r="E214" s="171"/>
      <c r="F214" s="171"/>
      <c r="G214" s="171"/>
      <c r="H214" s="171"/>
      <c r="I214" s="171"/>
      <c r="J214" s="171"/>
      <c r="R214" s="35">
        <f t="shared" ca="1" si="60"/>
        <v>14.932257010908593</v>
      </c>
    </row>
    <row r="215" spans="1:18">
      <c r="A215" s="171"/>
      <c r="B215" s="172">
        <v>2.2957880185781296</v>
      </c>
      <c r="C215" s="172">
        <v>-8.2263663034425338E-3</v>
      </c>
      <c r="D215" s="172">
        <v>3.3137218009327896E-2</v>
      </c>
      <c r="E215" s="171">
        <f>-$L$1</f>
        <v>-1.4990492230334603E-2</v>
      </c>
      <c r="F215" s="172">
        <v>0</v>
      </c>
      <c r="G215" s="172">
        <v>0</v>
      </c>
      <c r="H215" s="178">
        <f>-$N$1</f>
        <v>-4.7716218756768064E-3</v>
      </c>
      <c r="I215" s="171">
        <v>0</v>
      </c>
      <c r="J215" s="171">
        <v>0</v>
      </c>
      <c r="L215">
        <f t="array" ref="L215:N217">SVDD(B215:J217)</f>
        <v>3.1222616104082839</v>
      </c>
      <c r="M215">
        <v>0</v>
      </c>
      <c r="N215">
        <v>0</v>
      </c>
      <c r="P215">
        <f t="shared" ref="P215" si="65">MAX(L215,M216,N217)/MIN(L215,M216,N217)</f>
        <v>15.435613581200162</v>
      </c>
      <c r="R215" s="35">
        <f t="shared" ca="1" si="60"/>
        <v>6.4289070083571405</v>
      </c>
    </row>
    <row r="216" spans="1:18">
      <c r="A216" s="171" t="s">
        <v>267</v>
      </c>
      <c r="B216" s="172">
        <v>-0.14897154656832046</v>
      </c>
      <c r="C216" s="172">
        <v>0.84725762547333594</v>
      </c>
      <c r="D216" s="172">
        <v>-1.9759438806851826E-2</v>
      </c>
      <c r="E216" s="171">
        <v>0</v>
      </c>
      <c r="F216" s="171">
        <f>-$L$1</f>
        <v>-1.4990492230334603E-2</v>
      </c>
      <c r="G216" s="172">
        <v>0</v>
      </c>
      <c r="H216" s="172">
        <v>0</v>
      </c>
      <c r="I216" s="178">
        <f>-$N$1</f>
        <v>-4.7716218756768064E-3</v>
      </c>
      <c r="J216" s="171">
        <v>0</v>
      </c>
      <c r="L216">
        <v>0</v>
      </c>
      <c r="M216">
        <v>1.9864527882852145</v>
      </c>
      <c r="N216">
        <v>0</v>
      </c>
      <c r="R216" s="35">
        <f t="shared" ca="1" si="60"/>
        <v>8.8420762558119961</v>
      </c>
    </row>
    <row r="217" spans="1:18">
      <c r="A217" s="171"/>
      <c r="B217" s="172">
        <v>1.2284177840385118</v>
      </c>
      <c r="C217" s="172">
        <v>2.3993580133895418</v>
      </c>
      <c r="D217" s="172">
        <v>-0.6756623603325641</v>
      </c>
      <c r="E217" s="171">
        <v>0</v>
      </c>
      <c r="F217" s="172">
        <v>0</v>
      </c>
      <c r="G217" s="171">
        <f>-$L$1</f>
        <v>-1.4990492230334603E-2</v>
      </c>
      <c r="H217" s="172">
        <v>0</v>
      </c>
      <c r="I217" s="172">
        <v>0</v>
      </c>
      <c r="J217" s="178">
        <f>-$N$1</f>
        <v>-4.7716218756768064E-3</v>
      </c>
      <c r="L217">
        <v>0</v>
      </c>
      <c r="M217">
        <v>0</v>
      </c>
      <c r="N217">
        <v>0.20227648185045582</v>
      </c>
      <c r="R217" s="35">
        <f t="shared" ca="1" si="60"/>
        <v>3.9230837115472439</v>
      </c>
    </row>
    <row r="218" spans="1:18">
      <c r="A218" s="171"/>
      <c r="B218" s="172"/>
      <c r="C218" s="172"/>
      <c r="D218" s="172"/>
      <c r="E218" s="171"/>
      <c r="F218" s="171"/>
      <c r="G218" s="171"/>
      <c r="H218" s="171"/>
      <c r="I218" s="171"/>
      <c r="J218" s="171"/>
      <c r="R218" s="35">
        <f t="shared" ca="1" si="60"/>
        <v>6.0356714137465337</v>
      </c>
    </row>
    <row r="219" spans="1:18">
      <c r="A219" s="171"/>
      <c r="B219" s="172">
        <v>2.2957880185781296</v>
      </c>
      <c r="C219" s="172">
        <v>-8.2263663034425338E-3</v>
      </c>
      <c r="D219" s="172">
        <v>3.3137218009327896E-2</v>
      </c>
      <c r="E219" s="171">
        <f>-$L$1</f>
        <v>-1.4990492230334603E-2</v>
      </c>
      <c r="F219" s="172">
        <v>0</v>
      </c>
      <c r="G219" s="172">
        <v>0</v>
      </c>
      <c r="H219" s="178">
        <f>-$N$1</f>
        <v>-4.7716218756768064E-3</v>
      </c>
      <c r="I219" s="171">
        <v>0</v>
      </c>
      <c r="J219" s="171">
        <v>0</v>
      </c>
      <c r="L219">
        <f t="array" ref="L219:N221">SVDD(B219:J221)</f>
        <v>3.7358443096150591</v>
      </c>
      <c r="M219">
        <v>0</v>
      </c>
      <c r="N219">
        <v>0</v>
      </c>
      <c r="P219">
        <f t="shared" ref="P219" si="66">MAX(L219,M220,N221)/MIN(L219,M220,N221)</f>
        <v>143.64870086965129</v>
      </c>
      <c r="R219" s="35">
        <f t="shared" ca="1" si="60"/>
        <v>12.849369757989988</v>
      </c>
    </row>
    <row r="220" spans="1:18">
      <c r="A220" s="171" t="s">
        <v>268</v>
      </c>
      <c r="B220" s="172">
        <v>2.6959782234951333</v>
      </c>
      <c r="C220" s="172">
        <v>1.0757798809975587</v>
      </c>
      <c r="D220" s="172">
        <v>4.997772423355884E-2</v>
      </c>
      <c r="E220" s="171">
        <v>0</v>
      </c>
      <c r="F220" s="171">
        <f>-$L$1</f>
        <v>-1.4990492230334603E-2</v>
      </c>
      <c r="G220" s="172">
        <v>0</v>
      </c>
      <c r="H220" s="172">
        <v>0</v>
      </c>
      <c r="I220" s="178">
        <f>-$N$1</f>
        <v>-4.7716218756768064E-3</v>
      </c>
      <c r="J220" s="171">
        <v>0</v>
      </c>
      <c r="L220">
        <v>0</v>
      </c>
      <c r="M220">
        <v>2.0888457056616856</v>
      </c>
      <c r="N220">
        <v>0</v>
      </c>
      <c r="R220" s="35">
        <f t="shared" ca="1" si="60"/>
        <v>5.7863621202898932</v>
      </c>
    </row>
    <row r="221" spans="1:18">
      <c r="A221" s="171"/>
      <c r="B221" s="172">
        <v>0.21871711292247331</v>
      </c>
      <c r="C221" s="172">
        <v>2.1363371502498802</v>
      </c>
      <c r="D221" s="172">
        <v>8.9790398854103559E-2</v>
      </c>
      <c r="E221" s="171">
        <v>0</v>
      </c>
      <c r="F221" s="172">
        <v>0</v>
      </c>
      <c r="G221" s="171">
        <f>-$L$1</f>
        <v>-1.4990492230334603E-2</v>
      </c>
      <c r="H221" s="172">
        <v>0</v>
      </c>
      <c r="I221" s="172">
        <v>0</v>
      </c>
      <c r="J221" s="178">
        <f>-$N$1</f>
        <v>-4.7716218756768064E-3</v>
      </c>
      <c r="L221">
        <v>0</v>
      </c>
      <c r="M221">
        <v>0</v>
      </c>
      <c r="N221">
        <v>2.6006808881655064E-2</v>
      </c>
      <c r="R221" s="35">
        <f t="shared" ca="1" si="60"/>
        <v>19.724822836937211</v>
      </c>
    </row>
    <row r="222" spans="1:18">
      <c r="A222" s="171"/>
      <c r="B222" s="172"/>
      <c r="C222" s="172"/>
      <c r="D222" s="172"/>
      <c r="E222" s="171"/>
      <c r="F222" s="171"/>
      <c r="G222" s="171"/>
      <c r="H222" s="171"/>
      <c r="I222" s="171"/>
      <c r="J222" s="171"/>
      <c r="R222" s="35">
        <f t="shared" ca="1" si="60"/>
        <v>6.7644044466251483</v>
      </c>
    </row>
    <row r="223" spans="1:18">
      <c r="A223" s="171"/>
      <c r="B223" s="172">
        <v>2.2957880185781296</v>
      </c>
      <c r="C223" s="172">
        <v>-8.2263663034425338E-3</v>
      </c>
      <c r="D223" s="172">
        <v>3.3137218009327896E-2</v>
      </c>
      <c r="E223" s="171">
        <f>-$L$1</f>
        <v>-1.4990492230334603E-2</v>
      </c>
      <c r="F223" s="172">
        <v>0</v>
      </c>
      <c r="G223" s="172">
        <v>0</v>
      </c>
      <c r="H223" s="178">
        <f>-$N$1</f>
        <v>-4.7716218756768064E-3</v>
      </c>
      <c r="I223" s="171">
        <v>0</v>
      </c>
      <c r="J223" s="171">
        <v>0</v>
      </c>
      <c r="L223">
        <f t="array" ref="L223:N225">SVDD(B223:J225)</f>
        <v>4.3909346933787168</v>
      </c>
      <c r="M223">
        <v>0</v>
      </c>
      <c r="N223">
        <v>0</v>
      </c>
      <c r="P223">
        <f t="shared" ref="P223" si="67">MAX(L223,M224,N225)/MIN(L223,M224,N225)</f>
        <v>212.05508958099998</v>
      </c>
      <c r="R223" s="35">
        <f t="shared" ca="1" si="60"/>
        <v>14.963253998921628</v>
      </c>
    </row>
    <row r="224" spans="1:18">
      <c r="A224" s="171" t="s">
        <v>269</v>
      </c>
      <c r="B224" s="172">
        <v>2.6959782234951333</v>
      </c>
      <c r="C224" s="172">
        <v>1.0757798809975587</v>
      </c>
      <c r="D224" s="172">
        <v>4.997772423355884E-2</v>
      </c>
      <c r="E224" s="171">
        <v>0</v>
      </c>
      <c r="F224" s="171">
        <f>-$L$1</f>
        <v>-1.4990492230334603E-2</v>
      </c>
      <c r="G224" s="172">
        <v>0</v>
      </c>
      <c r="H224" s="172">
        <v>0</v>
      </c>
      <c r="I224" s="178">
        <f>-$N$1</f>
        <v>-4.7716218756768064E-3</v>
      </c>
      <c r="J224" s="171">
        <v>0</v>
      </c>
      <c r="L224">
        <v>0</v>
      </c>
      <c r="M224">
        <v>1.5090548304120088</v>
      </c>
      <c r="N224">
        <v>0</v>
      </c>
      <c r="R224" s="35">
        <f t="shared" ca="1" si="60"/>
        <v>3.7360888119217588</v>
      </c>
    </row>
    <row r="225" spans="1:18">
      <c r="A225" s="171"/>
      <c r="B225" s="172">
        <v>1.8375474863113905</v>
      </c>
      <c r="C225" s="172">
        <v>2.1167426559988707</v>
      </c>
      <c r="D225" s="172">
        <v>1.2367606559382516E-2</v>
      </c>
      <c r="E225" s="171">
        <v>0</v>
      </c>
      <c r="F225" s="172">
        <v>0</v>
      </c>
      <c r="G225" s="171">
        <f>-$L$1</f>
        <v>-1.4990492230334603E-2</v>
      </c>
      <c r="H225" s="172">
        <v>0</v>
      </c>
      <c r="I225" s="172">
        <v>0</v>
      </c>
      <c r="J225" s="178">
        <f>-$N$1</f>
        <v>-4.7716218756768064E-3</v>
      </c>
      <c r="L225">
        <v>0</v>
      </c>
      <c r="M225">
        <v>0</v>
      </c>
      <c r="N225">
        <v>2.0706575362349343E-2</v>
      </c>
      <c r="R225" s="35">
        <f t="shared" ca="1" si="60"/>
        <v>7.2278037852748023</v>
      </c>
    </row>
    <row r="226" spans="1:18">
      <c r="A226" s="171"/>
      <c r="B226" s="172"/>
      <c r="C226" s="172"/>
      <c r="D226" s="172"/>
      <c r="E226" s="171"/>
      <c r="F226" s="171"/>
      <c r="G226" s="171"/>
      <c r="H226" s="171"/>
      <c r="I226" s="171"/>
      <c r="J226" s="171"/>
      <c r="R226" s="35">
        <f t="shared" ca="1" si="60"/>
        <v>6.3208517365424539</v>
      </c>
    </row>
    <row r="227" spans="1:18">
      <c r="A227" s="171"/>
      <c r="B227" s="172">
        <v>2.2957880185781296</v>
      </c>
      <c r="C227" s="172">
        <v>-8.2263663034425338E-3</v>
      </c>
      <c r="D227" s="172">
        <v>3.3137218009327896E-2</v>
      </c>
      <c r="E227" s="171">
        <f>-$L$1</f>
        <v>-1.4990492230334603E-2</v>
      </c>
      <c r="F227" s="172">
        <v>0</v>
      </c>
      <c r="G227" s="172">
        <v>0</v>
      </c>
      <c r="H227" s="178">
        <f>-$N$1</f>
        <v>-4.7716218756768064E-3</v>
      </c>
      <c r="I227" s="171">
        <v>0</v>
      </c>
      <c r="J227" s="171">
        <v>0</v>
      </c>
      <c r="L227">
        <f t="array" ref="L227:N229">SVDD(B227:J229)</f>
        <v>4.1732577294234163</v>
      </c>
      <c r="M227">
        <v>0</v>
      </c>
      <c r="N227">
        <v>0</v>
      </c>
      <c r="P227">
        <f t="shared" ref="P227" si="68">MAX(L227,M228,N229)/MIN(L227,M228,N229)</f>
        <v>19.321800110909908</v>
      </c>
      <c r="R227" s="35">
        <f t="shared" ca="1" si="60"/>
        <v>3.3116771451797913</v>
      </c>
    </row>
    <row r="228" spans="1:18">
      <c r="A228" s="171" t="s">
        <v>270</v>
      </c>
      <c r="B228" s="172">
        <v>2.6959782234951333</v>
      </c>
      <c r="C228" s="172">
        <v>1.0757798809975587</v>
      </c>
      <c r="D228" s="172">
        <v>4.997772423355884E-2</v>
      </c>
      <c r="E228" s="171">
        <v>0</v>
      </c>
      <c r="F228" s="171">
        <f>-$L$1</f>
        <v>-1.4990492230334603E-2</v>
      </c>
      <c r="G228" s="172">
        <v>0</v>
      </c>
      <c r="H228" s="172">
        <v>0</v>
      </c>
      <c r="I228" s="178">
        <f>-$N$1</f>
        <v>-4.7716218756768064E-3</v>
      </c>
      <c r="J228" s="171">
        <v>0</v>
      </c>
      <c r="L228">
        <v>0</v>
      </c>
      <c r="M228">
        <v>1.9900672909437447</v>
      </c>
      <c r="N228">
        <v>0</v>
      </c>
      <c r="R228" s="35">
        <f t="shared" ca="1" si="60"/>
        <v>216.17278581493775</v>
      </c>
    </row>
    <row r="229" spans="1:18">
      <c r="A229" s="171"/>
      <c r="B229" s="172">
        <v>1.2284177840385118</v>
      </c>
      <c r="C229" s="172">
        <v>2.3993580133895418</v>
      </c>
      <c r="D229" s="172">
        <v>-0.6756623603325641</v>
      </c>
      <c r="E229" s="171">
        <v>0</v>
      </c>
      <c r="F229" s="172">
        <v>0</v>
      </c>
      <c r="G229" s="171">
        <f>-$L$1</f>
        <v>-1.4990492230334603E-2</v>
      </c>
      <c r="H229" s="172">
        <v>0</v>
      </c>
      <c r="I229" s="172">
        <v>0</v>
      </c>
      <c r="J229" s="178">
        <f>-$N$1</f>
        <v>-4.7716218756768064E-3</v>
      </c>
      <c r="L229">
        <v>0</v>
      </c>
      <c r="M229">
        <v>0</v>
      </c>
      <c r="N229">
        <v>0.21598700459938086</v>
      </c>
      <c r="R229" s="35">
        <f t="shared" ca="1" si="60"/>
        <v>154.52687108818856</v>
      </c>
    </row>
    <row r="230" spans="1:18">
      <c r="A230" s="171"/>
      <c r="B230" s="172"/>
      <c r="C230" s="172"/>
      <c r="D230" s="172"/>
      <c r="E230" s="171"/>
      <c r="F230" s="171"/>
      <c r="G230" s="171"/>
      <c r="H230" s="171"/>
      <c r="I230" s="171"/>
      <c r="J230" s="171"/>
      <c r="R230" s="35">
        <f t="shared" ca="1" si="60"/>
        <v>45.007321007916211</v>
      </c>
    </row>
    <row r="231" spans="1:18">
      <c r="A231" s="171"/>
      <c r="B231" s="172">
        <v>2.2957880185781296</v>
      </c>
      <c r="C231" s="172">
        <v>-8.2263663034425338E-3</v>
      </c>
      <c r="D231" s="172">
        <v>3.3137218009327896E-2</v>
      </c>
      <c r="E231" s="171">
        <f>-$L$1</f>
        <v>-1.4990492230334603E-2</v>
      </c>
      <c r="F231" s="172">
        <v>0</v>
      </c>
      <c r="G231" s="172">
        <v>0</v>
      </c>
      <c r="H231" s="178">
        <f>-$N$1</f>
        <v>-4.7716218756768064E-3</v>
      </c>
      <c r="I231" s="171">
        <v>0</v>
      </c>
      <c r="J231" s="171">
        <v>0</v>
      </c>
      <c r="L231">
        <f t="array" ref="L231:N233">SVDD(B231:J233)</f>
        <v>3.6353692387101524</v>
      </c>
      <c r="M231">
        <v>0</v>
      </c>
      <c r="N231">
        <v>0</v>
      </c>
      <c r="P231">
        <f t="shared" ref="P231" si="69">MAX(L231,M232,N233)/MIN(L231,M232,N233)</f>
        <v>55.518790845095438</v>
      </c>
      <c r="R231" s="35">
        <f t="shared" ca="1" si="60"/>
        <v>5.2655291296149898</v>
      </c>
    </row>
    <row r="232" spans="1:18">
      <c r="A232" s="171" t="s">
        <v>271</v>
      </c>
      <c r="B232" s="172">
        <v>0.21871711292247331</v>
      </c>
      <c r="C232" s="172">
        <v>2.1363371502498802</v>
      </c>
      <c r="D232" s="172">
        <v>8.9790398854103559E-2</v>
      </c>
      <c r="E232" s="171">
        <v>0</v>
      </c>
      <c r="F232" s="171">
        <f>-$L$1</f>
        <v>-1.4990492230334603E-2</v>
      </c>
      <c r="G232" s="172">
        <v>0</v>
      </c>
      <c r="H232" s="172">
        <v>0</v>
      </c>
      <c r="I232" s="178">
        <f>-$N$1</f>
        <v>-4.7716218756768064E-3</v>
      </c>
      <c r="J232" s="171">
        <v>0</v>
      </c>
      <c r="L232">
        <v>0</v>
      </c>
      <c r="M232">
        <v>2.1282675582542847</v>
      </c>
      <c r="N232">
        <v>0</v>
      </c>
      <c r="R232" s="35">
        <f t="shared" ca="1" si="60"/>
        <v>228.74522174121324</v>
      </c>
    </row>
    <row r="233" spans="1:18">
      <c r="A233" s="171"/>
      <c r="B233" s="172">
        <v>1.8375474863113905</v>
      </c>
      <c r="C233" s="172">
        <v>2.1167426559988707</v>
      </c>
      <c r="D233" s="172">
        <v>1.2367606559382516E-2</v>
      </c>
      <c r="E233" s="171">
        <v>0</v>
      </c>
      <c r="F233" s="172">
        <v>0</v>
      </c>
      <c r="G233" s="171">
        <f>-$L$1</f>
        <v>-1.4990492230334603E-2</v>
      </c>
      <c r="H233" s="172">
        <v>0</v>
      </c>
      <c r="I233" s="172">
        <v>0</v>
      </c>
      <c r="J233" s="178">
        <f>-$N$1</f>
        <v>-4.7716218756768064E-3</v>
      </c>
      <c r="L233">
        <v>0</v>
      </c>
      <c r="M233">
        <v>0</v>
      </c>
      <c r="N233">
        <v>6.5479978640984815E-2</v>
      </c>
      <c r="R233" s="35">
        <f t="shared" ca="1" si="60"/>
        <v>71.074030336678234</v>
      </c>
    </row>
    <row r="234" spans="1:18">
      <c r="A234" s="171"/>
      <c r="B234" s="172"/>
      <c r="C234" s="172"/>
      <c r="D234" s="172"/>
      <c r="E234" s="171"/>
      <c r="F234" s="171"/>
      <c r="G234" s="171"/>
      <c r="H234" s="171"/>
      <c r="I234" s="171"/>
      <c r="J234" s="171"/>
      <c r="R234" s="35">
        <f t="shared" ca="1" si="60"/>
        <v>10.584866538776573</v>
      </c>
    </row>
    <row r="235" spans="1:18">
      <c r="A235" s="171"/>
      <c r="B235" s="172">
        <v>2.2957880185781296</v>
      </c>
      <c r="C235" s="172">
        <v>-8.2263663034425338E-3</v>
      </c>
      <c r="D235" s="172">
        <v>3.3137218009327896E-2</v>
      </c>
      <c r="E235" s="171">
        <f>-$L$1</f>
        <v>-1.4990492230334603E-2</v>
      </c>
      <c r="F235" s="172">
        <v>0</v>
      </c>
      <c r="G235" s="172">
        <v>0</v>
      </c>
      <c r="H235" s="178">
        <f>-$N$1</f>
        <v>-4.7716218756768064E-3</v>
      </c>
      <c r="I235" s="171">
        <v>0</v>
      </c>
      <c r="J235" s="171">
        <v>0</v>
      </c>
      <c r="L235">
        <f t="array" ref="L235:N237">SVDD(B235:J237)</f>
        <v>3.5503251167334078</v>
      </c>
      <c r="M235">
        <v>0</v>
      </c>
      <c r="N235">
        <v>0</v>
      </c>
      <c r="P235">
        <f t="shared" ref="P235" si="70">MAX(L235,M236,N237)/MIN(L235,M236,N237)</f>
        <v>7.0828312033279532</v>
      </c>
      <c r="R235" s="35">
        <f t="shared" ca="1" si="60"/>
        <v>36.237080327907343</v>
      </c>
    </row>
    <row r="236" spans="1:18">
      <c r="A236" s="171" t="s">
        <v>272</v>
      </c>
      <c r="B236" s="172">
        <v>0.21871711292247331</v>
      </c>
      <c r="C236" s="172">
        <v>2.1363371502498802</v>
      </c>
      <c r="D236" s="172">
        <v>8.9790398854103559E-2</v>
      </c>
      <c r="E236" s="171">
        <v>0</v>
      </c>
      <c r="F236" s="171">
        <f>-$L$1</f>
        <v>-1.4990492230334603E-2</v>
      </c>
      <c r="G236" s="172">
        <v>0</v>
      </c>
      <c r="H236" s="172">
        <v>0</v>
      </c>
      <c r="I236" s="178">
        <f>-$N$1</f>
        <v>-4.7716218756768064E-3</v>
      </c>
      <c r="J236" s="171">
        <v>0</v>
      </c>
      <c r="L236">
        <v>0</v>
      </c>
      <c r="M236">
        <v>2.1814599626972617</v>
      </c>
      <c r="N236">
        <v>0</v>
      </c>
      <c r="R236" s="35">
        <f t="shared" ca="1" si="60"/>
        <v>4.850585449498352</v>
      </c>
    </row>
    <row r="237" spans="1:18">
      <c r="A237" s="171"/>
      <c r="B237" s="172">
        <v>1.2284177840385118</v>
      </c>
      <c r="C237" s="172">
        <v>2.3993580133895418</v>
      </c>
      <c r="D237" s="172">
        <v>-0.6756623603325641</v>
      </c>
      <c r="E237" s="171">
        <v>0</v>
      </c>
      <c r="F237" s="172">
        <v>0</v>
      </c>
      <c r="G237" s="171">
        <f>-$L$1</f>
        <v>-1.4990492230334603E-2</v>
      </c>
      <c r="H237" s="172">
        <v>0</v>
      </c>
      <c r="I237" s="172">
        <v>0</v>
      </c>
      <c r="J237" s="178">
        <f>-$N$1</f>
        <v>-4.7716218756768064E-3</v>
      </c>
      <c r="L237">
        <v>0</v>
      </c>
      <c r="M237">
        <v>0</v>
      </c>
      <c r="N237">
        <v>0.50125790306357221</v>
      </c>
      <c r="R237" s="35">
        <f t="shared" ca="1" si="60"/>
        <v>4.849656362259811</v>
      </c>
    </row>
    <row r="238" spans="1:18">
      <c r="A238" s="171"/>
      <c r="B238" s="172"/>
      <c r="C238" s="172"/>
      <c r="D238" s="172"/>
      <c r="E238" s="171"/>
      <c r="F238" s="171"/>
      <c r="G238" s="171"/>
      <c r="H238" s="171"/>
      <c r="I238" s="171"/>
      <c r="J238" s="171"/>
      <c r="R238" s="35">
        <f t="shared" ca="1" si="60"/>
        <v>136.67756025477368</v>
      </c>
    </row>
    <row r="239" spans="1:18">
      <c r="A239" s="171"/>
      <c r="B239" s="172">
        <v>2.2957880185781296</v>
      </c>
      <c r="C239" s="172">
        <v>-8.2263663034425338E-3</v>
      </c>
      <c r="D239" s="172">
        <v>3.3137218009327896E-2</v>
      </c>
      <c r="E239" s="171">
        <f>-$L$1</f>
        <v>-1.4990492230334603E-2</v>
      </c>
      <c r="F239" s="172">
        <v>0</v>
      </c>
      <c r="G239" s="172">
        <v>0</v>
      </c>
      <c r="H239" s="178">
        <f>-$N$1</f>
        <v>-4.7716218756768064E-3</v>
      </c>
      <c r="I239" s="171">
        <v>0</v>
      </c>
      <c r="J239" s="171">
        <v>0</v>
      </c>
      <c r="L239">
        <f t="array" ref="L239:N241">SVDD(B239:J241)</f>
        <v>4.1446219751458182</v>
      </c>
      <c r="M239">
        <v>0</v>
      </c>
      <c r="N239">
        <v>0</v>
      </c>
      <c r="P239">
        <f t="shared" ref="P239" si="71">MAX(L239,M240,N241)/MIN(L239,M240,N241)</f>
        <v>9.7150883563615089</v>
      </c>
      <c r="R239" s="35">
        <f t="shared" ca="1" si="60"/>
        <v>33.135585600391735</v>
      </c>
    </row>
    <row r="240" spans="1:18">
      <c r="A240" s="171" t="s">
        <v>273</v>
      </c>
      <c r="B240" s="172">
        <v>1.8375474863113905</v>
      </c>
      <c r="C240" s="172">
        <v>2.1167426559988707</v>
      </c>
      <c r="D240" s="172">
        <v>1.2367606559382516E-2</v>
      </c>
      <c r="E240" s="171">
        <v>0</v>
      </c>
      <c r="F240" s="171">
        <f>-$L$1</f>
        <v>-1.4990492230334603E-2</v>
      </c>
      <c r="G240" s="172">
        <v>0</v>
      </c>
      <c r="H240" s="172">
        <v>0</v>
      </c>
      <c r="I240" s="178">
        <f>-$N$1</f>
        <v>-4.7716218756768064E-3</v>
      </c>
      <c r="J240" s="171">
        <v>0</v>
      </c>
      <c r="L240">
        <v>0</v>
      </c>
      <c r="M240">
        <v>1.8688069400714578</v>
      </c>
      <c r="N240">
        <v>0</v>
      </c>
      <c r="R240" s="35">
        <f t="shared" ca="1" si="60"/>
        <v>4.219515112282088</v>
      </c>
    </row>
    <row r="241" spans="1:18">
      <c r="A241" s="171"/>
      <c r="B241" s="172">
        <v>1.2284177840385118</v>
      </c>
      <c r="C241" s="172">
        <v>2.3993580133895418</v>
      </c>
      <c r="D241" s="172">
        <v>-0.6756623603325641</v>
      </c>
      <c r="E241" s="171">
        <v>0</v>
      </c>
      <c r="F241" s="172">
        <v>0</v>
      </c>
      <c r="G241" s="171">
        <f>-$L$1</f>
        <v>-1.4990492230334603E-2</v>
      </c>
      <c r="H241" s="172">
        <v>0</v>
      </c>
      <c r="I241" s="172">
        <v>0</v>
      </c>
      <c r="J241" s="178">
        <f>-$N$1</f>
        <v>-4.7716218756768064E-3</v>
      </c>
      <c r="L241">
        <v>0</v>
      </c>
      <c r="M241">
        <v>0</v>
      </c>
      <c r="N241">
        <v>0.42661701295098259</v>
      </c>
      <c r="R241" s="35">
        <f t="shared" ca="1" si="60"/>
        <v>50.387511241443939</v>
      </c>
    </row>
    <row r="242" spans="1:18">
      <c r="A242" s="171"/>
      <c r="B242" s="172"/>
      <c r="C242" s="172"/>
      <c r="D242" s="172"/>
      <c r="E242" s="171"/>
      <c r="F242" s="171"/>
      <c r="G242" s="171"/>
      <c r="H242" s="171"/>
      <c r="I242" s="171"/>
      <c r="J242" s="171"/>
      <c r="R242" s="35">
        <f t="shared" ca="1" si="60"/>
        <v>6.5593869314857898</v>
      </c>
    </row>
    <row r="243" spans="1:18">
      <c r="A243" s="171"/>
      <c r="B243" s="172">
        <v>-0.14897154656832046</v>
      </c>
      <c r="C243" s="172">
        <v>0.84725762547333594</v>
      </c>
      <c r="D243" s="172">
        <v>-1.9759438806851826E-2</v>
      </c>
      <c r="E243" s="171">
        <f>-$L$1</f>
        <v>-1.4990492230334603E-2</v>
      </c>
      <c r="F243" s="172">
        <v>0</v>
      </c>
      <c r="G243" s="172">
        <v>0</v>
      </c>
      <c r="H243" s="178">
        <f>-$N$1</f>
        <v>-4.7716218756768064E-3</v>
      </c>
      <c r="I243" s="171">
        <v>0</v>
      </c>
      <c r="J243" s="171">
        <v>0</v>
      </c>
      <c r="L243">
        <f t="array" ref="L243:N245">SVDD(B243:J245)</f>
        <v>3.1887969981062567</v>
      </c>
      <c r="M243">
        <v>0</v>
      </c>
      <c r="N243">
        <v>0</v>
      </c>
      <c r="P243">
        <f t="shared" ref="P243" si="72">MAX(L243,M244,N245)/MIN(L243,M244,N245)</f>
        <v>60.795211104433726</v>
      </c>
      <c r="R243" s="35">
        <f t="shared" ca="1" si="60"/>
        <v>3.4547490990447858</v>
      </c>
    </row>
    <row r="244" spans="1:18">
      <c r="A244" s="171" t="s">
        <v>274</v>
      </c>
      <c r="B244" s="172">
        <v>2.6959782234951333</v>
      </c>
      <c r="C244" s="172">
        <v>1.0757798809975587</v>
      </c>
      <c r="D244" s="172">
        <v>4.997772423355884E-2</v>
      </c>
      <c r="E244" s="171">
        <v>0</v>
      </c>
      <c r="F244" s="171">
        <f>-$L$1</f>
        <v>-1.4990492230334603E-2</v>
      </c>
      <c r="G244" s="172">
        <v>0</v>
      </c>
      <c r="H244" s="172">
        <v>0</v>
      </c>
      <c r="I244" s="178">
        <f>-$N$1</f>
        <v>-4.7716218756768064E-3</v>
      </c>
      <c r="J244" s="171">
        <v>0</v>
      </c>
      <c r="L244">
        <v>0</v>
      </c>
      <c r="M244">
        <v>1.9020851869829289</v>
      </c>
      <c r="N244">
        <v>0</v>
      </c>
      <c r="R244" s="35">
        <f t="shared" ca="1" si="60"/>
        <v>30.241386845270277</v>
      </c>
    </row>
    <row r="245" spans="1:18">
      <c r="A245" s="171"/>
      <c r="B245" s="172">
        <v>0.21871711292247331</v>
      </c>
      <c r="C245" s="172">
        <v>2.1363371502498802</v>
      </c>
      <c r="D245" s="172">
        <v>8.9790398854103559E-2</v>
      </c>
      <c r="E245" s="171">
        <v>0</v>
      </c>
      <c r="F245" s="172">
        <v>0</v>
      </c>
      <c r="G245" s="171">
        <f>-$L$1</f>
        <v>-1.4990492230334603E-2</v>
      </c>
      <c r="H245" s="172">
        <v>0</v>
      </c>
      <c r="I245" s="172">
        <v>0</v>
      </c>
      <c r="J245" s="178">
        <f>-$N$1</f>
        <v>-4.7716218756768064E-3</v>
      </c>
      <c r="L245">
        <v>0</v>
      </c>
      <c r="M245">
        <v>0</v>
      </c>
      <c r="N245">
        <v>5.2451450372111651E-2</v>
      </c>
      <c r="R245" s="35">
        <f t="shared" ca="1" si="60"/>
        <v>4.0308299629282702</v>
      </c>
    </row>
    <row r="246" spans="1:18">
      <c r="A246" s="171"/>
      <c r="B246" s="172"/>
      <c r="C246" s="172"/>
      <c r="D246" s="172"/>
      <c r="E246" s="171"/>
      <c r="F246" s="171"/>
      <c r="G246" s="171"/>
      <c r="H246" s="171"/>
      <c r="I246" s="171"/>
      <c r="J246" s="171"/>
      <c r="R246" s="35">
        <f t="shared" ca="1" si="60"/>
        <v>4.9218449359487764</v>
      </c>
    </row>
    <row r="247" spans="1:18">
      <c r="A247" s="171"/>
      <c r="B247" s="172">
        <v>-0.14897154656832046</v>
      </c>
      <c r="C247" s="172">
        <v>0.84725762547333594</v>
      </c>
      <c r="D247" s="172">
        <v>-1.9759438806851826E-2</v>
      </c>
      <c r="E247" s="171">
        <f>-$L$1</f>
        <v>-1.4990492230334603E-2</v>
      </c>
      <c r="F247" s="172">
        <v>0</v>
      </c>
      <c r="G247" s="172">
        <v>0</v>
      </c>
      <c r="H247" s="178">
        <f>-$N$1</f>
        <v>-4.7716218756768064E-3</v>
      </c>
      <c r="I247" s="171">
        <v>0</v>
      </c>
      <c r="J247" s="171">
        <v>0</v>
      </c>
      <c r="L247">
        <f t="array" ref="L247:N249">SVDD(B247:J249)</f>
        <v>3.9391786007739329</v>
      </c>
      <c r="M247">
        <v>0</v>
      </c>
      <c r="N247">
        <v>0</v>
      </c>
      <c r="P247">
        <f t="shared" ref="P247" si="73">MAX(L247,M248,N249)/MIN(L247,M248,N249)</f>
        <v>248.11023739424459</v>
      </c>
      <c r="R247" s="35">
        <f t="shared" ca="1" si="60"/>
        <v>3.1926061409664483</v>
      </c>
    </row>
    <row r="248" spans="1:18">
      <c r="A248" s="171" t="s">
        <v>275</v>
      </c>
      <c r="B248" s="172">
        <v>2.6959782234951333</v>
      </c>
      <c r="C248" s="172">
        <v>1.0757798809975587</v>
      </c>
      <c r="D248" s="172">
        <v>4.997772423355884E-2</v>
      </c>
      <c r="E248" s="171">
        <v>0</v>
      </c>
      <c r="F248" s="171">
        <f>-$L$1</f>
        <v>-1.4990492230334603E-2</v>
      </c>
      <c r="G248" s="172">
        <v>0</v>
      </c>
      <c r="H248" s="172">
        <v>0</v>
      </c>
      <c r="I248" s="178">
        <f>-$N$1</f>
        <v>-4.7716218756768064E-3</v>
      </c>
      <c r="J248" s="171">
        <v>0</v>
      </c>
      <c r="L248">
        <v>0</v>
      </c>
      <c r="M248">
        <v>1.2285042418188419</v>
      </c>
      <c r="N248">
        <v>0</v>
      </c>
      <c r="R248" s="35">
        <f t="shared" ca="1" si="60"/>
        <v>7.0039271355282375</v>
      </c>
    </row>
    <row r="249" spans="1:18">
      <c r="A249" s="171"/>
      <c r="B249" s="172">
        <v>1.8375474863113905</v>
      </c>
      <c r="C249" s="172">
        <v>2.1167426559988707</v>
      </c>
      <c r="D249" s="172">
        <v>1.2367606559382516E-2</v>
      </c>
      <c r="E249" s="171">
        <v>0</v>
      </c>
      <c r="F249" s="172">
        <v>0</v>
      </c>
      <c r="G249" s="171">
        <f>-$L$1</f>
        <v>-1.4990492230334603E-2</v>
      </c>
      <c r="H249" s="172">
        <v>0</v>
      </c>
      <c r="I249" s="172">
        <v>0</v>
      </c>
      <c r="J249" s="178">
        <f>-$N$1</f>
        <v>-4.7716218756768064E-3</v>
      </c>
      <c r="L249">
        <v>0</v>
      </c>
      <c r="M249">
        <v>0</v>
      </c>
      <c r="N249">
        <v>1.5876727385958762E-2</v>
      </c>
      <c r="R249" s="35">
        <f t="shared" ca="1" si="60"/>
        <v>55.930591454987265</v>
      </c>
    </row>
    <row r="250" spans="1:18">
      <c r="A250" s="171"/>
      <c r="B250" s="172"/>
      <c r="C250" s="172"/>
      <c r="D250" s="172"/>
      <c r="E250" s="171"/>
      <c r="F250" s="171"/>
      <c r="G250" s="171"/>
      <c r="H250" s="171"/>
      <c r="I250" s="171"/>
      <c r="J250" s="171"/>
      <c r="R250" s="35">
        <f t="shared" ca="1" si="60"/>
        <v>5.4193070411890991</v>
      </c>
    </row>
    <row r="251" spans="1:18">
      <c r="A251" s="171"/>
      <c r="B251" s="172">
        <v>-0.14897154656832046</v>
      </c>
      <c r="C251" s="172">
        <v>0.84725762547333594</v>
      </c>
      <c r="D251" s="172">
        <v>-1.9759438806851826E-2</v>
      </c>
      <c r="E251" s="171">
        <f>-$L$1</f>
        <v>-1.4990492230334603E-2</v>
      </c>
      <c r="F251" s="172">
        <v>0</v>
      </c>
      <c r="G251" s="172">
        <v>0</v>
      </c>
      <c r="H251" s="178">
        <f>-$N$1</f>
        <v>-4.7716218756768064E-3</v>
      </c>
      <c r="I251" s="171">
        <v>0</v>
      </c>
      <c r="J251" s="171">
        <v>0</v>
      </c>
      <c r="L251">
        <f t="array" ref="L251:N253">SVDD(B251:J253)</f>
        <v>3.7615315588080702</v>
      </c>
      <c r="M251">
        <v>0</v>
      </c>
      <c r="N251">
        <v>0</v>
      </c>
      <c r="P251">
        <f t="shared" ref="P251" si="74">MAX(L251,M252,N253)/MIN(L251,M252,N253)</f>
        <v>14.255041194768802</v>
      </c>
      <c r="R251" s="35">
        <f t="shared" ca="1" si="60"/>
        <v>36.031737558129478</v>
      </c>
    </row>
    <row r="252" spans="1:18">
      <c r="A252" s="171" t="s">
        <v>276</v>
      </c>
      <c r="B252" s="172">
        <v>2.6959782234951333</v>
      </c>
      <c r="C252" s="172">
        <v>1.0757798809975587</v>
      </c>
      <c r="D252" s="172">
        <v>4.997772423355884E-2</v>
      </c>
      <c r="E252" s="171">
        <v>0</v>
      </c>
      <c r="F252" s="171">
        <f>-$L$1</f>
        <v>-1.4990492230334603E-2</v>
      </c>
      <c r="G252" s="172">
        <v>0</v>
      </c>
      <c r="H252" s="172">
        <v>0</v>
      </c>
      <c r="I252" s="178">
        <f>-$N$1</f>
        <v>-4.7716218756768064E-3</v>
      </c>
      <c r="J252" s="171">
        <v>0</v>
      </c>
      <c r="L252">
        <v>0</v>
      </c>
      <c r="M252">
        <v>1.6349218064769973</v>
      </c>
      <c r="N252">
        <v>0</v>
      </c>
      <c r="R252" s="35">
        <f t="shared" ca="1" si="60"/>
        <v>4.2832855882423431</v>
      </c>
    </row>
    <row r="253" spans="1:18">
      <c r="A253" s="171"/>
      <c r="B253" s="172">
        <v>1.2284177840385118</v>
      </c>
      <c r="C253" s="172">
        <v>2.3993580133895418</v>
      </c>
      <c r="D253" s="172">
        <v>-0.6756623603325641</v>
      </c>
      <c r="E253" s="171">
        <v>0</v>
      </c>
      <c r="F253" s="172">
        <v>0</v>
      </c>
      <c r="G253" s="171">
        <f>-$L$1</f>
        <v>-1.4990492230334603E-2</v>
      </c>
      <c r="H253" s="172">
        <v>0</v>
      </c>
      <c r="I253" s="172">
        <v>0</v>
      </c>
      <c r="J253" s="178">
        <f>-$N$1</f>
        <v>-4.7716218756768064E-3</v>
      </c>
      <c r="L253">
        <v>0</v>
      </c>
      <c r="M253">
        <v>0</v>
      </c>
      <c r="N253">
        <v>0.26387377682138485</v>
      </c>
      <c r="R253" s="35">
        <f t="shared" ca="1" si="60"/>
        <v>5.8437778580612463</v>
      </c>
    </row>
    <row r="254" spans="1:18">
      <c r="A254" s="171"/>
      <c r="B254" s="172"/>
      <c r="C254" s="172"/>
      <c r="D254" s="172"/>
      <c r="E254" s="171"/>
      <c r="F254" s="171"/>
      <c r="G254" s="171"/>
      <c r="H254" s="171"/>
      <c r="I254" s="171"/>
      <c r="J254" s="171"/>
      <c r="R254" s="35">
        <f t="shared" ca="1" si="60"/>
        <v>27.105146996625582</v>
      </c>
    </row>
    <row r="255" spans="1:18">
      <c r="A255" s="171"/>
      <c r="B255" s="172">
        <v>-0.14897154656832046</v>
      </c>
      <c r="C255" s="172">
        <v>0.84725762547333594</v>
      </c>
      <c r="D255" s="172">
        <v>-1.9759438806851826E-2</v>
      </c>
      <c r="E255" s="171">
        <f>-$L$1</f>
        <v>-1.4990492230334603E-2</v>
      </c>
      <c r="F255" s="172">
        <v>0</v>
      </c>
      <c r="G255" s="172">
        <v>0</v>
      </c>
      <c r="H255" s="178">
        <f>-$N$1</f>
        <v>-4.7716218756768064E-3</v>
      </c>
      <c r="I255" s="171">
        <v>0</v>
      </c>
      <c r="J255" s="171">
        <v>0</v>
      </c>
      <c r="L255">
        <f t="array" ref="L255:N257">SVDD(B255:J257)</f>
        <v>3.4478086426759895</v>
      </c>
      <c r="M255">
        <v>0</v>
      </c>
      <c r="N255">
        <v>0</v>
      </c>
      <c r="P255">
        <f t="shared" ref="P255" si="75">MAX(L255,M256,N257)/MIN(L255,M256,N257)</f>
        <v>57.387633897654915</v>
      </c>
      <c r="R255" s="35">
        <f t="shared" ca="1" si="60"/>
        <v>4.3641874151518767</v>
      </c>
    </row>
    <row r="256" spans="1:18">
      <c r="A256" s="171" t="s">
        <v>277</v>
      </c>
      <c r="B256" s="172">
        <v>0.21871711292247331</v>
      </c>
      <c r="C256" s="172">
        <v>2.1363371502498802</v>
      </c>
      <c r="D256" s="172">
        <v>8.9790398854103559E-2</v>
      </c>
      <c r="E256" s="171">
        <v>0</v>
      </c>
      <c r="F256" s="171">
        <f>-$L$1</f>
        <v>-1.4990492230334603E-2</v>
      </c>
      <c r="G256" s="172">
        <v>0</v>
      </c>
      <c r="H256" s="172">
        <v>0</v>
      </c>
      <c r="I256" s="178">
        <f>-$N$1</f>
        <v>-4.7716218756768064E-3</v>
      </c>
      <c r="J256" s="171">
        <v>0</v>
      </c>
      <c r="L256">
        <v>0</v>
      </c>
      <c r="M256">
        <v>1.1521050460041748</v>
      </c>
      <c r="N256">
        <v>0</v>
      </c>
      <c r="R256" s="35">
        <f t="shared" ca="1" si="60"/>
        <v>24.345896072043825</v>
      </c>
    </row>
    <row r="257" spans="1:18">
      <c r="A257" s="171"/>
      <c r="B257" s="172">
        <v>1.8375474863113905</v>
      </c>
      <c r="C257" s="172">
        <v>2.1167426559988707</v>
      </c>
      <c r="D257" s="172">
        <v>1.2367606559382516E-2</v>
      </c>
      <c r="E257" s="171">
        <v>0</v>
      </c>
      <c r="F257" s="172">
        <v>0</v>
      </c>
      <c r="G257" s="171">
        <f>-$L$1</f>
        <v>-1.4990492230334603E-2</v>
      </c>
      <c r="H257" s="172">
        <v>0</v>
      </c>
      <c r="I257" s="172">
        <v>0</v>
      </c>
      <c r="J257" s="178">
        <f>-$N$1</f>
        <v>-4.7716218756768064E-3</v>
      </c>
      <c r="L257">
        <v>0</v>
      </c>
      <c r="M257">
        <v>0</v>
      </c>
      <c r="N257">
        <v>6.0079295982559767E-2</v>
      </c>
      <c r="R257" s="35">
        <f t="shared" ca="1" si="60"/>
        <v>4.1542366580132848</v>
      </c>
    </row>
    <row r="258" spans="1:18">
      <c r="A258" s="171"/>
      <c r="B258" s="172"/>
      <c r="C258" s="172"/>
      <c r="D258" s="172"/>
      <c r="E258" s="171"/>
      <c r="F258" s="171"/>
      <c r="G258" s="171"/>
      <c r="H258" s="171"/>
      <c r="I258" s="171"/>
      <c r="J258" s="171"/>
      <c r="R258" s="35">
        <f t="shared" ca="1" si="60"/>
        <v>17.308898192853974</v>
      </c>
    </row>
    <row r="259" spans="1:18">
      <c r="A259" s="171"/>
      <c r="B259" s="172">
        <v>-0.14897154656832046</v>
      </c>
      <c r="C259" s="172">
        <v>0.84725762547333594</v>
      </c>
      <c r="D259" s="172">
        <v>-1.9759438806851826E-2</v>
      </c>
      <c r="E259" s="171">
        <f>-$L$1</f>
        <v>-1.4990492230334603E-2</v>
      </c>
      <c r="F259" s="172">
        <v>0</v>
      </c>
      <c r="G259" s="172">
        <v>0</v>
      </c>
      <c r="H259" s="178">
        <f>-$N$1</f>
        <v>-4.7716218756768064E-3</v>
      </c>
      <c r="I259" s="171">
        <v>0</v>
      </c>
      <c r="J259" s="171">
        <v>0</v>
      </c>
      <c r="L259">
        <f t="array" ref="L259:N261">SVDD(B259:J261)</f>
        <v>3.506028707350517</v>
      </c>
      <c r="M259">
        <v>0</v>
      </c>
      <c r="N259">
        <v>0</v>
      </c>
      <c r="P259">
        <f t="shared" ref="P259" si="76">MAX(L259,M260,N261)/MIN(L259,M260,N261)</f>
        <v>21.075722188208807</v>
      </c>
      <c r="R259" s="35">
        <f t="shared" ca="1" si="60"/>
        <v>3.5187890734996405</v>
      </c>
    </row>
    <row r="260" spans="1:18">
      <c r="A260" s="171" t="s">
        <v>278</v>
      </c>
      <c r="B260" s="172">
        <v>0.21871711292247331</v>
      </c>
      <c r="C260" s="172">
        <v>2.1363371502498802</v>
      </c>
      <c r="D260" s="172">
        <v>8.9790398854103559E-2</v>
      </c>
      <c r="E260" s="171">
        <v>0</v>
      </c>
      <c r="F260" s="171">
        <f>-$L$1</f>
        <v>-1.4990492230334603E-2</v>
      </c>
      <c r="G260" s="172">
        <v>0</v>
      </c>
      <c r="H260" s="172">
        <v>0</v>
      </c>
      <c r="I260" s="178">
        <f>-$N$1</f>
        <v>-4.7716218756768064E-3</v>
      </c>
      <c r="J260" s="171">
        <v>0</v>
      </c>
      <c r="L260">
        <v>0</v>
      </c>
      <c r="M260">
        <v>0.87381041216448962</v>
      </c>
      <c r="N260">
        <v>0</v>
      </c>
      <c r="R260" s="35">
        <f t="shared" ca="1" si="60"/>
        <v>2.9246852621052959</v>
      </c>
    </row>
    <row r="261" spans="1:18">
      <c r="A261" s="171"/>
      <c r="B261" s="172">
        <v>1.2284177840385118</v>
      </c>
      <c r="C261" s="172">
        <v>2.3993580133895418</v>
      </c>
      <c r="D261" s="172">
        <v>-0.6756623603325641</v>
      </c>
      <c r="E261" s="171">
        <v>0</v>
      </c>
      <c r="F261" s="172">
        <v>0</v>
      </c>
      <c r="G261" s="171">
        <f>-$L$1</f>
        <v>-1.4990492230334603E-2</v>
      </c>
      <c r="H261" s="172">
        <v>0</v>
      </c>
      <c r="I261" s="172">
        <v>0</v>
      </c>
      <c r="J261" s="178">
        <f>-$N$1</f>
        <v>-4.7716218756768064E-3</v>
      </c>
      <c r="L261">
        <v>0</v>
      </c>
      <c r="M261">
        <v>0</v>
      </c>
      <c r="N261">
        <v>0.16635390597965027</v>
      </c>
      <c r="R261" s="35">
        <f t="shared" ref="R261:R282" ca="1" si="77">OFFSET($P$3,4*(ROW(A259)-1),0,1,1)</f>
        <v>10.015423341047251</v>
      </c>
    </row>
    <row r="262" spans="1:18">
      <c r="A262" s="171"/>
      <c r="B262" s="172"/>
      <c r="C262" s="172"/>
      <c r="D262" s="172"/>
      <c r="E262" s="171"/>
      <c r="F262" s="171"/>
      <c r="G262" s="171"/>
      <c r="H262" s="171"/>
      <c r="I262" s="171"/>
      <c r="J262" s="171"/>
      <c r="R262" s="35">
        <f t="shared" ca="1" si="77"/>
        <v>2.6371099326821943</v>
      </c>
    </row>
    <row r="263" spans="1:18">
      <c r="A263" s="171"/>
      <c r="B263" s="172">
        <v>-0.14897154656832046</v>
      </c>
      <c r="C263" s="172">
        <v>0.84725762547333594</v>
      </c>
      <c r="D263" s="172">
        <v>-1.9759438806851826E-2</v>
      </c>
      <c r="E263" s="171">
        <f>-$L$1</f>
        <v>-1.4990492230334603E-2</v>
      </c>
      <c r="F263" s="172">
        <v>0</v>
      </c>
      <c r="G263" s="172">
        <v>0</v>
      </c>
      <c r="H263" s="178">
        <f>-$N$1</f>
        <v>-4.7716218756768064E-3</v>
      </c>
      <c r="I263" s="171">
        <v>0</v>
      </c>
      <c r="J263" s="171">
        <v>0</v>
      </c>
      <c r="L263">
        <f t="array" ref="L263:N265">SVDD(B263:J265)</f>
        <v>3.9376928925161052</v>
      </c>
      <c r="M263">
        <v>0</v>
      </c>
      <c r="N263">
        <v>0</v>
      </c>
      <c r="P263">
        <f t="shared" ref="P263" si="78">MAX(L263,M264,N265)/MIN(L263,M264,N265)</f>
        <v>10.128578188634867</v>
      </c>
      <c r="R263" s="35">
        <f t="shared" ca="1" si="77"/>
        <v>25.125840436768463</v>
      </c>
    </row>
    <row r="264" spans="1:18">
      <c r="A264" s="171" t="s">
        <v>279</v>
      </c>
      <c r="B264" s="172">
        <v>1.8375474863113905</v>
      </c>
      <c r="C264" s="172">
        <v>2.1167426559988707</v>
      </c>
      <c r="D264" s="172">
        <v>1.2367606559382516E-2</v>
      </c>
      <c r="E264" s="171">
        <v>0</v>
      </c>
      <c r="F264" s="171">
        <f>-$L$1</f>
        <v>-1.4990492230334603E-2</v>
      </c>
      <c r="G264" s="172">
        <v>0</v>
      </c>
      <c r="H264" s="172">
        <v>0</v>
      </c>
      <c r="I264" s="178">
        <f>-$N$1</f>
        <v>-4.7716218756768064E-3</v>
      </c>
      <c r="J264" s="171">
        <v>0</v>
      </c>
      <c r="L264">
        <v>0</v>
      </c>
      <c r="M264">
        <v>0.81509814353052834</v>
      </c>
      <c r="N264">
        <v>0</v>
      </c>
      <c r="R264" s="35">
        <f t="shared" ca="1" si="77"/>
        <v>17.820276961680449</v>
      </c>
    </row>
    <row r="265" spans="1:18">
      <c r="A265" s="171"/>
      <c r="B265" s="172">
        <v>1.2284177840385118</v>
      </c>
      <c r="C265" s="172">
        <v>2.3993580133895418</v>
      </c>
      <c r="D265" s="172">
        <v>-0.6756623603325641</v>
      </c>
      <c r="E265" s="171">
        <v>0</v>
      </c>
      <c r="F265" s="172">
        <v>0</v>
      </c>
      <c r="G265" s="171">
        <f>-$L$1</f>
        <v>-1.4990492230334603E-2</v>
      </c>
      <c r="H265" s="172">
        <v>0</v>
      </c>
      <c r="I265" s="172">
        <v>0</v>
      </c>
      <c r="J265" s="178">
        <f>-$N$1</f>
        <v>-4.7716218756768064E-3</v>
      </c>
      <c r="L265">
        <v>0</v>
      </c>
      <c r="M265">
        <v>0</v>
      </c>
      <c r="N265">
        <v>0.38877054796640009</v>
      </c>
      <c r="R265" s="35">
        <f t="shared" ca="1" si="77"/>
        <v>6.3517120058015237</v>
      </c>
    </row>
    <row r="266" spans="1:18">
      <c r="A266" s="171"/>
      <c r="B266" s="172"/>
      <c r="C266" s="172"/>
      <c r="D266" s="172"/>
      <c r="E266" s="171"/>
      <c r="F266" s="171"/>
      <c r="G266" s="171"/>
      <c r="H266" s="171"/>
      <c r="I266" s="171"/>
      <c r="J266" s="171"/>
      <c r="R266" s="35">
        <f t="shared" ca="1" si="77"/>
        <v>6.7578324973079091</v>
      </c>
    </row>
    <row r="267" spans="1:18">
      <c r="A267" s="171"/>
      <c r="B267" s="172">
        <v>2.6959782234951333</v>
      </c>
      <c r="C267" s="172">
        <v>1.0757798809975587</v>
      </c>
      <c r="D267" s="172">
        <v>4.997772423355884E-2</v>
      </c>
      <c r="E267" s="171">
        <f>-$L$1</f>
        <v>-1.4990492230334603E-2</v>
      </c>
      <c r="F267" s="172">
        <v>0</v>
      </c>
      <c r="G267" s="172">
        <v>0</v>
      </c>
      <c r="H267" s="178">
        <f>-$N$1</f>
        <v>-4.7716218756768064E-3</v>
      </c>
      <c r="I267" s="171">
        <v>0</v>
      </c>
      <c r="J267" s="171">
        <v>0</v>
      </c>
      <c r="L267">
        <f t="array" ref="L267:N269">SVDD(B267:J269)</f>
        <v>4.2088561855197621</v>
      </c>
      <c r="M267">
        <v>0</v>
      </c>
      <c r="N267">
        <v>0</v>
      </c>
      <c r="P267">
        <f t="shared" ref="P267" si="79">MAX(L267,M268,N269)/MIN(L267,M268,N269)</f>
        <v>69.470509414782754</v>
      </c>
      <c r="R267" s="35">
        <f t="shared" ca="1" si="77"/>
        <v>15.93974965125182</v>
      </c>
    </row>
    <row r="268" spans="1:18">
      <c r="A268" s="171" t="s">
        <v>280</v>
      </c>
      <c r="B268" s="172">
        <v>0.21871711292247331</v>
      </c>
      <c r="C268" s="172">
        <v>2.1363371502498802</v>
      </c>
      <c r="D268" s="172">
        <v>8.9790398854103559E-2</v>
      </c>
      <c r="E268" s="171">
        <v>0</v>
      </c>
      <c r="F268" s="171">
        <f>-$L$1</f>
        <v>-1.4990492230334603E-2</v>
      </c>
      <c r="G268" s="172">
        <v>0</v>
      </c>
      <c r="H268" s="172">
        <v>0</v>
      </c>
      <c r="I268" s="178">
        <f>-$N$1</f>
        <v>-4.7716218756768064E-3</v>
      </c>
      <c r="J268" s="171">
        <v>0</v>
      </c>
      <c r="L268">
        <v>0</v>
      </c>
      <c r="M268">
        <v>1.7854605439640197</v>
      </c>
      <c r="N268">
        <v>0</v>
      </c>
      <c r="R268" s="35">
        <f t="shared" ca="1" si="77"/>
        <v>24.484220635039041</v>
      </c>
    </row>
    <row r="269" spans="1:18">
      <c r="A269" s="171"/>
      <c r="B269" s="172">
        <v>1.8375474863113905</v>
      </c>
      <c r="C269" s="172">
        <v>2.1167426559988707</v>
      </c>
      <c r="D269" s="172">
        <v>1.2367606559382516E-2</v>
      </c>
      <c r="E269" s="171">
        <v>0</v>
      </c>
      <c r="F269" s="172">
        <v>0</v>
      </c>
      <c r="G269" s="171">
        <f>-$L$1</f>
        <v>-1.4990492230334603E-2</v>
      </c>
      <c r="H269" s="172">
        <v>0</v>
      </c>
      <c r="I269" s="172">
        <v>0</v>
      </c>
      <c r="J269" s="178">
        <f>-$N$1</f>
        <v>-4.7716218756768064E-3</v>
      </c>
      <c r="L269">
        <v>0</v>
      </c>
      <c r="M269">
        <v>0</v>
      </c>
      <c r="N269">
        <v>6.0584789444830991E-2</v>
      </c>
      <c r="R269" s="35">
        <f t="shared" ca="1" si="77"/>
        <v>9.6782940219142635</v>
      </c>
    </row>
    <row r="270" spans="1:18">
      <c r="A270" s="171"/>
      <c r="B270" s="172"/>
      <c r="C270" s="172"/>
      <c r="D270" s="172"/>
      <c r="E270" s="171"/>
      <c r="F270" s="171"/>
      <c r="G270" s="171"/>
      <c r="H270" s="171"/>
      <c r="I270" s="171"/>
      <c r="J270" s="171"/>
      <c r="R270" s="35">
        <f t="shared" ca="1" si="77"/>
        <v>4.3628779752189537</v>
      </c>
    </row>
    <row r="271" spans="1:18">
      <c r="A271" s="171"/>
      <c r="B271" s="172">
        <v>2.6959782234951333</v>
      </c>
      <c r="C271" s="172">
        <v>1.0757798809975587</v>
      </c>
      <c r="D271" s="172">
        <v>4.997772423355884E-2</v>
      </c>
      <c r="E271" s="171">
        <f>-$L$1</f>
        <v>-1.4990492230334603E-2</v>
      </c>
      <c r="F271" s="172">
        <v>0</v>
      </c>
      <c r="G271" s="172">
        <v>0</v>
      </c>
      <c r="H271" s="178">
        <f>-$N$1</f>
        <v>-4.7716218756768064E-3</v>
      </c>
      <c r="I271" s="171">
        <v>0</v>
      </c>
      <c r="J271" s="171">
        <v>0</v>
      </c>
      <c r="L271">
        <f t="array" ref="L271:N273">SVDD(B271:J273)</f>
        <v>4.0916805771142108</v>
      </c>
      <c r="M271">
        <v>0</v>
      </c>
      <c r="N271">
        <v>0</v>
      </c>
      <c r="P271">
        <f t="shared" ref="P271" si="80">MAX(L271,M272,N273)/MIN(L271,M272,N273)</f>
        <v>7.520000920680614</v>
      </c>
      <c r="R271" s="35">
        <f t="shared" ca="1" si="77"/>
        <v>7.1522546835630632</v>
      </c>
    </row>
    <row r="272" spans="1:18">
      <c r="A272" s="171" t="s">
        <v>281</v>
      </c>
      <c r="B272" s="172">
        <v>0.21871711292247331</v>
      </c>
      <c r="C272" s="172">
        <v>2.1363371502498802</v>
      </c>
      <c r="D272" s="172">
        <v>8.9790398854103559E-2</v>
      </c>
      <c r="E272" s="171">
        <v>0</v>
      </c>
      <c r="F272" s="171">
        <f>-$L$1</f>
        <v>-1.4990492230334603E-2</v>
      </c>
      <c r="G272" s="172">
        <v>0</v>
      </c>
      <c r="H272" s="172">
        <v>0</v>
      </c>
      <c r="I272" s="178">
        <f>-$N$1</f>
        <v>-4.7716218756768064E-3</v>
      </c>
      <c r="J272" s="171">
        <v>0</v>
      </c>
      <c r="L272">
        <v>0</v>
      </c>
      <c r="M272">
        <v>1.932155301434364</v>
      </c>
      <c r="N272">
        <v>0</v>
      </c>
      <c r="R272" s="35">
        <f t="shared" ca="1" si="77"/>
        <v>3.4260059455186656</v>
      </c>
    </row>
    <row r="273" spans="1:18">
      <c r="A273" s="171"/>
      <c r="B273" s="172">
        <v>1.2284177840385118</v>
      </c>
      <c r="C273" s="172">
        <v>2.3993580133895418</v>
      </c>
      <c r="D273" s="172">
        <v>-0.6756623603325641</v>
      </c>
      <c r="E273" s="171">
        <v>0</v>
      </c>
      <c r="F273" s="172">
        <v>0</v>
      </c>
      <c r="G273" s="171">
        <f>-$L$1</f>
        <v>-1.4990492230334603E-2</v>
      </c>
      <c r="H273" s="172">
        <v>0</v>
      </c>
      <c r="I273" s="172">
        <v>0</v>
      </c>
      <c r="J273" s="178">
        <f>-$N$1</f>
        <v>-4.7716218756768064E-3</v>
      </c>
      <c r="L273">
        <v>0</v>
      </c>
      <c r="M273">
        <v>0</v>
      </c>
      <c r="N273">
        <v>0.54410639310718123</v>
      </c>
      <c r="R273" s="35">
        <f t="shared" ca="1" si="77"/>
        <v>12.082714650270805</v>
      </c>
    </row>
    <row r="274" spans="1:18">
      <c r="A274" s="171"/>
      <c r="B274" s="172"/>
      <c r="C274" s="172"/>
      <c r="D274" s="172"/>
      <c r="E274" s="171"/>
      <c r="F274" s="171"/>
      <c r="G274" s="171"/>
      <c r="H274" s="171"/>
      <c r="I274" s="171"/>
      <c r="J274" s="171"/>
      <c r="R274" s="35">
        <f t="shared" ca="1" si="77"/>
        <v>6.7158596115691598</v>
      </c>
    </row>
    <row r="275" spans="1:18">
      <c r="A275" s="171"/>
      <c r="B275" s="172">
        <v>2.6959782234951333</v>
      </c>
      <c r="C275" s="172">
        <v>1.0757798809975587</v>
      </c>
      <c r="D275" s="172">
        <v>4.997772423355884E-2</v>
      </c>
      <c r="E275" s="171">
        <f>-$L$1</f>
        <v>-1.4990492230334603E-2</v>
      </c>
      <c r="F275" s="172">
        <v>0</v>
      </c>
      <c r="G275" s="172">
        <v>0</v>
      </c>
      <c r="H275" s="178">
        <f>-$N$1</f>
        <v>-4.7716218756768064E-3</v>
      </c>
      <c r="I275" s="171">
        <v>0</v>
      </c>
      <c r="J275" s="171">
        <v>0</v>
      </c>
      <c r="L275">
        <f t="array" ref="L275:N277">SVDD(B275:J277)</f>
        <v>4.6511651270000476</v>
      </c>
      <c r="M275">
        <v>0</v>
      </c>
      <c r="N275">
        <v>0</v>
      </c>
      <c r="P275">
        <f t="shared" ref="P275" si="81">MAX(L275,M276,N277)/MIN(L275,M276,N277)</f>
        <v>12.992643209090787</v>
      </c>
      <c r="R275" s="35">
        <f t="shared" ca="1" si="77"/>
        <v>5.3143923989038973</v>
      </c>
    </row>
    <row r="276" spans="1:18">
      <c r="A276" s="171" t="s">
        <v>282</v>
      </c>
      <c r="B276" s="172">
        <v>1.8375474863113905</v>
      </c>
      <c r="C276" s="172">
        <v>2.1167426559988707</v>
      </c>
      <c r="D276" s="172">
        <v>1.2367606559382516E-2</v>
      </c>
      <c r="E276" s="171">
        <v>0</v>
      </c>
      <c r="F276" s="171">
        <f>-$L$1</f>
        <v>-1.4990492230334603E-2</v>
      </c>
      <c r="G276" s="172">
        <v>0</v>
      </c>
      <c r="H276" s="172">
        <v>0</v>
      </c>
      <c r="I276" s="178">
        <f>-$N$1</f>
        <v>-4.7716218756768064E-3</v>
      </c>
      <c r="J276" s="171">
        <v>0</v>
      </c>
      <c r="L276">
        <v>0</v>
      </c>
      <c r="M276">
        <v>1.4990440786775174</v>
      </c>
      <c r="N276">
        <v>0</v>
      </c>
      <c r="R276" s="35">
        <f t="shared" ca="1" si="77"/>
        <v>6.5691112647755974</v>
      </c>
    </row>
    <row r="277" spans="1:18">
      <c r="A277" s="171"/>
      <c r="B277" s="172">
        <v>1.2284177840385118</v>
      </c>
      <c r="C277" s="172">
        <v>2.3993580133895418</v>
      </c>
      <c r="D277" s="172">
        <v>-0.6756623603325641</v>
      </c>
      <c r="E277" s="171">
        <v>0</v>
      </c>
      <c r="F277" s="172">
        <v>0</v>
      </c>
      <c r="G277" s="171">
        <f>-$L$1</f>
        <v>-1.4990492230334603E-2</v>
      </c>
      <c r="H277" s="172">
        <v>0</v>
      </c>
      <c r="I277" s="172">
        <v>0</v>
      </c>
      <c r="J277" s="178">
        <f>-$N$1</f>
        <v>-4.7716218756768064E-3</v>
      </c>
      <c r="L277">
        <v>0</v>
      </c>
      <c r="M277">
        <v>0</v>
      </c>
      <c r="N277">
        <v>0.35798451878873166</v>
      </c>
      <c r="R277" s="35">
        <f t="shared" ca="1" si="77"/>
        <v>11.370138866273509</v>
      </c>
    </row>
    <row r="278" spans="1:18">
      <c r="A278" s="171"/>
      <c r="B278" s="172"/>
      <c r="C278" s="172"/>
      <c r="D278" s="172"/>
      <c r="E278" s="171"/>
      <c r="F278" s="171"/>
      <c r="G278" s="171"/>
      <c r="H278" s="171"/>
      <c r="I278" s="171"/>
      <c r="J278" s="171"/>
      <c r="R278" s="35">
        <f t="shared" ca="1" si="77"/>
        <v>4.1925628111386697</v>
      </c>
    </row>
    <row r="279" spans="1:18">
      <c r="A279" s="171"/>
      <c r="B279" s="172">
        <v>0.21871711292247331</v>
      </c>
      <c r="C279" s="172">
        <v>2.1363371502498802</v>
      </c>
      <c r="D279" s="172">
        <v>8.9790398854103559E-2</v>
      </c>
      <c r="E279" s="171">
        <f>-$L$1</f>
        <v>-1.4990492230334603E-2</v>
      </c>
      <c r="F279" s="172">
        <v>0</v>
      </c>
      <c r="G279" s="172">
        <v>0</v>
      </c>
      <c r="H279" s="178">
        <f>-$N$1</f>
        <v>-4.7716218756768064E-3</v>
      </c>
      <c r="I279" s="171">
        <v>0</v>
      </c>
      <c r="J279" s="171">
        <v>0</v>
      </c>
      <c r="L279">
        <f t="array" ref="L279:N281">SVDD(B279:J281)</f>
        <v>4.3385762198066447</v>
      </c>
      <c r="M279">
        <v>0</v>
      </c>
      <c r="N279">
        <v>0</v>
      </c>
      <c r="P279">
        <f t="shared" ref="P279" si="82">MAX(L279,M280,N281)/MIN(L279,M280,N281)</f>
        <v>7.6441049713352109</v>
      </c>
      <c r="R279" s="35">
        <f t="shared" ca="1" si="77"/>
        <v>4.4283528561982362</v>
      </c>
    </row>
    <row r="280" spans="1:18">
      <c r="A280" s="171" t="s">
        <v>283</v>
      </c>
      <c r="B280" s="172">
        <v>1.8375474863113905</v>
      </c>
      <c r="C280" s="172">
        <v>2.1167426559988707</v>
      </c>
      <c r="D280" s="172">
        <v>1.2367606559382516E-2</v>
      </c>
      <c r="E280" s="171">
        <v>0</v>
      </c>
      <c r="F280" s="171">
        <f>-$L$1</f>
        <v>-1.4990492230334603E-2</v>
      </c>
      <c r="G280" s="172">
        <v>0</v>
      </c>
      <c r="H280" s="172">
        <v>0</v>
      </c>
      <c r="I280" s="178">
        <f>-$N$1</f>
        <v>-4.7716218756768064E-3</v>
      </c>
      <c r="J280" s="171">
        <v>0</v>
      </c>
      <c r="L280">
        <v>0</v>
      </c>
      <c r="M280">
        <v>1.0271218385571244</v>
      </c>
      <c r="N280">
        <v>0</v>
      </c>
      <c r="R280" s="35">
        <f t="shared" ca="1" si="77"/>
        <v>5.4661731998728929</v>
      </c>
    </row>
    <row r="281" spans="1:18">
      <c r="A281" s="171"/>
      <c r="B281" s="172">
        <v>1.2284177840385118</v>
      </c>
      <c r="C281" s="172">
        <v>2.3993580133895418</v>
      </c>
      <c r="D281" s="172">
        <v>-0.6756623603325641</v>
      </c>
      <c r="E281" s="171">
        <v>0</v>
      </c>
      <c r="F281" s="172">
        <v>0</v>
      </c>
      <c r="G281" s="171">
        <f>-$L$1</f>
        <v>-1.4990492230334603E-2</v>
      </c>
      <c r="H281" s="172">
        <v>0</v>
      </c>
      <c r="I281" s="172">
        <v>0</v>
      </c>
      <c r="J281" s="178">
        <f>-$N$1</f>
        <v>-4.7716218756768064E-3</v>
      </c>
      <c r="L281">
        <v>0</v>
      </c>
      <c r="M281">
        <v>0</v>
      </c>
      <c r="N281">
        <v>0.56757151243683368</v>
      </c>
      <c r="R281" s="35">
        <f t="shared" ca="1" si="77"/>
        <v>3.6866705596950839</v>
      </c>
    </row>
    <row r="282" spans="1:18">
      <c r="A282" s="171"/>
      <c r="B282" s="172"/>
      <c r="C282" s="172"/>
      <c r="D282" s="172"/>
      <c r="E282" s="171"/>
      <c r="F282" s="171"/>
      <c r="G282" s="171"/>
      <c r="H282" s="171"/>
      <c r="I282" s="171"/>
      <c r="J282" s="171"/>
      <c r="R282" s="35">
        <f t="shared" ca="1" si="77"/>
        <v>5.7542568897760695</v>
      </c>
    </row>
    <row r="283" spans="1:18">
      <c r="A283" s="171"/>
      <c r="B283" s="172">
        <v>-1.0419123890112216</v>
      </c>
      <c r="C283" s="172">
        <v>4.0818532431212473E-2</v>
      </c>
      <c r="D283" s="172">
        <v>-0.77248383184656022</v>
      </c>
      <c r="E283" s="171">
        <f>-$L$1</f>
        <v>-1.4990492230334603E-2</v>
      </c>
      <c r="F283" s="172">
        <v>0</v>
      </c>
      <c r="G283" s="172">
        <v>0</v>
      </c>
      <c r="H283" s="178">
        <f>-$N$1</f>
        <v>-4.7716218756768064E-3</v>
      </c>
      <c r="I283" s="171">
        <v>0</v>
      </c>
      <c r="J283" s="171">
        <v>0</v>
      </c>
      <c r="L283">
        <f t="array" ref="L283:N285">SVDD(B283:J285)</f>
        <v>3.5781658873126871</v>
      </c>
      <c r="M283">
        <v>0</v>
      </c>
      <c r="N283">
        <v>0</v>
      </c>
      <c r="P283">
        <f t="shared" ref="P283" si="83">MAX(L283,M284,N285)/MIN(L283,M284,N285)</f>
        <v>6.5421425181128727</v>
      </c>
    </row>
    <row r="284" spans="1:18">
      <c r="A284" s="171" t="s">
        <v>284</v>
      </c>
      <c r="B284" s="172">
        <v>-2.2957880185781296</v>
      </c>
      <c r="C284" s="172">
        <v>8.2263663034425338E-3</v>
      </c>
      <c r="D284" s="172">
        <v>-3.3137218009327896E-2</v>
      </c>
      <c r="E284" s="171">
        <v>0</v>
      </c>
      <c r="F284" s="171">
        <f>-$L$1</f>
        <v>-1.4990492230334603E-2</v>
      </c>
      <c r="G284" s="172">
        <v>0</v>
      </c>
      <c r="H284" s="172">
        <v>0</v>
      </c>
      <c r="I284" s="178">
        <f>-$N$1</f>
        <v>-4.7716218756768064E-3</v>
      </c>
      <c r="J284" s="171">
        <v>0</v>
      </c>
      <c r="L284">
        <v>0</v>
      </c>
      <c r="M284">
        <v>0.75207337470579871</v>
      </c>
      <c r="N284">
        <v>0</v>
      </c>
    </row>
    <row r="285" spans="1:18">
      <c r="A285" s="171"/>
      <c r="B285" s="172">
        <v>-2.44475956514645</v>
      </c>
      <c r="C285" s="172">
        <v>0.85548399177677847</v>
      </c>
      <c r="D285" s="172">
        <v>-5.2896656816179721E-2</v>
      </c>
      <c r="E285" s="171">
        <v>0</v>
      </c>
      <c r="F285" s="172">
        <v>0</v>
      </c>
      <c r="G285" s="171">
        <f>-$L$1</f>
        <v>-1.4990492230334603E-2</v>
      </c>
      <c r="H285" s="172">
        <v>0</v>
      </c>
      <c r="I285" s="172">
        <v>0</v>
      </c>
      <c r="J285" s="178">
        <f>-$N$1</f>
        <v>-4.7716218756768064E-3</v>
      </c>
      <c r="L285">
        <v>0</v>
      </c>
      <c r="M285">
        <v>0</v>
      </c>
      <c r="N285">
        <v>0.54694098720809192</v>
      </c>
    </row>
    <row r="286" spans="1:18">
      <c r="A286" s="171"/>
      <c r="B286" s="172"/>
      <c r="C286" s="172"/>
      <c r="D286" s="172"/>
      <c r="E286" s="171"/>
      <c r="F286" s="171"/>
      <c r="G286" s="171"/>
      <c r="H286" s="171"/>
      <c r="I286" s="171"/>
      <c r="J286" s="171"/>
    </row>
    <row r="287" spans="1:18">
      <c r="A287" s="171"/>
      <c r="B287" s="172">
        <v>-1.0419123890112216</v>
      </c>
      <c r="C287" s="172">
        <v>4.0818532431212473E-2</v>
      </c>
      <c r="D287" s="172">
        <v>-0.77248383184656022</v>
      </c>
      <c r="E287" s="171">
        <f>-$L$1</f>
        <v>-1.4990492230334603E-2</v>
      </c>
      <c r="F287" s="172">
        <v>0</v>
      </c>
      <c r="G287" s="172">
        <v>0</v>
      </c>
      <c r="H287" s="178">
        <f>-$N$1</f>
        <v>-4.7716218756768064E-3</v>
      </c>
      <c r="I287" s="171">
        <v>0</v>
      </c>
      <c r="J287" s="171">
        <v>0</v>
      </c>
      <c r="L287">
        <f t="array" ref="L287:N289">SVDD(B287:J289)</f>
        <v>2.5828948966779888</v>
      </c>
      <c r="M287">
        <v>0</v>
      </c>
      <c r="N287">
        <v>0</v>
      </c>
      <c r="P287">
        <f t="shared" ref="P287" si="84">MAX(L287,M288,N289)/MIN(L287,M288,N289)</f>
        <v>3.8019800441798788</v>
      </c>
    </row>
    <row r="288" spans="1:18">
      <c r="A288" s="171" t="s">
        <v>285</v>
      </c>
      <c r="B288" s="172">
        <v>-2.2957880185781296</v>
      </c>
      <c r="C288" s="172">
        <v>8.2263663034425338E-3</v>
      </c>
      <c r="D288" s="172">
        <v>-3.3137218009327896E-2</v>
      </c>
      <c r="E288" s="171">
        <v>0</v>
      </c>
      <c r="F288" s="171">
        <f>-$L$1</f>
        <v>-1.4990492230334603E-2</v>
      </c>
      <c r="G288" s="172">
        <v>0</v>
      </c>
      <c r="H288" s="172">
        <v>0</v>
      </c>
      <c r="I288" s="178">
        <f>-$N$1</f>
        <v>-4.7716218756768064E-3</v>
      </c>
      <c r="J288" s="171">
        <v>0</v>
      </c>
      <c r="L288">
        <v>0</v>
      </c>
      <c r="M288">
        <v>1.0766454808963208</v>
      </c>
      <c r="N288">
        <v>0</v>
      </c>
    </row>
    <row r="289" spans="1:16">
      <c r="A289" s="171"/>
      <c r="B289" s="172">
        <v>0.40019020491700363</v>
      </c>
      <c r="C289" s="172">
        <v>1.0840062473010013</v>
      </c>
      <c r="D289" s="172">
        <v>1.6840506224230944E-2</v>
      </c>
      <c r="E289" s="171">
        <v>0</v>
      </c>
      <c r="F289" s="172">
        <v>0</v>
      </c>
      <c r="G289" s="171">
        <f>-$L$1</f>
        <v>-1.4990492230334603E-2</v>
      </c>
      <c r="H289" s="172">
        <v>0</v>
      </c>
      <c r="I289" s="172">
        <v>0</v>
      </c>
      <c r="J289" s="178">
        <f>-$N$1</f>
        <v>-4.7716218756768064E-3</v>
      </c>
      <c r="L289">
        <v>0</v>
      </c>
      <c r="M289">
        <v>0</v>
      </c>
      <c r="N289">
        <v>0.67935519562547897</v>
      </c>
    </row>
    <row r="290" spans="1:16">
      <c r="A290" s="171"/>
      <c r="B290" s="172"/>
      <c r="C290" s="172"/>
      <c r="D290" s="172"/>
      <c r="E290" s="171"/>
      <c r="F290" s="171"/>
      <c r="G290" s="171"/>
      <c r="H290" s="171"/>
      <c r="I290" s="171"/>
      <c r="J290" s="171"/>
    </row>
    <row r="291" spans="1:16">
      <c r="A291" s="171"/>
      <c r="B291" s="172">
        <v>-1.0419123890112216</v>
      </c>
      <c r="C291" s="172">
        <v>4.0818532431212473E-2</v>
      </c>
      <c r="D291" s="172">
        <v>-0.77248383184656022</v>
      </c>
      <c r="E291" s="171">
        <f>-$L$1</f>
        <v>-1.4990492230334603E-2</v>
      </c>
      <c r="F291" s="172">
        <v>0</v>
      </c>
      <c r="G291" s="172">
        <v>0</v>
      </c>
      <c r="H291" s="178">
        <f>-$N$1</f>
        <v>-4.7716218756768064E-3</v>
      </c>
      <c r="I291" s="171">
        <v>0</v>
      </c>
      <c r="J291" s="171">
        <v>0</v>
      </c>
      <c r="L291">
        <f t="array" ref="L291:N293">SVDD(B291:J293)</f>
        <v>3.6205887567033366</v>
      </c>
      <c r="M291">
        <v>0</v>
      </c>
      <c r="N291">
        <v>0</v>
      </c>
      <c r="P291">
        <f t="shared" ref="P291" si="85">MAX(L291,M292,N293)/MIN(L291,M292,N293)</f>
        <v>5.3432505600512021</v>
      </c>
    </row>
    <row r="292" spans="1:16">
      <c r="A292" s="171" t="s">
        <v>286</v>
      </c>
      <c r="B292" s="172">
        <v>-2.2957880185781296</v>
      </c>
      <c r="C292" s="172">
        <v>8.2263663034425338E-3</v>
      </c>
      <c r="D292" s="172">
        <v>-3.3137218009327896E-2</v>
      </c>
      <c r="E292" s="171">
        <v>0</v>
      </c>
      <c r="F292" s="171">
        <f>-$L$1</f>
        <v>-1.4990492230334603E-2</v>
      </c>
      <c r="G292" s="172">
        <v>0</v>
      </c>
      <c r="H292" s="172">
        <v>0</v>
      </c>
      <c r="I292" s="178">
        <f>-$N$1</f>
        <v>-4.7716218756768064E-3</v>
      </c>
      <c r="J292" s="171">
        <v>0</v>
      </c>
      <c r="L292">
        <v>0</v>
      </c>
      <c r="M292">
        <v>1.5183248080950555</v>
      </c>
      <c r="N292">
        <v>0</v>
      </c>
    </row>
    <row r="293" spans="1:16">
      <c r="A293" s="171"/>
      <c r="B293" s="172">
        <v>-2.0770709056556562</v>
      </c>
      <c r="C293" s="172">
        <v>2.1445635165533226</v>
      </c>
      <c r="D293" s="172">
        <v>5.6653180844775664E-2</v>
      </c>
      <c r="E293" s="171">
        <v>0</v>
      </c>
      <c r="F293" s="172">
        <v>0</v>
      </c>
      <c r="G293" s="171">
        <f>-$L$1</f>
        <v>-1.4990492230334603E-2</v>
      </c>
      <c r="H293" s="172">
        <v>0</v>
      </c>
      <c r="I293" s="172">
        <v>0</v>
      </c>
      <c r="J293" s="178">
        <f>-$N$1</f>
        <v>-4.7716218756768064E-3</v>
      </c>
      <c r="L293">
        <v>0</v>
      </c>
      <c r="M293">
        <v>0</v>
      </c>
      <c r="N293">
        <v>0.67760040746968864</v>
      </c>
    </row>
    <row r="294" spans="1:16">
      <c r="A294" s="171"/>
      <c r="B294" s="172"/>
      <c r="C294" s="172"/>
      <c r="D294" s="172"/>
      <c r="E294" s="171"/>
      <c r="F294" s="171"/>
      <c r="G294" s="171"/>
      <c r="H294" s="171"/>
      <c r="I294" s="171"/>
      <c r="J294" s="171"/>
    </row>
    <row r="295" spans="1:16">
      <c r="A295" s="171"/>
      <c r="B295" s="172">
        <v>-1.0419123890112216</v>
      </c>
      <c r="C295" s="172">
        <v>4.0818532431212473E-2</v>
      </c>
      <c r="D295" s="172">
        <v>-0.77248383184656022</v>
      </c>
      <c r="E295" s="171">
        <f>-$L$1</f>
        <v>-1.4990492230334603E-2</v>
      </c>
      <c r="F295" s="172">
        <v>0</v>
      </c>
      <c r="G295" s="172">
        <v>0</v>
      </c>
      <c r="H295" s="178">
        <f>-$N$1</f>
        <v>-4.7716218756768064E-3</v>
      </c>
      <c r="I295" s="171">
        <v>0</v>
      </c>
      <c r="J295" s="171">
        <v>0</v>
      </c>
      <c r="L295">
        <f t="array" ref="L295:N297">SVDD(B295:J297)</f>
        <v>2.6664634435331611</v>
      </c>
      <c r="M295">
        <v>0</v>
      </c>
      <c r="N295">
        <v>0</v>
      </c>
      <c r="P295">
        <f t="shared" ref="P295" si="86">MAX(L295,M296,N297)/MIN(L295,M296,N297)</f>
        <v>3.9016936437990282</v>
      </c>
    </row>
    <row r="296" spans="1:16">
      <c r="A296" s="171" t="s">
        <v>287</v>
      </c>
      <c r="B296" s="172">
        <v>-2.2957880185781296</v>
      </c>
      <c r="C296" s="172">
        <v>8.2263663034425338E-3</v>
      </c>
      <c r="D296" s="172">
        <v>-3.3137218009327896E-2</v>
      </c>
      <c r="E296" s="171">
        <v>0</v>
      </c>
      <c r="F296" s="171">
        <f>-$L$1</f>
        <v>-1.4990492230334603E-2</v>
      </c>
      <c r="G296" s="172">
        <v>0</v>
      </c>
      <c r="H296" s="172">
        <v>0</v>
      </c>
      <c r="I296" s="178">
        <f>-$N$1</f>
        <v>-4.7716218756768064E-3</v>
      </c>
      <c r="J296" s="171">
        <v>0</v>
      </c>
      <c r="L296">
        <v>0</v>
      </c>
      <c r="M296">
        <v>2.0261687513534232</v>
      </c>
      <c r="N296">
        <v>0</v>
      </c>
    </row>
    <row r="297" spans="1:16">
      <c r="A297" s="171"/>
      <c r="B297" s="172">
        <v>-0.45824053226673911</v>
      </c>
      <c r="C297" s="172">
        <v>2.124969022302313</v>
      </c>
      <c r="D297" s="172">
        <v>-2.076961144994538E-2</v>
      </c>
      <c r="E297" s="171">
        <v>0</v>
      </c>
      <c r="F297" s="172">
        <v>0</v>
      </c>
      <c r="G297" s="171">
        <f>-$L$1</f>
        <v>-1.4990492230334603E-2</v>
      </c>
      <c r="H297" s="172">
        <v>0</v>
      </c>
      <c r="I297" s="172">
        <v>0</v>
      </c>
      <c r="J297" s="178">
        <f>-$N$1</f>
        <v>-4.7716218756768064E-3</v>
      </c>
      <c r="L297">
        <v>0</v>
      </c>
      <c r="M297">
        <v>0</v>
      </c>
      <c r="N297">
        <v>0.68341179163847943</v>
      </c>
    </row>
    <row r="298" spans="1:16">
      <c r="A298" s="171"/>
      <c r="B298" s="172"/>
      <c r="C298" s="172"/>
      <c r="D298" s="172"/>
      <c r="E298" s="171"/>
      <c r="F298" s="171"/>
      <c r="G298" s="171"/>
      <c r="H298" s="171"/>
      <c r="I298" s="171"/>
      <c r="J298" s="171"/>
    </row>
    <row r="299" spans="1:16">
      <c r="A299" s="171"/>
      <c r="B299" s="172">
        <v>-1.0419123890112216</v>
      </c>
      <c r="C299" s="172">
        <v>4.0818532431212473E-2</v>
      </c>
      <c r="D299" s="172">
        <v>-0.77248383184656022</v>
      </c>
      <c r="E299" s="171">
        <f>-$L$1</f>
        <v>-1.4990492230334603E-2</v>
      </c>
      <c r="F299" s="172">
        <v>0</v>
      </c>
      <c r="G299" s="172">
        <v>0</v>
      </c>
      <c r="H299" s="178">
        <f>-$N$1</f>
        <v>-4.7716218756768064E-3</v>
      </c>
      <c r="I299" s="171">
        <v>0</v>
      </c>
      <c r="J299" s="171">
        <v>0</v>
      </c>
      <c r="L299">
        <f t="array" ref="L299:N301">SVDD(B299:J301)</f>
        <v>3.167140378994628</v>
      </c>
      <c r="M299">
        <v>0</v>
      </c>
      <c r="N299">
        <v>0</v>
      </c>
      <c r="P299">
        <f t="shared" ref="P299" si="87">MAX(L299,M300,N301)/MIN(L299,M300,N301)</f>
        <v>4.8257536934276164</v>
      </c>
    </row>
    <row r="300" spans="1:16">
      <c r="A300" s="171" t="s">
        <v>288</v>
      </c>
      <c r="B300" s="172">
        <v>-2.2957880185781296</v>
      </c>
      <c r="C300" s="172">
        <v>8.2263663034425338E-3</v>
      </c>
      <c r="D300" s="172">
        <v>-3.3137218009327896E-2</v>
      </c>
      <c r="E300" s="171">
        <v>0</v>
      </c>
      <c r="F300" s="171">
        <f>-$L$1</f>
        <v>-1.4990492230334603E-2</v>
      </c>
      <c r="G300" s="172">
        <v>0</v>
      </c>
      <c r="H300" s="172">
        <v>0</v>
      </c>
      <c r="I300" s="178">
        <f>-$N$1</f>
        <v>-4.7716218756768064E-3</v>
      </c>
      <c r="J300" s="171">
        <v>0</v>
      </c>
      <c r="L300">
        <v>0</v>
      </c>
      <c r="M300">
        <v>1.9832198289788174</v>
      </c>
      <c r="N300">
        <v>0</v>
      </c>
    </row>
    <row r="301" spans="1:16">
      <c r="A301" s="171"/>
      <c r="B301" s="172">
        <v>-1.0673702345396179</v>
      </c>
      <c r="C301" s="172">
        <v>2.4075843796929846</v>
      </c>
      <c r="D301" s="172">
        <v>-0.708799578341892</v>
      </c>
      <c r="E301" s="171">
        <v>0</v>
      </c>
      <c r="F301" s="172">
        <v>0</v>
      </c>
      <c r="G301" s="171">
        <f>-$L$1</f>
        <v>-1.4990492230334603E-2</v>
      </c>
      <c r="H301" s="172">
        <v>0</v>
      </c>
      <c r="I301" s="172">
        <v>0</v>
      </c>
      <c r="J301" s="178">
        <f>-$N$1</f>
        <v>-4.7716218756768064E-3</v>
      </c>
      <c r="L301">
        <v>0</v>
      </c>
      <c r="M301">
        <v>0</v>
      </c>
      <c r="N301">
        <v>0.65629963321751805</v>
      </c>
    </row>
    <row r="302" spans="1:16">
      <c r="A302" s="171"/>
      <c r="B302" s="172"/>
      <c r="C302" s="172"/>
      <c r="D302" s="172"/>
      <c r="E302" s="171"/>
      <c r="F302" s="171"/>
      <c r="G302" s="171"/>
      <c r="H302" s="171"/>
      <c r="I302" s="171"/>
      <c r="J302" s="171"/>
    </row>
    <row r="303" spans="1:16">
      <c r="A303" s="171"/>
      <c r="B303" s="172">
        <v>-1.0419123890112216</v>
      </c>
      <c r="C303" s="172">
        <v>4.0818532431212473E-2</v>
      </c>
      <c r="D303" s="172">
        <v>-0.77248383184656022</v>
      </c>
      <c r="E303" s="171">
        <f>-$L$1</f>
        <v>-1.4990492230334603E-2</v>
      </c>
      <c r="F303" s="172">
        <v>0</v>
      </c>
      <c r="G303" s="172">
        <v>0</v>
      </c>
      <c r="H303" s="178">
        <f>-$N$1</f>
        <v>-4.7716218756768064E-3</v>
      </c>
      <c r="I303" s="171">
        <v>0</v>
      </c>
      <c r="J303" s="171">
        <v>0</v>
      </c>
      <c r="L303">
        <f t="array" ref="L303:N305">SVDD(B303:J305)</f>
        <v>2.7994937606221484</v>
      </c>
      <c r="M303">
        <v>0</v>
      </c>
      <c r="N303">
        <v>0</v>
      </c>
      <c r="P303">
        <f t="shared" ref="P303" si="88">MAX(L303,M304,N305)/MIN(L303,M304,N305)</f>
        <v>4.2232008730237434</v>
      </c>
    </row>
    <row r="304" spans="1:16">
      <c r="A304" s="171" t="s">
        <v>289</v>
      </c>
      <c r="B304" s="172">
        <v>-2.44475956514645</v>
      </c>
      <c r="C304" s="172">
        <v>0.85548399177677847</v>
      </c>
      <c r="D304" s="172">
        <v>-5.2896656816179721E-2</v>
      </c>
      <c r="E304" s="171">
        <v>0</v>
      </c>
      <c r="F304" s="171">
        <f>-$L$1</f>
        <v>-1.4990492230334603E-2</v>
      </c>
      <c r="G304" s="172">
        <v>0</v>
      </c>
      <c r="H304" s="172">
        <v>0</v>
      </c>
      <c r="I304" s="178">
        <f>-$N$1</f>
        <v>-4.7716218756768064E-3</v>
      </c>
      <c r="J304" s="171">
        <v>0</v>
      </c>
      <c r="L304">
        <v>0</v>
      </c>
      <c r="M304">
        <v>1.2062942917364237</v>
      </c>
      <c r="N304">
        <v>0</v>
      </c>
    </row>
    <row r="305" spans="1:16">
      <c r="A305" s="171"/>
      <c r="B305" s="172">
        <v>0.40019020491700363</v>
      </c>
      <c r="C305" s="172">
        <v>1.0840062473010013</v>
      </c>
      <c r="D305" s="172">
        <v>1.6840506224230944E-2</v>
      </c>
      <c r="E305" s="171">
        <v>0</v>
      </c>
      <c r="F305" s="172">
        <v>0</v>
      </c>
      <c r="G305" s="171">
        <f>-$L$1</f>
        <v>-1.4990492230334603E-2</v>
      </c>
      <c r="H305" s="172">
        <v>0</v>
      </c>
      <c r="I305" s="172">
        <v>0</v>
      </c>
      <c r="J305" s="178">
        <f>-$N$1</f>
        <v>-4.7716218756768064E-3</v>
      </c>
      <c r="L305">
        <v>0</v>
      </c>
      <c r="M305">
        <v>0</v>
      </c>
      <c r="N305">
        <v>0.66288434881331049</v>
      </c>
    </row>
    <row r="306" spans="1:16">
      <c r="A306" s="171"/>
      <c r="B306" s="172"/>
      <c r="C306" s="172"/>
      <c r="D306" s="172"/>
      <c r="E306" s="171"/>
      <c r="F306" s="171"/>
      <c r="G306" s="171"/>
      <c r="H306" s="171"/>
      <c r="I306" s="171"/>
      <c r="J306" s="171"/>
    </row>
    <row r="307" spans="1:16">
      <c r="A307" s="171"/>
      <c r="B307" s="172">
        <v>-1.0419123890112216</v>
      </c>
      <c r="C307" s="172">
        <v>4.0818532431212473E-2</v>
      </c>
      <c r="D307" s="172">
        <v>-0.77248383184656022</v>
      </c>
      <c r="E307" s="171">
        <f>-$L$1</f>
        <v>-1.4990492230334603E-2</v>
      </c>
      <c r="F307" s="172">
        <v>0</v>
      </c>
      <c r="G307" s="172">
        <v>0</v>
      </c>
      <c r="H307" s="178">
        <f>-$N$1</f>
        <v>-4.7716218756768064E-3</v>
      </c>
      <c r="I307" s="171">
        <v>0</v>
      </c>
      <c r="J307" s="171">
        <v>0</v>
      </c>
      <c r="L307">
        <f t="array" ref="L307:N309">SVDD(B307:J309)</f>
        <v>3.9538084194754473</v>
      </c>
      <c r="M307">
        <v>0</v>
      </c>
      <c r="N307">
        <v>0</v>
      </c>
      <c r="P307">
        <f t="shared" ref="P307" si="89">MAX(L307,M308,N309)/MIN(L307,M308,N309)</f>
        <v>7.3061038080832263</v>
      </c>
    </row>
    <row r="308" spans="1:16">
      <c r="A308" s="171" t="s">
        <v>290</v>
      </c>
      <c r="B308" s="172">
        <v>-2.44475956514645</v>
      </c>
      <c r="C308" s="172">
        <v>0.85548399177677847</v>
      </c>
      <c r="D308" s="172">
        <v>-5.2896656816179721E-2</v>
      </c>
      <c r="E308" s="171">
        <v>0</v>
      </c>
      <c r="F308" s="171">
        <f>-$L$1</f>
        <v>-1.4990492230334603E-2</v>
      </c>
      <c r="G308" s="172">
        <v>0</v>
      </c>
      <c r="H308" s="172">
        <v>0</v>
      </c>
      <c r="I308" s="178">
        <f>-$N$1</f>
        <v>-4.7716218756768064E-3</v>
      </c>
      <c r="J308" s="171">
        <v>0</v>
      </c>
      <c r="L308">
        <v>0</v>
      </c>
      <c r="M308">
        <v>1.1778568108968275</v>
      </c>
      <c r="N308">
        <v>0</v>
      </c>
    </row>
    <row r="309" spans="1:16">
      <c r="A309" s="171"/>
      <c r="B309" s="172">
        <v>-2.0770709056556562</v>
      </c>
      <c r="C309" s="172">
        <v>2.1445635165533226</v>
      </c>
      <c r="D309" s="172">
        <v>5.6653180844775664E-2</v>
      </c>
      <c r="E309" s="171">
        <v>0</v>
      </c>
      <c r="F309" s="172">
        <v>0</v>
      </c>
      <c r="G309" s="171">
        <f>-$L$1</f>
        <v>-1.4990492230334603E-2</v>
      </c>
      <c r="H309" s="172">
        <v>0</v>
      </c>
      <c r="I309" s="172">
        <v>0</v>
      </c>
      <c r="J309" s="178">
        <f>-$N$1</f>
        <v>-4.7716218756768064E-3</v>
      </c>
      <c r="L309">
        <v>0</v>
      </c>
      <c r="M309">
        <v>0</v>
      </c>
      <c r="N309">
        <v>0.54116510295146469</v>
      </c>
    </row>
    <row r="310" spans="1:16">
      <c r="A310" s="171"/>
      <c r="B310" s="172"/>
      <c r="C310" s="172"/>
      <c r="D310" s="172"/>
      <c r="E310" s="171"/>
      <c r="F310" s="171"/>
      <c r="G310" s="171"/>
      <c r="H310" s="171"/>
      <c r="I310" s="171"/>
      <c r="J310" s="171"/>
    </row>
    <row r="311" spans="1:16">
      <c r="A311" s="171"/>
      <c r="B311" s="172">
        <v>-1.0419123890112216</v>
      </c>
      <c r="C311" s="172">
        <v>4.0818532431212473E-2</v>
      </c>
      <c r="D311" s="172">
        <v>-0.77248383184656022</v>
      </c>
      <c r="E311" s="171">
        <f>-$L$1</f>
        <v>-1.4990492230334603E-2</v>
      </c>
      <c r="F311" s="172">
        <v>0</v>
      </c>
      <c r="G311" s="172">
        <v>0</v>
      </c>
      <c r="H311" s="178">
        <f>-$N$1</f>
        <v>-4.7716218756768064E-3</v>
      </c>
      <c r="I311" s="171">
        <v>0</v>
      </c>
      <c r="J311" s="171">
        <v>0</v>
      </c>
      <c r="L311">
        <f t="array" ref="L311:N313">SVDD(B311:J313)</f>
        <v>3.0994908474635809</v>
      </c>
      <c r="M311">
        <v>0</v>
      </c>
      <c r="N311">
        <v>0</v>
      </c>
      <c r="P311">
        <f t="shared" ref="P311" si="90">MAX(L311,M312,N313)/MIN(L311,M312,N313)</f>
        <v>4.6631085943494535</v>
      </c>
    </row>
    <row r="312" spans="1:16">
      <c r="A312" s="171" t="s">
        <v>291</v>
      </c>
      <c r="B312" s="172">
        <v>-2.44475956514645</v>
      </c>
      <c r="C312" s="172">
        <v>0.85548399177677847</v>
      </c>
      <c r="D312" s="172">
        <v>-5.2896656816179721E-2</v>
      </c>
      <c r="E312" s="171">
        <v>0</v>
      </c>
      <c r="F312" s="171">
        <f>-$L$1</f>
        <v>-1.4990492230334603E-2</v>
      </c>
      <c r="G312" s="172">
        <v>0</v>
      </c>
      <c r="H312" s="172">
        <v>0</v>
      </c>
      <c r="I312" s="178">
        <f>-$N$1</f>
        <v>-4.7716218756768064E-3</v>
      </c>
      <c r="J312" s="171">
        <v>0</v>
      </c>
      <c r="L312">
        <v>0</v>
      </c>
      <c r="M312">
        <v>1.7531352278215062</v>
      </c>
      <c r="N312">
        <v>0</v>
      </c>
    </row>
    <row r="313" spans="1:16">
      <c r="A313" s="171"/>
      <c r="B313" s="172">
        <v>-0.45824053226673911</v>
      </c>
      <c r="C313" s="172">
        <v>2.124969022302313</v>
      </c>
      <c r="D313" s="172">
        <v>-2.076961144994538E-2</v>
      </c>
      <c r="E313" s="171">
        <v>0</v>
      </c>
      <c r="F313" s="172">
        <v>0</v>
      </c>
      <c r="G313" s="171">
        <f>-$L$1</f>
        <v>-1.4990492230334603E-2</v>
      </c>
      <c r="H313" s="172">
        <v>0</v>
      </c>
      <c r="I313" s="172">
        <v>0</v>
      </c>
      <c r="J313" s="178">
        <f>-$N$1</f>
        <v>-4.7716218756768064E-3</v>
      </c>
      <c r="L313">
        <v>0</v>
      </c>
      <c r="M313">
        <v>0</v>
      </c>
      <c r="N313">
        <v>0.66468339408166588</v>
      </c>
    </row>
    <row r="314" spans="1:16">
      <c r="A314" s="171"/>
      <c r="B314" s="172"/>
      <c r="C314" s="172"/>
      <c r="D314" s="172"/>
      <c r="E314" s="171"/>
      <c r="F314" s="171"/>
      <c r="G314" s="171"/>
      <c r="H314" s="171"/>
      <c r="I314" s="171"/>
      <c r="J314" s="171"/>
    </row>
    <row r="315" spans="1:16">
      <c r="A315" s="171"/>
      <c r="B315" s="172">
        <v>-1.0419123890112216</v>
      </c>
      <c r="C315" s="172">
        <v>4.0818532431212473E-2</v>
      </c>
      <c r="D315" s="172">
        <v>-0.77248383184656022</v>
      </c>
      <c r="E315" s="171">
        <f>-$L$1</f>
        <v>-1.4990492230334603E-2</v>
      </c>
      <c r="F315" s="172">
        <v>0</v>
      </c>
      <c r="G315" s="172">
        <v>0</v>
      </c>
      <c r="H315" s="178">
        <f>-$N$1</f>
        <v>-4.7716218756768064E-3</v>
      </c>
      <c r="I315" s="171">
        <v>0</v>
      </c>
      <c r="J315" s="171">
        <v>0</v>
      </c>
      <c r="L315">
        <f t="array" ref="L315:N317">SVDD(B315:J317)</f>
        <v>3.5580280881221396</v>
      </c>
      <c r="M315">
        <v>0</v>
      </c>
      <c r="N315">
        <v>0</v>
      </c>
      <c r="P315">
        <f t="shared" ref="P315" si="91">MAX(L315,M316,N317)/MIN(L315,M316,N317)</f>
        <v>4.8000748820898664</v>
      </c>
    </row>
    <row r="316" spans="1:16">
      <c r="A316" s="171" t="s">
        <v>292</v>
      </c>
      <c r="B316" s="172">
        <v>-2.44475956514645</v>
      </c>
      <c r="C316" s="172">
        <v>0.85548399177677847</v>
      </c>
      <c r="D316" s="172">
        <v>-5.2896656816179721E-2</v>
      </c>
      <c r="E316" s="171">
        <v>0</v>
      </c>
      <c r="F316" s="171">
        <f>-$L$1</f>
        <v>-1.4990492230334603E-2</v>
      </c>
      <c r="G316" s="172">
        <v>0</v>
      </c>
      <c r="H316" s="172">
        <v>0</v>
      </c>
      <c r="I316" s="178">
        <f>-$N$1</f>
        <v>-4.7716218756768064E-3</v>
      </c>
      <c r="J316" s="171">
        <v>0</v>
      </c>
      <c r="L316">
        <v>0</v>
      </c>
      <c r="M316">
        <v>1.6202941652286931</v>
      </c>
      <c r="N316">
        <v>0</v>
      </c>
    </row>
    <row r="317" spans="1:16">
      <c r="A317" s="171"/>
      <c r="B317" s="172">
        <v>-1.0673702345396179</v>
      </c>
      <c r="C317" s="172">
        <v>2.4075843796929846</v>
      </c>
      <c r="D317" s="172">
        <v>-0.708799578341892</v>
      </c>
      <c r="E317" s="171">
        <v>0</v>
      </c>
      <c r="F317" s="172">
        <v>0</v>
      </c>
      <c r="G317" s="171">
        <f>-$L$1</f>
        <v>-1.4990492230334603E-2</v>
      </c>
      <c r="H317" s="172">
        <v>0</v>
      </c>
      <c r="I317" s="172">
        <v>0</v>
      </c>
      <c r="J317" s="178">
        <f>-$N$1</f>
        <v>-4.7716218756768064E-3</v>
      </c>
      <c r="L317">
        <v>0</v>
      </c>
      <c r="M317">
        <v>0</v>
      </c>
      <c r="N317">
        <v>0.74124428795849073</v>
      </c>
    </row>
    <row r="318" spans="1:16">
      <c r="A318" s="171"/>
      <c r="B318" s="172"/>
      <c r="C318" s="172"/>
      <c r="D318" s="172"/>
      <c r="E318" s="171"/>
      <c r="F318" s="171"/>
      <c r="G318" s="171"/>
      <c r="H318" s="171"/>
      <c r="I318" s="171"/>
      <c r="J318" s="171"/>
    </row>
    <row r="319" spans="1:16">
      <c r="A319" s="171"/>
      <c r="B319" s="172">
        <v>-1.0419123890112216</v>
      </c>
      <c r="C319" s="172">
        <v>4.0818532431212473E-2</v>
      </c>
      <c r="D319" s="172">
        <v>-0.77248383184656022</v>
      </c>
      <c r="E319" s="171">
        <f>-$L$1</f>
        <v>-1.4990492230334603E-2</v>
      </c>
      <c r="F319" s="172">
        <v>0</v>
      </c>
      <c r="G319" s="172">
        <v>0</v>
      </c>
      <c r="H319" s="178">
        <f>-$N$1</f>
        <v>-4.7716218756768064E-3</v>
      </c>
      <c r="I319" s="171">
        <v>0</v>
      </c>
      <c r="J319" s="171">
        <v>0</v>
      </c>
      <c r="L319">
        <f t="array" ref="L319:N321">SVDD(B319:J321)</f>
        <v>3.1226401642707811</v>
      </c>
      <c r="M319">
        <v>0</v>
      </c>
      <c r="N319">
        <v>0</v>
      </c>
      <c r="P319">
        <f t="shared" ref="P319" si="92">MAX(L319,M320,N321)/MIN(L319,M320,N321)</f>
        <v>5.4675335053292873</v>
      </c>
    </row>
    <row r="320" spans="1:16">
      <c r="A320" s="171" t="s">
        <v>293</v>
      </c>
      <c r="B320" s="172">
        <v>0.40019020491700363</v>
      </c>
      <c r="C320" s="172">
        <v>1.0840062473010013</v>
      </c>
      <c r="D320" s="172">
        <v>1.6840506224230944E-2</v>
      </c>
      <c r="E320" s="171">
        <v>0</v>
      </c>
      <c r="F320" s="171">
        <f>-$L$1</f>
        <v>-1.4990492230334603E-2</v>
      </c>
      <c r="G320" s="172">
        <v>0</v>
      </c>
      <c r="H320" s="172">
        <v>0</v>
      </c>
      <c r="I320" s="178">
        <f>-$N$1</f>
        <v>-4.7716218756768064E-3</v>
      </c>
      <c r="J320" s="171">
        <v>0</v>
      </c>
      <c r="L320">
        <v>0</v>
      </c>
      <c r="M320">
        <v>1.3637258217990817</v>
      </c>
      <c r="N320">
        <v>0</v>
      </c>
    </row>
    <row r="321" spans="1:16">
      <c r="A321" s="171"/>
      <c r="B321" s="172">
        <v>-2.0770709056556562</v>
      </c>
      <c r="C321" s="172">
        <v>2.1445635165533226</v>
      </c>
      <c r="D321" s="172">
        <v>5.6653180844775664E-2</v>
      </c>
      <c r="E321" s="171">
        <v>0</v>
      </c>
      <c r="F321" s="172">
        <v>0</v>
      </c>
      <c r="G321" s="171">
        <f>-$L$1</f>
        <v>-1.4990492230334603E-2</v>
      </c>
      <c r="H321" s="172">
        <v>0</v>
      </c>
      <c r="I321" s="172">
        <v>0</v>
      </c>
      <c r="J321" s="178">
        <f>-$N$1</f>
        <v>-4.7716218756768064E-3</v>
      </c>
      <c r="L321">
        <v>0</v>
      </c>
      <c r="M321">
        <v>0</v>
      </c>
      <c r="N321">
        <v>0.57112410216180598</v>
      </c>
    </row>
    <row r="322" spans="1:16">
      <c r="A322" s="171"/>
      <c r="B322" s="172"/>
      <c r="C322" s="172"/>
      <c r="D322" s="172"/>
      <c r="E322" s="171"/>
      <c r="F322" s="171"/>
      <c r="G322" s="171"/>
      <c r="H322" s="171"/>
      <c r="I322" s="171"/>
      <c r="J322" s="171"/>
    </row>
    <row r="323" spans="1:16">
      <c r="A323" s="171"/>
      <c r="B323" s="172">
        <v>-1.0419123890112216</v>
      </c>
      <c r="C323" s="172">
        <v>4.0818532431212473E-2</v>
      </c>
      <c r="D323" s="172">
        <v>-0.77248383184656022</v>
      </c>
      <c r="E323" s="171">
        <f>-$L$1</f>
        <v>-1.4990492230334603E-2</v>
      </c>
      <c r="F323" s="172">
        <v>0</v>
      </c>
      <c r="G323" s="172">
        <v>0</v>
      </c>
      <c r="H323" s="178">
        <f>-$N$1</f>
        <v>-4.7716218756768064E-3</v>
      </c>
      <c r="I323" s="171">
        <v>0</v>
      </c>
      <c r="J323" s="171">
        <v>0</v>
      </c>
      <c r="L323">
        <f t="array" ref="L323:N325">SVDD(B323:J325)</f>
        <v>2.4034610635123976</v>
      </c>
      <c r="M323">
        <v>0</v>
      </c>
      <c r="N323">
        <v>0</v>
      </c>
      <c r="P323">
        <f t="shared" ref="P323" si="93">MAX(L323,M324,N325)/MIN(L323,M324,N325)</f>
        <v>8.0731436876378737</v>
      </c>
    </row>
    <row r="324" spans="1:16">
      <c r="A324" s="171" t="s">
        <v>294</v>
      </c>
      <c r="B324" s="172">
        <v>0.40019020491700363</v>
      </c>
      <c r="C324" s="172">
        <v>1.0840062473010013</v>
      </c>
      <c r="D324" s="172">
        <v>1.6840506224230944E-2</v>
      </c>
      <c r="E324" s="171">
        <v>0</v>
      </c>
      <c r="F324" s="171">
        <f>-$L$1</f>
        <v>-1.4990492230334603E-2</v>
      </c>
      <c r="G324" s="172">
        <v>0</v>
      </c>
      <c r="H324" s="172">
        <v>0</v>
      </c>
      <c r="I324" s="178">
        <f>-$N$1</f>
        <v>-4.7716218756768064E-3</v>
      </c>
      <c r="J324" s="171">
        <v>0</v>
      </c>
      <c r="L324">
        <v>0</v>
      </c>
      <c r="M324">
        <v>1.3714514295646614</v>
      </c>
      <c r="N324">
        <v>0</v>
      </c>
    </row>
    <row r="325" spans="1:16">
      <c r="A325" s="171"/>
      <c r="B325" s="172">
        <v>-0.45824053226673911</v>
      </c>
      <c r="C325" s="172">
        <v>2.124969022302313</v>
      </c>
      <c r="D325" s="172">
        <v>-2.076961144994538E-2</v>
      </c>
      <c r="E325" s="171">
        <v>0</v>
      </c>
      <c r="F325" s="172">
        <v>0</v>
      </c>
      <c r="G325" s="171">
        <f>-$L$1</f>
        <v>-1.4990492230334603E-2</v>
      </c>
      <c r="H325" s="172">
        <v>0</v>
      </c>
      <c r="I325" s="172">
        <v>0</v>
      </c>
      <c r="J325" s="178">
        <f>-$N$1</f>
        <v>-4.7716218756768064E-3</v>
      </c>
      <c r="L325">
        <v>0</v>
      </c>
      <c r="M325">
        <v>0</v>
      </c>
      <c r="N325">
        <v>0.29771067585390987</v>
      </c>
    </row>
    <row r="326" spans="1:16">
      <c r="A326" s="171"/>
      <c r="B326" s="172"/>
      <c r="C326" s="172"/>
      <c r="D326" s="172"/>
      <c r="E326" s="171"/>
      <c r="F326" s="171"/>
      <c r="G326" s="171"/>
      <c r="H326" s="171"/>
      <c r="I326" s="171"/>
      <c r="J326" s="171"/>
    </row>
    <row r="327" spans="1:16">
      <c r="A327" s="171"/>
      <c r="B327" s="172">
        <v>-1.0419123890112216</v>
      </c>
      <c r="C327" s="172">
        <v>4.0818532431212473E-2</v>
      </c>
      <c r="D327" s="172">
        <v>-0.77248383184656022</v>
      </c>
      <c r="E327" s="171">
        <f>-$L$1</f>
        <v>-1.4990492230334603E-2</v>
      </c>
      <c r="F327" s="172">
        <v>0</v>
      </c>
      <c r="G327" s="172">
        <v>0</v>
      </c>
      <c r="H327" s="178">
        <f>-$N$1</f>
        <v>-4.7716218756768064E-3</v>
      </c>
      <c r="I327" s="171">
        <v>0</v>
      </c>
      <c r="J327" s="171">
        <v>0</v>
      </c>
      <c r="L327">
        <f t="array" ref="L327:N329">SVDD(B327:J329)</f>
        <v>2.9143411426571837</v>
      </c>
      <c r="M327">
        <v>0</v>
      </c>
      <c r="N327">
        <v>0</v>
      </c>
      <c r="P327">
        <f t="shared" ref="P327" si="94">MAX(L327,M328,N329)/MIN(L327,M328,N329)</f>
        <v>14.980252326420555</v>
      </c>
    </row>
    <row r="328" spans="1:16">
      <c r="A328" s="171" t="s">
        <v>295</v>
      </c>
      <c r="B328" s="172">
        <v>0.40019020491700363</v>
      </c>
      <c r="C328" s="172">
        <v>1.0840062473010013</v>
      </c>
      <c r="D328" s="172">
        <v>1.6840506224230944E-2</v>
      </c>
      <c r="E328" s="171">
        <v>0</v>
      </c>
      <c r="F328" s="171">
        <f>-$L$1</f>
        <v>-1.4990492230334603E-2</v>
      </c>
      <c r="G328" s="172">
        <v>0</v>
      </c>
      <c r="H328" s="172">
        <v>0</v>
      </c>
      <c r="I328" s="178">
        <f>-$N$1</f>
        <v>-4.7716218756768064E-3</v>
      </c>
      <c r="J328" s="171">
        <v>0</v>
      </c>
      <c r="L328">
        <v>0</v>
      </c>
      <c r="M328">
        <v>1.3882121566454955</v>
      </c>
      <c r="N328">
        <v>0</v>
      </c>
    </row>
    <row r="329" spans="1:16">
      <c r="A329" s="171"/>
      <c r="B329" s="172">
        <v>-1.0673702345396179</v>
      </c>
      <c r="C329" s="172">
        <v>2.4075843796929846</v>
      </c>
      <c r="D329" s="172">
        <v>-0.708799578341892</v>
      </c>
      <c r="E329" s="171">
        <v>0</v>
      </c>
      <c r="F329" s="172">
        <v>0</v>
      </c>
      <c r="G329" s="171">
        <f>-$L$1</f>
        <v>-1.4990492230334603E-2</v>
      </c>
      <c r="H329" s="172">
        <v>0</v>
      </c>
      <c r="I329" s="172">
        <v>0</v>
      </c>
      <c r="J329" s="178">
        <f>-$N$1</f>
        <v>-4.7716218756768064E-3</v>
      </c>
      <c r="L329">
        <v>0</v>
      </c>
      <c r="M329">
        <v>0</v>
      </c>
      <c r="N329">
        <v>0.19454553095325255</v>
      </c>
    </row>
    <row r="330" spans="1:16">
      <c r="A330" s="171"/>
      <c r="B330" s="172"/>
      <c r="C330" s="172"/>
      <c r="D330" s="172"/>
      <c r="E330" s="171"/>
      <c r="F330" s="171"/>
      <c r="G330" s="171"/>
      <c r="H330" s="171"/>
      <c r="I330" s="171"/>
      <c r="J330" s="171"/>
    </row>
    <row r="331" spans="1:16">
      <c r="A331" s="171"/>
      <c r="B331" s="172">
        <v>-1.0419123890112216</v>
      </c>
      <c r="C331" s="172">
        <v>4.0818532431212473E-2</v>
      </c>
      <c r="D331" s="172">
        <v>-0.77248383184656022</v>
      </c>
      <c r="E331" s="171">
        <f>-$L$1</f>
        <v>-1.4990492230334603E-2</v>
      </c>
      <c r="F331" s="172">
        <v>0</v>
      </c>
      <c r="G331" s="172">
        <v>0</v>
      </c>
      <c r="H331" s="178">
        <f>-$N$1</f>
        <v>-4.7716218756768064E-3</v>
      </c>
      <c r="I331" s="171">
        <v>0</v>
      </c>
      <c r="J331" s="171">
        <v>0</v>
      </c>
      <c r="L331">
        <f t="array" ref="L331:N333">SVDD(B331:J333)</f>
        <v>3.6220494675059896</v>
      </c>
      <c r="M331">
        <v>0</v>
      </c>
      <c r="N331">
        <v>0</v>
      </c>
      <c r="P331">
        <f t="shared" ref="P331" si="95">MAX(L331,M332,N333)/MIN(L331,M332,N333)</f>
        <v>6.3882269273436849</v>
      </c>
    </row>
    <row r="332" spans="1:16">
      <c r="A332" s="171" t="s">
        <v>296</v>
      </c>
      <c r="B332" s="172">
        <v>-2.0770709056556562</v>
      </c>
      <c r="C332" s="172">
        <v>2.1445635165533226</v>
      </c>
      <c r="D332" s="172">
        <v>5.6653180844775664E-2</v>
      </c>
      <c r="E332" s="171">
        <v>0</v>
      </c>
      <c r="F332" s="171">
        <f>-$L$1</f>
        <v>-1.4990492230334603E-2</v>
      </c>
      <c r="G332" s="172">
        <v>0</v>
      </c>
      <c r="H332" s="172">
        <v>0</v>
      </c>
      <c r="I332" s="178">
        <f>-$N$1</f>
        <v>-4.7716218756768064E-3</v>
      </c>
      <c r="J332" s="171">
        <v>0</v>
      </c>
      <c r="L332">
        <v>0</v>
      </c>
      <c r="M332">
        <v>1.3734985320363935</v>
      </c>
      <c r="N332">
        <v>0</v>
      </c>
    </row>
    <row r="333" spans="1:16">
      <c r="A333" s="171"/>
      <c r="B333" s="172">
        <v>-0.45824053226673911</v>
      </c>
      <c r="C333" s="172">
        <v>2.124969022302313</v>
      </c>
      <c r="D333" s="172">
        <v>-2.076961144994538E-2</v>
      </c>
      <c r="E333" s="171">
        <v>0</v>
      </c>
      <c r="F333" s="172">
        <v>0</v>
      </c>
      <c r="G333" s="171">
        <f>-$L$1</f>
        <v>-1.4990492230334603E-2</v>
      </c>
      <c r="H333" s="172">
        <v>0</v>
      </c>
      <c r="I333" s="172">
        <v>0</v>
      </c>
      <c r="J333" s="178">
        <f>-$N$1</f>
        <v>-4.7716218756768064E-3</v>
      </c>
      <c r="L333">
        <v>0</v>
      </c>
      <c r="M333">
        <v>0</v>
      </c>
      <c r="N333">
        <v>0.5669882282989106</v>
      </c>
    </row>
    <row r="334" spans="1:16">
      <c r="A334" s="171"/>
      <c r="B334" s="172"/>
      <c r="C334" s="172"/>
      <c r="D334" s="172"/>
      <c r="E334" s="171"/>
      <c r="F334" s="171"/>
      <c r="G334" s="171"/>
      <c r="H334" s="171"/>
      <c r="I334" s="171"/>
      <c r="J334" s="171"/>
    </row>
    <row r="335" spans="1:16">
      <c r="A335" s="171"/>
      <c r="B335" s="172">
        <v>-1.0419123890112216</v>
      </c>
      <c r="C335" s="172">
        <v>4.0818532431212473E-2</v>
      </c>
      <c r="D335" s="172">
        <v>-0.77248383184656022</v>
      </c>
      <c r="E335" s="171">
        <f>-$L$1</f>
        <v>-1.4990492230334603E-2</v>
      </c>
      <c r="F335" s="172">
        <v>0</v>
      </c>
      <c r="G335" s="172">
        <v>0</v>
      </c>
      <c r="H335" s="178">
        <f>-$N$1</f>
        <v>-4.7716218756768064E-3</v>
      </c>
      <c r="I335" s="171">
        <v>0</v>
      </c>
      <c r="J335" s="171">
        <v>0</v>
      </c>
      <c r="L335">
        <f t="array" ref="L335:N337">SVDD(B335:J337)</f>
        <v>4.0131086871071888</v>
      </c>
      <c r="M335">
        <v>0</v>
      </c>
      <c r="N335">
        <v>0</v>
      </c>
      <c r="P335">
        <f t="shared" ref="P335" si="96">MAX(L335,M336,N337)/MIN(L335,M336,N337)</f>
        <v>4.7091027641262944</v>
      </c>
    </row>
    <row r="336" spans="1:16">
      <c r="A336" s="171" t="s">
        <v>297</v>
      </c>
      <c r="B336" s="172">
        <v>-2.0770709056556562</v>
      </c>
      <c r="C336" s="172">
        <v>2.1445635165533226</v>
      </c>
      <c r="D336" s="172">
        <v>5.6653180844775664E-2</v>
      </c>
      <c r="E336" s="171">
        <v>0</v>
      </c>
      <c r="F336" s="171">
        <f>-$L$1</f>
        <v>-1.4990492230334603E-2</v>
      </c>
      <c r="G336" s="172">
        <v>0</v>
      </c>
      <c r="H336" s="172">
        <v>0</v>
      </c>
      <c r="I336" s="178">
        <f>-$N$1</f>
        <v>-4.7716218756768064E-3</v>
      </c>
      <c r="J336" s="171">
        <v>0</v>
      </c>
      <c r="L336">
        <v>0</v>
      </c>
      <c r="M336">
        <v>1.09916124488564</v>
      </c>
      <c r="N336">
        <v>0</v>
      </c>
    </row>
    <row r="337" spans="1:16">
      <c r="A337" s="171"/>
      <c r="B337" s="172">
        <v>-1.0673702345396179</v>
      </c>
      <c r="C337" s="172">
        <v>2.4075843796929846</v>
      </c>
      <c r="D337" s="172">
        <v>-0.708799578341892</v>
      </c>
      <c r="E337" s="171">
        <v>0</v>
      </c>
      <c r="F337" s="172">
        <v>0</v>
      </c>
      <c r="G337" s="171">
        <f>-$L$1</f>
        <v>-1.4990492230334603E-2</v>
      </c>
      <c r="H337" s="172">
        <v>0</v>
      </c>
      <c r="I337" s="172">
        <v>0</v>
      </c>
      <c r="J337" s="178">
        <f>-$N$1</f>
        <v>-4.7716218756768064E-3</v>
      </c>
      <c r="L337">
        <v>0</v>
      </c>
      <c r="M337">
        <v>0</v>
      </c>
      <c r="N337">
        <v>0.85220240205392139</v>
      </c>
    </row>
    <row r="338" spans="1:16">
      <c r="A338" s="171"/>
      <c r="B338" s="172"/>
      <c r="C338" s="172"/>
      <c r="D338" s="172"/>
      <c r="E338" s="171"/>
      <c r="F338" s="171"/>
      <c r="G338" s="171"/>
      <c r="H338" s="171"/>
      <c r="I338" s="171"/>
      <c r="J338" s="171"/>
    </row>
    <row r="339" spans="1:16">
      <c r="A339" s="171"/>
      <c r="B339" s="172">
        <v>-1.0419123890112216</v>
      </c>
      <c r="C339" s="172">
        <v>4.0818532431212473E-2</v>
      </c>
      <c r="D339" s="172">
        <v>-0.77248383184656022</v>
      </c>
      <c r="E339" s="171">
        <f>-$L$1</f>
        <v>-1.4990492230334603E-2</v>
      </c>
      <c r="F339" s="172">
        <v>0</v>
      </c>
      <c r="G339" s="172">
        <v>0</v>
      </c>
      <c r="H339" s="178">
        <f>-$N$1</f>
        <v>-4.7716218756768064E-3</v>
      </c>
      <c r="I339" s="171">
        <v>0</v>
      </c>
      <c r="J339" s="171">
        <v>0</v>
      </c>
      <c r="L339">
        <f t="array" ref="L339:N341">SVDD(B339:J341)</f>
        <v>3.4862022637317938</v>
      </c>
      <c r="M339">
        <v>0</v>
      </c>
      <c r="N339">
        <v>0</v>
      </c>
      <c r="P339">
        <f t="shared" ref="P339" si="97">MAX(L339,M340,N341)/MIN(L339,M340,N341)</f>
        <v>25.834490364680985</v>
      </c>
    </row>
    <row r="340" spans="1:16">
      <c r="A340" s="171" t="s">
        <v>298</v>
      </c>
      <c r="B340" s="172">
        <v>-0.45824053226673911</v>
      </c>
      <c r="C340" s="172">
        <v>2.124969022302313</v>
      </c>
      <c r="D340" s="172">
        <v>-2.076961144994538E-2</v>
      </c>
      <c r="E340" s="171">
        <v>0</v>
      </c>
      <c r="F340" s="171">
        <f>-$L$1</f>
        <v>-1.4990492230334603E-2</v>
      </c>
      <c r="G340" s="172">
        <v>0</v>
      </c>
      <c r="H340" s="172">
        <v>0</v>
      </c>
      <c r="I340" s="178">
        <f>-$N$1</f>
        <v>-4.7716218756768064E-3</v>
      </c>
      <c r="J340" s="171">
        <v>0</v>
      </c>
      <c r="L340">
        <v>0</v>
      </c>
      <c r="M340">
        <v>1.2949721930213134</v>
      </c>
      <c r="N340">
        <v>0</v>
      </c>
    </row>
    <row r="341" spans="1:16">
      <c r="A341" s="171"/>
      <c r="B341" s="172">
        <v>-1.0673702345396179</v>
      </c>
      <c r="C341" s="172">
        <v>2.4075843796929846</v>
      </c>
      <c r="D341" s="172">
        <v>-0.708799578341892</v>
      </c>
      <c r="E341" s="171">
        <v>0</v>
      </c>
      <c r="F341" s="172">
        <v>0</v>
      </c>
      <c r="G341" s="171">
        <f>-$L$1</f>
        <v>-1.4990492230334603E-2</v>
      </c>
      <c r="H341" s="172">
        <v>0</v>
      </c>
      <c r="I341" s="172">
        <v>0</v>
      </c>
      <c r="J341" s="178">
        <f>-$N$1</f>
        <v>-4.7716218756768064E-3</v>
      </c>
      <c r="L341">
        <v>0</v>
      </c>
      <c r="M341">
        <v>0</v>
      </c>
      <c r="N341">
        <v>0.13494372114643582</v>
      </c>
    </row>
    <row r="342" spans="1:16">
      <c r="A342" s="171"/>
      <c r="B342" s="172"/>
      <c r="C342" s="172"/>
      <c r="D342" s="172"/>
      <c r="E342" s="171"/>
      <c r="F342" s="171"/>
      <c r="G342" s="171"/>
      <c r="H342" s="171"/>
      <c r="I342" s="171"/>
      <c r="J342" s="171"/>
    </row>
    <row r="343" spans="1:16">
      <c r="A343" s="171"/>
      <c r="B343" s="172">
        <v>-2.2957880185781296</v>
      </c>
      <c r="C343" s="172">
        <v>8.2263663034425338E-3</v>
      </c>
      <c r="D343" s="172">
        <v>-3.3137218009327896E-2</v>
      </c>
      <c r="E343" s="171">
        <f>-$L$1</f>
        <v>-1.4990492230334603E-2</v>
      </c>
      <c r="F343" s="172">
        <v>0</v>
      </c>
      <c r="G343" s="172">
        <v>0</v>
      </c>
      <c r="H343" s="178">
        <f>-$N$1</f>
        <v>-4.7716218756768064E-3</v>
      </c>
      <c r="I343" s="171">
        <v>0</v>
      </c>
      <c r="J343" s="171">
        <v>0</v>
      </c>
      <c r="L343">
        <f t="array" ref="L343:N345">SVDD(B343:J345)</f>
        <v>3.420374951534539</v>
      </c>
      <c r="M343">
        <v>0</v>
      </c>
      <c r="N343">
        <v>0</v>
      </c>
      <c r="P343">
        <f t="shared" ref="P343" si="98">MAX(L343,M344,N345)/MIN(L343,M344,N345)</f>
        <v>157.25101650189873</v>
      </c>
    </row>
    <row r="344" spans="1:16">
      <c r="A344" s="171" t="s">
        <v>299</v>
      </c>
      <c r="B344" s="172">
        <v>-2.44475956514645</v>
      </c>
      <c r="C344" s="172">
        <v>0.85548399177677847</v>
      </c>
      <c r="D344" s="172">
        <v>-5.2896656816179721E-2</v>
      </c>
      <c r="E344" s="171">
        <v>0</v>
      </c>
      <c r="F344" s="171">
        <f>-$L$1</f>
        <v>-1.4990492230334603E-2</v>
      </c>
      <c r="G344" s="172">
        <v>0</v>
      </c>
      <c r="H344" s="172">
        <v>0</v>
      </c>
      <c r="I344" s="178">
        <f>-$N$1</f>
        <v>-4.7716218756768064E-3</v>
      </c>
      <c r="J344" s="171">
        <v>0</v>
      </c>
      <c r="L344">
        <v>0</v>
      </c>
      <c r="M344">
        <v>1.2728387571696227</v>
      </c>
      <c r="N344">
        <v>0</v>
      </c>
    </row>
    <row r="345" spans="1:16">
      <c r="A345" s="171"/>
      <c r="B345" s="172">
        <v>0.40019020491700363</v>
      </c>
      <c r="C345" s="172">
        <v>1.0840062473010013</v>
      </c>
      <c r="D345" s="172">
        <v>1.6840506224230944E-2</v>
      </c>
      <c r="E345" s="171">
        <v>0</v>
      </c>
      <c r="F345" s="172">
        <v>0</v>
      </c>
      <c r="G345" s="171">
        <f>-$L$1</f>
        <v>-1.4990492230334603E-2</v>
      </c>
      <c r="H345" s="172">
        <v>0</v>
      </c>
      <c r="I345" s="172">
        <v>0</v>
      </c>
      <c r="J345" s="178">
        <f>-$N$1</f>
        <v>-4.7716218756768064E-3</v>
      </c>
      <c r="L345">
        <v>0</v>
      </c>
      <c r="M345">
        <v>0</v>
      </c>
      <c r="N345">
        <v>2.1751051456594176E-2</v>
      </c>
    </row>
    <row r="346" spans="1:16">
      <c r="A346" s="171"/>
      <c r="B346" s="172"/>
      <c r="C346" s="172"/>
      <c r="D346" s="172"/>
      <c r="E346" s="171"/>
      <c r="F346" s="171"/>
      <c r="G346" s="171"/>
      <c r="H346" s="171"/>
      <c r="I346" s="171"/>
      <c r="J346" s="171"/>
    </row>
    <row r="347" spans="1:16">
      <c r="A347" s="171"/>
      <c r="B347" s="172">
        <v>-2.2957880185781296</v>
      </c>
      <c r="C347" s="172">
        <v>8.2263663034425338E-3</v>
      </c>
      <c r="D347" s="172">
        <v>-3.3137218009327896E-2</v>
      </c>
      <c r="E347" s="171">
        <f>-$L$1</f>
        <v>-1.4990492230334603E-2</v>
      </c>
      <c r="F347" s="172">
        <v>0</v>
      </c>
      <c r="G347" s="172">
        <v>0</v>
      </c>
      <c r="H347" s="178">
        <f>-$N$1</f>
        <v>-4.7716218756768064E-3</v>
      </c>
      <c r="I347" s="171">
        <v>0</v>
      </c>
      <c r="J347" s="171">
        <v>0</v>
      </c>
      <c r="L347">
        <f t="array" ref="L347:N349">SVDD(B347:J349)</f>
        <v>4.3323386372092978</v>
      </c>
      <c r="M347">
        <v>0</v>
      </c>
      <c r="N347">
        <v>0</v>
      </c>
      <c r="P347">
        <f t="shared" ref="P347" si="99">MAX(L347,M348,N349)/MIN(L347,M348,N349)</f>
        <v>100.13119378837854</v>
      </c>
    </row>
    <row r="348" spans="1:16">
      <c r="A348" s="171" t="s">
        <v>300</v>
      </c>
      <c r="B348" s="172">
        <v>-2.44475956514645</v>
      </c>
      <c r="C348" s="172">
        <v>0.85548399177677847</v>
      </c>
      <c r="D348" s="172">
        <v>-5.2896656816179721E-2</v>
      </c>
      <c r="E348" s="171">
        <v>0</v>
      </c>
      <c r="F348" s="171">
        <f>-$L$1</f>
        <v>-1.4990492230334603E-2</v>
      </c>
      <c r="G348" s="172">
        <v>0</v>
      </c>
      <c r="H348" s="172">
        <v>0</v>
      </c>
      <c r="I348" s="178">
        <f>-$N$1</f>
        <v>-4.7716218756768064E-3</v>
      </c>
      <c r="J348" s="171">
        <v>0</v>
      </c>
      <c r="L348">
        <v>0</v>
      </c>
      <c r="M348">
        <v>1.4593172412251829</v>
      </c>
      <c r="N348">
        <v>0</v>
      </c>
    </row>
    <row r="349" spans="1:16">
      <c r="A349" s="171"/>
      <c r="B349" s="172">
        <v>-2.0770709056556562</v>
      </c>
      <c r="C349" s="172">
        <v>2.1445635165533226</v>
      </c>
      <c r="D349" s="172">
        <v>5.6653180844775664E-2</v>
      </c>
      <c r="E349" s="171">
        <v>0</v>
      </c>
      <c r="F349" s="172">
        <v>0</v>
      </c>
      <c r="G349" s="171">
        <f>-$L$1</f>
        <v>-1.4990492230334603E-2</v>
      </c>
      <c r="H349" s="172">
        <v>0</v>
      </c>
      <c r="I349" s="172">
        <v>0</v>
      </c>
      <c r="J349" s="178">
        <f>-$N$1</f>
        <v>-4.7716218756768064E-3</v>
      </c>
      <c r="L349">
        <v>0</v>
      </c>
      <c r="M349">
        <v>0</v>
      </c>
      <c r="N349">
        <v>4.32666232499479E-2</v>
      </c>
    </row>
    <row r="350" spans="1:16">
      <c r="A350" s="171"/>
      <c r="B350" s="172"/>
      <c r="C350" s="172"/>
      <c r="D350" s="172"/>
      <c r="E350" s="171"/>
      <c r="F350" s="171"/>
      <c r="G350" s="171"/>
      <c r="H350" s="171"/>
      <c r="I350" s="171"/>
      <c r="J350" s="171"/>
    </row>
    <row r="351" spans="1:16">
      <c r="A351" s="171"/>
      <c r="B351" s="172">
        <v>-2.2957880185781296</v>
      </c>
      <c r="C351" s="172">
        <v>8.2263663034425338E-3</v>
      </c>
      <c r="D351" s="172">
        <v>-3.3137218009327896E-2</v>
      </c>
      <c r="E351" s="171">
        <f>-$L$1</f>
        <v>-1.4990492230334603E-2</v>
      </c>
      <c r="F351" s="172">
        <v>0</v>
      </c>
      <c r="G351" s="172">
        <v>0</v>
      </c>
      <c r="H351" s="178">
        <f>-$N$1</f>
        <v>-4.7716218756768064E-3</v>
      </c>
      <c r="I351" s="171">
        <v>0</v>
      </c>
      <c r="J351" s="171">
        <v>0</v>
      </c>
      <c r="L351">
        <f t="array" ref="L351:N353">SVDD(B351:J353)</f>
        <v>3.568381175556731</v>
      </c>
      <c r="M351">
        <v>0</v>
      </c>
      <c r="N351">
        <v>0</v>
      </c>
      <c r="P351">
        <f t="shared" ref="P351" si="100">MAX(L351,M352,N353)/MIN(L351,M352,N353)</f>
        <v>201.16039850027767</v>
      </c>
    </row>
    <row r="352" spans="1:16">
      <c r="A352" s="171" t="s">
        <v>301</v>
      </c>
      <c r="B352" s="172">
        <v>-2.44475956514645</v>
      </c>
      <c r="C352" s="172">
        <v>0.85548399177677847</v>
      </c>
      <c r="D352" s="172">
        <v>-5.2896656816179721E-2</v>
      </c>
      <c r="E352" s="171">
        <v>0</v>
      </c>
      <c r="F352" s="171">
        <f>-$L$1</f>
        <v>-1.4990492230334603E-2</v>
      </c>
      <c r="G352" s="172">
        <v>0</v>
      </c>
      <c r="H352" s="172">
        <v>0</v>
      </c>
      <c r="I352" s="178">
        <f>-$N$1</f>
        <v>-4.7716218756768064E-3</v>
      </c>
      <c r="J352" s="171">
        <v>0</v>
      </c>
      <c r="L352">
        <v>0</v>
      </c>
      <c r="M352">
        <v>1.9940665220620875</v>
      </c>
      <c r="N352">
        <v>0</v>
      </c>
    </row>
    <row r="353" spans="1:16">
      <c r="A353" s="171"/>
      <c r="B353" s="172">
        <v>-0.45824053226673911</v>
      </c>
      <c r="C353" s="172">
        <v>2.124969022302313</v>
      </c>
      <c r="D353" s="172">
        <v>-2.076961144994538E-2</v>
      </c>
      <c r="E353" s="171">
        <v>0</v>
      </c>
      <c r="F353" s="172">
        <v>0</v>
      </c>
      <c r="G353" s="171">
        <f>-$L$1</f>
        <v>-1.4990492230334603E-2</v>
      </c>
      <c r="H353" s="172">
        <v>0</v>
      </c>
      <c r="I353" s="172">
        <v>0</v>
      </c>
      <c r="J353" s="178">
        <f>-$N$1</f>
        <v>-4.7716218756768064E-3</v>
      </c>
      <c r="L353">
        <v>0</v>
      </c>
      <c r="M353">
        <v>0</v>
      </c>
      <c r="N353">
        <v>1.7738984423178131E-2</v>
      </c>
    </row>
    <row r="354" spans="1:16">
      <c r="A354" s="171"/>
      <c r="B354" s="172"/>
      <c r="C354" s="172"/>
      <c r="D354" s="172"/>
      <c r="E354" s="171"/>
      <c r="F354" s="171"/>
      <c r="G354" s="171"/>
      <c r="H354" s="171"/>
      <c r="I354" s="171"/>
      <c r="J354" s="171"/>
    </row>
    <row r="355" spans="1:16">
      <c r="A355" s="171"/>
      <c r="B355" s="172">
        <v>-2.2957880185781296</v>
      </c>
      <c r="C355" s="172">
        <v>8.2263663034425338E-3</v>
      </c>
      <c r="D355" s="172">
        <v>-3.3137218009327896E-2</v>
      </c>
      <c r="E355" s="171">
        <f>-$L$1</f>
        <v>-1.4990492230334603E-2</v>
      </c>
      <c r="F355" s="172">
        <v>0</v>
      </c>
      <c r="G355" s="172">
        <v>0</v>
      </c>
      <c r="H355" s="178">
        <f>-$N$1</f>
        <v>-4.7716218756768064E-3</v>
      </c>
      <c r="I355" s="171">
        <v>0</v>
      </c>
      <c r="J355" s="171">
        <v>0</v>
      </c>
      <c r="L355">
        <f t="array" ref="L355:N357">SVDD(B355:J357)</f>
        <v>3.8955324284329831</v>
      </c>
      <c r="M355">
        <v>0</v>
      </c>
      <c r="N355">
        <v>0</v>
      </c>
      <c r="P355">
        <f t="shared" ref="P355" si="101">MAX(L355,M356,N357)/MIN(L355,M356,N357)</f>
        <v>24.805518369711482</v>
      </c>
    </row>
    <row r="356" spans="1:16">
      <c r="A356" s="171" t="s">
        <v>302</v>
      </c>
      <c r="B356" s="172">
        <v>-2.44475956514645</v>
      </c>
      <c r="C356" s="172">
        <v>0.85548399177677847</v>
      </c>
      <c r="D356" s="172">
        <v>-5.2896656816179721E-2</v>
      </c>
      <c r="E356" s="171">
        <v>0</v>
      </c>
      <c r="F356" s="171">
        <f>-$L$1</f>
        <v>-1.4990492230334603E-2</v>
      </c>
      <c r="G356" s="172">
        <v>0</v>
      </c>
      <c r="H356" s="172">
        <v>0</v>
      </c>
      <c r="I356" s="178">
        <f>-$N$1</f>
        <v>-4.7716218756768064E-3</v>
      </c>
      <c r="J356" s="171">
        <v>0</v>
      </c>
      <c r="L356">
        <v>0</v>
      </c>
      <c r="M356">
        <v>2.054836801304238</v>
      </c>
      <c r="N356">
        <v>0</v>
      </c>
    </row>
    <row r="357" spans="1:16">
      <c r="A357" s="171"/>
      <c r="B357" s="172">
        <v>-1.0673702345396179</v>
      </c>
      <c r="C357" s="172">
        <v>2.4075843796929846</v>
      </c>
      <c r="D357" s="172">
        <v>-0.708799578341892</v>
      </c>
      <c r="E357" s="171">
        <v>0</v>
      </c>
      <c r="F357" s="172">
        <v>0</v>
      </c>
      <c r="G357" s="171">
        <f>-$L$1</f>
        <v>-1.4990492230334603E-2</v>
      </c>
      <c r="H357" s="172">
        <v>0</v>
      </c>
      <c r="I357" s="172">
        <v>0</v>
      </c>
      <c r="J357" s="178">
        <f>-$N$1</f>
        <v>-4.7716218756768064E-3</v>
      </c>
      <c r="L357">
        <v>0</v>
      </c>
      <c r="M357">
        <v>0</v>
      </c>
      <c r="N357">
        <v>0.15704297609799528</v>
      </c>
    </row>
    <row r="358" spans="1:16">
      <c r="A358" s="171"/>
      <c r="B358" s="172"/>
      <c r="C358" s="172"/>
      <c r="D358" s="172"/>
      <c r="E358" s="171"/>
      <c r="F358" s="171"/>
      <c r="G358" s="171"/>
      <c r="H358" s="171"/>
      <c r="I358" s="171"/>
      <c r="J358" s="171"/>
    </row>
    <row r="359" spans="1:16">
      <c r="A359" s="171"/>
      <c r="B359" s="172">
        <v>-2.2957880185781296</v>
      </c>
      <c r="C359" s="172">
        <v>8.2263663034425338E-3</v>
      </c>
      <c r="D359" s="172">
        <v>-3.3137218009327896E-2</v>
      </c>
      <c r="E359" s="171">
        <f>-$L$1</f>
        <v>-1.4990492230334603E-2</v>
      </c>
      <c r="F359" s="172">
        <v>0</v>
      </c>
      <c r="G359" s="172">
        <v>0</v>
      </c>
      <c r="H359" s="178">
        <f>-$N$1</f>
        <v>-4.7716218756768064E-3</v>
      </c>
      <c r="I359" s="171">
        <v>0</v>
      </c>
      <c r="J359" s="171">
        <v>0</v>
      </c>
      <c r="L359">
        <f t="array" ref="L359:N361">SVDD(B359:J361)</f>
        <v>3.5016834961562058</v>
      </c>
      <c r="M359">
        <v>0</v>
      </c>
      <c r="N359">
        <v>0</v>
      </c>
      <c r="P359">
        <f t="shared" ref="P359" si="102">MAX(L359,M360,N361)/MIN(L359,M360,N361)</f>
        <v>116.69327450544299</v>
      </c>
    </row>
    <row r="360" spans="1:16">
      <c r="A360" s="171" t="s">
        <v>303</v>
      </c>
      <c r="B360" s="172">
        <v>0.40019020491700363</v>
      </c>
      <c r="C360" s="172">
        <v>1.0840062473010013</v>
      </c>
      <c r="D360" s="172">
        <v>1.6840506224230944E-2</v>
      </c>
      <c r="E360" s="171">
        <v>0</v>
      </c>
      <c r="F360" s="171">
        <f>-$L$1</f>
        <v>-1.4990492230334603E-2</v>
      </c>
      <c r="G360" s="172">
        <v>0</v>
      </c>
      <c r="H360" s="172">
        <v>0</v>
      </c>
      <c r="I360" s="178">
        <f>-$N$1</f>
        <v>-4.7716218756768064E-3</v>
      </c>
      <c r="J360" s="171">
        <v>0</v>
      </c>
      <c r="L360">
        <v>0</v>
      </c>
      <c r="M360">
        <v>1.8060880973204922</v>
      </c>
      <c r="N360">
        <v>0</v>
      </c>
    </row>
    <row r="361" spans="1:16">
      <c r="A361" s="171"/>
      <c r="B361" s="172">
        <v>-2.0770709056556562</v>
      </c>
      <c r="C361" s="172">
        <v>2.1445635165533226</v>
      </c>
      <c r="D361" s="172">
        <v>5.6653180844775664E-2</v>
      </c>
      <c r="E361" s="171">
        <v>0</v>
      </c>
      <c r="F361" s="172">
        <v>0</v>
      </c>
      <c r="G361" s="171">
        <f>-$L$1</f>
        <v>-1.4990492230334603E-2</v>
      </c>
      <c r="H361" s="172">
        <v>0</v>
      </c>
      <c r="I361" s="172">
        <v>0</v>
      </c>
      <c r="J361" s="178">
        <f>-$N$1</f>
        <v>-4.7716218756768064E-3</v>
      </c>
      <c r="L361">
        <v>0</v>
      </c>
      <c r="M361">
        <v>0</v>
      </c>
      <c r="N361">
        <v>3.0007586221199704E-2</v>
      </c>
    </row>
    <row r="362" spans="1:16">
      <c r="A362" s="171"/>
      <c r="B362" s="172"/>
      <c r="C362" s="172"/>
      <c r="D362" s="172"/>
      <c r="E362" s="171"/>
      <c r="F362" s="171"/>
      <c r="G362" s="171"/>
      <c r="H362" s="171"/>
      <c r="I362" s="171"/>
      <c r="J362" s="171"/>
    </row>
    <row r="363" spans="1:16">
      <c r="A363" s="171"/>
      <c r="B363" s="172">
        <v>-2.2957880185781296</v>
      </c>
      <c r="C363" s="172">
        <v>8.2263663034425338E-3</v>
      </c>
      <c r="D363" s="172">
        <v>-3.3137218009327896E-2</v>
      </c>
      <c r="E363" s="171">
        <f>-$L$1</f>
        <v>-1.4990492230334603E-2</v>
      </c>
      <c r="F363" s="172">
        <v>0</v>
      </c>
      <c r="G363" s="172">
        <v>0</v>
      </c>
      <c r="H363" s="178">
        <f>-$N$1</f>
        <v>-4.7716218756768064E-3</v>
      </c>
      <c r="I363" s="171">
        <v>0</v>
      </c>
      <c r="J363" s="171">
        <v>0</v>
      </c>
      <c r="L363">
        <f t="array" ref="L363:N365">SVDD(B363:J365)</f>
        <v>2.4952819224534517</v>
      </c>
      <c r="M363">
        <v>0</v>
      </c>
      <c r="N363">
        <v>0</v>
      </c>
      <c r="P363">
        <f t="shared" ref="P363" si="103">MAX(L363,M364,N365)/MIN(L363,M364,N365)</f>
        <v>111.84136912464257</v>
      </c>
    </row>
    <row r="364" spans="1:16">
      <c r="A364" s="171" t="s">
        <v>304</v>
      </c>
      <c r="B364" s="172">
        <v>0.40019020491700363</v>
      </c>
      <c r="C364" s="172">
        <v>1.0840062473010013</v>
      </c>
      <c r="D364" s="172">
        <v>1.6840506224230944E-2</v>
      </c>
      <c r="E364" s="171">
        <v>0</v>
      </c>
      <c r="F364" s="171">
        <f>-$L$1</f>
        <v>-1.4990492230334603E-2</v>
      </c>
      <c r="G364" s="172">
        <v>0</v>
      </c>
      <c r="H364" s="172">
        <v>0</v>
      </c>
      <c r="I364" s="178">
        <f>-$N$1</f>
        <v>-4.7716218756768064E-3</v>
      </c>
      <c r="J364" s="171">
        <v>0</v>
      </c>
      <c r="L364">
        <v>0</v>
      </c>
      <c r="M364">
        <v>2.2598751359799909</v>
      </c>
      <c r="N364">
        <v>0</v>
      </c>
    </row>
    <row r="365" spans="1:16">
      <c r="A365" s="171"/>
      <c r="B365" s="172">
        <v>-0.45824053226673911</v>
      </c>
      <c r="C365" s="172">
        <v>2.124969022302313</v>
      </c>
      <c r="D365" s="172">
        <v>-2.076961144994538E-2</v>
      </c>
      <c r="E365" s="171">
        <v>0</v>
      </c>
      <c r="F365" s="172">
        <v>0</v>
      </c>
      <c r="G365" s="171">
        <f>-$L$1</f>
        <v>-1.4990492230334603E-2</v>
      </c>
      <c r="H365" s="172">
        <v>0</v>
      </c>
      <c r="I365" s="172">
        <v>0</v>
      </c>
      <c r="J365" s="178">
        <f>-$N$1</f>
        <v>-4.7716218756768064E-3</v>
      </c>
      <c r="L365">
        <v>0</v>
      </c>
      <c r="M365">
        <v>0</v>
      </c>
      <c r="N365">
        <v>2.2310902861646512E-2</v>
      </c>
    </row>
    <row r="366" spans="1:16">
      <c r="A366" s="171"/>
      <c r="B366" s="172"/>
      <c r="C366" s="172"/>
      <c r="D366" s="172"/>
      <c r="E366" s="171"/>
      <c r="F366" s="171"/>
      <c r="G366" s="171"/>
      <c r="H366" s="171"/>
      <c r="I366" s="171"/>
      <c r="J366" s="171"/>
    </row>
    <row r="367" spans="1:16">
      <c r="A367" s="171"/>
      <c r="B367" s="172">
        <v>-2.2957880185781296</v>
      </c>
      <c r="C367" s="172">
        <v>8.2263663034425338E-3</v>
      </c>
      <c r="D367" s="172">
        <v>-3.3137218009327896E-2</v>
      </c>
      <c r="E367" s="171">
        <f>-$L$1</f>
        <v>-1.4990492230334603E-2</v>
      </c>
      <c r="F367" s="172">
        <v>0</v>
      </c>
      <c r="G367" s="172">
        <v>0</v>
      </c>
      <c r="H367" s="178">
        <f>-$N$1</f>
        <v>-4.7716218756768064E-3</v>
      </c>
      <c r="I367" s="171">
        <v>0</v>
      </c>
      <c r="J367" s="171">
        <v>0</v>
      </c>
      <c r="L367">
        <f t="array" ref="L367:N369">SVDD(B367:J369)</f>
        <v>3.0514091378505821</v>
      </c>
      <c r="M367">
        <v>0</v>
      </c>
      <c r="N367">
        <v>0</v>
      </c>
      <c r="P367">
        <f t="shared" ref="P367" si="104">MAX(L367,M368,N369)/MIN(L367,M368,N369)</f>
        <v>11.217641164351797</v>
      </c>
    </row>
    <row r="368" spans="1:16">
      <c r="A368" s="171" t="s">
        <v>305</v>
      </c>
      <c r="B368" s="172">
        <v>0.40019020491700363</v>
      </c>
      <c r="C368" s="172">
        <v>1.0840062473010013</v>
      </c>
      <c r="D368" s="172">
        <v>1.6840506224230944E-2</v>
      </c>
      <c r="E368" s="171">
        <v>0</v>
      </c>
      <c r="F368" s="171">
        <f>-$L$1</f>
        <v>-1.4990492230334603E-2</v>
      </c>
      <c r="G368" s="172">
        <v>0</v>
      </c>
      <c r="H368" s="172">
        <v>0</v>
      </c>
      <c r="I368" s="178">
        <f>-$N$1</f>
        <v>-4.7716218756768064E-3</v>
      </c>
      <c r="J368" s="171">
        <v>0</v>
      </c>
      <c r="L368">
        <v>0</v>
      </c>
      <c r="M368">
        <v>2.158958737350503</v>
      </c>
      <c r="N368">
        <v>0</v>
      </c>
    </row>
    <row r="369" spans="1:16">
      <c r="A369" s="171"/>
      <c r="B369" s="172">
        <v>-1.0673702345396179</v>
      </c>
      <c r="C369" s="172">
        <v>2.4075843796929846</v>
      </c>
      <c r="D369" s="172">
        <v>-0.708799578341892</v>
      </c>
      <c r="E369" s="171">
        <v>0</v>
      </c>
      <c r="F369" s="172">
        <v>0</v>
      </c>
      <c r="G369" s="171">
        <f>-$L$1</f>
        <v>-1.4990492230334603E-2</v>
      </c>
      <c r="H369" s="172">
        <v>0</v>
      </c>
      <c r="I369" s="172">
        <v>0</v>
      </c>
      <c r="J369" s="178">
        <f>-$N$1</f>
        <v>-4.7716218756768064E-3</v>
      </c>
      <c r="L369">
        <v>0</v>
      </c>
      <c r="M369">
        <v>0</v>
      </c>
      <c r="N369">
        <v>0.27201878658300849</v>
      </c>
    </row>
    <row r="370" spans="1:16">
      <c r="A370" s="171"/>
      <c r="B370" s="172"/>
      <c r="C370" s="172"/>
      <c r="D370" s="172"/>
      <c r="E370" s="171"/>
      <c r="F370" s="171"/>
      <c r="G370" s="171"/>
      <c r="H370" s="171"/>
      <c r="I370" s="171"/>
      <c r="J370" s="171"/>
    </row>
    <row r="371" spans="1:16">
      <c r="A371" s="171"/>
      <c r="B371" s="172">
        <v>-2.2957880185781296</v>
      </c>
      <c r="C371" s="172">
        <v>8.2263663034425338E-3</v>
      </c>
      <c r="D371" s="172">
        <v>-3.3137218009327896E-2</v>
      </c>
      <c r="E371" s="171">
        <f>-$L$1</f>
        <v>-1.4990492230334603E-2</v>
      </c>
      <c r="F371" s="172">
        <v>0</v>
      </c>
      <c r="G371" s="172">
        <v>0</v>
      </c>
      <c r="H371" s="178">
        <f>-$N$1</f>
        <v>-4.7716218756768064E-3</v>
      </c>
      <c r="I371" s="171">
        <v>0</v>
      </c>
      <c r="J371" s="171">
        <v>0</v>
      </c>
      <c r="L371">
        <f t="array" ref="L371:N373">SVDD(B371:J373)</f>
        <v>3.8617440815220188</v>
      </c>
      <c r="M371">
        <v>0</v>
      </c>
      <c r="N371">
        <v>0</v>
      </c>
      <c r="P371">
        <f t="shared" ref="P371" si="105">MAX(L371,M372,N373)/MIN(L371,M372,N373)</f>
        <v>58.862333601481097</v>
      </c>
    </row>
    <row r="372" spans="1:16">
      <c r="A372" s="171" t="s">
        <v>306</v>
      </c>
      <c r="B372" s="172">
        <v>-2.0770709056556562</v>
      </c>
      <c r="C372" s="172">
        <v>2.1445635165533226</v>
      </c>
      <c r="D372" s="172">
        <v>5.6653180844775664E-2</v>
      </c>
      <c r="E372" s="171">
        <v>0</v>
      </c>
      <c r="F372" s="171">
        <f>-$L$1</f>
        <v>-1.4990492230334603E-2</v>
      </c>
      <c r="G372" s="172">
        <v>0</v>
      </c>
      <c r="H372" s="172">
        <v>0</v>
      </c>
      <c r="I372" s="178">
        <f>-$N$1</f>
        <v>-4.7716218756768064E-3</v>
      </c>
      <c r="J372" s="171">
        <v>0</v>
      </c>
      <c r="L372">
        <v>0</v>
      </c>
      <c r="M372">
        <v>1.9994184633738448</v>
      </c>
      <c r="N372">
        <v>0</v>
      </c>
    </row>
    <row r="373" spans="1:16">
      <c r="A373" s="171"/>
      <c r="B373" s="172">
        <v>-0.45824053226673911</v>
      </c>
      <c r="C373" s="172">
        <v>2.124969022302313</v>
      </c>
      <c r="D373" s="172">
        <v>-2.076961144994538E-2</v>
      </c>
      <c r="E373" s="171">
        <v>0</v>
      </c>
      <c r="F373" s="172">
        <v>0</v>
      </c>
      <c r="G373" s="171">
        <f>-$L$1</f>
        <v>-1.4990492230334603E-2</v>
      </c>
      <c r="H373" s="172">
        <v>0</v>
      </c>
      <c r="I373" s="172">
        <v>0</v>
      </c>
      <c r="J373" s="178">
        <f>-$N$1</f>
        <v>-4.7716218756768064E-3</v>
      </c>
      <c r="L373">
        <v>0</v>
      </c>
      <c r="M373">
        <v>0</v>
      </c>
      <c r="N373">
        <v>6.5606370750901546E-2</v>
      </c>
    </row>
    <row r="374" spans="1:16">
      <c r="A374" s="171"/>
      <c r="B374" s="172"/>
      <c r="C374" s="172"/>
      <c r="D374" s="172"/>
      <c r="E374" s="171"/>
      <c r="F374" s="171"/>
      <c r="G374" s="171"/>
      <c r="H374" s="171"/>
      <c r="I374" s="171"/>
      <c r="J374" s="171"/>
    </row>
    <row r="375" spans="1:16">
      <c r="A375" s="171"/>
      <c r="B375" s="172">
        <v>-2.2957880185781296</v>
      </c>
      <c r="C375" s="172">
        <v>8.2263663034425338E-3</v>
      </c>
      <c r="D375" s="172">
        <v>-3.3137218009327896E-2</v>
      </c>
      <c r="E375" s="171">
        <f>-$L$1</f>
        <v>-1.4990492230334603E-2</v>
      </c>
      <c r="F375" s="172">
        <v>0</v>
      </c>
      <c r="G375" s="172">
        <v>0</v>
      </c>
      <c r="H375" s="178">
        <f>-$N$1</f>
        <v>-4.7716218756768064E-3</v>
      </c>
      <c r="I375" s="171">
        <v>0</v>
      </c>
      <c r="J375" s="171">
        <v>0</v>
      </c>
      <c r="L375">
        <f t="array" ref="L375:N377">SVDD(B375:J377)</f>
        <v>4.2139524031696007</v>
      </c>
      <c r="M375">
        <v>0</v>
      </c>
      <c r="N375">
        <v>0</v>
      </c>
      <c r="P375">
        <f t="shared" ref="P375" si="106">MAX(L375,M376,N377)/MIN(L375,M376,N377)</f>
        <v>8.7221521760227372</v>
      </c>
    </row>
    <row r="376" spans="1:16">
      <c r="A376" s="171" t="s">
        <v>307</v>
      </c>
      <c r="B376" s="172">
        <v>-2.0770709056556562</v>
      </c>
      <c r="C376" s="172">
        <v>2.1445635165533226</v>
      </c>
      <c r="D376" s="172">
        <v>5.6653180844775664E-2</v>
      </c>
      <c r="E376" s="171">
        <v>0</v>
      </c>
      <c r="F376" s="171">
        <f>-$L$1</f>
        <v>-1.4990492230334603E-2</v>
      </c>
      <c r="G376" s="172">
        <v>0</v>
      </c>
      <c r="H376" s="172">
        <v>0</v>
      </c>
      <c r="I376" s="178">
        <f>-$N$1</f>
        <v>-4.7716218756768064E-3</v>
      </c>
      <c r="J376" s="171">
        <v>0</v>
      </c>
      <c r="L376">
        <v>0</v>
      </c>
      <c r="M376">
        <v>1.9069514088126926</v>
      </c>
      <c r="N376">
        <v>0</v>
      </c>
    </row>
    <row r="377" spans="1:16">
      <c r="A377" s="171"/>
      <c r="B377" s="172">
        <v>-1.0673702345396179</v>
      </c>
      <c r="C377" s="172">
        <v>2.4075843796929846</v>
      </c>
      <c r="D377" s="172">
        <v>-0.708799578341892</v>
      </c>
      <c r="E377" s="171">
        <v>0</v>
      </c>
      <c r="F377" s="172">
        <v>0</v>
      </c>
      <c r="G377" s="171">
        <f>-$L$1</f>
        <v>-1.4990492230334603E-2</v>
      </c>
      <c r="H377" s="172">
        <v>0</v>
      </c>
      <c r="I377" s="172">
        <v>0</v>
      </c>
      <c r="J377" s="178">
        <f>-$N$1</f>
        <v>-4.7716218756768064E-3</v>
      </c>
      <c r="L377">
        <v>0</v>
      </c>
      <c r="M377">
        <v>0</v>
      </c>
      <c r="N377">
        <v>0.48313218092591736</v>
      </c>
    </row>
    <row r="378" spans="1:16">
      <c r="A378" s="171"/>
      <c r="B378" s="172"/>
      <c r="C378" s="172"/>
      <c r="D378" s="172"/>
      <c r="E378" s="171"/>
      <c r="F378" s="171"/>
      <c r="G378" s="171"/>
      <c r="H378" s="171"/>
      <c r="I378" s="171"/>
      <c r="J378" s="171"/>
    </row>
    <row r="379" spans="1:16">
      <c r="A379" s="171"/>
      <c r="B379" s="172">
        <v>-2.2957880185781296</v>
      </c>
      <c r="C379" s="172">
        <v>8.2263663034425338E-3</v>
      </c>
      <c r="D379" s="172">
        <v>-3.3137218009327896E-2</v>
      </c>
      <c r="E379" s="171">
        <f>-$L$1</f>
        <v>-1.4990492230334603E-2</v>
      </c>
      <c r="F379" s="172">
        <v>0</v>
      </c>
      <c r="G379" s="172">
        <v>0</v>
      </c>
      <c r="H379" s="178">
        <f>-$N$1</f>
        <v>-4.7716218756768064E-3</v>
      </c>
      <c r="I379" s="171">
        <v>0</v>
      </c>
      <c r="J379" s="171">
        <v>0</v>
      </c>
      <c r="L379">
        <f t="array" ref="L379:N381">SVDD(B379:J381)</f>
        <v>3.5753496656131523</v>
      </c>
      <c r="M379">
        <v>0</v>
      </c>
      <c r="N379">
        <v>0</v>
      </c>
      <c r="P379">
        <f t="shared" ref="P379" si="107">MAX(L379,M380,N381)/MIN(L379,M380,N381)</f>
        <v>8.1721077716016133</v>
      </c>
    </row>
    <row r="380" spans="1:16">
      <c r="A380" s="171" t="s">
        <v>308</v>
      </c>
      <c r="B380" s="172">
        <v>-0.45824053226673911</v>
      </c>
      <c r="C380" s="172">
        <v>2.124969022302313</v>
      </c>
      <c r="D380" s="172">
        <v>-2.076961144994538E-2</v>
      </c>
      <c r="E380" s="171">
        <v>0</v>
      </c>
      <c r="F380" s="171">
        <f>-$L$1</f>
        <v>-1.4990492230334603E-2</v>
      </c>
      <c r="G380" s="172">
        <v>0</v>
      </c>
      <c r="H380" s="172">
        <v>0</v>
      </c>
      <c r="I380" s="178">
        <f>-$N$1</f>
        <v>-4.7716218756768064E-3</v>
      </c>
      <c r="J380" s="171">
        <v>0</v>
      </c>
      <c r="L380">
        <v>0</v>
      </c>
      <c r="M380">
        <v>2.1123592102201147</v>
      </c>
      <c r="N380">
        <v>0</v>
      </c>
    </row>
    <row r="381" spans="1:16">
      <c r="A381" s="171"/>
      <c r="B381" s="172">
        <v>-1.0673702345396179</v>
      </c>
      <c r="C381" s="172">
        <v>2.4075843796929846</v>
      </c>
      <c r="D381" s="172">
        <v>-0.708799578341892</v>
      </c>
      <c r="E381" s="171">
        <v>0</v>
      </c>
      <c r="F381" s="172">
        <v>0</v>
      </c>
      <c r="G381" s="171">
        <f>-$L$1</f>
        <v>-1.4990492230334603E-2</v>
      </c>
      <c r="H381" s="172">
        <v>0</v>
      </c>
      <c r="I381" s="172">
        <v>0</v>
      </c>
      <c r="J381" s="178">
        <f>-$N$1</f>
        <v>-4.7716218756768064E-3</v>
      </c>
      <c r="L381">
        <v>0</v>
      </c>
      <c r="M381">
        <v>0</v>
      </c>
      <c r="N381">
        <v>0.43750642619247249</v>
      </c>
    </row>
    <row r="382" spans="1:16">
      <c r="A382" s="171"/>
      <c r="B382" s="172"/>
      <c r="C382" s="172"/>
      <c r="D382" s="172"/>
      <c r="E382" s="171"/>
      <c r="F382" s="171"/>
      <c r="G382" s="171"/>
      <c r="H382" s="171"/>
      <c r="I382" s="171"/>
      <c r="J382" s="171"/>
    </row>
    <row r="383" spans="1:16">
      <c r="A383" s="171"/>
      <c r="B383" s="172">
        <v>-2.44475956514645</v>
      </c>
      <c r="C383" s="172">
        <v>0.85548399177677847</v>
      </c>
      <c r="D383" s="172">
        <v>-5.2896656816179721E-2</v>
      </c>
      <c r="E383" s="171">
        <f>-$L$1</f>
        <v>-1.4990492230334603E-2</v>
      </c>
      <c r="F383" s="172">
        <v>0</v>
      </c>
      <c r="G383" s="172">
        <v>0</v>
      </c>
      <c r="H383" s="178">
        <f>-$N$1</f>
        <v>-4.7716218756768064E-3</v>
      </c>
      <c r="I383" s="171">
        <v>0</v>
      </c>
      <c r="J383" s="171">
        <v>0</v>
      </c>
      <c r="L383">
        <f t="array" ref="L383:N385">SVDD(B383:J385)</f>
        <v>3.8602448207621793</v>
      </c>
      <c r="M383">
        <v>0</v>
      </c>
      <c r="N383">
        <v>0</v>
      </c>
      <c r="P383">
        <f t="shared" ref="P383" si="108">MAX(L383,M384,N385)/MIN(L383,M384,N385)</f>
        <v>73.974147367343548</v>
      </c>
    </row>
    <row r="384" spans="1:16">
      <c r="A384" s="171" t="s">
        <v>309</v>
      </c>
      <c r="B384" s="172">
        <v>0.40019020491700363</v>
      </c>
      <c r="C384" s="172">
        <v>1.0840062473010013</v>
      </c>
      <c r="D384" s="172">
        <v>1.6840506224230944E-2</v>
      </c>
      <c r="E384" s="171">
        <v>0</v>
      </c>
      <c r="F384" s="171">
        <f>-$L$1</f>
        <v>-1.4990492230334603E-2</v>
      </c>
      <c r="G384" s="172">
        <v>0</v>
      </c>
      <c r="H384" s="172">
        <v>0</v>
      </c>
      <c r="I384" s="178">
        <f>-$N$1</f>
        <v>-4.7716218756768064E-3</v>
      </c>
      <c r="J384" s="171">
        <v>0</v>
      </c>
      <c r="L384">
        <v>0</v>
      </c>
      <c r="M384">
        <v>1.4353120344181636</v>
      </c>
      <c r="N384">
        <v>0</v>
      </c>
    </row>
    <row r="385" spans="1:16">
      <c r="A385" s="171"/>
      <c r="B385" s="172">
        <v>-2.0770709056556562</v>
      </c>
      <c r="C385" s="172">
        <v>2.1445635165533226</v>
      </c>
      <c r="D385" s="172">
        <v>5.6653180844775664E-2</v>
      </c>
      <c r="E385" s="171">
        <v>0</v>
      </c>
      <c r="F385" s="172">
        <v>0</v>
      </c>
      <c r="G385" s="171">
        <f>-$L$1</f>
        <v>-1.4990492230334603E-2</v>
      </c>
      <c r="H385" s="172">
        <v>0</v>
      </c>
      <c r="I385" s="172">
        <v>0</v>
      </c>
      <c r="J385" s="178">
        <f>-$N$1</f>
        <v>-4.7716218756768064E-3</v>
      </c>
      <c r="L385">
        <v>0</v>
      </c>
      <c r="M385">
        <v>0</v>
      </c>
      <c r="N385">
        <v>5.2183701443598032E-2</v>
      </c>
    </row>
    <row r="386" spans="1:16">
      <c r="A386" s="171"/>
      <c r="B386" s="172"/>
      <c r="C386" s="172"/>
      <c r="D386" s="172"/>
      <c r="E386" s="171"/>
      <c r="F386" s="171"/>
      <c r="G386" s="171"/>
      <c r="H386" s="171"/>
      <c r="I386" s="171"/>
      <c r="J386" s="171"/>
    </row>
    <row r="387" spans="1:16">
      <c r="A387" s="171"/>
      <c r="B387" s="172">
        <v>-2.44475956514645</v>
      </c>
      <c r="C387" s="172">
        <v>0.85548399177677847</v>
      </c>
      <c r="D387" s="172">
        <v>-5.2896656816179721E-2</v>
      </c>
      <c r="E387" s="171">
        <f>-$L$1</f>
        <v>-1.4990492230334603E-2</v>
      </c>
      <c r="F387" s="172">
        <v>0</v>
      </c>
      <c r="G387" s="172">
        <v>0</v>
      </c>
      <c r="H387" s="178">
        <f>-$N$1</f>
        <v>-4.7716218756768064E-3</v>
      </c>
      <c r="I387" s="171">
        <v>0</v>
      </c>
      <c r="J387" s="171">
        <v>0</v>
      </c>
      <c r="L387">
        <f t="array" ref="L387:N389">SVDD(B387:J389)</f>
        <v>3.0031985085991626</v>
      </c>
      <c r="M387">
        <v>0</v>
      </c>
      <c r="N387">
        <v>0</v>
      </c>
      <c r="P387">
        <f t="shared" ref="P387" si="109">MAX(L387,M388,N389)/MIN(L387,M388,N389)</f>
        <v>150.22207654892082</v>
      </c>
    </row>
    <row r="388" spans="1:16">
      <c r="A388" s="171" t="s">
        <v>310</v>
      </c>
      <c r="B388" s="172">
        <v>0.40019020491700363</v>
      </c>
      <c r="C388" s="172">
        <v>1.0840062473010013</v>
      </c>
      <c r="D388" s="172">
        <v>1.6840506224230944E-2</v>
      </c>
      <c r="E388" s="171">
        <v>0</v>
      </c>
      <c r="F388" s="171">
        <f>-$L$1</f>
        <v>-1.4990492230334603E-2</v>
      </c>
      <c r="G388" s="172">
        <v>0</v>
      </c>
      <c r="H388" s="172">
        <v>0</v>
      </c>
      <c r="I388" s="178">
        <f>-$N$1</f>
        <v>-4.7716218756768064E-3</v>
      </c>
      <c r="J388" s="171">
        <v>0</v>
      </c>
      <c r="L388">
        <v>0</v>
      </c>
      <c r="M388">
        <v>1.9375386967203663</v>
      </c>
      <c r="N388">
        <v>0</v>
      </c>
    </row>
    <row r="389" spans="1:16">
      <c r="A389" s="171"/>
      <c r="B389" s="172">
        <v>-0.45824053226673911</v>
      </c>
      <c r="C389" s="172">
        <v>2.124969022302313</v>
      </c>
      <c r="D389" s="172">
        <v>-2.076961144994538E-2</v>
      </c>
      <c r="E389" s="171">
        <v>0</v>
      </c>
      <c r="F389" s="172">
        <v>0</v>
      </c>
      <c r="G389" s="171">
        <f>-$L$1</f>
        <v>-1.4990492230334603E-2</v>
      </c>
      <c r="H389" s="172">
        <v>0</v>
      </c>
      <c r="I389" s="172">
        <v>0</v>
      </c>
      <c r="J389" s="178">
        <f>-$N$1</f>
        <v>-4.7716218756768064E-3</v>
      </c>
      <c r="L389">
        <v>0</v>
      </c>
      <c r="M389">
        <v>0</v>
      </c>
      <c r="N389">
        <v>1.9991725434717653E-2</v>
      </c>
    </row>
    <row r="390" spans="1:16">
      <c r="A390" s="171"/>
      <c r="B390" s="172"/>
      <c r="C390" s="172"/>
      <c r="D390" s="172"/>
      <c r="E390" s="171"/>
      <c r="F390" s="171"/>
      <c r="G390" s="171"/>
      <c r="H390" s="171"/>
      <c r="I390" s="171"/>
      <c r="J390" s="171"/>
    </row>
    <row r="391" spans="1:16">
      <c r="A391" s="171"/>
      <c r="B391" s="172">
        <v>-2.44475956514645</v>
      </c>
      <c r="C391" s="172">
        <v>0.85548399177677847</v>
      </c>
      <c r="D391" s="172">
        <v>-5.2896656816179721E-2</v>
      </c>
      <c r="E391" s="171">
        <f>-$L$1</f>
        <v>-1.4990492230334603E-2</v>
      </c>
      <c r="F391" s="172">
        <v>0</v>
      </c>
      <c r="G391" s="172">
        <v>0</v>
      </c>
      <c r="H391" s="178">
        <f>-$N$1</f>
        <v>-4.7716218756768064E-3</v>
      </c>
      <c r="I391" s="171">
        <v>0</v>
      </c>
      <c r="J391" s="171">
        <v>0</v>
      </c>
      <c r="L391">
        <f t="array" ref="L391:N393">SVDD(B391:J393)</f>
        <v>3.4681029281840505</v>
      </c>
      <c r="M391">
        <v>0</v>
      </c>
      <c r="N391">
        <v>0</v>
      </c>
      <c r="P391">
        <f t="shared" ref="P391" si="110">MAX(L391,M392,N393)/MIN(L391,M392,N393)</f>
        <v>10.506106689169831</v>
      </c>
    </row>
    <row r="392" spans="1:16">
      <c r="A392" s="171" t="s">
        <v>311</v>
      </c>
      <c r="B392" s="172">
        <v>0.40019020491700363</v>
      </c>
      <c r="C392" s="172">
        <v>1.0840062473010013</v>
      </c>
      <c r="D392" s="172">
        <v>1.6840506224230944E-2</v>
      </c>
      <c r="E392" s="171">
        <v>0</v>
      </c>
      <c r="F392" s="171">
        <f>-$L$1</f>
        <v>-1.4990492230334603E-2</v>
      </c>
      <c r="G392" s="172">
        <v>0</v>
      </c>
      <c r="H392" s="172">
        <v>0</v>
      </c>
      <c r="I392" s="178">
        <f>-$N$1</f>
        <v>-4.7716218756768064E-3</v>
      </c>
      <c r="J392" s="171">
        <v>0</v>
      </c>
      <c r="L392">
        <v>0</v>
      </c>
      <c r="M392">
        <v>1.8300766069252516</v>
      </c>
      <c r="N392">
        <v>0</v>
      </c>
    </row>
    <row r="393" spans="1:16">
      <c r="A393" s="171"/>
      <c r="B393" s="172">
        <v>-1.0673702345396179</v>
      </c>
      <c r="C393" s="172">
        <v>2.4075843796929846</v>
      </c>
      <c r="D393" s="172">
        <v>-0.708799578341892</v>
      </c>
      <c r="E393" s="171">
        <v>0</v>
      </c>
      <c r="F393" s="172">
        <v>0</v>
      </c>
      <c r="G393" s="171">
        <f>-$L$1</f>
        <v>-1.4990492230334603E-2</v>
      </c>
      <c r="H393" s="172">
        <v>0</v>
      </c>
      <c r="I393" s="172">
        <v>0</v>
      </c>
      <c r="J393" s="178">
        <f>-$N$1</f>
        <v>-4.7716218756768064E-3</v>
      </c>
      <c r="L393">
        <v>0</v>
      </c>
      <c r="M393">
        <v>0</v>
      </c>
      <c r="N393">
        <v>0.33010353223988553</v>
      </c>
    </row>
    <row r="394" spans="1:16">
      <c r="A394" s="171"/>
      <c r="B394" s="172"/>
      <c r="C394" s="172"/>
      <c r="D394" s="172"/>
      <c r="E394" s="171"/>
      <c r="F394" s="171"/>
      <c r="G394" s="171"/>
      <c r="H394" s="171"/>
      <c r="I394" s="171"/>
      <c r="J394" s="171"/>
    </row>
    <row r="395" spans="1:16">
      <c r="A395" s="171"/>
      <c r="B395" s="172">
        <v>-2.44475956514645</v>
      </c>
      <c r="C395" s="172">
        <v>0.85548399177677847</v>
      </c>
      <c r="D395" s="172">
        <v>-5.2896656816179721E-2</v>
      </c>
      <c r="E395" s="171">
        <f>-$L$1</f>
        <v>-1.4990492230334603E-2</v>
      </c>
      <c r="F395" s="172">
        <v>0</v>
      </c>
      <c r="G395" s="172">
        <v>0</v>
      </c>
      <c r="H395" s="178">
        <f>-$N$1</f>
        <v>-4.7716218756768064E-3</v>
      </c>
      <c r="I395" s="171">
        <v>0</v>
      </c>
      <c r="J395" s="171">
        <v>0</v>
      </c>
      <c r="L395">
        <f t="array" ref="L395:N397">SVDD(B395:J397)</f>
        <v>4.2072267755132486</v>
      </c>
      <c r="M395">
        <v>0</v>
      </c>
      <c r="N395">
        <v>0</v>
      </c>
      <c r="P395">
        <f t="shared" ref="P395" si="111">MAX(L395,M396,N397)/MIN(L395,M396,N397)</f>
        <v>53.683716828559511</v>
      </c>
    </row>
    <row r="396" spans="1:16">
      <c r="A396" s="171" t="s">
        <v>312</v>
      </c>
      <c r="B396" s="172">
        <v>-2.0770709056556562</v>
      </c>
      <c r="C396" s="172">
        <v>2.1445635165533226</v>
      </c>
      <c r="D396" s="172">
        <v>5.6653180844775664E-2</v>
      </c>
      <c r="E396" s="171">
        <v>0</v>
      </c>
      <c r="F396" s="171">
        <f>-$L$1</f>
        <v>-1.4990492230334603E-2</v>
      </c>
      <c r="G396" s="172">
        <v>0</v>
      </c>
      <c r="H396" s="172">
        <v>0</v>
      </c>
      <c r="I396" s="178">
        <f>-$N$1</f>
        <v>-4.7716218756768064E-3</v>
      </c>
      <c r="J396" s="171">
        <v>0</v>
      </c>
      <c r="L396">
        <v>0</v>
      </c>
      <c r="M396">
        <v>1.627218029519393</v>
      </c>
      <c r="N396">
        <v>0</v>
      </c>
    </row>
    <row r="397" spans="1:16">
      <c r="A397" s="171"/>
      <c r="B397" s="172">
        <v>-0.45824053226673911</v>
      </c>
      <c r="C397" s="172">
        <v>2.124969022302313</v>
      </c>
      <c r="D397" s="172">
        <v>-2.076961144994538E-2</v>
      </c>
      <c r="E397" s="171">
        <v>0</v>
      </c>
      <c r="F397" s="172">
        <v>0</v>
      </c>
      <c r="G397" s="171">
        <f>-$L$1</f>
        <v>-1.4990492230334603E-2</v>
      </c>
      <c r="H397" s="172">
        <v>0</v>
      </c>
      <c r="I397" s="172">
        <v>0</v>
      </c>
      <c r="J397" s="178">
        <f>-$N$1</f>
        <v>-4.7716218756768064E-3</v>
      </c>
      <c r="L397">
        <v>0</v>
      </c>
      <c r="M397">
        <v>0</v>
      </c>
      <c r="N397">
        <v>7.8370631246512751E-2</v>
      </c>
    </row>
    <row r="398" spans="1:16">
      <c r="A398" s="171"/>
      <c r="B398" s="172"/>
      <c r="C398" s="172"/>
      <c r="D398" s="172"/>
      <c r="E398" s="171"/>
      <c r="F398" s="171"/>
      <c r="G398" s="171"/>
      <c r="H398" s="171"/>
      <c r="I398" s="171"/>
      <c r="J398" s="171"/>
    </row>
    <row r="399" spans="1:16">
      <c r="A399" s="171"/>
      <c r="B399" s="172">
        <v>-2.44475956514645</v>
      </c>
      <c r="C399" s="172">
        <v>0.85548399177677847</v>
      </c>
      <c r="D399" s="172">
        <v>-5.2896656816179721E-2</v>
      </c>
      <c r="E399" s="171">
        <f>-$L$1</f>
        <v>-1.4990492230334603E-2</v>
      </c>
      <c r="F399" s="172">
        <v>0</v>
      </c>
      <c r="G399" s="172">
        <v>0</v>
      </c>
      <c r="H399" s="178">
        <f>-$N$1</f>
        <v>-4.7716218756768064E-3</v>
      </c>
      <c r="I399" s="171">
        <v>0</v>
      </c>
      <c r="J399" s="171">
        <v>0</v>
      </c>
      <c r="L399">
        <f t="array" ref="L399:N401">SVDD(B399:J401)</f>
        <v>4.5319911755417026</v>
      </c>
      <c r="M399">
        <v>0</v>
      </c>
      <c r="N399">
        <v>0</v>
      </c>
      <c r="P399">
        <f t="shared" ref="P399" si="112">MAX(L399,M400,N401)/MIN(L399,M400,N401)</f>
        <v>10.931038047265869</v>
      </c>
    </row>
    <row r="400" spans="1:16">
      <c r="A400" s="171" t="s">
        <v>313</v>
      </c>
      <c r="B400" s="172">
        <v>-2.0770709056556562</v>
      </c>
      <c r="C400" s="172">
        <v>2.1445635165533226</v>
      </c>
      <c r="D400" s="172">
        <v>5.6653180844775664E-2</v>
      </c>
      <c r="E400" s="171">
        <v>0</v>
      </c>
      <c r="F400" s="171">
        <f>-$L$1</f>
        <v>-1.4990492230334603E-2</v>
      </c>
      <c r="G400" s="172">
        <v>0</v>
      </c>
      <c r="H400" s="172">
        <v>0</v>
      </c>
      <c r="I400" s="178">
        <f>-$N$1</f>
        <v>-4.7716218756768064E-3</v>
      </c>
      <c r="J400" s="171">
        <v>0</v>
      </c>
      <c r="L400">
        <v>0</v>
      </c>
      <c r="M400">
        <v>1.5349694585771236</v>
      </c>
      <c r="N400">
        <v>0</v>
      </c>
    </row>
    <row r="401" spans="1:16">
      <c r="A401" s="171"/>
      <c r="B401" s="172">
        <v>-1.0673702345396179</v>
      </c>
      <c r="C401" s="172">
        <v>2.4075843796929846</v>
      </c>
      <c r="D401" s="172">
        <v>-0.708799578341892</v>
      </c>
      <c r="E401" s="171">
        <v>0</v>
      </c>
      <c r="F401" s="172">
        <v>0</v>
      </c>
      <c r="G401" s="171">
        <f>-$L$1</f>
        <v>-1.4990492230334603E-2</v>
      </c>
      <c r="H401" s="172">
        <v>0</v>
      </c>
      <c r="I401" s="172">
        <v>0</v>
      </c>
      <c r="J401" s="178">
        <f>-$N$1</f>
        <v>-4.7716218756768064E-3</v>
      </c>
      <c r="L401">
        <v>0</v>
      </c>
      <c r="M401">
        <v>0</v>
      </c>
      <c r="N401">
        <v>0.41459842660370844</v>
      </c>
    </row>
    <row r="402" spans="1:16">
      <c r="A402" s="171"/>
      <c r="B402" s="172"/>
      <c r="C402" s="172"/>
      <c r="D402" s="172"/>
      <c r="E402" s="171"/>
      <c r="F402" s="171"/>
      <c r="G402" s="171"/>
      <c r="H402" s="171"/>
      <c r="I402" s="171"/>
      <c r="J402" s="171"/>
    </row>
    <row r="403" spans="1:16">
      <c r="A403" s="171"/>
      <c r="B403" s="172">
        <v>-2.44475956514645</v>
      </c>
      <c r="C403" s="172">
        <v>0.85548399177677847</v>
      </c>
      <c r="D403" s="172">
        <v>-5.2896656816179721E-2</v>
      </c>
      <c r="E403" s="171">
        <f>-$L$1</f>
        <v>-1.4990492230334603E-2</v>
      </c>
      <c r="F403" s="172">
        <v>0</v>
      </c>
      <c r="G403" s="172">
        <v>0</v>
      </c>
      <c r="H403" s="178">
        <f>-$N$1</f>
        <v>-4.7716218756768064E-3</v>
      </c>
      <c r="I403" s="171">
        <v>0</v>
      </c>
      <c r="J403" s="171">
        <v>0</v>
      </c>
      <c r="L403">
        <f t="array" ref="L403:N405">SVDD(B403:J405)</f>
        <v>3.9220576005852652</v>
      </c>
      <c r="M403">
        <v>0</v>
      </c>
      <c r="N403">
        <v>0</v>
      </c>
      <c r="P403">
        <f t="shared" ref="P403" si="113">MAX(L403,M404,N405)/MIN(L403,M404,N405)</f>
        <v>8.602001144832327</v>
      </c>
    </row>
    <row r="404" spans="1:16">
      <c r="A404" s="171" t="s">
        <v>314</v>
      </c>
      <c r="B404" s="172">
        <v>-0.45824053226673911</v>
      </c>
      <c r="C404" s="172">
        <v>2.124969022302313</v>
      </c>
      <c r="D404" s="172">
        <v>-2.076961144994538E-2</v>
      </c>
      <c r="E404" s="171">
        <v>0</v>
      </c>
      <c r="F404" s="171">
        <f>-$L$1</f>
        <v>-1.4990492230334603E-2</v>
      </c>
      <c r="G404" s="172">
        <v>0</v>
      </c>
      <c r="H404" s="172">
        <v>0</v>
      </c>
      <c r="I404" s="178">
        <f>-$N$1</f>
        <v>-4.7716218756768064E-3</v>
      </c>
      <c r="J404" s="171">
        <v>0</v>
      </c>
      <c r="L404">
        <v>0</v>
      </c>
      <c r="M404">
        <v>1.812696007929494</v>
      </c>
      <c r="N404">
        <v>0</v>
      </c>
    </row>
    <row r="405" spans="1:16">
      <c r="A405" s="171"/>
      <c r="B405" s="172">
        <v>-1.0673702345396179</v>
      </c>
      <c r="C405" s="172">
        <v>2.4075843796929846</v>
      </c>
      <c r="D405" s="172">
        <v>-0.708799578341892</v>
      </c>
      <c r="E405" s="171">
        <v>0</v>
      </c>
      <c r="F405" s="172">
        <v>0</v>
      </c>
      <c r="G405" s="171">
        <f>-$L$1</f>
        <v>-1.4990492230334603E-2</v>
      </c>
      <c r="H405" s="172">
        <v>0</v>
      </c>
      <c r="I405" s="172">
        <v>0</v>
      </c>
      <c r="J405" s="178">
        <f>-$N$1</f>
        <v>-4.7716218756768064E-3</v>
      </c>
      <c r="L405">
        <v>0</v>
      </c>
      <c r="M405">
        <v>0</v>
      </c>
      <c r="N405">
        <v>0.45594711446201691</v>
      </c>
    </row>
    <row r="406" spans="1:16">
      <c r="A406" s="171"/>
      <c r="B406" s="172"/>
      <c r="C406" s="172"/>
      <c r="D406" s="172"/>
      <c r="E406" s="171"/>
      <c r="F406" s="171"/>
      <c r="G406" s="171"/>
      <c r="H406" s="171"/>
      <c r="I406" s="171"/>
      <c r="J406" s="171"/>
    </row>
    <row r="407" spans="1:16">
      <c r="A407" s="171"/>
      <c r="B407" s="172">
        <v>0.40019020491700363</v>
      </c>
      <c r="C407" s="172">
        <v>1.0840062473010013</v>
      </c>
      <c r="D407" s="172">
        <v>1.6840506224230944E-2</v>
      </c>
      <c r="E407" s="171">
        <f>-$L$1</f>
        <v>-1.4990492230334603E-2</v>
      </c>
      <c r="F407" s="172">
        <v>0</v>
      </c>
      <c r="G407" s="172">
        <v>0</v>
      </c>
      <c r="H407" s="178">
        <f>-$N$1</f>
        <v>-4.7716218756768064E-3</v>
      </c>
      <c r="I407" s="171">
        <v>0</v>
      </c>
      <c r="J407" s="171">
        <v>0</v>
      </c>
      <c r="L407">
        <f t="array" ref="L407:N409">SVDD(B407:J409)</f>
        <v>3.6353320202591992</v>
      </c>
      <c r="M407">
        <v>0</v>
      </c>
      <c r="N407">
        <v>0</v>
      </c>
      <c r="P407">
        <f t="shared" ref="P407" si="114">MAX(L407,M408,N409)/MIN(L407,M408,N409)</f>
        <v>82.453807087903158</v>
      </c>
    </row>
    <row r="408" spans="1:16">
      <c r="A408" s="171" t="s">
        <v>315</v>
      </c>
      <c r="B408" s="172">
        <v>-2.0770709056556562</v>
      </c>
      <c r="C408" s="172">
        <v>2.1445635165533226</v>
      </c>
      <c r="D408" s="172">
        <v>5.6653180844775664E-2</v>
      </c>
      <c r="E408" s="171">
        <v>0</v>
      </c>
      <c r="F408" s="171">
        <f>-$L$1</f>
        <v>-1.4990492230334603E-2</v>
      </c>
      <c r="G408" s="172">
        <v>0</v>
      </c>
      <c r="H408" s="172">
        <v>0</v>
      </c>
      <c r="I408" s="178">
        <f>-$N$1</f>
        <v>-4.7716218756768064E-3</v>
      </c>
      <c r="J408" s="171">
        <v>0</v>
      </c>
      <c r="L408">
        <v>0</v>
      </c>
      <c r="M408">
        <v>1.3270870151350431</v>
      </c>
      <c r="N408">
        <v>0</v>
      </c>
    </row>
    <row r="409" spans="1:16">
      <c r="A409" s="171"/>
      <c r="B409" s="172">
        <v>-0.45824053226673911</v>
      </c>
      <c r="C409" s="172">
        <v>2.124969022302313</v>
      </c>
      <c r="D409" s="172">
        <v>-2.076961144994538E-2</v>
      </c>
      <c r="E409" s="171">
        <v>0</v>
      </c>
      <c r="F409" s="172">
        <v>0</v>
      </c>
      <c r="G409" s="171">
        <f>-$L$1</f>
        <v>-1.4990492230334603E-2</v>
      </c>
      <c r="H409" s="172">
        <v>0</v>
      </c>
      <c r="I409" s="172">
        <v>0</v>
      </c>
      <c r="J409" s="178">
        <f>-$N$1</f>
        <v>-4.7716218756768064E-3</v>
      </c>
      <c r="L409">
        <v>0</v>
      </c>
      <c r="M409">
        <v>0</v>
      </c>
      <c r="N409">
        <v>4.4089316778103516E-2</v>
      </c>
    </row>
    <row r="410" spans="1:16">
      <c r="A410" s="171"/>
      <c r="B410" s="172"/>
      <c r="C410" s="172"/>
      <c r="D410" s="172"/>
      <c r="E410" s="171"/>
      <c r="F410" s="171"/>
      <c r="G410" s="171"/>
      <c r="H410" s="171"/>
      <c r="I410" s="171"/>
      <c r="J410" s="171"/>
    </row>
    <row r="411" spans="1:16">
      <c r="A411" s="171"/>
      <c r="B411" s="172">
        <v>0.40019020491700363</v>
      </c>
      <c r="C411" s="172">
        <v>1.0840062473010013</v>
      </c>
      <c r="D411" s="172">
        <v>1.6840506224230944E-2</v>
      </c>
      <c r="E411" s="171">
        <f>-$L$1</f>
        <v>-1.4990492230334603E-2</v>
      </c>
      <c r="F411" s="172">
        <v>0</v>
      </c>
      <c r="G411" s="172">
        <v>0</v>
      </c>
      <c r="H411" s="178">
        <f>-$N$1</f>
        <v>-4.7716218756768064E-3</v>
      </c>
      <c r="I411" s="171">
        <v>0</v>
      </c>
      <c r="J411" s="171">
        <v>0</v>
      </c>
      <c r="L411">
        <f t="array" ref="L411:N413">SVDD(B411:J413)</f>
        <v>4.0004861717843925</v>
      </c>
      <c r="M411">
        <v>0</v>
      </c>
      <c r="N411">
        <v>0</v>
      </c>
      <c r="P411">
        <f t="shared" ref="P411" si="115">MAX(L411,M412,N413)/MIN(L411,M412,N413)</f>
        <v>8.1086233463852224</v>
      </c>
    </row>
    <row r="412" spans="1:16">
      <c r="A412" s="171" t="s">
        <v>316</v>
      </c>
      <c r="B412" s="172">
        <v>-2.0770709056556562</v>
      </c>
      <c r="C412" s="172">
        <v>2.1445635165533226</v>
      </c>
      <c r="D412" s="172">
        <v>5.6653180844775664E-2</v>
      </c>
      <c r="E412" s="171">
        <v>0</v>
      </c>
      <c r="F412" s="171">
        <f>-$L$1</f>
        <v>-1.4990492230334603E-2</v>
      </c>
      <c r="G412" s="172">
        <v>0</v>
      </c>
      <c r="H412" s="172">
        <v>0</v>
      </c>
      <c r="I412" s="178">
        <f>-$N$1</f>
        <v>-4.7716218756768064E-3</v>
      </c>
      <c r="J412" s="171">
        <v>0</v>
      </c>
      <c r="L412">
        <v>0</v>
      </c>
      <c r="M412">
        <v>1.2015309361934672</v>
      </c>
      <c r="N412">
        <v>0</v>
      </c>
    </row>
    <row r="413" spans="1:16">
      <c r="A413" s="171"/>
      <c r="B413" s="172">
        <v>-1.0673702345396179</v>
      </c>
      <c r="C413" s="172">
        <v>2.4075843796929846</v>
      </c>
      <c r="D413" s="172">
        <v>-0.708799578341892</v>
      </c>
      <c r="E413" s="171">
        <v>0</v>
      </c>
      <c r="F413" s="172">
        <v>0</v>
      </c>
      <c r="G413" s="171">
        <f>-$L$1</f>
        <v>-1.4990492230334603E-2</v>
      </c>
      <c r="H413" s="172">
        <v>0</v>
      </c>
      <c r="I413" s="172">
        <v>0</v>
      </c>
      <c r="J413" s="178">
        <f>-$N$1</f>
        <v>-4.7716218756768064E-3</v>
      </c>
      <c r="L413">
        <v>0</v>
      </c>
      <c r="M413">
        <v>0</v>
      </c>
      <c r="N413">
        <v>0.49336194331529609</v>
      </c>
    </row>
    <row r="414" spans="1:16">
      <c r="A414" s="171"/>
      <c r="B414" s="172"/>
      <c r="C414" s="172"/>
      <c r="D414" s="172"/>
      <c r="E414" s="171"/>
      <c r="F414" s="171"/>
      <c r="G414" s="171"/>
      <c r="H414" s="171"/>
      <c r="I414" s="171"/>
      <c r="J414" s="171"/>
    </row>
    <row r="415" spans="1:16">
      <c r="A415" s="171"/>
      <c r="B415" s="172">
        <v>0.40019020491700363</v>
      </c>
      <c r="C415" s="172">
        <v>1.0840062473010013</v>
      </c>
      <c r="D415" s="172">
        <v>1.6840506224230944E-2</v>
      </c>
      <c r="E415" s="171">
        <f>-$L$1</f>
        <v>-1.4990492230334603E-2</v>
      </c>
      <c r="F415" s="172">
        <v>0</v>
      </c>
      <c r="G415" s="172">
        <v>0</v>
      </c>
      <c r="H415" s="178">
        <f>-$N$1</f>
        <v>-4.7716218756768064E-3</v>
      </c>
      <c r="I415" s="171">
        <v>0</v>
      </c>
      <c r="J415" s="171">
        <v>0</v>
      </c>
      <c r="L415">
        <f t="array" ref="L415:N417">SVDD(B415:J417)</f>
        <v>3.5591078397975235</v>
      </c>
      <c r="M415">
        <v>0</v>
      </c>
      <c r="N415">
        <v>0</v>
      </c>
      <c r="P415">
        <f t="shared" ref="P415" si="116">MAX(L415,M416,N417)/MIN(L415,M416,N417)</f>
        <v>12.281718994831845</v>
      </c>
    </row>
    <row r="416" spans="1:16">
      <c r="A416" s="171" t="s">
        <v>317</v>
      </c>
      <c r="B416" s="172">
        <v>-0.45824053226673911</v>
      </c>
      <c r="C416" s="172">
        <v>2.124969022302313</v>
      </c>
      <c r="D416" s="172">
        <v>-2.076961144994538E-2</v>
      </c>
      <c r="E416" s="171">
        <v>0</v>
      </c>
      <c r="F416" s="171">
        <f>-$L$1</f>
        <v>-1.4990492230334603E-2</v>
      </c>
      <c r="G416" s="172">
        <v>0</v>
      </c>
      <c r="H416" s="172">
        <v>0</v>
      </c>
      <c r="I416" s="178">
        <f>-$N$1</f>
        <v>-4.7716218756768064E-3</v>
      </c>
      <c r="J416" s="171">
        <v>0</v>
      </c>
      <c r="L416">
        <v>0</v>
      </c>
      <c r="M416">
        <v>0.86548783549452224</v>
      </c>
      <c r="N416">
        <v>0</v>
      </c>
    </row>
    <row r="417" spans="1:16">
      <c r="A417" s="171"/>
      <c r="B417" s="172">
        <v>-1.0673702345396179</v>
      </c>
      <c r="C417" s="172">
        <v>2.4075843796929846</v>
      </c>
      <c r="D417" s="172">
        <v>-0.708799578341892</v>
      </c>
      <c r="E417" s="171">
        <v>0</v>
      </c>
      <c r="F417" s="172">
        <v>0</v>
      </c>
      <c r="G417" s="171">
        <f>-$L$1</f>
        <v>-1.4990492230334603E-2</v>
      </c>
      <c r="H417" s="172">
        <v>0</v>
      </c>
      <c r="I417" s="172">
        <v>0</v>
      </c>
      <c r="J417" s="178">
        <f>-$N$1</f>
        <v>-4.7716218756768064E-3</v>
      </c>
      <c r="L417">
        <v>0</v>
      </c>
      <c r="M417">
        <v>0</v>
      </c>
      <c r="N417">
        <v>0.28978906302083596</v>
      </c>
    </row>
    <row r="418" spans="1:16">
      <c r="A418" s="171"/>
      <c r="B418" s="172"/>
      <c r="C418" s="172"/>
      <c r="D418" s="172"/>
      <c r="E418" s="171"/>
      <c r="F418" s="171"/>
      <c r="G418" s="171"/>
      <c r="H418" s="171"/>
      <c r="I418" s="171"/>
      <c r="J418" s="171"/>
    </row>
    <row r="419" spans="1:16">
      <c r="A419" s="171"/>
      <c r="B419" s="172">
        <v>-2.0770709056556562</v>
      </c>
      <c r="C419" s="172">
        <v>2.1445635165533226</v>
      </c>
      <c r="D419" s="172">
        <v>5.6653180844775664E-2</v>
      </c>
      <c r="E419" s="171">
        <f>-$L$1</f>
        <v>-1.4990492230334603E-2</v>
      </c>
      <c r="F419" s="172">
        <v>0</v>
      </c>
      <c r="G419" s="172">
        <v>0</v>
      </c>
      <c r="H419" s="178">
        <f>-$N$1</f>
        <v>-4.7716218756768064E-3</v>
      </c>
      <c r="I419" s="171">
        <v>0</v>
      </c>
      <c r="J419" s="171">
        <v>0</v>
      </c>
      <c r="L419">
        <f t="array" ref="L419:N421">SVDD(B419:J421)</f>
        <v>4.4365414629846045</v>
      </c>
      <c r="M419">
        <v>0</v>
      </c>
      <c r="N419">
        <v>0</v>
      </c>
      <c r="P419">
        <f t="shared" ref="P419" si="117">MAX(L419,M420,N421)/MIN(L419,M420,N421)</f>
        <v>8.5654140285482256</v>
      </c>
    </row>
    <row r="420" spans="1:16">
      <c r="A420" s="171" t="s">
        <v>318</v>
      </c>
      <c r="B420" s="172">
        <v>-0.45824053226673911</v>
      </c>
      <c r="C420" s="172">
        <v>2.124969022302313</v>
      </c>
      <c r="D420" s="172">
        <v>-2.076961144994538E-2</v>
      </c>
      <c r="E420" s="171">
        <v>0</v>
      </c>
      <c r="F420" s="171">
        <f>-$L$1</f>
        <v>-1.4990492230334603E-2</v>
      </c>
      <c r="G420" s="172">
        <v>0</v>
      </c>
      <c r="H420" s="172">
        <v>0</v>
      </c>
      <c r="I420" s="178">
        <f>-$N$1</f>
        <v>-4.7716218756768064E-3</v>
      </c>
      <c r="J420" s="171">
        <v>0</v>
      </c>
      <c r="L420">
        <v>0</v>
      </c>
      <c r="M420">
        <v>1.0631054989038564</v>
      </c>
      <c r="N420">
        <v>0</v>
      </c>
    </row>
    <row r="421" spans="1:16">
      <c r="A421" s="171"/>
      <c r="B421" s="172">
        <v>-1.0673702345396179</v>
      </c>
      <c r="C421" s="172">
        <v>2.4075843796929846</v>
      </c>
      <c r="D421" s="172">
        <v>-0.708799578341892</v>
      </c>
      <c r="E421" s="171">
        <v>0</v>
      </c>
      <c r="F421" s="172">
        <v>0</v>
      </c>
      <c r="G421" s="171">
        <f>-$L$1</f>
        <v>-1.4990492230334603E-2</v>
      </c>
      <c r="H421" s="172">
        <v>0</v>
      </c>
      <c r="I421" s="172">
        <v>0</v>
      </c>
      <c r="J421" s="178">
        <f>-$N$1</f>
        <v>-4.7716218756768064E-3</v>
      </c>
      <c r="L421">
        <v>0</v>
      </c>
      <c r="M421">
        <v>0</v>
      </c>
      <c r="N421">
        <v>0.51795995479001566</v>
      </c>
    </row>
    <row r="422" spans="1:16">
      <c r="A422" s="171"/>
      <c r="B422" s="172"/>
      <c r="C422" s="172"/>
      <c r="D422" s="172"/>
      <c r="E422" s="171"/>
      <c r="F422" s="171"/>
      <c r="G422" s="171"/>
      <c r="H422" s="171"/>
      <c r="I422" s="171"/>
      <c r="J422" s="171"/>
    </row>
    <row r="423" spans="1:16">
      <c r="A423" s="171"/>
      <c r="B423" s="172">
        <v>1.4028471761352286</v>
      </c>
      <c r="C423" s="172">
        <v>-0.814665459345566</v>
      </c>
      <c r="D423" s="172">
        <v>-0.7195871750303805</v>
      </c>
      <c r="E423" s="171">
        <f>-$L$1</f>
        <v>-1.4990492230334603E-2</v>
      </c>
      <c r="F423" s="172">
        <v>0</v>
      </c>
      <c r="G423" s="172">
        <v>0</v>
      </c>
      <c r="H423" s="178">
        <f>-$N$1</f>
        <v>-4.7716218756768064E-3</v>
      </c>
      <c r="I423" s="171">
        <v>0</v>
      </c>
      <c r="J423" s="171">
        <v>0</v>
      </c>
      <c r="L423">
        <f t="array" ref="L423:N425">SVDD(B423:J425)</f>
        <v>3.1000527068852892</v>
      </c>
      <c r="M423">
        <v>0</v>
      </c>
      <c r="N423">
        <v>0</v>
      </c>
      <c r="P423">
        <f t="shared" ref="P423" si="118">MAX(L423,M424,N425)/MIN(L423,M424,N425)</f>
        <v>5.2208960006035552</v>
      </c>
    </row>
    <row r="424" spans="1:16">
      <c r="A424" s="171" t="s">
        <v>319</v>
      </c>
      <c r="B424" s="172">
        <v>0.14897154656832046</v>
      </c>
      <c r="C424" s="172">
        <v>-0.84725762547333594</v>
      </c>
      <c r="D424" s="172">
        <v>1.9759438806851826E-2</v>
      </c>
      <c r="E424" s="171">
        <v>0</v>
      </c>
      <c r="F424" s="171">
        <f>-$L$1</f>
        <v>-1.4990492230334603E-2</v>
      </c>
      <c r="G424" s="172">
        <v>0</v>
      </c>
      <c r="H424" s="172">
        <v>0</v>
      </c>
      <c r="I424" s="178">
        <f>-$N$1</f>
        <v>-4.7716218756768064E-3</v>
      </c>
      <c r="J424" s="171">
        <v>0</v>
      </c>
      <c r="L424">
        <v>0</v>
      </c>
      <c r="M424">
        <v>0.79952352148417161</v>
      </c>
      <c r="N424">
        <v>0</v>
      </c>
    </row>
    <row r="425" spans="1:16">
      <c r="A425" s="171"/>
      <c r="B425" s="172">
        <v>2.44475956514645</v>
      </c>
      <c r="C425" s="172">
        <v>-0.85548399177677847</v>
      </c>
      <c r="D425" s="172">
        <v>5.2896656816179721E-2</v>
      </c>
      <c r="E425" s="171">
        <v>0</v>
      </c>
      <c r="F425" s="172">
        <v>0</v>
      </c>
      <c r="G425" s="171">
        <f>-$L$1</f>
        <v>-1.4990492230334603E-2</v>
      </c>
      <c r="H425" s="172">
        <v>0</v>
      </c>
      <c r="I425" s="172">
        <v>0</v>
      </c>
      <c r="J425" s="178">
        <f>-$N$1</f>
        <v>-4.7716218756768064E-3</v>
      </c>
      <c r="L425">
        <v>0</v>
      </c>
      <c r="M425">
        <v>0</v>
      </c>
      <c r="N425">
        <v>0.59377790833736421</v>
      </c>
    </row>
    <row r="426" spans="1:16">
      <c r="A426" s="171"/>
      <c r="B426" s="172"/>
      <c r="C426" s="172"/>
      <c r="D426" s="172"/>
      <c r="E426" s="171"/>
      <c r="F426" s="171"/>
      <c r="G426" s="171"/>
      <c r="H426" s="171"/>
      <c r="I426" s="171"/>
      <c r="J426" s="171"/>
    </row>
    <row r="427" spans="1:16">
      <c r="A427" s="171"/>
      <c r="B427" s="172">
        <v>1.4028471761352286</v>
      </c>
      <c r="C427" s="172">
        <v>-0.814665459345566</v>
      </c>
      <c r="D427" s="172">
        <v>-0.7195871750303805</v>
      </c>
      <c r="E427" s="171">
        <f>-$L$1</f>
        <v>-1.4990492230334603E-2</v>
      </c>
      <c r="F427" s="172">
        <v>0</v>
      </c>
      <c r="G427" s="172">
        <v>0</v>
      </c>
      <c r="H427" s="178">
        <f>-$N$1</f>
        <v>-4.7716218756768064E-3</v>
      </c>
      <c r="I427" s="171">
        <v>0</v>
      </c>
      <c r="J427" s="171">
        <v>0</v>
      </c>
      <c r="L427">
        <f t="array" ref="L427:N429">SVDD(B427:J429)</f>
        <v>3.1941658270270632</v>
      </c>
      <c r="M427">
        <v>0</v>
      </c>
      <c r="N427">
        <v>0</v>
      </c>
      <c r="P427">
        <f t="shared" ref="P427" si="119">MAX(L427,M428,N429)/MIN(L427,M428,N429)</f>
        <v>6.8907637602271539</v>
      </c>
    </row>
    <row r="428" spans="1:16">
      <c r="A428" s="171" t="s">
        <v>320</v>
      </c>
      <c r="B428" s="172">
        <v>0.14897154656832046</v>
      </c>
      <c r="C428" s="172">
        <v>-0.84725762547333594</v>
      </c>
      <c r="D428" s="172">
        <v>1.9759438806851826E-2</v>
      </c>
      <c r="E428" s="171">
        <v>0</v>
      </c>
      <c r="F428" s="171">
        <f>-$L$1</f>
        <v>-1.4990492230334603E-2</v>
      </c>
      <c r="G428" s="172">
        <v>0</v>
      </c>
      <c r="H428" s="172">
        <v>0</v>
      </c>
      <c r="I428" s="178">
        <f>-$N$1</f>
        <v>-4.7716218756768064E-3</v>
      </c>
      <c r="J428" s="171">
        <v>0</v>
      </c>
      <c r="L428">
        <v>0</v>
      </c>
      <c r="M428">
        <v>1.2743209867481813</v>
      </c>
      <c r="N428">
        <v>0</v>
      </c>
    </row>
    <row r="429" spans="1:16">
      <c r="A429" s="171"/>
      <c r="B429" s="172">
        <v>2.8449497700634536</v>
      </c>
      <c r="C429" s="172">
        <v>0.22852225552422287</v>
      </c>
      <c r="D429" s="172">
        <v>6.9737163040410666E-2</v>
      </c>
      <c r="E429" s="171">
        <v>0</v>
      </c>
      <c r="F429" s="172">
        <v>0</v>
      </c>
      <c r="G429" s="171">
        <f>-$L$1</f>
        <v>-1.4990492230334603E-2</v>
      </c>
      <c r="H429" s="172">
        <v>0</v>
      </c>
      <c r="I429" s="172">
        <v>0</v>
      </c>
      <c r="J429" s="178">
        <f>-$N$1</f>
        <v>-4.7716218756768064E-3</v>
      </c>
      <c r="L429">
        <v>0</v>
      </c>
      <c r="M429">
        <v>0</v>
      </c>
      <c r="N429">
        <v>0.46354307565490643</v>
      </c>
    </row>
    <row r="430" spans="1:16">
      <c r="A430" s="171"/>
      <c r="B430" s="172"/>
      <c r="C430" s="172"/>
      <c r="D430" s="172"/>
      <c r="E430" s="171"/>
      <c r="F430" s="171"/>
      <c r="G430" s="171"/>
      <c r="H430" s="171"/>
      <c r="I430" s="171"/>
      <c r="J430" s="171"/>
    </row>
    <row r="431" spans="1:16">
      <c r="A431" s="171"/>
      <c r="B431" s="172">
        <v>1.4028471761352286</v>
      </c>
      <c r="C431" s="172">
        <v>-0.814665459345566</v>
      </c>
      <c r="D431" s="172">
        <v>-0.7195871750303805</v>
      </c>
      <c r="E431" s="171">
        <f>-$L$1</f>
        <v>-1.4990492230334603E-2</v>
      </c>
      <c r="F431" s="172">
        <v>0</v>
      </c>
      <c r="G431" s="172">
        <v>0</v>
      </c>
      <c r="H431" s="178">
        <f>-$N$1</f>
        <v>-4.7716218756768064E-3</v>
      </c>
      <c r="I431" s="171">
        <v>0</v>
      </c>
      <c r="J431" s="171">
        <v>0</v>
      </c>
      <c r="L431">
        <f t="array" ref="L431:N433">SVDD(B431:J433)</f>
        <v>1.9685395383109332</v>
      </c>
      <c r="M431">
        <v>0</v>
      </c>
      <c r="N431">
        <v>0</v>
      </c>
      <c r="P431">
        <f t="shared" ref="P431" si="120">MAX(L431,M432,N433)/MIN(L431,M432,N433)</f>
        <v>9.9064111046691572</v>
      </c>
    </row>
    <row r="432" spans="1:16">
      <c r="A432" s="171" t="s">
        <v>321</v>
      </c>
      <c r="B432" s="172">
        <v>0.14897154656832046</v>
      </c>
      <c r="C432" s="172">
        <v>-0.84725762547333594</v>
      </c>
      <c r="D432" s="172">
        <v>1.9759438806851826E-2</v>
      </c>
      <c r="E432" s="171">
        <v>0</v>
      </c>
      <c r="F432" s="171">
        <f>-$L$1</f>
        <v>-1.4990492230334603E-2</v>
      </c>
      <c r="G432" s="172">
        <v>0</v>
      </c>
      <c r="H432" s="172">
        <v>0</v>
      </c>
      <c r="I432" s="178">
        <f>-$N$1</f>
        <v>-4.7716218756768064E-3</v>
      </c>
      <c r="J432" s="171">
        <v>0</v>
      </c>
      <c r="L432">
        <v>0</v>
      </c>
      <c r="M432">
        <v>1.3360103652570556</v>
      </c>
      <c r="N432">
        <v>0</v>
      </c>
    </row>
    <row r="433" spans="1:16">
      <c r="A433" s="171"/>
      <c r="B433" s="172">
        <v>0.36768865949079377</v>
      </c>
      <c r="C433" s="172">
        <v>1.2890795247765441</v>
      </c>
      <c r="D433" s="172">
        <v>0.10954983766095538</v>
      </c>
      <c r="E433" s="171">
        <v>0</v>
      </c>
      <c r="F433" s="172">
        <v>0</v>
      </c>
      <c r="G433" s="171">
        <f>-$L$1</f>
        <v>-1.4990492230334603E-2</v>
      </c>
      <c r="H433" s="172">
        <v>0</v>
      </c>
      <c r="I433" s="172">
        <v>0</v>
      </c>
      <c r="J433" s="178">
        <f>-$N$1</f>
        <v>-4.7716218756768064E-3</v>
      </c>
      <c r="L433">
        <v>0</v>
      </c>
      <c r="M433">
        <v>0</v>
      </c>
      <c r="N433">
        <v>0.19871369333573363</v>
      </c>
    </row>
    <row r="434" spans="1:16">
      <c r="A434" s="171"/>
      <c r="B434" s="172"/>
      <c r="C434" s="172"/>
      <c r="D434" s="172"/>
      <c r="E434" s="171"/>
      <c r="F434" s="171"/>
      <c r="G434" s="171"/>
      <c r="H434" s="171"/>
      <c r="I434" s="171"/>
      <c r="J434" s="171"/>
    </row>
    <row r="435" spans="1:16">
      <c r="A435" s="171"/>
      <c r="B435" s="172">
        <v>1.4028471761352286</v>
      </c>
      <c r="C435" s="172">
        <v>-0.814665459345566</v>
      </c>
      <c r="D435" s="172">
        <v>-0.7195871750303805</v>
      </c>
      <c r="E435" s="171">
        <f>-$L$1</f>
        <v>-1.4990492230334603E-2</v>
      </c>
      <c r="F435" s="172">
        <v>0</v>
      </c>
      <c r="G435" s="172">
        <v>0</v>
      </c>
      <c r="H435" s="178">
        <f>-$N$1</f>
        <v>-4.7716218756768064E-3</v>
      </c>
      <c r="I435" s="171">
        <v>0</v>
      </c>
      <c r="J435" s="171">
        <v>0</v>
      </c>
      <c r="L435">
        <f t="array" ref="L435:N437">SVDD(B435:J437)</f>
        <v>2.5449276676654722</v>
      </c>
      <c r="M435">
        <v>0</v>
      </c>
      <c r="N435">
        <v>0</v>
      </c>
      <c r="P435">
        <f t="shared" ref="P435" si="121">MAX(L435,M436,N437)/MIN(L435,M436,N437)</f>
        <v>7.5510594626677561</v>
      </c>
    </row>
    <row r="436" spans="1:16">
      <c r="A436" s="171" t="s">
        <v>322</v>
      </c>
      <c r="B436" s="172">
        <v>0.14897154656832046</v>
      </c>
      <c r="C436" s="172">
        <v>-0.84725762547333594</v>
      </c>
      <c r="D436" s="172">
        <v>1.9759438806851826E-2</v>
      </c>
      <c r="E436" s="171">
        <v>0</v>
      </c>
      <c r="F436" s="171">
        <f>-$L$1</f>
        <v>-1.4990492230334603E-2</v>
      </c>
      <c r="G436" s="172">
        <v>0</v>
      </c>
      <c r="H436" s="172">
        <v>0</v>
      </c>
      <c r="I436" s="178">
        <f>-$N$1</f>
        <v>-4.7716218756768064E-3</v>
      </c>
      <c r="J436" s="171">
        <v>0</v>
      </c>
      <c r="L436">
        <v>0</v>
      </c>
      <c r="M436">
        <v>1.6909385954555081</v>
      </c>
      <c r="N436">
        <v>0</v>
      </c>
    </row>
    <row r="437" spans="1:16">
      <c r="A437" s="171"/>
      <c r="B437" s="172">
        <v>1.9865190328797109</v>
      </c>
      <c r="C437" s="172">
        <v>1.2694850305255347</v>
      </c>
      <c r="D437" s="172">
        <v>3.2127045366234341E-2</v>
      </c>
      <c r="E437" s="171">
        <v>0</v>
      </c>
      <c r="F437" s="172">
        <v>0</v>
      </c>
      <c r="G437" s="171">
        <f>-$L$1</f>
        <v>-1.4990492230334603E-2</v>
      </c>
      <c r="H437" s="172">
        <v>0</v>
      </c>
      <c r="I437" s="172">
        <v>0</v>
      </c>
      <c r="J437" s="178">
        <f>-$N$1</f>
        <v>-4.7716218756768064E-3</v>
      </c>
      <c r="L437">
        <v>0</v>
      </c>
      <c r="M437">
        <v>0</v>
      </c>
      <c r="N437">
        <v>0.33702921825043614</v>
      </c>
    </row>
    <row r="438" spans="1:16">
      <c r="A438" s="171"/>
      <c r="B438" s="172"/>
      <c r="C438" s="172"/>
      <c r="D438" s="172"/>
      <c r="E438" s="171"/>
      <c r="F438" s="171"/>
      <c r="G438" s="171"/>
      <c r="H438" s="171"/>
      <c r="I438" s="171"/>
      <c r="J438" s="171"/>
    </row>
    <row r="439" spans="1:16">
      <c r="A439" s="171"/>
      <c r="B439" s="172">
        <v>1.4028471761352286</v>
      </c>
      <c r="C439" s="172">
        <v>-0.814665459345566</v>
      </c>
      <c r="D439" s="172">
        <v>-0.7195871750303805</v>
      </c>
      <c r="E439" s="171">
        <f>-$L$1</f>
        <v>-1.4990492230334603E-2</v>
      </c>
      <c r="F439" s="172">
        <v>0</v>
      </c>
      <c r="G439" s="172">
        <v>0</v>
      </c>
      <c r="H439" s="178">
        <f>-$N$1</f>
        <v>-4.7716218756768064E-3</v>
      </c>
      <c r="I439" s="171">
        <v>0</v>
      </c>
      <c r="J439" s="171">
        <v>0</v>
      </c>
      <c r="L439">
        <f t="array" ref="L439:N441">SVDD(B439:J441)</f>
        <v>2.3272299631782483</v>
      </c>
      <c r="M439">
        <v>0</v>
      </c>
      <c r="N439">
        <v>0</v>
      </c>
      <c r="P439">
        <f t="shared" ref="P439" si="122">MAX(L439,M440,N441)/MIN(L439,M440,N441)</f>
        <v>25.702748088643357</v>
      </c>
    </row>
    <row r="440" spans="1:16">
      <c r="A440" s="171" t="s">
        <v>323</v>
      </c>
      <c r="B440" s="172">
        <v>0.14897154656832046</v>
      </c>
      <c r="C440" s="172">
        <v>-0.84725762547333594</v>
      </c>
      <c r="D440" s="172">
        <v>1.9759438806851826E-2</v>
      </c>
      <c r="E440" s="171">
        <v>0</v>
      </c>
      <c r="F440" s="171">
        <f>-$L$1</f>
        <v>-1.4990492230334603E-2</v>
      </c>
      <c r="G440" s="172">
        <v>0</v>
      </c>
      <c r="H440" s="172">
        <v>0</v>
      </c>
      <c r="I440" s="178">
        <f>-$N$1</f>
        <v>-4.7716218756768064E-3</v>
      </c>
      <c r="J440" s="171">
        <v>0</v>
      </c>
      <c r="L440">
        <v>0</v>
      </c>
      <c r="M440">
        <v>1.789654913187565</v>
      </c>
      <c r="N440">
        <v>0</v>
      </c>
    </row>
    <row r="441" spans="1:16">
      <c r="A441" s="171"/>
      <c r="B441" s="172">
        <v>1.3773893306068323</v>
      </c>
      <c r="C441" s="172">
        <v>1.5521003879162059</v>
      </c>
      <c r="D441" s="172">
        <v>-0.65590292152571228</v>
      </c>
      <c r="E441" s="171">
        <v>0</v>
      </c>
      <c r="F441" s="172">
        <v>0</v>
      </c>
      <c r="G441" s="171">
        <f>-$L$1</f>
        <v>-1.4990492230334603E-2</v>
      </c>
      <c r="H441" s="172">
        <v>0</v>
      </c>
      <c r="I441" s="172">
        <v>0</v>
      </c>
      <c r="J441" s="178">
        <f>-$N$1</f>
        <v>-4.7716218756768064E-3</v>
      </c>
      <c r="L441">
        <v>0</v>
      </c>
      <c r="M441">
        <v>0</v>
      </c>
      <c r="N441">
        <v>9.054401323749986E-2</v>
      </c>
    </row>
    <row r="442" spans="1:16">
      <c r="A442" s="171"/>
      <c r="B442" s="172"/>
      <c r="C442" s="172"/>
      <c r="D442" s="172"/>
      <c r="E442" s="171"/>
      <c r="F442" s="171"/>
      <c r="G442" s="171"/>
      <c r="H442" s="171"/>
      <c r="I442" s="171"/>
      <c r="J442" s="171"/>
    </row>
    <row r="443" spans="1:16">
      <c r="A443" s="171"/>
      <c r="B443" s="172">
        <v>1.4028471761352286</v>
      </c>
      <c r="C443" s="172">
        <v>-0.814665459345566</v>
      </c>
      <c r="D443" s="172">
        <v>-0.7195871750303805</v>
      </c>
      <c r="E443" s="171">
        <f>-$L$1</f>
        <v>-1.4990492230334603E-2</v>
      </c>
      <c r="F443" s="172">
        <v>0</v>
      </c>
      <c r="G443" s="172">
        <v>0</v>
      </c>
      <c r="H443" s="178">
        <f>-$N$1</f>
        <v>-4.7716218756768064E-3</v>
      </c>
      <c r="I443" s="171">
        <v>0</v>
      </c>
      <c r="J443" s="171">
        <v>0</v>
      </c>
      <c r="L443">
        <f t="array" ref="L443:N445">SVDD(B443:J445)</f>
        <v>4.0644449253635457</v>
      </c>
      <c r="M443">
        <v>0</v>
      </c>
      <c r="N443">
        <v>0</v>
      </c>
      <c r="P443">
        <f t="shared" ref="P443" si="123">MAX(L443,M444,N445)/MIN(L443,M444,N445)</f>
        <v>8.2488209489774285</v>
      </c>
    </row>
    <row r="444" spans="1:16">
      <c r="A444" s="171" t="s">
        <v>324</v>
      </c>
      <c r="B444" s="172">
        <v>2.44475956514645</v>
      </c>
      <c r="C444" s="172">
        <v>-0.85548399177677847</v>
      </c>
      <c r="D444" s="172">
        <v>5.2896656816179721E-2</v>
      </c>
      <c r="E444" s="171">
        <v>0</v>
      </c>
      <c r="F444" s="171">
        <f>-$L$1</f>
        <v>-1.4990492230334603E-2</v>
      </c>
      <c r="G444" s="172">
        <v>0</v>
      </c>
      <c r="H444" s="172">
        <v>0</v>
      </c>
      <c r="I444" s="178">
        <f>-$N$1</f>
        <v>-4.7716218756768064E-3</v>
      </c>
      <c r="J444" s="171">
        <v>0</v>
      </c>
      <c r="L444">
        <v>0</v>
      </c>
      <c r="M444">
        <v>1.1180507545372851</v>
      </c>
      <c r="N444">
        <v>0</v>
      </c>
    </row>
    <row r="445" spans="1:16">
      <c r="A445" s="171"/>
      <c r="B445" s="172">
        <v>2.8449497700634536</v>
      </c>
      <c r="C445" s="172">
        <v>0.22852225552422287</v>
      </c>
      <c r="D445" s="172">
        <v>6.9737163040410666E-2</v>
      </c>
      <c r="E445" s="171">
        <v>0</v>
      </c>
      <c r="F445" s="172">
        <v>0</v>
      </c>
      <c r="G445" s="171">
        <f>-$L$1</f>
        <v>-1.4990492230334603E-2</v>
      </c>
      <c r="H445" s="172">
        <v>0</v>
      </c>
      <c r="I445" s="172">
        <v>0</v>
      </c>
      <c r="J445" s="178">
        <f>-$N$1</f>
        <v>-4.7716218756768064E-3</v>
      </c>
      <c r="L445">
        <v>0</v>
      </c>
      <c r="M445">
        <v>0</v>
      </c>
      <c r="N445">
        <v>0.49273040965538206</v>
      </c>
    </row>
    <row r="446" spans="1:16">
      <c r="A446" s="171"/>
      <c r="B446" s="172"/>
      <c r="C446" s="172"/>
      <c r="D446" s="172"/>
      <c r="E446" s="171"/>
      <c r="F446" s="171"/>
      <c r="G446" s="171"/>
      <c r="H446" s="171"/>
      <c r="I446" s="171"/>
      <c r="J446" s="171"/>
    </row>
    <row r="447" spans="1:16">
      <c r="A447" s="171"/>
      <c r="B447" s="172">
        <v>1.4028471761352286</v>
      </c>
      <c r="C447" s="172">
        <v>-0.814665459345566</v>
      </c>
      <c r="D447" s="172">
        <v>-0.7195871750303805</v>
      </c>
      <c r="E447" s="171">
        <f>-$L$1</f>
        <v>-1.4990492230334603E-2</v>
      </c>
      <c r="F447" s="172">
        <v>0</v>
      </c>
      <c r="G447" s="172">
        <v>0</v>
      </c>
      <c r="H447" s="178">
        <f>-$N$1</f>
        <v>-4.7716218756768064E-3</v>
      </c>
      <c r="I447" s="171">
        <v>0</v>
      </c>
      <c r="J447" s="171">
        <v>0</v>
      </c>
      <c r="L447">
        <f t="array" ref="L447:N449">SVDD(B447:J449)</f>
        <v>3.0697628457326984</v>
      </c>
      <c r="M447">
        <v>0</v>
      </c>
      <c r="N447">
        <v>0</v>
      </c>
      <c r="P447">
        <f t="shared" ref="P447" si="124">MAX(L447,M448,N449)/MIN(L447,M448,N449)</f>
        <v>5.1420144786144064</v>
      </c>
    </row>
    <row r="448" spans="1:16">
      <c r="A448" s="171" t="s">
        <v>325</v>
      </c>
      <c r="B448" s="172">
        <v>2.44475956514645</v>
      </c>
      <c r="C448" s="172">
        <v>-0.85548399177677847</v>
      </c>
      <c r="D448" s="172">
        <v>5.2896656816179721E-2</v>
      </c>
      <c r="E448" s="171">
        <v>0</v>
      </c>
      <c r="F448" s="171">
        <f>-$L$1</f>
        <v>-1.4990492230334603E-2</v>
      </c>
      <c r="G448" s="172">
        <v>0</v>
      </c>
      <c r="H448" s="172">
        <v>0</v>
      </c>
      <c r="I448" s="178">
        <f>-$N$1</f>
        <v>-4.7716218756768064E-3</v>
      </c>
      <c r="J448" s="171">
        <v>0</v>
      </c>
      <c r="L448">
        <v>0</v>
      </c>
      <c r="M448">
        <v>1.3750571685759596</v>
      </c>
      <c r="N448">
        <v>0</v>
      </c>
    </row>
    <row r="449" spans="1:16">
      <c r="A449" s="171"/>
      <c r="B449" s="172">
        <v>0.36768865949079377</v>
      </c>
      <c r="C449" s="172">
        <v>1.2890795247765441</v>
      </c>
      <c r="D449" s="172">
        <v>0.10954983766095538</v>
      </c>
      <c r="E449" s="171">
        <v>0</v>
      </c>
      <c r="F449" s="172">
        <v>0</v>
      </c>
      <c r="G449" s="171">
        <f>-$L$1</f>
        <v>-1.4990492230334603E-2</v>
      </c>
      <c r="H449" s="172">
        <v>0</v>
      </c>
      <c r="I449" s="172">
        <v>0</v>
      </c>
      <c r="J449" s="178">
        <f>-$N$1</f>
        <v>-4.7716218756768064E-3</v>
      </c>
      <c r="L449">
        <v>0</v>
      </c>
      <c r="M449">
        <v>0</v>
      </c>
      <c r="N449">
        <v>0.59699614975800153</v>
      </c>
    </row>
    <row r="450" spans="1:16">
      <c r="A450" s="171"/>
      <c r="B450" s="172"/>
      <c r="C450" s="172"/>
      <c r="D450" s="172"/>
      <c r="E450" s="171"/>
      <c r="F450" s="171"/>
      <c r="G450" s="171"/>
      <c r="H450" s="171"/>
      <c r="I450" s="171"/>
      <c r="J450" s="171"/>
    </row>
    <row r="451" spans="1:16">
      <c r="A451" s="171"/>
      <c r="B451" s="172">
        <v>1.4028471761352286</v>
      </c>
      <c r="C451" s="172">
        <v>-0.814665459345566</v>
      </c>
      <c r="D451" s="172">
        <v>-0.7195871750303805</v>
      </c>
      <c r="E451" s="171">
        <f>-$L$1</f>
        <v>-1.4990492230334603E-2</v>
      </c>
      <c r="F451" s="172">
        <v>0</v>
      </c>
      <c r="G451" s="172">
        <v>0</v>
      </c>
      <c r="H451" s="178">
        <f>-$N$1</f>
        <v>-4.7716218756768064E-3</v>
      </c>
      <c r="I451" s="171">
        <v>0</v>
      </c>
      <c r="J451" s="171">
        <v>0</v>
      </c>
      <c r="L451">
        <f t="array" ref="L451:N453">SVDD(B451:J453)</f>
        <v>3.4659241472306417</v>
      </c>
      <c r="M451">
        <v>0</v>
      </c>
      <c r="N451">
        <v>0</v>
      </c>
      <c r="P451">
        <f t="shared" ref="P451" si="125">MAX(L451,M452,N453)/MIN(L451,M452,N453)</f>
        <v>5.8101815949256537</v>
      </c>
    </row>
    <row r="452" spans="1:16">
      <c r="A452" s="171" t="s">
        <v>326</v>
      </c>
      <c r="B452" s="172">
        <v>2.44475956514645</v>
      </c>
      <c r="C452" s="172">
        <v>-0.85548399177677847</v>
      </c>
      <c r="D452" s="172">
        <v>5.2896656816179721E-2</v>
      </c>
      <c r="E452" s="171">
        <v>0</v>
      </c>
      <c r="F452" s="171">
        <f>-$L$1</f>
        <v>-1.4990492230334603E-2</v>
      </c>
      <c r="G452" s="172">
        <v>0</v>
      </c>
      <c r="H452" s="172">
        <v>0</v>
      </c>
      <c r="I452" s="178">
        <f>-$N$1</f>
        <v>-4.7716218756768064E-3</v>
      </c>
      <c r="J452" s="171">
        <v>0</v>
      </c>
      <c r="L452">
        <v>0</v>
      </c>
      <c r="M452">
        <v>1.7470309825679369</v>
      </c>
      <c r="N452">
        <v>0</v>
      </c>
    </row>
    <row r="453" spans="1:16">
      <c r="A453" s="171"/>
      <c r="B453" s="172">
        <v>1.9865190328797109</v>
      </c>
      <c r="C453" s="172">
        <v>1.2694850305255347</v>
      </c>
      <c r="D453" s="172">
        <v>3.2127045366234341E-2</v>
      </c>
      <c r="E453" s="171">
        <v>0</v>
      </c>
      <c r="F453" s="172">
        <v>0</v>
      </c>
      <c r="G453" s="171">
        <f>-$L$1</f>
        <v>-1.4990492230334603E-2</v>
      </c>
      <c r="H453" s="172">
        <v>0</v>
      </c>
      <c r="I453" s="172">
        <v>0</v>
      </c>
      <c r="J453" s="178">
        <f>-$N$1</f>
        <v>-4.7716218756768064E-3</v>
      </c>
      <c r="L453">
        <v>0</v>
      </c>
      <c r="M453">
        <v>0</v>
      </c>
      <c r="N453">
        <v>0.59652595888872406</v>
      </c>
    </row>
    <row r="454" spans="1:16">
      <c r="A454" s="171"/>
      <c r="B454" s="172"/>
      <c r="C454" s="172"/>
      <c r="D454" s="172"/>
      <c r="E454" s="171"/>
      <c r="F454" s="171"/>
      <c r="G454" s="171"/>
      <c r="H454" s="171"/>
      <c r="I454" s="171"/>
      <c r="J454" s="171"/>
    </row>
    <row r="455" spans="1:16">
      <c r="A455" s="171"/>
      <c r="B455" s="172">
        <v>1.4028471761352286</v>
      </c>
      <c r="C455" s="172">
        <v>-0.814665459345566</v>
      </c>
      <c r="D455" s="172">
        <v>-0.7195871750303805</v>
      </c>
      <c r="E455" s="171">
        <f>-$L$1</f>
        <v>-1.4990492230334603E-2</v>
      </c>
      <c r="F455" s="172">
        <v>0</v>
      </c>
      <c r="G455" s="172">
        <v>0</v>
      </c>
      <c r="H455" s="178">
        <f>-$N$1</f>
        <v>-4.7716218756768064E-3</v>
      </c>
      <c r="I455" s="171">
        <v>0</v>
      </c>
      <c r="J455" s="171">
        <v>0</v>
      </c>
      <c r="L455">
        <f t="array" ref="L455:N457">SVDD(B455:J457)</f>
        <v>3.2150697643962518</v>
      </c>
      <c r="M455">
        <v>0</v>
      </c>
      <c r="N455">
        <v>0</v>
      </c>
      <c r="P455">
        <f t="shared" ref="P455" si="126">MAX(L455,M456,N457)/MIN(L455,M456,N457)</f>
        <v>4.7126969128317917</v>
      </c>
    </row>
    <row r="456" spans="1:16">
      <c r="A456" s="171" t="s">
        <v>327</v>
      </c>
      <c r="B456" s="172">
        <v>2.44475956514645</v>
      </c>
      <c r="C456" s="172">
        <v>-0.85548399177677847</v>
      </c>
      <c r="D456" s="172">
        <v>5.2896656816179721E-2</v>
      </c>
      <c r="E456" s="171">
        <v>0</v>
      </c>
      <c r="F456" s="171">
        <f>-$L$1</f>
        <v>-1.4990492230334603E-2</v>
      </c>
      <c r="G456" s="172">
        <v>0</v>
      </c>
      <c r="H456" s="172">
        <v>0</v>
      </c>
      <c r="I456" s="178">
        <f>-$N$1</f>
        <v>-4.7716218756768064E-3</v>
      </c>
      <c r="J456" s="171">
        <v>0</v>
      </c>
      <c r="L456">
        <v>0</v>
      </c>
      <c r="M456">
        <v>1.9483438962088984</v>
      </c>
      <c r="N456">
        <v>0</v>
      </c>
    </row>
    <row r="457" spans="1:16">
      <c r="A457" s="171"/>
      <c r="B457" s="172">
        <v>1.3773893306068323</v>
      </c>
      <c r="C457" s="172">
        <v>1.5521003879162059</v>
      </c>
      <c r="D457" s="172">
        <v>-0.65590292152571228</v>
      </c>
      <c r="E457" s="171">
        <v>0</v>
      </c>
      <c r="F457" s="172">
        <v>0</v>
      </c>
      <c r="G457" s="171">
        <f>-$L$1</f>
        <v>-1.4990492230334603E-2</v>
      </c>
      <c r="H457" s="172">
        <v>0</v>
      </c>
      <c r="I457" s="172">
        <v>0</v>
      </c>
      <c r="J457" s="178">
        <f>-$N$1</f>
        <v>-4.7716218756768064E-3</v>
      </c>
      <c r="L457">
        <v>0</v>
      </c>
      <c r="M457">
        <v>0</v>
      </c>
      <c r="N457">
        <v>0.68221441434992747</v>
      </c>
    </row>
    <row r="458" spans="1:16">
      <c r="A458" s="171"/>
      <c r="B458" s="172"/>
      <c r="C458" s="172"/>
      <c r="D458" s="172"/>
      <c r="E458" s="171"/>
      <c r="F458" s="171"/>
      <c r="G458" s="171"/>
      <c r="H458" s="171"/>
      <c r="I458" s="171"/>
      <c r="J458" s="171"/>
    </row>
    <row r="459" spans="1:16">
      <c r="A459" s="171"/>
      <c r="B459" s="172">
        <v>1.4028471761352286</v>
      </c>
      <c r="C459" s="172">
        <v>-0.814665459345566</v>
      </c>
      <c r="D459" s="172">
        <v>-0.7195871750303805</v>
      </c>
      <c r="E459" s="171">
        <f>-$L$1</f>
        <v>-1.4990492230334603E-2</v>
      </c>
      <c r="F459" s="172">
        <v>0</v>
      </c>
      <c r="G459" s="172">
        <v>0</v>
      </c>
      <c r="H459" s="178">
        <f>-$N$1</f>
        <v>-4.7716218756768064E-3</v>
      </c>
      <c r="I459" s="171">
        <v>0</v>
      </c>
      <c r="J459" s="171">
        <v>0</v>
      </c>
      <c r="L459">
        <f t="array" ref="L459:N461">SVDD(B459:J461)</f>
        <v>3.2029721018991681</v>
      </c>
      <c r="M459">
        <v>0</v>
      </c>
      <c r="N459">
        <v>0</v>
      </c>
      <c r="P459">
        <f t="shared" ref="P459" si="127">MAX(L459,M460,N461)/MIN(L459,M460,N461)</f>
        <v>6.8250103361546133</v>
      </c>
    </row>
    <row r="460" spans="1:16">
      <c r="A460" s="171" t="s">
        <v>328</v>
      </c>
      <c r="B460" s="172">
        <v>2.8449497700634536</v>
      </c>
      <c r="C460" s="172">
        <v>0.22852225552422287</v>
      </c>
      <c r="D460" s="172">
        <v>6.9737163040410666E-2</v>
      </c>
      <c r="E460" s="171">
        <v>0</v>
      </c>
      <c r="F460" s="171">
        <f>-$L$1</f>
        <v>-1.4990492230334603E-2</v>
      </c>
      <c r="G460" s="172">
        <v>0</v>
      </c>
      <c r="H460" s="172">
        <v>0</v>
      </c>
      <c r="I460" s="178">
        <f>-$N$1</f>
        <v>-4.7716218756768064E-3</v>
      </c>
      <c r="J460" s="171">
        <v>0</v>
      </c>
      <c r="L460">
        <v>0</v>
      </c>
      <c r="M460">
        <v>1.6219380797413381</v>
      </c>
      <c r="N460">
        <v>0</v>
      </c>
    </row>
    <row r="461" spans="1:16">
      <c r="A461" s="171"/>
      <c r="B461" s="172">
        <v>0.36768865949079377</v>
      </c>
      <c r="C461" s="172">
        <v>1.2890795247765441</v>
      </c>
      <c r="D461" s="172">
        <v>0.10954983766095538</v>
      </c>
      <c r="E461" s="171">
        <v>0</v>
      </c>
      <c r="F461" s="172">
        <v>0</v>
      </c>
      <c r="G461" s="171">
        <f>-$L$1</f>
        <v>-1.4990492230334603E-2</v>
      </c>
      <c r="H461" s="172">
        <v>0</v>
      </c>
      <c r="I461" s="172">
        <v>0</v>
      </c>
      <c r="J461" s="178">
        <f>-$N$1</f>
        <v>-4.7716218756768064E-3</v>
      </c>
      <c r="L461">
        <v>0</v>
      </c>
      <c r="M461">
        <v>0</v>
      </c>
      <c r="N461">
        <v>0.46929923093769338</v>
      </c>
    </row>
    <row r="462" spans="1:16">
      <c r="A462" s="171"/>
      <c r="B462" s="172"/>
      <c r="C462" s="172"/>
      <c r="D462" s="172"/>
      <c r="E462" s="171"/>
      <c r="F462" s="171"/>
      <c r="G462" s="171"/>
      <c r="H462" s="171"/>
      <c r="I462" s="171"/>
      <c r="J462" s="171"/>
    </row>
    <row r="463" spans="1:16">
      <c r="A463" s="171"/>
      <c r="B463" s="172">
        <v>1.4028471761352286</v>
      </c>
      <c r="C463" s="172">
        <v>-0.814665459345566</v>
      </c>
      <c r="D463" s="172">
        <v>-0.7195871750303805</v>
      </c>
      <c r="E463" s="171">
        <f>-$L$1</f>
        <v>-1.4990492230334603E-2</v>
      </c>
      <c r="F463" s="172">
        <v>0</v>
      </c>
      <c r="G463" s="172">
        <v>0</v>
      </c>
      <c r="H463" s="178">
        <f>-$N$1</f>
        <v>-4.7716218756768064E-3</v>
      </c>
      <c r="I463" s="171">
        <v>0</v>
      </c>
      <c r="J463" s="171">
        <v>0</v>
      </c>
      <c r="L463">
        <f t="array" ref="L463:N465">SVDD(B463:J465)</f>
        <v>3.7920197625937022</v>
      </c>
      <c r="M463">
        <v>0</v>
      </c>
      <c r="N463">
        <v>0</v>
      </c>
      <c r="P463">
        <f t="shared" ref="P463" si="128">MAX(L463,M464,N465)/MIN(L463,M464,N465)</f>
        <v>8.9930678571366478</v>
      </c>
    </row>
    <row r="464" spans="1:16">
      <c r="A464" s="171" t="s">
        <v>329</v>
      </c>
      <c r="B464" s="172">
        <v>2.8449497700634536</v>
      </c>
      <c r="C464" s="172">
        <v>0.22852225552422287</v>
      </c>
      <c r="D464" s="172">
        <v>6.9737163040410666E-2</v>
      </c>
      <c r="E464" s="171">
        <v>0</v>
      </c>
      <c r="F464" s="171">
        <f>-$L$1</f>
        <v>-1.4990492230334603E-2</v>
      </c>
      <c r="G464" s="172">
        <v>0</v>
      </c>
      <c r="H464" s="172">
        <v>0</v>
      </c>
      <c r="I464" s="178">
        <f>-$N$1</f>
        <v>-4.7716218756768064E-3</v>
      </c>
      <c r="J464" s="171">
        <v>0</v>
      </c>
      <c r="L464">
        <v>0</v>
      </c>
      <c r="M464">
        <v>1.5174663133934363</v>
      </c>
      <c r="N464">
        <v>0</v>
      </c>
    </row>
    <row r="465" spans="1:16">
      <c r="A465" s="171"/>
      <c r="B465" s="172">
        <v>1.9865190328797109</v>
      </c>
      <c r="C465" s="172">
        <v>1.2694850305255347</v>
      </c>
      <c r="D465" s="172">
        <v>3.2127045366234341E-2</v>
      </c>
      <c r="E465" s="171">
        <v>0</v>
      </c>
      <c r="F465" s="172">
        <v>0</v>
      </c>
      <c r="G465" s="171">
        <f>-$L$1</f>
        <v>-1.4990492230334603E-2</v>
      </c>
      <c r="H465" s="172">
        <v>0</v>
      </c>
      <c r="I465" s="172">
        <v>0</v>
      </c>
      <c r="J465" s="178">
        <f>-$N$1</f>
        <v>-4.7716218756768064E-3</v>
      </c>
      <c r="L465">
        <v>0</v>
      </c>
      <c r="M465">
        <v>0</v>
      </c>
      <c r="N465">
        <v>0.42166030800984794</v>
      </c>
    </row>
    <row r="466" spans="1:16">
      <c r="A466" s="171"/>
      <c r="B466" s="172"/>
      <c r="C466" s="172"/>
      <c r="D466" s="172"/>
      <c r="E466" s="171"/>
      <c r="F466" s="171"/>
      <c r="G466" s="171"/>
      <c r="H466" s="171"/>
      <c r="I466" s="171"/>
      <c r="J466" s="171"/>
    </row>
    <row r="467" spans="1:16">
      <c r="A467" s="171"/>
      <c r="B467" s="172">
        <v>1.4028471761352286</v>
      </c>
      <c r="C467" s="172">
        <v>-0.814665459345566</v>
      </c>
      <c r="D467" s="172">
        <v>-0.7195871750303805</v>
      </c>
      <c r="E467" s="171">
        <f>-$L$1</f>
        <v>-1.4990492230334603E-2</v>
      </c>
      <c r="F467" s="172">
        <v>0</v>
      </c>
      <c r="G467" s="172">
        <v>0</v>
      </c>
      <c r="H467" s="178">
        <f>-$N$1</f>
        <v>-4.7716218756768064E-3</v>
      </c>
      <c r="I467" s="171">
        <v>0</v>
      </c>
      <c r="J467" s="171">
        <v>0</v>
      </c>
      <c r="L467">
        <f t="array" ref="L467:N469">SVDD(B467:J469)</f>
        <v>3.5388781808738043</v>
      </c>
      <c r="M467">
        <v>0</v>
      </c>
      <c r="N467">
        <v>0</v>
      </c>
      <c r="P467">
        <f t="shared" ref="P467" si="129">MAX(L467,M468,N469)/MIN(L467,M468,N469)</f>
        <v>4.2913852360316209</v>
      </c>
    </row>
    <row r="468" spans="1:16">
      <c r="A468" s="171" t="s">
        <v>330</v>
      </c>
      <c r="B468" s="172">
        <v>2.8449497700634536</v>
      </c>
      <c r="C468" s="172">
        <v>0.22852225552422287</v>
      </c>
      <c r="D468" s="172">
        <v>6.9737163040410666E-2</v>
      </c>
      <c r="E468" s="171">
        <v>0</v>
      </c>
      <c r="F468" s="171">
        <f>-$L$1</f>
        <v>-1.4990492230334603E-2</v>
      </c>
      <c r="G468" s="172">
        <v>0</v>
      </c>
      <c r="H468" s="172">
        <v>0</v>
      </c>
      <c r="I468" s="178">
        <f>-$N$1</f>
        <v>-4.7716218756768064E-3</v>
      </c>
      <c r="J468" s="171">
        <v>0</v>
      </c>
      <c r="L468">
        <v>0</v>
      </c>
      <c r="M468">
        <v>1.6833767065626155</v>
      </c>
      <c r="N468">
        <v>0</v>
      </c>
    </row>
    <row r="469" spans="1:16">
      <c r="A469" s="171"/>
      <c r="B469" s="172">
        <v>1.3773893306068323</v>
      </c>
      <c r="C469" s="172">
        <v>1.5521003879162059</v>
      </c>
      <c r="D469" s="172">
        <v>-0.65590292152571228</v>
      </c>
      <c r="E469" s="171">
        <v>0</v>
      </c>
      <c r="F469" s="172">
        <v>0</v>
      </c>
      <c r="G469" s="171">
        <f>-$L$1</f>
        <v>-1.4990492230334603E-2</v>
      </c>
      <c r="H469" s="172">
        <v>0</v>
      </c>
      <c r="I469" s="172">
        <v>0</v>
      </c>
      <c r="J469" s="178">
        <f>-$N$1</f>
        <v>-4.7716218756768064E-3</v>
      </c>
      <c r="L469">
        <v>0</v>
      </c>
      <c r="M469">
        <v>0</v>
      </c>
      <c r="N469">
        <v>0.82464705129719762</v>
      </c>
    </row>
    <row r="470" spans="1:16">
      <c r="A470" s="171"/>
      <c r="B470" s="172"/>
      <c r="C470" s="172"/>
      <c r="D470" s="172"/>
      <c r="E470" s="171"/>
      <c r="F470" s="171"/>
      <c r="G470" s="171"/>
      <c r="H470" s="171"/>
      <c r="I470" s="171"/>
      <c r="J470" s="171"/>
    </row>
    <row r="471" spans="1:16">
      <c r="A471" s="171"/>
      <c r="B471" s="172">
        <v>1.4028471761352286</v>
      </c>
      <c r="C471" s="172">
        <v>-0.814665459345566</v>
      </c>
      <c r="D471" s="172">
        <v>-0.7195871750303805</v>
      </c>
      <c r="E471" s="171">
        <f>-$L$1</f>
        <v>-1.4990492230334603E-2</v>
      </c>
      <c r="F471" s="172">
        <v>0</v>
      </c>
      <c r="G471" s="172">
        <v>0</v>
      </c>
      <c r="H471" s="178">
        <f>-$N$1</f>
        <v>-4.7716218756768064E-3</v>
      </c>
      <c r="I471" s="171">
        <v>0</v>
      </c>
      <c r="J471" s="171">
        <v>0</v>
      </c>
      <c r="L471">
        <f t="array" ref="L471:N473">SVDD(B471:J473)</f>
        <v>2.6741775812958428</v>
      </c>
      <c r="M471">
        <v>0</v>
      </c>
      <c r="N471">
        <v>0</v>
      </c>
      <c r="P471">
        <f t="shared" ref="P471" si="130">MAX(L471,M472,N473)/MIN(L471,M472,N473)</f>
        <v>10.792718451752343</v>
      </c>
    </row>
    <row r="472" spans="1:16">
      <c r="A472" s="171" t="s">
        <v>331</v>
      </c>
      <c r="B472" s="172">
        <v>0.36768865949079377</v>
      </c>
      <c r="C472" s="172">
        <v>1.2890795247765441</v>
      </c>
      <c r="D472" s="172">
        <v>0.10954983766095538</v>
      </c>
      <c r="E472" s="171">
        <v>0</v>
      </c>
      <c r="F472" s="171">
        <f>-$L$1</f>
        <v>-1.4990492230334603E-2</v>
      </c>
      <c r="G472" s="172">
        <v>0</v>
      </c>
      <c r="H472" s="172">
        <v>0</v>
      </c>
      <c r="I472" s="178">
        <f>-$N$1</f>
        <v>-4.7716218756768064E-3</v>
      </c>
      <c r="J472" s="171">
        <v>0</v>
      </c>
      <c r="L472">
        <v>0</v>
      </c>
      <c r="M472">
        <v>1.8180742095440199</v>
      </c>
      <c r="N472">
        <v>0</v>
      </c>
    </row>
    <row r="473" spans="1:16">
      <c r="A473" s="171"/>
      <c r="B473" s="172">
        <v>1.9865190328797109</v>
      </c>
      <c r="C473" s="172">
        <v>1.2694850305255347</v>
      </c>
      <c r="D473" s="172">
        <v>3.2127045366234341E-2</v>
      </c>
      <c r="E473" s="171">
        <v>0</v>
      </c>
      <c r="F473" s="172">
        <v>0</v>
      </c>
      <c r="G473" s="171">
        <f>-$L$1</f>
        <v>-1.4990492230334603E-2</v>
      </c>
      <c r="H473" s="172">
        <v>0</v>
      </c>
      <c r="I473" s="172">
        <v>0</v>
      </c>
      <c r="J473" s="178">
        <f>-$N$1</f>
        <v>-4.7716218756768064E-3</v>
      </c>
      <c r="L473">
        <v>0</v>
      </c>
      <c r="M473">
        <v>0</v>
      </c>
      <c r="N473">
        <v>0.24777609026404779</v>
      </c>
    </row>
    <row r="474" spans="1:16">
      <c r="A474" s="171"/>
      <c r="B474" s="172"/>
      <c r="C474" s="172"/>
      <c r="D474" s="172"/>
      <c r="E474" s="171"/>
      <c r="F474" s="171"/>
      <c r="G474" s="171"/>
      <c r="H474" s="171"/>
      <c r="I474" s="171"/>
      <c r="J474" s="171"/>
    </row>
    <row r="475" spans="1:16">
      <c r="A475" s="171"/>
      <c r="B475" s="172">
        <v>1.4028471761352286</v>
      </c>
      <c r="C475" s="172">
        <v>-0.814665459345566</v>
      </c>
      <c r="D475" s="172">
        <v>-0.7195871750303805</v>
      </c>
      <c r="E475" s="171">
        <f>-$L$1</f>
        <v>-1.4990492230334603E-2</v>
      </c>
      <c r="F475" s="172">
        <v>0</v>
      </c>
      <c r="G475" s="172">
        <v>0</v>
      </c>
      <c r="H475" s="178">
        <f>-$N$1</f>
        <v>-4.7716218756768064E-3</v>
      </c>
      <c r="I475" s="171">
        <v>0</v>
      </c>
      <c r="J475" s="171">
        <v>0</v>
      </c>
      <c r="L475">
        <f t="array" ref="L475:N477">SVDD(B475:J477)</f>
        <v>2.5054572669912938</v>
      </c>
      <c r="M475">
        <v>0</v>
      </c>
      <c r="N475">
        <v>0</v>
      </c>
      <c r="P475">
        <f t="shared" ref="P475" si="131">MAX(L475,M476,N477)/MIN(L475,M476,N477)</f>
        <v>13.11668543542511</v>
      </c>
    </row>
    <row r="476" spans="1:16">
      <c r="A476" s="171" t="s">
        <v>332</v>
      </c>
      <c r="B476" s="172">
        <v>0.36768865949079377</v>
      </c>
      <c r="C476" s="172">
        <v>1.2890795247765441</v>
      </c>
      <c r="D476" s="172">
        <v>0.10954983766095538</v>
      </c>
      <c r="E476" s="171">
        <v>0</v>
      </c>
      <c r="F476" s="171">
        <f>-$L$1</f>
        <v>-1.4990492230334603E-2</v>
      </c>
      <c r="G476" s="172">
        <v>0</v>
      </c>
      <c r="H476" s="172">
        <v>0</v>
      </c>
      <c r="I476" s="178">
        <f>-$N$1</f>
        <v>-4.7716218756768064E-3</v>
      </c>
      <c r="J476" s="171">
        <v>0</v>
      </c>
      <c r="L476">
        <v>0</v>
      </c>
      <c r="M476">
        <v>1.8389545528825293</v>
      </c>
      <c r="N476">
        <v>0</v>
      </c>
    </row>
    <row r="477" spans="1:16">
      <c r="A477" s="171"/>
      <c r="B477" s="172">
        <v>1.3773893306068323</v>
      </c>
      <c r="C477" s="172">
        <v>1.5521003879162059</v>
      </c>
      <c r="D477" s="172">
        <v>-0.65590292152571228</v>
      </c>
      <c r="E477" s="171">
        <v>0</v>
      </c>
      <c r="F477" s="172">
        <v>0</v>
      </c>
      <c r="G477" s="171">
        <f>-$L$1</f>
        <v>-1.4990492230334603E-2</v>
      </c>
      <c r="H477" s="172">
        <v>0</v>
      </c>
      <c r="I477" s="172">
        <v>0</v>
      </c>
      <c r="J477" s="178">
        <f>-$N$1</f>
        <v>-4.7716218756768064E-3</v>
      </c>
      <c r="L477">
        <v>0</v>
      </c>
      <c r="M477">
        <v>0</v>
      </c>
      <c r="N477">
        <v>0.191012987185363</v>
      </c>
    </row>
    <row r="478" spans="1:16">
      <c r="A478" s="171"/>
      <c r="B478" s="172"/>
      <c r="C478" s="172"/>
      <c r="D478" s="172"/>
      <c r="E478" s="171"/>
      <c r="F478" s="171"/>
      <c r="G478" s="171"/>
      <c r="H478" s="171"/>
      <c r="I478" s="171"/>
      <c r="J478" s="171"/>
    </row>
    <row r="479" spans="1:16">
      <c r="A479" s="171"/>
      <c r="B479" s="172">
        <v>1.4028471761352286</v>
      </c>
      <c r="C479" s="172">
        <v>-0.814665459345566</v>
      </c>
      <c r="D479" s="172">
        <v>-0.7195871750303805</v>
      </c>
      <c r="E479" s="171">
        <f>-$L$1</f>
        <v>-1.4990492230334603E-2</v>
      </c>
      <c r="F479" s="172">
        <v>0</v>
      </c>
      <c r="G479" s="172">
        <v>0</v>
      </c>
      <c r="H479" s="178">
        <f>-$N$1</f>
        <v>-4.7716218756768064E-3</v>
      </c>
      <c r="I479" s="171">
        <v>0</v>
      </c>
      <c r="J479" s="171">
        <v>0</v>
      </c>
      <c r="L479">
        <f t="array" ref="L479:N481">SVDD(B479:J481)</f>
        <v>3.2290918936442035</v>
      </c>
      <c r="M479">
        <v>0</v>
      </c>
      <c r="N479">
        <v>0</v>
      </c>
      <c r="P479">
        <f t="shared" ref="P479" si="132">MAX(L479,M480,N481)/MIN(L479,M480,N481)</f>
        <v>5.1193343402506821</v>
      </c>
    </row>
    <row r="480" spans="1:16">
      <c r="A480" s="171" t="s">
        <v>333</v>
      </c>
      <c r="B480" s="172">
        <v>1.9865190328797109</v>
      </c>
      <c r="C480" s="172">
        <v>1.2694850305255347</v>
      </c>
      <c r="D480" s="172">
        <v>3.2127045366234341E-2</v>
      </c>
      <c r="E480" s="171">
        <v>0</v>
      </c>
      <c r="F480" s="171">
        <f>-$L$1</f>
        <v>-1.4990492230334603E-2</v>
      </c>
      <c r="G480" s="172">
        <v>0</v>
      </c>
      <c r="H480" s="172">
        <v>0</v>
      </c>
      <c r="I480" s="178">
        <f>-$N$1</f>
        <v>-4.7716218756768064E-3</v>
      </c>
      <c r="J480" s="171">
        <v>0</v>
      </c>
      <c r="L480">
        <v>0</v>
      </c>
      <c r="M480">
        <v>1.6188324008170598</v>
      </c>
      <c r="N480">
        <v>0</v>
      </c>
    </row>
    <row r="481" spans="1:16">
      <c r="A481" s="171"/>
      <c r="B481" s="172">
        <v>1.3773893306068323</v>
      </c>
      <c r="C481" s="172">
        <v>1.5521003879162059</v>
      </c>
      <c r="D481" s="172">
        <v>-0.65590292152571228</v>
      </c>
      <c r="E481" s="171">
        <v>0</v>
      </c>
      <c r="F481" s="172">
        <v>0</v>
      </c>
      <c r="G481" s="171">
        <f>-$L$1</f>
        <v>-1.4990492230334603E-2</v>
      </c>
      <c r="H481" s="172">
        <v>0</v>
      </c>
      <c r="I481" s="172">
        <v>0</v>
      </c>
      <c r="J481" s="178">
        <f>-$N$1</f>
        <v>-4.7716218756768064E-3</v>
      </c>
      <c r="L481">
        <v>0</v>
      </c>
      <c r="M481">
        <v>0</v>
      </c>
      <c r="N481">
        <v>0.63076401716049713</v>
      </c>
    </row>
    <row r="482" spans="1:16">
      <c r="A482" s="171"/>
      <c r="B482" s="172"/>
      <c r="C482" s="172"/>
      <c r="D482" s="172"/>
      <c r="E482" s="171"/>
      <c r="F482" s="171"/>
      <c r="G482" s="171"/>
      <c r="H482" s="171"/>
      <c r="I482" s="171"/>
      <c r="J482" s="171"/>
    </row>
    <row r="483" spans="1:16">
      <c r="A483" s="171"/>
      <c r="B483" s="172">
        <v>0.14897154656832046</v>
      </c>
      <c r="C483" s="172">
        <v>-0.84725762547333594</v>
      </c>
      <c r="D483" s="172">
        <v>1.9759438806851826E-2</v>
      </c>
      <c r="E483" s="171">
        <f>-$L$1</f>
        <v>-1.4990492230334603E-2</v>
      </c>
      <c r="F483" s="172">
        <v>0</v>
      </c>
      <c r="G483" s="172">
        <v>0</v>
      </c>
      <c r="H483" s="178">
        <f>-$N$1</f>
        <v>-4.7716218756768064E-3</v>
      </c>
      <c r="I483" s="171">
        <v>0</v>
      </c>
      <c r="J483" s="171">
        <v>0</v>
      </c>
      <c r="L483">
        <f t="array" ref="L483:N485">SVDD(B483:J485)</f>
        <v>3.7806149484580001</v>
      </c>
      <c r="M483">
        <v>0</v>
      </c>
      <c r="N483">
        <v>0</v>
      </c>
      <c r="P483">
        <f t="shared" ref="P483" si="133">MAX(L483,M484,N485)/MIN(L483,M484,N485)</f>
        <v>173.30422484384809</v>
      </c>
    </row>
    <row r="484" spans="1:16">
      <c r="A484" s="171" t="s">
        <v>334</v>
      </c>
      <c r="B484" s="172">
        <v>2.44475956514645</v>
      </c>
      <c r="C484" s="172">
        <v>-0.85548399177677847</v>
      </c>
      <c r="D484" s="172">
        <v>5.2896656816179721E-2</v>
      </c>
      <c r="E484" s="171">
        <v>0</v>
      </c>
      <c r="F484" s="171">
        <f>-$L$1</f>
        <v>-1.4990492230334603E-2</v>
      </c>
      <c r="G484" s="172">
        <v>0</v>
      </c>
      <c r="H484" s="172">
        <v>0</v>
      </c>
      <c r="I484" s="178">
        <f>-$N$1</f>
        <v>-4.7716218756768064E-3</v>
      </c>
      <c r="J484" s="171">
        <v>0</v>
      </c>
      <c r="L484">
        <v>0</v>
      </c>
      <c r="M484">
        <v>1.1445395351124801</v>
      </c>
      <c r="N484">
        <v>0</v>
      </c>
    </row>
    <row r="485" spans="1:16">
      <c r="A485" s="171"/>
      <c r="B485" s="172">
        <v>2.8449497700634536</v>
      </c>
      <c r="C485" s="172">
        <v>0.22852225552422287</v>
      </c>
      <c r="D485" s="172">
        <v>6.9737163040410666E-2</v>
      </c>
      <c r="E485" s="171">
        <v>0</v>
      </c>
      <c r="F485" s="172">
        <v>0</v>
      </c>
      <c r="G485" s="171">
        <f>-$L$1</f>
        <v>-1.4990492230334603E-2</v>
      </c>
      <c r="H485" s="172">
        <v>0</v>
      </c>
      <c r="I485" s="172">
        <v>0</v>
      </c>
      <c r="J485" s="178">
        <f>-$N$1</f>
        <v>-4.7716218756768064E-3</v>
      </c>
      <c r="L485">
        <v>0</v>
      </c>
      <c r="M485">
        <v>0</v>
      </c>
      <c r="N485">
        <v>2.1814903542394532E-2</v>
      </c>
    </row>
    <row r="486" spans="1:16">
      <c r="A486" s="171"/>
      <c r="B486" s="172"/>
      <c r="C486" s="172"/>
      <c r="D486" s="172"/>
      <c r="E486" s="171"/>
      <c r="F486" s="171"/>
      <c r="G486" s="171"/>
      <c r="H486" s="171"/>
      <c r="I486" s="171"/>
      <c r="J486" s="171"/>
    </row>
    <row r="487" spans="1:16">
      <c r="A487" s="171"/>
      <c r="B487" s="172">
        <v>0.14897154656832046</v>
      </c>
      <c r="C487" s="172">
        <v>-0.84725762547333594</v>
      </c>
      <c r="D487" s="172">
        <v>1.9759438806851826E-2</v>
      </c>
      <c r="E487" s="171">
        <f>-$L$1</f>
        <v>-1.4990492230334603E-2</v>
      </c>
      <c r="F487" s="172">
        <v>0</v>
      </c>
      <c r="G487" s="172">
        <v>0</v>
      </c>
      <c r="H487" s="178">
        <f>-$N$1</f>
        <v>-4.7716218756768064E-3</v>
      </c>
      <c r="I487" s="171">
        <v>0</v>
      </c>
      <c r="J487" s="171">
        <v>0</v>
      </c>
      <c r="L487">
        <f t="array" ref="L487:N489">SVDD(B487:J489)</f>
        <v>2.6330320460136436</v>
      </c>
      <c r="M487">
        <v>0</v>
      </c>
      <c r="N487">
        <v>0</v>
      </c>
      <c r="P487">
        <f t="shared" ref="P487" si="134">MAX(L487,M488,N489)/MIN(L487,M488,N489)</f>
        <v>40.261746713374329</v>
      </c>
    </row>
    <row r="488" spans="1:16">
      <c r="A488" s="171" t="s">
        <v>335</v>
      </c>
      <c r="B488" s="172">
        <v>2.44475956514645</v>
      </c>
      <c r="C488" s="172">
        <v>-0.85548399177677847</v>
      </c>
      <c r="D488" s="172">
        <v>5.2896656816179721E-2</v>
      </c>
      <c r="E488" s="171">
        <v>0</v>
      </c>
      <c r="F488" s="171">
        <f>-$L$1</f>
        <v>-1.4990492230334603E-2</v>
      </c>
      <c r="G488" s="172">
        <v>0</v>
      </c>
      <c r="H488" s="172">
        <v>0</v>
      </c>
      <c r="I488" s="178">
        <f>-$N$1</f>
        <v>-4.7716218756768064E-3</v>
      </c>
      <c r="J488" s="171">
        <v>0</v>
      </c>
      <c r="L488">
        <v>0</v>
      </c>
      <c r="M488">
        <v>1.524617539485746</v>
      </c>
      <c r="N488">
        <v>0</v>
      </c>
    </row>
    <row r="489" spans="1:16">
      <c r="A489" s="171"/>
      <c r="B489" s="172">
        <v>0.36768865949079377</v>
      </c>
      <c r="C489" s="172">
        <v>1.2890795247765441</v>
      </c>
      <c r="D489" s="172">
        <v>0.10954983766095538</v>
      </c>
      <c r="E489" s="171">
        <v>0</v>
      </c>
      <c r="F489" s="172">
        <v>0</v>
      </c>
      <c r="G489" s="171">
        <f>-$L$1</f>
        <v>-1.4990492230334603E-2</v>
      </c>
      <c r="H489" s="172">
        <v>0</v>
      </c>
      <c r="I489" s="172">
        <v>0</v>
      </c>
      <c r="J489" s="178">
        <f>-$N$1</f>
        <v>-4.7716218756768064E-3</v>
      </c>
      <c r="L489">
        <v>0</v>
      </c>
      <c r="M489">
        <v>0</v>
      </c>
      <c r="N489">
        <v>6.5397859282120788E-2</v>
      </c>
    </row>
    <row r="490" spans="1:16">
      <c r="A490" s="171"/>
      <c r="B490" s="172"/>
      <c r="C490" s="172"/>
      <c r="D490" s="172"/>
      <c r="E490" s="171"/>
      <c r="F490" s="171"/>
      <c r="G490" s="171"/>
      <c r="H490" s="171"/>
      <c r="I490" s="171"/>
      <c r="J490" s="171"/>
    </row>
    <row r="491" spans="1:16">
      <c r="A491" s="171"/>
      <c r="B491" s="172">
        <v>0.14897154656832046</v>
      </c>
      <c r="C491" s="172">
        <v>-0.84725762547333594</v>
      </c>
      <c r="D491" s="172">
        <v>1.9759438806851826E-2</v>
      </c>
      <c r="E491" s="171">
        <f>-$L$1</f>
        <v>-1.4990492230334603E-2</v>
      </c>
      <c r="F491" s="172">
        <v>0</v>
      </c>
      <c r="G491" s="172">
        <v>0</v>
      </c>
      <c r="H491" s="178">
        <f>-$N$1</f>
        <v>-4.7716218756768064E-3</v>
      </c>
      <c r="I491" s="171">
        <v>0</v>
      </c>
      <c r="J491" s="171">
        <v>0</v>
      </c>
      <c r="L491">
        <f t="array" ref="L491:N493">SVDD(B491:J493)</f>
        <v>3.1563870367832791</v>
      </c>
      <c r="M491">
        <v>0</v>
      </c>
      <c r="N491">
        <v>0</v>
      </c>
      <c r="P491">
        <f t="shared" ref="P491" si="135">MAX(L491,M492,N493)/MIN(L491,M492,N493)</f>
        <v>166.47252829981736</v>
      </c>
    </row>
    <row r="492" spans="1:16">
      <c r="A492" s="171" t="s">
        <v>336</v>
      </c>
      <c r="B492" s="172">
        <v>2.44475956514645</v>
      </c>
      <c r="C492" s="172">
        <v>-0.85548399177677847</v>
      </c>
      <c r="D492" s="172">
        <v>5.2896656816179721E-2</v>
      </c>
      <c r="E492" s="171">
        <v>0</v>
      </c>
      <c r="F492" s="171">
        <f>-$L$1</f>
        <v>-1.4990492230334603E-2</v>
      </c>
      <c r="G492" s="172">
        <v>0</v>
      </c>
      <c r="H492" s="172">
        <v>0</v>
      </c>
      <c r="I492" s="178">
        <f>-$N$1</f>
        <v>-4.7716218756768064E-3</v>
      </c>
      <c r="J492" s="171">
        <v>0</v>
      </c>
      <c r="L492">
        <v>0</v>
      </c>
      <c r="M492">
        <v>1.7459710115917169</v>
      </c>
      <c r="N492">
        <v>0</v>
      </c>
    </row>
    <row r="493" spans="1:16">
      <c r="A493" s="171"/>
      <c r="B493" s="172">
        <v>1.9865190328797109</v>
      </c>
      <c r="C493" s="172">
        <v>1.2694850305255347</v>
      </c>
      <c r="D493" s="172">
        <v>3.2127045366234341E-2</v>
      </c>
      <c r="E493" s="171">
        <v>0</v>
      </c>
      <c r="F493" s="172">
        <v>0</v>
      </c>
      <c r="G493" s="171">
        <f>-$L$1</f>
        <v>-1.4990492230334603E-2</v>
      </c>
      <c r="H493" s="172">
        <v>0</v>
      </c>
      <c r="I493" s="172">
        <v>0</v>
      </c>
      <c r="J493" s="178">
        <f>-$N$1</f>
        <v>-4.7716218756768064E-3</v>
      </c>
      <c r="L493">
        <v>0</v>
      </c>
      <c r="M493">
        <v>0</v>
      </c>
      <c r="N493">
        <v>1.8960407876419224E-2</v>
      </c>
    </row>
    <row r="494" spans="1:16">
      <c r="A494" s="171"/>
      <c r="B494" s="172"/>
      <c r="C494" s="172"/>
      <c r="D494" s="172"/>
      <c r="E494" s="171"/>
      <c r="F494" s="171"/>
      <c r="G494" s="171"/>
      <c r="H494" s="171"/>
      <c r="I494" s="171"/>
      <c r="J494" s="171"/>
    </row>
    <row r="495" spans="1:16">
      <c r="A495" s="171"/>
      <c r="B495" s="172">
        <v>0.14897154656832046</v>
      </c>
      <c r="C495" s="172">
        <v>-0.84725762547333594</v>
      </c>
      <c r="D495" s="172">
        <v>1.9759438806851826E-2</v>
      </c>
      <c r="E495" s="171">
        <f>-$L$1</f>
        <v>-1.4990492230334603E-2</v>
      </c>
      <c r="F495" s="172">
        <v>0</v>
      </c>
      <c r="G495" s="172">
        <v>0</v>
      </c>
      <c r="H495" s="178">
        <f>-$N$1</f>
        <v>-4.7716218756768064E-3</v>
      </c>
      <c r="I495" s="171">
        <v>0</v>
      </c>
      <c r="J495" s="171">
        <v>0</v>
      </c>
      <c r="L495">
        <f t="array" ref="L495:N497">SVDD(B495:J497)</f>
        <v>2.8241069649885175</v>
      </c>
      <c r="M495">
        <v>0</v>
      </c>
      <c r="N495">
        <v>0</v>
      </c>
      <c r="P495">
        <f t="shared" ref="P495" si="136">MAX(L495,M496,N497)/MIN(L495,M496,N497)</f>
        <v>12.981271825741857</v>
      </c>
    </row>
    <row r="496" spans="1:16">
      <c r="A496" s="171" t="s">
        <v>337</v>
      </c>
      <c r="B496" s="172">
        <v>2.44475956514645</v>
      </c>
      <c r="C496" s="172">
        <v>-0.85548399177677847</v>
      </c>
      <c r="D496" s="172">
        <v>5.2896656816179721E-2</v>
      </c>
      <c r="E496" s="171">
        <v>0</v>
      </c>
      <c r="F496" s="171">
        <f>-$L$1</f>
        <v>-1.4990492230334603E-2</v>
      </c>
      <c r="G496" s="172">
        <v>0</v>
      </c>
      <c r="H496" s="172">
        <v>0</v>
      </c>
      <c r="I496" s="178">
        <f>-$N$1</f>
        <v>-4.7716218756768064E-3</v>
      </c>
      <c r="J496" s="171">
        <v>0</v>
      </c>
      <c r="L496">
        <v>0</v>
      </c>
      <c r="M496">
        <v>2.0411240929182917</v>
      </c>
      <c r="N496">
        <v>0</v>
      </c>
    </row>
    <row r="497" spans="1:16">
      <c r="A497" s="171"/>
      <c r="B497" s="172">
        <v>1.3773893306068323</v>
      </c>
      <c r="C497" s="172">
        <v>1.5521003879162059</v>
      </c>
      <c r="D497" s="172">
        <v>-0.65590292152571228</v>
      </c>
      <c r="E497" s="171">
        <v>0</v>
      </c>
      <c r="F497" s="172">
        <v>0</v>
      </c>
      <c r="G497" s="171">
        <f>-$L$1</f>
        <v>-1.4990492230334603E-2</v>
      </c>
      <c r="H497" s="172">
        <v>0</v>
      </c>
      <c r="I497" s="172">
        <v>0</v>
      </c>
      <c r="J497" s="178">
        <f>-$N$1</f>
        <v>-4.7716218756768064E-3</v>
      </c>
      <c r="L497">
        <v>0</v>
      </c>
      <c r="M497">
        <v>0</v>
      </c>
      <c r="N497">
        <v>0.21755240957117272</v>
      </c>
    </row>
    <row r="498" spans="1:16">
      <c r="A498" s="171"/>
      <c r="B498" s="172"/>
      <c r="C498" s="172"/>
      <c r="D498" s="172"/>
      <c r="E498" s="171"/>
      <c r="F498" s="171"/>
      <c r="G498" s="171"/>
      <c r="H498" s="171"/>
      <c r="I498" s="171"/>
      <c r="J498" s="171"/>
    </row>
    <row r="499" spans="1:16">
      <c r="A499" s="171"/>
      <c r="B499" s="172">
        <v>0.14897154656832046</v>
      </c>
      <c r="C499" s="172">
        <v>-0.84725762547333594</v>
      </c>
      <c r="D499" s="172">
        <v>1.9759438806851826E-2</v>
      </c>
      <c r="E499" s="171">
        <f>-$L$1</f>
        <v>-1.4990492230334603E-2</v>
      </c>
      <c r="F499" s="172">
        <v>0</v>
      </c>
      <c r="G499" s="172">
        <v>0</v>
      </c>
      <c r="H499" s="178">
        <f>-$N$1</f>
        <v>-4.7716218756768064E-3</v>
      </c>
      <c r="I499" s="171">
        <v>0</v>
      </c>
      <c r="J499" s="171">
        <v>0</v>
      </c>
      <c r="L499">
        <f t="array" ref="L499:N501">SVDD(B499:J501)</f>
        <v>2.9027343274628472</v>
      </c>
      <c r="M499">
        <v>0</v>
      </c>
      <c r="N499">
        <v>0</v>
      </c>
      <c r="P499">
        <f t="shared" ref="P499" si="137">MAX(L499,M500,N501)/MIN(L499,M500,N501)</f>
        <v>40.7933299450278</v>
      </c>
    </row>
    <row r="500" spans="1:16">
      <c r="A500" s="171" t="s">
        <v>338</v>
      </c>
      <c r="B500" s="172">
        <v>2.8449497700634536</v>
      </c>
      <c r="C500" s="172">
        <v>0.22852225552422287</v>
      </c>
      <c r="D500" s="172">
        <v>6.9737163040410666E-2</v>
      </c>
      <c r="E500" s="171">
        <v>0</v>
      </c>
      <c r="F500" s="171">
        <f>-$L$1</f>
        <v>-1.4990492230334603E-2</v>
      </c>
      <c r="G500" s="172">
        <v>0</v>
      </c>
      <c r="H500" s="172">
        <v>0</v>
      </c>
      <c r="I500" s="178">
        <f>-$N$1</f>
        <v>-4.7716218756768064E-3</v>
      </c>
      <c r="J500" s="171">
        <v>0</v>
      </c>
      <c r="L500">
        <v>0</v>
      </c>
      <c r="M500">
        <v>1.5066479384308888</v>
      </c>
      <c r="N500">
        <v>0</v>
      </c>
    </row>
    <row r="501" spans="1:16">
      <c r="A501" s="171"/>
      <c r="B501" s="172">
        <v>0.36768865949079377</v>
      </c>
      <c r="C501" s="172">
        <v>1.2890795247765441</v>
      </c>
      <c r="D501" s="172">
        <v>0.10954983766095538</v>
      </c>
      <c r="E501" s="171">
        <v>0</v>
      </c>
      <c r="F501" s="172">
        <v>0</v>
      </c>
      <c r="G501" s="171">
        <f>-$L$1</f>
        <v>-1.4990492230334603E-2</v>
      </c>
      <c r="H501" s="172">
        <v>0</v>
      </c>
      <c r="I501" s="172">
        <v>0</v>
      </c>
      <c r="J501" s="178">
        <f>-$N$1</f>
        <v>-4.7716218756768064E-3</v>
      </c>
      <c r="L501">
        <v>0</v>
      </c>
      <c r="M501">
        <v>0</v>
      </c>
      <c r="N501">
        <v>7.1157082086078988E-2</v>
      </c>
    </row>
    <row r="502" spans="1:16">
      <c r="A502" s="171"/>
      <c r="B502" s="172"/>
      <c r="C502" s="172"/>
      <c r="D502" s="172"/>
      <c r="E502" s="171"/>
      <c r="F502" s="171"/>
      <c r="G502" s="171"/>
      <c r="H502" s="171"/>
      <c r="I502" s="171"/>
      <c r="J502" s="171"/>
    </row>
    <row r="503" spans="1:16">
      <c r="A503" s="171"/>
      <c r="B503" s="172">
        <v>0.14897154656832046</v>
      </c>
      <c r="C503" s="172">
        <v>-0.84725762547333594</v>
      </c>
      <c r="D503" s="172">
        <v>1.9759438806851826E-2</v>
      </c>
      <c r="E503" s="171">
        <f>-$L$1</f>
        <v>-1.4990492230334603E-2</v>
      </c>
      <c r="F503" s="172">
        <v>0</v>
      </c>
      <c r="G503" s="172">
        <v>0</v>
      </c>
      <c r="H503" s="178">
        <f>-$N$1</f>
        <v>-4.7716218756768064E-3</v>
      </c>
      <c r="I503" s="171">
        <v>0</v>
      </c>
      <c r="J503" s="171">
        <v>0</v>
      </c>
      <c r="L503">
        <f t="array" ref="L503:N505">SVDD(B503:J505)</f>
        <v>3.5981181316787159</v>
      </c>
      <c r="M503">
        <v>0</v>
      </c>
      <c r="N503">
        <v>0</v>
      </c>
      <c r="P503">
        <f t="shared" ref="P503" si="138">MAX(L503,M504,N505)/MIN(L503,M504,N505)</f>
        <v>226.21183383405241</v>
      </c>
    </row>
    <row r="504" spans="1:16">
      <c r="A504" s="171" t="s">
        <v>339</v>
      </c>
      <c r="B504" s="172">
        <v>2.8449497700634536</v>
      </c>
      <c r="C504" s="172">
        <v>0.22852225552422287</v>
      </c>
      <c r="D504" s="172">
        <v>6.9737163040410666E-2</v>
      </c>
      <c r="E504" s="171">
        <v>0</v>
      </c>
      <c r="F504" s="171">
        <f>-$L$1</f>
        <v>-1.4990492230334603E-2</v>
      </c>
      <c r="G504" s="172">
        <v>0</v>
      </c>
      <c r="H504" s="172">
        <v>0</v>
      </c>
      <c r="I504" s="178">
        <f>-$N$1</f>
        <v>-4.7716218756768064E-3</v>
      </c>
      <c r="J504" s="171">
        <v>0</v>
      </c>
      <c r="L504">
        <v>0</v>
      </c>
      <c r="M504">
        <v>1.2264464711242922</v>
      </c>
      <c r="N504">
        <v>0</v>
      </c>
    </row>
    <row r="505" spans="1:16">
      <c r="A505" s="171"/>
      <c r="B505" s="172">
        <v>1.9865190328797109</v>
      </c>
      <c r="C505" s="172">
        <v>1.2694850305255347</v>
      </c>
      <c r="D505" s="172">
        <v>3.2127045366234341E-2</v>
      </c>
      <c r="E505" s="171">
        <v>0</v>
      </c>
      <c r="F505" s="172">
        <v>0</v>
      </c>
      <c r="G505" s="171">
        <f>-$L$1</f>
        <v>-1.4990492230334603E-2</v>
      </c>
      <c r="H505" s="172">
        <v>0</v>
      </c>
      <c r="I505" s="172">
        <v>0</v>
      </c>
      <c r="J505" s="178">
        <f>-$N$1</f>
        <v>-4.7716218756768064E-3</v>
      </c>
      <c r="L505">
        <v>0</v>
      </c>
      <c r="M505">
        <v>0</v>
      </c>
      <c r="N505">
        <v>1.5905967741361722E-2</v>
      </c>
    </row>
    <row r="506" spans="1:16">
      <c r="A506" s="171"/>
      <c r="B506" s="172"/>
      <c r="C506" s="172"/>
      <c r="D506" s="172"/>
      <c r="E506" s="171"/>
      <c r="F506" s="171"/>
      <c r="G506" s="171"/>
      <c r="H506" s="171"/>
      <c r="I506" s="171"/>
      <c r="J506" s="171"/>
    </row>
    <row r="507" spans="1:16">
      <c r="A507" s="171"/>
      <c r="B507" s="172">
        <v>0.14897154656832046</v>
      </c>
      <c r="C507" s="172">
        <v>-0.84725762547333594</v>
      </c>
      <c r="D507" s="172">
        <v>1.9759438806851826E-2</v>
      </c>
      <c r="E507" s="171">
        <f>-$L$1</f>
        <v>-1.4990492230334603E-2</v>
      </c>
      <c r="F507" s="172">
        <v>0</v>
      </c>
      <c r="G507" s="172">
        <v>0</v>
      </c>
      <c r="H507" s="178">
        <f>-$N$1</f>
        <v>-4.7716218756768064E-3</v>
      </c>
      <c r="I507" s="171">
        <v>0</v>
      </c>
      <c r="J507" s="171">
        <v>0</v>
      </c>
      <c r="L507">
        <f t="array" ref="L507:N509">SVDD(B507:J509)</f>
        <v>3.3199141277212405</v>
      </c>
      <c r="M507">
        <v>0</v>
      </c>
      <c r="N507">
        <v>0</v>
      </c>
      <c r="P507">
        <f t="shared" ref="P507" si="139">MAX(L507,M508,N509)/MIN(L507,M508,N509)</f>
        <v>10.768900546401296</v>
      </c>
    </row>
    <row r="508" spans="1:16">
      <c r="A508" s="171" t="s">
        <v>340</v>
      </c>
      <c r="B508" s="172">
        <v>2.8449497700634536</v>
      </c>
      <c r="C508" s="172">
        <v>0.22852225552422287</v>
      </c>
      <c r="D508" s="172">
        <v>6.9737163040410666E-2</v>
      </c>
      <c r="E508" s="171">
        <v>0</v>
      </c>
      <c r="F508" s="171">
        <f>-$L$1</f>
        <v>-1.4990492230334603E-2</v>
      </c>
      <c r="G508" s="172">
        <v>0</v>
      </c>
      <c r="H508" s="172">
        <v>0</v>
      </c>
      <c r="I508" s="178">
        <f>-$N$1</f>
        <v>-4.7716218756768064E-3</v>
      </c>
      <c r="J508" s="171">
        <v>0</v>
      </c>
      <c r="L508">
        <v>0</v>
      </c>
      <c r="M508">
        <v>1.5847872392249391</v>
      </c>
      <c r="N508">
        <v>0</v>
      </c>
    </row>
    <row r="509" spans="1:16">
      <c r="A509" s="171"/>
      <c r="B509" s="172">
        <v>1.3773893306068323</v>
      </c>
      <c r="C509" s="172">
        <v>1.5521003879162059</v>
      </c>
      <c r="D509" s="172">
        <v>-0.65590292152571228</v>
      </c>
      <c r="E509" s="171">
        <v>0</v>
      </c>
      <c r="F509" s="172">
        <v>0</v>
      </c>
      <c r="G509" s="171">
        <f>-$L$1</f>
        <v>-1.4990492230334603E-2</v>
      </c>
      <c r="H509" s="172">
        <v>0</v>
      </c>
      <c r="I509" s="172">
        <v>0</v>
      </c>
      <c r="J509" s="178">
        <f>-$N$1</f>
        <v>-4.7716218756768064E-3</v>
      </c>
      <c r="L509">
        <v>0</v>
      </c>
      <c r="M509">
        <v>0</v>
      </c>
      <c r="N509">
        <v>0.30828719361055618</v>
      </c>
    </row>
    <row r="510" spans="1:16">
      <c r="A510" s="171"/>
      <c r="B510" s="172"/>
      <c r="C510" s="172"/>
      <c r="D510" s="172"/>
      <c r="E510" s="171"/>
      <c r="F510" s="171"/>
      <c r="G510" s="171"/>
      <c r="H510" s="171"/>
      <c r="I510" s="171"/>
      <c r="J510" s="171"/>
    </row>
    <row r="511" spans="1:16">
      <c r="A511" s="171"/>
      <c r="B511" s="172">
        <v>0.14897154656832046</v>
      </c>
      <c r="C511" s="172">
        <v>-0.84725762547333594</v>
      </c>
      <c r="D511" s="172">
        <v>1.9759438806851826E-2</v>
      </c>
      <c r="E511" s="171">
        <f>-$L$1</f>
        <v>-1.4990492230334603E-2</v>
      </c>
      <c r="F511" s="172">
        <v>0</v>
      </c>
      <c r="G511" s="172">
        <v>0</v>
      </c>
      <c r="H511" s="178">
        <f>-$N$1</f>
        <v>-4.7716218756768064E-3</v>
      </c>
      <c r="I511" s="171">
        <v>0</v>
      </c>
      <c r="J511" s="171">
        <v>0</v>
      </c>
      <c r="L511">
        <f t="array" ref="L511:N513">SVDD(B511:J513)</f>
        <v>2.6311908083381335</v>
      </c>
      <c r="M511">
        <v>0</v>
      </c>
      <c r="N511">
        <v>0</v>
      </c>
      <c r="P511">
        <f t="shared" ref="P511" si="140">MAX(L511,M512,N513)/MIN(L511,M512,N513)</f>
        <v>32.03413347089144</v>
      </c>
    </row>
    <row r="512" spans="1:16">
      <c r="A512" s="171" t="s">
        <v>341</v>
      </c>
      <c r="B512" s="172">
        <v>0.36768865949079377</v>
      </c>
      <c r="C512" s="172">
        <v>1.2890795247765441</v>
      </c>
      <c r="D512" s="172">
        <v>0.10954983766095538</v>
      </c>
      <c r="E512" s="171">
        <v>0</v>
      </c>
      <c r="F512" s="171">
        <f>-$L$1</f>
        <v>-1.4990492230334603E-2</v>
      </c>
      <c r="G512" s="172">
        <v>0</v>
      </c>
      <c r="H512" s="172">
        <v>0</v>
      </c>
      <c r="I512" s="178">
        <f>-$N$1</f>
        <v>-4.7716218756768064E-3</v>
      </c>
      <c r="J512" s="171">
        <v>0</v>
      </c>
      <c r="L512">
        <v>0</v>
      </c>
      <c r="M512">
        <v>1.0858470030098504</v>
      </c>
      <c r="N512">
        <v>0</v>
      </c>
    </row>
    <row r="513" spans="1:16">
      <c r="A513" s="171"/>
      <c r="B513" s="172">
        <v>1.9865190328797109</v>
      </c>
      <c r="C513" s="172">
        <v>1.2694850305255347</v>
      </c>
      <c r="D513" s="172">
        <v>3.2127045366234341E-2</v>
      </c>
      <c r="E513" s="171">
        <v>0</v>
      </c>
      <c r="F513" s="172">
        <v>0</v>
      </c>
      <c r="G513" s="171">
        <f>-$L$1</f>
        <v>-1.4990492230334603E-2</v>
      </c>
      <c r="H513" s="172">
        <v>0</v>
      </c>
      <c r="I513" s="172">
        <v>0</v>
      </c>
      <c r="J513" s="178">
        <f>-$N$1</f>
        <v>-4.7716218756768064E-3</v>
      </c>
      <c r="L513">
        <v>0</v>
      </c>
      <c r="M513">
        <v>0</v>
      </c>
      <c r="N513">
        <v>8.2137099501349897E-2</v>
      </c>
    </row>
    <row r="514" spans="1:16">
      <c r="A514" s="171"/>
      <c r="B514" s="172"/>
      <c r="C514" s="172"/>
      <c r="D514" s="172"/>
      <c r="E514" s="171"/>
      <c r="F514" s="171"/>
      <c r="G514" s="171"/>
      <c r="H514" s="171"/>
      <c r="I514" s="171"/>
      <c r="J514" s="171"/>
    </row>
    <row r="515" spans="1:16">
      <c r="A515" s="171"/>
      <c r="B515" s="172">
        <v>0.14897154656832046</v>
      </c>
      <c r="C515" s="172">
        <v>-0.84725762547333594</v>
      </c>
      <c r="D515" s="172">
        <v>1.9759438806851826E-2</v>
      </c>
      <c r="E515" s="171">
        <f>-$L$1</f>
        <v>-1.4990492230334603E-2</v>
      </c>
      <c r="F515" s="172">
        <v>0</v>
      </c>
      <c r="G515" s="172">
        <v>0</v>
      </c>
      <c r="H515" s="178">
        <f>-$N$1</f>
        <v>-4.7716218756768064E-3</v>
      </c>
      <c r="I515" s="171">
        <v>0</v>
      </c>
      <c r="J515" s="171">
        <v>0</v>
      </c>
      <c r="L515">
        <f t="array" ref="L515:N517">SVDD(B515:J517)</f>
        <v>2.5494352059238645</v>
      </c>
      <c r="M515">
        <v>0</v>
      </c>
      <c r="N515">
        <v>0</v>
      </c>
      <c r="P515">
        <f t="shared" ref="P515" si="141">MAX(L515,M516,N517)/MIN(L515,M516,N517)</f>
        <v>10.93967589972967</v>
      </c>
    </row>
    <row r="516" spans="1:16">
      <c r="A516" s="171" t="s">
        <v>342</v>
      </c>
      <c r="B516" s="172">
        <v>0.36768865949079377</v>
      </c>
      <c r="C516" s="172">
        <v>1.2890795247765441</v>
      </c>
      <c r="D516" s="172">
        <v>0.10954983766095538</v>
      </c>
      <c r="E516" s="171">
        <v>0</v>
      </c>
      <c r="F516" s="171">
        <f>-$L$1</f>
        <v>-1.4990492230334603E-2</v>
      </c>
      <c r="G516" s="172">
        <v>0</v>
      </c>
      <c r="H516" s="172">
        <v>0</v>
      </c>
      <c r="I516" s="178">
        <f>-$N$1</f>
        <v>-4.7716218756768064E-3</v>
      </c>
      <c r="J516" s="171">
        <v>0</v>
      </c>
      <c r="L516">
        <v>0</v>
      </c>
      <c r="M516">
        <v>0.85591406069407405</v>
      </c>
      <c r="N516">
        <v>0</v>
      </c>
    </row>
    <row r="517" spans="1:16">
      <c r="A517" s="171"/>
      <c r="B517" s="172">
        <v>1.3773893306068323</v>
      </c>
      <c r="C517" s="172">
        <v>1.5521003879162059</v>
      </c>
      <c r="D517" s="172">
        <v>-0.65590292152571228</v>
      </c>
      <c r="E517" s="171">
        <v>0</v>
      </c>
      <c r="F517" s="172">
        <v>0</v>
      </c>
      <c r="G517" s="171">
        <f>-$L$1</f>
        <v>-1.4990492230334603E-2</v>
      </c>
      <c r="H517" s="172">
        <v>0</v>
      </c>
      <c r="I517" s="172">
        <v>0</v>
      </c>
      <c r="J517" s="178">
        <f>-$N$1</f>
        <v>-4.7716218756768064E-3</v>
      </c>
      <c r="L517">
        <v>0</v>
      </c>
      <c r="M517">
        <v>0</v>
      </c>
      <c r="N517">
        <v>0.23304485702239713</v>
      </c>
    </row>
    <row r="518" spans="1:16">
      <c r="A518" s="171"/>
      <c r="B518" s="172"/>
      <c r="C518" s="172"/>
      <c r="D518" s="172"/>
      <c r="E518" s="171"/>
      <c r="F518" s="171"/>
      <c r="G518" s="171"/>
      <c r="H518" s="171"/>
      <c r="I518" s="171"/>
      <c r="J518" s="171"/>
    </row>
    <row r="519" spans="1:16">
      <c r="A519" s="171"/>
      <c r="B519" s="172">
        <v>0.14897154656832046</v>
      </c>
      <c r="C519" s="172">
        <v>-0.84725762547333594</v>
      </c>
      <c r="D519" s="172">
        <v>1.9759438806851826E-2</v>
      </c>
      <c r="E519" s="171">
        <f>-$L$1</f>
        <v>-1.4990492230334603E-2</v>
      </c>
      <c r="F519" s="172">
        <v>0</v>
      </c>
      <c r="G519" s="172">
        <v>0</v>
      </c>
      <c r="H519" s="178">
        <f>-$N$1</f>
        <v>-4.7716218756768064E-3</v>
      </c>
      <c r="I519" s="171">
        <v>0</v>
      </c>
      <c r="J519" s="171">
        <v>0</v>
      </c>
      <c r="L519">
        <f t="array" ref="L519:N521">SVDD(B519:J521)</f>
        <v>3.1690056142528333</v>
      </c>
      <c r="M519">
        <v>0</v>
      </c>
      <c r="N519">
        <v>0</v>
      </c>
      <c r="P519">
        <f t="shared" ref="P519" si="142">MAX(L519,M520,N521)/MIN(L519,M520,N521)</f>
        <v>7.2010209773350216</v>
      </c>
    </row>
    <row r="520" spans="1:16">
      <c r="A520" s="171" t="s">
        <v>343</v>
      </c>
      <c r="B520" s="172">
        <v>1.9865190328797109</v>
      </c>
      <c r="C520" s="172">
        <v>1.2694850305255347</v>
      </c>
      <c r="D520" s="172">
        <v>3.2127045366234341E-2</v>
      </c>
      <c r="E520" s="171">
        <v>0</v>
      </c>
      <c r="F520" s="171">
        <f>-$L$1</f>
        <v>-1.4990492230334603E-2</v>
      </c>
      <c r="G520" s="172">
        <v>0</v>
      </c>
      <c r="H520" s="172">
        <v>0</v>
      </c>
      <c r="I520" s="178">
        <f>-$N$1</f>
        <v>-4.7716218756768064E-3</v>
      </c>
      <c r="J520" s="171">
        <v>0</v>
      </c>
      <c r="L520">
        <v>0</v>
      </c>
      <c r="M520">
        <v>0.89454691950154197</v>
      </c>
      <c r="N520">
        <v>0</v>
      </c>
    </row>
    <row r="521" spans="1:16">
      <c r="A521" s="171"/>
      <c r="B521" s="172">
        <v>1.3773893306068323</v>
      </c>
      <c r="C521" s="172">
        <v>1.5521003879162059</v>
      </c>
      <c r="D521" s="172">
        <v>-0.65590292152571228</v>
      </c>
      <c r="E521" s="171">
        <v>0</v>
      </c>
      <c r="F521" s="172">
        <v>0</v>
      </c>
      <c r="G521" s="171">
        <f>-$L$1</f>
        <v>-1.4990492230334603E-2</v>
      </c>
      <c r="H521" s="172">
        <v>0</v>
      </c>
      <c r="I521" s="172">
        <v>0</v>
      </c>
      <c r="J521" s="178">
        <f>-$N$1</f>
        <v>-4.7716218756768064E-3</v>
      </c>
      <c r="L521">
        <v>0</v>
      </c>
      <c r="M521">
        <v>0</v>
      </c>
      <c r="N521">
        <v>0.4400772646305538</v>
      </c>
    </row>
    <row r="522" spans="1:16">
      <c r="A522" s="171"/>
      <c r="B522" s="172"/>
      <c r="C522" s="172"/>
      <c r="D522" s="172"/>
      <c r="E522" s="171"/>
      <c r="F522" s="171"/>
      <c r="G522" s="171"/>
      <c r="H522" s="171"/>
      <c r="I522" s="171"/>
      <c r="J522" s="171"/>
    </row>
    <row r="523" spans="1:16">
      <c r="A523" s="171"/>
      <c r="B523" s="172">
        <v>2.44475956514645</v>
      </c>
      <c r="C523" s="172">
        <v>-0.85548399177677847</v>
      </c>
      <c r="D523" s="172">
        <v>5.2896656816179721E-2</v>
      </c>
      <c r="E523" s="171">
        <f>-$L$1</f>
        <v>-1.4990492230334603E-2</v>
      </c>
      <c r="F523" s="172">
        <v>0</v>
      </c>
      <c r="G523" s="172">
        <v>0</v>
      </c>
      <c r="H523" s="178">
        <f>-$N$1</f>
        <v>-4.7716218756768064E-3</v>
      </c>
      <c r="I523" s="171">
        <v>0</v>
      </c>
      <c r="J523" s="171">
        <v>0</v>
      </c>
      <c r="L523">
        <f t="array" ref="L523:N525">SVDD(B523:J525)</f>
        <v>3.7807450103112656</v>
      </c>
      <c r="M523">
        <v>0</v>
      </c>
      <c r="N523">
        <v>0</v>
      </c>
      <c r="P523">
        <f t="shared" ref="P523" si="143">MAX(L523,M524,N525)/MIN(L523,M524,N525)</f>
        <v>75.832150333539076</v>
      </c>
    </row>
    <row r="524" spans="1:16">
      <c r="A524" s="171" t="s">
        <v>344</v>
      </c>
      <c r="B524" s="172">
        <v>2.8449497700634536</v>
      </c>
      <c r="C524" s="172">
        <v>0.22852225552422287</v>
      </c>
      <c r="D524" s="172">
        <v>6.9737163040410666E-2</v>
      </c>
      <c r="E524" s="171">
        <v>0</v>
      </c>
      <c r="F524" s="171">
        <f>-$L$1</f>
        <v>-1.4990492230334603E-2</v>
      </c>
      <c r="G524" s="172">
        <v>0</v>
      </c>
      <c r="H524" s="172">
        <v>0</v>
      </c>
      <c r="I524" s="178">
        <f>-$N$1</f>
        <v>-4.7716218756768064E-3</v>
      </c>
      <c r="J524" s="171">
        <v>0</v>
      </c>
      <c r="L524">
        <v>0</v>
      </c>
      <c r="M524">
        <v>1.5412563687678955</v>
      </c>
      <c r="N524">
        <v>0</v>
      </c>
    </row>
    <row r="525" spans="1:16">
      <c r="A525" s="171"/>
      <c r="B525" s="172">
        <v>0.36768865949079377</v>
      </c>
      <c r="C525" s="172">
        <v>1.2890795247765441</v>
      </c>
      <c r="D525" s="172">
        <v>0.10954983766095538</v>
      </c>
      <c r="E525" s="171">
        <v>0</v>
      </c>
      <c r="F525" s="172">
        <v>0</v>
      </c>
      <c r="G525" s="171">
        <f>-$L$1</f>
        <v>-1.4990492230334603E-2</v>
      </c>
      <c r="H525" s="172">
        <v>0</v>
      </c>
      <c r="I525" s="172">
        <v>0</v>
      </c>
      <c r="J525" s="178">
        <f>-$N$1</f>
        <v>-4.7716218756768064E-3</v>
      </c>
      <c r="L525">
        <v>0</v>
      </c>
      <c r="M525">
        <v>0</v>
      </c>
      <c r="N525">
        <v>4.9856755923207888E-2</v>
      </c>
    </row>
    <row r="526" spans="1:16">
      <c r="A526" s="171"/>
      <c r="B526" s="172"/>
      <c r="C526" s="172"/>
      <c r="D526" s="172"/>
      <c r="E526" s="171"/>
      <c r="F526" s="171"/>
      <c r="G526" s="171"/>
      <c r="H526" s="171"/>
      <c r="I526" s="171"/>
      <c r="J526" s="171"/>
    </row>
    <row r="527" spans="1:16">
      <c r="A527" s="171"/>
      <c r="B527" s="172">
        <v>2.44475956514645</v>
      </c>
      <c r="C527" s="172">
        <v>-0.85548399177677847</v>
      </c>
      <c r="D527" s="172">
        <v>5.2896656816179721E-2</v>
      </c>
      <c r="E527" s="171">
        <f>-$L$1</f>
        <v>-1.4990492230334603E-2</v>
      </c>
      <c r="F527" s="172">
        <v>0</v>
      </c>
      <c r="G527" s="172">
        <v>0</v>
      </c>
      <c r="H527" s="178">
        <f>-$N$1</f>
        <v>-4.7716218756768064E-3</v>
      </c>
      <c r="I527" s="171">
        <v>0</v>
      </c>
      <c r="J527" s="171">
        <v>0</v>
      </c>
      <c r="L527">
        <f t="array" ref="L527:N529">SVDD(B527:J529)</f>
        <v>4.2544035968220406</v>
      </c>
      <c r="M527">
        <v>0</v>
      </c>
      <c r="N527">
        <v>0</v>
      </c>
      <c r="P527">
        <f t="shared" ref="P527" si="144">MAX(L527,M528,N529)/MIN(L527,M528,N529)</f>
        <v>221.14310828390998</v>
      </c>
    </row>
    <row r="528" spans="1:16">
      <c r="A528" s="171" t="s">
        <v>345</v>
      </c>
      <c r="B528" s="172">
        <v>2.8449497700634536</v>
      </c>
      <c r="C528" s="172">
        <v>0.22852225552422287</v>
      </c>
      <c r="D528" s="172">
        <v>6.9737163040410666E-2</v>
      </c>
      <c r="E528" s="171">
        <v>0</v>
      </c>
      <c r="F528" s="171">
        <f>-$L$1</f>
        <v>-1.4990492230334603E-2</v>
      </c>
      <c r="G528" s="172">
        <v>0</v>
      </c>
      <c r="H528" s="172">
        <v>0</v>
      </c>
      <c r="I528" s="178">
        <f>-$N$1</f>
        <v>-4.7716218756768064E-3</v>
      </c>
      <c r="J528" s="171">
        <v>0</v>
      </c>
      <c r="L528">
        <v>0</v>
      </c>
      <c r="M528">
        <v>1.523689524891175</v>
      </c>
      <c r="N528">
        <v>0</v>
      </c>
    </row>
    <row r="529" spans="1:16">
      <c r="A529" s="171"/>
      <c r="B529" s="172">
        <v>1.9865190328797109</v>
      </c>
      <c r="C529" s="172">
        <v>1.2694850305255347</v>
      </c>
      <c r="D529" s="172">
        <v>3.2127045366234341E-2</v>
      </c>
      <c r="E529" s="171">
        <v>0</v>
      </c>
      <c r="F529" s="172">
        <v>0</v>
      </c>
      <c r="G529" s="171">
        <f>-$L$1</f>
        <v>-1.4990492230334603E-2</v>
      </c>
      <c r="H529" s="172">
        <v>0</v>
      </c>
      <c r="I529" s="172">
        <v>0</v>
      </c>
      <c r="J529" s="178">
        <f>-$N$1</f>
        <v>-4.7716218756768064E-3</v>
      </c>
      <c r="L529">
        <v>0</v>
      </c>
      <c r="M529">
        <v>0</v>
      </c>
      <c r="N529">
        <v>1.9238237310837257E-2</v>
      </c>
    </row>
    <row r="530" spans="1:16">
      <c r="A530" s="171"/>
      <c r="B530" s="172"/>
      <c r="C530" s="172"/>
      <c r="D530" s="172"/>
      <c r="E530" s="171"/>
      <c r="F530" s="171"/>
      <c r="G530" s="171"/>
      <c r="H530" s="171"/>
      <c r="I530" s="171"/>
      <c r="J530" s="171"/>
    </row>
    <row r="531" spans="1:16">
      <c r="A531" s="171"/>
      <c r="B531" s="172">
        <v>2.44475956514645</v>
      </c>
      <c r="C531" s="172">
        <v>-0.85548399177677847</v>
      </c>
      <c r="D531" s="172">
        <v>5.2896656816179721E-2</v>
      </c>
      <c r="E531" s="171">
        <f>-$L$1</f>
        <v>-1.4990492230334603E-2</v>
      </c>
      <c r="F531" s="172">
        <v>0</v>
      </c>
      <c r="G531" s="172">
        <v>0</v>
      </c>
      <c r="H531" s="178">
        <f>-$N$1</f>
        <v>-4.7716218756768064E-3</v>
      </c>
      <c r="I531" s="171">
        <v>0</v>
      </c>
      <c r="J531" s="171">
        <v>0</v>
      </c>
      <c r="L531">
        <f t="array" ref="L531:N533">SVDD(B531:J533)</f>
        <v>4.0039513663136193</v>
      </c>
      <c r="M531">
        <v>0</v>
      </c>
      <c r="N531">
        <v>0</v>
      </c>
      <c r="P531">
        <f t="shared" ref="P531" si="145">MAX(L531,M532,N533)/MIN(L531,M532,N533)</f>
        <v>14.287203521800995</v>
      </c>
    </row>
    <row r="532" spans="1:16">
      <c r="A532" s="171" t="s">
        <v>346</v>
      </c>
      <c r="B532" s="172">
        <v>2.8449497700634536</v>
      </c>
      <c r="C532" s="172">
        <v>0.22852225552422287</v>
      </c>
      <c r="D532" s="172">
        <v>6.9737163040410666E-2</v>
      </c>
      <c r="E532" s="171">
        <v>0</v>
      </c>
      <c r="F532" s="171">
        <f>-$L$1</f>
        <v>-1.4990492230334603E-2</v>
      </c>
      <c r="G532" s="172">
        <v>0</v>
      </c>
      <c r="H532" s="172">
        <v>0</v>
      </c>
      <c r="I532" s="178">
        <f>-$N$1</f>
        <v>-4.7716218756768064E-3</v>
      </c>
      <c r="J532" s="171">
        <v>0</v>
      </c>
      <c r="L532">
        <v>0</v>
      </c>
      <c r="M532">
        <v>1.8679743229940546</v>
      </c>
      <c r="N532">
        <v>0</v>
      </c>
    </row>
    <row r="533" spans="1:16">
      <c r="A533" s="171"/>
      <c r="B533" s="172">
        <v>1.3773893306068323</v>
      </c>
      <c r="C533" s="172">
        <v>1.5521003879162059</v>
      </c>
      <c r="D533" s="172">
        <v>-0.65590292152571228</v>
      </c>
      <c r="E533" s="171">
        <v>0</v>
      </c>
      <c r="F533" s="172">
        <v>0</v>
      </c>
      <c r="G533" s="171">
        <f>-$L$1</f>
        <v>-1.4990492230334603E-2</v>
      </c>
      <c r="H533" s="172">
        <v>0</v>
      </c>
      <c r="I533" s="172">
        <v>0</v>
      </c>
      <c r="J533" s="178">
        <f>-$N$1</f>
        <v>-4.7716218756768064E-3</v>
      </c>
      <c r="L533">
        <v>0</v>
      </c>
      <c r="M533">
        <v>0</v>
      </c>
      <c r="N533">
        <v>0.2802473808260621</v>
      </c>
    </row>
    <row r="534" spans="1:16">
      <c r="A534" s="171"/>
      <c r="B534" s="172"/>
      <c r="C534" s="172"/>
      <c r="D534" s="172"/>
      <c r="E534" s="171"/>
      <c r="F534" s="171"/>
      <c r="G534" s="171"/>
      <c r="H534" s="171"/>
      <c r="I534" s="171"/>
      <c r="J534" s="171"/>
    </row>
    <row r="535" spans="1:16">
      <c r="A535" s="171"/>
      <c r="B535" s="172">
        <v>2.44475956514645</v>
      </c>
      <c r="C535" s="172">
        <v>-0.85548399177677847</v>
      </c>
      <c r="D535" s="172">
        <v>5.2896656816179721E-2</v>
      </c>
      <c r="E535" s="171">
        <f>-$L$1</f>
        <v>-1.4990492230334603E-2</v>
      </c>
      <c r="F535" s="172">
        <v>0</v>
      </c>
      <c r="G535" s="172">
        <v>0</v>
      </c>
      <c r="H535" s="178">
        <f>-$N$1</f>
        <v>-4.7716218756768064E-3</v>
      </c>
      <c r="I535" s="171">
        <v>0</v>
      </c>
      <c r="J535" s="171">
        <v>0</v>
      </c>
      <c r="L535">
        <f t="array" ref="L535:N537">SVDD(B535:J537)</f>
        <v>3.1932678353515462</v>
      </c>
      <c r="M535">
        <v>0</v>
      </c>
      <c r="N535">
        <v>0</v>
      </c>
      <c r="P535">
        <f t="shared" ref="P535" si="146">MAX(L535,M536,N537)/MIN(L535,M536,N537)</f>
        <v>37.535233039927341</v>
      </c>
    </row>
    <row r="536" spans="1:16">
      <c r="A536" s="171" t="s">
        <v>347</v>
      </c>
      <c r="B536" s="172">
        <v>0.36768865949079377</v>
      </c>
      <c r="C536" s="172">
        <v>1.2890795247765441</v>
      </c>
      <c r="D536" s="172">
        <v>0.10954983766095538</v>
      </c>
      <c r="E536" s="171">
        <v>0</v>
      </c>
      <c r="F536" s="171">
        <f>-$L$1</f>
        <v>-1.4990492230334603E-2</v>
      </c>
      <c r="G536" s="172">
        <v>0</v>
      </c>
      <c r="H536" s="172">
        <v>0</v>
      </c>
      <c r="I536" s="178">
        <f>-$N$1</f>
        <v>-4.7716218756768064E-3</v>
      </c>
      <c r="J536" s="171">
        <v>0</v>
      </c>
      <c r="L536">
        <v>0</v>
      </c>
      <c r="M536">
        <v>1.9687178723145966</v>
      </c>
      <c r="N536">
        <v>0</v>
      </c>
    </row>
    <row r="537" spans="1:16">
      <c r="A537" s="171"/>
      <c r="B537" s="172">
        <v>1.9865190328797109</v>
      </c>
      <c r="C537" s="172">
        <v>1.2694850305255347</v>
      </c>
      <c r="D537" s="172">
        <v>3.2127045366234341E-2</v>
      </c>
      <c r="E537" s="171">
        <v>0</v>
      </c>
      <c r="F537" s="172">
        <v>0</v>
      </c>
      <c r="G537" s="171">
        <f>-$L$1</f>
        <v>-1.4990492230334603E-2</v>
      </c>
      <c r="H537" s="172">
        <v>0</v>
      </c>
      <c r="I537" s="172">
        <v>0</v>
      </c>
      <c r="J537" s="178">
        <f>-$N$1</f>
        <v>-4.7716218756768064E-3</v>
      </c>
      <c r="L537">
        <v>0</v>
      </c>
      <c r="M537">
        <v>0</v>
      </c>
      <c r="N537">
        <v>8.5073877973656717E-2</v>
      </c>
    </row>
    <row r="538" spans="1:16">
      <c r="A538" s="171"/>
      <c r="B538" s="172"/>
      <c r="C538" s="172"/>
      <c r="D538" s="172"/>
      <c r="E538" s="171"/>
      <c r="F538" s="171"/>
      <c r="G538" s="171"/>
      <c r="H538" s="171"/>
      <c r="I538" s="171"/>
      <c r="J538" s="171"/>
    </row>
    <row r="539" spans="1:16">
      <c r="A539" s="171"/>
      <c r="B539" s="172">
        <v>2.44475956514645</v>
      </c>
      <c r="C539" s="172">
        <v>-0.85548399177677847</v>
      </c>
      <c r="D539" s="172">
        <v>5.2896656816179721E-2</v>
      </c>
      <c r="E539" s="171">
        <f>-$L$1</f>
        <v>-1.4990492230334603E-2</v>
      </c>
      <c r="F539" s="172">
        <v>0</v>
      </c>
      <c r="G539" s="172">
        <v>0</v>
      </c>
      <c r="H539" s="178">
        <f>-$N$1</f>
        <v>-4.7716218756768064E-3</v>
      </c>
      <c r="I539" s="171">
        <v>0</v>
      </c>
      <c r="J539" s="171">
        <v>0</v>
      </c>
      <c r="L539">
        <f t="array" ref="L539:N541">SVDD(B539:J541)</f>
        <v>2.8621047102293002</v>
      </c>
      <c r="M539">
        <v>0</v>
      </c>
      <c r="N539">
        <v>0</v>
      </c>
      <c r="P539">
        <f t="shared" ref="P539" si="147">MAX(L539,M540,N541)/MIN(L539,M540,N541)</f>
        <v>6.2603571087600169</v>
      </c>
    </row>
    <row r="540" spans="1:16">
      <c r="A540" s="171" t="s">
        <v>348</v>
      </c>
      <c r="B540" s="172">
        <v>0.36768865949079377</v>
      </c>
      <c r="C540" s="172">
        <v>1.2890795247765441</v>
      </c>
      <c r="D540" s="172">
        <v>0.10954983766095538</v>
      </c>
      <c r="E540" s="171">
        <v>0</v>
      </c>
      <c r="F540" s="171">
        <f>-$L$1</f>
        <v>-1.4990492230334603E-2</v>
      </c>
      <c r="G540" s="172">
        <v>0</v>
      </c>
      <c r="H540" s="172">
        <v>0</v>
      </c>
      <c r="I540" s="178">
        <f>-$N$1</f>
        <v>-4.7716218756768064E-3</v>
      </c>
      <c r="J540" s="171">
        <v>0</v>
      </c>
      <c r="L540">
        <v>0</v>
      </c>
      <c r="M540">
        <v>2.2038453479762437</v>
      </c>
      <c r="N540">
        <v>0</v>
      </c>
    </row>
    <row r="541" spans="1:16">
      <c r="A541" s="171"/>
      <c r="B541" s="172">
        <v>1.3773893306068323</v>
      </c>
      <c r="C541" s="172">
        <v>1.5521003879162059</v>
      </c>
      <c r="D541" s="172">
        <v>-0.65590292152571228</v>
      </c>
      <c r="E541" s="171">
        <v>0</v>
      </c>
      <c r="F541" s="172">
        <v>0</v>
      </c>
      <c r="G541" s="171">
        <f>-$L$1</f>
        <v>-1.4990492230334603E-2</v>
      </c>
      <c r="H541" s="172">
        <v>0</v>
      </c>
      <c r="I541" s="172">
        <v>0</v>
      </c>
      <c r="J541" s="178">
        <f>-$N$1</f>
        <v>-4.7716218756768064E-3</v>
      </c>
      <c r="L541">
        <v>0</v>
      </c>
      <c r="M541">
        <v>0</v>
      </c>
      <c r="N541">
        <v>0.45717914497631507</v>
      </c>
    </row>
    <row r="542" spans="1:16">
      <c r="A542" s="171"/>
      <c r="B542" s="172"/>
      <c r="C542" s="172"/>
      <c r="D542" s="172"/>
      <c r="E542" s="171"/>
      <c r="F542" s="171"/>
      <c r="G542" s="171"/>
      <c r="H542" s="171"/>
      <c r="I542" s="171"/>
      <c r="J542" s="171"/>
    </row>
    <row r="543" spans="1:16">
      <c r="A543" s="171"/>
      <c r="B543" s="172">
        <v>2.44475956514645</v>
      </c>
      <c r="C543" s="172">
        <v>-0.85548399177677847</v>
      </c>
      <c r="D543" s="172">
        <v>5.2896656816179721E-2</v>
      </c>
      <c r="E543" s="171">
        <f>-$L$1</f>
        <v>-1.4990492230334603E-2</v>
      </c>
      <c r="F543" s="172">
        <v>0</v>
      </c>
      <c r="G543" s="172">
        <v>0</v>
      </c>
      <c r="H543" s="178">
        <f>-$N$1</f>
        <v>-4.7716218756768064E-3</v>
      </c>
      <c r="I543" s="171">
        <v>0</v>
      </c>
      <c r="J543" s="171">
        <v>0</v>
      </c>
      <c r="L543">
        <f t="array" ref="L543:N545">SVDD(B543:J545)</f>
        <v>3.5686916058739597</v>
      </c>
      <c r="M543">
        <v>0</v>
      </c>
      <c r="N543">
        <v>0</v>
      </c>
      <c r="P543">
        <f t="shared" ref="P543" si="148">MAX(L543,M544,N545)/MIN(L543,M544,N545)</f>
        <v>7.9253161861608605</v>
      </c>
    </row>
    <row r="544" spans="1:16">
      <c r="A544" s="171" t="s">
        <v>349</v>
      </c>
      <c r="B544" s="172">
        <v>1.9865190328797109</v>
      </c>
      <c r="C544" s="172">
        <v>1.2694850305255347</v>
      </c>
      <c r="D544" s="172">
        <v>3.2127045366234341E-2</v>
      </c>
      <c r="E544" s="171">
        <v>0</v>
      </c>
      <c r="F544" s="171">
        <f>-$L$1</f>
        <v>-1.4990492230334603E-2</v>
      </c>
      <c r="G544" s="172">
        <v>0</v>
      </c>
      <c r="H544" s="172">
        <v>0</v>
      </c>
      <c r="I544" s="178">
        <f>-$N$1</f>
        <v>-4.7716218756768064E-3</v>
      </c>
      <c r="J544" s="171">
        <v>0</v>
      </c>
      <c r="L544">
        <v>0</v>
      </c>
      <c r="M544">
        <v>2.0172331562539441</v>
      </c>
      <c r="N544">
        <v>0</v>
      </c>
    </row>
    <row r="545" spans="1:16">
      <c r="A545" s="171"/>
      <c r="B545" s="172">
        <v>1.3773893306068323</v>
      </c>
      <c r="C545" s="172">
        <v>1.5521003879162059</v>
      </c>
      <c r="D545" s="172">
        <v>-0.65590292152571228</v>
      </c>
      <c r="E545" s="171">
        <v>0</v>
      </c>
      <c r="F545" s="172">
        <v>0</v>
      </c>
      <c r="G545" s="171">
        <f>-$L$1</f>
        <v>-1.4990492230334603E-2</v>
      </c>
      <c r="H545" s="172">
        <v>0</v>
      </c>
      <c r="I545" s="172">
        <v>0</v>
      </c>
      <c r="J545" s="178">
        <f>-$N$1</f>
        <v>-4.7716218756768064E-3</v>
      </c>
      <c r="L545">
        <v>0</v>
      </c>
      <c r="M545">
        <v>0</v>
      </c>
      <c r="N545">
        <v>0.45029012370580085</v>
      </c>
    </row>
    <row r="546" spans="1:16">
      <c r="A546" s="171"/>
      <c r="B546" s="172"/>
      <c r="C546" s="172"/>
      <c r="D546" s="172"/>
      <c r="E546" s="171"/>
      <c r="F546" s="171"/>
      <c r="G546" s="171"/>
      <c r="H546" s="171"/>
      <c r="I546" s="171"/>
      <c r="J546" s="171"/>
    </row>
    <row r="547" spans="1:16">
      <c r="A547" s="171"/>
      <c r="B547" s="172">
        <v>2.8449497700634536</v>
      </c>
      <c r="C547" s="172">
        <v>0.22852225552422287</v>
      </c>
      <c r="D547" s="172">
        <v>6.9737163040410666E-2</v>
      </c>
      <c r="E547" s="171">
        <f>-$L$1</f>
        <v>-1.4990492230334603E-2</v>
      </c>
      <c r="F547" s="172">
        <v>0</v>
      </c>
      <c r="G547" s="172">
        <v>0</v>
      </c>
      <c r="H547" s="178">
        <f>-$N$1</f>
        <v>-4.7716218756768064E-3</v>
      </c>
      <c r="I547" s="171">
        <v>0</v>
      </c>
      <c r="J547" s="171">
        <v>0</v>
      </c>
      <c r="L547">
        <f t="array" ref="L547:N549">SVDD(B547:J549)</f>
        <v>3.6733110888632918</v>
      </c>
      <c r="M547">
        <v>0</v>
      </c>
      <c r="N547">
        <v>0</v>
      </c>
      <c r="P547">
        <f t="shared" ref="P547" si="149">MAX(L547,M548,N549)/MIN(L547,M548,N549)</f>
        <v>49.729279678600271</v>
      </c>
    </row>
    <row r="548" spans="1:16">
      <c r="A548" s="171" t="s">
        <v>350</v>
      </c>
      <c r="B548" s="172">
        <v>0.36768865949079377</v>
      </c>
      <c r="C548" s="172">
        <v>1.2890795247765441</v>
      </c>
      <c r="D548" s="172">
        <v>0.10954983766095538</v>
      </c>
      <c r="E548" s="171">
        <v>0</v>
      </c>
      <c r="F548" s="171">
        <f>-$L$1</f>
        <v>-1.4990492230334603E-2</v>
      </c>
      <c r="G548" s="172">
        <v>0</v>
      </c>
      <c r="H548" s="172">
        <v>0</v>
      </c>
      <c r="I548" s="178">
        <f>-$N$1</f>
        <v>-4.7716218756768064E-3</v>
      </c>
      <c r="J548" s="171">
        <v>0</v>
      </c>
      <c r="L548">
        <v>0</v>
      </c>
      <c r="M548">
        <v>1.4215136888688418</v>
      </c>
      <c r="N548">
        <v>0</v>
      </c>
    </row>
    <row r="549" spans="1:16">
      <c r="A549" s="171"/>
      <c r="B549" s="172">
        <v>1.9865190328797109</v>
      </c>
      <c r="C549" s="172">
        <v>1.2694850305255347</v>
      </c>
      <c r="D549" s="172">
        <v>3.2127045366234341E-2</v>
      </c>
      <c r="E549" s="171">
        <v>0</v>
      </c>
      <c r="F549" s="172">
        <v>0</v>
      </c>
      <c r="G549" s="171">
        <f>-$L$1</f>
        <v>-1.4990492230334603E-2</v>
      </c>
      <c r="H549" s="172">
        <v>0</v>
      </c>
      <c r="I549" s="172">
        <v>0</v>
      </c>
      <c r="J549" s="178">
        <f>-$N$1</f>
        <v>-4.7716218756768064E-3</v>
      </c>
      <c r="L549">
        <v>0</v>
      </c>
      <c r="M549">
        <v>0</v>
      </c>
      <c r="N549">
        <v>7.3866163206140464E-2</v>
      </c>
    </row>
    <row r="550" spans="1:16">
      <c r="A550" s="171"/>
      <c r="B550" s="172"/>
      <c r="C550" s="172"/>
      <c r="D550" s="172"/>
      <c r="E550" s="171"/>
      <c r="F550" s="171"/>
      <c r="G550" s="171"/>
      <c r="H550" s="171"/>
      <c r="I550" s="171"/>
      <c r="J550" s="171"/>
    </row>
    <row r="551" spans="1:16">
      <c r="A551" s="171"/>
      <c r="B551" s="172">
        <v>2.8449497700634536</v>
      </c>
      <c r="C551" s="172">
        <v>0.22852225552422287</v>
      </c>
      <c r="D551" s="172">
        <v>6.9737163040410666E-2</v>
      </c>
      <c r="E551" s="171">
        <f>-$L$1</f>
        <v>-1.4990492230334603E-2</v>
      </c>
      <c r="F551" s="172">
        <v>0</v>
      </c>
      <c r="G551" s="172">
        <v>0</v>
      </c>
      <c r="H551" s="178">
        <f>-$N$1</f>
        <v>-4.7716218756768064E-3</v>
      </c>
      <c r="I551" s="171">
        <v>0</v>
      </c>
      <c r="J551" s="171">
        <v>0</v>
      </c>
      <c r="L551">
        <f t="array" ref="L551:N553">SVDD(B551:J553)</f>
        <v>3.4116368493762264</v>
      </c>
      <c r="M551">
        <v>0</v>
      </c>
      <c r="N551">
        <v>0</v>
      </c>
      <c r="P551">
        <f t="shared" ref="P551" si="150">MAX(L551,M552,N553)/MIN(L551,M552,N553)</f>
        <v>6.7534431445853373</v>
      </c>
    </row>
    <row r="552" spans="1:16">
      <c r="A552" s="171" t="s">
        <v>351</v>
      </c>
      <c r="B552" s="172">
        <v>0.36768865949079377</v>
      </c>
      <c r="C552" s="172">
        <v>1.2890795247765441</v>
      </c>
      <c r="D552" s="172">
        <v>0.10954983766095538</v>
      </c>
      <c r="E552" s="171">
        <v>0</v>
      </c>
      <c r="F552" s="171">
        <f>-$L$1</f>
        <v>-1.4990492230334603E-2</v>
      </c>
      <c r="G552" s="172">
        <v>0</v>
      </c>
      <c r="H552" s="172">
        <v>0</v>
      </c>
      <c r="I552" s="178">
        <f>-$N$1</f>
        <v>-4.7716218756768064E-3</v>
      </c>
      <c r="J552" s="171">
        <v>0</v>
      </c>
      <c r="L552">
        <v>0</v>
      </c>
      <c r="M552">
        <v>1.6740526822291399</v>
      </c>
      <c r="N552">
        <v>0</v>
      </c>
    </row>
    <row r="553" spans="1:16">
      <c r="A553" s="171"/>
      <c r="B553" s="172">
        <v>1.3773893306068323</v>
      </c>
      <c r="C553" s="172">
        <v>1.5521003879162059</v>
      </c>
      <c r="D553" s="172">
        <v>-0.65590292152571228</v>
      </c>
      <c r="E553" s="171">
        <v>0</v>
      </c>
      <c r="F553" s="172">
        <v>0</v>
      </c>
      <c r="G553" s="171">
        <f>-$L$1</f>
        <v>-1.4990492230334603E-2</v>
      </c>
      <c r="H553" s="172">
        <v>0</v>
      </c>
      <c r="I553" s="172">
        <v>0</v>
      </c>
      <c r="J553" s="178">
        <f>-$N$1</f>
        <v>-4.7716218756768064E-3</v>
      </c>
      <c r="L553">
        <v>0</v>
      </c>
      <c r="M553">
        <v>0</v>
      </c>
      <c r="N553">
        <v>0.50516999645011473</v>
      </c>
    </row>
    <row r="554" spans="1:16">
      <c r="A554" s="171"/>
      <c r="B554" s="172"/>
      <c r="C554" s="172"/>
      <c r="D554" s="172"/>
      <c r="E554" s="171"/>
      <c r="F554" s="171"/>
      <c r="G554" s="171"/>
      <c r="H554" s="171"/>
      <c r="I554" s="171"/>
      <c r="J554" s="171"/>
    </row>
    <row r="555" spans="1:16">
      <c r="A555" s="171"/>
      <c r="B555" s="172">
        <v>2.8449497700634536</v>
      </c>
      <c r="C555" s="172">
        <v>0.22852225552422287</v>
      </c>
      <c r="D555" s="172">
        <v>6.9737163040410666E-2</v>
      </c>
      <c r="E555" s="171">
        <f>-$L$1</f>
        <v>-1.4990492230334603E-2</v>
      </c>
      <c r="F555" s="172">
        <v>0</v>
      </c>
      <c r="G555" s="172">
        <v>0</v>
      </c>
      <c r="H555" s="178">
        <f>-$N$1</f>
        <v>-4.7716218756768064E-3</v>
      </c>
      <c r="I555" s="171">
        <v>0</v>
      </c>
      <c r="J555" s="171">
        <v>0</v>
      </c>
      <c r="L555">
        <f t="array" ref="L555:N557">SVDD(B555:J557)</f>
        <v>4.0388109118230844</v>
      </c>
      <c r="M555">
        <v>0</v>
      </c>
      <c r="N555">
        <v>0</v>
      </c>
      <c r="P555">
        <f t="shared" ref="P555" si="151">MAX(L555,M556,N557)/MIN(L555,M556,N557)</f>
        <v>10.918106312881234</v>
      </c>
    </row>
    <row r="556" spans="1:16">
      <c r="A556" s="171" t="s">
        <v>352</v>
      </c>
      <c r="B556" s="172">
        <v>1.9865190328797109</v>
      </c>
      <c r="C556" s="172">
        <v>1.2694850305255347</v>
      </c>
      <c r="D556" s="172">
        <v>3.2127045366234341E-2</v>
      </c>
      <c r="E556" s="171">
        <v>0</v>
      </c>
      <c r="F556" s="171">
        <f>-$L$1</f>
        <v>-1.4990492230334603E-2</v>
      </c>
      <c r="G556" s="172">
        <v>0</v>
      </c>
      <c r="H556" s="172">
        <v>0</v>
      </c>
      <c r="I556" s="178">
        <f>-$N$1</f>
        <v>-4.7716218756768064E-3</v>
      </c>
      <c r="J556" s="171">
        <v>0</v>
      </c>
      <c r="L556">
        <v>0</v>
      </c>
      <c r="M556">
        <v>1.4135210810045171</v>
      </c>
      <c r="N556">
        <v>0</v>
      </c>
    </row>
    <row r="557" spans="1:16">
      <c r="A557" s="171"/>
      <c r="B557" s="172">
        <v>1.3773893306068323</v>
      </c>
      <c r="C557" s="172">
        <v>1.5521003879162059</v>
      </c>
      <c r="D557" s="172">
        <v>-0.65590292152571228</v>
      </c>
      <c r="E557" s="171">
        <v>0</v>
      </c>
      <c r="F557" s="172">
        <v>0</v>
      </c>
      <c r="G557" s="171">
        <f>-$L$1</f>
        <v>-1.4990492230334603E-2</v>
      </c>
      <c r="H557" s="172">
        <v>0</v>
      </c>
      <c r="I557" s="172">
        <v>0</v>
      </c>
      <c r="J557" s="178">
        <f>-$N$1</f>
        <v>-4.7716218756768064E-3</v>
      </c>
      <c r="L557">
        <v>0</v>
      </c>
      <c r="M557">
        <v>0</v>
      </c>
      <c r="N557">
        <v>0.36991862838504108</v>
      </c>
    </row>
    <row r="558" spans="1:16">
      <c r="A558" s="171"/>
      <c r="B558" s="172"/>
      <c r="C558" s="172"/>
      <c r="D558" s="172"/>
      <c r="E558" s="171"/>
      <c r="F558" s="171"/>
      <c r="G558" s="171"/>
      <c r="H558" s="171"/>
      <c r="I558" s="171"/>
      <c r="J558" s="171"/>
    </row>
    <row r="559" spans="1:16">
      <c r="A559" s="171"/>
      <c r="B559" s="172">
        <v>0.36768865949079377</v>
      </c>
      <c r="C559" s="172">
        <v>1.2890795247765441</v>
      </c>
      <c r="D559" s="172">
        <v>0.10954983766095538</v>
      </c>
      <c r="E559" s="171">
        <f>-$L$1</f>
        <v>-1.4990492230334603E-2</v>
      </c>
      <c r="F559" s="172">
        <v>0</v>
      </c>
      <c r="G559" s="172">
        <v>0</v>
      </c>
      <c r="H559" s="178">
        <f>-$N$1</f>
        <v>-4.7716218756768064E-3</v>
      </c>
      <c r="I559" s="171">
        <v>0</v>
      </c>
      <c r="J559" s="171">
        <v>0</v>
      </c>
      <c r="L559">
        <f t="array" ref="L559:N561">SVDD(B559:J561)</f>
        <v>3.3304701998430026</v>
      </c>
      <c r="M559">
        <v>0</v>
      </c>
      <c r="N559">
        <v>0</v>
      </c>
      <c r="P559">
        <f t="shared" ref="P559" si="152">MAX(L559,M560,N561)/MIN(L559,M560,N561)</f>
        <v>5.9499634529776904</v>
      </c>
    </row>
    <row r="560" spans="1:16">
      <c r="A560" s="171" t="s">
        <v>353</v>
      </c>
      <c r="B560" s="172">
        <v>1.9865190328797109</v>
      </c>
      <c r="C560" s="172">
        <v>1.2694850305255347</v>
      </c>
      <c r="D560" s="172">
        <v>3.2127045366234341E-2</v>
      </c>
      <c r="E560" s="171">
        <v>0</v>
      </c>
      <c r="F560" s="171">
        <f>-$L$1</f>
        <v>-1.4990492230334603E-2</v>
      </c>
      <c r="G560" s="172">
        <v>0</v>
      </c>
      <c r="H560" s="172">
        <v>0</v>
      </c>
      <c r="I560" s="178">
        <f>-$N$1</f>
        <v>-4.7716218756768064E-3</v>
      </c>
      <c r="J560" s="171">
        <v>0</v>
      </c>
      <c r="L560">
        <v>0</v>
      </c>
      <c r="M560">
        <v>0.83643575118877767</v>
      </c>
      <c r="N560">
        <v>0</v>
      </c>
    </row>
    <row r="561" spans="1:16">
      <c r="A561" s="171"/>
      <c r="B561" s="172">
        <v>1.3773893306068323</v>
      </c>
      <c r="C561" s="172">
        <v>1.5521003879162059</v>
      </c>
      <c r="D561" s="172">
        <v>-0.65590292152571228</v>
      </c>
      <c r="E561" s="171">
        <v>0</v>
      </c>
      <c r="F561" s="172">
        <v>0</v>
      </c>
      <c r="G561" s="171">
        <f>-$L$1</f>
        <v>-1.4990492230334603E-2</v>
      </c>
      <c r="H561" s="172">
        <v>0</v>
      </c>
      <c r="I561" s="172">
        <v>0</v>
      </c>
      <c r="J561" s="178">
        <f>-$N$1</f>
        <v>-4.7716218756768064E-3</v>
      </c>
      <c r="L561">
        <v>0</v>
      </c>
      <c r="M561">
        <v>0</v>
      </c>
      <c r="N561">
        <v>0.55974632889152476</v>
      </c>
    </row>
    <row r="562" spans="1:16">
      <c r="A562" s="171"/>
      <c r="B562" s="172"/>
      <c r="C562" s="172"/>
      <c r="D562" s="172"/>
      <c r="E562" s="171"/>
      <c r="F562" s="171"/>
      <c r="G562" s="171"/>
      <c r="H562" s="171"/>
      <c r="I562" s="171"/>
      <c r="J562" s="171"/>
    </row>
    <row r="563" spans="1:16">
      <c r="A563" s="171"/>
      <c r="B563" s="172">
        <v>-1.4421025939282253</v>
      </c>
      <c r="C563" s="172">
        <v>-1.0431877148697888</v>
      </c>
      <c r="D563" s="172">
        <v>-0.78932433807079116</v>
      </c>
      <c r="E563" s="171">
        <f>-$L$1</f>
        <v>-1.4990492230334603E-2</v>
      </c>
      <c r="F563" s="172">
        <v>0</v>
      </c>
      <c r="G563" s="172">
        <v>0</v>
      </c>
      <c r="H563" s="178">
        <f>-$N$1</f>
        <v>-4.7716218756768064E-3</v>
      </c>
      <c r="I563" s="171">
        <v>0</v>
      </c>
      <c r="J563" s="171">
        <v>0</v>
      </c>
      <c r="L563">
        <f t="array" ref="L563:N565">SVDD(B563:J565)</f>
        <v>3.5193759143276218</v>
      </c>
      <c r="M563">
        <v>0</v>
      </c>
      <c r="N563">
        <v>0</v>
      </c>
      <c r="P563">
        <f t="shared" ref="P563" si="153">MAX(L563,M564,N565)/MIN(L563,M564,N565)</f>
        <v>5.9221255668739783</v>
      </c>
    </row>
    <row r="564" spans="1:16">
      <c r="A564" s="171" t="s">
        <v>354</v>
      </c>
      <c r="B564" s="172">
        <v>-2.6959782234951333</v>
      </c>
      <c r="C564" s="172">
        <v>-1.0757798809975587</v>
      </c>
      <c r="D564" s="172">
        <v>-4.997772423355884E-2</v>
      </c>
      <c r="E564" s="171">
        <v>0</v>
      </c>
      <c r="F564" s="171">
        <f>-$L$1</f>
        <v>-1.4990492230334603E-2</v>
      </c>
      <c r="G564" s="172">
        <v>0</v>
      </c>
      <c r="H564" s="172">
        <v>0</v>
      </c>
      <c r="I564" s="178">
        <f>-$N$1</f>
        <v>-4.7716218756768064E-3</v>
      </c>
      <c r="J564" s="171">
        <v>0</v>
      </c>
      <c r="L564">
        <v>0</v>
      </c>
      <c r="M564">
        <v>0.90338771307386134</v>
      </c>
      <c r="N564">
        <v>0</v>
      </c>
    </row>
    <row r="565" spans="1:16">
      <c r="A565" s="171"/>
      <c r="B565" s="172">
        <v>-0.40019020491700363</v>
      </c>
      <c r="C565" s="172">
        <v>-1.0840062473010013</v>
      </c>
      <c r="D565" s="172">
        <v>-1.6840506224230944E-2</v>
      </c>
      <c r="E565" s="171">
        <v>0</v>
      </c>
      <c r="F565" s="172">
        <v>0</v>
      </c>
      <c r="G565" s="171">
        <f>-$L$1</f>
        <v>-1.4990492230334603E-2</v>
      </c>
      <c r="H565" s="172">
        <v>0</v>
      </c>
      <c r="I565" s="172">
        <v>0</v>
      </c>
      <c r="J565" s="178">
        <f>-$N$1</f>
        <v>-4.7716218756768064E-3</v>
      </c>
      <c r="L565">
        <v>0</v>
      </c>
      <c r="M565">
        <v>0</v>
      </c>
      <c r="N565">
        <v>0.59427580090729837</v>
      </c>
    </row>
    <row r="566" spans="1:16">
      <c r="A566" s="171"/>
      <c r="B566" s="172"/>
      <c r="C566" s="172"/>
      <c r="D566" s="172"/>
      <c r="E566" s="171"/>
      <c r="F566" s="171"/>
      <c r="G566" s="171"/>
      <c r="H566" s="171"/>
      <c r="I566" s="171"/>
      <c r="J566" s="171"/>
    </row>
    <row r="567" spans="1:16">
      <c r="A567" s="171"/>
      <c r="B567" s="172">
        <v>-1.4421025939282253</v>
      </c>
      <c r="C567" s="172">
        <v>-1.0431877148697888</v>
      </c>
      <c r="D567" s="172">
        <v>-0.78932433807079116</v>
      </c>
      <c r="E567" s="171">
        <f>-$L$1</f>
        <v>-1.4990492230334603E-2</v>
      </c>
      <c r="F567" s="172">
        <v>0</v>
      </c>
      <c r="G567" s="172">
        <v>0</v>
      </c>
      <c r="H567" s="178">
        <f>-$N$1</f>
        <v>-4.7716218756768064E-3</v>
      </c>
      <c r="I567" s="171">
        <v>0</v>
      </c>
      <c r="J567" s="171">
        <v>0</v>
      </c>
      <c r="L567">
        <f t="array" ref="L567:N569">SVDD(B567:J569)</f>
        <v>4.3731587405343539</v>
      </c>
      <c r="M567">
        <v>0</v>
      </c>
      <c r="N567">
        <v>0</v>
      </c>
      <c r="P567">
        <f t="shared" ref="P567" si="154">MAX(L567,M568,N569)/MIN(L567,M568,N569)</f>
        <v>10.494898808921118</v>
      </c>
    </row>
    <row r="568" spans="1:16">
      <c r="A568" s="171" t="s">
        <v>355</v>
      </c>
      <c r="B568" s="172">
        <v>-2.6959782234951333</v>
      </c>
      <c r="C568" s="172">
        <v>-1.0757798809975587</v>
      </c>
      <c r="D568" s="172">
        <v>-4.997772423355884E-2</v>
      </c>
      <c r="E568" s="171">
        <v>0</v>
      </c>
      <c r="F568" s="171">
        <f>-$L$1</f>
        <v>-1.4990492230334603E-2</v>
      </c>
      <c r="G568" s="172">
        <v>0</v>
      </c>
      <c r="H568" s="172">
        <v>0</v>
      </c>
      <c r="I568" s="178">
        <f>-$N$1</f>
        <v>-4.7716218756768064E-3</v>
      </c>
      <c r="J568" s="171">
        <v>0</v>
      </c>
      <c r="L568">
        <v>0</v>
      </c>
      <c r="M568">
        <v>1.0355908474108191</v>
      </c>
      <c r="N568">
        <v>0</v>
      </c>
    </row>
    <row r="569" spans="1:16">
      <c r="A569" s="171"/>
      <c r="B569" s="172">
        <v>-2.8449497700634536</v>
      </c>
      <c r="C569" s="172">
        <v>-0.22852225552422287</v>
      </c>
      <c r="D569" s="172">
        <v>-6.9737163040410666E-2</v>
      </c>
      <c r="E569" s="171">
        <v>0</v>
      </c>
      <c r="F569" s="172">
        <v>0</v>
      </c>
      <c r="G569" s="171">
        <f>-$L$1</f>
        <v>-1.4990492230334603E-2</v>
      </c>
      <c r="H569" s="172">
        <v>0</v>
      </c>
      <c r="I569" s="172">
        <v>0</v>
      </c>
      <c r="J569" s="178">
        <f>-$N$1</f>
        <v>-4.7716218756768064E-3</v>
      </c>
      <c r="L569">
        <v>0</v>
      </c>
      <c r="M569">
        <v>0</v>
      </c>
      <c r="N569">
        <v>0.41669374999756831</v>
      </c>
    </row>
    <row r="570" spans="1:16">
      <c r="A570" s="171"/>
      <c r="B570" s="172"/>
      <c r="C570" s="172"/>
      <c r="D570" s="172"/>
      <c r="E570" s="171"/>
      <c r="F570" s="171"/>
      <c r="G570" s="171"/>
      <c r="H570" s="171"/>
      <c r="I570" s="171"/>
      <c r="J570" s="171"/>
    </row>
    <row r="571" spans="1:16">
      <c r="A571" s="171"/>
      <c r="B571" s="172">
        <v>-1.4421025939282253</v>
      </c>
      <c r="C571" s="172">
        <v>-1.0431877148697888</v>
      </c>
      <c r="D571" s="172">
        <v>-0.78932433807079116</v>
      </c>
      <c r="E571" s="171">
        <f>-$L$1</f>
        <v>-1.4990492230334603E-2</v>
      </c>
      <c r="F571" s="172">
        <v>0</v>
      </c>
      <c r="G571" s="172">
        <v>0</v>
      </c>
      <c r="H571" s="178">
        <f>-$N$1</f>
        <v>-4.7716218756768064E-3</v>
      </c>
      <c r="I571" s="171">
        <v>0</v>
      </c>
      <c r="J571" s="171">
        <v>0</v>
      </c>
      <c r="L571">
        <f t="array" ref="L571:N573">SVDD(B571:J573)</f>
        <v>3.9812799085688813</v>
      </c>
      <c r="M571">
        <v>0</v>
      </c>
      <c r="N571">
        <v>0</v>
      </c>
      <c r="P571">
        <f t="shared" ref="P571" si="155">MAX(L571,M572,N573)/MIN(L571,M572,N573)</f>
        <v>7.023789455542131</v>
      </c>
    </row>
    <row r="572" spans="1:16">
      <c r="A572" s="171" t="s">
        <v>356</v>
      </c>
      <c r="B572" s="172">
        <v>-2.6959782234951333</v>
      </c>
      <c r="C572" s="172">
        <v>-1.0757798809975587</v>
      </c>
      <c r="D572" s="172">
        <v>-4.997772423355884E-2</v>
      </c>
      <c r="E572" s="171">
        <v>0</v>
      </c>
      <c r="F572" s="171">
        <f>-$L$1</f>
        <v>-1.4990492230334603E-2</v>
      </c>
      <c r="G572" s="172">
        <v>0</v>
      </c>
      <c r="H572" s="172">
        <v>0</v>
      </c>
      <c r="I572" s="178">
        <f>-$N$1</f>
        <v>-4.7716218756768064E-3</v>
      </c>
      <c r="J572" s="171">
        <v>0</v>
      </c>
      <c r="L572">
        <v>0</v>
      </c>
      <c r="M572">
        <v>1.8196374242468589</v>
      </c>
      <c r="N572">
        <v>0</v>
      </c>
    </row>
    <row r="573" spans="1:16">
      <c r="A573" s="171"/>
      <c r="B573" s="172">
        <v>-2.4772611105726599</v>
      </c>
      <c r="C573" s="172">
        <v>1.0605572692523213</v>
      </c>
      <c r="D573" s="172">
        <v>3.9812674620544719E-2</v>
      </c>
      <c r="E573" s="171">
        <v>0</v>
      </c>
      <c r="F573" s="172">
        <v>0</v>
      </c>
      <c r="G573" s="171">
        <f>-$L$1</f>
        <v>-1.4990492230334603E-2</v>
      </c>
      <c r="H573" s="172">
        <v>0</v>
      </c>
      <c r="I573" s="172">
        <v>0</v>
      </c>
      <c r="J573" s="178">
        <f>-$N$1</f>
        <v>-4.7716218756768064E-3</v>
      </c>
      <c r="L573">
        <v>0</v>
      </c>
      <c r="M573">
        <v>0</v>
      </c>
      <c r="N573">
        <v>0.56682791159513568</v>
      </c>
    </row>
    <row r="574" spans="1:16">
      <c r="A574" s="171"/>
      <c r="B574" s="172"/>
      <c r="C574" s="172"/>
      <c r="D574" s="172"/>
      <c r="E574" s="171"/>
      <c r="F574" s="171"/>
      <c r="G574" s="171"/>
      <c r="H574" s="171"/>
      <c r="I574" s="171"/>
      <c r="J574" s="171"/>
    </row>
    <row r="575" spans="1:16">
      <c r="A575" s="171"/>
      <c r="B575" s="172">
        <v>-1.4421025939282253</v>
      </c>
      <c r="C575" s="172">
        <v>-1.0431877148697888</v>
      </c>
      <c r="D575" s="172">
        <v>-0.78932433807079116</v>
      </c>
      <c r="E575" s="171">
        <f>-$L$1</f>
        <v>-1.4990492230334603E-2</v>
      </c>
      <c r="F575" s="172">
        <v>0</v>
      </c>
      <c r="G575" s="172">
        <v>0</v>
      </c>
      <c r="H575" s="178">
        <f>-$N$1</f>
        <v>-4.7716218756768064E-3</v>
      </c>
      <c r="I575" s="171">
        <v>0</v>
      </c>
      <c r="J575" s="171">
        <v>0</v>
      </c>
      <c r="L575">
        <f t="array" ref="L575:N577">SVDD(B575:J577)</f>
        <v>3.4335127866152297</v>
      </c>
      <c r="M575">
        <v>0</v>
      </c>
      <c r="N575">
        <v>0</v>
      </c>
      <c r="P575">
        <f t="shared" ref="P575" si="156">MAX(L575,M576,N577)/MIN(L575,M576,N577)</f>
        <v>5.626961900829321</v>
      </c>
    </row>
    <row r="576" spans="1:16">
      <c r="A576" s="171" t="s">
        <v>357</v>
      </c>
      <c r="B576" s="172">
        <v>-2.6959782234951333</v>
      </c>
      <c r="C576" s="172">
        <v>-1.0757798809975587</v>
      </c>
      <c r="D576" s="172">
        <v>-4.997772423355884E-2</v>
      </c>
      <c r="E576" s="171">
        <v>0</v>
      </c>
      <c r="F576" s="171">
        <f>-$L$1</f>
        <v>-1.4990492230334603E-2</v>
      </c>
      <c r="G576" s="172">
        <v>0</v>
      </c>
      <c r="H576" s="172">
        <v>0</v>
      </c>
      <c r="I576" s="178">
        <f>-$N$1</f>
        <v>-4.7716218756768064E-3</v>
      </c>
      <c r="J576" s="171">
        <v>0</v>
      </c>
      <c r="L576">
        <v>0</v>
      </c>
      <c r="M576">
        <v>1.3712602586474247</v>
      </c>
      <c r="N576">
        <v>0</v>
      </c>
    </row>
    <row r="577" spans="1:16">
      <c r="A577" s="171"/>
      <c r="B577" s="172">
        <v>-0.85843073718374274</v>
      </c>
      <c r="C577" s="172">
        <v>1.040962775001312</v>
      </c>
      <c r="D577" s="172">
        <v>-3.7610117674176324E-2</v>
      </c>
      <c r="E577" s="171">
        <v>0</v>
      </c>
      <c r="F577" s="172">
        <v>0</v>
      </c>
      <c r="G577" s="171">
        <f>-$L$1</f>
        <v>-1.4990492230334603E-2</v>
      </c>
      <c r="H577" s="172">
        <v>0</v>
      </c>
      <c r="I577" s="172">
        <v>0</v>
      </c>
      <c r="J577" s="178">
        <f>-$N$1</f>
        <v>-4.7716218756768064E-3</v>
      </c>
      <c r="L577">
        <v>0</v>
      </c>
      <c r="M577">
        <v>0</v>
      </c>
      <c r="N577">
        <v>0.6101894498537811</v>
      </c>
    </row>
    <row r="578" spans="1:16">
      <c r="A578" s="171"/>
      <c r="B578" s="172"/>
      <c r="C578" s="172"/>
      <c r="D578" s="172"/>
      <c r="E578" s="171"/>
      <c r="F578" s="171"/>
      <c r="G578" s="171"/>
      <c r="H578" s="171"/>
      <c r="I578" s="171"/>
      <c r="J578" s="171"/>
    </row>
    <row r="579" spans="1:16">
      <c r="A579" s="171"/>
      <c r="B579" s="172">
        <v>-1.4421025939282253</v>
      </c>
      <c r="C579" s="172">
        <v>-1.0431877148697888</v>
      </c>
      <c r="D579" s="172">
        <v>-0.78932433807079116</v>
      </c>
      <c r="E579" s="171">
        <f>-$L$1</f>
        <v>-1.4990492230334603E-2</v>
      </c>
      <c r="F579" s="172">
        <v>0</v>
      </c>
      <c r="G579" s="172">
        <v>0</v>
      </c>
      <c r="H579" s="178">
        <f>-$N$1</f>
        <v>-4.7716218756768064E-3</v>
      </c>
      <c r="I579" s="171">
        <v>0</v>
      </c>
      <c r="J579" s="171">
        <v>0</v>
      </c>
      <c r="L579">
        <f t="array" ref="L579:N581">SVDD(B579:J581)</f>
        <v>3.5590012002861577</v>
      </c>
      <c r="M579">
        <v>0</v>
      </c>
      <c r="N579">
        <v>0</v>
      </c>
      <c r="P579">
        <f t="shared" ref="P579" si="157">MAX(L579,M580,N581)/MIN(L579,M580,N581)</f>
        <v>4.8996048956109748</v>
      </c>
    </row>
    <row r="580" spans="1:16">
      <c r="A580" s="171" t="s">
        <v>358</v>
      </c>
      <c r="B580" s="172">
        <v>-2.6959782234951333</v>
      </c>
      <c r="C580" s="172">
        <v>-1.0757798809975587</v>
      </c>
      <c r="D580" s="172">
        <v>-4.997772423355884E-2</v>
      </c>
      <c r="E580" s="171">
        <v>0</v>
      </c>
      <c r="F580" s="171">
        <f>-$L$1</f>
        <v>-1.4990492230334603E-2</v>
      </c>
      <c r="G580" s="172">
        <v>0</v>
      </c>
      <c r="H580" s="172">
        <v>0</v>
      </c>
      <c r="I580" s="178">
        <f>-$N$1</f>
        <v>-4.7716218756768064E-3</v>
      </c>
      <c r="J580" s="171">
        <v>0</v>
      </c>
      <c r="L580">
        <v>0</v>
      </c>
      <c r="M580">
        <v>1.8595148829793529</v>
      </c>
      <c r="N580">
        <v>0</v>
      </c>
    </row>
    <row r="581" spans="1:16">
      <c r="A581" s="171"/>
      <c r="B581" s="172">
        <v>-1.4675604394566215</v>
      </c>
      <c r="C581" s="172">
        <v>1.3235781323919831</v>
      </c>
      <c r="D581" s="172">
        <v>-0.72564008456612294</v>
      </c>
      <c r="E581" s="171">
        <v>0</v>
      </c>
      <c r="F581" s="172">
        <v>0</v>
      </c>
      <c r="G581" s="171">
        <f>-$L$1</f>
        <v>-1.4990492230334603E-2</v>
      </c>
      <c r="H581" s="172">
        <v>0</v>
      </c>
      <c r="I581" s="172">
        <v>0</v>
      </c>
      <c r="J581" s="178">
        <f>-$N$1</f>
        <v>-4.7716218756768064E-3</v>
      </c>
      <c r="L581">
        <v>0</v>
      </c>
      <c r="M581">
        <v>0</v>
      </c>
      <c r="N581">
        <v>0.72638534659688203</v>
      </c>
    </row>
    <row r="582" spans="1:16">
      <c r="A582" s="171"/>
      <c r="B582" s="172"/>
      <c r="C582" s="172"/>
      <c r="D582" s="172"/>
      <c r="E582" s="171"/>
      <c r="F582" s="171"/>
      <c r="G582" s="171"/>
      <c r="H582" s="171"/>
      <c r="I582" s="171"/>
      <c r="J582" s="171"/>
    </row>
    <row r="583" spans="1:16">
      <c r="A583" s="171"/>
      <c r="B583" s="172">
        <v>-1.4421025939282253</v>
      </c>
      <c r="C583" s="172">
        <v>-1.0431877148697888</v>
      </c>
      <c r="D583" s="172">
        <v>-0.78932433807079116</v>
      </c>
      <c r="E583" s="171">
        <f>-$L$1</f>
        <v>-1.4990492230334603E-2</v>
      </c>
      <c r="F583" s="172">
        <v>0</v>
      </c>
      <c r="G583" s="172">
        <v>0</v>
      </c>
      <c r="H583" s="178">
        <f>-$N$1</f>
        <v>-4.7716218756768064E-3</v>
      </c>
      <c r="I583" s="171">
        <v>0</v>
      </c>
      <c r="J583" s="171">
        <v>0</v>
      </c>
      <c r="L583">
        <f t="array" ref="L583:N585">SVDD(B583:J585)</f>
        <v>3.3639994649335336</v>
      </c>
      <c r="M583">
        <v>0</v>
      </c>
      <c r="N583">
        <v>0</v>
      </c>
      <c r="P583">
        <f t="shared" ref="P583" si="158">MAX(L583,M584,N585)/MIN(L583,M584,N585)</f>
        <v>6.5922023267207113</v>
      </c>
    </row>
    <row r="584" spans="1:16">
      <c r="A584" s="171" t="s">
        <v>359</v>
      </c>
      <c r="B584" s="172">
        <v>-0.40019020491700363</v>
      </c>
      <c r="C584" s="172">
        <v>-1.0840062473010013</v>
      </c>
      <c r="D584" s="172">
        <v>-1.6840506224230944E-2</v>
      </c>
      <c r="E584" s="171">
        <v>0</v>
      </c>
      <c r="F584" s="171">
        <f>-$L$1</f>
        <v>-1.4990492230334603E-2</v>
      </c>
      <c r="G584" s="172">
        <v>0</v>
      </c>
      <c r="H584" s="172">
        <v>0</v>
      </c>
      <c r="I584" s="178">
        <f>-$N$1</f>
        <v>-4.7716218756768064E-3</v>
      </c>
      <c r="J584" s="171">
        <v>0</v>
      </c>
      <c r="L584">
        <v>0</v>
      </c>
      <c r="M584">
        <v>1.3042652408533508</v>
      </c>
      <c r="N584">
        <v>0</v>
      </c>
    </row>
    <row r="585" spans="1:16">
      <c r="A585" s="171"/>
      <c r="B585" s="172">
        <v>-2.8449497700634536</v>
      </c>
      <c r="C585" s="172">
        <v>-0.22852225552422287</v>
      </c>
      <c r="D585" s="172">
        <v>-6.9737163040410666E-2</v>
      </c>
      <c r="E585" s="171">
        <v>0</v>
      </c>
      <c r="F585" s="172">
        <v>0</v>
      </c>
      <c r="G585" s="171">
        <f>-$L$1</f>
        <v>-1.4990492230334603E-2</v>
      </c>
      <c r="H585" s="172">
        <v>0</v>
      </c>
      <c r="I585" s="172">
        <v>0</v>
      </c>
      <c r="J585" s="178">
        <f>-$N$1</f>
        <v>-4.7716218756768064E-3</v>
      </c>
      <c r="L585">
        <v>0</v>
      </c>
      <c r="M585">
        <v>0</v>
      </c>
      <c r="N585">
        <v>0.51029979029890515</v>
      </c>
    </row>
    <row r="586" spans="1:16">
      <c r="A586" s="171"/>
      <c r="B586" s="172"/>
      <c r="C586" s="172"/>
      <c r="D586" s="172"/>
      <c r="E586" s="171"/>
      <c r="F586" s="171"/>
      <c r="G586" s="171"/>
      <c r="H586" s="171"/>
      <c r="I586" s="171"/>
      <c r="J586" s="171"/>
    </row>
    <row r="587" spans="1:16">
      <c r="A587" s="171"/>
      <c r="B587" s="172">
        <v>-1.4421025939282253</v>
      </c>
      <c r="C587" s="172">
        <v>-1.0431877148697888</v>
      </c>
      <c r="D587" s="172">
        <v>-0.78932433807079116</v>
      </c>
      <c r="E587" s="171">
        <f>-$L$1</f>
        <v>-1.4990492230334603E-2</v>
      </c>
      <c r="F587" s="172">
        <v>0</v>
      </c>
      <c r="G587" s="172">
        <v>0</v>
      </c>
      <c r="H587" s="178">
        <f>-$N$1</f>
        <v>-4.7716218756768064E-3</v>
      </c>
      <c r="I587" s="171">
        <v>0</v>
      </c>
      <c r="J587" s="171">
        <v>0</v>
      </c>
      <c r="L587">
        <f t="array" ref="L587:N589">SVDD(B587:J589)</f>
        <v>2.9289887517677622</v>
      </c>
      <c r="M587">
        <v>0</v>
      </c>
      <c r="N587">
        <v>0</v>
      </c>
      <c r="P587">
        <f t="shared" ref="P587" si="159">MAX(L587,M588,N589)/MIN(L587,M588,N589)</f>
        <v>6.7105664089168426</v>
      </c>
    </row>
    <row r="588" spans="1:16">
      <c r="A588" s="171" t="s">
        <v>360</v>
      </c>
      <c r="B588" s="172">
        <v>-0.40019020491700363</v>
      </c>
      <c r="C588" s="172">
        <v>-1.0840062473010013</v>
      </c>
      <c r="D588" s="172">
        <v>-1.6840506224230944E-2</v>
      </c>
      <c r="E588" s="171">
        <v>0</v>
      </c>
      <c r="F588" s="171">
        <f>-$L$1</f>
        <v>-1.4990492230334603E-2</v>
      </c>
      <c r="G588" s="172">
        <v>0</v>
      </c>
      <c r="H588" s="172">
        <v>0</v>
      </c>
      <c r="I588" s="178">
        <f>-$N$1</f>
        <v>-4.7716218756768064E-3</v>
      </c>
      <c r="J588" s="171">
        <v>0</v>
      </c>
      <c r="L588">
        <v>0</v>
      </c>
      <c r="M588">
        <v>1.902862527418784</v>
      </c>
      <c r="N588">
        <v>0</v>
      </c>
    </row>
    <row r="589" spans="1:16">
      <c r="A589" s="171"/>
      <c r="B589" s="172">
        <v>-2.4772611105726599</v>
      </c>
      <c r="C589" s="172">
        <v>1.0605572692523213</v>
      </c>
      <c r="D589" s="172">
        <v>3.9812674620544719E-2</v>
      </c>
      <c r="E589" s="171">
        <v>0</v>
      </c>
      <c r="F589" s="172">
        <v>0</v>
      </c>
      <c r="G589" s="171">
        <f>-$L$1</f>
        <v>-1.4990492230334603E-2</v>
      </c>
      <c r="H589" s="172">
        <v>0</v>
      </c>
      <c r="I589" s="172">
        <v>0</v>
      </c>
      <c r="J589" s="178">
        <f>-$N$1</f>
        <v>-4.7716218756768064E-3</v>
      </c>
      <c r="L589">
        <v>0</v>
      </c>
      <c r="M589">
        <v>0</v>
      </c>
      <c r="N589">
        <v>0.43647414737983831</v>
      </c>
    </row>
    <row r="590" spans="1:16">
      <c r="A590" s="171"/>
      <c r="B590" s="172"/>
      <c r="C590" s="172"/>
      <c r="D590" s="172"/>
      <c r="E590" s="171"/>
      <c r="F590" s="171"/>
      <c r="G590" s="171"/>
      <c r="H590" s="171"/>
      <c r="I590" s="171"/>
      <c r="J590" s="171"/>
    </row>
    <row r="591" spans="1:16">
      <c r="A591" s="171"/>
      <c r="B591" s="172">
        <v>-1.4421025939282253</v>
      </c>
      <c r="C591" s="172">
        <v>-1.0431877148697888</v>
      </c>
      <c r="D591" s="172">
        <v>-0.78932433807079116</v>
      </c>
      <c r="E591" s="171">
        <f>-$L$1</f>
        <v>-1.4990492230334603E-2</v>
      </c>
      <c r="F591" s="172">
        <v>0</v>
      </c>
      <c r="G591" s="172">
        <v>0</v>
      </c>
      <c r="H591" s="178">
        <f>-$N$1</f>
        <v>-4.7716218756768064E-3</v>
      </c>
      <c r="I591" s="171">
        <v>0</v>
      </c>
      <c r="J591" s="171">
        <v>0</v>
      </c>
      <c r="L591">
        <f t="array" ref="L591:N593">SVDD(B591:J593)</f>
        <v>2.1661019555385379</v>
      </c>
      <c r="M591">
        <v>0</v>
      </c>
      <c r="N591">
        <v>0</v>
      </c>
      <c r="P591">
        <f t="shared" ref="P591" si="160">MAX(L591,M592,N593)/MIN(L591,M592,N593)</f>
        <v>7.0312992713762936</v>
      </c>
    </row>
    <row r="592" spans="1:16">
      <c r="A592" s="171" t="s">
        <v>361</v>
      </c>
      <c r="B592" s="172">
        <v>-0.40019020491700363</v>
      </c>
      <c r="C592" s="172">
        <v>-1.0840062473010013</v>
      </c>
      <c r="D592" s="172">
        <v>-1.6840506224230944E-2</v>
      </c>
      <c r="E592" s="171">
        <v>0</v>
      </c>
      <c r="F592" s="171">
        <f>-$L$1</f>
        <v>-1.4990492230334603E-2</v>
      </c>
      <c r="G592" s="172">
        <v>0</v>
      </c>
      <c r="H592" s="172">
        <v>0</v>
      </c>
      <c r="I592" s="178">
        <f>-$N$1</f>
        <v>-4.7716218756768064E-3</v>
      </c>
      <c r="J592" s="171">
        <v>0</v>
      </c>
      <c r="L592">
        <v>0</v>
      </c>
      <c r="M592">
        <v>1.4704422517640603</v>
      </c>
      <c r="N592">
        <v>0</v>
      </c>
    </row>
    <row r="593" spans="1:16">
      <c r="A593" s="171"/>
      <c r="B593" s="172">
        <v>-0.85843073718374274</v>
      </c>
      <c r="C593" s="172">
        <v>1.040962775001312</v>
      </c>
      <c r="D593" s="172">
        <v>-3.7610117674176324E-2</v>
      </c>
      <c r="E593" s="171">
        <v>0</v>
      </c>
      <c r="F593" s="172">
        <v>0</v>
      </c>
      <c r="G593" s="171">
        <f>-$L$1</f>
        <v>-1.4990492230334603E-2</v>
      </c>
      <c r="H593" s="172">
        <v>0</v>
      </c>
      <c r="I593" s="172">
        <v>0</v>
      </c>
      <c r="J593" s="178">
        <f>-$N$1</f>
        <v>-4.7716218756768064E-3</v>
      </c>
      <c r="L593">
        <v>0</v>
      </c>
      <c r="M593">
        <v>0</v>
      </c>
      <c r="N593">
        <v>0.30806567491111059</v>
      </c>
    </row>
    <row r="594" spans="1:16">
      <c r="A594" s="171"/>
      <c r="B594" s="172"/>
      <c r="C594" s="172"/>
      <c r="D594" s="172"/>
      <c r="E594" s="171"/>
      <c r="F594" s="171"/>
      <c r="G594" s="171"/>
      <c r="H594" s="171"/>
      <c r="I594" s="171"/>
      <c r="J594" s="171"/>
    </row>
    <row r="595" spans="1:16">
      <c r="A595" s="171"/>
      <c r="B595" s="172">
        <v>-1.4421025939282253</v>
      </c>
      <c r="C595" s="172">
        <v>-1.0431877148697888</v>
      </c>
      <c r="D595" s="172">
        <v>-0.78932433807079116</v>
      </c>
      <c r="E595" s="171">
        <f>-$L$1</f>
        <v>-1.4990492230334603E-2</v>
      </c>
      <c r="F595" s="172">
        <v>0</v>
      </c>
      <c r="G595" s="172">
        <v>0</v>
      </c>
      <c r="H595" s="178">
        <f>-$N$1</f>
        <v>-4.7716218756768064E-3</v>
      </c>
      <c r="I595" s="171">
        <v>0</v>
      </c>
      <c r="J595" s="171">
        <v>0</v>
      </c>
      <c r="L595">
        <f t="array" ref="L595:N597">SVDD(B595:J597)</f>
        <v>2.3484818260135216</v>
      </c>
      <c r="M595">
        <v>0</v>
      </c>
      <c r="N595">
        <v>0</v>
      </c>
      <c r="P595">
        <f t="shared" ref="P595" si="161">MAX(L595,M596,N597)/MIN(L595,M596,N597)</f>
        <v>14.02684316037301</v>
      </c>
    </row>
    <row r="596" spans="1:16">
      <c r="A596" s="171" t="s">
        <v>362</v>
      </c>
      <c r="B596" s="172">
        <v>-0.40019020491700363</v>
      </c>
      <c r="C596" s="172">
        <v>-1.0840062473010013</v>
      </c>
      <c r="D596" s="172">
        <v>-1.6840506224230944E-2</v>
      </c>
      <c r="E596" s="171">
        <v>0</v>
      </c>
      <c r="F596" s="171">
        <f>-$L$1</f>
        <v>-1.4990492230334603E-2</v>
      </c>
      <c r="G596" s="172">
        <v>0</v>
      </c>
      <c r="H596" s="172">
        <v>0</v>
      </c>
      <c r="I596" s="178">
        <f>-$N$1</f>
        <v>-4.7716218756768064E-3</v>
      </c>
      <c r="J596" s="171">
        <v>0</v>
      </c>
      <c r="L596">
        <v>0</v>
      </c>
      <c r="M596">
        <v>2.003978178510581</v>
      </c>
      <c r="N596">
        <v>0</v>
      </c>
    </row>
    <row r="597" spans="1:16">
      <c r="A597" s="171"/>
      <c r="B597" s="172">
        <v>-1.4675604394566215</v>
      </c>
      <c r="C597" s="172">
        <v>1.3235781323919831</v>
      </c>
      <c r="D597" s="172">
        <v>-0.72564008456612294</v>
      </c>
      <c r="E597" s="171">
        <v>0</v>
      </c>
      <c r="F597" s="172">
        <v>0</v>
      </c>
      <c r="G597" s="171">
        <f>-$L$1</f>
        <v>-1.4990492230334603E-2</v>
      </c>
      <c r="H597" s="172">
        <v>0</v>
      </c>
      <c r="I597" s="172">
        <v>0</v>
      </c>
      <c r="J597" s="178">
        <f>-$N$1</f>
        <v>-4.7716218756768064E-3</v>
      </c>
      <c r="L597">
        <v>0</v>
      </c>
      <c r="M597">
        <v>0</v>
      </c>
      <c r="N597">
        <v>0.16742768127957519</v>
      </c>
    </row>
    <row r="598" spans="1:16">
      <c r="A598" s="171"/>
      <c r="B598" s="172"/>
      <c r="C598" s="172"/>
      <c r="D598" s="172"/>
      <c r="E598" s="171"/>
      <c r="F598" s="171"/>
      <c r="G598" s="171"/>
      <c r="H598" s="171"/>
      <c r="I598" s="171"/>
      <c r="J598" s="171"/>
    </row>
    <row r="599" spans="1:16">
      <c r="A599" s="171"/>
      <c r="B599" s="172">
        <v>-1.4421025939282253</v>
      </c>
      <c r="C599" s="172">
        <v>-1.0431877148697888</v>
      </c>
      <c r="D599" s="172">
        <v>-0.78932433807079116</v>
      </c>
      <c r="E599" s="171">
        <f>-$L$1</f>
        <v>-1.4990492230334603E-2</v>
      </c>
      <c r="F599" s="172">
        <v>0</v>
      </c>
      <c r="G599" s="172">
        <v>0</v>
      </c>
      <c r="H599" s="178">
        <f>-$N$1</f>
        <v>-4.7716218756768064E-3</v>
      </c>
      <c r="I599" s="171">
        <v>0</v>
      </c>
      <c r="J599" s="171">
        <v>0</v>
      </c>
      <c r="L599">
        <f t="array" ref="L599:N601">SVDD(B599:J601)</f>
        <v>4.0520485671859703</v>
      </c>
      <c r="M599">
        <v>0</v>
      </c>
      <c r="N599">
        <v>0</v>
      </c>
      <c r="P599">
        <f t="shared" ref="P599" si="162">MAX(L599,M600,N601)/MIN(L599,M600,N601)</f>
        <v>10.959186569084393</v>
      </c>
    </row>
    <row r="600" spans="1:16">
      <c r="A600" s="171" t="s">
        <v>363</v>
      </c>
      <c r="B600" s="172">
        <v>-2.8449497700634536</v>
      </c>
      <c r="C600" s="172">
        <v>-0.22852225552422287</v>
      </c>
      <c r="D600" s="172">
        <v>-6.9737163040410666E-2</v>
      </c>
      <c r="E600" s="171">
        <v>0</v>
      </c>
      <c r="F600" s="171">
        <f>-$L$1</f>
        <v>-1.4990492230334603E-2</v>
      </c>
      <c r="G600" s="172">
        <v>0</v>
      </c>
      <c r="H600" s="172">
        <v>0</v>
      </c>
      <c r="I600" s="178">
        <f>-$N$1</f>
        <v>-4.7716218756768064E-3</v>
      </c>
      <c r="J600" s="171">
        <v>0</v>
      </c>
      <c r="L600">
        <v>0</v>
      </c>
      <c r="M600">
        <v>1.6278467194656896</v>
      </c>
      <c r="N600">
        <v>0</v>
      </c>
    </row>
    <row r="601" spans="1:16">
      <c r="A601" s="171"/>
      <c r="B601" s="172">
        <v>-2.4772611105726599</v>
      </c>
      <c r="C601" s="172">
        <v>1.0605572692523213</v>
      </c>
      <c r="D601" s="172">
        <v>3.9812674620544719E-2</v>
      </c>
      <c r="E601" s="171">
        <v>0</v>
      </c>
      <c r="F601" s="172">
        <v>0</v>
      </c>
      <c r="G601" s="171">
        <f>-$L$1</f>
        <v>-1.4990492230334603E-2</v>
      </c>
      <c r="H601" s="172">
        <v>0</v>
      </c>
      <c r="I601" s="172">
        <v>0</v>
      </c>
      <c r="J601" s="178">
        <f>-$N$1</f>
        <v>-4.7716218756768064E-3</v>
      </c>
      <c r="L601">
        <v>0</v>
      </c>
      <c r="M601">
        <v>0</v>
      </c>
      <c r="N601">
        <v>0.36973990192088746</v>
      </c>
    </row>
    <row r="602" spans="1:16">
      <c r="A602" s="171"/>
      <c r="B602" s="172"/>
      <c r="C602" s="172"/>
      <c r="D602" s="172"/>
      <c r="E602" s="171"/>
      <c r="F602" s="171"/>
      <c r="G602" s="171"/>
      <c r="H602" s="171"/>
      <c r="I602" s="171"/>
      <c r="J602" s="171"/>
    </row>
    <row r="603" spans="1:16">
      <c r="A603" s="171"/>
      <c r="B603" s="172">
        <v>-1.4421025939282253</v>
      </c>
      <c r="C603" s="172">
        <v>-1.0431877148697888</v>
      </c>
      <c r="D603" s="172">
        <v>-0.78932433807079116</v>
      </c>
      <c r="E603" s="171">
        <f>-$L$1</f>
        <v>-1.4990492230334603E-2</v>
      </c>
      <c r="F603" s="172">
        <v>0</v>
      </c>
      <c r="G603" s="172">
        <v>0</v>
      </c>
      <c r="H603" s="178">
        <f>-$N$1</f>
        <v>-4.7716218756768064E-3</v>
      </c>
      <c r="I603" s="171">
        <v>0</v>
      </c>
      <c r="J603" s="171">
        <v>0</v>
      </c>
      <c r="L603">
        <f t="array" ref="L603:N605">SVDD(B603:J605)</f>
        <v>3.3604654816739457</v>
      </c>
      <c r="M603">
        <v>0</v>
      </c>
      <c r="N603">
        <v>0</v>
      </c>
      <c r="P603">
        <f t="shared" ref="P603" si="163">MAX(L603,M604,N605)/MIN(L603,M604,N605)</f>
        <v>6.9652378518336615</v>
      </c>
    </row>
    <row r="604" spans="1:16">
      <c r="A604" s="171" t="s">
        <v>364</v>
      </c>
      <c r="B604" s="172">
        <v>-2.8449497700634536</v>
      </c>
      <c r="C604" s="172">
        <v>-0.22852225552422287</v>
      </c>
      <c r="D604" s="172">
        <v>-6.9737163040410666E-2</v>
      </c>
      <c r="E604" s="171">
        <v>0</v>
      </c>
      <c r="F604" s="171">
        <f>-$L$1</f>
        <v>-1.4990492230334603E-2</v>
      </c>
      <c r="G604" s="172">
        <v>0</v>
      </c>
      <c r="H604" s="172">
        <v>0</v>
      </c>
      <c r="I604" s="178">
        <f>-$N$1</f>
        <v>-4.7716218756768064E-3</v>
      </c>
      <c r="J604" s="171">
        <v>0</v>
      </c>
      <c r="L604">
        <v>0</v>
      </c>
      <c r="M604">
        <v>1.496303398948599</v>
      </c>
      <c r="N604">
        <v>0</v>
      </c>
    </row>
    <row r="605" spans="1:16">
      <c r="A605" s="171"/>
      <c r="B605" s="172">
        <v>-0.85843073718374274</v>
      </c>
      <c r="C605" s="172">
        <v>1.040962775001312</v>
      </c>
      <c r="D605" s="172">
        <v>-3.7610117674176324E-2</v>
      </c>
      <c r="E605" s="171">
        <v>0</v>
      </c>
      <c r="F605" s="172">
        <v>0</v>
      </c>
      <c r="G605" s="171">
        <f>-$L$1</f>
        <v>-1.4990492230334603E-2</v>
      </c>
      <c r="H605" s="172">
        <v>0</v>
      </c>
      <c r="I605" s="172">
        <v>0</v>
      </c>
      <c r="J605" s="178">
        <f>-$N$1</f>
        <v>-4.7716218756768064E-3</v>
      </c>
      <c r="L605">
        <v>0</v>
      </c>
      <c r="M605">
        <v>0</v>
      </c>
      <c r="N605">
        <v>0.48246241595170691</v>
      </c>
    </row>
    <row r="606" spans="1:16">
      <c r="A606" s="171"/>
      <c r="B606" s="172"/>
      <c r="C606" s="172"/>
      <c r="D606" s="172"/>
      <c r="E606" s="171"/>
      <c r="F606" s="171"/>
      <c r="G606" s="171"/>
      <c r="H606" s="171"/>
      <c r="I606" s="171"/>
      <c r="J606" s="171"/>
    </row>
    <row r="607" spans="1:16">
      <c r="A607" s="171"/>
      <c r="B607" s="172">
        <v>-1.4421025939282253</v>
      </c>
      <c r="C607" s="172">
        <v>-1.0431877148697888</v>
      </c>
      <c r="D607" s="172">
        <v>-0.78932433807079116</v>
      </c>
      <c r="E607" s="171">
        <f>-$L$1</f>
        <v>-1.4990492230334603E-2</v>
      </c>
      <c r="F607" s="172">
        <v>0</v>
      </c>
      <c r="G607" s="172">
        <v>0</v>
      </c>
      <c r="H607" s="178">
        <f>-$N$1</f>
        <v>-4.7716218756768064E-3</v>
      </c>
      <c r="I607" s="171">
        <v>0</v>
      </c>
      <c r="J607" s="171">
        <v>0</v>
      </c>
      <c r="L607">
        <f t="array" ref="L607:N609">SVDD(B607:J609)</f>
        <v>3.5812181820564377</v>
      </c>
      <c r="M607">
        <v>0</v>
      </c>
      <c r="N607">
        <v>0</v>
      </c>
      <c r="P607">
        <f t="shared" ref="P607" si="164">MAX(L607,M608,N609)/MIN(L607,M608,N609)</f>
        <v>4.4463378786883858</v>
      </c>
    </row>
    <row r="608" spans="1:16">
      <c r="A608" s="171" t="s">
        <v>365</v>
      </c>
      <c r="B608" s="172">
        <v>-2.8449497700634536</v>
      </c>
      <c r="C608" s="172">
        <v>-0.22852225552422287</v>
      </c>
      <c r="D608" s="172">
        <v>-6.9737163040410666E-2</v>
      </c>
      <c r="E608" s="171">
        <v>0</v>
      </c>
      <c r="F608" s="171">
        <f>-$L$1</f>
        <v>-1.4990492230334603E-2</v>
      </c>
      <c r="G608" s="172">
        <v>0</v>
      </c>
      <c r="H608" s="172">
        <v>0</v>
      </c>
      <c r="I608" s="178">
        <f>-$N$1</f>
        <v>-4.7716218756768064E-3</v>
      </c>
      <c r="J608" s="171">
        <v>0</v>
      </c>
      <c r="L608">
        <v>0</v>
      </c>
      <c r="M608">
        <v>1.7031747704177829</v>
      </c>
      <c r="N608">
        <v>0</v>
      </c>
    </row>
    <row r="609" spans="1:16">
      <c r="A609" s="171"/>
      <c r="B609" s="172">
        <v>-1.4675604394566215</v>
      </c>
      <c r="C609" s="172">
        <v>1.3235781323919831</v>
      </c>
      <c r="D609" s="172">
        <v>-0.72564008456612294</v>
      </c>
      <c r="E609" s="171">
        <v>0</v>
      </c>
      <c r="F609" s="172">
        <v>0</v>
      </c>
      <c r="G609" s="171">
        <f>-$L$1</f>
        <v>-1.4990492230334603E-2</v>
      </c>
      <c r="H609" s="172">
        <v>0</v>
      </c>
      <c r="I609" s="172">
        <v>0</v>
      </c>
      <c r="J609" s="178">
        <f>-$N$1</f>
        <v>-4.7716218756768064E-3</v>
      </c>
      <c r="L609">
        <v>0</v>
      </c>
      <c r="M609">
        <v>0</v>
      </c>
      <c r="N609">
        <v>0.80543095908690876</v>
      </c>
    </row>
    <row r="610" spans="1:16">
      <c r="A610" s="171"/>
      <c r="B610" s="172"/>
      <c r="C610" s="172"/>
      <c r="D610" s="172"/>
      <c r="E610" s="171"/>
      <c r="F610" s="171"/>
      <c r="G610" s="171"/>
      <c r="H610" s="171"/>
      <c r="I610" s="171"/>
      <c r="J610" s="171"/>
    </row>
    <row r="611" spans="1:16">
      <c r="A611" s="171"/>
      <c r="B611" s="172">
        <v>-1.4421025939282253</v>
      </c>
      <c r="C611" s="172">
        <v>-1.0431877148697888</v>
      </c>
      <c r="D611" s="172">
        <v>-0.78932433807079116</v>
      </c>
      <c r="E611" s="171">
        <f>-$L$1</f>
        <v>-1.4990492230334603E-2</v>
      </c>
      <c r="F611" s="172">
        <v>0</v>
      </c>
      <c r="G611" s="172">
        <v>0</v>
      </c>
      <c r="H611" s="178">
        <f>-$N$1</f>
        <v>-4.7716218756768064E-3</v>
      </c>
      <c r="I611" s="171">
        <v>0</v>
      </c>
      <c r="J611" s="171">
        <v>0</v>
      </c>
      <c r="L611">
        <f t="array" ref="L611:N613">SVDD(B611:J613)</f>
        <v>3.1089551666555253</v>
      </c>
      <c r="M611">
        <v>0</v>
      </c>
      <c r="N611">
        <v>0</v>
      </c>
      <c r="P611">
        <f t="shared" ref="P611" si="165">MAX(L611,M612,N613)/MIN(L611,M612,N613)</f>
        <v>10.895243151566556</v>
      </c>
    </row>
    <row r="612" spans="1:16">
      <c r="A612" s="171" t="s">
        <v>366</v>
      </c>
      <c r="B612" s="172">
        <v>-2.4772611105726599</v>
      </c>
      <c r="C612" s="172">
        <v>1.0605572692523213</v>
      </c>
      <c r="D612" s="172">
        <v>3.9812674620544719E-2</v>
      </c>
      <c r="E612" s="171">
        <v>0</v>
      </c>
      <c r="F612" s="171">
        <f>-$L$1</f>
        <v>-1.4990492230334603E-2</v>
      </c>
      <c r="G612" s="172">
        <v>0</v>
      </c>
      <c r="H612" s="172">
        <v>0</v>
      </c>
      <c r="I612" s="178">
        <f>-$N$1</f>
        <v>-4.7716218756768064E-3</v>
      </c>
      <c r="J612" s="171">
        <v>0</v>
      </c>
      <c r="L612">
        <v>0</v>
      </c>
      <c r="M612">
        <v>1.7691127350965081</v>
      </c>
      <c r="N612">
        <v>0</v>
      </c>
    </row>
    <row r="613" spans="1:16">
      <c r="A613" s="171"/>
      <c r="B613" s="172">
        <v>-0.85843073718374274</v>
      </c>
      <c r="C613" s="172">
        <v>1.040962775001312</v>
      </c>
      <c r="D613" s="172">
        <v>-3.7610117674176324E-2</v>
      </c>
      <c r="E613" s="171">
        <v>0</v>
      </c>
      <c r="F613" s="172">
        <v>0</v>
      </c>
      <c r="G613" s="171">
        <f>-$L$1</f>
        <v>-1.4990492230334603E-2</v>
      </c>
      <c r="H613" s="172">
        <v>0</v>
      </c>
      <c r="I613" s="172">
        <v>0</v>
      </c>
      <c r="J613" s="178">
        <f>-$N$1</f>
        <v>-4.7716218756768064E-3</v>
      </c>
      <c r="L613">
        <v>0</v>
      </c>
      <c r="M613">
        <v>0</v>
      </c>
      <c r="N613">
        <v>0.28534977360358488</v>
      </c>
    </row>
    <row r="614" spans="1:16">
      <c r="A614" s="171"/>
      <c r="B614" s="172"/>
      <c r="C614" s="172"/>
      <c r="D614" s="172"/>
      <c r="E614" s="171"/>
      <c r="F614" s="171"/>
      <c r="G614" s="171"/>
      <c r="H614" s="171"/>
      <c r="I614" s="171"/>
      <c r="J614" s="171"/>
    </row>
    <row r="615" spans="1:16">
      <c r="A615" s="171"/>
      <c r="B615" s="172">
        <v>-1.4421025939282253</v>
      </c>
      <c r="C615" s="172">
        <v>-1.0431877148697888</v>
      </c>
      <c r="D615" s="172">
        <v>-0.78932433807079116</v>
      </c>
      <c r="E615" s="171">
        <f>-$L$1</f>
        <v>-1.4990492230334603E-2</v>
      </c>
      <c r="F615" s="172">
        <v>0</v>
      </c>
      <c r="G615" s="172">
        <v>0</v>
      </c>
      <c r="H615" s="178">
        <f>-$N$1</f>
        <v>-4.7716218756768064E-3</v>
      </c>
      <c r="I615" s="171">
        <v>0</v>
      </c>
      <c r="J615" s="171">
        <v>0</v>
      </c>
      <c r="L615">
        <f t="array" ref="L615:N617">SVDD(B615:J617)</f>
        <v>3.4595227749026911</v>
      </c>
      <c r="M615">
        <v>0</v>
      </c>
      <c r="N615">
        <v>0</v>
      </c>
      <c r="P615">
        <f t="shared" ref="P615" si="166">MAX(L615,M616,N617)/MIN(L615,M616,N617)</f>
        <v>4.5852000172627232</v>
      </c>
    </row>
    <row r="616" spans="1:16">
      <c r="A616" s="171" t="s">
        <v>367</v>
      </c>
      <c r="B616" s="172">
        <v>-2.4772611105726599</v>
      </c>
      <c r="C616" s="172">
        <v>1.0605572692523213</v>
      </c>
      <c r="D616" s="172">
        <v>3.9812674620544719E-2</v>
      </c>
      <c r="E616" s="171">
        <v>0</v>
      </c>
      <c r="F616" s="171">
        <f>-$L$1</f>
        <v>-1.4990492230334603E-2</v>
      </c>
      <c r="G616" s="172">
        <v>0</v>
      </c>
      <c r="H616" s="172">
        <v>0</v>
      </c>
      <c r="I616" s="178">
        <f>-$N$1</f>
        <v>-4.7716218756768064E-3</v>
      </c>
      <c r="J616" s="171">
        <v>0</v>
      </c>
      <c r="L616">
        <v>0</v>
      </c>
      <c r="M616">
        <v>1.7173953854331403</v>
      </c>
      <c r="N616">
        <v>0</v>
      </c>
    </row>
    <row r="617" spans="1:16">
      <c r="A617" s="171"/>
      <c r="B617" s="172">
        <v>-1.4675604394566215</v>
      </c>
      <c r="C617" s="172">
        <v>1.3235781323919831</v>
      </c>
      <c r="D617" s="172">
        <v>-0.72564008456612294</v>
      </c>
      <c r="E617" s="171">
        <v>0</v>
      </c>
      <c r="F617" s="172">
        <v>0</v>
      </c>
      <c r="G617" s="171">
        <f>-$L$1</f>
        <v>-1.4990492230334603E-2</v>
      </c>
      <c r="H617" s="172">
        <v>0</v>
      </c>
      <c r="I617" s="172">
        <v>0</v>
      </c>
      <c r="J617" s="178">
        <f>-$N$1</f>
        <v>-4.7716218756768064E-3</v>
      </c>
      <c r="L617">
        <v>0</v>
      </c>
      <c r="M617">
        <v>0</v>
      </c>
      <c r="N617">
        <v>0.75449767990011485</v>
      </c>
    </row>
    <row r="618" spans="1:16">
      <c r="A618" s="171"/>
      <c r="B618" s="172"/>
      <c r="C618" s="172"/>
      <c r="D618" s="172"/>
      <c r="E618" s="171"/>
      <c r="F618" s="171"/>
      <c r="G618" s="171"/>
      <c r="H618" s="171"/>
      <c r="I618" s="171"/>
      <c r="J618" s="171"/>
    </row>
    <row r="619" spans="1:16">
      <c r="A619" s="171"/>
      <c r="B619" s="172">
        <v>-1.4421025939282253</v>
      </c>
      <c r="C619" s="172">
        <v>-1.0431877148697888</v>
      </c>
      <c r="D619" s="172">
        <v>-0.78932433807079116</v>
      </c>
      <c r="E619" s="171">
        <f>-$L$1</f>
        <v>-1.4990492230334603E-2</v>
      </c>
      <c r="F619" s="172">
        <v>0</v>
      </c>
      <c r="G619" s="172">
        <v>0</v>
      </c>
      <c r="H619" s="178">
        <f>-$N$1</f>
        <v>-4.7716218756768064E-3</v>
      </c>
      <c r="I619" s="171">
        <v>0</v>
      </c>
      <c r="J619" s="171">
        <v>0</v>
      </c>
      <c r="L619">
        <f t="array" ref="L619:N621">SVDD(B619:J621)</f>
        <v>2.572494374567714</v>
      </c>
      <c r="M619">
        <v>0</v>
      </c>
      <c r="N619">
        <v>0</v>
      </c>
      <c r="P619">
        <f t="shared" ref="P619" si="167">MAX(L619,M620,N621)/MIN(L619,M620,N621)</f>
        <v>9.2982792164366224</v>
      </c>
    </row>
    <row r="620" spans="1:16">
      <c r="A620" s="171" t="s">
        <v>368</v>
      </c>
      <c r="B620" s="172">
        <v>-0.85843073718374274</v>
      </c>
      <c r="C620" s="172">
        <v>1.040962775001312</v>
      </c>
      <c r="D620" s="172">
        <v>-3.7610117674176324E-2</v>
      </c>
      <c r="E620" s="171">
        <v>0</v>
      </c>
      <c r="F620" s="171">
        <f>-$L$1</f>
        <v>-1.4990492230334603E-2</v>
      </c>
      <c r="G620" s="172">
        <v>0</v>
      </c>
      <c r="H620" s="172">
        <v>0</v>
      </c>
      <c r="I620" s="178">
        <f>-$N$1</f>
        <v>-4.7716218756768064E-3</v>
      </c>
      <c r="J620" s="171">
        <v>0</v>
      </c>
      <c r="L620">
        <v>0</v>
      </c>
      <c r="M620">
        <v>1.8307029975905003</v>
      </c>
      <c r="N620">
        <v>0</v>
      </c>
    </row>
    <row r="621" spans="1:16">
      <c r="A621" s="171"/>
      <c r="B621" s="172">
        <v>-1.4675604394566215</v>
      </c>
      <c r="C621" s="172">
        <v>1.3235781323919831</v>
      </c>
      <c r="D621" s="172">
        <v>-0.72564008456612294</v>
      </c>
      <c r="E621" s="171">
        <v>0</v>
      </c>
      <c r="F621" s="172">
        <v>0</v>
      </c>
      <c r="G621" s="171">
        <f>-$L$1</f>
        <v>-1.4990492230334603E-2</v>
      </c>
      <c r="H621" s="172">
        <v>0</v>
      </c>
      <c r="I621" s="172">
        <v>0</v>
      </c>
      <c r="J621" s="178">
        <f>-$N$1</f>
        <v>-4.7716218756768064E-3</v>
      </c>
      <c r="L621">
        <v>0</v>
      </c>
      <c r="M621">
        <v>0</v>
      </c>
      <c r="N621">
        <v>0.27666348952183545</v>
      </c>
    </row>
    <row r="622" spans="1:16">
      <c r="A622" s="171"/>
      <c r="B622" s="172"/>
      <c r="C622" s="172"/>
      <c r="D622" s="172"/>
      <c r="E622" s="171"/>
      <c r="F622" s="171"/>
      <c r="G622" s="171"/>
      <c r="H622" s="171"/>
      <c r="I622" s="171"/>
      <c r="J622" s="171"/>
    </row>
    <row r="623" spans="1:16">
      <c r="A623" s="171"/>
      <c r="B623" s="172">
        <v>-2.6959782234951333</v>
      </c>
      <c r="C623" s="172">
        <v>-1.0757798809975587</v>
      </c>
      <c r="D623" s="172">
        <v>-4.997772423355884E-2</v>
      </c>
      <c r="E623" s="171">
        <f>-$L$1</f>
        <v>-1.4990492230334603E-2</v>
      </c>
      <c r="F623" s="172">
        <v>0</v>
      </c>
      <c r="G623" s="172">
        <v>0</v>
      </c>
      <c r="H623" s="178">
        <f>-$N$1</f>
        <v>-4.7716218756768064E-3</v>
      </c>
      <c r="I623" s="171">
        <v>0</v>
      </c>
      <c r="J623" s="171">
        <v>0</v>
      </c>
      <c r="L623">
        <f t="array" ref="L623:N625">SVDD(B623:J625)</f>
        <v>4.0796687416125277</v>
      </c>
      <c r="M623">
        <v>0</v>
      </c>
      <c r="N623">
        <v>0</v>
      </c>
      <c r="P623">
        <f t="shared" ref="P623" si="168">MAX(L623,M624,N625)/MIN(L623,M624,N625)</f>
        <v>192.39391754968031</v>
      </c>
    </row>
    <row r="624" spans="1:16">
      <c r="A624" s="171" t="s">
        <v>369</v>
      </c>
      <c r="B624" s="172">
        <v>-0.40019020491700363</v>
      </c>
      <c r="C624" s="172">
        <v>-1.0840062473010013</v>
      </c>
      <c r="D624" s="172">
        <v>-1.6840506224230944E-2</v>
      </c>
      <c r="E624" s="171">
        <v>0</v>
      </c>
      <c r="F624" s="171">
        <f>-$L$1</f>
        <v>-1.4990492230334603E-2</v>
      </c>
      <c r="G624" s="172">
        <v>0</v>
      </c>
      <c r="H624" s="172">
        <v>0</v>
      </c>
      <c r="I624" s="178">
        <f>-$N$1</f>
        <v>-4.7716218756768064E-3</v>
      </c>
      <c r="J624" s="171">
        <v>0</v>
      </c>
      <c r="L624">
        <v>0</v>
      </c>
      <c r="M624">
        <v>1.1273973156318284</v>
      </c>
      <c r="N624">
        <v>0</v>
      </c>
    </row>
    <row r="625" spans="1:16">
      <c r="A625" s="171"/>
      <c r="B625" s="172">
        <v>-2.8449497700634536</v>
      </c>
      <c r="C625" s="172">
        <v>-0.22852225552422287</v>
      </c>
      <c r="D625" s="172">
        <v>-6.9737163040410666E-2</v>
      </c>
      <c r="E625" s="171">
        <v>0</v>
      </c>
      <c r="F625" s="172">
        <v>0</v>
      </c>
      <c r="G625" s="171">
        <f>-$L$1</f>
        <v>-1.4990492230334603E-2</v>
      </c>
      <c r="H625" s="172">
        <v>0</v>
      </c>
      <c r="I625" s="172">
        <v>0</v>
      </c>
      <c r="J625" s="178">
        <f>-$N$1</f>
        <v>-4.7716218756768064E-3</v>
      </c>
      <c r="L625">
        <v>0</v>
      </c>
      <c r="M625">
        <v>0</v>
      </c>
      <c r="N625">
        <v>2.1204769847046064E-2</v>
      </c>
    </row>
    <row r="626" spans="1:16">
      <c r="A626" s="171"/>
      <c r="B626" s="172"/>
      <c r="C626" s="172"/>
      <c r="D626" s="172"/>
      <c r="E626" s="171"/>
      <c r="F626" s="171"/>
      <c r="G626" s="171"/>
      <c r="H626" s="171"/>
      <c r="I626" s="171"/>
      <c r="J626" s="171"/>
    </row>
    <row r="627" spans="1:16">
      <c r="A627" s="171"/>
      <c r="B627" s="172">
        <v>-2.6959782234951333</v>
      </c>
      <c r="C627" s="172">
        <v>-1.0757798809975587</v>
      </c>
      <c r="D627" s="172">
        <v>-4.997772423355884E-2</v>
      </c>
      <c r="E627" s="171">
        <f>-$L$1</f>
        <v>-1.4990492230334603E-2</v>
      </c>
      <c r="F627" s="172">
        <v>0</v>
      </c>
      <c r="G627" s="172">
        <v>0</v>
      </c>
      <c r="H627" s="178">
        <f>-$N$1</f>
        <v>-4.7716218756768064E-3</v>
      </c>
      <c r="I627" s="171">
        <v>0</v>
      </c>
      <c r="J627" s="171">
        <v>0</v>
      </c>
      <c r="L627">
        <f t="array" ref="L627:N629">SVDD(B627:J629)</f>
        <v>3.6898365847115744</v>
      </c>
      <c r="M627">
        <v>0</v>
      </c>
      <c r="N627">
        <v>0</v>
      </c>
      <c r="P627">
        <f t="shared" ref="P627" si="169">MAX(L627,M628,N629)/MIN(L627,M628,N629)</f>
        <v>129.66977488444354</v>
      </c>
    </row>
    <row r="628" spans="1:16">
      <c r="A628" s="171" t="s">
        <v>370</v>
      </c>
      <c r="B628" s="172">
        <v>-0.40019020491700363</v>
      </c>
      <c r="C628" s="172">
        <v>-1.0840062473010013</v>
      </c>
      <c r="D628" s="172">
        <v>-1.6840506224230944E-2</v>
      </c>
      <c r="E628" s="171">
        <v>0</v>
      </c>
      <c r="F628" s="171">
        <f>-$L$1</f>
        <v>-1.4990492230334603E-2</v>
      </c>
      <c r="G628" s="172">
        <v>0</v>
      </c>
      <c r="H628" s="172">
        <v>0</v>
      </c>
      <c r="I628" s="178">
        <f>-$N$1</f>
        <v>-4.7716218756768064E-3</v>
      </c>
      <c r="J628" s="171">
        <v>0</v>
      </c>
      <c r="L628">
        <v>0</v>
      </c>
      <c r="M628">
        <v>1.8471145439509897</v>
      </c>
      <c r="N628">
        <v>0</v>
      </c>
    </row>
    <row r="629" spans="1:16">
      <c r="A629" s="171"/>
      <c r="B629" s="172">
        <v>-2.4772611105726599</v>
      </c>
      <c r="C629" s="172">
        <v>1.0605572692523213</v>
      </c>
      <c r="D629" s="172">
        <v>3.9812674620544719E-2</v>
      </c>
      <c r="E629" s="171">
        <v>0</v>
      </c>
      <c r="F629" s="172">
        <v>0</v>
      </c>
      <c r="G629" s="171">
        <f>-$L$1</f>
        <v>-1.4990492230334603E-2</v>
      </c>
      <c r="H629" s="172">
        <v>0</v>
      </c>
      <c r="I629" s="172">
        <v>0</v>
      </c>
      <c r="J629" s="178">
        <f>-$N$1</f>
        <v>-4.7716218756768064E-3</v>
      </c>
      <c r="L629">
        <v>0</v>
      </c>
      <c r="M629">
        <v>0</v>
      </c>
      <c r="N629">
        <v>2.8455641170039875E-2</v>
      </c>
    </row>
    <row r="630" spans="1:16">
      <c r="A630" s="171"/>
      <c r="B630" s="172"/>
      <c r="C630" s="172"/>
      <c r="D630" s="172"/>
      <c r="E630" s="171"/>
      <c r="F630" s="171"/>
      <c r="G630" s="171"/>
      <c r="H630" s="171"/>
      <c r="I630" s="171"/>
      <c r="J630" s="171"/>
    </row>
    <row r="631" spans="1:16">
      <c r="A631" s="171"/>
      <c r="B631" s="172">
        <v>-2.6959782234951333</v>
      </c>
      <c r="C631" s="172">
        <v>-1.0757798809975587</v>
      </c>
      <c r="D631" s="172">
        <v>-4.997772423355884E-2</v>
      </c>
      <c r="E631" s="171">
        <f>-$L$1</f>
        <v>-1.4990492230334603E-2</v>
      </c>
      <c r="F631" s="172">
        <v>0</v>
      </c>
      <c r="G631" s="172">
        <v>0</v>
      </c>
      <c r="H631" s="178">
        <f>-$N$1</f>
        <v>-4.7716218756768064E-3</v>
      </c>
      <c r="I631" s="171">
        <v>0</v>
      </c>
      <c r="J631" s="171">
        <v>0</v>
      </c>
      <c r="L631">
        <f t="array" ref="L631:N633">SVDD(B631:J633)</f>
        <v>3.0330394769838844</v>
      </c>
      <c r="M631">
        <v>0</v>
      </c>
      <c r="N631">
        <v>0</v>
      </c>
      <c r="P631">
        <f t="shared" ref="P631" si="170">MAX(L631,M632,N633)/MIN(L631,M632,N633)</f>
        <v>122.79906078168024</v>
      </c>
    </row>
    <row r="632" spans="1:16">
      <c r="A632" s="171" t="s">
        <v>371</v>
      </c>
      <c r="B632" s="172">
        <v>-0.40019020491700363</v>
      </c>
      <c r="C632" s="172">
        <v>-1.0840062473010013</v>
      </c>
      <c r="D632" s="172">
        <v>-1.6840506224230944E-2</v>
      </c>
      <c r="E632" s="171">
        <v>0</v>
      </c>
      <c r="F632" s="171">
        <f>-$L$1</f>
        <v>-1.4990492230334603E-2</v>
      </c>
      <c r="G632" s="172">
        <v>0</v>
      </c>
      <c r="H632" s="172">
        <v>0</v>
      </c>
      <c r="I632" s="178">
        <f>-$N$1</f>
        <v>-4.7716218756768064E-3</v>
      </c>
      <c r="J632" s="171">
        <v>0</v>
      </c>
      <c r="L632">
        <v>0</v>
      </c>
      <c r="M632">
        <v>1.5447748490074227</v>
      </c>
      <c r="N632">
        <v>0</v>
      </c>
    </row>
    <row r="633" spans="1:16">
      <c r="A633" s="171"/>
      <c r="B633" s="172">
        <v>-0.85843073718374274</v>
      </c>
      <c r="C633" s="172">
        <v>1.040962775001312</v>
      </c>
      <c r="D633" s="172">
        <v>-3.7610117674176324E-2</v>
      </c>
      <c r="E633" s="171">
        <v>0</v>
      </c>
      <c r="F633" s="172">
        <v>0</v>
      </c>
      <c r="G633" s="171">
        <f>-$L$1</f>
        <v>-1.4990492230334603E-2</v>
      </c>
      <c r="H633" s="172">
        <v>0</v>
      </c>
      <c r="I633" s="172">
        <v>0</v>
      </c>
      <c r="J633" s="178">
        <f>-$N$1</f>
        <v>-4.7716218756768064E-3</v>
      </c>
      <c r="L633">
        <v>0</v>
      </c>
      <c r="M633">
        <v>0</v>
      </c>
      <c r="N633">
        <v>2.4699207450586364E-2</v>
      </c>
    </row>
    <row r="634" spans="1:16">
      <c r="A634" s="171"/>
      <c r="B634" s="172"/>
      <c r="C634" s="172"/>
      <c r="D634" s="172"/>
      <c r="E634" s="171"/>
      <c r="F634" s="171"/>
      <c r="G634" s="171"/>
      <c r="H634" s="171"/>
      <c r="I634" s="171"/>
      <c r="J634" s="171"/>
    </row>
    <row r="635" spans="1:16">
      <c r="A635" s="171"/>
      <c r="B635" s="172">
        <v>-2.6959782234951333</v>
      </c>
      <c r="C635" s="172">
        <v>-1.0757798809975587</v>
      </c>
      <c r="D635" s="172">
        <v>-4.997772423355884E-2</v>
      </c>
      <c r="E635" s="171">
        <f>-$L$1</f>
        <v>-1.4990492230334603E-2</v>
      </c>
      <c r="F635" s="172">
        <v>0</v>
      </c>
      <c r="G635" s="172">
        <v>0</v>
      </c>
      <c r="H635" s="178">
        <f>-$N$1</f>
        <v>-4.7716218756768064E-3</v>
      </c>
      <c r="I635" s="171">
        <v>0</v>
      </c>
      <c r="J635" s="171">
        <v>0</v>
      </c>
      <c r="L635">
        <f t="array" ref="L635:N637">SVDD(B635:J637)</f>
        <v>3.1647200193486977</v>
      </c>
      <c r="M635">
        <v>0</v>
      </c>
      <c r="N635">
        <v>0</v>
      </c>
      <c r="P635">
        <f t="shared" ref="P635" si="171">MAX(L635,M636,N637)/MIN(L635,M636,N637)</f>
        <v>11.321658387881362</v>
      </c>
    </row>
    <row r="636" spans="1:16">
      <c r="A636" s="171" t="s">
        <v>372</v>
      </c>
      <c r="B636" s="172">
        <v>-0.40019020491700363</v>
      </c>
      <c r="C636" s="172">
        <v>-1.0840062473010013</v>
      </c>
      <c r="D636" s="172">
        <v>-1.6840506224230944E-2</v>
      </c>
      <c r="E636" s="171">
        <v>0</v>
      </c>
      <c r="F636" s="171">
        <f>-$L$1</f>
        <v>-1.4990492230334603E-2</v>
      </c>
      <c r="G636" s="172">
        <v>0</v>
      </c>
      <c r="H636" s="172">
        <v>0</v>
      </c>
      <c r="I636" s="178">
        <f>-$N$1</f>
        <v>-4.7716218756768064E-3</v>
      </c>
      <c r="J636" s="171">
        <v>0</v>
      </c>
      <c r="L636">
        <v>0</v>
      </c>
      <c r="M636">
        <v>2.0255626559499968</v>
      </c>
      <c r="N636">
        <v>0</v>
      </c>
    </row>
    <row r="637" spans="1:16">
      <c r="A637" s="171"/>
      <c r="B637" s="172">
        <v>-1.4675604394566215</v>
      </c>
      <c r="C637" s="172">
        <v>1.3235781323919831</v>
      </c>
      <c r="D637" s="172">
        <v>-0.72564008456612294</v>
      </c>
      <c r="E637" s="171">
        <v>0</v>
      </c>
      <c r="F637" s="172">
        <v>0</v>
      </c>
      <c r="G637" s="171">
        <f>-$L$1</f>
        <v>-1.4990492230334603E-2</v>
      </c>
      <c r="H637" s="172">
        <v>0</v>
      </c>
      <c r="I637" s="172">
        <v>0</v>
      </c>
      <c r="J637" s="178">
        <f>-$N$1</f>
        <v>-4.7716218756768064E-3</v>
      </c>
      <c r="L637">
        <v>0</v>
      </c>
      <c r="M637">
        <v>0</v>
      </c>
      <c r="N637">
        <v>0.27952795526282581</v>
      </c>
    </row>
    <row r="638" spans="1:16">
      <c r="A638" s="171"/>
      <c r="B638" s="172"/>
      <c r="C638" s="172"/>
      <c r="D638" s="172"/>
      <c r="E638" s="171"/>
      <c r="F638" s="171"/>
      <c r="G638" s="171"/>
      <c r="H638" s="171"/>
      <c r="I638" s="171"/>
      <c r="J638" s="171"/>
    </row>
    <row r="639" spans="1:16">
      <c r="A639" s="171"/>
      <c r="B639" s="172">
        <v>-2.6959782234951333</v>
      </c>
      <c r="C639" s="172">
        <v>-1.0757798809975587</v>
      </c>
      <c r="D639" s="172">
        <v>-4.997772423355884E-2</v>
      </c>
      <c r="E639" s="171">
        <f>-$L$1</f>
        <v>-1.4990492230334603E-2</v>
      </c>
      <c r="F639" s="172">
        <v>0</v>
      </c>
      <c r="G639" s="172">
        <v>0</v>
      </c>
      <c r="H639" s="178">
        <f>-$N$1</f>
        <v>-4.7716218756768064E-3</v>
      </c>
      <c r="I639" s="171">
        <v>0</v>
      </c>
      <c r="J639" s="171">
        <v>0</v>
      </c>
      <c r="L639">
        <f t="array" ref="L639:N641">SVDD(B639:J641)</f>
        <v>4.6417817261641243</v>
      </c>
      <c r="M639">
        <v>0</v>
      </c>
      <c r="N639">
        <v>0</v>
      </c>
      <c r="P639">
        <f t="shared" ref="P639" si="172">MAX(L639,M640,N641)/MIN(L639,M640,N641)</f>
        <v>101.03887656044341</v>
      </c>
    </row>
    <row r="640" spans="1:16">
      <c r="A640" s="171" t="s">
        <v>373</v>
      </c>
      <c r="B640" s="172">
        <v>-2.8449497700634536</v>
      </c>
      <c r="C640" s="172">
        <v>-0.22852225552422287</v>
      </c>
      <c r="D640" s="172">
        <v>-6.9737163040410666E-2</v>
      </c>
      <c r="E640" s="171">
        <v>0</v>
      </c>
      <c r="F640" s="171">
        <f>-$L$1</f>
        <v>-1.4990492230334603E-2</v>
      </c>
      <c r="G640" s="172">
        <v>0</v>
      </c>
      <c r="H640" s="172">
        <v>0</v>
      </c>
      <c r="I640" s="178">
        <f>-$N$1</f>
        <v>-4.7716218756768064E-3</v>
      </c>
      <c r="J640" s="171">
        <v>0</v>
      </c>
      <c r="L640">
        <v>0</v>
      </c>
      <c r="M640">
        <v>1.5147961237880934</v>
      </c>
      <c r="N640">
        <v>0</v>
      </c>
    </row>
    <row r="641" spans="1:16">
      <c r="A641" s="171"/>
      <c r="B641" s="172">
        <v>-2.4772611105726599</v>
      </c>
      <c r="C641" s="172">
        <v>1.0605572692523213</v>
      </c>
      <c r="D641" s="172">
        <v>3.9812674620544719E-2</v>
      </c>
      <c r="E641" s="171">
        <v>0</v>
      </c>
      <c r="F641" s="172">
        <v>0</v>
      </c>
      <c r="G641" s="171">
        <f>-$L$1</f>
        <v>-1.4990492230334603E-2</v>
      </c>
      <c r="H641" s="172">
        <v>0</v>
      </c>
      <c r="I641" s="172">
        <v>0</v>
      </c>
      <c r="J641" s="178">
        <f>-$N$1</f>
        <v>-4.7716218756768064E-3</v>
      </c>
      <c r="L641">
        <v>0</v>
      </c>
      <c r="M641">
        <v>0</v>
      </c>
      <c r="N641">
        <v>4.594055163892604E-2</v>
      </c>
    </row>
    <row r="642" spans="1:16">
      <c r="A642" s="171"/>
      <c r="B642" s="172"/>
      <c r="C642" s="172"/>
      <c r="D642" s="172"/>
      <c r="E642" s="171"/>
      <c r="F642" s="171"/>
      <c r="G642" s="171"/>
      <c r="H642" s="171"/>
      <c r="I642" s="171"/>
      <c r="J642" s="171"/>
    </row>
    <row r="643" spans="1:16">
      <c r="A643" s="171"/>
      <c r="B643" s="172">
        <v>-2.6959782234951333</v>
      </c>
      <c r="C643" s="172">
        <v>-1.0757798809975587</v>
      </c>
      <c r="D643" s="172">
        <v>-4.997772423355884E-2</v>
      </c>
      <c r="E643" s="171">
        <f>-$L$1</f>
        <v>-1.4990492230334603E-2</v>
      </c>
      <c r="F643" s="172">
        <v>0</v>
      </c>
      <c r="G643" s="172">
        <v>0</v>
      </c>
      <c r="H643" s="178">
        <f>-$N$1</f>
        <v>-4.7716218756768064E-3</v>
      </c>
      <c r="I643" s="171">
        <v>0</v>
      </c>
      <c r="J643" s="171">
        <v>0</v>
      </c>
      <c r="L643">
        <f t="array" ref="L643:N645">SVDD(B643:J645)</f>
        <v>4.0744135085215714</v>
      </c>
      <c r="M643">
        <v>0</v>
      </c>
      <c r="N643">
        <v>0</v>
      </c>
      <c r="P643">
        <f t="shared" ref="P643" si="173">MAX(L643,M644,N645)/MIN(L643,M644,N645)</f>
        <v>257.13512217323864</v>
      </c>
    </row>
    <row r="644" spans="1:16">
      <c r="A644" s="171" t="s">
        <v>374</v>
      </c>
      <c r="B644" s="172">
        <v>-2.8449497700634536</v>
      </c>
      <c r="C644" s="172">
        <v>-0.22852225552422287</v>
      </c>
      <c r="D644" s="172">
        <v>-6.9737163040410666E-2</v>
      </c>
      <c r="E644" s="171">
        <v>0</v>
      </c>
      <c r="F644" s="171">
        <f>-$L$1</f>
        <v>-1.4990492230334603E-2</v>
      </c>
      <c r="G644" s="172">
        <v>0</v>
      </c>
      <c r="H644" s="172">
        <v>0</v>
      </c>
      <c r="I644" s="178">
        <f>-$N$1</f>
        <v>-4.7716218756768064E-3</v>
      </c>
      <c r="J644" s="171">
        <v>0</v>
      </c>
      <c r="L644">
        <v>0</v>
      </c>
      <c r="M644">
        <v>1.3418237136951594</v>
      </c>
      <c r="N644">
        <v>0</v>
      </c>
    </row>
    <row r="645" spans="1:16">
      <c r="A645" s="171"/>
      <c r="B645" s="172">
        <v>-0.85843073718374274</v>
      </c>
      <c r="C645" s="172">
        <v>1.040962775001312</v>
      </c>
      <c r="D645" s="172">
        <v>-3.7610117674176324E-2</v>
      </c>
      <c r="E645" s="171">
        <v>0</v>
      </c>
      <c r="F645" s="172">
        <v>0</v>
      </c>
      <c r="G645" s="171">
        <f>-$L$1</f>
        <v>-1.4990492230334603E-2</v>
      </c>
      <c r="H645" s="172">
        <v>0</v>
      </c>
      <c r="I645" s="172">
        <v>0</v>
      </c>
      <c r="J645" s="178">
        <f>-$N$1</f>
        <v>-4.7716218756768064E-3</v>
      </c>
      <c r="L645">
        <v>0</v>
      </c>
      <c r="M645">
        <v>0</v>
      </c>
      <c r="N645">
        <v>1.5845418059134423E-2</v>
      </c>
    </row>
    <row r="646" spans="1:16">
      <c r="A646" s="171"/>
      <c r="B646" s="172"/>
      <c r="C646" s="172"/>
      <c r="D646" s="172"/>
      <c r="E646" s="171"/>
      <c r="F646" s="171"/>
      <c r="G646" s="171"/>
      <c r="H646" s="171"/>
      <c r="I646" s="171"/>
      <c r="J646" s="171"/>
    </row>
    <row r="647" spans="1:16">
      <c r="A647" s="171"/>
      <c r="B647" s="172">
        <v>-2.6959782234951333</v>
      </c>
      <c r="C647" s="172">
        <v>-1.0757798809975587</v>
      </c>
      <c r="D647" s="172">
        <v>-4.997772423355884E-2</v>
      </c>
      <c r="E647" s="171">
        <f>-$L$1</f>
        <v>-1.4990492230334603E-2</v>
      </c>
      <c r="F647" s="172">
        <v>0</v>
      </c>
      <c r="G647" s="172">
        <v>0</v>
      </c>
      <c r="H647" s="178">
        <f>-$N$1</f>
        <v>-4.7716218756768064E-3</v>
      </c>
      <c r="I647" s="171">
        <v>0</v>
      </c>
      <c r="J647" s="171">
        <v>0</v>
      </c>
      <c r="L647">
        <f t="array" ref="L647:N649">SVDD(B647:J649)</f>
        <v>4.2176854883460022</v>
      </c>
      <c r="M647">
        <v>0</v>
      </c>
      <c r="N647">
        <v>0</v>
      </c>
      <c r="P647">
        <f t="shared" ref="P647" si="174">MAX(L647,M648,N649)/MIN(L647,M648,N649)</f>
        <v>19.51960615823284</v>
      </c>
    </row>
    <row r="648" spans="1:16">
      <c r="A648" s="171" t="s">
        <v>375</v>
      </c>
      <c r="B648" s="172">
        <v>-2.8449497700634536</v>
      </c>
      <c r="C648" s="172">
        <v>-0.22852225552422287</v>
      </c>
      <c r="D648" s="172">
        <v>-6.9737163040410666E-2</v>
      </c>
      <c r="E648" s="171">
        <v>0</v>
      </c>
      <c r="F648" s="171">
        <f>-$L$1</f>
        <v>-1.4990492230334603E-2</v>
      </c>
      <c r="G648" s="172">
        <v>0</v>
      </c>
      <c r="H648" s="172">
        <v>0</v>
      </c>
      <c r="I648" s="178">
        <f>-$N$1</f>
        <v>-4.7716218756768064E-3</v>
      </c>
      <c r="J648" s="171">
        <v>0</v>
      </c>
      <c r="L648">
        <v>0</v>
      </c>
      <c r="M648">
        <v>1.7822046192683778</v>
      </c>
      <c r="N648">
        <v>0</v>
      </c>
    </row>
    <row r="649" spans="1:16">
      <c r="A649" s="171"/>
      <c r="B649" s="172">
        <v>-1.4675604394566215</v>
      </c>
      <c r="C649" s="172">
        <v>1.3235781323919831</v>
      </c>
      <c r="D649" s="172">
        <v>-0.72564008456612294</v>
      </c>
      <c r="E649" s="171">
        <v>0</v>
      </c>
      <c r="F649" s="172">
        <v>0</v>
      </c>
      <c r="G649" s="171">
        <f>-$L$1</f>
        <v>-1.4990492230334603E-2</v>
      </c>
      <c r="H649" s="172">
        <v>0</v>
      </c>
      <c r="I649" s="172">
        <v>0</v>
      </c>
      <c r="J649" s="178">
        <f>-$N$1</f>
        <v>-4.7716218756768064E-3</v>
      </c>
      <c r="L649">
        <v>0</v>
      </c>
      <c r="M649">
        <v>0</v>
      </c>
      <c r="N649">
        <v>0.21607431288090292</v>
      </c>
    </row>
    <row r="650" spans="1:16">
      <c r="A650" s="171"/>
      <c r="B650" s="172"/>
      <c r="C650" s="172"/>
      <c r="D650" s="172"/>
      <c r="E650" s="171"/>
      <c r="F650" s="171"/>
      <c r="G650" s="171"/>
      <c r="H650" s="171"/>
      <c r="I650" s="171"/>
      <c r="J650" s="171"/>
    </row>
    <row r="651" spans="1:16">
      <c r="A651" s="171"/>
      <c r="B651" s="172">
        <v>-2.6959782234951333</v>
      </c>
      <c r="C651" s="172">
        <v>-1.0757798809975587</v>
      </c>
      <c r="D651" s="172">
        <v>-4.997772423355884E-2</v>
      </c>
      <c r="E651" s="171">
        <f>-$L$1</f>
        <v>-1.4990492230334603E-2</v>
      </c>
      <c r="F651" s="172">
        <v>0</v>
      </c>
      <c r="G651" s="172">
        <v>0</v>
      </c>
      <c r="H651" s="178">
        <f>-$N$1</f>
        <v>-4.7716218756768064E-3</v>
      </c>
      <c r="I651" s="171">
        <v>0</v>
      </c>
      <c r="J651" s="171">
        <v>0</v>
      </c>
      <c r="L651">
        <f t="array" ref="L651:N653">SVDD(B651:J653)</f>
        <v>3.7653939516579062</v>
      </c>
      <c r="M651">
        <v>0</v>
      </c>
      <c r="N651">
        <v>0</v>
      </c>
      <c r="P651">
        <f t="shared" ref="P651" si="175">MAX(L651,M652,N653)/MIN(L651,M652,N653)</f>
        <v>57.156542782570753</v>
      </c>
    </row>
    <row r="652" spans="1:16">
      <c r="A652" s="171" t="s">
        <v>376</v>
      </c>
      <c r="B652" s="172">
        <v>-2.4772611105726599</v>
      </c>
      <c r="C652" s="172">
        <v>1.0605572692523213</v>
      </c>
      <c r="D652" s="172">
        <v>3.9812674620544719E-2</v>
      </c>
      <c r="E652" s="171">
        <v>0</v>
      </c>
      <c r="F652" s="171">
        <f>-$L$1</f>
        <v>-1.4990492230334603E-2</v>
      </c>
      <c r="G652" s="172">
        <v>0</v>
      </c>
      <c r="H652" s="172">
        <v>0</v>
      </c>
      <c r="I652" s="178">
        <f>-$N$1</f>
        <v>-4.7716218756768064E-3</v>
      </c>
      <c r="J652" s="171">
        <v>0</v>
      </c>
      <c r="L652">
        <v>0</v>
      </c>
      <c r="M652">
        <v>1.8252178730440105</v>
      </c>
      <c r="N652">
        <v>0</v>
      </c>
    </row>
    <row r="653" spans="1:16">
      <c r="A653" s="171"/>
      <c r="B653" s="172">
        <v>-0.85843073718374274</v>
      </c>
      <c r="C653" s="172">
        <v>1.040962775001312</v>
      </c>
      <c r="D653" s="172">
        <v>-3.7610117674176324E-2</v>
      </c>
      <c r="E653" s="171">
        <v>0</v>
      </c>
      <c r="F653" s="172">
        <v>0</v>
      </c>
      <c r="G653" s="171">
        <f>-$L$1</f>
        <v>-1.4990492230334603E-2</v>
      </c>
      <c r="H653" s="172">
        <v>0</v>
      </c>
      <c r="I653" s="172">
        <v>0</v>
      </c>
      <c r="J653" s="178">
        <f>-$N$1</f>
        <v>-4.7716218756768064E-3</v>
      </c>
      <c r="L653">
        <v>0</v>
      </c>
      <c r="M653">
        <v>0</v>
      </c>
      <c r="N653">
        <v>6.587861631137916E-2</v>
      </c>
    </row>
    <row r="654" spans="1:16">
      <c r="A654" s="171"/>
      <c r="B654" s="172"/>
      <c r="C654" s="172"/>
      <c r="D654" s="172"/>
      <c r="E654" s="171"/>
      <c r="F654" s="171"/>
      <c r="G654" s="171"/>
      <c r="H654" s="171"/>
      <c r="I654" s="171"/>
      <c r="J654" s="171"/>
    </row>
    <row r="655" spans="1:16">
      <c r="A655" s="171"/>
      <c r="B655" s="172">
        <v>-2.6959782234951333</v>
      </c>
      <c r="C655" s="172">
        <v>-1.0757798809975587</v>
      </c>
      <c r="D655" s="172">
        <v>-4.997772423355884E-2</v>
      </c>
      <c r="E655" s="171">
        <f>-$L$1</f>
        <v>-1.4990492230334603E-2</v>
      </c>
      <c r="F655" s="172">
        <v>0</v>
      </c>
      <c r="G655" s="172">
        <v>0</v>
      </c>
      <c r="H655" s="178">
        <f>-$N$1</f>
        <v>-4.7716218756768064E-3</v>
      </c>
      <c r="I655" s="171">
        <v>0</v>
      </c>
      <c r="J655" s="171">
        <v>0</v>
      </c>
      <c r="L655">
        <f t="array" ref="L655:N657">SVDD(B655:J657)</f>
        <v>3.9864609055984763</v>
      </c>
      <c r="M655">
        <v>0</v>
      </c>
      <c r="N655">
        <v>0</v>
      </c>
      <c r="P655">
        <f t="shared" ref="P655" si="176">MAX(L655,M656,N657)/MIN(L655,M656,N657)</f>
        <v>7.3300092307932596</v>
      </c>
    </row>
    <row r="656" spans="1:16">
      <c r="A656" s="171" t="s">
        <v>377</v>
      </c>
      <c r="B656" s="172">
        <v>-2.4772611105726599</v>
      </c>
      <c r="C656" s="172">
        <v>1.0605572692523213</v>
      </c>
      <c r="D656" s="172">
        <v>3.9812674620544719E-2</v>
      </c>
      <c r="E656" s="171">
        <v>0</v>
      </c>
      <c r="F656" s="171">
        <f>-$L$1</f>
        <v>-1.4990492230334603E-2</v>
      </c>
      <c r="G656" s="172">
        <v>0</v>
      </c>
      <c r="H656" s="172">
        <v>0</v>
      </c>
      <c r="I656" s="178">
        <f>-$N$1</f>
        <v>-4.7716218756768064E-3</v>
      </c>
      <c r="J656" s="171">
        <v>0</v>
      </c>
      <c r="L656">
        <v>0</v>
      </c>
      <c r="M656">
        <v>1.9840685875286495</v>
      </c>
      <c r="N656">
        <v>0</v>
      </c>
    </row>
    <row r="657" spans="1:16">
      <c r="A657" s="171"/>
      <c r="B657" s="172">
        <v>-1.4675604394566215</v>
      </c>
      <c r="C657" s="172">
        <v>1.3235781323919831</v>
      </c>
      <c r="D657" s="172">
        <v>-0.72564008456612294</v>
      </c>
      <c r="E657" s="171">
        <v>0</v>
      </c>
      <c r="F657" s="172">
        <v>0</v>
      </c>
      <c r="G657" s="171">
        <f>-$L$1</f>
        <v>-1.4990492230334603E-2</v>
      </c>
      <c r="H657" s="172">
        <v>0</v>
      </c>
      <c r="I657" s="172">
        <v>0</v>
      </c>
      <c r="J657" s="178">
        <f>-$N$1</f>
        <v>-4.7716218756768064E-3</v>
      </c>
      <c r="L657">
        <v>0</v>
      </c>
      <c r="M657">
        <v>0</v>
      </c>
      <c r="N657">
        <v>0.5438548274743521</v>
      </c>
    </row>
    <row r="658" spans="1:16">
      <c r="A658" s="171"/>
      <c r="B658" s="172"/>
      <c r="C658" s="172"/>
      <c r="D658" s="172"/>
      <c r="E658" s="171"/>
      <c r="F658" s="171"/>
      <c r="G658" s="171"/>
      <c r="H658" s="171"/>
      <c r="I658" s="171"/>
      <c r="J658" s="171"/>
    </row>
    <row r="659" spans="1:16">
      <c r="A659" s="171"/>
      <c r="B659" s="172">
        <v>-2.6959782234951333</v>
      </c>
      <c r="C659" s="172">
        <v>-1.0757798809975587</v>
      </c>
      <c r="D659" s="172">
        <v>-4.997772423355884E-2</v>
      </c>
      <c r="E659" s="171">
        <f>-$L$1</f>
        <v>-1.4990492230334603E-2</v>
      </c>
      <c r="F659" s="172">
        <v>0</v>
      </c>
      <c r="G659" s="172">
        <v>0</v>
      </c>
      <c r="H659" s="178">
        <f>-$N$1</f>
        <v>-4.7716218756768064E-3</v>
      </c>
      <c r="I659" s="171">
        <v>0</v>
      </c>
      <c r="J659" s="171">
        <v>0</v>
      </c>
      <c r="L659">
        <f t="array" ref="L659:N661">SVDD(B659:J661)</f>
        <v>3.2116637556856285</v>
      </c>
      <c r="M659">
        <v>0</v>
      </c>
      <c r="N659">
        <v>0</v>
      </c>
      <c r="P659">
        <f t="shared" ref="P659" si="177">MAX(L659,M660,N661)/MIN(L659,M660,N661)</f>
        <v>8.4956357581749096</v>
      </c>
    </row>
    <row r="660" spans="1:16">
      <c r="A660" s="171" t="s">
        <v>378</v>
      </c>
      <c r="B660" s="172">
        <v>-0.85843073718374274</v>
      </c>
      <c r="C660" s="172">
        <v>1.040962775001312</v>
      </c>
      <c r="D660" s="172">
        <v>-3.7610117674176324E-2</v>
      </c>
      <c r="E660" s="171">
        <v>0</v>
      </c>
      <c r="F660" s="171">
        <f>-$L$1</f>
        <v>-1.4990492230334603E-2</v>
      </c>
      <c r="G660" s="172">
        <v>0</v>
      </c>
      <c r="H660" s="172">
        <v>0</v>
      </c>
      <c r="I660" s="178">
        <f>-$N$1</f>
        <v>-4.7716218756768064E-3</v>
      </c>
      <c r="J660" s="171">
        <v>0</v>
      </c>
      <c r="L660">
        <v>0</v>
      </c>
      <c r="M660">
        <v>2.055532238227634</v>
      </c>
      <c r="N660">
        <v>0</v>
      </c>
    </row>
    <row r="661" spans="1:16">
      <c r="A661" s="171"/>
      <c r="B661" s="172">
        <v>-1.4675604394566215</v>
      </c>
      <c r="C661" s="172">
        <v>1.3235781323919831</v>
      </c>
      <c r="D661" s="172">
        <v>-0.72564008456612294</v>
      </c>
      <c r="E661" s="171">
        <v>0</v>
      </c>
      <c r="F661" s="172">
        <v>0</v>
      </c>
      <c r="G661" s="171">
        <f>-$L$1</f>
        <v>-1.4990492230334603E-2</v>
      </c>
      <c r="H661" s="172">
        <v>0</v>
      </c>
      <c r="I661" s="172">
        <v>0</v>
      </c>
      <c r="J661" s="178">
        <f>-$N$1</f>
        <v>-4.7716218756768064E-3</v>
      </c>
      <c r="L661">
        <v>0</v>
      </c>
      <c r="M661">
        <v>0</v>
      </c>
      <c r="N661">
        <v>0.37803689413063774</v>
      </c>
    </row>
    <row r="662" spans="1:16">
      <c r="A662" s="171"/>
      <c r="B662" s="172"/>
      <c r="C662" s="172"/>
      <c r="D662" s="172"/>
      <c r="E662" s="171"/>
      <c r="F662" s="171"/>
      <c r="G662" s="171"/>
      <c r="H662" s="171"/>
      <c r="I662" s="171"/>
      <c r="J662" s="171"/>
    </row>
    <row r="663" spans="1:16">
      <c r="A663" s="171"/>
      <c r="B663" s="172">
        <v>-0.40019020491700363</v>
      </c>
      <c r="C663" s="172">
        <v>-1.0840062473010013</v>
      </c>
      <c r="D663" s="172">
        <v>-1.6840506224230944E-2</v>
      </c>
      <c r="E663" s="171">
        <f>-$L$1</f>
        <v>-1.4990492230334603E-2</v>
      </c>
      <c r="F663" s="172">
        <v>0</v>
      </c>
      <c r="G663" s="172">
        <v>0</v>
      </c>
      <c r="H663" s="178">
        <f>-$N$1</f>
        <v>-4.7716218756768064E-3</v>
      </c>
      <c r="I663" s="171">
        <v>0</v>
      </c>
      <c r="J663" s="171">
        <v>0</v>
      </c>
      <c r="L663">
        <f t="array" ref="L663:N665">SVDD(B663:J665)</f>
        <v>3.8192013630238213</v>
      </c>
      <c r="M663">
        <v>0</v>
      </c>
      <c r="N663">
        <v>0</v>
      </c>
      <c r="P663">
        <f t="shared" ref="P663" si="178">MAX(L663,M664,N665)/MIN(L663,M664,N665)</f>
        <v>74.075977821515593</v>
      </c>
    </row>
    <row r="664" spans="1:16">
      <c r="A664" s="171" t="s">
        <v>379</v>
      </c>
      <c r="B664" s="172">
        <v>-2.8449497700634536</v>
      </c>
      <c r="C664" s="172">
        <v>-0.22852225552422287</v>
      </c>
      <c r="D664" s="172">
        <v>-6.9737163040410666E-2</v>
      </c>
      <c r="E664" s="171">
        <v>0</v>
      </c>
      <c r="F664" s="171">
        <f>-$L$1</f>
        <v>-1.4990492230334603E-2</v>
      </c>
      <c r="G664" s="172">
        <v>0</v>
      </c>
      <c r="H664" s="172">
        <v>0</v>
      </c>
      <c r="I664" s="178">
        <f>-$N$1</f>
        <v>-4.7716218756768064E-3</v>
      </c>
      <c r="J664" s="171">
        <v>0</v>
      </c>
      <c r="L664">
        <v>0</v>
      </c>
      <c r="M664">
        <v>1.4701376795055525</v>
      </c>
      <c r="N664">
        <v>0</v>
      </c>
    </row>
    <row r="665" spans="1:16">
      <c r="A665" s="171"/>
      <c r="B665" s="172">
        <v>-2.4772611105726599</v>
      </c>
      <c r="C665" s="172">
        <v>1.0605572692523213</v>
      </c>
      <c r="D665" s="172">
        <v>3.9812674620544719E-2</v>
      </c>
      <c r="E665" s="171">
        <v>0</v>
      </c>
      <c r="F665" s="172">
        <v>0</v>
      </c>
      <c r="G665" s="171">
        <f>-$L$1</f>
        <v>-1.4990492230334603E-2</v>
      </c>
      <c r="H665" s="172">
        <v>0</v>
      </c>
      <c r="I665" s="172">
        <v>0</v>
      </c>
      <c r="J665" s="178">
        <f>-$N$1</f>
        <v>-4.7716218756768064E-3</v>
      </c>
      <c r="L665">
        <v>0</v>
      </c>
      <c r="M665">
        <v>0</v>
      </c>
      <c r="N665">
        <v>5.155789333252004E-2</v>
      </c>
    </row>
    <row r="666" spans="1:16">
      <c r="A666" s="171"/>
      <c r="B666" s="172"/>
      <c r="C666" s="172"/>
      <c r="D666" s="172"/>
      <c r="E666" s="171"/>
      <c r="F666" s="171"/>
      <c r="G666" s="171"/>
      <c r="H666" s="171"/>
      <c r="I666" s="171"/>
      <c r="J666" s="171"/>
    </row>
    <row r="667" spans="1:16">
      <c r="A667" s="171"/>
      <c r="B667" s="172">
        <v>-0.40019020491700363</v>
      </c>
      <c r="C667" s="172">
        <v>-1.0840062473010013</v>
      </c>
      <c r="D667" s="172">
        <v>-1.6840506224230944E-2</v>
      </c>
      <c r="E667" s="171">
        <f>-$L$1</f>
        <v>-1.4990492230334603E-2</v>
      </c>
      <c r="F667" s="172">
        <v>0</v>
      </c>
      <c r="G667" s="172">
        <v>0</v>
      </c>
      <c r="H667" s="178">
        <f>-$N$1</f>
        <v>-4.7716218756768064E-3</v>
      </c>
      <c r="I667" s="171">
        <v>0</v>
      </c>
      <c r="J667" s="171">
        <v>0</v>
      </c>
      <c r="L667">
        <f t="array" ref="L667:N669">SVDD(B667:J669)</f>
        <v>3.00045256852929</v>
      </c>
      <c r="M667">
        <v>0</v>
      </c>
      <c r="N667">
        <v>0</v>
      </c>
      <c r="P667">
        <f t="shared" ref="P667" si="179">MAX(L667,M668,N669)/MIN(L667,M668,N669)</f>
        <v>134.76209780282866</v>
      </c>
    </row>
    <row r="668" spans="1:16">
      <c r="A668" s="171" t="s">
        <v>380</v>
      </c>
      <c r="B668" s="172">
        <v>-2.8449497700634536</v>
      </c>
      <c r="C668" s="172">
        <v>-0.22852225552422287</v>
      </c>
      <c r="D668" s="172">
        <v>-6.9737163040410666E-2</v>
      </c>
      <c r="E668" s="171">
        <v>0</v>
      </c>
      <c r="F668" s="171">
        <f>-$L$1</f>
        <v>-1.4990492230334603E-2</v>
      </c>
      <c r="G668" s="172">
        <v>0</v>
      </c>
      <c r="H668" s="172">
        <v>0</v>
      </c>
      <c r="I668" s="178">
        <f>-$N$1</f>
        <v>-4.7716218756768064E-3</v>
      </c>
      <c r="J668" s="171">
        <v>0</v>
      </c>
      <c r="L668">
        <v>0</v>
      </c>
      <c r="M668">
        <v>1.5184803906081379</v>
      </c>
      <c r="N668">
        <v>0</v>
      </c>
    </row>
    <row r="669" spans="1:16">
      <c r="A669" s="171"/>
      <c r="B669" s="172">
        <v>-0.85843073718374274</v>
      </c>
      <c r="C669" s="172">
        <v>1.040962775001312</v>
      </c>
      <c r="D669" s="172">
        <v>-3.7610117674176324E-2</v>
      </c>
      <c r="E669" s="171">
        <v>0</v>
      </c>
      <c r="F669" s="172">
        <v>0</v>
      </c>
      <c r="G669" s="171">
        <f>-$L$1</f>
        <v>-1.4990492230334603E-2</v>
      </c>
      <c r="H669" s="172">
        <v>0</v>
      </c>
      <c r="I669" s="172">
        <v>0</v>
      </c>
      <c r="J669" s="178">
        <f>-$N$1</f>
        <v>-4.7716218756768064E-3</v>
      </c>
      <c r="L669">
        <v>0</v>
      </c>
      <c r="M669">
        <v>0</v>
      </c>
      <c r="N669">
        <v>2.2264810487881186E-2</v>
      </c>
    </row>
    <row r="670" spans="1:16">
      <c r="A670" s="171"/>
      <c r="B670" s="172"/>
      <c r="C670" s="172"/>
      <c r="D670" s="172"/>
      <c r="E670" s="171"/>
      <c r="F670" s="171"/>
      <c r="G670" s="171"/>
      <c r="H670" s="171"/>
      <c r="I670" s="171"/>
      <c r="J670" s="171"/>
    </row>
    <row r="671" spans="1:16">
      <c r="A671" s="171"/>
      <c r="B671" s="172">
        <v>-0.40019020491700363</v>
      </c>
      <c r="C671" s="172">
        <v>-1.0840062473010013</v>
      </c>
      <c r="D671" s="172">
        <v>-1.6840506224230944E-2</v>
      </c>
      <c r="E671" s="171">
        <f>-$L$1</f>
        <v>-1.4990492230334603E-2</v>
      </c>
      <c r="F671" s="172">
        <v>0</v>
      </c>
      <c r="G671" s="172">
        <v>0</v>
      </c>
      <c r="H671" s="178">
        <f>-$N$1</f>
        <v>-4.7716218756768064E-3</v>
      </c>
      <c r="I671" s="171">
        <v>0</v>
      </c>
      <c r="J671" s="171">
        <v>0</v>
      </c>
      <c r="L671">
        <f t="array" ref="L671:N673">SVDD(B671:J673)</f>
        <v>3.2697251792371778</v>
      </c>
      <c r="M671">
        <v>0</v>
      </c>
      <c r="N671">
        <v>0</v>
      </c>
      <c r="P671">
        <f t="shared" ref="P671" si="180">MAX(L671,M672,N673)/MIN(L671,M672,N673)</f>
        <v>8.9797627776522759</v>
      </c>
    </row>
    <row r="672" spans="1:16">
      <c r="A672" s="171" t="s">
        <v>381</v>
      </c>
      <c r="B672" s="172">
        <v>-2.8449497700634536</v>
      </c>
      <c r="C672" s="172">
        <v>-0.22852225552422287</v>
      </c>
      <c r="D672" s="172">
        <v>-6.9737163040410666E-2</v>
      </c>
      <c r="E672" s="171">
        <v>0</v>
      </c>
      <c r="F672" s="171">
        <f>-$L$1</f>
        <v>-1.4990492230334603E-2</v>
      </c>
      <c r="G672" s="172">
        <v>0</v>
      </c>
      <c r="H672" s="172">
        <v>0</v>
      </c>
      <c r="I672" s="178">
        <f>-$N$1</f>
        <v>-4.7716218756768064E-3</v>
      </c>
      <c r="J672" s="171">
        <v>0</v>
      </c>
      <c r="L672">
        <v>0</v>
      </c>
      <c r="M672">
        <v>1.7594123105028749</v>
      </c>
      <c r="N672">
        <v>0</v>
      </c>
    </row>
    <row r="673" spans="1:16">
      <c r="A673" s="171"/>
      <c r="B673" s="172">
        <v>-1.4675604394566215</v>
      </c>
      <c r="C673" s="172">
        <v>1.3235781323919831</v>
      </c>
      <c r="D673" s="172">
        <v>-0.72564008456612294</v>
      </c>
      <c r="E673" s="171">
        <v>0</v>
      </c>
      <c r="F673" s="172">
        <v>0</v>
      </c>
      <c r="G673" s="171">
        <f>-$L$1</f>
        <v>-1.4990492230334603E-2</v>
      </c>
      <c r="H673" s="172">
        <v>0</v>
      </c>
      <c r="I673" s="172">
        <v>0</v>
      </c>
      <c r="J673" s="178">
        <f>-$N$1</f>
        <v>-4.7716218756768064E-3</v>
      </c>
      <c r="L673">
        <v>0</v>
      </c>
      <c r="M673">
        <v>0</v>
      </c>
      <c r="N673">
        <v>0.36412155423241982</v>
      </c>
    </row>
    <row r="674" spans="1:16">
      <c r="A674" s="171"/>
      <c r="B674" s="172"/>
      <c r="C674" s="172"/>
      <c r="D674" s="172"/>
      <c r="E674" s="171"/>
      <c r="F674" s="171"/>
      <c r="G674" s="171"/>
      <c r="H674" s="171"/>
      <c r="I674" s="171"/>
      <c r="J674" s="171"/>
    </row>
    <row r="675" spans="1:16">
      <c r="A675" s="171"/>
      <c r="B675" s="172">
        <v>-0.40019020491700363</v>
      </c>
      <c r="C675" s="172">
        <v>-1.0840062473010013</v>
      </c>
      <c r="D675" s="172">
        <v>-1.6840506224230944E-2</v>
      </c>
      <c r="E675" s="171">
        <f>-$L$1</f>
        <v>-1.4990492230334603E-2</v>
      </c>
      <c r="F675" s="172">
        <v>0</v>
      </c>
      <c r="G675" s="172">
        <v>0</v>
      </c>
      <c r="H675" s="178">
        <f>-$N$1</f>
        <v>-4.7716218756768064E-3</v>
      </c>
      <c r="I675" s="171">
        <v>0</v>
      </c>
      <c r="J675" s="171">
        <v>0</v>
      </c>
      <c r="L675">
        <f t="array" ref="L675:N677">SVDD(B675:J677)</f>
        <v>2.9657426037346251</v>
      </c>
      <c r="M675">
        <v>0</v>
      </c>
      <c r="N675">
        <v>0</v>
      </c>
      <c r="P675">
        <f t="shared" ref="P675" si="181">MAX(L675,M676,N677)/MIN(L675,M676,N677)</f>
        <v>54.022158705490284</v>
      </c>
    </row>
    <row r="676" spans="1:16">
      <c r="A676" s="171" t="s">
        <v>382</v>
      </c>
      <c r="B676" s="172">
        <v>-2.4772611105726599</v>
      </c>
      <c r="C676" s="172">
        <v>1.0605572692523213</v>
      </c>
      <c r="D676" s="172">
        <v>3.9812674620544719E-2</v>
      </c>
      <c r="E676" s="171">
        <v>0</v>
      </c>
      <c r="F676" s="171">
        <f>-$L$1</f>
        <v>-1.4990492230334603E-2</v>
      </c>
      <c r="G676" s="172">
        <v>0</v>
      </c>
      <c r="H676" s="172">
        <v>0</v>
      </c>
      <c r="I676" s="178">
        <f>-$N$1</f>
        <v>-4.7716218756768064E-3</v>
      </c>
      <c r="J676" s="171">
        <v>0</v>
      </c>
      <c r="L676">
        <v>0</v>
      </c>
      <c r="M676">
        <v>1.2738584992339523</v>
      </c>
      <c r="N676">
        <v>0</v>
      </c>
    </row>
    <row r="677" spans="1:16">
      <c r="A677" s="171"/>
      <c r="B677" s="172">
        <v>-0.85843073718374274</v>
      </c>
      <c r="C677" s="172">
        <v>1.040962775001312</v>
      </c>
      <c r="D677" s="172">
        <v>-3.7610117674176324E-2</v>
      </c>
      <c r="E677" s="171">
        <v>0</v>
      </c>
      <c r="F677" s="172">
        <v>0</v>
      </c>
      <c r="G677" s="171">
        <f>-$L$1</f>
        <v>-1.4990492230334603E-2</v>
      </c>
      <c r="H677" s="172">
        <v>0</v>
      </c>
      <c r="I677" s="172">
        <v>0</v>
      </c>
      <c r="J677" s="178">
        <f>-$N$1</f>
        <v>-4.7716218756768064E-3</v>
      </c>
      <c r="L677">
        <v>0</v>
      </c>
      <c r="M677">
        <v>0</v>
      </c>
      <c r="N677">
        <v>5.4898631872576688E-2</v>
      </c>
    </row>
    <row r="678" spans="1:16">
      <c r="A678" s="171"/>
      <c r="B678" s="172"/>
      <c r="C678" s="172"/>
      <c r="D678" s="172"/>
      <c r="E678" s="171"/>
      <c r="F678" s="171"/>
      <c r="G678" s="171"/>
      <c r="H678" s="171"/>
      <c r="I678" s="171"/>
      <c r="J678" s="171"/>
    </row>
    <row r="679" spans="1:16">
      <c r="A679" s="171"/>
      <c r="B679" s="172">
        <v>-0.40019020491700363</v>
      </c>
      <c r="C679" s="172">
        <v>-1.0840062473010013</v>
      </c>
      <c r="D679" s="172">
        <v>-1.6840506224230944E-2</v>
      </c>
      <c r="E679" s="171">
        <f>-$L$1</f>
        <v>-1.4990492230334603E-2</v>
      </c>
      <c r="F679" s="172">
        <v>0</v>
      </c>
      <c r="G679" s="172">
        <v>0</v>
      </c>
      <c r="H679" s="178">
        <f>-$N$1</f>
        <v>-4.7716218756768064E-3</v>
      </c>
      <c r="I679" s="171">
        <v>0</v>
      </c>
      <c r="J679" s="171">
        <v>0</v>
      </c>
      <c r="L679">
        <f t="array" ref="L679:N681">SVDD(B679:J681)</f>
        <v>3.3309599922834012</v>
      </c>
      <c r="M679">
        <v>0</v>
      </c>
      <c r="N679">
        <v>0</v>
      </c>
      <c r="P679">
        <f t="shared" ref="P679" si="182">MAX(L679,M680,N681)/MIN(L679,M680,N681)</f>
        <v>5.9636504113419964</v>
      </c>
    </row>
    <row r="680" spans="1:16">
      <c r="A680" s="171" t="s">
        <v>383</v>
      </c>
      <c r="B680" s="172">
        <v>-2.4772611105726599</v>
      </c>
      <c r="C680" s="172">
        <v>1.0605572692523213</v>
      </c>
      <c r="D680" s="172">
        <v>3.9812674620544719E-2</v>
      </c>
      <c r="E680" s="171">
        <v>0</v>
      </c>
      <c r="F680" s="171">
        <f>-$L$1</f>
        <v>-1.4990492230334603E-2</v>
      </c>
      <c r="G680" s="172">
        <v>0</v>
      </c>
      <c r="H680" s="172">
        <v>0</v>
      </c>
      <c r="I680" s="178">
        <f>-$N$1</f>
        <v>-4.7716218756768064E-3</v>
      </c>
      <c r="J680" s="171">
        <v>0</v>
      </c>
      <c r="L680">
        <v>0</v>
      </c>
      <c r="M680">
        <v>1.2744872588980343</v>
      </c>
      <c r="N680">
        <v>0</v>
      </c>
    </row>
    <row r="681" spans="1:16">
      <c r="A681" s="171"/>
      <c r="B681" s="172">
        <v>-1.4675604394566215</v>
      </c>
      <c r="C681" s="172">
        <v>1.3235781323919831</v>
      </c>
      <c r="D681" s="172">
        <v>-0.72564008456612294</v>
      </c>
      <c r="E681" s="171">
        <v>0</v>
      </c>
      <c r="F681" s="172">
        <v>0</v>
      </c>
      <c r="G681" s="171">
        <f>-$L$1</f>
        <v>-1.4990492230334603E-2</v>
      </c>
      <c r="H681" s="172">
        <v>0</v>
      </c>
      <c r="I681" s="172">
        <v>0</v>
      </c>
      <c r="J681" s="178">
        <f>-$N$1</f>
        <v>-4.7716218756768064E-3</v>
      </c>
      <c r="L681">
        <v>0</v>
      </c>
      <c r="M681">
        <v>0</v>
      </c>
      <c r="N681">
        <v>0.55854380497361134</v>
      </c>
    </row>
    <row r="682" spans="1:16">
      <c r="A682" s="171"/>
      <c r="B682" s="172"/>
      <c r="C682" s="172"/>
      <c r="D682" s="172"/>
      <c r="E682" s="171"/>
      <c r="F682" s="171"/>
      <c r="G682" s="171"/>
      <c r="H682" s="171"/>
      <c r="I682" s="171"/>
      <c r="J682" s="171"/>
    </row>
    <row r="683" spans="1:16">
      <c r="A683" s="171"/>
      <c r="B683" s="172">
        <v>-0.40019020491700363</v>
      </c>
      <c r="C683" s="172">
        <v>-1.0840062473010013</v>
      </c>
      <c r="D683" s="172">
        <v>-1.6840506224230944E-2</v>
      </c>
      <c r="E683" s="171">
        <f>-$L$1</f>
        <v>-1.4990492230334603E-2</v>
      </c>
      <c r="F683" s="172">
        <v>0</v>
      </c>
      <c r="G683" s="172">
        <v>0</v>
      </c>
      <c r="H683" s="178">
        <f>-$N$1</f>
        <v>-4.7716218756768064E-3</v>
      </c>
      <c r="I683" s="171">
        <v>0</v>
      </c>
      <c r="J683" s="171">
        <v>0</v>
      </c>
      <c r="L683">
        <f t="array" ref="L683:N685">SVDD(B683:J685)</f>
        <v>2.5193226125914916</v>
      </c>
      <c r="M683">
        <v>0</v>
      </c>
      <c r="N683">
        <v>0</v>
      </c>
      <c r="P683">
        <f t="shared" ref="P683" si="183">MAX(L683,M684,N685)/MIN(L683,M684,N685)</f>
        <v>7.5699127029959348</v>
      </c>
    </row>
    <row r="684" spans="1:16">
      <c r="A684" s="171" t="s">
        <v>384</v>
      </c>
      <c r="B684" s="172">
        <v>-0.85843073718374274</v>
      </c>
      <c r="C684" s="172">
        <v>1.040962775001312</v>
      </c>
      <c r="D684" s="172">
        <v>-3.7610117674176324E-2</v>
      </c>
      <c r="E684" s="171">
        <v>0</v>
      </c>
      <c r="F684" s="171">
        <f>-$L$1</f>
        <v>-1.4990492230334603E-2</v>
      </c>
      <c r="G684" s="172">
        <v>0</v>
      </c>
      <c r="H684" s="172">
        <v>0</v>
      </c>
      <c r="I684" s="178">
        <f>-$N$1</f>
        <v>-4.7716218756768064E-3</v>
      </c>
      <c r="J684" s="171">
        <v>0</v>
      </c>
      <c r="L684">
        <v>0</v>
      </c>
      <c r="M684">
        <v>1.0642218916098443</v>
      </c>
      <c r="N684">
        <v>0</v>
      </c>
    </row>
    <row r="685" spans="1:16">
      <c r="A685" s="171"/>
      <c r="B685" s="172">
        <v>-1.4675604394566215</v>
      </c>
      <c r="C685" s="172">
        <v>1.3235781323919831</v>
      </c>
      <c r="D685" s="172">
        <v>-0.72564008456612294</v>
      </c>
      <c r="E685" s="171">
        <v>0</v>
      </c>
      <c r="F685" s="172">
        <v>0</v>
      </c>
      <c r="G685" s="171">
        <f>-$L$1</f>
        <v>-1.4990492230334603E-2</v>
      </c>
      <c r="H685" s="172">
        <v>0</v>
      </c>
      <c r="I685" s="172">
        <v>0</v>
      </c>
      <c r="J685" s="178">
        <f>-$N$1</f>
        <v>-4.7716218756768064E-3</v>
      </c>
      <c r="L685">
        <v>0</v>
      </c>
      <c r="M685">
        <v>0</v>
      </c>
      <c r="N685">
        <v>0.33280735345791007</v>
      </c>
    </row>
    <row r="686" spans="1:16">
      <c r="A686" s="171"/>
      <c r="B686" s="172"/>
      <c r="C686" s="172"/>
      <c r="D686" s="172"/>
      <c r="E686" s="171"/>
      <c r="F686" s="171"/>
      <c r="G686" s="171"/>
      <c r="H686" s="171"/>
      <c r="I686" s="171"/>
      <c r="J686" s="171"/>
    </row>
    <row r="687" spans="1:16">
      <c r="A687" s="171"/>
      <c r="B687" s="172">
        <v>-2.8449497700634536</v>
      </c>
      <c r="C687" s="172">
        <v>-0.22852225552422287</v>
      </c>
      <c r="D687" s="172">
        <v>-6.9737163040410666E-2</v>
      </c>
      <c r="E687" s="171">
        <f>-$L$1</f>
        <v>-1.4990492230334603E-2</v>
      </c>
      <c r="F687" s="172">
        <v>0</v>
      </c>
      <c r="G687" s="172">
        <v>0</v>
      </c>
      <c r="H687" s="178">
        <f>-$N$1</f>
        <v>-4.7716218756768064E-3</v>
      </c>
      <c r="I687" s="171">
        <v>0</v>
      </c>
      <c r="J687" s="171">
        <v>0</v>
      </c>
      <c r="L687">
        <f t="array" ref="L687:N689">SVDD(B687:J689)</f>
        <v>3.9480595234037685</v>
      </c>
      <c r="M687">
        <v>0</v>
      </c>
      <c r="N687">
        <v>0</v>
      </c>
      <c r="P687">
        <f t="shared" ref="P687" si="184">MAX(L687,M688,N689)/MIN(L687,M688,N689)</f>
        <v>51.881892475460688</v>
      </c>
    </row>
    <row r="688" spans="1:16">
      <c r="A688" s="171" t="s">
        <v>385</v>
      </c>
      <c r="B688" s="172">
        <v>-2.4772611105726599</v>
      </c>
      <c r="C688" s="172">
        <v>1.0605572692523213</v>
      </c>
      <c r="D688" s="172">
        <v>3.9812674620544719E-2</v>
      </c>
      <c r="E688" s="171">
        <v>0</v>
      </c>
      <c r="F688" s="171">
        <f>-$L$1</f>
        <v>-1.4990492230334603E-2</v>
      </c>
      <c r="G688" s="172">
        <v>0</v>
      </c>
      <c r="H688" s="172">
        <v>0</v>
      </c>
      <c r="I688" s="178">
        <f>-$N$1</f>
        <v>-4.7716218756768064E-3</v>
      </c>
      <c r="J688" s="171">
        <v>0</v>
      </c>
      <c r="L688">
        <v>0</v>
      </c>
      <c r="M688">
        <v>1.2820738297301684</v>
      </c>
      <c r="N688">
        <v>0</v>
      </c>
    </row>
    <row r="689" spans="1:16">
      <c r="A689" s="171"/>
      <c r="B689" s="172">
        <v>-0.85843073718374274</v>
      </c>
      <c r="C689" s="172">
        <v>1.040962775001312</v>
      </c>
      <c r="D689" s="172">
        <v>-3.7610117674176324E-2</v>
      </c>
      <c r="E689" s="171">
        <v>0</v>
      </c>
      <c r="F689" s="172">
        <v>0</v>
      </c>
      <c r="G689" s="171">
        <f>-$L$1</f>
        <v>-1.4990492230334603E-2</v>
      </c>
      <c r="H689" s="172">
        <v>0</v>
      </c>
      <c r="I689" s="172">
        <v>0</v>
      </c>
      <c r="J689" s="178">
        <f>-$N$1</f>
        <v>-4.7716218756768064E-3</v>
      </c>
      <c r="L689">
        <v>0</v>
      </c>
      <c r="M689">
        <v>0</v>
      </c>
      <c r="N689">
        <v>7.6097060747565018E-2</v>
      </c>
    </row>
    <row r="690" spans="1:16">
      <c r="A690" s="171"/>
      <c r="B690" s="172"/>
      <c r="C690" s="172"/>
      <c r="D690" s="172"/>
      <c r="E690" s="171"/>
      <c r="F690" s="171"/>
      <c r="G690" s="171"/>
      <c r="H690" s="171"/>
      <c r="I690" s="171"/>
      <c r="J690" s="171"/>
    </row>
    <row r="691" spans="1:16">
      <c r="A691" s="171"/>
      <c r="B691" s="172">
        <v>-2.8449497700634536</v>
      </c>
      <c r="C691" s="172">
        <v>-0.22852225552422287</v>
      </c>
      <c r="D691" s="172">
        <v>-6.9737163040410666E-2</v>
      </c>
      <c r="E691" s="171">
        <f>-$L$1</f>
        <v>-1.4990492230334603E-2</v>
      </c>
      <c r="F691" s="172">
        <v>0</v>
      </c>
      <c r="G691" s="172">
        <v>0</v>
      </c>
      <c r="H691" s="178">
        <f>-$N$1</f>
        <v>-4.7716218756768064E-3</v>
      </c>
      <c r="I691" s="171">
        <v>0</v>
      </c>
      <c r="J691" s="171">
        <v>0</v>
      </c>
      <c r="L691">
        <f t="array" ref="L691:N693">SVDD(B691:J693)</f>
        <v>4.1894873048763852</v>
      </c>
      <c r="M691">
        <v>0</v>
      </c>
      <c r="N691">
        <v>0</v>
      </c>
      <c r="P691">
        <f t="shared" ref="P691" si="185">MAX(L691,M692,N693)/MIN(L691,M692,N693)</f>
        <v>8.7424104039662662</v>
      </c>
    </row>
    <row r="692" spans="1:16">
      <c r="A692" s="171" t="s">
        <v>386</v>
      </c>
      <c r="B692" s="172">
        <v>-2.4772611105726599</v>
      </c>
      <c r="C692" s="172">
        <v>1.0605572692523213</v>
      </c>
      <c r="D692" s="172">
        <v>3.9812674620544719E-2</v>
      </c>
      <c r="E692" s="171">
        <v>0</v>
      </c>
      <c r="F692" s="171">
        <f>-$L$1</f>
        <v>-1.4990492230334603E-2</v>
      </c>
      <c r="G692" s="172">
        <v>0</v>
      </c>
      <c r="H692" s="172">
        <v>0</v>
      </c>
      <c r="I692" s="178">
        <f>-$N$1</f>
        <v>-4.7716218756768064E-3</v>
      </c>
      <c r="J692" s="171">
        <v>0</v>
      </c>
      <c r="L692">
        <v>0</v>
      </c>
      <c r="M692">
        <v>1.4371683366713814</v>
      </c>
      <c r="N692">
        <v>0</v>
      </c>
    </row>
    <row r="693" spans="1:16">
      <c r="A693" s="171"/>
      <c r="B693" s="172">
        <v>-1.4675604394566215</v>
      </c>
      <c r="C693" s="172">
        <v>1.3235781323919831</v>
      </c>
      <c r="D693" s="172">
        <v>-0.72564008456612294</v>
      </c>
      <c r="E693" s="171">
        <v>0</v>
      </c>
      <c r="F693" s="172">
        <v>0</v>
      </c>
      <c r="G693" s="171">
        <f>-$L$1</f>
        <v>-1.4990492230334603E-2</v>
      </c>
      <c r="H693" s="172">
        <v>0</v>
      </c>
      <c r="I693" s="172">
        <v>0</v>
      </c>
      <c r="J693" s="178">
        <f>-$N$1</f>
        <v>-4.7716218756768064E-3</v>
      </c>
      <c r="L693">
        <v>0</v>
      </c>
      <c r="M693">
        <v>0</v>
      </c>
      <c r="N693">
        <v>0.47921421110311796</v>
      </c>
    </row>
    <row r="694" spans="1:16">
      <c r="A694" s="171"/>
      <c r="B694" s="172"/>
      <c r="C694" s="172"/>
      <c r="D694" s="172"/>
      <c r="E694" s="171"/>
      <c r="F694" s="171"/>
      <c r="G694" s="171"/>
      <c r="H694" s="171"/>
      <c r="I694" s="171"/>
      <c r="J694" s="171"/>
    </row>
    <row r="695" spans="1:16">
      <c r="A695" s="171"/>
      <c r="B695" s="172">
        <v>-2.8449497700634536</v>
      </c>
      <c r="C695" s="172">
        <v>-0.22852225552422287</v>
      </c>
      <c r="D695" s="172">
        <v>-6.9737163040410666E-2</v>
      </c>
      <c r="E695" s="171">
        <f>-$L$1</f>
        <v>-1.4990492230334603E-2</v>
      </c>
      <c r="F695" s="172">
        <v>0</v>
      </c>
      <c r="G695" s="172">
        <v>0</v>
      </c>
      <c r="H695" s="178">
        <f>-$N$1</f>
        <v>-4.7716218756768064E-3</v>
      </c>
      <c r="I695" s="171">
        <v>0</v>
      </c>
      <c r="J695" s="171">
        <v>0</v>
      </c>
      <c r="L695">
        <f t="array" ref="L695:N697">SVDD(B695:J697)</f>
        <v>3.4260580910054577</v>
      </c>
      <c r="M695">
        <v>0</v>
      </c>
      <c r="N695">
        <v>0</v>
      </c>
      <c r="P695">
        <f t="shared" ref="P695" si="186">MAX(L695,M696,N697)/MIN(L695,M696,N697)</f>
        <v>8.8185001164714851</v>
      </c>
    </row>
    <row r="696" spans="1:16">
      <c r="A696" s="171" t="s">
        <v>387</v>
      </c>
      <c r="B696" s="172">
        <v>-0.85843073718374274</v>
      </c>
      <c r="C696" s="172">
        <v>1.040962775001312</v>
      </c>
      <c r="D696" s="172">
        <v>-3.7610117674176324E-2</v>
      </c>
      <c r="E696" s="171">
        <v>0</v>
      </c>
      <c r="F696" s="171">
        <f>-$L$1</f>
        <v>-1.4990492230334603E-2</v>
      </c>
      <c r="G696" s="172">
        <v>0</v>
      </c>
      <c r="H696" s="172">
        <v>0</v>
      </c>
      <c r="I696" s="178">
        <f>-$N$1</f>
        <v>-4.7716218756768064E-3</v>
      </c>
      <c r="J696" s="171">
        <v>0</v>
      </c>
      <c r="L696">
        <v>0</v>
      </c>
      <c r="M696">
        <v>1.5864496225811329</v>
      </c>
      <c r="N696">
        <v>0</v>
      </c>
    </row>
    <row r="697" spans="1:16">
      <c r="A697" s="171"/>
      <c r="B697" s="172">
        <v>-1.4675604394566215</v>
      </c>
      <c r="C697" s="172">
        <v>1.3235781323919831</v>
      </c>
      <c r="D697" s="172">
        <v>-0.72564008456612294</v>
      </c>
      <c r="E697" s="171">
        <v>0</v>
      </c>
      <c r="F697" s="172">
        <v>0</v>
      </c>
      <c r="G697" s="171">
        <f>-$L$1</f>
        <v>-1.4990492230334603E-2</v>
      </c>
      <c r="H697" s="172">
        <v>0</v>
      </c>
      <c r="I697" s="172">
        <v>0</v>
      </c>
      <c r="J697" s="178">
        <f>-$N$1</f>
        <v>-4.7716218756768064E-3</v>
      </c>
      <c r="L697">
        <v>0</v>
      </c>
      <c r="M697">
        <v>0</v>
      </c>
      <c r="N697">
        <v>0.38850802809495383</v>
      </c>
    </row>
    <row r="698" spans="1:16">
      <c r="A698" s="171"/>
      <c r="B698" s="172"/>
      <c r="C698" s="172"/>
      <c r="D698" s="172"/>
      <c r="E698" s="171"/>
      <c r="F698" s="171"/>
      <c r="G698" s="171"/>
      <c r="H698" s="171"/>
      <c r="I698" s="171"/>
      <c r="J698" s="171"/>
    </row>
    <row r="699" spans="1:16">
      <c r="A699" s="171"/>
      <c r="B699" s="172">
        <v>-2.4772611105726599</v>
      </c>
      <c r="C699" s="172">
        <v>1.0605572692523213</v>
      </c>
      <c r="D699" s="172">
        <v>3.9812674620544719E-2</v>
      </c>
      <c r="E699" s="171">
        <f>-$L$1</f>
        <v>-1.4990492230334603E-2</v>
      </c>
      <c r="F699" s="172">
        <v>0</v>
      </c>
      <c r="G699" s="172">
        <v>0</v>
      </c>
      <c r="H699" s="178">
        <f>-$N$1</f>
        <v>-4.7716218756768064E-3</v>
      </c>
      <c r="I699" s="171">
        <v>0</v>
      </c>
      <c r="J699" s="171">
        <v>0</v>
      </c>
      <c r="L699">
        <f t="array" ref="L699:N701">SVDD(B699:J701)</f>
        <v>3.5592200509191763</v>
      </c>
      <c r="M699">
        <v>0</v>
      </c>
      <c r="N699">
        <v>0</v>
      </c>
      <c r="P699">
        <f t="shared" ref="P699" si="187">MAX(L699,M700,N701)/MIN(L699,M700,N701)</f>
        <v>9.0962397443754011</v>
      </c>
    </row>
    <row r="700" spans="1:16">
      <c r="A700" s="171" t="s">
        <v>388</v>
      </c>
      <c r="B700" s="172">
        <v>-0.85843073718374274</v>
      </c>
      <c r="C700" s="172">
        <v>1.040962775001312</v>
      </c>
      <c r="D700" s="172">
        <v>-3.7610117674176324E-2</v>
      </c>
      <c r="E700" s="171">
        <v>0</v>
      </c>
      <c r="F700" s="171">
        <f>-$L$1</f>
        <v>-1.4990492230334603E-2</v>
      </c>
      <c r="G700" s="172">
        <v>0</v>
      </c>
      <c r="H700" s="172">
        <v>0</v>
      </c>
      <c r="I700" s="178">
        <f>-$N$1</f>
        <v>-4.7716218756768064E-3</v>
      </c>
      <c r="J700" s="171">
        <v>0</v>
      </c>
      <c r="L700">
        <v>0</v>
      </c>
      <c r="M700">
        <v>0.83477439402677467</v>
      </c>
      <c r="N700">
        <v>0</v>
      </c>
    </row>
    <row r="701" spans="1:16">
      <c r="A701" s="171"/>
      <c r="B701" s="172">
        <v>-1.4675604394566215</v>
      </c>
      <c r="C701" s="172">
        <v>1.3235781323919831</v>
      </c>
      <c r="D701" s="172">
        <v>-0.72564008456612294</v>
      </c>
      <c r="E701" s="171">
        <v>0</v>
      </c>
      <c r="F701" s="172">
        <v>0</v>
      </c>
      <c r="G701" s="171">
        <f>-$L$1</f>
        <v>-1.4990492230334603E-2</v>
      </c>
      <c r="H701" s="172">
        <v>0</v>
      </c>
      <c r="I701" s="172">
        <v>0</v>
      </c>
      <c r="J701" s="178">
        <f>-$N$1</f>
        <v>-4.7716218756768064E-3</v>
      </c>
      <c r="L701">
        <v>0</v>
      </c>
      <c r="M701">
        <v>0</v>
      </c>
      <c r="N701">
        <v>0.39128476721603522</v>
      </c>
    </row>
    <row r="702" spans="1:16">
      <c r="A702" s="171"/>
      <c r="B702" s="172"/>
      <c r="C702" s="172"/>
      <c r="D702" s="172"/>
      <c r="E702" s="171"/>
      <c r="F702" s="171"/>
      <c r="G702" s="171"/>
      <c r="H702" s="171"/>
      <c r="I702" s="171"/>
      <c r="J702" s="171"/>
    </row>
    <row r="703" spans="1:16">
      <c r="A703" s="171"/>
      <c r="B703" s="172">
        <v>1.0351585166444348</v>
      </c>
      <c r="C703" s="172">
        <v>-2.1037449841221099</v>
      </c>
      <c r="D703" s="172">
        <v>-0.82913701269133588</v>
      </c>
      <c r="E703" s="171">
        <f>-$L$1</f>
        <v>-1.4990492230334603E-2</v>
      </c>
      <c r="F703" s="172">
        <v>0</v>
      </c>
      <c r="G703" s="172">
        <v>0</v>
      </c>
      <c r="H703" s="178">
        <f>-$N$1</f>
        <v>-4.7716218756768064E-3</v>
      </c>
      <c r="I703" s="171">
        <v>0</v>
      </c>
      <c r="J703" s="171">
        <v>0</v>
      </c>
      <c r="L703">
        <f t="array" ref="L703:N705">SVDD(B703:J705)</f>
        <v>4.1489229630004667</v>
      </c>
      <c r="M703">
        <v>0</v>
      </c>
      <c r="N703">
        <v>0</v>
      </c>
      <c r="P703">
        <f t="shared" ref="P703" si="188">MAX(L703,M704,N705)/MIN(L703,M704,N705)</f>
        <v>6.743785505947816</v>
      </c>
    </row>
    <row r="704" spans="1:16">
      <c r="A704" s="171" t="s">
        <v>389</v>
      </c>
      <c r="B704" s="172">
        <v>-0.21871711292247331</v>
      </c>
      <c r="C704" s="172">
        <v>-2.1363371502498802</v>
      </c>
      <c r="D704" s="172">
        <v>-8.9790398854103559E-2</v>
      </c>
      <c r="E704" s="171">
        <v>0</v>
      </c>
      <c r="F704" s="171">
        <f>-$L$1</f>
        <v>-1.4990492230334603E-2</v>
      </c>
      <c r="G704" s="172">
        <v>0</v>
      </c>
      <c r="H704" s="172">
        <v>0</v>
      </c>
      <c r="I704" s="178">
        <f>-$N$1</f>
        <v>-4.7716218756768064E-3</v>
      </c>
      <c r="J704" s="171">
        <v>0</v>
      </c>
      <c r="L704">
        <v>0</v>
      </c>
      <c r="M704">
        <v>1.4594070757556095</v>
      </c>
      <c r="N704">
        <v>0</v>
      </c>
    </row>
    <row r="705" spans="1:16">
      <c r="A705" s="171"/>
      <c r="B705" s="172">
        <v>2.0770709056556562</v>
      </c>
      <c r="C705" s="172">
        <v>-2.1445635165533226</v>
      </c>
      <c r="D705" s="172">
        <v>-5.6653180844775664E-2</v>
      </c>
      <c r="E705" s="171">
        <v>0</v>
      </c>
      <c r="F705" s="172">
        <v>0</v>
      </c>
      <c r="G705" s="171">
        <f>-$L$1</f>
        <v>-1.4990492230334603E-2</v>
      </c>
      <c r="H705" s="172">
        <v>0</v>
      </c>
      <c r="I705" s="172">
        <v>0</v>
      </c>
      <c r="J705" s="178">
        <f>-$N$1</f>
        <v>-4.7716218756768064E-3</v>
      </c>
      <c r="L705">
        <v>0</v>
      </c>
      <c r="M705">
        <v>0</v>
      </c>
      <c r="N705">
        <v>0.61522166731744976</v>
      </c>
    </row>
    <row r="706" spans="1:16">
      <c r="A706" s="171"/>
      <c r="B706" s="172"/>
      <c r="C706" s="172"/>
      <c r="D706" s="172"/>
      <c r="E706" s="171"/>
      <c r="F706" s="171"/>
      <c r="G706" s="171"/>
      <c r="H706" s="171"/>
      <c r="I706" s="171"/>
      <c r="J706" s="171"/>
    </row>
    <row r="707" spans="1:16">
      <c r="A707" s="171"/>
      <c r="B707" s="172">
        <v>1.0351585166444348</v>
      </c>
      <c r="C707" s="172">
        <v>-2.1037449841221099</v>
      </c>
      <c r="D707" s="172">
        <v>-0.82913701269133588</v>
      </c>
      <c r="E707" s="171">
        <f>-$L$1</f>
        <v>-1.4990492230334603E-2</v>
      </c>
      <c r="F707" s="172">
        <v>0</v>
      </c>
      <c r="G707" s="172">
        <v>0</v>
      </c>
      <c r="H707" s="178">
        <f>-$N$1</f>
        <v>-4.7716218756768064E-3</v>
      </c>
      <c r="I707" s="171">
        <v>0</v>
      </c>
      <c r="J707" s="171">
        <v>0</v>
      </c>
      <c r="L707">
        <f t="array" ref="L707:N709">SVDD(B707:J709)</f>
        <v>3.3550181090393436</v>
      </c>
      <c r="M707">
        <v>0</v>
      </c>
      <c r="N707">
        <v>0</v>
      </c>
      <c r="P707">
        <f t="shared" ref="P707" si="189">MAX(L707,M708,N709)/MIN(L707,M708,N709)</f>
        <v>24.839252706387903</v>
      </c>
    </row>
    <row r="708" spans="1:16">
      <c r="A708" s="171" t="s">
        <v>390</v>
      </c>
      <c r="B708" s="172">
        <v>-0.21871711292247331</v>
      </c>
      <c r="C708" s="172">
        <v>-2.1363371502498802</v>
      </c>
      <c r="D708" s="172">
        <v>-8.9790398854103559E-2</v>
      </c>
      <c r="E708" s="171">
        <v>0</v>
      </c>
      <c r="F708" s="171">
        <f>-$L$1</f>
        <v>-1.4990492230334603E-2</v>
      </c>
      <c r="G708" s="172">
        <v>0</v>
      </c>
      <c r="H708" s="172">
        <v>0</v>
      </c>
      <c r="I708" s="178">
        <f>-$N$1</f>
        <v>-4.7716218756768064E-3</v>
      </c>
      <c r="J708" s="171">
        <v>0</v>
      </c>
      <c r="L708">
        <v>0</v>
      </c>
      <c r="M708">
        <v>1.1575295225016577</v>
      </c>
      <c r="N708">
        <v>0</v>
      </c>
    </row>
    <row r="709" spans="1:16">
      <c r="A709" s="171"/>
      <c r="B709" s="172">
        <v>-0.36768865949079377</v>
      </c>
      <c r="C709" s="172">
        <v>-1.2890795247765441</v>
      </c>
      <c r="D709" s="172">
        <v>-0.10954983766095538</v>
      </c>
      <c r="E709" s="171">
        <v>0</v>
      </c>
      <c r="F709" s="172">
        <v>0</v>
      </c>
      <c r="G709" s="171">
        <f>-$L$1</f>
        <v>-1.4990492230334603E-2</v>
      </c>
      <c r="H709" s="172">
        <v>0</v>
      </c>
      <c r="I709" s="172">
        <v>0</v>
      </c>
      <c r="J709" s="178">
        <f>-$N$1</f>
        <v>-4.7716218756768064E-3</v>
      </c>
      <c r="L709">
        <v>0</v>
      </c>
      <c r="M709">
        <v>0</v>
      </c>
      <c r="N709">
        <v>0.13506920472597531</v>
      </c>
    </row>
    <row r="710" spans="1:16">
      <c r="A710" s="171"/>
      <c r="B710" s="172"/>
      <c r="C710" s="172"/>
      <c r="D710" s="172"/>
      <c r="E710" s="171"/>
      <c r="F710" s="171"/>
      <c r="G710" s="171"/>
      <c r="H710" s="171"/>
      <c r="I710" s="171"/>
      <c r="J710" s="171"/>
    </row>
    <row r="711" spans="1:16">
      <c r="A711" s="171"/>
      <c r="B711" s="172">
        <v>1.0351585166444348</v>
      </c>
      <c r="C711" s="172">
        <v>-2.1037449841221099</v>
      </c>
      <c r="D711" s="172">
        <v>-0.82913701269133588</v>
      </c>
      <c r="E711" s="171">
        <f>-$L$1</f>
        <v>-1.4990492230334603E-2</v>
      </c>
      <c r="F711" s="172">
        <v>0</v>
      </c>
      <c r="G711" s="172">
        <v>0</v>
      </c>
      <c r="H711" s="178">
        <f>-$N$1</f>
        <v>-4.7716218756768064E-3</v>
      </c>
      <c r="I711" s="171">
        <v>0</v>
      </c>
      <c r="J711" s="171">
        <v>0</v>
      </c>
      <c r="L711">
        <f t="array" ref="L711:N713">SVDD(B711:J713)</f>
        <v>3.6894210373327194</v>
      </c>
      <c r="M711">
        <v>0</v>
      </c>
      <c r="N711">
        <v>0</v>
      </c>
      <c r="P711">
        <f t="shared" ref="P711" si="190">MAX(L711,M712,N713)/MIN(L711,M712,N713)</f>
        <v>6.7597735060422064</v>
      </c>
    </row>
    <row r="712" spans="1:16">
      <c r="A712" s="171" t="s">
        <v>391</v>
      </c>
      <c r="B712" s="172">
        <v>-0.21871711292247331</v>
      </c>
      <c r="C712" s="172">
        <v>-2.1363371502498802</v>
      </c>
      <c r="D712" s="172">
        <v>-8.9790398854103559E-2</v>
      </c>
      <c r="E712" s="171">
        <v>0</v>
      </c>
      <c r="F712" s="171">
        <f>-$L$1</f>
        <v>-1.4990492230334603E-2</v>
      </c>
      <c r="G712" s="172">
        <v>0</v>
      </c>
      <c r="H712" s="172">
        <v>0</v>
      </c>
      <c r="I712" s="178">
        <f>-$N$1</f>
        <v>-4.7716218756768064E-3</v>
      </c>
      <c r="J712" s="171">
        <v>0</v>
      </c>
      <c r="L712">
        <v>0</v>
      </c>
      <c r="M712">
        <v>2.0393177872632027</v>
      </c>
      <c r="N712">
        <v>0</v>
      </c>
    </row>
    <row r="713" spans="1:16">
      <c r="A713" s="171"/>
      <c r="B713" s="172">
        <v>2.4772611105726599</v>
      </c>
      <c r="C713" s="172">
        <v>-1.0605572692523213</v>
      </c>
      <c r="D713" s="172">
        <v>-3.9812674620544719E-2</v>
      </c>
      <c r="E713" s="171">
        <v>0</v>
      </c>
      <c r="F713" s="172">
        <v>0</v>
      </c>
      <c r="G713" s="171">
        <f>-$L$1</f>
        <v>-1.4990492230334603E-2</v>
      </c>
      <c r="H713" s="172">
        <v>0</v>
      </c>
      <c r="I713" s="172">
        <v>0</v>
      </c>
      <c r="J713" s="178">
        <f>-$N$1</f>
        <v>-4.7716218756768064E-3</v>
      </c>
      <c r="L713">
        <v>0</v>
      </c>
      <c r="M713">
        <v>0</v>
      </c>
      <c r="N713">
        <v>0.54579062952848045</v>
      </c>
    </row>
    <row r="714" spans="1:16">
      <c r="A714" s="171"/>
      <c r="B714" s="172"/>
      <c r="C714" s="172"/>
      <c r="D714" s="172"/>
      <c r="E714" s="171"/>
      <c r="F714" s="171"/>
      <c r="G714" s="171"/>
      <c r="H714" s="171"/>
      <c r="I714" s="171"/>
      <c r="J714" s="171"/>
    </row>
    <row r="715" spans="1:16">
      <c r="A715" s="171"/>
      <c r="B715" s="172">
        <v>1.0351585166444348</v>
      </c>
      <c r="C715" s="172">
        <v>-2.1037449841221099</v>
      </c>
      <c r="D715" s="172">
        <v>-0.82913701269133588</v>
      </c>
      <c r="E715" s="171">
        <f>-$L$1</f>
        <v>-1.4990492230334603E-2</v>
      </c>
      <c r="F715" s="172">
        <v>0</v>
      </c>
      <c r="G715" s="172">
        <v>0</v>
      </c>
      <c r="H715" s="178">
        <f>-$N$1</f>
        <v>-4.7716218756768064E-3</v>
      </c>
      <c r="I715" s="171">
        <v>0</v>
      </c>
      <c r="J715" s="171">
        <v>0</v>
      </c>
      <c r="L715">
        <f t="array" ref="L715:N717">SVDD(B715:J717)</f>
        <v>3.1632350228823221</v>
      </c>
      <c r="M715">
        <v>0</v>
      </c>
      <c r="N715">
        <v>0</v>
      </c>
      <c r="P715">
        <f t="shared" ref="P715" si="191">MAX(L715,M716,N717)/MIN(L715,M716,N717)</f>
        <v>7.6427821491197658</v>
      </c>
    </row>
    <row r="716" spans="1:16">
      <c r="A716" s="171" t="s">
        <v>392</v>
      </c>
      <c r="B716" s="172">
        <v>-0.21871711292247331</v>
      </c>
      <c r="C716" s="172">
        <v>-2.1363371502498802</v>
      </c>
      <c r="D716" s="172">
        <v>-8.9790398854103559E-2</v>
      </c>
      <c r="E716" s="171">
        <v>0</v>
      </c>
      <c r="F716" s="171">
        <f>-$L$1</f>
        <v>-1.4990492230334603E-2</v>
      </c>
      <c r="G716" s="172">
        <v>0</v>
      </c>
      <c r="H716" s="172">
        <v>0</v>
      </c>
      <c r="I716" s="178">
        <f>-$N$1</f>
        <v>-4.7716218756768064E-3</v>
      </c>
      <c r="J716" s="171">
        <v>0</v>
      </c>
      <c r="L716">
        <v>0</v>
      </c>
      <c r="M716">
        <v>1.8041551584041282</v>
      </c>
      <c r="N716">
        <v>0</v>
      </c>
    </row>
    <row r="717" spans="1:16">
      <c r="A717" s="171"/>
      <c r="B717" s="172">
        <v>1.6188303733889171</v>
      </c>
      <c r="C717" s="172">
        <v>-1.9594494251009342E-2</v>
      </c>
      <c r="D717" s="172">
        <v>-7.7422792294721043E-2</v>
      </c>
      <c r="E717" s="171">
        <v>0</v>
      </c>
      <c r="F717" s="172">
        <v>0</v>
      </c>
      <c r="G717" s="171">
        <f>-$L$1</f>
        <v>-1.4990492230334603E-2</v>
      </c>
      <c r="H717" s="172">
        <v>0</v>
      </c>
      <c r="I717" s="172">
        <v>0</v>
      </c>
      <c r="J717" s="178">
        <f>-$N$1</f>
        <v>-4.7716218756768064E-3</v>
      </c>
      <c r="L717">
        <v>0</v>
      </c>
      <c r="M717">
        <v>0</v>
      </c>
      <c r="N717">
        <v>0.41388527909913514</v>
      </c>
    </row>
    <row r="718" spans="1:16">
      <c r="A718" s="171"/>
      <c r="B718" s="172"/>
      <c r="C718" s="172"/>
      <c r="D718" s="172"/>
      <c r="E718" s="171"/>
      <c r="F718" s="171"/>
      <c r="G718" s="171"/>
      <c r="H718" s="171"/>
      <c r="I718" s="171"/>
      <c r="J718" s="171"/>
    </row>
    <row r="719" spans="1:16">
      <c r="A719" s="171"/>
      <c r="B719" s="172">
        <v>1.0351585166444348</v>
      </c>
      <c r="C719" s="172">
        <v>-2.1037449841221099</v>
      </c>
      <c r="D719" s="172">
        <v>-0.82913701269133588</v>
      </c>
      <c r="E719" s="171">
        <f>-$L$1</f>
        <v>-1.4990492230334603E-2</v>
      </c>
      <c r="F719" s="172">
        <v>0</v>
      </c>
      <c r="G719" s="172">
        <v>0</v>
      </c>
      <c r="H719" s="178">
        <f>-$N$1</f>
        <v>-4.7716218756768064E-3</v>
      </c>
      <c r="I719" s="171">
        <v>0</v>
      </c>
      <c r="J719" s="171">
        <v>0</v>
      </c>
      <c r="L719">
        <f t="array" ref="L719:N721">SVDD(B719:J721)</f>
        <v>3.1361654577994229</v>
      </c>
      <c r="M719">
        <v>0</v>
      </c>
      <c r="N719">
        <v>0</v>
      </c>
      <c r="P719">
        <f t="shared" ref="P719" si="192">MAX(L719,M720,N721)/MIN(L719,M720,N721)</f>
        <v>30.374485642704958</v>
      </c>
    </row>
    <row r="720" spans="1:16">
      <c r="A720" s="171" t="s">
        <v>393</v>
      </c>
      <c r="B720" s="172">
        <v>-0.21871711292247331</v>
      </c>
      <c r="C720" s="172">
        <v>-2.1363371502498802</v>
      </c>
      <c r="D720" s="172">
        <v>-8.9790398854103559E-2</v>
      </c>
      <c r="E720" s="171">
        <v>0</v>
      </c>
      <c r="F720" s="171">
        <f>-$L$1</f>
        <v>-1.4990492230334603E-2</v>
      </c>
      <c r="G720" s="172">
        <v>0</v>
      </c>
      <c r="H720" s="172">
        <v>0</v>
      </c>
      <c r="I720" s="178">
        <f>-$N$1</f>
        <v>-4.7716218756768064E-3</v>
      </c>
      <c r="J720" s="171">
        <v>0</v>
      </c>
      <c r="L720">
        <v>0</v>
      </c>
      <c r="M720">
        <v>1.6228806688632083</v>
      </c>
      <c r="N720">
        <v>0</v>
      </c>
    </row>
    <row r="721" spans="1:16">
      <c r="A721" s="171"/>
      <c r="B721" s="172">
        <v>1.0097006711160386</v>
      </c>
      <c r="C721" s="172">
        <v>0.26302086313966178</v>
      </c>
      <c r="D721" s="172">
        <v>-0.76545275918666766</v>
      </c>
      <c r="E721" s="171">
        <v>0</v>
      </c>
      <c r="F721" s="172">
        <v>0</v>
      </c>
      <c r="G721" s="171">
        <f>-$L$1</f>
        <v>-1.4990492230334603E-2</v>
      </c>
      <c r="H721" s="172">
        <v>0</v>
      </c>
      <c r="I721" s="172">
        <v>0</v>
      </c>
      <c r="J721" s="178">
        <f>-$N$1</f>
        <v>-4.7716218756768064E-3</v>
      </c>
      <c r="L721">
        <v>0</v>
      </c>
      <c r="M721">
        <v>0</v>
      </c>
      <c r="N721">
        <v>0.10324999391562162</v>
      </c>
    </row>
    <row r="722" spans="1:16">
      <c r="A722" s="171"/>
      <c r="B722" s="172"/>
      <c r="C722" s="172"/>
      <c r="D722" s="172"/>
      <c r="E722" s="171"/>
      <c r="F722" s="171"/>
      <c r="G722" s="171"/>
      <c r="H722" s="171"/>
      <c r="I722" s="171"/>
      <c r="J722" s="171"/>
    </row>
    <row r="723" spans="1:16">
      <c r="A723" s="171"/>
      <c r="B723" s="172">
        <v>1.0351585166444348</v>
      </c>
      <c r="C723" s="172">
        <v>-2.1037449841221099</v>
      </c>
      <c r="D723" s="172">
        <v>-0.82913701269133588</v>
      </c>
      <c r="E723" s="171">
        <f>-$L$1</f>
        <v>-1.4990492230334603E-2</v>
      </c>
      <c r="F723" s="172">
        <v>0</v>
      </c>
      <c r="G723" s="172">
        <v>0</v>
      </c>
      <c r="H723" s="178">
        <f>-$N$1</f>
        <v>-4.7716218756768064E-3</v>
      </c>
      <c r="I723" s="171">
        <v>0</v>
      </c>
      <c r="J723" s="171">
        <v>0</v>
      </c>
      <c r="L723">
        <f t="array" ref="L723:N725">SVDD(B723:J725)</f>
        <v>3.8877591872378683</v>
      </c>
      <c r="M723">
        <v>0</v>
      </c>
      <c r="N723">
        <v>0</v>
      </c>
      <c r="P723">
        <f t="shared" ref="P723" si="193">MAX(L723,M724,N725)/MIN(L723,M724,N725)</f>
        <v>7.3935458899574957</v>
      </c>
    </row>
    <row r="724" spans="1:16">
      <c r="A724" s="171" t="s">
        <v>394</v>
      </c>
      <c r="B724" s="172">
        <v>2.0770709056556562</v>
      </c>
      <c r="C724" s="172">
        <v>-2.1445635165533226</v>
      </c>
      <c r="D724" s="172">
        <v>-5.6653180844775664E-2</v>
      </c>
      <c r="E724" s="171">
        <v>0</v>
      </c>
      <c r="F724" s="171">
        <f>-$L$1</f>
        <v>-1.4990492230334603E-2</v>
      </c>
      <c r="G724" s="172">
        <v>0</v>
      </c>
      <c r="H724" s="172">
        <v>0</v>
      </c>
      <c r="I724" s="178">
        <f>-$N$1</f>
        <v>-4.7716218756768064E-3</v>
      </c>
      <c r="J724" s="171">
        <v>0</v>
      </c>
      <c r="L724">
        <v>0</v>
      </c>
      <c r="M724">
        <v>1.2328197145789326</v>
      </c>
      <c r="N724">
        <v>0</v>
      </c>
    </row>
    <row r="725" spans="1:16">
      <c r="A725" s="171"/>
      <c r="B725" s="172">
        <v>-0.36768865949079377</v>
      </c>
      <c r="C725" s="172">
        <v>-1.2890795247765441</v>
      </c>
      <c r="D725" s="172">
        <v>-0.10954983766095538</v>
      </c>
      <c r="E725" s="171">
        <v>0</v>
      </c>
      <c r="F725" s="172">
        <v>0</v>
      </c>
      <c r="G725" s="171">
        <f>-$L$1</f>
        <v>-1.4990492230334603E-2</v>
      </c>
      <c r="H725" s="172">
        <v>0</v>
      </c>
      <c r="I725" s="172">
        <v>0</v>
      </c>
      <c r="J725" s="178">
        <f>-$N$1</f>
        <v>-4.7716218756768064E-3</v>
      </c>
      <c r="L725">
        <v>0</v>
      </c>
      <c r="M725">
        <v>0</v>
      </c>
      <c r="N725">
        <v>0.52583148128133395</v>
      </c>
    </row>
    <row r="726" spans="1:16">
      <c r="A726" s="171"/>
      <c r="B726" s="172"/>
      <c r="C726" s="172"/>
      <c r="D726" s="172"/>
      <c r="E726" s="171"/>
      <c r="F726" s="171"/>
      <c r="G726" s="171"/>
      <c r="H726" s="171"/>
      <c r="I726" s="171"/>
      <c r="J726" s="171"/>
    </row>
    <row r="727" spans="1:16">
      <c r="A727" s="171"/>
      <c r="B727" s="172">
        <v>1.0351585166444348</v>
      </c>
      <c r="C727" s="172">
        <v>-2.1037449841221099</v>
      </c>
      <c r="D727" s="172">
        <v>-0.82913701269133588</v>
      </c>
      <c r="E727" s="171">
        <f>-$L$1</f>
        <v>-1.4990492230334603E-2</v>
      </c>
      <c r="F727" s="172">
        <v>0</v>
      </c>
      <c r="G727" s="172">
        <v>0</v>
      </c>
      <c r="H727" s="178">
        <f>-$N$1</f>
        <v>-4.7716218756768064E-3</v>
      </c>
      <c r="I727" s="171">
        <v>0</v>
      </c>
      <c r="J727" s="171">
        <v>0</v>
      </c>
      <c r="L727">
        <f t="array" ref="L727:N729">SVDD(B727:J729)</f>
        <v>4.5103053381860283</v>
      </c>
      <c r="M727">
        <v>0</v>
      </c>
      <c r="N727">
        <v>0</v>
      </c>
      <c r="P727">
        <f t="shared" ref="P727" si="194">MAX(L727,M728,N729)/MIN(L727,M728,N729)</f>
        <v>11.422771433272743</v>
      </c>
    </row>
    <row r="728" spans="1:16">
      <c r="A728" s="171" t="s">
        <v>395</v>
      </c>
      <c r="B728" s="172">
        <v>2.0770709056556562</v>
      </c>
      <c r="C728" s="172">
        <v>-2.1445635165533226</v>
      </c>
      <c r="D728" s="172">
        <v>-5.6653180844775664E-2</v>
      </c>
      <c r="E728" s="171">
        <v>0</v>
      </c>
      <c r="F728" s="171">
        <f>-$L$1</f>
        <v>-1.4990492230334603E-2</v>
      </c>
      <c r="G728" s="172">
        <v>0</v>
      </c>
      <c r="H728" s="172">
        <v>0</v>
      </c>
      <c r="I728" s="178">
        <f>-$N$1</f>
        <v>-4.7716218756768064E-3</v>
      </c>
      <c r="J728" s="171">
        <v>0</v>
      </c>
      <c r="L728">
        <v>0</v>
      </c>
      <c r="M728">
        <v>1.3662062462342517</v>
      </c>
      <c r="N728">
        <v>0</v>
      </c>
    </row>
    <row r="729" spans="1:16">
      <c r="A729" s="171"/>
      <c r="B729" s="172">
        <v>2.4772611105726599</v>
      </c>
      <c r="C729" s="172">
        <v>-1.0605572692523213</v>
      </c>
      <c r="D729" s="172">
        <v>-3.9812674620544719E-2</v>
      </c>
      <c r="E729" s="171">
        <v>0</v>
      </c>
      <c r="F729" s="172">
        <v>0</v>
      </c>
      <c r="G729" s="171">
        <f>-$L$1</f>
        <v>-1.4990492230334603E-2</v>
      </c>
      <c r="H729" s="172">
        <v>0</v>
      </c>
      <c r="I729" s="172">
        <v>0</v>
      </c>
      <c r="J729" s="178">
        <f>-$N$1</f>
        <v>-4.7716218756768064E-3</v>
      </c>
      <c r="L729">
        <v>0</v>
      </c>
      <c r="M729">
        <v>0</v>
      </c>
      <c r="N729">
        <v>0.39485210437181784</v>
      </c>
    </row>
    <row r="730" spans="1:16">
      <c r="A730" s="171"/>
      <c r="B730" s="172"/>
      <c r="C730" s="172"/>
      <c r="D730" s="172"/>
      <c r="E730" s="171"/>
      <c r="F730" s="171"/>
      <c r="G730" s="171"/>
      <c r="H730" s="171"/>
      <c r="I730" s="171"/>
      <c r="J730" s="171"/>
    </row>
    <row r="731" spans="1:16">
      <c r="A731" s="171"/>
      <c r="B731" s="172">
        <v>1.0351585166444348</v>
      </c>
      <c r="C731" s="172">
        <v>-2.1037449841221099</v>
      </c>
      <c r="D731" s="172">
        <v>-0.82913701269133588</v>
      </c>
      <c r="E731" s="171">
        <f>-$L$1</f>
        <v>-1.4990492230334603E-2</v>
      </c>
      <c r="F731" s="172">
        <v>0</v>
      </c>
      <c r="G731" s="172">
        <v>0</v>
      </c>
      <c r="H731" s="178">
        <f>-$N$1</f>
        <v>-4.7716218756768064E-3</v>
      </c>
      <c r="I731" s="171">
        <v>0</v>
      </c>
      <c r="J731" s="171">
        <v>0</v>
      </c>
      <c r="L731">
        <f t="array" ref="L731:N733">SVDD(B731:J733)</f>
        <v>3.9373520119906833</v>
      </c>
      <c r="M731">
        <v>0</v>
      </c>
      <c r="N731">
        <v>0</v>
      </c>
      <c r="P731">
        <f t="shared" ref="P731" si="195">MAX(L731,M732,N733)/MIN(L731,M732,N733)</f>
        <v>7.7039081993148413</v>
      </c>
    </row>
    <row r="732" spans="1:16">
      <c r="A732" s="171" t="s">
        <v>396</v>
      </c>
      <c r="B732" s="172">
        <v>2.0770709056556562</v>
      </c>
      <c r="C732" s="172">
        <v>-2.1445635165533226</v>
      </c>
      <c r="D732" s="172">
        <v>-5.6653180844775664E-2</v>
      </c>
      <c r="E732" s="171">
        <v>0</v>
      </c>
      <c r="F732" s="171">
        <f>-$L$1</f>
        <v>-1.4990492230334603E-2</v>
      </c>
      <c r="G732" s="172">
        <v>0</v>
      </c>
      <c r="H732" s="172">
        <v>0</v>
      </c>
      <c r="I732" s="178">
        <f>-$N$1</f>
        <v>-4.7716218756768064E-3</v>
      </c>
      <c r="J732" s="171">
        <v>0</v>
      </c>
      <c r="L732">
        <v>0</v>
      </c>
      <c r="M732">
        <v>1.4018323045777685</v>
      </c>
      <c r="N732">
        <v>0</v>
      </c>
    </row>
    <row r="733" spans="1:16">
      <c r="A733" s="171"/>
      <c r="B733" s="172">
        <v>1.6188303733889171</v>
      </c>
      <c r="C733" s="172">
        <v>-1.9594494251009342E-2</v>
      </c>
      <c r="D733" s="172">
        <v>-7.7422792294721043E-2</v>
      </c>
      <c r="E733" s="171">
        <v>0</v>
      </c>
      <c r="F733" s="172">
        <v>0</v>
      </c>
      <c r="G733" s="171">
        <f>-$L$1</f>
        <v>-1.4990492230334603E-2</v>
      </c>
      <c r="H733" s="172">
        <v>0</v>
      </c>
      <c r="I733" s="172">
        <v>0</v>
      </c>
      <c r="J733" s="178">
        <f>-$N$1</f>
        <v>-4.7716218756768064E-3</v>
      </c>
      <c r="L733">
        <v>0</v>
      </c>
      <c r="M733">
        <v>0</v>
      </c>
      <c r="N733">
        <v>0.51108501167509468</v>
      </c>
    </row>
    <row r="734" spans="1:16">
      <c r="A734" s="171"/>
      <c r="B734" s="172"/>
      <c r="C734" s="172"/>
      <c r="D734" s="172"/>
      <c r="E734" s="171"/>
      <c r="F734" s="171"/>
      <c r="G734" s="171"/>
      <c r="H734" s="171"/>
      <c r="I734" s="171"/>
      <c r="J734" s="171"/>
    </row>
    <row r="735" spans="1:16">
      <c r="A735" s="171"/>
      <c r="B735" s="172">
        <v>1.0351585166444348</v>
      </c>
      <c r="C735" s="172">
        <v>-2.1037449841221099</v>
      </c>
      <c r="D735" s="172">
        <v>-0.82913701269133588</v>
      </c>
      <c r="E735" s="171">
        <f>-$L$1</f>
        <v>-1.4990492230334603E-2</v>
      </c>
      <c r="F735" s="172">
        <v>0</v>
      </c>
      <c r="G735" s="172">
        <v>0</v>
      </c>
      <c r="H735" s="178">
        <f>-$N$1</f>
        <v>-4.7716218756768064E-3</v>
      </c>
      <c r="I735" s="171">
        <v>0</v>
      </c>
      <c r="J735" s="171">
        <v>0</v>
      </c>
      <c r="L735">
        <f t="array" ref="L735:N737">SVDD(B735:J737)</f>
        <v>3.8320572189762041</v>
      </c>
      <c r="M735">
        <v>0</v>
      </c>
      <c r="N735">
        <v>0</v>
      </c>
      <c r="P735">
        <f t="shared" ref="P735" si="196">MAX(L735,M736,N737)/MIN(L735,M736,N737)</f>
        <v>4.6372011230253731</v>
      </c>
    </row>
    <row r="736" spans="1:16">
      <c r="A736" s="171" t="s">
        <v>397</v>
      </c>
      <c r="B736" s="172">
        <v>2.0770709056556562</v>
      </c>
      <c r="C736" s="172">
        <v>-2.1445635165533226</v>
      </c>
      <c r="D736" s="172">
        <v>-5.6653180844775664E-2</v>
      </c>
      <c r="E736" s="171">
        <v>0</v>
      </c>
      <c r="F736" s="171">
        <f>-$L$1</f>
        <v>-1.4990492230334603E-2</v>
      </c>
      <c r="G736" s="172">
        <v>0</v>
      </c>
      <c r="H736" s="172">
        <v>0</v>
      </c>
      <c r="I736" s="178">
        <f>-$N$1</f>
        <v>-4.7716218756768064E-3</v>
      </c>
      <c r="J736" s="171">
        <v>0</v>
      </c>
      <c r="L736">
        <v>0</v>
      </c>
      <c r="M736">
        <v>1.1870683404310689</v>
      </c>
      <c r="N736">
        <v>0</v>
      </c>
    </row>
    <row r="737" spans="1:16">
      <c r="A737" s="171"/>
      <c r="B737" s="172">
        <v>1.0097006711160386</v>
      </c>
      <c r="C737" s="172">
        <v>0.26302086313966178</v>
      </c>
      <c r="D737" s="172">
        <v>-0.76545275918666766</v>
      </c>
      <c r="E737" s="171">
        <v>0</v>
      </c>
      <c r="F737" s="172">
        <v>0</v>
      </c>
      <c r="G737" s="171">
        <f>-$L$1</f>
        <v>-1.4990492230334603E-2</v>
      </c>
      <c r="H737" s="172">
        <v>0</v>
      </c>
      <c r="I737" s="172">
        <v>0</v>
      </c>
      <c r="J737" s="178">
        <f>-$N$1</f>
        <v>-4.7716218756768064E-3</v>
      </c>
      <c r="L737">
        <v>0</v>
      </c>
      <c r="M737">
        <v>0</v>
      </c>
      <c r="N737">
        <v>0.82637287391928305</v>
      </c>
    </row>
    <row r="738" spans="1:16">
      <c r="A738" s="171"/>
      <c r="B738" s="172"/>
      <c r="C738" s="172"/>
      <c r="D738" s="172"/>
      <c r="E738" s="171"/>
      <c r="F738" s="171"/>
      <c r="G738" s="171"/>
      <c r="H738" s="171"/>
      <c r="I738" s="171"/>
      <c r="J738" s="171"/>
    </row>
    <row r="739" spans="1:16">
      <c r="A739" s="171"/>
      <c r="B739" s="172">
        <v>1.0351585166444348</v>
      </c>
      <c r="C739" s="172">
        <v>-2.1037449841221099</v>
      </c>
      <c r="D739" s="172">
        <v>-0.82913701269133588</v>
      </c>
      <c r="E739" s="171">
        <f>-$L$1</f>
        <v>-1.4990492230334603E-2</v>
      </c>
      <c r="F739" s="172">
        <v>0</v>
      </c>
      <c r="G739" s="172">
        <v>0</v>
      </c>
      <c r="H739" s="178">
        <f>-$N$1</f>
        <v>-4.7716218756768064E-3</v>
      </c>
      <c r="I739" s="171">
        <v>0</v>
      </c>
      <c r="J739" s="171">
        <v>0</v>
      </c>
      <c r="L739">
        <f t="array" ref="L739:N741">SVDD(B739:J741)</f>
        <v>3.459568653461814</v>
      </c>
      <c r="M739">
        <v>0</v>
      </c>
      <c r="N739">
        <v>0</v>
      </c>
      <c r="P739">
        <f t="shared" ref="P739" si="197">MAX(L739,M740,N741)/MIN(L739,M740,N741)</f>
        <v>8.6837602617568219</v>
      </c>
    </row>
    <row r="740" spans="1:16">
      <c r="A740" s="171" t="s">
        <v>398</v>
      </c>
      <c r="B740" s="172">
        <v>-0.36768865949079377</v>
      </c>
      <c r="C740" s="172">
        <v>-1.2890795247765441</v>
      </c>
      <c r="D740" s="172">
        <v>-0.10954983766095538</v>
      </c>
      <c r="E740" s="171">
        <v>0</v>
      </c>
      <c r="F740" s="171">
        <f>-$L$1</f>
        <v>-1.4990492230334603E-2</v>
      </c>
      <c r="G740" s="172">
        <v>0</v>
      </c>
      <c r="H740" s="172">
        <v>0</v>
      </c>
      <c r="I740" s="178">
        <f>-$N$1</f>
        <v>-4.7716218756768064E-3</v>
      </c>
      <c r="J740" s="171">
        <v>0</v>
      </c>
      <c r="L740">
        <v>0</v>
      </c>
      <c r="M740">
        <v>1.7692609307441416</v>
      </c>
      <c r="N740">
        <v>0</v>
      </c>
    </row>
    <row r="741" spans="1:16">
      <c r="A741" s="171"/>
      <c r="B741" s="172">
        <v>2.4772611105726599</v>
      </c>
      <c r="C741" s="172">
        <v>-1.0605572692523213</v>
      </c>
      <c r="D741" s="172">
        <v>-3.9812674620544719E-2</v>
      </c>
      <c r="E741" s="171">
        <v>0</v>
      </c>
      <c r="F741" s="172">
        <v>0</v>
      </c>
      <c r="G741" s="171">
        <f>-$L$1</f>
        <v>-1.4990492230334603E-2</v>
      </c>
      <c r="H741" s="172">
        <v>0</v>
      </c>
      <c r="I741" s="172">
        <v>0</v>
      </c>
      <c r="J741" s="178">
        <f>-$N$1</f>
        <v>-4.7716218756768064E-3</v>
      </c>
      <c r="L741">
        <v>0</v>
      </c>
      <c r="M741">
        <v>0</v>
      </c>
      <c r="N741">
        <v>0.39839522847005732</v>
      </c>
    </row>
    <row r="742" spans="1:16">
      <c r="A742" s="171"/>
      <c r="B742" s="172"/>
      <c r="C742" s="172"/>
      <c r="D742" s="172"/>
      <c r="E742" s="171"/>
      <c r="F742" s="171"/>
      <c r="G742" s="171"/>
      <c r="H742" s="171"/>
      <c r="I742" s="171"/>
      <c r="J742" s="171"/>
    </row>
    <row r="743" spans="1:16">
      <c r="A743" s="171"/>
      <c r="B743" s="172">
        <v>1.0351585166444348</v>
      </c>
      <c r="C743" s="172">
        <v>-2.1037449841221099</v>
      </c>
      <c r="D743" s="172">
        <v>-0.82913701269133588</v>
      </c>
      <c r="E743" s="171">
        <f>-$L$1</f>
        <v>-1.4990492230334603E-2</v>
      </c>
      <c r="F743" s="172">
        <v>0</v>
      </c>
      <c r="G743" s="172">
        <v>0</v>
      </c>
      <c r="H743" s="178">
        <f>-$N$1</f>
        <v>-4.7716218756768064E-3</v>
      </c>
      <c r="I743" s="171">
        <v>0</v>
      </c>
      <c r="J743" s="171">
        <v>0</v>
      </c>
      <c r="L743">
        <f t="array" ref="L743:N745">SVDD(B743:J745)</f>
        <v>2.7690427967673874</v>
      </c>
      <c r="M743">
        <v>0</v>
      </c>
      <c r="N743">
        <v>0</v>
      </c>
      <c r="P743">
        <f t="shared" ref="P743" si="198">MAX(L743,M744,N745)/MIN(L743,M744,N745)</f>
        <v>10.818658147165989</v>
      </c>
    </row>
    <row r="744" spans="1:16">
      <c r="A744" s="171" t="s">
        <v>399</v>
      </c>
      <c r="B744" s="172">
        <v>-0.36768865949079377</v>
      </c>
      <c r="C744" s="172">
        <v>-1.2890795247765441</v>
      </c>
      <c r="D744" s="172">
        <v>-0.10954983766095538</v>
      </c>
      <c r="E744" s="171">
        <v>0</v>
      </c>
      <c r="F744" s="171">
        <f>-$L$1</f>
        <v>-1.4990492230334603E-2</v>
      </c>
      <c r="G744" s="172">
        <v>0</v>
      </c>
      <c r="H744" s="172">
        <v>0</v>
      </c>
      <c r="I744" s="178">
        <f>-$N$1</f>
        <v>-4.7716218756768064E-3</v>
      </c>
      <c r="J744" s="171">
        <v>0</v>
      </c>
      <c r="L744">
        <v>0</v>
      </c>
      <c r="M744">
        <v>1.6995029102502819</v>
      </c>
      <c r="N744">
        <v>0</v>
      </c>
    </row>
    <row r="745" spans="1:16">
      <c r="A745" s="171"/>
      <c r="B745" s="172">
        <v>1.6188303733889171</v>
      </c>
      <c r="C745" s="172">
        <v>-1.9594494251009342E-2</v>
      </c>
      <c r="D745" s="172">
        <v>-7.7422792294721043E-2</v>
      </c>
      <c r="E745" s="171">
        <v>0</v>
      </c>
      <c r="F745" s="172">
        <v>0</v>
      </c>
      <c r="G745" s="171">
        <f>-$L$1</f>
        <v>-1.4990492230334603E-2</v>
      </c>
      <c r="H745" s="172">
        <v>0</v>
      </c>
      <c r="I745" s="172">
        <v>0</v>
      </c>
      <c r="J745" s="178">
        <f>-$N$1</f>
        <v>-4.7716218756768064E-3</v>
      </c>
      <c r="L745">
        <v>0</v>
      </c>
      <c r="M745">
        <v>0</v>
      </c>
      <c r="N745">
        <v>0.25595066958398666</v>
      </c>
    </row>
    <row r="746" spans="1:16">
      <c r="A746" s="171"/>
      <c r="B746" s="172"/>
      <c r="C746" s="172"/>
      <c r="D746" s="172"/>
      <c r="E746" s="171"/>
      <c r="F746" s="171"/>
      <c r="G746" s="171"/>
      <c r="H746" s="171"/>
      <c r="I746" s="171"/>
      <c r="J746" s="171"/>
    </row>
    <row r="747" spans="1:16">
      <c r="A747" s="171"/>
      <c r="B747" s="172">
        <v>1.0351585166444348</v>
      </c>
      <c r="C747" s="172">
        <v>-2.1037449841221099</v>
      </c>
      <c r="D747" s="172">
        <v>-0.82913701269133588</v>
      </c>
      <c r="E747" s="171">
        <f>-$L$1</f>
        <v>-1.4990492230334603E-2</v>
      </c>
      <c r="F747" s="172">
        <v>0</v>
      </c>
      <c r="G747" s="172">
        <v>0</v>
      </c>
      <c r="H747" s="178">
        <f>-$N$1</f>
        <v>-4.7716218756768064E-3</v>
      </c>
      <c r="I747" s="171">
        <v>0</v>
      </c>
      <c r="J747" s="171">
        <v>0</v>
      </c>
      <c r="L747">
        <f t="array" ref="L747:N749">SVDD(B747:J749)</f>
        <v>2.7147080125882193</v>
      </c>
      <c r="M747">
        <v>0</v>
      </c>
      <c r="N747">
        <v>0</v>
      </c>
      <c r="P747">
        <f t="shared" ref="P747" si="199">MAX(L747,M748,N749)/MIN(L747,M748,N749)</f>
        <v>12.577693773755021</v>
      </c>
    </row>
    <row r="748" spans="1:16">
      <c r="A748" s="171" t="s">
        <v>400</v>
      </c>
      <c r="B748" s="172">
        <v>-0.36768865949079377</v>
      </c>
      <c r="C748" s="172">
        <v>-1.2890795247765441</v>
      </c>
      <c r="D748" s="172">
        <v>-0.10954983766095538</v>
      </c>
      <c r="E748" s="171">
        <v>0</v>
      </c>
      <c r="F748" s="171">
        <f>-$L$1</f>
        <v>-1.4990492230334603E-2</v>
      </c>
      <c r="G748" s="172">
        <v>0</v>
      </c>
      <c r="H748" s="172">
        <v>0</v>
      </c>
      <c r="I748" s="178">
        <f>-$N$1</f>
        <v>-4.7716218756768064E-3</v>
      </c>
      <c r="J748" s="171">
        <v>0</v>
      </c>
      <c r="L748">
        <v>0</v>
      </c>
      <c r="M748">
        <v>1.5009323240845716</v>
      </c>
      <c r="N748">
        <v>0</v>
      </c>
    </row>
    <row r="749" spans="1:16">
      <c r="A749" s="171"/>
      <c r="B749" s="172">
        <v>1.0097006711160386</v>
      </c>
      <c r="C749" s="172">
        <v>0.26302086313966178</v>
      </c>
      <c r="D749" s="172">
        <v>-0.76545275918666766</v>
      </c>
      <c r="E749" s="171">
        <v>0</v>
      </c>
      <c r="F749" s="172">
        <v>0</v>
      </c>
      <c r="G749" s="171">
        <f>-$L$1</f>
        <v>-1.4990492230334603E-2</v>
      </c>
      <c r="H749" s="172">
        <v>0</v>
      </c>
      <c r="I749" s="172">
        <v>0</v>
      </c>
      <c r="J749" s="178">
        <f>-$N$1</f>
        <v>-4.7716218756768064E-3</v>
      </c>
      <c r="L749">
        <v>0</v>
      </c>
      <c r="M749">
        <v>0</v>
      </c>
      <c r="N749">
        <v>0.21583511742453196</v>
      </c>
    </row>
    <row r="750" spans="1:16">
      <c r="A750" s="171"/>
      <c r="B750" s="172"/>
      <c r="C750" s="172"/>
      <c r="D750" s="172"/>
      <c r="E750" s="171"/>
      <c r="F750" s="171"/>
      <c r="G750" s="171"/>
      <c r="H750" s="171"/>
      <c r="I750" s="171"/>
      <c r="J750" s="171"/>
    </row>
    <row r="751" spans="1:16">
      <c r="A751" s="171"/>
      <c r="B751" s="172">
        <v>1.0351585166444348</v>
      </c>
      <c r="C751" s="172">
        <v>-2.1037449841221099</v>
      </c>
      <c r="D751" s="172">
        <v>-0.82913701269133588</v>
      </c>
      <c r="E751" s="171">
        <f>-$L$1</f>
        <v>-1.4990492230334603E-2</v>
      </c>
      <c r="F751" s="172">
        <v>0</v>
      </c>
      <c r="G751" s="172">
        <v>0</v>
      </c>
      <c r="H751" s="178">
        <f>-$N$1</f>
        <v>-4.7716218756768064E-3</v>
      </c>
      <c r="I751" s="171">
        <v>0</v>
      </c>
      <c r="J751" s="171">
        <v>0</v>
      </c>
      <c r="L751">
        <f t="array" ref="L751:N753">SVDD(B751:J753)</f>
        <v>3.6417748996522761</v>
      </c>
      <c r="M751">
        <v>0</v>
      </c>
      <c r="N751">
        <v>0</v>
      </c>
      <c r="P751">
        <f t="shared" ref="P751" si="200">MAX(L751,M752,N753)/MIN(L751,M752,N753)</f>
        <v>13.997547337634511</v>
      </c>
    </row>
    <row r="752" spans="1:16">
      <c r="A752" s="171" t="s">
        <v>401</v>
      </c>
      <c r="B752" s="172">
        <v>2.4772611105726599</v>
      </c>
      <c r="C752" s="172">
        <v>-1.0605572692523213</v>
      </c>
      <c r="D752" s="172">
        <v>-3.9812674620544719E-2</v>
      </c>
      <c r="E752" s="171">
        <v>0</v>
      </c>
      <c r="F752" s="171">
        <f>-$L$1</f>
        <v>-1.4990492230334603E-2</v>
      </c>
      <c r="G752" s="172">
        <v>0</v>
      </c>
      <c r="H752" s="172">
        <v>0</v>
      </c>
      <c r="I752" s="178">
        <f>-$N$1</f>
        <v>-4.7716218756768064E-3</v>
      </c>
      <c r="J752" s="171">
        <v>0</v>
      </c>
      <c r="L752">
        <v>0</v>
      </c>
      <c r="M752">
        <v>1.6569466086056874</v>
      </c>
      <c r="N752">
        <v>0</v>
      </c>
    </row>
    <row r="753" spans="1:16">
      <c r="A753" s="171"/>
      <c r="B753" s="172">
        <v>1.6188303733889171</v>
      </c>
      <c r="C753" s="172">
        <v>-1.9594494251009342E-2</v>
      </c>
      <c r="D753" s="172">
        <v>-7.7422792294721043E-2</v>
      </c>
      <c r="E753" s="171">
        <v>0</v>
      </c>
      <c r="F753" s="172">
        <v>0</v>
      </c>
      <c r="G753" s="171">
        <f>-$L$1</f>
        <v>-1.4990492230334603E-2</v>
      </c>
      <c r="H753" s="172">
        <v>0</v>
      </c>
      <c r="I753" s="172">
        <v>0</v>
      </c>
      <c r="J753" s="178">
        <f>-$N$1</f>
        <v>-4.7716218756768064E-3</v>
      </c>
      <c r="L753">
        <v>0</v>
      </c>
      <c r="M753">
        <v>0</v>
      </c>
      <c r="N753">
        <v>0.26017235818598139</v>
      </c>
    </row>
    <row r="754" spans="1:16">
      <c r="A754" s="171"/>
      <c r="B754" s="172"/>
      <c r="C754" s="172"/>
      <c r="D754" s="172"/>
      <c r="E754" s="171"/>
      <c r="F754" s="171"/>
      <c r="G754" s="171"/>
      <c r="H754" s="171"/>
      <c r="I754" s="171"/>
      <c r="J754" s="171"/>
    </row>
    <row r="755" spans="1:16">
      <c r="A755" s="171"/>
      <c r="B755" s="172">
        <v>1.0351585166444348</v>
      </c>
      <c r="C755" s="172">
        <v>-2.1037449841221099</v>
      </c>
      <c r="D755" s="172">
        <v>-0.82913701269133588</v>
      </c>
      <c r="E755" s="171">
        <f>-$L$1</f>
        <v>-1.4990492230334603E-2</v>
      </c>
      <c r="F755" s="172">
        <v>0</v>
      </c>
      <c r="G755" s="172">
        <v>0</v>
      </c>
      <c r="H755" s="178">
        <f>-$N$1</f>
        <v>-4.7716218756768064E-3</v>
      </c>
      <c r="I755" s="171">
        <v>0</v>
      </c>
      <c r="J755" s="171">
        <v>0</v>
      </c>
      <c r="L755">
        <f t="array" ref="L755:N757">SVDD(B755:J757)</f>
        <v>3.4855246264142994</v>
      </c>
      <c r="M755">
        <v>0</v>
      </c>
      <c r="N755">
        <v>0</v>
      </c>
      <c r="P755">
        <f t="shared" ref="P755" si="201">MAX(L755,M756,N757)/MIN(L755,M756,N757)</f>
        <v>4.0509593948373288</v>
      </c>
    </row>
    <row r="756" spans="1:16">
      <c r="A756" s="171" t="s">
        <v>402</v>
      </c>
      <c r="B756" s="172">
        <v>2.4772611105726599</v>
      </c>
      <c r="C756" s="172">
        <v>-1.0605572692523213</v>
      </c>
      <c r="D756" s="172">
        <v>-3.9812674620544719E-2</v>
      </c>
      <c r="E756" s="171">
        <v>0</v>
      </c>
      <c r="F756" s="171">
        <f>-$L$1</f>
        <v>-1.4990492230334603E-2</v>
      </c>
      <c r="G756" s="172">
        <v>0</v>
      </c>
      <c r="H756" s="172">
        <v>0</v>
      </c>
      <c r="I756" s="178">
        <f>-$N$1</f>
        <v>-4.7716218756768064E-3</v>
      </c>
      <c r="J756" s="171">
        <v>0</v>
      </c>
      <c r="L756">
        <v>0</v>
      </c>
      <c r="M756">
        <v>1.4946858417948641</v>
      </c>
      <c r="N756">
        <v>0</v>
      </c>
    </row>
    <row r="757" spans="1:16">
      <c r="A757" s="171"/>
      <c r="B757" s="172">
        <v>1.0097006711160386</v>
      </c>
      <c r="C757" s="172">
        <v>0.26302086313966178</v>
      </c>
      <c r="D757" s="172">
        <v>-0.76545275918666766</v>
      </c>
      <c r="E757" s="171">
        <v>0</v>
      </c>
      <c r="F757" s="172">
        <v>0</v>
      </c>
      <c r="G757" s="171">
        <f>-$L$1</f>
        <v>-1.4990492230334603E-2</v>
      </c>
      <c r="H757" s="172">
        <v>0</v>
      </c>
      <c r="I757" s="172">
        <v>0</v>
      </c>
      <c r="J757" s="178">
        <f>-$N$1</f>
        <v>-4.7716218756768064E-3</v>
      </c>
      <c r="L757">
        <v>0</v>
      </c>
      <c r="M757">
        <v>0</v>
      </c>
      <c r="N757">
        <v>0.86041954181430769</v>
      </c>
    </row>
    <row r="758" spans="1:16">
      <c r="A758" s="171"/>
      <c r="B758" s="172"/>
      <c r="C758" s="172"/>
      <c r="D758" s="172"/>
      <c r="E758" s="171"/>
      <c r="F758" s="171"/>
      <c r="G758" s="171"/>
      <c r="H758" s="171"/>
      <c r="I758" s="171"/>
      <c r="J758" s="171"/>
    </row>
    <row r="759" spans="1:16">
      <c r="A759" s="171"/>
      <c r="B759" s="172">
        <v>1.0351585166444348</v>
      </c>
      <c r="C759" s="172">
        <v>-2.1037449841221099</v>
      </c>
      <c r="D759" s="172">
        <v>-0.82913701269133588</v>
      </c>
      <c r="E759" s="171">
        <f>-$L$1</f>
        <v>-1.4990492230334603E-2</v>
      </c>
      <c r="F759" s="172">
        <v>0</v>
      </c>
      <c r="G759" s="172">
        <v>0</v>
      </c>
      <c r="H759" s="178">
        <f>-$N$1</f>
        <v>-4.7716218756768064E-3</v>
      </c>
      <c r="I759" s="171">
        <v>0</v>
      </c>
      <c r="J759" s="171">
        <v>0</v>
      </c>
      <c r="L759">
        <f t="array" ref="L759:N761">SVDD(B759:J761)</f>
        <v>2.7272662457201178</v>
      </c>
      <c r="M759">
        <v>0</v>
      </c>
      <c r="N759">
        <v>0</v>
      </c>
      <c r="P759">
        <f t="shared" ref="P759" si="202">MAX(L759,M760,N761)/MIN(L759,M760,N761)</f>
        <v>4.3690920255771504</v>
      </c>
    </row>
    <row r="760" spans="1:16">
      <c r="A760" s="171" t="s">
        <v>403</v>
      </c>
      <c r="B760" s="172">
        <v>1.6188303733889171</v>
      </c>
      <c r="C760" s="172">
        <v>-1.9594494251009342E-2</v>
      </c>
      <c r="D760" s="172">
        <v>-7.7422792294721043E-2</v>
      </c>
      <c r="E760" s="171">
        <v>0</v>
      </c>
      <c r="F760" s="171">
        <f>-$L$1</f>
        <v>-1.4990492230334603E-2</v>
      </c>
      <c r="G760" s="172">
        <v>0</v>
      </c>
      <c r="H760" s="172">
        <v>0</v>
      </c>
      <c r="I760" s="178">
        <f>-$N$1</f>
        <v>-4.7716218756768064E-3</v>
      </c>
      <c r="J760" s="171">
        <v>0</v>
      </c>
      <c r="L760">
        <v>0</v>
      </c>
      <c r="M760">
        <v>1.6307853065278484</v>
      </c>
      <c r="N760">
        <v>0</v>
      </c>
    </row>
    <row r="761" spans="1:16">
      <c r="A761" s="171"/>
      <c r="B761" s="172">
        <v>1.0097006711160386</v>
      </c>
      <c r="C761" s="172">
        <v>0.26302086313966178</v>
      </c>
      <c r="D761" s="172">
        <v>-0.76545275918666766</v>
      </c>
      <c r="E761" s="171">
        <v>0</v>
      </c>
      <c r="F761" s="172">
        <v>0</v>
      </c>
      <c r="G761" s="171">
        <f>-$L$1</f>
        <v>-1.4990492230334603E-2</v>
      </c>
      <c r="H761" s="172">
        <v>0</v>
      </c>
      <c r="I761" s="172">
        <v>0</v>
      </c>
      <c r="J761" s="178">
        <f>-$N$1</f>
        <v>-4.7716218756768064E-3</v>
      </c>
      <c r="L761">
        <v>0</v>
      </c>
      <c r="M761">
        <v>0</v>
      </c>
      <c r="N761">
        <v>0.62421808232795239</v>
      </c>
    </row>
    <row r="762" spans="1:16">
      <c r="A762" s="171"/>
      <c r="B762" s="172"/>
      <c r="C762" s="172"/>
      <c r="D762" s="172"/>
      <c r="E762" s="171"/>
      <c r="F762" s="171"/>
      <c r="G762" s="171"/>
      <c r="H762" s="171"/>
      <c r="I762" s="171"/>
      <c r="J762" s="171"/>
    </row>
    <row r="763" spans="1:16">
      <c r="A763" s="171"/>
      <c r="B763" s="172">
        <v>-0.21871711292247331</v>
      </c>
      <c r="C763" s="172">
        <v>-2.1363371502498802</v>
      </c>
      <c r="D763" s="172">
        <v>-8.9790398854103559E-2</v>
      </c>
      <c r="E763" s="171">
        <f>-$L$1</f>
        <v>-1.4990492230334603E-2</v>
      </c>
      <c r="F763" s="172">
        <v>0</v>
      </c>
      <c r="G763" s="172">
        <v>0</v>
      </c>
      <c r="H763" s="178">
        <f>-$N$1</f>
        <v>-4.7716218756768064E-3</v>
      </c>
      <c r="I763" s="171">
        <v>0</v>
      </c>
      <c r="J763" s="171">
        <v>0</v>
      </c>
      <c r="L763">
        <f t="array" ref="L763:N765">SVDD(B763:J765)</f>
        <v>3.5220183797196438</v>
      </c>
      <c r="M763">
        <v>0</v>
      </c>
      <c r="N763">
        <v>0</v>
      </c>
      <c r="P763">
        <f t="shared" ref="P763" si="203">MAX(L763,M764,N765)/MIN(L763,M764,N765)</f>
        <v>78.204179414956343</v>
      </c>
    </row>
    <row r="764" spans="1:16">
      <c r="A764" s="171" t="s">
        <v>404</v>
      </c>
      <c r="B764" s="172">
        <v>2.0770709056556562</v>
      </c>
      <c r="C764" s="172">
        <v>-2.1445635165533226</v>
      </c>
      <c r="D764" s="172">
        <v>-5.6653180844775664E-2</v>
      </c>
      <c r="E764" s="171">
        <v>0</v>
      </c>
      <c r="F764" s="171">
        <f>-$L$1</f>
        <v>-1.4990492230334603E-2</v>
      </c>
      <c r="G764" s="172">
        <v>0</v>
      </c>
      <c r="H764" s="172">
        <v>0</v>
      </c>
      <c r="I764" s="178">
        <f>-$N$1</f>
        <v>-4.7716218756768064E-3</v>
      </c>
      <c r="J764" s="171">
        <v>0</v>
      </c>
      <c r="L764">
        <v>0</v>
      </c>
      <c r="M764">
        <v>1.7144808484912846</v>
      </c>
      <c r="N764">
        <v>0</v>
      </c>
    </row>
    <row r="765" spans="1:16">
      <c r="A765" s="171"/>
      <c r="B765" s="172">
        <v>-0.36768865949079377</v>
      </c>
      <c r="C765" s="172">
        <v>-1.2890795247765441</v>
      </c>
      <c r="D765" s="172">
        <v>-0.10954983766095538</v>
      </c>
      <c r="E765" s="171">
        <v>0</v>
      </c>
      <c r="F765" s="172">
        <v>0</v>
      </c>
      <c r="G765" s="171">
        <f>-$L$1</f>
        <v>-1.4990492230334603E-2</v>
      </c>
      <c r="H765" s="172">
        <v>0</v>
      </c>
      <c r="I765" s="172">
        <v>0</v>
      </c>
      <c r="J765" s="178">
        <f>-$N$1</f>
        <v>-4.7716218756768064E-3</v>
      </c>
      <c r="L765">
        <v>0</v>
      </c>
      <c r="M765">
        <v>0</v>
      </c>
      <c r="N765">
        <v>4.503619123770343E-2</v>
      </c>
    </row>
    <row r="766" spans="1:16">
      <c r="A766" s="171"/>
      <c r="B766" s="172"/>
      <c r="C766" s="172"/>
      <c r="D766" s="172"/>
      <c r="E766" s="171"/>
      <c r="F766" s="171"/>
      <c r="G766" s="171"/>
      <c r="H766" s="171"/>
      <c r="I766" s="171"/>
      <c r="J766" s="171"/>
    </row>
    <row r="767" spans="1:16">
      <c r="A767" s="171"/>
      <c r="B767" s="172">
        <v>-0.21871711292247331</v>
      </c>
      <c r="C767" s="172">
        <v>-2.1363371502498802</v>
      </c>
      <c r="D767" s="172">
        <v>-8.9790398854103559E-2</v>
      </c>
      <c r="E767" s="171">
        <f>-$L$1</f>
        <v>-1.4990492230334603E-2</v>
      </c>
      <c r="F767" s="172">
        <v>0</v>
      </c>
      <c r="G767" s="172">
        <v>0</v>
      </c>
      <c r="H767" s="178">
        <f>-$N$1</f>
        <v>-4.7716218756768064E-3</v>
      </c>
      <c r="I767" s="171">
        <v>0</v>
      </c>
      <c r="J767" s="171">
        <v>0</v>
      </c>
      <c r="L767">
        <f t="array" ref="L767:N769">SVDD(B767:J769)</f>
        <v>4.1252666676724035</v>
      </c>
      <c r="M767">
        <v>0</v>
      </c>
      <c r="N767">
        <v>0</v>
      </c>
      <c r="P767">
        <f t="shared" ref="P767" si="204">MAX(L767,M768,N769)/MIN(L767,M768,N769)</f>
        <v>161.39963075848718</v>
      </c>
    </row>
    <row r="768" spans="1:16">
      <c r="A768" s="171" t="s">
        <v>405</v>
      </c>
      <c r="B768" s="172">
        <v>2.0770709056556562</v>
      </c>
      <c r="C768" s="172">
        <v>-2.1445635165533226</v>
      </c>
      <c r="D768" s="172">
        <v>-5.6653180844775664E-2</v>
      </c>
      <c r="E768" s="171">
        <v>0</v>
      </c>
      <c r="F768" s="171">
        <f>-$L$1</f>
        <v>-1.4990492230334603E-2</v>
      </c>
      <c r="G768" s="172">
        <v>0</v>
      </c>
      <c r="H768" s="172">
        <v>0</v>
      </c>
      <c r="I768" s="178">
        <f>-$N$1</f>
        <v>-4.7716218756768064E-3</v>
      </c>
      <c r="J768" s="171">
        <v>0</v>
      </c>
      <c r="L768">
        <v>0</v>
      </c>
      <c r="M768">
        <v>1.9447043961856523</v>
      </c>
      <c r="N768">
        <v>0</v>
      </c>
    </row>
    <row r="769" spans="1:16">
      <c r="A769" s="171"/>
      <c r="B769" s="172">
        <v>2.4772611105726599</v>
      </c>
      <c r="C769" s="172">
        <v>-1.0605572692523213</v>
      </c>
      <c r="D769" s="172">
        <v>-3.9812674620544719E-2</v>
      </c>
      <c r="E769" s="171">
        <v>0</v>
      </c>
      <c r="F769" s="172">
        <v>0</v>
      </c>
      <c r="G769" s="171">
        <f>-$L$1</f>
        <v>-1.4990492230334603E-2</v>
      </c>
      <c r="H769" s="172">
        <v>0</v>
      </c>
      <c r="I769" s="172">
        <v>0</v>
      </c>
      <c r="J769" s="178">
        <f>-$N$1</f>
        <v>-4.7716218756768064E-3</v>
      </c>
      <c r="L769">
        <v>0</v>
      </c>
      <c r="M769">
        <v>0</v>
      </c>
      <c r="N769">
        <v>2.5559331507054743E-2</v>
      </c>
    </row>
    <row r="770" spans="1:16">
      <c r="A770" s="171"/>
      <c r="B770" s="172"/>
      <c r="C770" s="172"/>
      <c r="D770" s="172"/>
      <c r="E770" s="171"/>
      <c r="F770" s="171"/>
      <c r="G770" s="171"/>
      <c r="H770" s="171"/>
      <c r="I770" s="171"/>
      <c r="J770" s="171"/>
    </row>
    <row r="771" spans="1:16">
      <c r="A771" s="171"/>
      <c r="B771" s="172">
        <v>-0.21871711292247331</v>
      </c>
      <c r="C771" s="172">
        <v>-2.1363371502498802</v>
      </c>
      <c r="D771" s="172">
        <v>-8.9790398854103559E-2</v>
      </c>
      <c r="E771" s="171">
        <f>-$L$1</f>
        <v>-1.4990492230334603E-2</v>
      </c>
      <c r="F771" s="172">
        <v>0</v>
      </c>
      <c r="G771" s="172">
        <v>0</v>
      </c>
      <c r="H771" s="178">
        <f>-$N$1</f>
        <v>-4.7716218756768064E-3</v>
      </c>
      <c r="I771" s="171">
        <v>0</v>
      </c>
      <c r="J771" s="171">
        <v>0</v>
      </c>
      <c r="L771">
        <f t="array" ref="L771:N773">SVDD(B771:J773)</f>
        <v>3.4999515722440644</v>
      </c>
      <c r="M771">
        <v>0</v>
      </c>
      <c r="N771">
        <v>0</v>
      </c>
      <c r="P771">
        <f t="shared" ref="P771" si="205">MAX(L771,M772,N773)/MIN(L771,M772,N773)</f>
        <v>48.084417664765631</v>
      </c>
    </row>
    <row r="772" spans="1:16">
      <c r="A772" s="171" t="s">
        <v>406</v>
      </c>
      <c r="B772" s="172">
        <v>2.0770709056556562</v>
      </c>
      <c r="C772" s="172">
        <v>-2.1445635165533226</v>
      </c>
      <c r="D772" s="172">
        <v>-5.6653180844775664E-2</v>
      </c>
      <c r="E772" s="171">
        <v>0</v>
      </c>
      <c r="F772" s="171">
        <f>-$L$1</f>
        <v>-1.4990492230334603E-2</v>
      </c>
      <c r="G772" s="172">
        <v>0</v>
      </c>
      <c r="H772" s="172">
        <v>0</v>
      </c>
      <c r="I772" s="178">
        <f>-$N$1</f>
        <v>-4.7716218756768064E-3</v>
      </c>
      <c r="J772" s="171">
        <v>0</v>
      </c>
      <c r="L772">
        <v>0</v>
      </c>
      <c r="M772">
        <v>1.977168462299197</v>
      </c>
      <c r="N772">
        <v>0</v>
      </c>
    </row>
    <row r="773" spans="1:16">
      <c r="A773" s="171"/>
      <c r="B773" s="172">
        <v>1.6188303733889171</v>
      </c>
      <c r="C773" s="172">
        <v>-1.9594494251009342E-2</v>
      </c>
      <c r="D773" s="172">
        <v>-7.7422792294721043E-2</v>
      </c>
      <c r="E773" s="171">
        <v>0</v>
      </c>
      <c r="F773" s="172">
        <v>0</v>
      </c>
      <c r="G773" s="171">
        <f>-$L$1</f>
        <v>-1.4990492230334603E-2</v>
      </c>
      <c r="H773" s="172">
        <v>0</v>
      </c>
      <c r="I773" s="172">
        <v>0</v>
      </c>
      <c r="J773" s="178">
        <f>-$N$1</f>
        <v>-4.7716218756768064E-3</v>
      </c>
      <c r="L773">
        <v>0</v>
      </c>
      <c r="M773">
        <v>0</v>
      </c>
      <c r="N773">
        <v>7.2787646023811395E-2</v>
      </c>
    </row>
    <row r="774" spans="1:16">
      <c r="A774" s="171"/>
      <c r="B774" s="172"/>
      <c r="C774" s="172"/>
      <c r="D774" s="172"/>
      <c r="E774" s="171"/>
      <c r="F774" s="171"/>
      <c r="G774" s="171"/>
      <c r="H774" s="171"/>
      <c r="I774" s="171"/>
      <c r="J774" s="171"/>
    </row>
    <row r="775" spans="1:16">
      <c r="A775" s="171"/>
      <c r="B775" s="172">
        <v>-0.21871711292247331</v>
      </c>
      <c r="C775" s="172">
        <v>-2.1363371502498802</v>
      </c>
      <c r="D775" s="172">
        <v>-8.9790398854103559E-2</v>
      </c>
      <c r="E775" s="171">
        <f>-$L$1</f>
        <v>-1.4990492230334603E-2</v>
      </c>
      <c r="F775" s="172">
        <v>0</v>
      </c>
      <c r="G775" s="172">
        <v>0</v>
      </c>
      <c r="H775" s="178">
        <f>-$N$1</f>
        <v>-4.7716218756768064E-3</v>
      </c>
      <c r="I775" s="171">
        <v>0</v>
      </c>
      <c r="J775" s="171">
        <v>0</v>
      </c>
      <c r="L775">
        <f t="array" ref="L775:N777">SVDD(B775:J777)</f>
        <v>3.3948424073501209</v>
      </c>
      <c r="M775">
        <v>0</v>
      </c>
      <c r="N775">
        <v>0</v>
      </c>
      <c r="P775">
        <f t="shared" ref="P775" si="206">MAX(L775,M776,N777)/MIN(L775,M776,N777)</f>
        <v>5.3850889074185826</v>
      </c>
    </row>
    <row r="776" spans="1:16">
      <c r="A776" s="171" t="s">
        <v>407</v>
      </c>
      <c r="B776" s="172">
        <v>2.0770709056556562</v>
      </c>
      <c r="C776" s="172">
        <v>-2.1445635165533226</v>
      </c>
      <c r="D776" s="172">
        <v>-5.6653180844775664E-2</v>
      </c>
      <c r="E776" s="171">
        <v>0</v>
      </c>
      <c r="F776" s="171">
        <f>-$L$1</f>
        <v>-1.4990492230334603E-2</v>
      </c>
      <c r="G776" s="172">
        <v>0</v>
      </c>
      <c r="H776" s="172">
        <v>0</v>
      </c>
      <c r="I776" s="178">
        <f>-$N$1</f>
        <v>-4.7716218756768064E-3</v>
      </c>
      <c r="J776" s="171">
        <v>0</v>
      </c>
      <c r="L776">
        <v>0</v>
      </c>
      <c r="M776">
        <v>1.8136645498717072</v>
      </c>
      <c r="N776">
        <v>0</v>
      </c>
    </row>
    <row r="777" spans="1:16">
      <c r="A777" s="171"/>
      <c r="B777" s="172">
        <v>1.0097006711160386</v>
      </c>
      <c r="C777" s="172">
        <v>0.26302086313966178</v>
      </c>
      <c r="D777" s="172">
        <v>-0.76545275918666766</v>
      </c>
      <c r="E777" s="171">
        <v>0</v>
      </c>
      <c r="F777" s="172">
        <v>0</v>
      </c>
      <c r="G777" s="171">
        <f>-$L$1</f>
        <v>-1.4990492230334603E-2</v>
      </c>
      <c r="H777" s="172">
        <v>0</v>
      </c>
      <c r="I777" s="172">
        <v>0</v>
      </c>
      <c r="J777" s="178">
        <f>-$N$1</f>
        <v>-4.7716218756768064E-3</v>
      </c>
      <c r="L777">
        <v>0</v>
      </c>
      <c r="M777">
        <v>0</v>
      </c>
      <c r="N777">
        <v>0.63041529410467723</v>
      </c>
    </row>
    <row r="778" spans="1:16">
      <c r="A778" s="171"/>
      <c r="B778" s="172"/>
      <c r="C778" s="172"/>
      <c r="D778" s="172"/>
      <c r="E778" s="171"/>
      <c r="F778" s="171"/>
      <c r="G778" s="171"/>
      <c r="H778" s="171"/>
      <c r="I778" s="171"/>
      <c r="J778" s="171"/>
    </row>
    <row r="779" spans="1:16">
      <c r="A779" s="171"/>
      <c r="B779" s="172">
        <v>-0.21871711292247331</v>
      </c>
      <c r="C779" s="172">
        <v>-2.1363371502498802</v>
      </c>
      <c r="D779" s="172">
        <v>-8.9790398854103559E-2</v>
      </c>
      <c r="E779" s="171">
        <f>-$L$1</f>
        <v>-1.4990492230334603E-2</v>
      </c>
      <c r="F779" s="172">
        <v>0</v>
      </c>
      <c r="G779" s="172">
        <v>0</v>
      </c>
      <c r="H779" s="178">
        <f>-$N$1</f>
        <v>-4.7716218756768064E-3</v>
      </c>
      <c r="I779" s="171">
        <v>0</v>
      </c>
      <c r="J779" s="171">
        <v>0</v>
      </c>
      <c r="L779">
        <f t="array" ref="L779:N781">SVDD(B779:J781)</f>
        <v>2.9344018996849397</v>
      </c>
      <c r="M779">
        <v>0</v>
      </c>
      <c r="N779">
        <v>0</v>
      </c>
      <c r="P779">
        <f t="shared" ref="P779" si="207">MAX(L779,M780,N781)/MIN(L779,M780,N781)</f>
        <v>60.490057027091879</v>
      </c>
    </row>
    <row r="780" spans="1:16">
      <c r="A780" s="171" t="s">
        <v>408</v>
      </c>
      <c r="B780" s="172">
        <v>-0.36768865949079377</v>
      </c>
      <c r="C780" s="172">
        <v>-1.2890795247765441</v>
      </c>
      <c r="D780" s="172">
        <v>-0.10954983766095538</v>
      </c>
      <c r="E780" s="171">
        <v>0</v>
      </c>
      <c r="F780" s="171">
        <f>-$L$1</f>
        <v>-1.4990492230334603E-2</v>
      </c>
      <c r="G780" s="172">
        <v>0</v>
      </c>
      <c r="H780" s="172">
        <v>0</v>
      </c>
      <c r="I780" s="178">
        <f>-$N$1</f>
        <v>-4.7716218756768064E-3</v>
      </c>
      <c r="J780" s="171">
        <v>0</v>
      </c>
      <c r="L780">
        <v>0</v>
      </c>
      <c r="M780">
        <v>2.2538017001087254</v>
      </c>
      <c r="N780">
        <v>0</v>
      </c>
    </row>
    <row r="781" spans="1:16">
      <c r="A781" s="171"/>
      <c r="B781" s="172">
        <v>2.4772611105726599</v>
      </c>
      <c r="C781" s="172">
        <v>-1.0605572692523213</v>
      </c>
      <c r="D781" s="172">
        <v>-3.9812674620544719E-2</v>
      </c>
      <c r="E781" s="171">
        <v>0</v>
      </c>
      <c r="F781" s="172">
        <v>0</v>
      </c>
      <c r="G781" s="171">
        <f>-$L$1</f>
        <v>-1.4990492230334603E-2</v>
      </c>
      <c r="H781" s="172">
        <v>0</v>
      </c>
      <c r="I781" s="172">
        <v>0</v>
      </c>
      <c r="J781" s="178">
        <f>-$N$1</f>
        <v>-4.7716218756768064E-3</v>
      </c>
      <c r="L781">
        <v>0</v>
      </c>
      <c r="M781">
        <v>0</v>
      </c>
      <c r="N781">
        <v>4.8510483274477649E-2</v>
      </c>
    </row>
    <row r="782" spans="1:16">
      <c r="A782" s="171"/>
      <c r="B782" s="172"/>
      <c r="C782" s="172"/>
      <c r="D782" s="172"/>
      <c r="E782" s="171"/>
      <c r="F782" s="171"/>
      <c r="G782" s="171"/>
      <c r="H782" s="171"/>
      <c r="I782" s="171"/>
      <c r="J782" s="171"/>
    </row>
    <row r="783" spans="1:16">
      <c r="A783" s="171"/>
      <c r="B783" s="172">
        <v>-0.21871711292247331</v>
      </c>
      <c r="C783" s="172">
        <v>-2.1363371502498802</v>
      </c>
      <c r="D783" s="172">
        <v>-8.9790398854103559E-2</v>
      </c>
      <c r="E783" s="171">
        <f>-$L$1</f>
        <v>-1.4990492230334603E-2</v>
      </c>
      <c r="F783" s="172">
        <v>0</v>
      </c>
      <c r="G783" s="172">
        <v>0</v>
      </c>
      <c r="H783" s="178">
        <f>-$N$1</f>
        <v>-4.7716218756768064E-3</v>
      </c>
      <c r="I783" s="171">
        <v>0</v>
      </c>
      <c r="J783" s="171">
        <v>0</v>
      </c>
      <c r="L783">
        <f t="array" ref="L783:N785">SVDD(B783:J785)</f>
        <v>2.5431871392452172</v>
      </c>
      <c r="M783">
        <v>0</v>
      </c>
      <c r="N783">
        <v>0</v>
      </c>
      <c r="P783">
        <f t="shared" ref="P783" si="208">MAX(L783,M784,N785)/MIN(L783,M784,N785)</f>
        <v>43.488749164962918</v>
      </c>
    </row>
    <row r="784" spans="1:16">
      <c r="A784" s="171" t="s">
        <v>409</v>
      </c>
      <c r="B784" s="172">
        <v>-0.36768865949079377</v>
      </c>
      <c r="C784" s="172">
        <v>-1.2890795247765441</v>
      </c>
      <c r="D784" s="172">
        <v>-0.10954983766095538</v>
      </c>
      <c r="E784" s="171">
        <v>0</v>
      </c>
      <c r="F784" s="171">
        <f>-$L$1</f>
        <v>-1.4990492230334603E-2</v>
      </c>
      <c r="G784" s="172">
        <v>0</v>
      </c>
      <c r="H784" s="172">
        <v>0</v>
      </c>
      <c r="I784" s="178">
        <f>-$N$1</f>
        <v>-4.7716218756768064E-3</v>
      </c>
      <c r="J784" s="171">
        <v>0</v>
      </c>
      <c r="L784">
        <v>0</v>
      </c>
      <c r="M784">
        <v>1.6078774418292734</v>
      </c>
      <c r="N784">
        <v>0</v>
      </c>
    </row>
    <row r="785" spans="1:16">
      <c r="A785" s="171"/>
      <c r="B785" s="172">
        <v>1.6188303733889171</v>
      </c>
      <c r="C785" s="172">
        <v>-1.9594494251009342E-2</v>
      </c>
      <c r="D785" s="172">
        <v>-7.7422792294721043E-2</v>
      </c>
      <c r="E785" s="171">
        <v>0</v>
      </c>
      <c r="F785" s="172">
        <v>0</v>
      </c>
      <c r="G785" s="171">
        <f>-$L$1</f>
        <v>-1.4990492230334603E-2</v>
      </c>
      <c r="H785" s="172">
        <v>0</v>
      </c>
      <c r="I785" s="172">
        <v>0</v>
      </c>
      <c r="J785" s="178">
        <f>-$N$1</f>
        <v>-4.7716218756768064E-3</v>
      </c>
      <c r="L785">
        <v>0</v>
      </c>
      <c r="M785">
        <v>0</v>
      </c>
      <c r="N785">
        <v>5.847919721945366E-2</v>
      </c>
    </row>
    <row r="786" spans="1:16">
      <c r="A786" s="171"/>
      <c r="B786" s="172"/>
      <c r="C786" s="172"/>
      <c r="D786" s="172"/>
      <c r="E786" s="171"/>
      <c r="F786" s="171"/>
      <c r="G786" s="171"/>
      <c r="H786" s="171"/>
      <c r="I786" s="171"/>
      <c r="J786" s="171"/>
    </row>
    <row r="787" spans="1:16">
      <c r="A787" s="171"/>
      <c r="B787" s="172">
        <v>-0.21871711292247331</v>
      </c>
      <c r="C787" s="172">
        <v>-2.1363371502498802</v>
      </c>
      <c r="D787" s="172">
        <v>-8.9790398854103559E-2</v>
      </c>
      <c r="E787" s="171">
        <f>-$L$1</f>
        <v>-1.4990492230334603E-2</v>
      </c>
      <c r="F787" s="172">
        <v>0</v>
      </c>
      <c r="G787" s="172">
        <v>0</v>
      </c>
      <c r="H787" s="178">
        <f>-$N$1</f>
        <v>-4.7716218756768064E-3</v>
      </c>
      <c r="I787" s="171">
        <v>0</v>
      </c>
      <c r="J787" s="171">
        <v>0</v>
      </c>
      <c r="L787">
        <f t="array" ref="L787:N789">SVDD(B787:J789)</f>
        <v>2.5625655155670017</v>
      </c>
      <c r="M787">
        <v>0</v>
      </c>
      <c r="N787">
        <v>0</v>
      </c>
      <c r="P787">
        <f t="shared" ref="P787" si="209">MAX(L787,M788,N789)/MIN(L787,M788,N789)</f>
        <v>15.836534712833005</v>
      </c>
    </row>
    <row r="788" spans="1:16">
      <c r="A788" s="171" t="s">
        <v>410</v>
      </c>
      <c r="B788" s="172">
        <v>-0.36768865949079377</v>
      </c>
      <c r="C788" s="172">
        <v>-1.2890795247765441</v>
      </c>
      <c r="D788" s="172">
        <v>-0.10954983766095538</v>
      </c>
      <c r="E788" s="171">
        <v>0</v>
      </c>
      <c r="F788" s="171">
        <f>-$L$1</f>
        <v>-1.4990492230334603E-2</v>
      </c>
      <c r="G788" s="172">
        <v>0</v>
      </c>
      <c r="H788" s="172">
        <v>0</v>
      </c>
      <c r="I788" s="178">
        <f>-$N$1</f>
        <v>-4.7716218756768064E-3</v>
      </c>
      <c r="J788" s="171">
        <v>0</v>
      </c>
      <c r="L788">
        <v>0</v>
      </c>
      <c r="M788">
        <v>1.2292958173247011</v>
      </c>
      <c r="N788">
        <v>0</v>
      </c>
    </row>
    <row r="789" spans="1:16">
      <c r="A789" s="171"/>
      <c r="B789" s="172">
        <v>1.0097006711160386</v>
      </c>
      <c r="C789" s="172">
        <v>0.26302086313966178</v>
      </c>
      <c r="D789" s="172">
        <v>-0.76545275918666766</v>
      </c>
      <c r="E789" s="171">
        <v>0</v>
      </c>
      <c r="F789" s="172">
        <v>0</v>
      </c>
      <c r="G789" s="171">
        <f>-$L$1</f>
        <v>-1.4990492230334603E-2</v>
      </c>
      <c r="H789" s="172">
        <v>0</v>
      </c>
      <c r="I789" s="172">
        <v>0</v>
      </c>
      <c r="J789" s="178">
        <f>-$N$1</f>
        <v>-4.7716218756768064E-3</v>
      </c>
      <c r="L789">
        <v>0</v>
      </c>
      <c r="M789">
        <v>0</v>
      </c>
      <c r="N789">
        <v>0.16181352562505028</v>
      </c>
    </row>
    <row r="790" spans="1:16">
      <c r="A790" s="171"/>
      <c r="B790" s="172"/>
      <c r="C790" s="172"/>
      <c r="D790" s="172"/>
      <c r="E790" s="171"/>
      <c r="F790" s="171"/>
      <c r="G790" s="171"/>
      <c r="H790" s="171"/>
      <c r="I790" s="171"/>
      <c r="J790" s="171"/>
    </row>
    <row r="791" spans="1:16">
      <c r="A791" s="171"/>
      <c r="B791" s="172">
        <v>-0.21871711292247331</v>
      </c>
      <c r="C791" s="172">
        <v>-2.1363371502498802</v>
      </c>
      <c r="D791" s="172">
        <v>-8.9790398854103559E-2</v>
      </c>
      <c r="E791" s="171">
        <f>-$L$1</f>
        <v>-1.4990492230334603E-2</v>
      </c>
      <c r="F791" s="172">
        <v>0</v>
      </c>
      <c r="G791" s="172">
        <v>0</v>
      </c>
      <c r="H791" s="178">
        <f>-$N$1</f>
        <v>-4.7716218756768064E-3</v>
      </c>
      <c r="I791" s="171">
        <v>0</v>
      </c>
      <c r="J791" s="171">
        <v>0</v>
      </c>
      <c r="L791">
        <f t="array" ref="L791:N793">SVDD(B791:J793)</f>
        <v>3.1535699611069057</v>
      </c>
      <c r="M791">
        <v>0</v>
      </c>
      <c r="N791">
        <v>0</v>
      </c>
      <c r="P791">
        <f t="shared" ref="P791" si="210">MAX(L791,M792,N793)/MIN(L791,M792,N793)</f>
        <v>46.964633171277647</v>
      </c>
    </row>
    <row r="792" spans="1:16">
      <c r="A792" s="171" t="s">
        <v>411</v>
      </c>
      <c r="B792" s="172">
        <v>2.4772611105726599</v>
      </c>
      <c r="C792" s="172">
        <v>-1.0605572692523213</v>
      </c>
      <c r="D792" s="172">
        <v>-3.9812674620544719E-2</v>
      </c>
      <c r="E792" s="171">
        <v>0</v>
      </c>
      <c r="F792" s="171">
        <f>-$L$1</f>
        <v>-1.4990492230334603E-2</v>
      </c>
      <c r="G792" s="172">
        <v>0</v>
      </c>
      <c r="H792" s="172">
        <v>0</v>
      </c>
      <c r="I792" s="178">
        <f>-$N$1</f>
        <v>-4.7716218756768064E-3</v>
      </c>
      <c r="J792" s="171">
        <v>0</v>
      </c>
      <c r="L792">
        <v>0</v>
      </c>
      <c r="M792">
        <v>2.1357072435634854</v>
      </c>
      <c r="N792">
        <v>0</v>
      </c>
    </row>
    <row r="793" spans="1:16">
      <c r="A793" s="171"/>
      <c r="B793" s="172">
        <v>1.6188303733889171</v>
      </c>
      <c r="C793" s="172">
        <v>-1.9594494251009342E-2</v>
      </c>
      <c r="D793" s="172">
        <v>-7.7422792294721043E-2</v>
      </c>
      <c r="E793" s="171">
        <v>0</v>
      </c>
      <c r="F793" s="172">
        <v>0</v>
      </c>
      <c r="G793" s="171">
        <f>-$L$1</f>
        <v>-1.4990492230334603E-2</v>
      </c>
      <c r="H793" s="172">
        <v>0</v>
      </c>
      <c r="I793" s="172">
        <v>0</v>
      </c>
      <c r="J793" s="178">
        <f>-$N$1</f>
        <v>-4.7716218756768064E-3</v>
      </c>
      <c r="L793">
        <v>0</v>
      </c>
      <c r="M793">
        <v>0</v>
      </c>
      <c r="N793">
        <v>6.7147760946114396E-2</v>
      </c>
    </row>
    <row r="794" spans="1:16">
      <c r="A794" s="171"/>
      <c r="B794" s="172"/>
      <c r="C794" s="172"/>
      <c r="D794" s="172"/>
      <c r="E794" s="171"/>
      <c r="F794" s="171"/>
      <c r="G794" s="171"/>
      <c r="H794" s="171"/>
      <c r="I794" s="171"/>
      <c r="J794" s="171"/>
    </row>
    <row r="795" spans="1:16">
      <c r="A795" s="171"/>
      <c r="B795" s="172">
        <v>-0.21871711292247331</v>
      </c>
      <c r="C795" s="172">
        <v>-2.1363371502498802</v>
      </c>
      <c r="D795" s="172">
        <v>-8.9790398854103559E-2</v>
      </c>
      <c r="E795" s="171">
        <f>-$L$1</f>
        <v>-1.4990492230334603E-2</v>
      </c>
      <c r="F795" s="172">
        <v>0</v>
      </c>
      <c r="G795" s="172">
        <v>0</v>
      </c>
      <c r="H795" s="178">
        <f>-$N$1</f>
        <v>-4.7716218756768064E-3</v>
      </c>
      <c r="I795" s="171">
        <v>0</v>
      </c>
      <c r="J795" s="171">
        <v>0</v>
      </c>
      <c r="L795">
        <f t="array" ref="L795:N797">SVDD(B795:J797)</f>
        <v>2.9282180024358824</v>
      </c>
      <c r="M795">
        <v>0</v>
      </c>
      <c r="N795">
        <v>0</v>
      </c>
      <c r="P795">
        <f t="shared" ref="P795" si="211">MAX(L795,M796,N797)/MIN(L795,M796,N797)</f>
        <v>4.2315270089654948</v>
      </c>
    </row>
    <row r="796" spans="1:16">
      <c r="A796" s="171" t="s">
        <v>412</v>
      </c>
      <c r="B796" s="172">
        <v>2.4772611105726599</v>
      </c>
      <c r="C796" s="172">
        <v>-1.0605572692523213</v>
      </c>
      <c r="D796" s="172">
        <v>-3.9812674620544719E-2</v>
      </c>
      <c r="E796" s="171">
        <v>0</v>
      </c>
      <c r="F796" s="171">
        <f>-$L$1</f>
        <v>-1.4990492230334603E-2</v>
      </c>
      <c r="G796" s="172">
        <v>0</v>
      </c>
      <c r="H796" s="172">
        <v>0</v>
      </c>
      <c r="I796" s="178">
        <f>-$N$1</f>
        <v>-4.7716218756768064E-3</v>
      </c>
      <c r="J796" s="171">
        <v>0</v>
      </c>
      <c r="L796">
        <v>0</v>
      </c>
      <c r="M796">
        <v>2.1225070054284982</v>
      </c>
      <c r="N796">
        <v>0</v>
      </c>
    </row>
    <row r="797" spans="1:16">
      <c r="A797" s="171"/>
      <c r="B797" s="172">
        <v>1.0097006711160386</v>
      </c>
      <c r="C797" s="172">
        <v>0.26302086313966178</v>
      </c>
      <c r="D797" s="172">
        <v>-0.76545275918666766</v>
      </c>
      <c r="E797" s="171">
        <v>0</v>
      </c>
      <c r="F797" s="172">
        <v>0</v>
      </c>
      <c r="G797" s="171">
        <f>-$L$1</f>
        <v>-1.4990492230334603E-2</v>
      </c>
      <c r="H797" s="172">
        <v>0</v>
      </c>
      <c r="I797" s="172">
        <v>0</v>
      </c>
      <c r="J797" s="178">
        <f>-$N$1</f>
        <v>-4.7716218756768064E-3</v>
      </c>
      <c r="L797">
        <v>0</v>
      </c>
      <c r="M797">
        <v>0</v>
      </c>
      <c r="N797">
        <v>0.69200031010832663</v>
      </c>
    </row>
    <row r="798" spans="1:16">
      <c r="A798" s="171"/>
      <c r="B798" s="172"/>
      <c r="C798" s="172"/>
      <c r="D798" s="172"/>
      <c r="E798" s="171"/>
      <c r="F798" s="171"/>
      <c r="G798" s="171"/>
      <c r="H798" s="171"/>
      <c r="I798" s="171"/>
      <c r="J798" s="171"/>
    </row>
    <row r="799" spans="1:16">
      <c r="A799" s="171"/>
      <c r="B799" s="172">
        <v>-0.21871711292247331</v>
      </c>
      <c r="C799" s="172">
        <v>-2.1363371502498802</v>
      </c>
      <c r="D799" s="172">
        <v>-8.9790398854103559E-2</v>
      </c>
      <c r="E799" s="171">
        <f>-$L$1</f>
        <v>-1.4990492230334603E-2</v>
      </c>
      <c r="F799" s="172">
        <v>0</v>
      </c>
      <c r="G799" s="172">
        <v>0</v>
      </c>
      <c r="H799" s="178">
        <f>-$N$1</f>
        <v>-4.7716218756768064E-3</v>
      </c>
      <c r="I799" s="171">
        <v>0</v>
      </c>
      <c r="J799" s="171">
        <v>0</v>
      </c>
      <c r="L799">
        <f t="array" ref="L799:N801">SVDD(B799:J801)</f>
        <v>2.2471012796780809</v>
      </c>
      <c r="M799">
        <v>0</v>
      </c>
      <c r="N799">
        <v>0</v>
      </c>
      <c r="P799">
        <f t="shared" ref="P799" si="212">MAX(L799,M800,N801)/MIN(L799,M800,N801)</f>
        <v>3.7418087063224883</v>
      </c>
    </row>
    <row r="800" spans="1:16">
      <c r="A800" s="171" t="s">
        <v>413</v>
      </c>
      <c r="B800" s="172">
        <v>1.6188303733889171</v>
      </c>
      <c r="C800" s="172">
        <v>-1.9594494251009342E-2</v>
      </c>
      <c r="D800" s="172">
        <v>-7.7422792294721043E-2</v>
      </c>
      <c r="E800" s="171">
        <v>0</v>
      </c>
      <c r="F800" s="171">
        <f>-$L$1</f>
        <v>-1.4990492230334603E-2</v>
      </c>
      <c r="G800" s="172">
        <v>0</v>
      </c>
      <c r="H800" s="172">
        <v>0</v>
      </c>
      <c r="I800" s="178">
        <f>-$N$1</f>
        <v>-4.7716218756768064E-3</v>
      </c>
      <c r="J800" s="171">
        <v>0</v>
      </c>
      <c r="L800">
        <v>0</v>
      </c>
      <c r="M800">
        <v>1.87404661518106</v>
      </c>
      <c r="N800">
        <v>0</v>
      </c>
    </row>
    <row r="801" spans="1:16">
      <c r="A801" s="171"/>
      <c r="B801" s="172">
        <v>1.0097006711160386</v>
      </c>
      <c r="C801" s="172">
        <v>0.26302086313966178</v>
      </c>
      <c r="D801" s="172">
        <v>-0.76545275918666766</v>
      </c>
      <c r="E801" s="171">
        <v>0</v>
      </c>
      <c r="F801" s="172">
        <v>0</v>
      </c>
      <c r="G801" s="171">
        <f>-$L$1</f>
        <v>-1.4990492230334603E-2</v>
      </c>
      <c r="H801" s="172">
        <v>0</v>
      </c>
      <c r="I801" s="172">
        <v>0</v>
      </c>
      <c r="J801" s="178">
        <f>-$N$1</f>
        <v>-4.7716218756768064E-3</v>
      </c>
      <c r="L801">
        <v>0</v>
      </c>
      <c r="M801">
        <v>0</v>
      </c>
      <c r="N801">
        <v>0.60053879180974201</v>
      </c>
    </row>
    <row r="802" spans="1:16">
      <c r="A802" s="171"/>
      <c r="B802" s="172"/>
      <c r="C802" s="172"/>
      <c r="D802" s="172"/>
      <c r="E802" s="171"/>
      <c r="F802" s="171"/>
      <c r="G802" s="171"/>
      <c r="H802" s="171"/>
      <c r="I802" s="171"/>
      <c r="J802" s="171"/>
    </row>
    <row r="803" spans="1:16">
      <c r="A803" s="171"/>
      <c r="B803" s="172">
        <v>2.0770709056556562</v>
      </c>
      <c r="C803" s="172">
        <v>-2.1445635165533226</v>
      </c>
      <c r="D803" s="172">
        <v>-5.6653180844775664E-2</v>
      </c>
      <c r="E803" s="171">
        <f>-$L$1</f>
        <v>-1.4990492230334603E-2</v>
      </c>
      <c r="F803" s="172">
        <v>0</v>
      </c>
      <c r="G803" s="172">
        <v>0</v>
      </c>
      <c r="H803" s="178">
        <f>-$N$1</f>
        <v>-4.7716218756768064E-3</v>
      </c>
      <c r="I803" s="171">
        <v>0</v>
      </c>
      <c r="J803" s="171">
        <v>0</v>
      </c>
      <c r="L803">
        <f t="array" ref="L803:N805">SVDD(B803:J805)</f>
        <v>3.9738775491775118</v>
      </c>
      <c r="M803">
        <v>0</v>
      </c>
      <c r="N803">
        <v>0</v>
      </c>
      <c r="P803">
        <f t="shared" ref="P803" si="213">MAX(L803,M804,N805)/MIN(L803,M804,N805)</f>
        <v>80.453484336355473</v>
      </c>
    </row>
    <row r="804" spans="1:16">
      <c r="A804" s="171" t="s">
        <v>414</v>
      </c>
      <c r="B804" s="172">
        <v>-0.36768865949079377</v>
      </c>
      <c r="C804" s="172">
        <v>-1.2890795247765441</v>
      </c>
      <c r="D804" s="172">
        <v>-0.10954983766095538</v>
      </c>
      <c r="E804" s="171">
        <v>0</v>
      </c>
      <c r="F804" s="171">
        <f>-$L$1</f>
        <v>-1.4990492230334603E-2</v>
      </c>
      <c r="G804" s="172">
        <v>0</v>
      </c>
      <c r="H804" s="172">
        <v>0</v>
      </c>
      <c r="I804" s="178">
        <f>-$N$1</f>
        <v>-4.7716218756768064E-3</v>
      </c>
      <c r="J804" s="171">
        <v>0</v>
      </c>
      <c r="L804">
        <v>0</v>
      </c>
      <c r="M804">
        <v>1.4816535638872284</v>
      </c>
      <c r="N804">
        <v>0</v>
      </c>
    </row>
    <row r="805" spans="1:16">
      <c r="A805" s="171"/>
      <c r="B805" s="172">
        <v>2.4772611105726599</v>
      </c>
      <c r="C805" s="172">
        <v>-1.0605572692523213</v>
      </c>
      <c r="D805" s="172">
        <v>-3.9812674620544719E-2</v>
      </c>
      <c r="E805" s="171">
        <v>0</v>
      </c>
      <c r="F805" s="172">
        <v>0</v>
      </c>
      <c r="G805" s="171">
        <f>-$L$1</f>
        <v>-1.4990492230334603E-2</v>
      </c>
      <c r="H805" s="172">
        <v>0</v>
      </c>
      <c r="I805" s="172">
        <v>0</v>
      </c>
      <c r="J805" s="178">
        <f>-$N$1</f>
        <v>-4.7716218756768064E-3</v>
      </c>
      <c r="L805">
        <v>0</v>
      </c>
      <c r="M805">
        <v>0</v>
      </c>
      <c r="N805">
        <v>4.9393479747424543E-2</v>
      </c>
    </row>
    <row r="806" spans="1:16">
      <c r="A806" s="171"/>
      <c r="B806" s="172"/>
      <c r="C806" s="172"/>
      <c r="D806" s="172"/>
      <c r="E806" s="171"/>
      <c r="F806" s="171"/>
      <c r="G806" s="171"/>
      <c r="H806" s="171"/>
      <c r="I806" s="171"/>
      <c r="J806" s="171"/>
    </row>
    <row r="807" spans="1:16">
      <c r="A807" s="171"/>
      <c r="B807" s="172">
        <v>2.0770709056556562</v>
      </c>
      <c r="C807" s="172">
        <v>-2.1445635165533226</v>
      </c>
      <c r="D807" s="172">
        <v>-5.6653180844775664E-2</v>
      </c>
      <c r="E807" s="171">
        <f>-$L$1</f>
        <v>-1.4990492230334603E-2</v>
      </c>
      <c r="F807" s="172">
        <v>0</v>
      </c>
      <c r="G807" s="172">
        <v>0</v>
      </c>
      <c r="H807" s="178">
        <f>-$N$1</f>
        <v>-4.7716218756768064E-3</v>
      </c>
      <c r="I807" s="171">
        <v>0</v>
      </c>
      <c r="J807" s="171">
        <v>0</v>
      </c>
      <c r="L807">
        <f t="array" ref="L807:N809">SVDD(B807:J809)</f>
        <v>3.2723713355467705</v>
      </c>
      <c r="M807">
        <v>0</v>
      </c>
      <c r="N807">
        <v>0</v>
      </c>
      <c r="P807">
        <f t="shared" ref="P807" si="214">MAX(L807,M808,N809)/MIN(L807,M808,N809)</f>
        <v>32.659654733922437</v>
      </c>
    </row>
    <row r="808" spans="1:16">
      <c r="A808" s="171" t="s">
        <v>415</v>
      </c>
      <c r="B808" s="172">
        <v>-0.36768865949079377</v>
      </c>
      <c r="C808" s="172">
        <v>-1.2890795247765441</v>
      </c>
      <c r="D808" s="172">
        <v>-0.10954983766095538</v>
      </c>
      <c r="E808" s="171">
        <v>0</v>
      </c>
      <c r="F808" s="171">
        <f>-$L$1</f>
        <v>-1.4990492230334603E-2</v>
      </c>
      <c r="G808" s="172">
        <v>0</v>
      </c>
      <c r="H808" s="172">
        <v>0</v>
      </c>
      <c r="I808" s="178">
        <f>-$N$1</f>
        <v>-4.7716218756768064E-3</v>
      </c>
      <c r="J808" s="171">
        <v>0</v>
      </c>
      <c r="L808">
        <v>0</v>
      </c>
      <c r="M808">
        <v>1.6232026926150911</v>
      </c>
      <c r="N808">
        <v>0</v>
      </c>
    </row>
    <row r="809" spans="1:16">
      <c r="A809" s="171"/>
      <c r="B809" s="172">
        <v>1.6188303733889171</v>
      </c>
      <c r="C809" s="172">
        <v>-1.9594494251009342E-2</v>
      </c>
      <c r="D809" s="172">
        <v>-7.7422792294721043E-2</v>
      </c>
      <c r="E809" s="171">
        <v>0</v>
      </c>
      <c r="F809" s="172">
        <v>0</v>
      </c>
      <c r="G809" s="171">
        <f>-$L$1</f>
        <v>-1.4990492230334603E-2</v>
      </c>
      <c r="H809" s="172">
        <v>0</v>
      </c>
      <c r="I809" s="172">
        <v>0</v>
      </c>
      <c r="J809" s="178">
        <f>-$N$1</f>
        <v>-4.7716218756768064E-3</v>
      </c>
      <c r="L809">
        <v>0</v>
      </c>
      <c r="M809">
        <v>0</v>
      </c>
      <c r="N809">
        <v>0.10019613992268794</v>
      </c>
    </row>
    <row r="810" spans="1:16">
      <c r="A810" s="171"/>
      <c r="B810" s="172"/>
      <c r="C810" s="172"/>
      <c r="D810" s="172"/>
      <c r="E810" s="171"/>
      <c r="F810" s="171"/>
      <c r="G810" s="171"/>
      <c r="H810" s="171"/>
      <c r="I810" s="171"/>
      <c r="J810" s="171"/>
    </row>
    <row r="811" spans="1:16">
      <c r="A811" s="171"/>
      <c r="B811" s="172">
        <v>2.0770709056556562</v>
      </c>
      <c r="C811" s="172">
        <v>-2.1445635165533226</v>
      </c>
      <c r="D811" s="172">
        <v>-5.6653180844775664E-2</v>
      </c>
      <c r="E811" s="171">
        <f>-$L$1</f>
        <v>-1.4990492230334603E-2</v>
      </c>
      <c r="F811" s="172">
        <v>0</v>
      </c>
      <c r="G811" s="172">
        <v>0</v>
      </c>
      <c r="H811" s="178">
        <f>-$N$1</f>
        <v>-4.7716218756768064E-3</v>
      </c>
      <c r="I811" s="171">
        <v>0</v>
      </c>
      <c r="J811" s="171">
        <v>0</v>
      </c>
      <c r="L811">
        <f t="array" ref="L811:N813">SVDD(B811:J813)</f>
        <v>3.1114058331552146</v>
      </c>
      <c r="M811">
        <v>0</v>
      </c>
      <c r="N811">
        <v>0</v>
      </c>
      <c r="P811">
        <f t="shared" ref="P811" si="215">MAX(L811,M812,N813)/MIN(L811,M812,N813)</f>
        <v>5.1534648569153383</v>
      </c>
    </row>
    <row r="812" spans="1:16">
      <c r="A812" s="171" t="s">
        <v>416</v>
      </c>
      <c r="B812" s="172">
        <v>-0.36768865949079377</v>
      </c>
      <c r="C812" s="172">
        <v>-1.2890795247765441</v>
      </c>
      <c r="D812" s="172">
        <v>-0.10954983766095538</v>
      </c>
      <c r="E812" s="171">
        <v>0</v>
      </c>
      <c r="F812" s="171">
        <f>-$L$1</f>
        <v>-1.4990492230334603E-2</v>
      </c>
      <c r="G812" s="172">
        <v>0</v>
      </c>
      <c r="H812" s="172">
        <v>0</v>
      </c>
      <c r="I812" s="178">
        <f>-$N$1</f>
        <v>-4.7716218756768064E-3</v>
      </c>
      <c r="J812" s="171">
        <v>0</v>
      </c>
      <c r="L812">
        <v>0</v>
      </c>
      <c r="M812">
        <v>1.5347583151024664</v>
      </c>
      <c r="N812">
        <v>0</v>
      </c>
    </row>
    <row r="813" spans="1:16">
      <c r="A813" s="171"/>
      <c r="B813" s="172">
        <v>1.0097006711160386</v>
      </c>
      <c r="C813" s="172">
        <v>0.26302086313966178</v>
      </c>
      <c r="D813" s="172">
        <v>-0.76545275918666766</v>
      </c>
      <c r="E813" s="171">
        <v>0</v>
      </c>
      <c r="F813" s="172">
        <v>0</v>
      </c>
      <c r="G813" s="171">
        <f>-$L$1</f>
        <v>-1.4990492230334603E-2</v>
      </c>
      <c r="H813" s="172">
        <v>0</v>
      </c>
      <c r="I813" s="172">
        <v>0</v>
      </c>
      <c r="J813" s="178">
        <f>-$N$1</f>
        <v>-4.7716218756768064E-3</v>
      </c>
      <c r="L813">
        <v>0</v>
      </c>
      <c r="M813">
        <v>0</v>
      </c>
      <c r="N813">
        <v>0.60375027666678993</v>
      </c>
    </row>
    <row r="814" spans="1:16">
      <c r="A814" s="171"/>
      <c r="B814" s="172"/>
      <c r="C814" s="172"/>
      <c r="D814" s="172"/>
      <c r="E814" s="171"/>
      <c r="F814" s="171"/>
      <c r="G814" s="171"/>
      <c r="H814" s="171"/>
      <c r="I814" s="171"/>
      <c r="J814" s="171"/>
    </row>
    <row r="815" spans="1:16">
      <c r="A815" s="171"/>
      <c r="B815" s="172">
        <v>2.0770709056556562</v>
      </c>
      <c r="C815" s="172">
        <v>-2.1445635165533226</v>
      </c>
      <c r="D815" s="172">
        <v>-5.6653180844775664E-2</v>
      </c>
      <c r="E815" s="171">
        <f>-$L$1</f>
        <v>-1.4990492230334603E-2</v>
      </c>
      <c r="F815" s="172">
        <v>0</v>
      </c>
      <c r="G815" s="172">
        <v>0</v>
      </c>
      <c r="H815" s="178">
        <f>-$N$1</f>
        <v>-4.7716218756768064E-3</v>
      </c>
      <c r="I815" s="171">
        <v>0</v>
      </c>
      <c r="J815" s="171">
        <v>0</v>
      </c>
      <c r="L815">
        <f t="array" ref="L815:N817">SVDD(B815:J817)</f>
        <v>4.1728238661511821</v>
      </c>
      <c r="M815">
        <v>0</v>
      </c>
      <c r="N815">
        <v>0</v>
      </c>
      <c r="P815">
        <f t="shared" ref="P815" si="216">MAX(L815,M816,N817)/MIN(L815,M816,N817)</f>
        <v>96.363900682167497</v>
      </c>
    </row>
    <row r="816" spans="1:16">
      <c r="A816" s="171" t="s">
        <v>417</v>
      </c>
      <c r="B816" s="172">
        <v>2.4772611105726599</v>
      </c>
      <c r="C816" s="172">
        <v>-1.0605572692523213</v>
      </c>
      <c r="D816" s="172">
        <v>-3.9812674620544719E-2</v>
      </c>
      <c r="E816" s="171">
        <v>0</v>
      </c>
      <c r="F816" s="171">
        <f>-$L$1</f>
        <v>-1.4990492230334603E-2</v>
      </c>
      <c r="G816" s="172">
        <v>0</v>
      </c>
      <c r="H816" s="172">
        <v>0</v>
      </c>
      <c r="I816" s="178">
        <f>-$N$1</f>
        <v>-4.7716218756768064E-3</v>
      </c>
      <c r="J816" s="171">
        <v>0</v>
      </c>
      <c r="L816">
        <v>0</v>
      </c>
      <c r="M816">
        <v>1.1803277085468447</v>
      </c>
      <c r="N816">
        <v>0</v>
      </c>
    </row>
    <row r="817" spans="1:16">
      <c r="A817" s="171"/>
      <c r="B817" s="172">
        <v>1.6188303733889171</v>
      </c>
      <c r="C817" s="172">
        <v>-1.9594494251009342E-2</v>
      </c>
      <c r="D817" s="172">
        <v>-7.7422792294721043E-2</v>
      </c>
      <c r="E817" s="171">
        <v>0</v>
      </c>
      <c r="F817" s="172">
        <v>0</v>
      </c>
      <c r="G817" s="171">
        <f>-$L$1</f>
        <v>-1.4990492230334603E-2</v>
      </c>
      <c r="H817" s="172">
        <v>0</v>
      </c>
      <c r="I817" s="172">
        <v>0</v>
      </c>
      <c r="J817" s="178">
        <f>-$N$1</f>
        <v>-4.7716218756768064E-3</v>
      </c>
      <c r="L817">
        <v>0</v>
      </c>
      <c r="M817">
        <v>0</v>
      </c>
      <c r="N817">
        <v>4.3302770400652522E-2</v>
      </c>
    </row>
    <row r="818" spans="1:16">
      <c r="A818" s="171"/>
      <c r="B818" s="172"/>
      <c r="C818" s="172"/>
      <c r="D818" s="172"/>
      <c r="E818" s="171"/>
      <c r="F818" s="171"/>
      <c r="G818" s="171"/>
      <c r="H818" s="171"/>
      <c r="I818" s="171"/>
      <c r="J818" s="171"/>
    </row>
    <row r="819" spans="1:16">
      <c r="A819" s="171"/>
      <c r="B819" s="172">
        <v>2.0770709056556562</v>
      </c>
      <c r="C819" s="172">
        <v>-2.1445635165533226</v>
      </c>
      <c r="D819" s="172">
        <v>-5.6653180844775664E-2</v>
      </c>
      <c r="E819" s="171">
        <f>-$L$1</f>
        <v>-1.4990492230334603E-2</v>
      </c>
      <c r="F819" s="172">
        <v>0</v>
      </c>
      <c r="G819" s="172">
        <v>0</v>
      </c>
      <c r="H819" s="178">
        <f>-$N$1</f>
        <v>-4.7716218756768064E-3</v>
      </c>
      <c r="I819" s="171">
        <v>0</v>
      </c>
      <c r="J819" s="171">
        <v>0</v>
      </c>
      <c r="L819">
        <f t="array" ref="L819:N821">SVDD(B819:J821)</f>
        <v>4.0071623023289185</v>
      </c>
      <c r="M819">
        <v>0</v>
      </c>
      <c r="N819">
        <v>0</v>
      </c>
      <c r="P819">
        <f t="shared" ref="P819" si="217">MAX(L819,M820,N821)/MIN(L819,M820,N821)</f>
        <v>8.4985165396133606</v>
      </c>
    </row>
    <row r="820" spans="1:16">
      <c r="A820" s="171" t="s">
        <v>418</v>
      </c>
      <c r="B820" s="172">
        <v>2.4772611105726599</v>
      </c>
      <c r="C820" s="172">
        <v>-1.0605572692523213</v>
      </c>
      <c r="D820" s="172">
        <v>-3.9812674620544719E-2</v>
      </c>
      <c r="E820" s="171">
        <v>0</v>
      </c>
      <c r="F820" s="171">
        <f>-$L$1</f>
        <v>-1.4990492230334603E-2</v>
      </c>
      <c r="G820" s="172">
        <v>0</v>
      </c>
      <c r="H820" s="172">
        <v>0</v>
      </c>
      <c r="I820" s="178">
        <f>-$N$1</f>
        <v>-4.7716218756768064E-3</v>
      </c>
      <c r="J820" s="171">
        <v>0</v>
      </c>
      <c r="L820">
        <v>0</v>
      </c>
      <c r="M820">
        <v>1.2551639794160805</v>
      </c>
      <c r="N820">
        <v>0</v>
      </c>
    </row>
    <row r="821" spans="1:16">
      <c r="A821" s="171"/>
      <c r="B821" s="172">
        <v>1.0097006711160386</v>
      </c>
      <c r="C821" s="172">
        <v>0.26302086313966178</v>
      </c>
      <c r="D821" s="172">
        <v>-0.76545275918666766</v>
      </c>
      <c r="E821" s="171">
        <v>0</v>
      </c>
      <c r="F821" s="172">
        <v>0</v>
      </c>
      <c r="G821" s="171">
        <f>-$L$1</f>
        <v>-1.4990492230334603E-2</v>
      </c>
      <c r="H821" s="172">
        <v>0</v>
      </c>
      <c r="I821" s="172">
        <v>0</v>
      </c>
      <c r="J821" s="178">
        <f>-$N$1</f>
        <v>-4.7716218756768064E-3</v>
      </c>
      <c r="L821">
        <v>0</v>
      </c>
      <c r="M821">
        <v>0</v>
      </c>
      <c r="N821">
        <v>0.47151314981275827</v>
      </c>
    </row>
    <row r="822" spans="1:16">
      <c r="A822" s="171"/>
      <c r="B822" s="172"/>
      <c r="C822" s="172"/>
      <c r="D822" s="172"/>
      <c r="E822" s="171"/>
      <c r="F822" s="171"/>
      <c r="G822" s="171"/>
      <c r="H822" s="171"/>
      <c r="I822" s="171"/>
      <c r="J822" s="171"/>
    </row>
    <row r="823" spans="1:16">
      <c r="A823" s="171"/>
      <c r="B823" s="172">
        <v>2.0770709056556562</v>
      </c>
      <c r="C823" s="172">
        <v>-2.1445635165533226</v>
      </c>
      <c r="D823" s="172">
        <v>-5.6653180844775664E-2</v>
      </c>
      <c r="E823" s="171">
        <f>-$L$1</f>
        <v>-1.4990492230334603E-2</v>
      </c>
      <c r="F823" s="172">
        <v>0</v>
      </c>
      <c r="G823" s="172">
        <v>0</v>
      </c>
      <c r="H823" s="178">
        <f>-$N$1</f>
        <v>-4.7716218756768064E-3</v>
      </c>
      <c r="I823" s="171">
        <v>0</v>
      </c>
      <c r="J823" s="171">
        <v>0</v>
      </c>
      <c r="L823">
        <f t="array" ref="L823:N825">SVDD(B823:J825)</f>
        <v>3.3018582404880177</v>
      </c>
      <c r="M823">
        <v>0</v>
      </c>
      <c r="N823">
        <v>0</v>
      </c>
      <c r="P823">
        <f t="shared" ref="P823" si="218">MAX(L823,M824,N825)/MIN(L823,M824,N825)</f>
        <v>6.3892566317216408</v>
      </c>
    </row>
    <row r="824" spans="1:16">
      <c r="A824" s="171" t="s">
        <v>419</v>
      </c>
      <c r="B824" s="172">
        <v>1.6188303733889171</v>
      </c>
      <c r="C824" s="172">
        <v>-1.9594494251009342E-2</v>
      </c>
      <c r="D824" s="172">
        <v>-7.7422792294721043E-2</v>
      </c>
      <c r="E824" s="171">
        <v>0</v>
      </c>
      <c r="F824" s="171">
        <f>-$L$1</f>
        <v>-1.4990492230334603E-2</v>
      </c>
      <c r="G824" s="172">
        <v>0</v>
      </c>
      <c r="H824" s="172">
        <v>0</v>
      </c>
      <c r="I824" s="178">
        <f>-$N$1</f>
        <v>-4.7716218756768064E-3</v>
      </c>
      <c r="J824" s="171">
        <v>0</v>
      </c>
      <c r="L824">
        <v>0</v>
      </c>
      <c r="M824">
        <v>1.4316351702603267</v>
      </c>
      <c r="N824">
        <v>0</v>
      </c>
    </row>
    <row r="825" spans="1:16">
      <c r="A825" s="171"/>
      <c r="B825" s="172">
        <v>1.0097006711160386</v>
      </c>
      <c r="C825" s="172">
        <v>0.26302086313966178</v>
      </c>
      <c r="D825" s="172">
        <v>-0.76545275918666766</v>
      </c>
      <c r="E825" s="171">
        <v>0</v>
      </c>
      <c r="F825" s="172">
        <v>0</v>
      </c>
      <c r="G825" s="171">
        <f>-$L$1</f>
        <v>-1.4990492230334603E-2</v>
      </c>
      <c r="H825" s="172">
        <v>0</v>
      </c>
      <c r="I825" s="172">
        <v>0</v>
      </c>
      <c r="J825" s="178">
        <f>-$N$1</f>
        <v>-4.7716218756768064E-3</v>
      </c>
      <c r="L825">
        <v>0</v>
      </c>
      <c r="M825">
        <v>0</v>
      </c>
      <c r="N825">
        <v>0.5167828482729615</v>
      </c>
    </row>
    <row r="826" spans="1:16">
      <c r="A826" s="171"/>
      <c r="B826" s="172"/>
      <c r="C826" s="172"/>
      <c r="D826" s="172"/>
      <c r="E826" s="171"/>
      <c r="F826" s="171"/>
      <c r="G826" s="171"/>
      <c r="H826" s="171"/>
      <c r="I826" s="171"/>
      <c r="J826" s="171"/>
    </row>
    <row r="827" spans="1:16">
      <c r="A827" s="171"/>
      <c r="B827" s="172">
        <v>-0.36768865949079377</v>
      </c>
      <c r="C827" s="172">
        <v>-1.2890795247765441</v>
      </c>
      <c r="D827" s="172">
        <v>-0.10954983766095538</v>
      </c>
      <c r="E827" s="171">
        <f>-$L$1</f>
        <v>-1.4990492230334603E-2</v>
      </c>
      <c r="F827" s="172">
        <v>0</v>
      </c>
      <c r="G827" s="172">
        <v>0</v>
      </c>
      <c r="H827" s="178">
        <f>-$N$1</f>
        <v>-4.7716218756768064E-3</v>
      </c>
      <c r="I827" s="171">
        <v>0</v>
      </c>
      <c r="J827" s="171">
        <v>0</v>
      </c>
      <c r="L827">
        <f t="array" ref="L827:N829">SVDD(B827:J829)</f>
        <v>3.0983605895749506</v>
      </c>
      <c r="M827">
        <v>0</v>
      </c>
      <c r="N827">
        <v>0</v>
      </c>
      <c r="P827">
        <f t="shared" ref="P827" si="219">MAX(L827,M828,N829)/MIN(L827,M828,N829)</f>
        <v>36.221730805963183</v>
      </c>
    </row>
    <row r="828" spans="1:16">
      <c r="A828" s="171" t="s">
        <v>420</v>
      </c>
      <c r="B828" s="172">
        <v>2.4772611105726599</v>
      </c>
      <c r="C828" s="172">
        <v>-1.0605572692523213</v>
      </c>
      <c r="D828" s="172">
        <v>-3.9812674620544719E-2</v>
      </c>
      <c r="E828" s="171">
        <v>0</v>
      </c>
      <c r="F828" s="171">
        <f>-$L$1</f>
        <v>-1.4990492230334603E-2</v>
      </c>
      <c r="G828" s="172">
        <v>0</v>
      </c>
      <c r="H828" s="172">
        <v>0</v>
      </c>
      <c r="I828" s="178">
        <f>-$N$1</f>
        <v>-4.7716218756768064E-3</v>
      </c>
      <c r="J828" s="171">
        <v>0</v>
      </c>
      <c r="L828">
        <v>0</v>
      </c>
      <c r="M828">
        <v>1.4466128587773488</v>
      </c>
      <c r="N828">
        <v>0</v>
      </c>
    </row>
    <row r="829" spans="1:16">
      <c r="A829" s="171"/>
      <c r="B829" s="172">
        <v>1.6188303733889171</v>
      </c>
      <c r="C829" s="172">
        <v>-1.9594494251009342E-2</v>
      </c>
      <c r="D829" s="172">
        <v>-7.7422792294721043E-2</v>
      </c>
      <c r="E829" s="171">
        <v>0</v>
      </c>
      <c r="F829" s="172">
        <v>0</v>
      </c>
      <c r="G829" s="171">
        <f>-$L$1</f>
        <v>-1.4990492230334603E-2</v>
      </c>
      <c r="H829" s="172">
        <v>0</v>
      </c>
      <c r="I829" s="172">
        <v>0</v>
      </c>
      <c r="J829" s="178">
        <f>-$N$1</f>
        <v>-4.7716218756768064E-3</v>
      </c>
      <c r="L829">
        <v>0</v>
      </c>
      <c r="M829">
        <v>0</v>
      </c>
      <c r="N829">
        <v>8.5538722767628417E-2</v>
      </c>
    </row>
    <row r="830" spans="1:16">
      <c r="A830" s="171"/>
      <c r="B830" s="172"/>
      <c r="C830" s="172"/>
      <c r="D830" s="172"/>
      <c r="E830" s="171"/>
      <c r="F830" s="171"/>
      <c r="G830" s="171"/>
      <c r="H830" s="171"/>
      <c r="I830" s="171"/>
      <c r="J830" s="171"/>
    </row>
    <row r="831" spans="1:16">
      <c r="A831" s="171"/>
      <c r="B831" s="172">
        <v>-0.36768865949079377</v>
      </c>
      <c r="C831" s="172">
        <v>-1.2890795247765441</v>
      </c>
      <c r="D831" s="172">
        <v>-0.10954983766095538</v>
      </c>
      <c r="E831" s="171">
        <f>-$L$1</f>
        <v>-1.4990492230334603E-2</v>
      </c>
      <c r="F831" s="172">
        <v>0</v>
      </c>
      <c r="G831" s="172">
        <v>0</v>
      </c>
      <c r="H831" s="178">
        <f>-$N$1</f>
        <v>-4.7716218756768064E-3</v>
      </c>
      <c r="I831" s="171">
        <v>0</v>
      </c>
      <c r="J831" s="171">
        <v>0</v>
      </c>
      <c r="L831">
        <f t="array" ref="L831:N833">SVDD(B831:J833)</f>
        <v>2.8401983069712569</v>
      </c>
      <c r="M831">
        <v>0</v>
      </c>
      <c r="N831">
        <v>0</v>
      </c>
      <c r="P831">
        <f t="shared" ref="P831" si="220">MAX(L831,M832,N833)/MIN(L831,M832,N833)</f>
        <v>4.1620508944134142</v>
      </c>
    </row>
    <row r="832" spans="1:16">
      <c r="A832" s="171" t="s">
        <v>421</v>
      </c>
      <c r="B832" s="172">
        <v>2.4772611105726599</v>
      </c>
      <c r="C832" s="172">
        <v>-1.0605572692523213</v>
      </c>
      <c r="D832" s="172">
        <v>-3.9812674620544719E-2</v>
      </c>
      <c r="E832" s="171">
        <v>0</v>
      </c>
      <c r="F832" s="171">
        <f>-$L$1</f>
        <v>-1.4990492230334603E-2</v>
      </c>
      <c r="G832" s="172">
        <v>0</v>
      </c>
      <c r="H832" s="172">
        <v>0</v>
      </c>
      <c r="I832" s="178">
        <f>-$N$1</f>
        <v>-4.7716218756768064E-3</v>
      </c>
      <c r="J832" s="171">
        <v>0</v>
      </c>
      <c r="L832">
        <v>0</v>
      </c>
      <c r="M832">
        <v>1.4883031567378413</v>
      </c>
      <c r="N832">
        <v>0</v>
      </c>
    </row>
    <row r="833" spans="1:16">
      <c r="A833" s="171"/>
      <c r="B833" s="172">
        <v>1.0097006711160386</v>
      </c>
      <c r="C833" s="172">
        <v>0.26302086313966178</v>
      </c>
      <c r="D833" s="172">
        <v>-0.76545275918666766</v>
      </c>
      <c r="E833" s="171">
        <v>0</v>
      </c>
      <c r="F833" s="172">
        <v>0</v>
      </c>
      <c r="G833" s="171">
        <f>-$L$1</f>
        <v>-1.4990492230334603E-2</v>
      </c>
      <c r="H833" s="172">
        <v>0</v>
      </c>
      <c r="I833" s="172">
        <v>0</v>
      </c>
      <c r="J833" s="178">
        <f>-$N$1</f>
        <v>-4.7716218756768064E-3</v>
      </c>
      <c r="L833">
        <v>0</v>
      </c>
      <c r="M833">
        <v>0</v>
      </c>
      <c r="N833">
        <v>0.68240355032264577</v>
      </c>
    </row>
    <row r="834" spans="1:16">
      <c r="A834" s="171"/>
      <c r="B834" s="172"/>
      <c r="C834" s="172"/>
      <c r="D834" s="172"/>
      <c r="E834" s="171"/>
      <c r="F834" s="171"/>
      <c r="G834" s="171"/>
      <c r="H834" s="171"/>
      <c r="I834" s="171"/>
      <c r="J834" s="171"/>
    </row>
    <row r="835" spans="1:16">
      <c r="A835" s="171"/>
      <c r="B835" s="172">
        <v>-0.36768865949079377</v>
      </c>
      <c r="C835" s="172">
        <v>-1.2890795247765441</v>
      </c>
      <c r="D835" s="172">
        <v>-0.10954983766095538</v>
      </c>
      <c r="E835" s="171">
        <f>-$L$1</f>
        <v>-1.4990492230334603E-2</v>
      </c>
      <c r="F835" s="172">
        <v>0</v>
      </c>
      <c r="G835" s="172">
        <v>0</v>
      </c>
      <c r="H835" s="178">
        <f>-$N$1</f>
        <v>-4.7716218756768064E-3</v>
      </c>
      <c r="I835" s="171">
        <v>0</v>
      </c>
      <c r="J835" s="171">
        <v>0</v>
      </c>
      <c r="L835">
        <f t="array" ref="L835:N837">SVDD(B835:J837)</f>
        <v>2.0475557478925159</v>
      </c>
      <c r="M835">
        <v>0</v>
      </c>
      <c r="N835">
        <v>0</v>
      </c>
      <c r="P835">
        <f t="shared" ref="P835" si="221">MAX(L835,M836,N837)/MIN(L835,M836,N837)</f>
        <v>3.3403386916710178</v>
      </c>
    </row>
    <row r="836" spans="1:16">
      <c r="A836" s="171" t="s">
        <v>422</v>
      </c>
      <c r="B836" s="172">
        <v>1.6188303733889171</v>
      </c>
      <c r="C836" s="172">
        <v>-1.9594494251009342E-2</v>
      </c>
      <c r="D836" s="172">
        <v>-7.7422792294721043E-2</v>
      </c>
      <c r="E836" s="171">
        <v>0</v>
      </c>
      <c r="F836" s="171">
        <f>-$L$1</f>
        <v>-1.4990492230334603E-2</v>
      </c>
      <c r="G836" s="172">
        <v>0</v>
      </c>
      <c r="H836" s="172">
        <v>0</v>
      </c>
      <c r="I836" s="178">
        <f>-$N$1</f>
        <v>-4.7716218756768064E-3</v>
      </c>
      <c r="J836" s="171">
        <v>0</v>
      </c>
      <c r="L836">
        <v>0</v>
      </c>
      <c r="M836">
        <v>1.2421838762297164</v>
      </c>
      <c r="N836">
        <v>0</v>
      </c>
    </row>
    <row r="837" spans="1:16">
      <c r="A837" s="171"/>
      <c r="B837" s="172">
        <v>1.0097006711160386</v>
      </c>
      <c r="C837" s="172">
        <v>0.26302086313966178</v>
      </c>
      <c r="D837" s="172">
        <v>-0.76545275918666766</v>
      </c>
      <c r="E837" s="171">
        <v>0</v>
      </c>
      <c r="F837" s="172">
        <v>0</v>
      </c>
      <c r="G837" s="171">
        <f>-$L$1</f>
        <v>-1.4990492230334603E-2</v>
      </c>
      <c r="H837" s="172">
        <v>0</v>
      </c>
      <c r="I837" s="172">
        <v>0</v>
      </c>
      <c r="J837" s="178">
        <f>-$N$1</f>
        <v>-4.7716218756768064E-3</v>
      </c>
      <c r="L837">
        <v>0</v>
      </c>
      <c r="M837">
        <v>0</v>
      </c>
      <c r="N837">
        <v>0.6129784841872481</v>
      </c>
    </row>
    <row r="838" spans="1:16">
      <c r="A838" s="171"/>
      <c r="B838" s="172"/>
      <c r="C838" s="172"/>
      <c r="D838" s="172"/>
      <c r="E838" s="171"/>
      <c r="F838" s="171"/>
      <c r="G838" s="171"/>
      <c r="H838" s="171"/>
      <c r="I838" s="171"/>
      <c r="J838" s="171"/>
    </row>
    <row r="839" spans="1:16">
      <c r="A839" s="171"/>
      <c r="B839" s="172">
        <v>2.4772611105726599</v>
      </c>
      <c r="C839" s="172">
        <v>-1.0605572692523213</v>
      </c>
      <c r="D839" s="172">
        <v>-3.9812674620544719E-2</v>
      </c>
      <c r="E839" s="171">
        <f>-$L$1</f>
        <v>-1.4990492230334603E-2</v>
      </c>
      <c r="F839" s="172">
        <v>0</v>
      </c>
      <c r="G839" s="172">
        <v>0</v>
      </c>
      <c r="H839" s="178">
        <f>-$N$1</f>
        <v>-4.7716218756768064E-3</v>
      </c>
      <c r="I839" s="171">
        <v>0</v>
      </c>
      <c r="J839" s="171">
        <v>0</v>
      </c>
      <c r="L839">
        <f t="array" ref="L839:N841">SVDD(B839:J841)</f>
        <v>3.2382344187376697</v>
      </c>
      <c r="M839">
        <v>0</v>
      </c>
      <c r="N839">
        <v>0</v>
      </c>
      <c r="P839">
        <f t="shared" ref="P839" si="222">MAX(L839,M840,N841)/MIN(L839,M840,N841)</f>
        <v>8.7567047785689525</v>
      </c>
    </row>
    <row r="840" spans="1:16">
      <c r="A840" s="171" t="s">
        <v>423</v>
      </c>
      <c r="B840" s="172">
        <v>1.6188303733889171</v>
      </c>
      <c r="C840" s="172">
        <v>-1.9594494251009342E-2</v>
      </c>
      <c r="D840" s="172">
        <v>-7.7422792294721043E-2</v>
      </c>
      <c r="E840" s="171">
        <v>0</v>
      </c>
      <c r="F840" s="171">
        <f>-$L$1</f>
        <v>-1.4990492230334603E-2</v>
      </c>
      <c r="G840" s="172">
        <v>0</v>
      </c>
      <c r="H840" s="172">
        <v>0</v>
      </c>
      <c r="I840" s="178">
        <f>-$N$1</f>
        <v>-4.7716218756768064E-3</v>
      </c>
      <c r="J840" s="171">
        <v>0</v>
      </c>
      <c r="L840">
        <v>0</v>
      </c>
      <c r="M840">
        <v>0.97087618922624286</v>
      </c>
      <c r="N840">
        <v>0</v>
      </c>
    </row>
    <row r="841" spans="1:16">
      <c r="A841" s="171"/>
      <c r="B841" s="172">
        <v>1.0097006711160386</v>
      </c>
      <c r="C841" s="172">
        <v>0.26302086313966178</v>
      </c>
      <c r="D841" s="172">
        <v>-0.76545275918666766</v>
      </c>
      <c r="E841" s="171">
        <v>0</v>
      </c>
      <c r="F841" s="172">
        <v>0</v>
      </c>
      <c r="G841" s="171">
        <f>-$L$1</f>
        <v>-1.4990492230334603E-2</v>
      </c>
      <c r="H841" s="172">
        <v>0</v>
      </c>
      <c r="I841" s="172">
        <v>0</v>
      </c>
      <c r="J841" s="178">
        <f>-$N$1</f>
        <v>-4.7716218756768064E-3</v>
      </c>
      <c r="L841">
        <v>0</v>
      </c>
      <c r="M841">
        <v>0</v>
      </c>
      <c r="N841">
        <v>0.36980057003439049</v>
      </c>
    </row>
    <row r="842" spans="1:16">
      <c r="A842" s="171"/>
      <c r="B842" s="172"/>
      <c r="C842" s="172"/>
      <c r="D842" s="172"/>
      <c r="E842" s="171"/>
      <c r="F842" s="171"/>
      <c r="G842" s="171"/>
      <c r="H842" s="171"/>
      <c r="I842" s="171"/>
      <c r="J842" s="171"/>
    </row>
    <row r="843" spans="1:16">
      <c r="A843" s="171"/>
      <c r="B843" s="172">
        <v>-0.58367185674448252</v>
      </c>
      <c r="C843" s="172">
        <v>-2.0841504898711007</v>
      </c>
      <c r="D843" s="172">
        <v>-0.75171422039661484</v>
      </c>
      <c r="E843" s="171">
        <f>-$L$1</f>
        <v>-1.4990492230334603E-2</v>
      </c>
      <c r="F843" s="172">
        <v>0</v>
      </c>
      <c r="G843" s="172">
        <v>0</v>
      </c>
      <c r="H843" s="178">
        <f>-$N$1</f>
        <v>-4.7716218756768064E-3</v>
      </c>
      <c r="I843" s="171">
        <v>0</v>
      </c>
      <c r="J843" s="171">
        <v>0</v>
      </c>
      <c r="L843">
        <f t="array" ref="L843:N845">SVDD(B843:J845)</f>
        <v>3.8828574174296202</v>
      </c>
      <c r="M843">
        <v>0</v>
      </c>
      <c r="N843">
        <v>0</v>
      </c>
      <c r="P843">
        <f t="shared" ref="P843" si="223">MAX(L843,M844,N845)/MIN(L843,M844,N845)</f>
        <v>6.2939455466528083</v>
      </c>
    </row>
    <row r="844" spans="1:16">
      <c r="A844" s="171" t="s">
        <v>424</v>
      </c>
      <c r="B844" s="172">
        <v>-1.8375474863113905</v>
      </c>
      <c r="C844" s="172">
        <v>-2.1167426559988707</v>
      </c>
      <c r="D844" s="172">
        <v>-1.2367606559382516E-2</v>
      </c>
      <c r="E844" s="171">
        <v>0</v>
      </c>
      <c r="F844" s="171">
        <f>-$L$1</f>
        <v>-1.4990492230334603E-2</v>
      </c>
      <c r="G844" s="172">
        <v>0</v>
      </c>
      <c r="H844" s="172">
        <v>0</v>
      </c>
      <c r="I844" s="178">
        <f>-$N$1</f>
        <v>-4.7716218756768064E-3</v>
      </c>
      <c r="J844" s="171">
        <v>0</v>
      </c>
      <c r="L844">
        <v>0</v>
      </c>
      <c r="M844">
        <v>1.5415069870145151</v>
      </c>
      <c r="N844">
        <v>0</v>
      </c>
    </row>
    <row r="845" spans="1:16">
      <c r="A845" s="171"/>
      <c r="B845" s="172">
        <v>0.45824053226673911</v>
      </c>
      <c r="C845" s="172">
        <v>-2.124969022302313</v>
      </c>
      <c r="D845" s="172">
        <v>2.076961144994538E-2</v>
      </c>
      <c r="E845" s="171">
        <v>0</v>
      </c>
      <c r="F845" s="172">
        <v>0</v>
      </c>
      <c r="G845" s="171">
        <f>-$L$1</f>
        <v>-1.4990492230334603E-2</v>
      </c>
      <c r="H845" s="172">
        <v>0</v>
      </c>
      <c r="I845" s="172">
        <v>0</v>
      </c>
      <c r="J845" s="178">
        <f>-$N$1</f>
        <v>-4.7716218756768064E-3</v>
      </c>
      <c r="L845">
        <v>0</v>
      </c>
      <c r="M845">
        <v>0</v>
      </c>
      <c r="N845">
        <v>0.61691944880180416</v>
      </c>
    </row>
    <row r="846" spans="1:16">
      <c r="A846" s="171"/>
      <c r="B846" s="172"/>
      <c r="C846" s="172"/>
      <c r="D846" s="172"/>
      <c r="E846" s="171"/>
      <c r="F846" s="171"/>
      <c r="G846" s="171"/>
      <c r="H846" s="171"/>
      <c r="I846" s="171"/>
      <c r="J846" s="171"/>
    </row>
    <row r="847" spans="1:16">
      <c r="A847" s="171"/>
      <c r="B847" s="172">
        <v>-0.58367185674448252</v>
      </c>
      <c r="C847" s="172">
        <v>-2.0841504898711007</v>
      </c>
      <c r="D847" s="172">
        <v>-0.75171422039661484</v>
      </c>
      <c r="E847" s="171">
        <f>-$L$1</f>
        <v>-1.4990492230334603E-2</v>
      </c>
      <c r="F847" s="172">
        <v>0</v>
      </c>
      <c r="G847" s="172">
        <v>0</v>
      </c>
      <c r="H847" s="178">
        <f>-$N$1</f>
        <v>-4.7716218756768064E-3</v>
      </c>
      <c r="I847" s="171">
        <v>0</v>
      </c>
      <c r="J847" s="171">
        <v>0</v>
      </c>
      <c r="L847">
        <f t="array" ref="L847:N849">SVDD(B847:J849)</f>
        <v>4.1179414443950577</v>
      </c>
      <c r="M847">
        <v>0</v>
      </c>
      <c r="N847">
        <v>0</v>
      </c>
      <c r="P847">
        <f t="shared" ref="P847" si="224">MAX(L847,M848,N849)/MIN(L847,M848,N849)</f>
        <v>14.932257010908593</v>
      </c>
    </row>
    <row r="848" spans="1:16">
      <c r="A848" s="171" t="s">
        <v>425</v>
      </c>
      <c r="B848" s="172">
        <v>-1.8375474863113905</v>
      </c>
      <c r="C848" s="172">
        <v>-2.1167426559988707</v>
      </c>
      <c r="D848" s="172">
        <v>-1.2367606559382516E-2</v>
      </c>
      <c r="E848" s="171">
        <v>0</v>
      </c>
      <c r="F848" s="171">
        <f>-$L$1</f>
        <v>-1.4990492230334603E-2</v>
      </c>
      <c r="G848" s="172">
        <v>0</v>
      </c>
      <c r="H848" s="172">
        <v>0</v>
      </c>
      <c r="I848" s="178">
        <f>-$N$1</f>
        <v>-4.7716218756768064E-3</v>
      </c>
      <c r="J848" s="171">
        <v>0</v>
      </c>
      <c r="L848">
        <v>0</v>
      </c>
      <c r="M848">
        <v>1.2778477003048214</v>
      </c>
      <c r="N848">
        <v>0</v>
      </c>
    </row>
    <row r="849" spans="1:16">
      <c r="A849" s="171"/>
      <c r="B849" s="172">
        <v>-1.9865190328797109</v>
      </c>
      <c r="C849" s="172">
        <v>-1.2694850305255347</v>
      </c>
      <c r="D849" s="172">
        <v>-3.2127045366234341E-2</v>
      </c>
      <c r="E849" s="171">
        <v>0</v>
      </c>
      <c r="F849" s="172">
        <v>0</v>
      </c>
      <c r="G849" s="171">
        <f>-$L$1</f>
        <v>-1.4990492230334603E-2</v>
      </c>
      <c r="H849" s="172">
        <v>0</v>
      </c>
      <c r="I849" s="172">
        <v>0</v>
      </c>
      <c r="J849" s="178">
        <f>-$N$1</f>
        <v>-4.7716218756768064E-3</v>
      </c>
      <c r="L849">
        <v>0</v>
      </c>
      <c r="M849">
        <v>0</v>
      </c>
      <c r="N849">
        <v>0.27577488395670807</v>
      </c>
    </row>
    <row r="850" spans="1:16">
      <c r="A850" s="171"/>
      <c r="B850" s="172"/>
      <c r="C850" s="172"/>
      <c r="D850" s="172"/>
      <c r="E850" s="171"/>
      <c r="F850" s="171"/>
      <c r="G850" s="171"/>
      <c r="H850" s="171"/>
      <c r="I850" s="171"/>
      <c r="J850" s="171"/>
    </row>
    <row r="851" spans="1:16">
      <c r="A851" s="171"/>
      <c r="B851" s="172">
        <v>-0.58367185674448252</v>
      </c>
      <c r="C851" s="172">
        <v>-2.0841504898711007</v>
      </c>
      <c r="D851" s="172">
        <v>-0.75171422039661484</v>
      </c>
      <c r="E851" s="171">
        <f>-$L$1</f>
        <v>-1.4990492230334603E-2</v>
      </c>
      <c r="F851" s="172">
        <v>0</v>
      </c>
      <c r="G851" s="172">
        <v>0</v>
      </c>
      <c r="H851" s="178">
        <f>-$N$1</f>
        <v>-4.7716218756768064E-3</v>
      </c>
      <c r="I851" s="171">
        <v>0</v>
      </c>
      <c r="J851" s="171">
        <v>0</v>
      </c>
      <c r="L851">
        <f t="array" ref="L851:N853">SVDD(B851:J853)</f>
        <v>3.5236001190726696</v>
      </c>
      <c r="M851">
        <v>0</v>
      </c>
      <c r="N851">
        <v>0</v>
      </c>
      <c r="P851">
        <f t="shared" ref="P851" si="225">MAX(L851,M852,N853)/MIN(L851,M852,N853)</f>
        <v>6.4289070083571405</v>
      </c>
    </row>
    <row r="852" spans="1:16">
      <c r="A852" s="171" t="s">
        <v>426</v>
      </c>
      <c r="B852" s="172">
        <v>-1.8375474863113905</v>
      </c>
      <c r="C852" s="172">
        <v>-2.1167426559988707</v>
      </c>
      <c r="D852" s="172">
        <v>-1.2367606559382516E-2</v>
      </c>
      <c r="E852" s="171">
        <v>0</v>
      </c>
      <c r="F852" s="171">
        <f>-$L$1</f>
        <v>-1.4990492230334603E-2</v>
      </c>
      <c r="G852" s="172">
        <v>0</v>
      </c>
      <c r="H852" s="172">
        <v>0</v>
      </c>
      <c r="I852" s="178">
        <f>-$N$1</f>
        <v>-4.7716218756768064E-3</v>
      </c>
      <c r="J852" s="171">
        <v>0</v>
      </c>
      <c r="L852">
        <v>0</v>
      </c>
      <c r="M852">
        <v>1.4877063707401665</v>
      </c>
      <c r="N852">
        <v>0</v>
      </c>
    </row>
    <row r="853" spans="1:16">
      <c r="A853" s="171"/>
      <c r="B853" s="172">
        <v>0.85843073718374274</v>
      </c>
      <c r="C853" s="172">
        <v>-1.040962775001312</v>
      </c>
      <c r="D853" s="172">
        <v>3.7610117674176324E-2</v>
      </c>
      <c r="E853" s="171">
        <v>0</v>
      </c>
      <c r="F853" s="172">
        <v>0</v>
      </c>
      <c r="G853" s="171">
        <f>-$L$1</f>
        <v>-1.4990492230334603E-2</v>
      </c>
      <c r="H853" s="172">
        <v>0</v>
      </c>
      <c r="I853" s="172">
        <v>0</v>
      </c>
      <c r="J853" s="178">
        <f>-$N$1</f>
        <v>-4.7716218756768064E-3</v>
      </c>
      <c r="L853">
        <v>0</v>
      </c>
      <c r="M853">
        <v>0</v>
      </c>
      <c r="N853">
        <v>0.54808696322597761</v>
      </c>
    </row>
    <row r="854" spans="1:16">
      <c r="A854" s="171"/>
      <c r="B854" s="172"/>
      <c r="C854" s="172"/>
      <c r="D854" s="172"/>
      <c r="E854" s="171"/>
      <c r="F854" s="171"/>
      <c r="G854" s="171"/>
      <c r="H854" s="171"/>
      <c r="I854" s="171"/>
      <c r="J854" s="171"/>
    </row>
    <row r="855" spans="1:16">
      <c r="A855" s="171"/>
      <c r="B855" s="172">
        <v>-0.58367185674448252</v>
      </c>
      <c r="C855" s="172">
        <v>-2.0841504898711007</v>
      </c>
      <c r="D855" s="172">
        <v>-0.75171422039661484</v>
      </c>
      <c r="E855" s="171">
        <f>-$L$1</f>
        <v>-1.4990492230334603E-2</v>
      </c>
      <c r="F855" s="172">
        <v>0</v>
      </c>
      <c r="G855" s="172">
        <v>0</v>
      </c>
      <c r="H855" s="178">
        <f>-$N$1</f>
        <v>-4.7716218756768064E-3</v>
      </c>
      <c r="I855" s="171">
        <v>0</v>
      </c>
      <c r="J855" s="171">
        <v>0</v>
      </c>
      <c r="L855">
        <f t="array" ref="L855:N857">SVDD(B855:J857)</f>
        <v>3.6026256720072847</v>
      </c>
      <c r="M855">
        <v>0</v>
      </c>
      <c r="N855">
        <v>0</v>
      </c>
      <c r="P855">
        <f t="shared" ref="P855" si="226">MAX(L855,M856,N857)/MIN(L855,M856,N857)</f>
        <v>8.8420762558119961</v>
      </c>
    </row>
    <row r="856" spans="1:16">
      <c r="A856" s="171" t="s">
        <v>427</v>
      </c>
      <c r="B856" s="172">
        <v>-1.8375474863113905</v>
      </c>
      <c r="C856" s="172">
        <v>-2.1167426559988707</v>
      </c>
      <c r="D856" s="172">
        <v>-1.2367606559382516E-2</v>
      </c>
      <c r="E856" s="171">
        <v>0</v>
      </c>
      <c r="F856" s="171">
        <f>-$L$1</f>
        <v>-1.4990492230334603E-2</v>
      </c>
      <c r="G856" s="172">
        <v>0</v>
      </c>
      <c r="H856" s="172">
        <v>0</v>
      </c>
      <c r="I856" s="178">
        <f>-$N$1</f>
        <v>-4.7716218756768064E-3</v>
      </c>
      <c r="J856" s="171">
        <v>0</v>
      </c>
      <c r="L856">
        <v>0</v>
      </c>
      <c r="M856">
        <v>1.6092159597763998</v>
      </c>
      <c r="N856">
        <v>0</v>
      </c>
    </row>
    <row r="857" spans="1:16">
      <c r="A857" s="171"/>
      <c r="B857" s="172">
        <v>-1.6188303733889171</v>
      </c>
      <c r="C857" s="172">
        <v>1.9594494251009342E-2</v>
      </c>
      <c r="D857" s="172">
        <v>7.7422792294721043E-2</v>
      </c>
      <c r="E857" s="171">
        <v>0</v>
      </c>
      <c r="F857" s="172">
        <v>0</v>
      </c>
      <c r="G857" s="171">
        <f>-$L$1</f>
        <v>-1.4990492230334603E-2</v>
      </c>
      <c r="H857" s="172">
        <v>0</v>
      </c>
      <c r="I857" s="172">
        <v>0</v>
      </c>
      <c r="J857" s="178">
        <f>-$N$1</f>
        <v>-4.7716218756768064E-3</v>
      </c>
      <c r="L857">
        <v>0</v>
      </c>
      <c r="M857">
        <v>0</v>
      </c>
      <c r="N857">
        <v>0.40744114479212257</v>
      </c>
    </row>
    <row r="858" spans="1:16">
      <c r="A858" s="171"/>
      <c r="B858" s="172"/>
      <c r="C858" s="172"/>
      <c r="D858" s="172"/>
      <c r="E858" s="171"/>
      <c r="F858" s="171"/>
      <c r="G858" s="171"/>
      <c r="H858" s="171"/>
      <c r="I858" s="171"/>
      <c r="J858" s="171"/>
    </row>
    <row r="859" spans="1:16">
      <c r="A859" s="171"/>
      <c r="B859" s="172">
        <v>-0.58367185674448252</v>
      </c>
      <c r="C859" s="172">
        <v>-2.0841504898711007</v>
      </c>
      <c r="D859" s="172">
        <v>-0.75171422039661484</v>
      </c>
      <c r="E859" s="171">
        <f>-$L$1</f>
        <v>-1.4990492230334603E-2</v>
      </c>
      <c r="F859" s="172">
        <v>0</v>
      </c>
      <c r="G859" s="172">
        <v>0</v>
      </c>
      <c r="H859" s="178">
        <f>-$N$1</f>
        <v>-4.7716218756768064E-3</v>
      </c>
      <c r="I859" s="171">
        <v>0</v>
      </c>
      <c r="J859" s="171">
        <v>0</v>
      </c>
      <c r="L859">
        <f t="array" ref="L859:N861">SVDD(B859:J861)</f>
        <v>3.4972326244532073</v>
      </c>
      <c r="M859">
        <v>0</v>
      </c>
      <c r="N859">
        <v>0</v>
      </c>
      <c r="P859">
        <f t="shared" ref="P859" si="227">MAX(L859,M860,N861)/MIN(L859,M860,N861)</f>
        <v>3.9230837115472439</v>
      </c>
    </row>
    <row r="860" spans="1:16">
      <c r="A860" s="171" t="s">
        <v>428</v>
      </c>
      <c r="B860" s="172">
        <v>-1.8375474863113905</v>
      </c>
      <c r="C860" s="172">
        <v>-2.1167426559988707</v>
      </c>
      <c r="D860" s="172">
        <v>-1.2367606559382516E-2</v>
      </c>
      <c r="E860" s="171">
        <v>0</v>
      </c>
      <c r="F860" s="171">
        <f>-$L$1</f>
        <v>-1.4990492230334603E-2</v>
      </c>
      <c r="G860" s="172">
        <v>0</v>
      </c>
      <c r="H860" s="172">
        <v>0</v>
      </c>
      <c r="I860" s="178">
        <f>-$N$1</f>
        <v>-4.7716218756768064E-3</v>
      </c>
      <c r="J860" s="171">
        <v>0</v>
      </c>
      <c r="L860">
        <v>0</v>
      </c>
      <c r="M860">
        <v>1.0032361189559071</v>
      </c>
      <c r="N860">
        <v>0</v>
      </c>
    </row>
    <row r="861" spans="1:16">
      <c r="A861" s="171"/>
      <c r="B861" s="172">
        <v>-0.60912970227287866</v>
      </c>
      <c r="C861" s="172">
        <v>0.28261535739067112</v>
      </c>
      <c r="D861" s="172">
        <v>-0.68802996689194662</v>
      </c>
      <c r="E861" s="171">
        <v>0</v>
      </c>
      <c r="F861" s="172">
        <v>0</v>
      </c>
      <c r="G861" s="171">
        <f>-$L$1</f>
        <v>-1.4990492230334603E-2</v>
      </c>
      <c r="H861" s="172">
        <v>0</v>
      </c>
      <c r="I861" s="172">
        <v>0</v>
      </c>
      <c r="J861" s="178">
        <f>-$N$1</f>
        <v>-4.7716218756768064E-3</v>
      </c>
      <c r="L861">
        <v>0</v>
      </c>
      <c r="M861">
        <v>0</v>
      </c>
      <c r="N861">
        <v>0.89144991073206459</v>
      </c>
    </row>
    <row r="862" spans="1:16">
      <c r="A862" s="171"/>
      <c r="B862" s="172"/>
      <c r="C862" s="172"/>
      <c r="D862" s="172"/>
      <c r="E862" s="171"/>
      <c r="F862" s="171"/>
      <c r="G862" s="171"/>
      <c r="H862" s="171"/>
      <c r="I862" s="171"/>
      <c r="J862" s="171"/>
    </row>
    <row r="863" spans="1:16">
      <c r="A863" s="171"/>
      <c r="B863" s="172">
        <v>-0.58367185674448252</v>
      </c>
      <c r="C863" s="172">
        <v>-2.0841504898711007</v>
      </c>
      <c r="D863" s="172">
        <v>-0.75171422039661484</v>
      </c>
      <c r="E863" s="171">
        <f>-$L$1</f>
        <v>-1.4990492230334603E-2</v>
      </c>
      <c r="F863" s="172">
        <v>0</v>
      </c>
      <c r="G863" s="172">
        <v>0</v>
      </c>
      <c r="H863" s="178">
        <f>-$N$1</f>
        <v>-4.7716218756768064E-3</v>
      </c>
      <c r="I863" s="171">
        <v>0</v>
      </c>
      <c r="J863" s="171">
        <v>0</v>
      </c>
      <c r="L863">
        <f t="array" ref="L863:N865">SVDD(B863:J865)</f>
        <v>3.4342876318435342</v>
      </c>
      <c r="M863">
        <v>0</v>
      </c>
      <c r="N863">
        <v>0</v>
      </c>
      <c r="P863">
        <f t="shared" ref="P863" si="228">MAX(L863,M864,N865)/MIN(L863,M864,N865)</f>
        <v>6.0356714137465337</v>
      </c>
    </row>
    <row r="864" spans="1:16">
      <c r="A864" s="171" t="s">
        <v>429</v>
      </c>
      <c r="B864" s="172">
        <v>0.45824053226673911</v>
      </c>
      <c r="C864" s="172">
        <v>-2.124969022302313</v>
      </c>
      <c r="D864" s="172">
        <v>2.076961144994538E-2</v>
      </c>
      <c r="E864" s="171">
        <v>0</v>
      </c>
      <c r="F864" s="171">
        <f>-$L$1</f>
        <v>-1.4990492230334603E-2</v>
      </c>
      <c r="G864" s="172">
        <v>0</v>
      </c>
      <c r="H864" s="172">
        <v>0</v>
      </c>
      <c r="I864" s="178">
        <f>-$N$1</f>
        <v>-4.7716218756768064E-3</v>
      </c>
      <c r="J864" s="171">
        <v>0</v>
      </c>
      <c r="L864">
        <v>0</v>
      </c>
      <c r="M864">
        <v>1.8484786771536996</v>
      </c>
      <c r="N864">
        <v>0</v>
      </c>
    </row>
    <row r="865" spans="1:16">
      <c r="A865" s="171"/>
      <c r="B865" s="172">
        <v>-1.9865190328797109</v>
      </c>
      <c r="C865" s="172">
        <v>-1.2694850305255347</v>
      </c>
      <c r="D865" s="172">
        <v>-3.2127045366234341E-2</v>
      </c>
      <c r="E865" s="171">
        <v>0</v>
      </c>
      <c r="F865" s="172">
        <v>0</v>
      </c>
      <c r="G865" s="171">
        <f>-$L$1</f>
        <v>-1.4990492230334603E-2</v>
      </c>
      <c r="H865" s="172">
        <v>0</v>
      </c>
      <c r="I865" s="172">
        <v>0</v>
      </c>
      <c r="J865" s="178">
        <f>-$N$1</f>
        <v>-4.7716218756768064E-3</v>
      </c>
      <c r="L865">
        <v>0</v>
      </c>
      <c r="M865">
        <v>0</v>
      </c>
      <c r="N865">
        <v>0.56899844216532036</v>
      </c>
    </row>
    <row r="866" spans="1:16">
      <c r="A866" s="171"/>
      <c r="B866" s="172"/>
      <c r="C866" s="172"/>
      <c r="D866" s="172"/>
      <c r="E866" s="171"/>
      <c r="F866" s="171"/>
      <c r="G866" s="171"/>
      <c r="H866" s="171"/>
      <c r="I866" s="171"/>
      <c r="J866" s="171"/>
    </row>
    <row r="867" spans="1:16">
      <c r="A867" s="171"/>
      <c r="B867" s="172">
        <v>-0.58367185674448252</v>
      </c>
      <c r="C867" s="172">
        <v>-2.0841504898711007</v>
      </c>
      <c r="D867" s="172">
        <v>-0.75171422039661484</v>
      </c>
      <c r="E867" s="171">
        <f>-$L$1</f>
        <v>-1.4990492230334603E-2</v>
      </c>
      <c r="F867" s="172">
        <v>0</v>
      </c>
      <c r="G867" s="172">
        <v>0</v>
      </c>
      <c r="H867" s="178">
        <f>-$N$1</f>
        <v>-4.7716218756768064E-3</v>
      </c>
      <c r="I867" s="171">
        <v>0</v>
      </c>
      <c r="J867" s="171">
        <v>0</v>
      </c>
      <c r="L867">
        <f t="array" ref="L867:N869">SVDD(B867:J869)</f>
        <v>3.1951010491563965</v>
      </c>
      <c r="M867">
        <v>0</v>
      </c>
      <c r="N867">
        <v>0</v>
      </c>
      <c r="P867">
        <f t="shared" ref="P867" si="229">MAX(L867,M868,N869)/MIN(L867,M868,N869)</f>
        <v>12.849369757989988</v>
      </c>
    </row>
    <row r="868" spans="1:16">
      <c r="A868" s="171" t="s">
        <v>430</v>
      </c>
      <c r="B868" s="172">
        <v>0.45824053226673911</v>
      </c>
      <c r="C868" s="172">
        <v>-2.124969022302313</v>
      </c>
      <c r="D868" s="172">
        <v>2.076961144994538E-2</v>
      </c>
      <c r="E868" s="171">
        <v>0</v>
      </c>
      <c r="F868" s="171">
        <f>-$L$1</f>
        <v>-1.4990492230334603E-2</v>
      </c>
      <c r="G868" s="172">
        <v>0</v>
      </c>
      <c r="H868" s="172">
        <v>0</v>
      </c>
      <c r="I868" s="178">
        <f>-$N$1</f>
        <v>-4.7716218756768064E-3</v>
      </c>
      <c r="J868" s="171">
        <v>0</v>
      </c>
      <c r="L868">
        <v>0</v>
      </c>
      <c r="M868">
        <v>1.2359213839613623</v>
      </c>
      <c r="N868">
        <v>0</v>
      </c>
    </row>
    <row r="869" spans="1:16">
      <c r="A869" s="171"/>
      <c r="B869" s="172">
        <v>0.85843073718374274</v>
      </c>
      <c r="C869" s="172">
        <v>-1.040962775001312</v>
      </c>
      <c r="D869" s="172">
        <v>3.7610117674176324E-2</v>
      </c>
      <c r="E869" s="171">
        <v>0</v>
      </c>
      <c r="F869" s="172">
        <v>0</v>
      </c>
      <c r="G869" s="171">
        <f>-$L$1</f>
        <v>-1.4990492230334603E-2</v>
      </c>
      <c r="H869" s="172">
        <v>0</v>
      </c>
      <c r="I869" s="172">
        <v>0</v>
      </c>
      <c r="J869" s="178">
        <f>-$N$1</f>
        <v>-4.7716218756768064E-3</v>
      </c>
      <c r="L869">
        <v>0</v>
      </c>
      <c r="M869">
        <v>0</v>
      </c>
      <c r="N869">
        <v>0.2486581917505814</v>
      </c>
    </row>
    <row r="870" spans="1:16">
      <c r="A870" s="171"/>
      <c r="B870" s="172"/>
      <c r="C870" s="172"/>
      <c r="D870" s="172"/>
      <c r="E870" s="171"/>
      <c r="F870" s="171"/>
      <c r="G870" s="171"/>
      <c r="H870" s="171"/>
      <c r="I870" s="171"/>
      <c r="J870" s="171"/>
    </row>
    <row r="871" spans="1:16">
      <c r="A871" s="171"/>
      <c r="B871" s="172">
        <v>-0.58367185674448252</v>
      </c>
      <c r="C871" s="172">
        <v>-2.0841504898711007</v>
      </c>
      <c r="D871" s="172">
        <v>-0.75171422039661484</v>
      </c>
      <c r="E871" s="171">
        <f>-$L$1</f>
        <v>-1.4990492230334603E-2</v>
      </c>
      <c r="F871" s="172">
        <v>0</v>
      </c>
      <c r="G871" s="172">
        <v>0</v>
      </c>
      <c r="H871" s="178">
        <f>-$N$1</f>
        <v>-4.7716218756768064E-3</v>
      </c>
      <c r="I871" s="171">
        <v>0</v>
      </c>
      <c r="J871" s="171">
        <v>0</v>
      </c>
      <c r="L871">
        <f t="array" ref="L871:N873">SVDD(B871:J873)</f>
        <v>3.0237225653410706</v>
      </c>
      <c r="M871">
        <v>0</v>
      </c>
      <c r="N871">
        <v>0</v>
      </c>
      <c r="P871">
        <f t="shared" ref="P871" si="230">MAX(L871,M872,N873)/MIN(L871,M872,N873)</f>
        <v>5.7863621202898932</v>
      </c>
    </row>
    <row r="872" spans="1:16">
      <c r="A872" s="171" t="s">
        <v>431</v>
      </c>
      <c r="B872" s="172">
        <v>0.45824053226673911</v>
      </c>
      <c r="C872" s="172">
        <v>-2.124969022302313</v>
      </c>
      <c r="D872" s="172">
        <v>2.076961144994538E-2</v>
      </c>
      <c r="E872" s="171">
        <v>0</v>
      </c>
      <c r="F872" s="171">
        <f>-$L$1</f>
        <v>-1.4990492230334603E-2</v>
      </c>
      <c r="G872" s="172">
        <v>0</v>
      </c>
      <c r="H872" s="172">
        <v>0</v>
      </c>
      <c r="I872" s="178">
        <f>-$N$1</f>
        <v>-4.7716218756768064E-3</v>
      </c>
      <c r="J872" s="171">
        <v>0</v>
      </c>
      <c r="L872">
        <v>0</v>
      </c>
      <c r="M872">
        <v>1.7852463752120993</v>
      </c>
      <c r="N872">
        <v>0</v>
      </c>
    </row>
    <row r="873" spans="1:16">
      <c r="A873" s="171"/>
      <c r="B873" s="172">
        <v>-1.6188303733889171</v>
      </c>
      <c r="C873" s="172">
        <v>1.9594494251009342E-2</v>
      </c>
      <c r="D873" s="172">
        <v>7.7422792294721043E-2</v>
      </c>
      <c r="E873" s="171">
        <v>0</v>
      </c>
      <c r="F873" s="172">
        <v>0</v>
      </c>
      <c r="G873" s="171">
        <f>-$L$1</f>
        <v>-1.4990492230334603E-2</v>
      </c>
      <c r="H873" s="172">
        <v>0</v>
      </c>
      <c r="I873" s="172">
        <v>0</v>
      </c>
      <c r="J873" s="178">
        <f>-$N$1</f>
        <v>-4.7716218756768064E-3</v>
      </c>
      <c r="L873">
        <v>0</v>
      </c>
      <c r="M873">
        <v>0</v>
      </c>
      <c r="N873">
        <v>0.52256020319543772</v>
      </c>
    </row>
    <row r="874" spans="1:16">
      <c r="A874" s="171"/>
      <c r="B874" s="172"/>
      <c r="C874" s="172"/>
      <c r="D874" s="172"/>
      <c r="E874" s="171"/>
      <c r="F874" s="171"/>
      <c r="G874" s="171"/>
      <c r="H874" s="171"/>
      <c r="I874" s="171"/>
      <c r="J874" s="171"/>
    </row>
    <row r="875" spans="1:16">
      <c r="A875" s="171"/>
      <c r="B875" s="172">
        <v>-0.58367185674448252</v>
      </c>
      <c r="C875" s="172">
        <v>-2.0841504898711007</v>
      </c>
      <c r="D875" s="172">
        <v>-0.75171422039661484</v>
      </c>
      <c r="E875" s="171">
        <f>-$L$1</f>
        <v>-1.4990492230334603E-2</v>
      </c>
      <c r="F875" s="172">
        <v>0</v>
      </c>
      <c r="G875" s="172">
        <v>0</v>
      </c>
      <c r="H875" s="178">
        <f>-$N$1</f>
        <v>-4.7716218756768064E-3</v>
      </c>
      <c r="I875" s="171">
        <v>0</v>
      </c>
      <c r="J875" s="171">
        <v>0</v>
      </c>
      <c r="L875">
        <f t="array" ref="L875:N877">SVDD(B875:J877)</f>
        <v>3.0268762052062077</v>
      </c>
      <c r="M875">
        <v>0</v>
      </c>
      <c r="N875">
        <v>0</v>
      </c>
      <c r="P875">
        <f t="shared" ref="P875" si="231">MAX(L875,M876,N877)/MIN(L875,M876,N877)</f>
        <v>19.724822836937211</v>
      </c>
    </row>
    <row r="876" spans="1:16">
      <c r="A876" s="171" t="s">
        <v>432</v>
      </c>
      <c r="B876" s="172">
        <v>0.45824053226673911</v>
      </c>
      <c r="C876" s="172">
        <v>-2.124969022302313</v>
      </c>
      <c r="D876" s="172">
        <v>2.076961144994538E-2</v>
      </c>
      <c r="E876" s="171">
        <v>0</v>
      </c>
      <c r="F876" s="171">
        <f>-$L$1</f>
        <v>-1.4990492230334603E-2</v>
      </c>
      <c r="G876" s="172">
        <v>0</v>
      </c>
      <c r="H876" s="172">
        <v>0</v>
      </c>
      <c r="I876" s="178">
        <f>-$N$1</f>
        <v>-4.7716218756768064E-3</v>
      </c>
      <c r="J876" s="171">
        <v>0</v>
      </c>
      <c r="L876">
        <v>0</v>
      </c>
      <c r="M876">
        <v>1.3095226397140773</v>
      </c>
      <c r="N876">
        <v>0</v>
      </c>
    </row>
    <row r="877" spans="1:16">
      <c r="A877" s="171"/>
      <c r="B877" s="172">
        <v>-0.60912970227287866</v>
      </c>
      <c r="C877" s="172">
        <v>0.28261535739067112</v>
      </c>
      <c r="D877" s="172">
        <v>-0.68802996689194662</v>
      </c>
      <c r="E877" s="171">
        <v>0</v>
      </c>
      <c r="F877" s="172">
        <v>0</v>
      </c>
      <c r="G877" s="171">
        <f>-$L$1</f>
        <v>-1.4990492230334603E-2</v>
      </c>
      <c r="H877" s="172">
        <v>0</v>
      </c>
      <c r="I877" s="172">
        <v>0</v>
      </c>
      <c r="J877" s="178">
        <f>-$N$1</f>
        <v>-4.7716218756768064E-3</v>
      </c>
      <c r="L877">
        <v>0</v>
      </c>
      <c r="M877">
        <v>0</v>
      </c>
      <c r="N877">
        <v>0.15345517829128491</v>
      </c>
    </row>
    <row r="878" spans="1:16">
      <c r="A878" s="171"/>
      <c r="B878" s="172"/>
      <c r="C878" s="172"/>
      <c r="D878" s="172"/>
      <c r="E878" s="171"/>
      <c r="F878" s="171"/>
      <c r="G878" s="171"/>
      <c r="H878" s="171"/>
      <c r="I878" s="171"/>
      <c r="J878" s="171"/>
    </row>
    <row r="879" spans="1:16">
      <c r="A879" s="171"/>
      <c r="B879" s="172">
        <v>-0.58367185674448252</v>
      </c>
      <c r="C879" s="172">
        <v>-2.0841504898711007</v>
      </c>
      <c r="D879" s="172">
        <v>-0.75171422039661484</v>
      </c>
      <c r="E879" s="171">
        <f>-$L$1</f>
        <v>-1.4990492230334603E-2</v>
      </c>
      <c r="F879" s="172">
        <v>0</v>
      </c>
      <c r="G879" s="172">
        <v>0</v>
      </c>
      <c r="H879" s="178">
        <f>-$N$1</f>
        <v>-4.7716218756768064E-3</v>
      </c>
      <c r="I879" s="171">
        <v>0</v>
      </c>
      <c r="J879" s="171">
        <v>0</v>
      </c>
      <c r="L879">
        <f t="array" ref="L879:N881">SVDD(B879:J881)</f>
        <v>3.0559220019082156</v>
      </c>
      <c r="M879">
        <v>0</v>
      </c>
      <c r="N879">
        <v>0</v>
      </c>
      <c r="P879">
        <f t="shared" ref="P879" si="232">MAX(L879,M880,N881)/MIN(L879,M880,N881)</f>
        <v>6.7644044466251483</v>
      </c>
    </row>
    <row r="880" spans="1:16">
      <c r="A880" s="171" t="s">
        <v>433</v>
      </c>
      <c r="B880" s="172">
        <v>-1.9865190328797109</v>
      </c>
      <c r="C880" s="172">
        <v>-1.2694850305255347</v>
      </c>
      <c r="D880" s="172">
        <v>-3.2127045366234341E-2</v>
      </c>
      <c r="E880" s="171">
        <v>0</v>
      </c>
      <c r="F880" s="171">
        <f>-$L$1</f>
        <v>-1.4990492230334603E-2</v>
      </c>
      <c r="G880" s="172">
        <v>0</v>
      </c>
      <c r="H880" s="172">
        <v>0</v>
      </c>
      <c r="I880" s="178">
        <f>-$N$1</f>
        <v>-4.7716218756768064E-3</v>
      </c>
      <c r="J880" s="171">
        <v>0</v>
      </c>
      <c r="L880">
        <v>0</v>
      </c>
      <c r="M880">
        <v>1.75733474909639</v>
      </c>
      <c r="N880">
        <v>0</v>
      </c>
    </row>
    <row r="881" spans="1:16">
      <c r="A881" s="171"/>
      <c r="B881" s="172">
        <v>0.85843073718374274</v>
      </c>
      <c r="C881" s="172">
        <v>-1.040962775001312</v>
      </c>
      <c r="D881" s="172">
        <v>3.7610117674176324E-2</v>
      </c>
      <c r="E881" s="171">
        <v>0</v>
      </c>
      <c r="F881" s="172">
        <v>0</v>
      </c>
      <c r="G881" s="171">
        <f>-$L$1</f>
        <v>-1.4990492230334603E-2</v>
      </c>
      <c r="H881" s="172">
        <v>0</v>
      </c>
      <c r="I881" s="172">
        <v>0</v>
      </c>
      <c r="J881" s="178">
        <f>-$N$1</f>
        <v>-4.7716218756768064E-3</v>
      </c>
      <c r="L881">
        <v>0</v>
      </c>
      <c r="M881">
        <v>0</v>
      </c>
      <c r="N881">
        <v>0.4517651222692422</v>
      </c>
    </row>
    <row r="882" spans="1:16">
      <c r="A882" s="171"/>
      <c r="B882" s="172"/>
      <c r="C882" s="172"/>
      <c r="D882" s="172"/>
      <c r="E882" s="171"/>
      <c r="F882" s="171"/>
      <c r="G882" s="171"/>
      <c r="H882" s="171"/>
      <c r="I882" s="171"/>
      <c r="J882" s="171"/>
    </row>
    <row r="883" spans="1:16">
      <c r="A883" s="171"/>
      <c r="B883" s="172">
        <v>-0.58367185674448252</v>
      </c>
      <c r="C883" s="172">
        <v>-2.0841504898711007</v>
      </c>
      <c r="D883" s="172">
        <v>-0.75171422039661484</v>
      </c>
      <c r="E883" s="171">
        <f>-$L$1</f>
        <v>-1.4990492230334603E-2</v>
      </c>
      <c r="F883" s="172">
        <v>0</v>
      </c>
      <c r="G883" s="172">
        <v>0</v>
      </c>
      <c r="H883" s="178">
        <f>-$N$1</f>
        <v>-4.7716218756768064E-3</v>
      </c>
      <c r="I883" s="171">
        <v>0</v>
      </c>
      <c r="J883" s="171">
        <v>0</v>
      </c>
      <c r="L883">
        <f t="array" ref="L883:N885">SVDD(B883:J885)</f>
        <v>3.2181293620468927</v>
      </c>
      <c r="M883">
        <v>0</v>
      </c>
      <c r="N883">
        <v>0</v>
      </c>
      <c r="P883">
        <f t="shared" ref="P883" si="233">MAX(L883,M884,N885)/MIN(L883,M884,N885)</f>
        <v>14.963253998921628</v>
      </c>
    </row>
    <row r="884" spans="1:16">
      <c r="A884" s="171" t="s">
        <v>434</v>
      </c>
      <c r="B884" s="172">
        <v>-1.9865190328797109</v>
      </c>
      <c r="C884" s="172">
        <v>-1.2694850305255347</v>
      </c>
      <c r="D884" s="172">
        <v>-3.2127045366234341E-2</v>
      </c>
      <c r="E884" s="171">
        <v>0</v>
      </c>
      <c r="F884" s="171">
        <f>-$L$1</f>
        <v>-1.4990492230334603E-2</v>
      </c>
      <c r="G884" s="172">
        <v>0</v>
      </c>
      <c r="H884" s="172">
        <v>0</v>
      </c>
      <c r="I884" s="178">
        <f>-$N$1</f>
        <v>-4.7716218756768064E-3</v>
      </c>
      <c r="J884" s="171">
        <v>0</v>
      </c>
      <c r="L884">
        <v>0</v>
      </c>
      <c r="M884">
        <v>1.7416756013998265</v>
      </c>
      <c r="N884">
        <v>0</v>
      </c>
    </row>
    <row r="885" spans="1:16">
      <c r="A885" s="171"/>
      <c r="B885" s="172">
        <v>-1.6188303733889171</v>
      </c>
      <c r="C885" s="172">
        <v>1.9594494251009342E-2</v>
      </c>
      <c r="D885" s="172">
        <v>7.7422792294721043E-2</v>
      </c>
      <c r="E885" s="171">
        <v>0</v>
      </c>
      <c r="F885" s="172">
        <v>0</v>
      </c>
      <c r="G885" s="171">
        <f>-$L$1</f>
        <v>-1.4990492230334603E-2</v>
      </c>
      <c r="H885" s="172">
        <v>0</v>
      </c>
      <c r="I885" s="172">
        <v>0</v>
      </c>
      <c r="J885" s="178">
        <f>-$N$1</f>
        <v>-4.7716218756768064E-3</v>
      </c>
      <c r="L885">
        <v>0</v>
      </c>
      <c r="M885">
        <v>0</v>
      </c>
      <c r="N885">
        <v>0.21506881873948119</v>
      </c>
    </row>
    <row r="886" spans="1:16">
      <c r="A886" s="171"/>
      <c r="B886" s="172"/>
      <c r="C886" s="172"/>
      <c r="D886" s="172"/>
      <c r="E886" s="171"/>
      <c r="F886" s="171"/>
      <c r="G886" s="171"/>
      <c r="H886" s="171"/>
      <c r="I886" s="171"/>
      <c r="J886" s="171"/>
    </row>
    <row r="887" spans="1:16">
      <c r="A887" s="171"/>
      <c r="B887" s="172">
        <v>-0.58367185674448252</v>
      </c>
      <c r="C887" s="172">
        <v>-2.0841504898711007</v>
      </c>
      <c r="D887" s="172">
        <v>-0.75171422039661484</v>
      </c>
      <c r="E887" s="171">
        <f>-$L$1</f>
        <v>-1.4990492230334603E-2</v>
      </c>
      <c r="F887" s="172">
        <v>0</v>
      </c>
      <c r="G887" s="172">
        <v>0</v>
      </c>
      <c r="H887" s="178">
        <f>-$N$1</f>
        <v>-4.7716218756768064E-3</v>
      </c>
      <c r="I887" s="171">
        <v>0</v>
      </c>
      <c r="J887" s="171">
        <v>0</v>
      </c>
      <c r="L887">
        <f t="array" ref="L887:N889">SVDD(B887:J889)</f>
        <v>3.052625355557895</v>
      </c>
      <c r="M887">
        <v>0</v>
      </c>
      <c r="N887">
        <v>0</v>
      </c>
      <c r="P887">
        <f t="shared" ref="P887" si="234">MAX(L887,M888,N889)/MIN(L887,M888,N889)</f>
        <v>3.7360888119217588</v>
      </c>
    </row>
    <row r="888" spans="1:16">
      <c r="A888" s="171" t="s">
        <v>435</v>
      </c>
      <c r="B888" s="172">
        <v>-1.9865190328797109</v>
      </c>
      <c r="C888" s="172">
        <v>-1.2694850305255347</v>
      </c>
      <c r="D888" s="172">
        <v>-3.2127045366234341E-2</v>
      </c>
      <c r="E888" s="171">
        <v>0</v>
      </c>
      <c r="F888" s="171">
        <f>-$L$1</f>
        <v>-1.4990492230334603E-2</v>
      </c>
      <c r="G888" s="172">
        <v>0</v>
      </c>
      <c r="H888" s="172">
        <v>0</v>
      </c>
      <c r="I888" s="178">
        <f>-$N$1</f>
        <v>-4.7716218756768064E-3</v>
      </c>
      <c r="J888" s="171">
        <v>0</v>
      </c>
      <c r="L888">
        <v>0</v>
      </c>
      <c r="M888">
        <v>1.3218301207026557</v>
      </c>
      <c r="N888">
        <v>0</v>
      </c>
    </row>
    <row r="889" spans="1:16">
      <c r="A889" s="171"/>
      <c r="B889" s="172">
        <v>-0.60912970227287866</v>
      </c>
      <c r="C889" s="172">
        <v>0.28261535739067112</v>
      </c>
      <c r="D889" s="172">
        <v>-0.68802996689194662</v>
      </c>
      <c r="E889" s="171">
        <v>0</v>
      </c>
      <c r="F889" s="172">
        <v>0</v>
      </c>
      <c r="G889" s="171">
        <f>-$L$1</f>
        <v>-1.4990492230334603E-2</v>
      </c>
      <c r="H889" s="172">
        <v>0</v>
      </c>
      <c r="I889" s="172">
        <v>0</v>
      </c>
      <c r="J889" s="178">
        <f>-$N$1</f>
        <v>-4.7716218756768064E-3</v>
      </c>
      <c r="L889">
        <v>0</v>
      </c>
      <c r="M889">
        <v>0</v>
      </c>
      <c r="N889">
        <v>0.81706445141696038</v>
      </c>
    </row>
    <row r="890" spans="1:16">
      <c r="A890" s="171"/>
      <c r="B890" s="172"/>
      <c r="C890" s="172"/>
      <c r="D890" s="172"/>
      <c r="E890" s="171"/>
      <c r="F890" s="171"/>
      <c r="G890" s="171"/>
      <c r="H890" s="171"/>
      <c r="I890" s="171"/>
      <c r="J890" s="171"/>
    </row>
    <row r="891" spans="1:16">
      <c r="A891" s="171"/>
      <c r="B891" s="172">
        <v>-0.58367185674448252</v>
      </c>
      <c r="C891" s="172">
        <v>-2.0841504898711007</v>
      </c>
      <c r="D891" s="172">
        <v>-0.75171422039661484</v>
      </c>
      <c r="E891" s="171">
        <f>-$L$1</f>
        <v>-1.4990492230334603E-2</v>
      </c>
      <c r="F891" s="172">
        <v>0</v>
      </c>
      <c r="G891" s="172">
        <v>0</v>
      </c>
      <c r="H891" s="178">
        <f>-$N$1</f>
        <v>-4.7716218756768064E-3</v>
      </c>
      <c r="I891" s="171">
        <v>0</v>
      </c>
      <c r="J891" s="171">
        <v>0</v>
      </c>
      <c r="L891">
        <f t="array" ref="L891:N893">SVDD(B891:J893)</f>
        <v>2.4357307606337102</v>
      </c>
      <c r="M891">
        <v>0</v>
      </c>
      <c r="N891">
        <v>0</v>
      </c>
      <c r="P891">
        <f t="shared" ref="P891" si="235">MAX(L891,M892,N893)/MIN(L891,M892,N893)</f>
        <v>7.2278037852748023</v>
      </c>
    </row>
    <row r="892" spans="1:16">
      <c r="A892" s="171" t="s">
        <v>436</v>
      </c>
      <c r="B892" s="172">
        <v>0.85843073718374274</v>
      </c>
      <c r="C892" s="172">
        <v>-1.040962775001312</v>
      </c>
      <c r="D892" s="172">
        <v>3.7610117674176324E-2</v>
      </c>
      <c r="E892" s="171">
        <v>0</v>
      </c>
      <c r="F892" s="171">
        <f>-$L$1</f>
        <v>-1.4990492230334603E-2</v>
      </c>
      <c r="G892" s="172">
        <v>0</v>
      </c>
      <c r="H892" s="172">
        <v>0</v>
      </c>
      <c r="I892" s="178">
        <f>-$N$1</f>
        <v>-4.7716218756768064E-3</v>
      </c>
      <c r="J892" s="171">
        <v>0</v>
      </c>
      <c r="L892">
        <v>0</v>
      </c>
      <c r="M892">
        <v>1.9112128322159263</v>
      </c>
      <c r="N892">
        <v>0</v>
      </c>
    </row>
    <row r="893" spans="1:16">
      <c r="A893" s="171"/>
      <c r="B893" s="172">
        <v>-1.6188303733889171</v>
      </c>
      <c r="C893" s="172">
        <v>1.9594494251009342E-2</v>
      </c>
      <c r="D893" s="172">
        <v>7.7422792294721043E-2</v>
      </c>
      <c r="E893" s="171">
        <v>0</v>
      </c>
      <c r="F893" s="172">
        <v>0</v>
      </c>
      <c r="G893" s="171">
        <f>-$L$1</f>
        <v>-1.4990492230334603E-2</v>
      </c>
      <c r="H893" s="172">
        <v>0</v>
      </c>
      <c r="I893" s="172">
        <v>0</v>
      </c>
      <c r="J893" s="178">
        <f>-$N$1</f>
        <v>-4.7716218756768064E-3</v>
      </c>
      <c r="L893">
        <v>0</v>
      </c>
      <c r="M893">
        <v>0</v>
      </c>
      <c r="N893">
        <v>0.33699458825874912</v>
      </c>
    </row>
    <row r="894" spans="1:16">
      <c r="A894" s="171"/>
      <c r="B894" s="172"/>
      <c r="C894" s="172"/>
      <c r="D894" s="172"/>
      <c r="E894" s="171"/>
      <c r="F894" s="171"/>
      <c r="G894" s="171"/>
      <c r="H894" s="171"/>
      <c r="I894" s="171"/>
      <c r="J894" s="171"/>
    </row>
    <row r="895" spans="1:16">
      <c r="A895" s="171"/>
      <c r="B895" s="172">
        <v>-0.58367185674448252</v>
      </c>
      <c r="C895" s="172">
        <v>-2.0841504898711007</v>
      </c>
      <c r="D895" s="172">
        <v>-0.75171422039661484</v>
      </c>
      <c r="E895" s="171">
        <f>-$L$1</f>
        <v>-1.4990492230334603E-2</v>
      </c>
      <c r="F895" s="172">
        <v>0</v>
      </c>
      <c r="G895" s="172">
        <v>0</v>
      </c>
      <c r="H895" s="178">
        <f>-$N$1</f>
        <v>-4.7716218756768064E-3</v>
      </c>
      <c r="I895" s="171">
        <v>0</v>
      </c>
      <c r="J895" s="171">
        <v>0</v>
      </c>
      <c r="L895">
        <f t="array" ref="L895:N897">SVDD(B895:J897)</f>
        <v>2.4307690423733281</v>
      </c>
      <c r="M895">
        <v>0</v>
      </c>
      <c r="N895">
        <v>0</v>
      </c>
      <c r="P895">
        <f t="shared" ref="P895" si="236">MAX(L895,M896,N897)/MIN(L895,M896,N897)</f>
        <v>6.3208517365424539</v>
      </c>
    </row>
    <row r="896" spans="1:16">
      <c r="A896" s="171" t="s">
        <v>437</v>
      </c>
      <c r="B896" s="172">
        <v>0.85843073718374274</v>
      </c>
      <c r="C896" s="172">
        <v>-1.040962775001312</v>
      </c>
      <c r="D896" s="172">
        <v>3.7610117674176324E-2</v>
      </c>
      <c r="E896" s="171">
        <v>0</v>
      </c>
      <c r="F896" s="171">
        <f>-$L$1</f>
        <v>-1.4990492230334603E-2</v>
      </c>
      <c r="G896" s="172">
        <v>0</v>
      </c>
      <c r="H896" s="172">
        <v>0</v>
      </c>
      <c r="I896" s="178">
        <f>-$N$1</f>
        <v>-4.7716218756768064E-3</v>
      </c>
      <c r="J896" s="171">
        <v>0</v>
      </c>
      <c r="L896">
        <v>0</v>
      </c>
      <c r="M896">
        <v>1.3927895015287139</v>
      </c>
      <c r="N896">
        <v>0</v>
      </c>
    </row>
    <row r="897" spans="1:16">
      <c r="A897" s="171"/>
      <c r="B897" s="172">
        <v>-0.60912970227287866</v>
      </c>
      <c r="C897" s="172">
        <v>0.28261535739067112</v>
      </c>
      <c r="D897" s="172">
        <v>-0.68802996689194662</v>
      </c>
      <c r="E897" s="171">
        <v>0</v>
      </c>
      <c r="F897" s="172">
        <v>0</v>
      </c>
      <c r="G897" s="171">
        <f>-$L$1</f>
        <v>-1.4990492230334603E-2</v>
      </c>
      <c r="H897" s="172">
        <v>0</v>
      </c>
      <c r="I897" s="172">
        <v>0</v>
      </c>
      <c r="J897" s="178">
        <f>-$N$1</f>
        <v>-4.7716218756768064E-3</v>
      </c>
      <c r="L897">
        <v>0</v>
      </c>
      <c r="M897">
        <v>0</v>
      </c>
      <c r="N897">
        <v>0.38456352777908603</v>
      </c>
    </row>
    <row r="898" spans="1:16">
      <c r="A898" s="171"/>
      <c r="B898" s="172"/>
      <c r="C898" s="172"/>
      <c r="D898" s="172"/>
      <c r="E898" s="171"/>
      <c r="F898" s="171"/>
      <c r="G898" s="171"/>
      <c r="H898" s="171"/>
      <c r="I898" s="171"/>
      <c r="J898" s="171"/>
    </row>
    <row r="899" spans="1:16">
      <c r="A899" s="171"/>
      <c r="B899" s="172">
        <v>-0.58367185674448252</v>
      </c>
      <c r="C899" s="172">
        <v>-2.0841504898711007</v>
      </c>
      <c r="D899" s="172">
        <v>-0.75171422039661484</v>
      </c>
      <c r="E899" s="171">
        <f>-$L$1</f>
        <v>-1.4990492230334603E-2</v>
      </c>
      <c r="F899" s="172">
        <v>0</v>
      </c>
      <c r="G899" s="172">
        <v>0</v>
      </c>
      <c r="H899" s="178">
        <f>-$N$1</f>
        <v>-4.7716218756768064E-3</v>
      </c>
      <c r="I899" s="171">
        <v>0</v>
      </c>
      <c r="J899" s="171">
        <v>0</v>
      </c>
      <c r="L899">
        <f t="array" ref="L899:N901">SVDD(B899:J901)</f>
        <v>2.3588144059726677</v>
      </c>
      <c r="M899">
        <v>0</v>
      </c>
      <c r="N899">
        <v>0</v>
      </c>
      <c r="P899">
        <f t="shared" ref="P899" si="237">MAX(L899,M900,N901)/MIN(L899,M900,N901)</f>
        <v>3.3116771451797913</v>
      </c>
    </row>
    <row r="900" spans="1:16">
      <c r="A900" s="171" t="s">
        <v>438</v>
      </c>
      <c r="B900" s="172">
        <v>-1.6188303733889171</v>
      </c>
      <c r="C900" s="172">
        <v>1.9594494251009342E-2</v>
      </c>
      <c r="D900" s="172">
        <v>7.7422792294721043E-2</v>
      </c>
      <c r="E900" s="171">
        <v>0</v>
      </c>
      <c r="F900" s="171">
        <f>-$L$1</f>
        <v>-1.4990492230334603E-2</v>
      </c>
      <c r="G900" s="172">
        <v>0</v>
      </c>
      <c r="H900" s="172">
        <v>0</v>
      </c>
      <c r="I900" s="178">
        <f>-$N$1</f>
        <v>-4.7716218756768064E-3</v>
      </c>
      <c r="J900" s="171">
        <v>0</v>
      </c>
      <c r="L900">
        <v>0</v>
      </c>
      <c r="M900">
        <v>1.6523080555401053</v>
      </c>
      <c r="N900">
        <v>0</v>
      </c>
    </row>
    <row r="901" spans="1:16">
      <c r="A901" s="171"/>
      <c r="B901" s="172">
        <v>-0.60912970227287866</v>
      </c>
      <c r="C901" s="172">
        <v>0.28261535739067112</v>
      </c>
      <c r="D901" s="172">
        <v>-0.68802996689194662</v>
      </c>
      <c r="E901" s="171">
        <v>0</v>
      </c>
      <c r="F901" s="172">
        <v>0</v>
      </c>
      <c r="G901" s="171">
        <f>-$L$1</f>
        <v>-1.4990492230334603E-2</v>
      </c>
      <c r="H901" s="172">
        <v>0</v>
      </c>
      <c r="I901" s="172">
        <v>0</v>
      </c>
      <c r="J901" s="178">
        <f>-$N$1</f>
        <v>-4.7716218756768064E-3</v>
      </c>
      <c r="L901">
        <v>0</v>
      </c>
      <c r="M901">
        <v>0</v>
      </c>
      <c r="N901">
        <v>0.71227184975019886</v>
      </c>
    </row>
    <row r="902" spans="1:16">
      <c r="A902" s="171"/>
      <c r="B902" s="172"/>
      <c r="C902" s="172"/>
      <c r="D902" s="172"/>
      <c r="E902" s="171"/>
      <c r="F902" s="171"/>
      <c r="G902" s="171"/>
      <c r="H902" s="171"/>
      <c r="I902" s="171"/>
      <c r="J902" s="171"/>
    </row>
    <row r="903" spans="1:16">
      <c r="A903" s="171"/>
      <c r="B903" s="172">
        <v>-1.8375474863113905</v>
      </c>
      <c r="C903" s="172">
        <v>-2.1167426559988707</v>
      </c>
      <c r="D903" s="172">
        <v>-1.2367606559382516E-2</v>
      </c>
      <c r="E903" s="171">
        <f>-$L$1</f>
        <v>-1.4990492230334603E-2</v>
      </c>
      <c r="F903" s="172">
        <v>0</v>
      </c>
      <c r="G903" s="172">
        <v>0</v>
      </c>
      <c r="H903" s="178">
        <f>-$N$1</f>
        <v>-4.7716218756768064E-3</v>
      </c>
      <c r="I903" s="171">
        <v>0</v>
      </c>
      <c r="J903" s="171">
        <v>0</v>
      </c>
      <c r="L903">
        <f t="array" ref="L903:N905">SVDD(B903:J905)</f>
        <v>3.8368977157423978</v>
      </c>
      <c r="M903">
        <v>0</v>
      </c>
      <c r="N903">
        <v>0</v>
      </c>
      <c r="P903">
        <f t="shared" ref="P903" si="238">MAX(L903,M904,N905)/MIN(L903,M904,N905)</f>
        <v>216.17278581493775</v>
      </c>
    </row>
    <row r="904" spans="1:16">
      <c r="A904" s="171" t="s">
        <v>439</v>
      </c>
      <c r="B904" s="172">
        <v>0.45824053226673911</v>
      </c>
      <c r="C904" s="172">
        <v>-2.124969022302313</v>
      </c>
      <c r="D904" s="172">
        <v>2.076961144994538E-2</v>
      </c>
      <c r="E904" s="171">
        <v>0</v>
      </c>
      <c r="F904" s="171">
        <f>-$L$1</f>
        <v>-1.4990492230334603E-2</v>
      </c>
      <c r="G904" s="172">
        <v>0</v>
      </c>
      <c r="H904" s="172">
        <v>0</v>
      </c>
      <c r="I904" s="178">
        <f>-$N$1</f>
        <v>-4.7716218756768064E-3</v>
      </c>
      <c r="J904" s="171">
        <v>0</v>
      </c>
      <c r="L904">
        <v>0</v>
      </c>
      <c r="M904">
        <v>1.8495318038541668</v>
      </c>
      <c r="N904">
        <v>0</v>
      </c>
    </row>
    <row r="905" spans="1:16">
      <c r="A905" s="171"/>
      <c r="B905" s="172">
        <v>-1.9865190328797109</v>
      </c>
      <c r="C905" s="172">
        <v>-1.2694850305255347</v>
      </c>
      <c r="D905" s="172">
        <v>-3.2127045366234341E-2</v>
      </c>
      <c r="E905" s="171">
        <v>0</v>
      </c>
      <c r="F905" s="172">
        <v>0</v>
      </c>
      <c r="G905" s="171">
        <f>-$L$1</f>
        <v>-1.4990492230334603E-2</v>
      </c>
      <c r="H905" s="172">
        <v>0</v>
      </c>
      <c r="I905" s="172">
        <v>0</v>
      </c>
      <c r="J905" s="178">
        <f>-$N$1</f>
        <v>-4.7716218756768064E-3</v>
      </c>
      <c r="L905">
        <v>0</v>
      </c>
      <c r="M905">
        <v>0</v>
      </c>
      <c r="N905">
        <v>1.7749217142564409E-2</v>
      </c>
    </row>
    <row r="906" spans="1:16">
      <c r="A906" s="171"/>
      <c r="B906" s="172"/>
      <c r="C906" s="172"/>
      <c r="D906" s="172"/>
      <c r="E906" s="171"/>
      <c r="F906" s="171"/>
      <c r="G906" s="171"/>
      <c r="H906" s="171"/>
      <c r="I906" s="171"/>
      <c r="J906" s="171"/>
    </row>
    <row r="907" spans="1:16">
      <c r="A907" s="171"/>
      <c r="B907" s="172">
        <v>-1.8375474863113905</v>
      </c>
      <c r="C907" s="172">
        <v>-2.1167426559988707</v>
      </c>
      <c r="D907" s="172">
        <v>-1.2367606559382516E-2</v>
      </c>
      <c r="E907" s="171">
        <f>-$L$1</f>
        <v>-1.4990492230334603E-2</v>
      </c>
      <c r="F907" s="172">
        <v>0</v>
      </c>
      <c r="G907" s="172">
        <v>0</v>
      </c>
      <c r="H907" s="178">
        <f>-$N$1</f>
        <v>-4.7716218756768064E-3</v>
      </c>
      <c r="I907" s="171">
        <v>0</v>
      </c>
      <c r="J907" s="171">
        <v>0</v>
      </c>
      <c r="L907">
        <f t="array" ref="L907:N909">SVDD(B907:J909)</f>
        <v>3.2740632721833727</v>
      </c>
      <c r="M907">
        <v>0</v>
      </c>
      <c r="N907">
        <v>0</v>
      </c>
      <c r="P907">
        <f t="shared" ref="P907" si="239">MAX(L907,M908,N909)/MIN(L907,M908,N909)</f>
        <v>154.52687108818856</v>
      </c>
    </row>
    <row r="908" spans="1:16">
      <c r="A908" s="171" t="s">
        <v>440</v>
      </c>
      <c r="B908" s="172">
        <v>0.45824053226673911</v>
      </c>
      <c r="C908" s="172">
        <v>-2.124969022302313</v>
      </c>
      <c r="D908" s="172">
        <v>2.076961144994538E-2</v>
      </c>
      <c r="E908" s="171">
        <v>0</v>
      </c>
      <c r="F908" s="171">
        <f>-$L$1</f>
        <v>-1.4990492230334603E-2</v>
      </c>
      <c r="G908" s="172">
        <v>0</v>
      </c>
      <c r="H908" s="172">
        <v>0</v>
      </c>
      <c r="I908" s="178">
        <f>-$N$1</f>
        <v>-4.7716218756768064E-3</v>
      </c>
      <c r="J908" s="171">
        <v>0</v>
      </c>
      <c r="L908">
        <v>0</v>
      </c>
      <c r="M908">
        <v>1.9198872036106887</v>
      </c>
      <c r="N908">
        <v>0</v>
      </c>
    </row>
    <row r="909" spans="1:16">
      <c r="A909" s="171"/>
      <c r="B909" s="172">
        <v>0.85843073718374274</v>
      </c>
      <c r="C909" s="172">
        <v>-1.040962775001312</v>
      </c>
      <c r="D909" s="172">
        <v>3.7610117674176324E-2</v>
      </c>
      <c r="E909" s="171">
        <v>0</v>
      </c>
      <c r="F909" s="172">
        <v>0</v>
      </c>
      <c r="G909" s="171">
        <f>-$L$1</f>
        <v>-1.4990492230334603E-2</v>
      </c>
      <c r="H909" s="172">
        <v>0</v>
      </c>
      <c r="I909" s="172">
        <v>0</v>
      </c>
      <c r="J909" s="178">
        <f>-$N$1</f>
        <v>-4.7716218756768064E-3</v>
      </c>
      <c r="L909">
        <v>0</v>
      </c>
      <c r="M909">
        <v>0</v>
      </c>
      <c r="N909">
        <v>2.1187663020206131E-2</v>
      </c>
    </row>
    <row r="910" spans="1:16">
      <c r="A910" s="171"/>
      <c r="B910" s="172"/>
      <c r="C910" s="172"/>
      <c r="D910" s="172"/>
      <c r="E910" s="171"/>
      <c r="F910" s="171"/>
      <c r="G910" s="171"/>
      <c r="H910" s="171"/>
      <c r="I910" s="171"/>
      <c r="J910" s="171"/>
    </row>
    <row r="911" spans="1:16">
      <c r="A911" s="171"/>
      <c r="B911" s="172">
        <v>-1.8375474863113905</v>
      </c>
      <c r="C911" s="172">
        <v>-2.1167426559988707</v>
      </c>
      <c r="D911" s="172">
        <v>-1.2367606559382516E-2</v>
      </c>
      <c r="E911" s="171">
        <f>-$L$1</f>
        <v>-1.4990492230334603E-2</v>
      </c>
      <c r="F911" s="172">
        <v>0</v>
      </c>
      <c r="G911" s="172">
        <v>0</v>
      </c>
      <c r="H911" s="178">
        <f>-$N$1</f>
        <v>-4.7716218756768064E-3</v>
      </c>
      <c r="I911" s="171">
        <v>0</v>
      </c>
      <c r="J911" s="171">
        <v>0</v>
      </c>
      <c r="L911">
        <f t="array" ref="L911:N913">SVDD(B911:J913)</f>
        <v>3.28726240320634</v>
      </c>
      <c r="M911">
        <v>0</v>
      </c>
      <c r="N911">
        <v>0</v>
      </c>
      <c r="P911">
        <f t="shared" ref="P911" si="240">MAX(L911,M912,N913)/MIN(L911,M912,N913)</f>
        <v>45.007321007916211</v>
      </c>
    </row>
    <row r="912" spans="1:16">
      <c r="A912" s="171" t="s">
        <v>441</v>
      </c>
      <c r="B912" s="172">
        <v>0.45824053226673911</v>
      </c>
      <c r="C912" s="172">
        <v>-2.124969022302313</v>
      </c>
      <c r="D912" s="172">
        <v>2.076961144994538E-2</v>
      </c>
      <c r="E912" s="171">
        <v>0</v>
      </c>
      <c r="F912" s="171">
        <f>-$L$1</f>
        <v>-1.4990492230334603E-2</v>
      </c>
      <c r="G912" s="172">
        <v>0</v>
      </c>
      <c r="H912" s="172">
        <v>0</v>
      </c>
      <c r="I912" s="178">
        <f>-$N$1</f>
        <v>-4.7716218756768064E-3</v>
      </c>
      <c r="J912" s="171">
        <v>0</v>
      </c>
      <c r="L912">
        <v>0</v>
      </c>
      <c r="M912">
        <v>2.0975094869538449</v>
      </c>
      <c r="N912">
        <v>0</v>
      </c>
    </row>
    <row r="913" spans="1:16">
      <c r="A913" s="171"/>
      <c r="B913" s="172">
        <v>-1.6188303733889171</v>
      </c>
      <c r="C913" s="172">
        <v>1.9594494251009342E-2</v>
      </c>
      <c r="D913" s="172">
        <v>7.7422792294721043E-2</v>
      </c>
      <c r="E913" s="171">
        <v>0</v>
      </c>
      <c r="F913" s="172">
        <v>0</v>
      </c>
      <c r="G913" s="171">
        <f>-$L$1</f>
        <v>-1.4990492230334603E-2</v>
      </c>
      <c r="H913" s="172">
        <v>0</v>
      </c>
      <c r="I913" s="172">
        <v>0</v>
      </c>
      <c r="J913" s="178">
        <f>-$N$1</f>
        <v>-4.7716218756768064E-3</v>
      </c>
      <c r="L913">
        <v>0</v>
      </c>
      <c r="M913">
        <v>0</v>
      </c>
      <c r="N913">
        <v>7.3038393078942707E-2</v>
      </c>
    </row>
    <row r="914" spans="1:16">
      <c r="A914" s="171"/>
      <c r="B914" s="172"/>
      <c r="C914" s="172"/>
      <c r="D914" s="172"/>
      <c r="E914" s="171"/>
      <c r="F914" s="171"/>
      <c r="G914" s="171"/>
      <c r="H914" s="171"/>
      <c r="I914" s="171"/>
      <c r="J914" s="171"/>
    </row>
    <row r="915" spans="1:16">
      <c r="A915" s="171"/>
      <c r="B915" s="172">
        <v>-1.8375474863113905</v>
      </c>
      <c r="C915" s="172">
        <v>-2.1167426559988707</v>
      </c>
      <c r="D915" s="172">
        <v>-1.2367606559382516E-2</v>
      </c>
      <c r="E915" s="171">
        <f>-$L$1</f>
        <v>-1.4990492230334603E-2</v>
      </c>
      <c r="F915" s="172">
        <v>0</v>
      </c>
      <c r="G915" s="172">
        <v>0</v>
      </c>
      <c r="H915" s="178">
        <f>-$N$1</f>
        <v>-4.7716218756768064E-3</v>
      </c>
      <c r="I915" s="171">
        <v>0</v>
      </c>
      <c r="J915" s="171">
        <v>0</v>
      </c>
      <c r="L915">
        <f t="array" ref="L915:N917">SVDD(B915:J917)</f>
        <v>3.2045342546639275</v>
      </c>
      <c r="M915">
        <v>0</v>
      </c>
      <c r="N915">
        <v>0</v>
      </c>
      <c r="P915">
        <f t="shared" ref="P915" si="241">MAX(L915,M916,N917)/MIN(L915,M916,N917)</f>
        <v>5.2655291296149898</v>
      </c>
    </row>
    <row r="916" spans="1:16">
      <c r="A916" s="171" t="s">
        <v>442</v>
      </c>
      <c r="B916" s="172">
        <v>0.45824053226673911</v>
      </c>
      <c r="C916" s="172">
        <v>-2.124969022302313</v>
      </c>
      <c r="D916" s="172">
        <v>2.076961144994538E-2</v>
      </c>
      <c r="E916" s="171">
        <v>0</v>
      </c>
      <c r="F916" s="171">
        <f>-$L$1</f>
        <v>-1.4990492230334603E-2</v>
      </c>
      <c r="G916" s="172">
        <v>0</v>
      </c>
      <c r="H916" s="172">
        <v>0</v>
      </c>
      <c r="I916" s="178">
        <f>-$N$1</f>
        <v>-4.7716218756768064E-3</v>
      </c>
      <c r="J916" s="171">
        <v>0</v>
      </c>
      <c r="L916">
        <v>0</v>
      </c>
      <c r="M916">
        <v>1.6937715629381778</v>
      </c>
      <c r="N916">
        <v>0</v>
      </c>
    </row>
    <row r="917" spans="1:16">
      <c r="A917" s="171"/>
      <c r="B917" s="172">
        <v>-0.60912970227287866</v>
      </c>
      <c r="C917" s="172">
        <v>0.28261535739067112</v>
      </c>
      <c r="D917" s="172">
        <v>-0.68802996689194662</v>
      </c>
      <c r="E917" s="171">
        <v>0</v>
      </c>
      <c r="F917" s="172">
        <v>0</v>
      </c>
      <c r="G917" s="171">
        <f>-$L$1</f>
        <v>-1.4990492230334603E-2</v>
      </c>
      <c r="H917" s="172">
        <v>0</v>
      </c>
      <c r="I917" s="172">
        <v>0</v>
      </c>
      <c r="J917" s="178">
        <f>-$N$1</f>
        <v>-4.7716218756768064E-3</v>
      </c>
      <c r="L917">
        <v>0</v>
      </c>
      <c r="M917">
        <v>0</v>
      </c>
      <c r="N917">
        <v>0.60858731872559968</v>
      </c>
    </row>
    <row r="918" spans="1:16">
      <c r="A918" s="171"/>
      <c r="B918" s="172"/>
      <c r="C918" s="172"/>
      <c r="D918" s="172"/>
      <c r="E918" s="171"/>
      <c r="F918" s="171"/>
      <c r="G918" s="171"/>
      <c r="H918" s="171"/>
      <c r="I918" s="171"/>
      <c r="J918" s="171"/>
    </row>
    <row r="919" spans="1:16">
      <c r="A919" s="171"/>
      <c r="B919" s="172">
        <v>-1.8375474863113905</v>
      </c>
      <c r="C919" s="172">
        <v>-2.1167426559988707</v>
      </c>
      <c r="D919" s="172">
        <v>-1.2367606559382516E-2</v>
      </c>
      <c r="E919" s="171">
        <f>-$L$1</f>
        <v>-1.4990492230334603E-2</v>
      </c>
      <c r="F919" s="172">
        <v>0</v>
      </c>
      <c r="G919" s="172">
        <v>0</v>
      </c>
      <c r="H919" s="178">
        <f>-$N$1</f>
        <v>-4.7716218756768064E-3</v>
      </c>
      <c r="I919" s="171">
        <v>0</v>
      </c>
      <c r="J919" s="171">
        <v>0</v>
      </c>
      <c r="L919">
        <f t="array" ref="L919:N921">SVDD(B919:J921)</f>
        <v>3.6269026261790716</v>
      </c>
      <c r="M919">
        <v>0</v>
      </c>
      <c r="N919">
        <v>0</v>
      </c>
      <c r="P919">
        <f t="shared" ref="P919" si="242">MAX(L919,M920,N921)/MIN(L919,M920,N921)</f>
        <v>228.74522174121324</v>
      </c>
    </row>
    <row r="920" spans="1:16">
      <c r="A920" s="171" t="s">
        <v>443</v>
      </c>
      <c r="B920" s="172">
        <v>-1.9865190328797109</v>
      </c>
      <c r="C920" s="172">
        <v>-1.2694850305255347</v>
      </c>
      <c r="D920" s="172">
        <v>-3.2127045366234341E-2</v>
      </c>
      <c r="E920" s="171">
        <v>0</v>
      </c>
      <c r="F920" s="171">
        <f>-$L$1</f>
        <v>-1.4990492230334603E-2</v>
      </c>
      <c r="G920" s="172">
        <v>0</v>
      </c>
      <c r="H920" s="172">
        <v>0</v>
      </c>
      <c r="I920" s="178">
        <f>-$N$1</f>
        <v>-4.7716218756768064E-3</v>
      </c>
      <c r="J920" s="171">
        <v>0</v>
      </c>
      <c r="L920">
        <v>0</v>
      </c>
      <c r="M920">
        <v>1.4436776615834221</v>
      </c>
      <c r="N920">
        <v>0</v>
      </c>
    </row>
    <row r="921" spans="1:16">
      <c r="A921" s="171"/>
      <c r="B921" s="172">
        <v>0.85843073718374274</v>
      </c>
      <c r="C921" s="172">
        <v>-1.040962775001312</v>
      </c>
      <c r="D921" s="172">
        <v>3.7610117674176324E-2</v>
      </c>
      <c r="E921" s="171">
        <v>0</v>
      </c>
      <c r="F921" s="172">
        <v>0</v>
      </c>
      <c r="G921" s="171">
        <f>-$L$1</f>
        <v>-1.4990492230334603E-2</v>
      </c>
      <c r="H921" s="172">
        <v>0</v>
      </c>
      <c r="I921" s="172">
        <v>0</v>
      </c>
      <c r="J921" s="178">
        <f>-$N$1</f>
        <v>-4.7716218756768064E-3</v>
      </c>
      <c r="L921">
        <v>0</v>
      </c>
      <c r="M921">
        <v>0</v>
      </c>
      <c r="N921">
        <v>1.5855643228614855E-2</v>
      </c>
    </row>
    <row r="922" spans="1:16">
      <c r="A922" s="171"/>
      <c r="B922" s="172"/>
      <c r="C922" s="172"/>
      <c r="D922" s="172"/>
      <c r="E922" s="171"/>
      <c r="F922" s="171"/>
      <c r="G922" s="171"/>
      <c r="H922" s="171"/>
      <c r="I922" s="171"/>
      <c r="J922" s="171"/>
    </row>
    <row r="923" spans="1:16">
      <c r="A923" s="171"/>
      <c r="B923" s="172">
        <v>-1.8375474863113905</v>
      </c>
      <c r="C923" s="172">
        <v>-2.1167426559988707</v>
      </c>
      <c r="D923" s="172">
        <v>-1.2367606559382516E-2</v>
      </c>
      <c r="E923" s="171">
        <f>-$L$1</f>
        <v>-1.4990492230334603E-2</v>
      </c>
      <c r="F923" s="172">
        <v>0</v>
      </c>
      <c r="G923" s="172">
        <v>0</v>
      </c>
      <c r="H923" s="178">
        <f>-$N$1</f>
        <v>-4.7716218756768064E-3</v>
      </c>
      <c r="I923" s="171">
        <v>0</v>
      </c>
      <c r="J923" s="171">
        <v>0</v>
      </c>
      <c r="L923">
        <f t="array" ref="L923:N925">SVDD(B923:J925)</f>
        <v>3.8317410869853803</v>
      </c>
      <c r="M923">
        <v>0</v>
      </c>
      <c r="N923">
        <v>0</v>
      </c>
      <c r="P923">
        <f t="shared" ref="P923" si="243">MAX(L923,M924,N925)/MIN(L923,M924,N925)</f>
        <v>71.074030336678234</v>
      </c>
    </row>
    <row r="924" spans="1:16">
      <c r="A924" s="171" t="s">
        <v>444</v>
      </c>
      <c r="B924" s="172">
        <v>-1.9865190328797109</v>
      </c>
      <c r="C924" s="172">
        <v>-1.2694850305255347</v>
      </c>
      <c r="D924" s="172">
        <v>-3.2127045366234341E-2</v>
      </c>
      <c r="E924" s="171">
        <v>0</v>
      </c>
      <c r="F924" s="171">
        <f>-$L$1</f>
        <v>-1.4990492230334603E-2</v>
      </c>
      <c r="G924" s="172">
        <v>0</v>
      </c>
      <c r="H924" s="172">
        <v>0</v>
      </c>
      <c r="I924" s="178">
        <f>-$N$1</f>
        <v>-4.7716218756768064E-3</v>
      </c>
      <c r="J924" s="171">
        <v>0</v>
      </c>
      <c r="L924">
        <v>0</v>
      </c>
      <c r="M924">
        <v>1.1656764790291929</v>
      </c>
      <c r="N924">
        <v>0</v>
      </c>
    </row>
    <row r="925" spans="1:16">
      <c r="A925" s="171"/>
      <c r="B925" s="172">
        <v>-1.6188303733889171</v>
      </c>
      <c r="C925" s="172">
        <v>1.9594494251009342E-2</v>
      </c>
      <c r="D925" s="172">
        <v>7.7422792294721043E-2</v>
      </c>
      <c r="E925" s="171">
        <v>0</v>
      </c>
      <c r="F925" s="172">
        <v>0</v>
      </c>
      <c r="G925" s="171">
        <f>-$L$1</f>
        <v>-1.4990492230334603E-2</v>
      </c>
      <c r="H925" s="172">
        <v>0</v>
      </c>
      <c r="I925" s="172">
        <v>0</v>
      </c>
      <c r="J925" s="178">
        <f>-$N$1</f>
        <v>-4.7716218756768064E-3</v>
      </c>
      <c r="L925">
        <v>0</v>
      </c>
      <c r="M925">
        <v>0</v>
      </c>
      <c r="N925">
        <v>5.3911971346417155E-2</v>
      </c>
    </row>
    <row r="926" spans="1:16">
      <c r="A926" s="171"/>
      <c r="B926" s="172"/>
      <c r="C926" s="172"/>
      <c r="D926" s="172"/>
      <c r="E926" s="171"/>
      <c r="F926" s="171"/>
      <c r="G926" s="171"/>
      <c r="H926" s="171"/>
      <c r="I926" s="171"/>
      <c r="J926" s="171"/>
    </row>
    <row r="927" spans="1:16">
      <c r="A927" s="171"/>
      <c r="B927" s="172">
        <v>-1.8375474863113905</v>
      </c>
      <c r="C927" s="172">
        <v>-2.1167426559988707</v>
      </c>
      <c r="D927" s="172">
        <v>-1.2367606559382516E-2</v>
      </c>
      <c r="E927" s="171">
        <f>-$L$1</f>
        <v>-1.4990492230334603E-2</v>
      </c>
      <c r="F927" s="172">
        <v>0</v>
      </c>
      <c r="G927" s="172">
        <v>0</v>
      </c>
      <c r="H927" s="178">
        <f>-$N$1</f>
        <v>-4.7716218756768064E-3</v>
      </c>
      <c r="I927" s="171">
        <v>0</v>
      </c>
      <c r="J927" s="171">
        <v>0</v>
      </c>
      <c r="L927">
        <f t="array" ref="L927:N929">SVDD(B927:J929)</f>
        <v>3.6366956964177777</v>
      </c>
      <c r="M927">
        <v>0</v>
      </c>
      <c r="N927">
        <v>0</v>
      </c>
      <c r="P927">
        <f t="shared" ref="P927" si="244">MAX(L927,M928,N929)/MIN(L927,M928,N929)</f>
        <v>10.584866538776573</v>
      </c>
    </row>
    <row r="928" spans="1:16">
      <c r="A928" s="171" t="s">
        <v>445</v>
      </c>
      <c r="B928" s="172">
        <v>-1.9865190328797109</v>
      </c>
      <c r="C928" s="172">
        <v>-1.2694850305255347</v>
      </c>
      <c r="D928" s="172">
        <v>-3.2127045366234341E-2</v>
      </c>
      <c r="E928" s="171">
        <v>0</v>
      </c>
      <c r="F928" s="171">
        <f>-$L$1</f>
        <v>-1.4990492230334603E-2</v>
      </c>
      <c r="G928" s="172">
        <v>0</v>
      </c>
      <c r="H928" s="172">
        <v>0</v>
      </c>
      <c r="I928" s="178">
        <f>-$N$1</f>
        <v>-4.7716218756768064E-3</v>
      </c>
      <c r="J928" s="171">
        <v>0</v>
      </c>
      <c r="L928">
        <v>0</v>
      </c>
      <c r="M928">
        <v>0.99882640671091849</v>
      </c>
      <c r="N928">
        <v>0</v>
      </c>
    </row>
    <row r="929" spans="1:16">
      <c r="A929" s="171"/>
      <c r="B929" s="172">
        <v>-0.60912970227287866</v>
      </c>
      <c r="C929" s="172">
        <v>0.28261535739067112</v>
      </c>
      <c r="D929" s="172">
        <v>-0.68802996689194662</v>
      </c>
      <c r="E929" s="171">
        <v>0</v>
      </c>
      <c r="F929" s="172">
        <v>0</v>
      </c>
      <c r="G929" s="171">
        <f>-$L$1</f>
        <v>-1.4990492230334603E-2</v>
      </c>
      <c r="H929" s="172">
        <v>0</v>
      </c>
      <c r="I929" s="172">
        <v>0</v>
      </c>
      <c r="J929" s="178">
        <f>-$N$1</f>
        <v>-4.7716218756768064E-3</v>
      </c>
      <c r="L929">
        <v>0</v>
      </c>
      <c r="M929">
        <v>0</v>
      </c>
      <c r="N929">
        <v>0.34357501656682354</v>
      </c>
    </row>
    <row r="930" spans="1:16">
      <c r="A930" s="171"/>
      <c r="B930" s="172"/>
      <c r="C930" s="172"/>
      <c r="D930" s="172"/>
      <c r="E930" s="171"/>
      <c r="F930" s="171"/>
      <c r="G930" s="171"/>
      <c r="H930" s="171"/>
      <c r="I930" s="171"/>
      <c r="J930" s="171"/>
    </row>
    <row r="931" spans="1:16">
      <c r="A931" s="171"/>
      <c r="B931" s="172">
        <v>-1.8375474863113905</v>
      </c>
      <c r="C931" s="172">
        <v>-2.1167426559988707</v>
      </c>
      <c r="D931" s="172">
        <v>-1.2367606559382516E-2</v>
      </c>
      <c r="E931" s="171">
        <f>-$L$1</f>
        <v>-1.4990492230334603E-2</v>
      </c>
      <c r="F931" s="172">
        <v>0</v>
      </c>
      <c r="G931" s="172">
        <v>0</v>
      </c>
      <c r="H931" s="178">
        <f>-$N$1</f>
        <v>-4.7716218756768064E-3</v>
      </c>
      <c r="I931" s="171">
        <v>0</v>
      </c>
      <c r="J931" s="171">
        <v>0</v>
      </c>
      <c r="L931">
        <f t="array" ref="L931:N933">SVDD(B931:J933)</f>
        <v>3.0284367299771953</v>
      </c>
      <c r="M931">
        <v>0</v>
      </c>
      <c r="N931">
        <v>0</v>
      </c>
      <c r="P931">
        <f t="shared" ref="P931" si="245">MAX(L931,M932,N933)/MIN(L931,M932,N933)</f>
        <v>36.237080327907343</v>
      </c>
    </row>
    <row r="932" spans="1:16">
      <c r="A932" s="171" t="s">
        <v>446</v>
      </c>
      <c r="B932" s="172">
        <v>0.85843073718374274</v>
      </c>
      <c r="C932" s="172">
        <v>-1.040962775001312</v>
      </c>
      <c r="D932" s="172">
        <v>3.7610117674176324E-2</v>
      </c>
      <c r="E932" s="171">
        <v>0</v>
      </c>
      <c r="F932" s="171">
        <f>-$L$1</f>
        <v>-1.4990492230334603E-2</v>
      </c>
      <c r="G932" s="172">
        <v>0</v>
      </c>
      <c r="H932" s="172">
        <v>0</v>
      </c>
      <c r="I932" s="178">
        <f>-$N$1</f>
        <v>-4.7716218756768064E-3</v>
      </c>
      <c r="J932" s="171">
        <v>0</v>
      </c>
      <c r="L932">
        <v>0</v>
      </c>
      <c r="M932">
        <v>1.7687774176074329</v>
      </c>
      <c r="N932">
        <v>0</v>
      </c>
    </row>
    <row r="933" spans="1:16">
      <c r="A933" s="171"/>
      <c r="B933" s="172">
        <v>-1.6188303733889171</v>
      </c>
      <c r="C933" s="172">
        <v>1.9594494251009342E-2</v>
      </c>
      <c r="D933" s="172">
        <v>7.7422792294721043E-2</v>
      </c>
      <c r="E933" s="171">
        <v>0</v>
      </c>
      <c r="F933" s="172">
        <v>0</v>
      </c>
      <c r="G933" s="171">
        <f>-$L$1</f>
        <v>-1.4990492230334603E-2</v>
      </c>
      <c r="H933" s="172">
        <v>0</v>
      </c>
      <c r="I933" s="172">
        <v>0</v>
      </c>
      <c r="J933" s="178">
        <f>-$N$1</f>
        <v>-4.7716218756768064E-3</v>
      </c>
      <c r="L933">
        <v>0</v>
      </c>
      <c r="M933">
        <v>0</v>
      </c>
      <c r="N933">
        <v>8.3572867973165557E-2</v>
      </c>
    </row>
    <row r="934" spans="1:16">
      <c r="A934" s="171"/>
      <c r="B934" s="172"/>
      <c r="C934" s="172"/>
      <c r="D934" s="172"/>
      <c r="E934" s="171"/>
      <c r="F934" s="171"/>
      <c r="G934" s="171"/>
      <c r="H934" s="171"/>
      <c r="I934" s="171"/>
      <c r="J934" s="171"/>
    </row>
    <row r="935" spans="1:16">
      <c r="A935" s="171"/>
      <c r="B935" s="172">
        <v>-1.8375474863113905</v>
      </c>
      <c r="C935" s="172">
        <v>-2.1167426559988707</v>
      </c>
      <c r="D935" s="172">
        <v>-1.2367606559382516E-2</v>
      </c>
      <c r="E935" s="171">
        <f>-$L$1</f>
        <v>-1.4990492230334603E-2</v>
      </c>
      <c r="F935" s="172">
        <v>0</v>
      </c>
      <c r="G935" s="172">
        <v>0</v>
      </c>
      <c r="H935" s="178">
        <f>-$N$1</f>
        <v>-4.7716218756768064E-3</v>
      </c>
      <c r="I935" s="171">
        <v>0</v>
      </c>
      <c r="J935" s="171">
        <v>0</v>
      </c>
      <c r="L935">
        <f t="array" ref="L935:N937">SVDD(B935:J937)</f>
        <v>2.8195597131144394</v>
      </c>
      <c r="M935">
        <v>0</v>
      </c>
      <c r="N935">
        <v>0</v>
      </c>
      <c r="P935">
        <f t="shared" ref="P935" si="246">MAX(L935,M936,N937)/MIN(L935,M936,N937)</f>
        <v>4.850585449498352</v>
      </c>
    </row>
    <row r="936" spans="1:16">
      <c r="A936" s="171" t="s">
        <v>447</v>
      </c>
      <c r="B936" s="172">
        <v>0.85843073718374274</v>
      </c>
      <c r="C936" s="172">
        <v>-1.040962775001312</v>
      </c>
      <c r="D936" s="172">
        <v>3.7610117674176324E-2</v>
      </c>
      <c r="E936" s="171">
        <v>0</v>
      </c>
      <c r="F936" s="171">
        <f>-$L$1</f>
        <v>-1.4990492230334603E-2</v>
      </c>
      <c r="G936" s="172">
        <v>0</v>
      </c>
      <c r="H936" s="172">
        <v>0</v>
      </c>
      <c r="I936" s="178">
        <f>-$N$1</f>
        <v>-4.7716218756768064E-3</v>
      </c>
      <c r="J936" s="171">
        <v>0</v>
      </c>
      <c r="L936">
        <v>0</v>
      </c>
      <c r="M936">
        <v>1.5220008267167111</v>
      </c>
      <c r="N936">
        <v>0</v>
      </c>
    </row>
    <row r="937" spans="1:16">
      <c r="A937" s="171"/>
      <c r="B937" s="172">
        <v>-0.60912970227287866</v>
      </c>
      <c r="C937" s="172">
        <v>0.28261535739067112</v>
      </c>
      <c r="D937" s="172">
        <v>-0.68802996689194662</v>
      </c>
      <c r="E937" s="171">
        <v>0</v>
      </c>
      <c r="F937" s="172">
        <v>0</v>
      </c>
      <c r="G937" s="171">
        <f>-$L$1</f>
        <v>-1.4990492230334603E-2</v>
      </c>
      <c r="H937" s="172">
        <v>0</v>
      </c>
      <c r="I937" s="172">
        <v>0</v>
      </c>
      <c r="J937" s="178">
        <f>-$N$1</f>
        <v>-4.7716218756768064E-3</v>
      </c>
      <c r="L937">
        <v>0</v>
      </c>
      <c r="M937">
        <v>0</v>
      </c>
      <c r="N937">
        <v>0.58128235085643909</v>
      </c>
    </row>
    <row r="938" spans="1:16">
      <c r="A938" s="171"/>
      <c r="B938" s="172"/>
      <c r="C938" s="172"/>
      <c r="D938" s="172"/>
      <c r="E938" s="171"/>
      <c r="F938" s="171"/>
      <c r="G938" s="171"/>
      <c r="H938" s="171"/>
      <c r="I938" s="171"/>
      <c r="J938" s="171"/>
    </row>
    <row r="939" spans="1:16">
      <c r="A939" s="171"/>
      <c r="B939" s="172">
        <v>-1.8375474863113905</v>
      </c>
      <c r="C939" s="172">
        <v>-2.1167426559988707</v>
      </c>
      <c r="D939" s="172">
        <v>-1.2367606559382516E-2</v>
      </c>
      <c r="E939" s="171">
        <f>-$L$1</f>
        <v>-1.4990492230334603E-2</v>
      </c>
      <c r="F939" s="172">
        <v>0</v>
      </c>
      <c r="G939" s="172">
        <v>0</v>
      </c>
      <c r="H939" s="178">
        <f>-$N$1</f>
        <v>-4.7716218756768064E-3</v>
      </c>
      <c r="I939" s="171">
        <v>0</v>
      </c>
      <c r="J939" s="171">
        <v>0</v>
      </c>
      <c r="L939">
        <f t="array" ref="L939:N941">SVDD(B939:J941)</f>
        <v>3.0433762658609149</v>
      </c>
      <c r="M939">
        <v>0</v>
      </c>
      <c r="N939">
        <v>0</v>
      </c>
      <c r="P939">
        <f t="shared" ref="P939" si="247">MAX(L939,M940,N941)/MIN(L939,M940,N941)</f>
        <v>4.849656362259811</v>
      </c>
    </row>
    <row r="940" spans="1:16">
      <c r="A940" s="171" t="s">
        <v>448</v>
      </c>
      <c r="B940" s="172">
        <v>-1.6188303733889171</v>
      </c>
      <c r="C940" s="172">
        <v>1.9594494251009342E-2</v>
      </c>
      <c r="D940" s="172">
        <v>7.7422792294721043E-2</v>
      </c>
      <c r="E940" s="171">
        <v>0</v>
      </c>
      <c r="F940" s="171">
        <f>-$L$1</f>
        <v>-1.4990492230334603E-2</v>
      </c>
      <c r="G940" s="172">
        <v>0</v>
      </c>
      <c r="H940" s="172">
        <v>0</v>
      </c>
      <c r="I940" s="178">
        <f>-$N$1</f>
        <v>-4.7716218756768064E-3</v>
      </c>
      <c r="J940" s="171">
        <v>0</v>
      </c>
      <c r="L940">
        <v>0</v>
      </c>
      <c r="M940">
        <v>1.324163829453203</v>
      </c>
      <c r="N940">
        <v>0</v>
      </c>
    </row>
    <row r="941" spans="1:16">
      <c r="A941" s="171"/>
      <c r="B941" s="172">
        <v>-0.60912970227287866</v>
      </c>
      <c r="C941" s="172">
        <v>0.28261535739067112</v>
      </c>
      <c r="D941" s="172">
        <v>-0.68802996689194662</v>
      </c>
      <c r="E941" s="171">
        <v>0</v>
      </c>
      <c r="F941" s="172">
        <v>0</v>
      </c>
      <c r="G941" s="171">
        <f>-$L$1</f>
        <v>-1.4990492230334603E-2</v>
      </c>
      <c r="H941" s="172">
        <v>0</v>
      </c>
      <c r="I941" s="172">
        <v>0</v>
      </c>
      <c r="J941" s="178">
        <f>-$N$1</f>
        <v>-4.7716218756768064E-3</v>
      </c>
      <c r="L941">
        <v>0</v>
      </c>
      <c r="M941">
        <v>0</v>
      </c>
      <c r="N941">
        <v>0.62754472451792076</v>
      </c>
    </row>
    <row r="942" spans="1:16">
      <c r="A942" s="171"/>
      <c r="B942" s="172"/>
      <c r="C942" s="172"/>
      <c r="D942" s="172"/>
      <c r="E942" s="171"/>
      <c r="F942" s="171"/>
      <c r="G942" s="171"/>
      <c r="H942" s="171"/>
      <c r="I942" s="171"/>
      <c r="J942" s="171"/>
    </row>
    <row r="943" spans="1:16">
      <c r="A943" s="171"/>
      <c r="B943" s="172">
        <v>0.45824053226673911</v>
      </c>
      <c r="C943" s="172">
        <v>-2.124969022302313</v>
      </c>
      <c r="D943" s="172">
        <v>2.076961144994538E-2</v>
      </c>
      <c r="E943" s="171">
        <f>-$L$1</f>
        <v>-1.4990492230334603E-2</v>
      </c>
      <c r="F943" s="172">
        <v>0</v>
      </c>
      <c r="G943" s="172">
        <v>0</v>
      </c>
      <c r="H943" s="178">
        <f>-$N$1</f>
        <v>-4.7716218756768064E-3</v>
      </c>
      <c r="I943" s="171">
        <v>0</v>
      </c>
      <c r="J943" s="171">
        <v>0</v>
      </c>
      <c r="L943">
        <f t="array" ref="L943:N945">SVDD(B943:J945)</f>
        <v>2.7171740434245031</v>
      </c>
      <c r="M943">
        <v>0</v>
      </c>
      <c r="N943">
        <v>0</v>
      </c>
      <c r="P943">
        <f t="shared" ref="P943" si="248">MAX(L943,M944,N945)/MIN(L943,M944,N945)</f>
        <v>136.67756025477368</v>
      </c>
    </row>
    <row r="944" spans="1:16">
      <c r="A944" s="171" t="s">
        <v>449</v>
      </c>
      <c r="B944" s="172">
        <v>-1.9865190328797109</v>
      </c>
      <c r="C944" s="172">
        <v>-1.2694850305255347</v>
      </c>
      <c r="D944" s="172">
        <v>-3.2127045366234341E-2</v>
      </c>
      <c r="E944" s="171">
        <v>0</v>
      </c>
      <c r="F944" s="171">
        <f>-$L$1</f>
        <v>-1.4990492230334603E-2</v>
      </c>
      <c r="G944" s="172">
        <v>0</v>
      </c>
      <c r="H944" s="172">
        <v>0</v>
      </c>
      <c r="I944" s="178">
        <f>-$N$1</f>
        <v>-4.7716218756768064E-3</v>
      </c>
      <c r="J944" s="171">
        <v>0</v>
      </c>
      <c r="L944">
        <v>0</v>
      </c>
      <c r="M944">
        <v>2.1734822663476554</v>
      </c>
      <c r="N944">
        <v>0</v>
      </c>
    </row>
    <row r="945" spans="1:16">
      <c r="A945" s="171"/>
      <c r="B945" s="172">
        <v>0.85843073718374274</v>
      </c>
      <c r="C945" s="172">
        <v>-1.040962775001312</v>
      </c>
      <c r="D945" s="172">
        <v>3.7610117674176324E-2</v>
      </c>
      <c r="E945" s="171">
        <v>0</v>
      </c>
      <c r="F945" s="172">
        <v>0</v>
      </c>
      <c r="G945" s="171">
        <f>-$L$1</f>
        <v>-1.4990492230334603E-2</v>
      </c>
      <c r="H945" s="172">
        <v>0</v>
      </c>
      <c r="I945" s="172">
        <v>0</v>
      </c>
      <c r="J945" s="178">
        <f>-$N$1</f>
        <v>-4.7716218756768064E-3</v>
      </c>
      <c r="L945">
        <v>0</v>
      </c>
      <c r="M945">
        <v>0</v>
      </c>
      <c r="N945">
        <v>1.9880176660744875E-2</v>
      </c>
    </row>
    <row r="946" spans="1:16">
      <c r="A946" s="171"/>
      <c r="B946" s="172"/>
      <c r="C946" s="172"/>
      <c r="D946" s="172"/>
      <c r="E946" s="171"/>
      <c r="F946" s="171"/>
      <c r="G946" s="171"/>
      <c r="H946" s="171"/>
      <c r="I946" s="171"/>
      <c r="J946" s="171"/>
    </row>
    <row r="947" spans="1:16">
      <c r="A947" s="171"/>
      <c r="B947" s="172">
        <v>0.45824053226673911</v>
      </c>
      <c r="C947" s="172">
        <v>-2.124969022302313</v>
      </c>
      <c r="D947" s="172">
        <v>2.076961144994538E-2</v>
      </c>
      <c r="E947" s="171">
        <f>-$L$1</f>
        <v>-1.4990492230334603E-2</v>
      </c>
      <c r="F947" s="172">
        <v>0</v>
      </c>
      <c r="G947" s="172">
        <v>0</v>
      </c>
      <c r="H947" s="178">
        <f>-$N$1</f>
        <v>-4.7716218756768064E-3</v>
      </c>
      <c r="I947" s="171">
        <v>0</v>
      </c>
      <c r="J947" s="171">
        <v>0</v>
      </c>
      <c r="L947">
        <f t="array" ref="L947:N949">SVDD(B947:J949)</f>
        <v>2.8290257948418982</v>
      </c>
      <c r="M947">
        <v>0</v>
      </c>
      <c r="N947">
        <v>0</v>
      </c>
      <c r="P947">
        <f t="shared" ref="P947" si="249">MAX(L947,M948,N949)/MIN(L947,M948,N949)</f>
        <v>33.135585600391735</v>
      </c>
    </row>
    <row r="948" spans="1:16">
      <c r="A948" s="171" t="s">
        <v>450</v>
      </c>
      <c r="B948" s="172">
        <v>-1.9865190328797109</v>
      </c>
      <c r="C948" s="172">
        <v>-1.2694850305255347</v>
      </c>
      <c r="D948" s="172">
        <v>-3.2127045366234341E-2</v>
      </c>
      <c r="E948" s="171">
        <v>0</v>
      </c>
      <c r="F948" s="171">
        <f>-$L$1</f>
        <v>-1.4990492230334603E-2</v>
      </c>
      <c r="G948" s="172">
        <v>0</v>
      </c>
      <c r="H948" s="172">
        <v>0</v>
      </c>
      <c r="I948" s="178">
        <f>-$N$1</f>
        <v>-4.7716218756768064E-3</v>
      </c>
      <c r="J948" s="171">
        <v>0</v>
      </c>
      <c r="L948">
        <v>0</v>
      </c>
      <c r="M948">
        <v>2.214011653146652</v>
      </c>
      <c r="N948">
        <v>0</v>
      </c>
    </row>
    <row r="949" spans="1:16">
      <c r="A949" s="171"/>
      <c r="B949" s="172">
        <v>-1.6188303733889171</v>
      </c>
      <c r="C949" s="172">
        <v>1.9594494251009342E-2</v>
      </c>
      <c r="D949" s="172">
        <v>7.7422792294721043E-2</v>
      </c>
      <c r="E949" s="171">
        <v>0</v>
      </c>
      <c r="F949" s="172">
        <v>0</v>
      </c>
      <c r="G949" s="171">
        <f>-$L$1</f>
        <v>-1.4990492230334603E-2</v>
      </c>
      <c r="H949" s="172">
        <v>0</v>
      </c>
      <c r="I949" s="172">
        <v>0</v>
      </c>
      <c r="J949" s="178">
        <f>-$N$1</f>
        <v>-4.7716218756768064E-3</v>
      </c>
      <c r="L949">
        <v>0</v>
      </c>
      <c r="M949">
        <v>0</v>
      </c>
      <c r="N949">
        <v>8.5377268685073518E-2</v>
      </c>
    </row>
    <row r="950" spans="1:16">
      <c r="A950" s="171"/>
      <c r="B950" s="172"/>
      <c r="C950" s="172"/>
      <c r="D950" s="172"/>
      <c r="E950" s="171"/>
      <c r="F950" s="171"/>
      <c r="G950" s="171"/>
      <c r="H950" s="171"/>
      <c r="I950" s="171"/>
      <c r="J950" s="171"/>
    </row>
    <row r="951" spans="1:16">
      <c r="A951" s="171"/>
      <c r="B951" s="172">
        <v>0.45824053226673911</v>
      </c>
      <c r="C951" s="172">
        <v>-2.124969022302313</v>
      </c>
      <c r="D951" s="172">
        <v>2.076961144994538E-2</v>
      </c>
      <c r="E951" s="171">
        <f>-$L$1</f>
        <v>-1.4990492230334603E-2</v>
      </c>
      <c r="F951" s="172">
        <v>0</v>
      </c>
      <c r="G951" s="172">
        <v>0</v>
      </c>
      <c r="H951" s="178">
        <f>-$N$1</f>
        <v>-4.7716218756768064E-3</v>
      </c>
      <c r="I951" s="171">
        <v>0</v>
      </c>
      <c r="J951" s="171">
        <v>0</v>
      </c>
      <c r="L951">
        <f t="array" ref="L951:N953">SVDD(B951:J953)</f>
        <v>2.641990335322149</v>
      </c>
      <c r="M951">
        <v>0</v>
      </c>
      <c r="N951">
        <v>0</v>
      </c>
      <c r="P951">
        <f t="shared" ref="P951" si="250">MAX(L951,M952,N953)/MIN(L951,M952,N953)</f>
        <v>4.219515112282088</v>
      </c>
    </row>
    <row r="952" spans="1:16">
      <c r="A952" s="171" t="s">
        <v>451</v>
      </c>
      <c r="B952" s="172">
        <v>-1.9865190328797109</v>
      </c>
      <c r="C952" s="172">
        <v>-1.2694850305255347</v>
      </c>
      <c r="D952" s="172">
        <v>-3.2127045366234341E-2</v>
      </c>
      <c r="E952" s="171">
        <v>0</v>
      </c>
      <c r="F952" s="171">
        <f>-$L$1</f>
        <v>-1.4990492230334603E-2</v>
      </c>
      <c r="G952" s="172">
        <v>0</v>
      </c>
      <c r="H952" s="172">
        <v>0</v>
      </c>
      <c r="I952" s="178">
        <f>-$N$1</f>
        <v>-4.7716218756768064E-3</v>
      </c>
      <c r="J952" s="171">
        <v>0</v>
      </c>
      <c r="L952">
        <v>0</v>
      </c>
      <c r="M952">
        <v>1.9589972579071631</v>
      </c>
      <c r="N952">
        <v>0</v>
      </c>
    </row>
    <row r="953" spans="1:16">
      <c r="A953" s="171"/>
      <c r="B953" s="172">
        <v>-0.60912970227287866</v>
      </c>
      <c r="C953" s="172">
        <v>0.28261535739067112</v>
      </c>
      <c r="D953" s="172">
        <v>-0.68802996689194662</v>
      </c>
      <c r="E953" s="171">
        <v>0</v>
      </c>
      <c r="F953" s="172">
        <v>0</v>
      </c>
      <c r="G953" s="171">
        <f>-$L$1</f>
        <v>-1.4990492230334603E-2</v>
      </c>
      <c r="H953" s="172">
        <v>0</v>
      </c>
      <c r="I953" s="172">
        <v>0</v>
      </c>
      <c r="J953" s="178">
        <f>-$N$1</f>
        <v>-4.7716218756768064E-3</v>
      </c>
      <c r="L953">
        <v>0</v>
      </c>
      <c r="M953">
        <v>0</v>
      </c>
      <c r="N953">
        <v>0.62613600497173039</v>
      </c>
    </row>
    <row r="954" spans="1:16">
      <c r="A954" s="171"/>
      <c r="B954" s="172"/>
      <c r="C954" s="172"/>
      <c r="D954" s="172"/>
      <c r="E954" s="171"/>
      <c r="F954" s="171"/>
      <c r="G954" s="171"/>
      <c r="H954" s="171"/>
      <c r="I954" s="171"/>
      <c r="J954" s="171"/>
    </row>
    <row r="955" spans="1:16">
      <c r="A955" s="171"/>
      <c r="B955" s="172">
        <v>0.45824053226673911</v>
      </c>
      <c r="C955" s="172">
        <v>-2.124969022302313</v>
      </c>
      <c r="D955" s="172">
        <v>2.076961144994538E-2</v>
      </c>
      <c r="E955" s="171">
        <f>-$L$1</f>
        <v>-1.4990492230334603E-2</v>
      </c>
      <c r="F955" s="172">
        <v>0</v>
      </c>
      <c r="G955" s="172">
        <v>0</v>
      </c>
      <c r="H955" s="178">
        <f>-$N$1</f>
        <v>-4.7716218756768064E-3</v>
      </c>
      <c r="I955" s="171">
        <v>0</v>
      </c>
      <c r="J955" s="171">
        <v>0</v>
      </c>
      <c r="L955">
        <f t="array" ref="L955:N957">SVDD(B955:J957)</f>
        <v>2.5956897545732471</v>
      </c>
      <c r="M955">
        <v>0</v>
      </c>
      <c r="N955">
        <v>0</v>
      </c>
      <c r="P955">
        <f t="shared" ref="P955" si="251">MAX(L955,M956,N957)/MIN(L955,M956,N957)</f>
        <v>50.387511241443939</v>
      </c>
    </row>
    <row r="956" spans="1:16">
      <c r="A956" s="171" t="s">
        <v>452</v>
      </c>
      <c r="B956" s="172">
        <v>0.85843073718374274</v>
      </c>
      <c r="C956" s="172">
        <v>-1.040962775001312</v>
      </c>
      <c r="D956" s="172">
        <v>3.7610117674176324E-2</v>
      </c>
      <c r="E956" s="171">
        <v>0</v>
      </c>
      <c r="F956" s="171">
        <f>-$L$1</f>
        <v>-1.4990492230334603E-2</v>
      </c>
      <c r="G956" s="172">
        <v>0</v>
      </c>
      <c r="H956" s="172">
        <v>0</v>
      </c>
      <c r="I956" s="178">
        <f>-$N$1</f>
        <v>-4.7716218756768064E-3</v>
      </c>
      <c r="J956" s="171">
        <v>0</v>
      </c>
      <c r="L956">
        <v>0</v>
      </c>
      <c r="M956">
        <v>1.560546016111255</v>
      </c>
      <c r="N956">
        <v>0</v>
      </c>
    </row>
    <row r="957" spans="1:16">
      <c r="A957" s="171"/>
      <c r="B957" s="172">
        <v>-1.6188303733889171</v>
      </c>
      <c r="C957" s="172">
        <v>1.9594494251009342E-2</v>
      </c>
      <c r="D957" s="172">
        <v>7.7422792294721043E-2</v>
      </c>
      <c r="E957" s="171">
        <v>0</v>
      </c>
      <c r="F957" s="172">
        <v>0</v>
      </c>
      <c r="G957" s="171">
        <f>-$L$1</f>
        <v>-1.4990492230334603E-2</v>
      </c>
      <c r="H957" s="172">
        <v>0</v>
      </c>
      <c r="I957" s="172">
        <v>0</v>
      </c>
      <c r="J957" s="178">
        <f>-$N$1</f>
        <v>-4.7716218756768064E-3</v>
      </c>
      <c r="L957">
        <v>0</v>
      </c>
      <c r="M957">
        <v>0</v>
      </c>
      <c r="N957">
        <v>5.1514545779714586E-2</v>
      </c>
    </row>
    <row r="958" spans="1:16">
      <c r="A958" s="171"/>
      <c r="B958" s="172"/>
      <c r="C958" s="172"/>
      <c r="D958" s="172"/>
      <c r="E958" s="171"/>
      <c r="F958" s="171"/>
      <c r="G958" s="171"/>
      <c r="H958" s="171"/>
      <c r="I958" s="171"/>
      <c r="J958" s="171"/>
    </row>
    <row r="959" spans="1:16">
      <c r="A959" s="171"/>
      <c r="B959" s="172">
        <v>0.45824053226673911</v>
      </c>
      <c r="C959" s="172">
        <v>-2.124969022302313</v>
      </c>
      <c r="D959" s="172">
        <v>2.076961144994538E-2</v>
      </c>
      <c r="E959" s="171">
        <f>-$L$1</f>
        <v>-1.4990492230334603E-2</v>
      </c>
      <c r="F959" s="172">
        <v>0</v>
      </c>
      <c r="G959" s="172">
        <v>0</v>
      </c>
      <c r="H959" s="178">
        <f>-$N$1</f>
        <v>-4.7716218756768064E-3</v>
      </c>
      <c r="I959" s="171">
        <v>0</v>
      </c>
      <c r="J959" s="171">
        <v>0</v>
      </c>
      <c r="L959">
        <f t="array" ref="L959:N961">SVDD(B959:J961)</f>
        <v>2.5523951643567915</v>
      </c>
      <c r="M959">
        <v>0</v>
      </c>
      <c r="N959">
        <v>0</v>
      </c>
      <c r="P959">
        <f t="shared" ref="P959" si="252">MAX(L959,M960,N961)/MIN(L959,M960,N961)</f>
        <v>6.5593869314857898</v>
      </c>
    </row>
    <row r="960" spans="1:16">
      <c r="A960" s="171" t="s">
        <v>453</v>
      </c>
      <c r="B960" s="172">
        <v>0.85843073718374274</v>
      </c>
      <c r="C960" s="172">
        <v>-1.040962775001312</v>
      </c>
      <c r="D960" s="172">
        <v>3.7610117674176324E-2</v>
      </c>
      <c r="E960" s="171">
        <v>0</v>
      </c>
      <c r="F960" s="171">
        <f>-$L$1</f>
        <v>-1.4990492230334603E-2</v>
      </c>
      <c r="G960" s="172">
        <v>0</v>
      </c>
      <c r="H960" s="172">
        <v>0</v>
      </c>
      <c r="I960" s="178">
        <f>-$N$1</f>
        <v>-4.7716218756768064E-3</v>
      </c>
      <c r="J960" s="171">
        <v>0</v>
      </c>
      <c r="L960">
        <v>0</v>
      </c>
      <c r="M960">
        <v>0.89818280690760599</v>
      </c>
      <c r="N960">
        <v>0</v>
      </c>
    </row>
    <row r="961" spans="1:16">
      <c r="A961" s="171"/>
      <c r="B961" s="172">
        <v>-0.60912970227287866</v>
      </c>
      <c r="C961" s="172">
        <v>0.28261535739067112</v>
      </c>
      <c r="D961" s="172">
        <v>-0.68802996689194662</v>
      </c>
      <c r="E961" s="171">
        <v>0</v>
      </c>
      <c r="F961" s="172">
        <v>0</v>
      </c>
      <c r="G961" s="171">
        <f>-$L$1</f>
        <v>-1.4990492230334603E-2</v>
      </c>
      <c r="H961" s="172">
        <v>0</v>
      </c>
      <c r="I961" s="172">
        <v>0</v>
      </c>
      <c r="J961" s="178">
        <f>-$N$1</f>
        <v>-4.7716218756768064E-3</v>
      </c>
      <c r="L961">
        <v>0</v>
      </c>
      <c r="M961">
        <v>0</v>
      </c>
      <c r="N961">
        <v>0.38912099423575847</v>
      </c>
    </row>
    <row r="962" spans="1:16">
      <c r="A962" s="171"/>
      <c r="B962" s="172"/>
      <c r="C962" s="172"/>
      <c r="D962" s="172"/>
      <c r="E962" s="171"/>
      <c r="F962" s="171"/>
      <c r="G962" s="171"/>
      <c r="H962" s="171"/>
      <c r="I962" s="171"/>
      <c r="J962" s="171"/>
    </row>
    <row r="963" spans="1:16">
      <c r="A963" s="171"/>
      <c r="B963" s="172">
        <v>0.45824053226673911</v>
      </c>
      <c r="C963" s="172">
        <v>-2.124969022302313</v>
      </c>
      <c r="D963" s="172">
        <v>2.076961144994538E-2</v>
      </c>
      <c r="E963" s="171">
        <f>-$L$1</f>
        <v>-1.4990492230334603E-2</v>
      </c>
      <c r="F963" s="172">
        <v>0</v>
      </c>
      <c r="G963" s="172">
        <v>0</v>
      </c>
      <c r="H963" s="178">
        <f>-$N$1</f>
        <v>-4.7716218756768064E-3</v>
      </c>
      <c r="I963" s="171">
        <v>0</v>
      </c>
      <c r="J963" s="171">
        <v>0</v>
      </c>
      <c r="L963">
        <f t="array" ref="L963:N965">SVDD(B963:J965)</f>
        <v>2.3008233514785945</v>
      </c>
      <c r="M963">
        <v>0</v>
      </c>
      <c r="N963">
        <v>0</v>
      </c>
      <c r="P963">
        <f t="shared" ref="P963" si="253">MAX(L963,M964,N965)/MIN(L963,M964,N965)</f>
        <v>3.4547490990447858</v>
      </c>
    </row>
    <row r="964" spans="1:16">
      <c r="A964" s="171" t="s">
        <v>454</v>
      </c>
      <c r="B964" s="172">
        <v>-1.6188303733889171</v>
      </c>
      <c r="C964" s="172">
        <v>1.9594494251009342E-2</v>
      </c>
      <c r="D964" s="172">
        <v>7.7422792294721043E-2</v>
      </c>
      <c r="E964" s="171">
        <v>0</v>
      </c>
      <c r="F964" s="171">
        <f>-$L$1</f>
        <v>-1.4990492230334603E-2</v>
      </c>
      <c r="G964" s="172">
        <v>0</v>
      </c>
      <c r="H964" s="172">
        <v>0</v>
      </c>
      <c r="I964" s="178">
        <f>-$N$1</f>
        <v>-4.7716218756768064E-3</v>
      </c>
      <c r="J964" s="171">
        <v>0</v>
      </c>
      <c r="L964">
        <v>0</v>
      </c>
      <c r="M964">
        <v>1.5939286030064288</v>
      </c>
      <c r="N964">
        <v>0</v>
      </c>
    </row>
    <row r="965" spans="1:16">
      <c r="A965" s="171"/>
      <c r="B965" s="172">
        <v>-0.60912970227287866</v>
      </c>
      <c r="C965" s="172">
        <v>0.28261535739067112</v>
      </c>
      <c r="D965" s="172">
        <v>-0.68802996689194662</v>
      </c>
      <c r="E965" s="171">
        <v>0</v>
      </c>
      <c r="F965" s="172">
        <v>0</v>
      </c>
      <c r="G965" s="171">
        <f>-$L$1</f>
        <v>-1.4990492230334603E-2</v>
      </c>
      <c r="H965" s="172">
        <v>0</v>
      </c>
      <c r="I965" s="172">
        <v>0</v>
      </c>
      <c r="J965" s="178">
        <f>-$N$1</f>
        <v>-4.7716218756768064E-3</v>
      </c>
      <c r="L965">
        <v>0</v>
      </c>
      <c r="M965">
        <v>0</v>
      </c>
      <c r="N965">
        <v>0.66598855242910582</v>
      </c>
    </row>
    <row r="966" spans="1:16">
      <c r="A966" s="171"/>
      <c r="B966" s="172"/>
      <c r="C966" s="172"/>
      <c r="D966" s="172"/>
      <c r="E966" s="171"/>
      <c r="F966" s="171"/>
      <c r="G966" s="171"/>
      <c r="H966" s="171"/>
      <c r="I966" s="171"/>
      <c r="J966" s="171"/>
    </row>
    <row r="967" spans="1:16">
      <c r="A967" s="171"/>
      <c r="B967" s="172">
        <v>-1.9865190328797109</v>
      </c>
      <c r="C967" s="172">
        <v>-1.2694850305255347</v>
      </c>
      <c r="D967" s="172">
        <v>-3.2127045366234341E-2</v>
      </c>
      <c r="E967" s="171">
        <f>-$L$1</f>
        <v>-1.4990492230334603E-2</v>
      </c>
      <c r="F967" s="172">
        <v>0</v>
      </c>
      <c r="G967" s="172">
        <v>0</v>
      </c>
      <c r="H967" s="178">
        <f>-$N$1</f>
        <v>-4.7716218756768064E-3</v>
      </c>
      <c r="I967" s="171">
        <v>0</v>
      </c>
      <c r="J967" s="171">
        <v>0</v>
      </c>
      <c r="L967">
        <f t="array" ref="L967:N969">SVDD(B967:J969)</f>
        <v>2.7934199359965572</v>
      </c>
      <c r="M967">
        <v>0</v>
      </c>
      <c r="N967">
        <v>0</v>
      </c>
      <c r="P967">
        <f t="shared" ref="P967" si="254">MAX(L967,M968,N969)/MIN(L967,M968,N969)</f>
        <v>30.241386845270277</v>
      </c>
    </row>
    <row r="968" spans="1:16">
      <c r="A968" s="171" t="s">
        <v>455</v>
      </c>
      <c r="B968" s="172">
        <v>0.85843073718374274</v>
      </c>
      <c r="C968" s="172">
        <v>-1.040962775001312</v>
      </c>
      <c r="D968" s="172">
        <v>3.7610117674176324E-2</v>
      </c>
      <c r="E968" s="171">
        <v>0</v>
      </c>
      <c r="F968" s="171">
        <f>-$L$1</f>
        <v>-1.4990492230334603E-2</v>
      </c>
      <c r="G968" s="172">
        <v>0</v>
      </c>
      <c r="H968" s="172">
        <v>0</v>
      </c>
      <c r="I968" s="178">
        <f>-$N$1</f>
        <v>-4.7716218756768064E-3</v>
      </c>
      <c r="J968" s="171">
        <v>0</v>
      </c>
      <c r="L968">
        <v>0</v>
      </c>
      <c r="M968">
        <v>1.4821635443648731</v>
      </c>
      <c r="N968">
        <v>0</v>
      </c>
    </row>
    <row r="969" spans="1:16">
      <c r="A969" s="171"/>
      <c r="B969" s="172">
        <v>-1.6188303733889171</v>
      </c>
      <c r="C969" s="172">
        <v>1.9594494251009342E-2</v>
      </c>
      <c r="D969" s="172">
        <v>7.7422792294721043E-2</v>
      </c>
      <c r="E969" s="171">
        <v>0</v>
      </c>
      <c r="F969" s="172">
        <v>0</v>
      </c>
      <c r="G969" s="171">
        <f>-$L$1</f>
        <v>-1.4990492230334603E-2</v>
      </c>
      <c r="H969" s="172">
        <v>0</v>
      </c>
      <c r="I969" s="172">
        <v>0</v>
      </c>
      <c r="J969" s="178">
        <f>-$N$1</f>
        <v>-4.7716218756768064E-3</v>
      </c>
      <c r="L969">
        <v>0</v>
      </c>
      <c r="M969">
        <v>0</v>
      </c>
      <c r="N969">
        <v>9.2370761641622445E-2</v>
      </c>
    </row>
    <row r="970" spans="1:16">
      <c r="A970" s="171"/>
      <c r="B970" s="172"/>
      <c r="C970" s="172"/>
      <c r="D970" s="172"/>
      <c r="E970" s="171"/>
      <c r="F970" s="171"/>
      <c r="G970" s="171"/>
      <c r="H970" s="171"/>
      <c r="I970" s="171"/>
      <c r="J970" s="171"/>
    </row>
    <row r="971" spans="1:16">
      <c r="A971" s="171"/>
      <c r="B971" s="172">
        <v>-1.9865190328797109</v>
      </c>
      <c r="C971" s="172">
        <v>-1.2694850305255347</v>
      </c>
      <c r="D971" s="172">
        <v>-3.2127045366234341E-2</v>
      </c>
      <c r="E971" s="171">
        <f>-$L$1</f>
        <v>-1.4990492230334603E-2</v>
      </c>
      <c r="F971" s="172">
        <v>0</v>
      </c>
      <c r="G971" s="172">
        <v>0</v>
      </c>
      <c r="H971" s="178">
        <f>-$N$1</f>
        <v>-4.7716218756768064E-3</v>
      </c>
      <c r="I971" s="171">
        <v>0</v>
      </c>
      <c r="J971" s="171">
        <v>0</v>
      </c>
      <c r="L971">
        <f t="array" ref="L971:N973">SVDD(B971:J973)</f>
        <v>2.4064711005151977</v>
      </c>
      <c r="M971">
        <v>0</v>
      </c>
      <c r="N971">
        <v>0</v>
      </c>
      <c r="P971">
        <f t="shared" ref="P971" si="255">MAX(L971,M972,N973)/MIN(L971,M972,N973)</f>
        <v>4.0308299629282702</v>
      </c>
    </row>
    <row r="972" spans="1:16">
      <c r="A972" s="171" t="s">
        <v>456</v>
      </c>
      <c r="B972" s="172">
        <v>0.85843073718374274</v>
      </c>
      <c r="C972" s="172">
        <v>-1.040962775001312</v>
      </c>
      <c r="D972" s="172">
        <v>3.7610117674176324E-2</v>
      </c>
      <c r="E972" s="171">
        <v>0</v>
      </c>
      <c r="F972" s="171">
        <f>-$L$1</f>
        <v>-1.4990492230334603E-2</v>
      </c>
      <c r="G972" s="172">
        <v>0</v>
      </c>
      <c r="H972" s="172">
        <v>0</v>
      </c>
      <c r="I972" s="178">
        <f>-$N$1</f>
        <v>-4.7716218756768064E-3</v>
      </c>
      <c r="J972" s="171">
        <v>0</v>
      </c>
      <c r="L972">
        <v>0</v>
      </c>
      <c r="M972">
        <v>1.4691188291643993</v>
      </c>
      <c r="N972">
        <v>0</v>
      </c>
    </row>
    <row r="973" spans="1:16">
      <c r="A973" s="171"/>
      <c r="B973" s="172">
        <v>-0.60912970227287866</v>
      </c>
      <c r="C973" s="172">
        <v>0.28261535739067112</v>
      </c>
      <c r="D973" s="172">
        <v>-0.68802996689194662</v>
      </c>
      <c r="E973" s="171">
        <v>0</v>
      </c>
      <c r="F973" s="172">
        <v>0</v>
      </c>
      <c r="G973" s="171">
        <f>-$L$1</f>
        <v>-1.4990492230334603E-2</v>
      </c>
      <c r="H973" s="172">
        <v>0</v>
      </c>
      <c r="I973" s="172">
        <v>0</v>
      </c>
      <c r="J973" s="178">
        <f>-$N$1</f>
        <v>-4.7716218756768064E-3</v>
      </c>
      <c r="L973">
        <v>0</v>
      </c>
      <c r="M973">
        <v>0</v>
      </c>
      <c r="N973">
        <v>0.59701627770152144</v>
      </c>
    </row>
    <row r="974" spans="1:16">
      <c r="A974" s="171"/>
      <c r="B974" s="172"/>
      <c r="C974" s="172"/>
      <c r="D974" s="172"/>
      <c r="E974" s="171"/>
      <c r="F974" s="171"/>
      <c r="G974" s="171"/>
      <c r="H974" s="171"/>
      <c r="I974" s="171"/>
      <c r="J974" s="171"/>
    </row>
    <row r="975" spans="1:16">
      <c r="A975" s="171"/>
      <c r="B975" s="172">
        <v>-1.9865190328797109</v>
      </c>
      <c r="C975" s="172">
        <v>-1.2694850305255347</v>
      </c>
      <c r="D975" s="172">
        <v>-3.2127045366234341E-2</v>
      </c>
      <c r="E975" s="171">
        <f>-$L$1</f>
        <v>-1.4990492230334603E-2</v>
      </c>
      <c r="F975" s="172">
        <v>0</v>
      </c>
      <c r="G975" s="172">
        <v>0</v>
      </c>
      <c r="H975" s="178">
        <f>-$N$1</f>
        <v>-4.7716218756768064E-3</v>
      </c>
      <c r="I975" s="171">
        <v>0</v>
      </c>
      <c r="J975" s="171">
        <v>0</v>
      </c>
      <c r="L975">
        <f t="array" ref="L975:N977">SVDD(B975:J977)</f>
        <v>2.7975588224586758</v>
      </c>
      <c r="M975">
        <v>0</v>
      </c>
      <c r="N975">
        <v>0</v>
      </c>
      <c r="P975">
        <f t="shared" ref="P975" si="256">MAX(L975,M976,N977)/MIN(L975,M976,N977)</f>
        <v>4.9218449359487764</v>
      </c>
    </row>
    <row r="976" spans="1:16">
      <c r="A976" s="171" t="s">
        <v>457</v>
      </c>
      <c r="B976" s="172">
        <v>-1.6188303733889171</v>
      </c>
      <c r="C976" s="172">
        <v>1.9594494251009342E-2</v>
      </c>
      <c r="D976" s="172">
        <v>7.7422792294721043E-2</v>
      </c>
      <c r="E976" s="171">
        <v>0</v>
      </c>
      <c r="F976" s="171">
        <f>-$L$1</f>
        <v>-1.4990492230334603E-2</v>
      </c>
      <c r="G976" s="172">
        <v>0</v>
      </c>
      <c r="H976" s="172">
        <v>0</v>
      </c>
      <c r="I976" s="178">
        <f>-$N$1</f>
        <v>-4.7716218756768064E-3</v>
      </c>
      <c r="J976" s="171">
        <v>0</v>
      </c>
      <c r="L976">
        <v>0</v>
      </c>
      <c r="M976">
        <v>0.98056136125588</v>
      </c>
      <c r="N976">
        <v>0</v>
      </c>
    </row>
    <row r="977" spans="1:16">
      <c r="A977" s="171"/>
      <c r="B977" s="172">
        <v>-0.60912970227287866</v>
      </c>
      <c r="C977" s="172">
        <v>0.28261535739067112</v>
      </c>
      <c r="D977" s="172">
        <v>-0.68802996689194662</v>
      </c>
      <c r="E977" s="171">
        <v>0</v>
      </c>
      <c r="F977" s="172">
        <v>0</v>
      </c>
      <c r="G977" s="171">
        <f>-$L$1</f>
        <v>-1.4990492230334603E-2</v>
      </c>
      <c r="H977" s="172">
        <v>0</v>
      </c>
      <c r="I977" s="172">
        <v>0</v>
      </c>
      <c r="J977" s="178">
        <f>-$N$1</f>
        <v>-4.7716218756768064E-3</v>
      </c>
      <c r="L977">
        <v>0</v>
      </c>
      <c r="M977">
        <v>0</v>
      </c>
      <c r="N977">
        <v>0.56839637551876565</v>
      </c>
    </row>
    <row r="978" spans="1:16">
      <c r="A978" s="171"/>
      <c r="B978" s="172"/>
      <c r="C978" s="172"/>
      <c r="D978" s="172"/>
      <c r="E978" s="171"/>
      <c r="F978" s="171"/>
      <c r="G978" s="171"/>
      <c r="H978" s="171"/>
      <c r="I978" s="171"/>
      <c r="J978" s="171"/>
    </row>
    <row r="979" spans="1:16">
      <c r="A979" s="171"/>
      <c r="B979" s="172">
        <v>0.85843073718374274</v>
      </c>
      <c r="C979" s="172">
        <v>-1.040962775001312</v>
      </c>
      <c r="D979" s="172">
        <v>3.7610117674176324E-2</v>
      </c>
      <c r="E979" s="171">
        <f>-$L$1</f>
        <v>-1.4990492230334603E-2</v>
      </c>
      <c r="F979" s="172">
        <v>0</v>
      </c>
      <c r="G979" s="172">
        <v>0</v>
      </c>
      <c r="H979" s="178">
        <f>-$N$1</f>
        <v>-4.7716218756768064E-3</v>
      </c>
      <c r="I979" s="171">
        <v>0</v>
      </c>
      <c r="J979" s="171">
        <v>0</v>
      </c>
      <c r="L979">
        <f t="array" ref="L979:N981">SVDD(B979:J981)</f>
        <v>2.0432172355793008</v>
      </c>
      <c r="M979">
        <v>0</v>
      </c>
      <c r="N979">
        <v>0</v>
      </c>
      <c r="P979">
        <f t="shared" ref="P979" si="257">MAX(L979,M980,N981)/MIN(L979,M980,N981)</f>
        <v>3.1926061409664483</v>
      </c>
    </row>
    <row r="980" spans="1:16">
      <c r="A980" s="171" t="s">
        <v>458</v>
      </c>
      <c r="B980" s="172">
        <v>-1.6188303733889171</v>
      </c>
      <c r="C980" s="172">
        <v>1.9594494251009342E-2</v>
      </c>
      <c r="D980" s="172">
        <v>7.7422792294721043E-2</v>
      </c>
      <c r="E980" s="171">
        <v>0</v>
      </c>
      <c r="F980" s="171">
        <f>-$L$1</f>
        <v>-1.4990492230334603E-2</v>
      </c>
      <c r="G980" s="172">
        <v>0</v>
      </c>
      <c r="H980" s="172">
        <v>0</v>
      </c>
      <c r="I980" s="178">
        <f>-$N$1</f>
        <v>-4.7716218756768064E-3</v>
      </c>
      <c r="J980" s="171">
        <v>0</v>
      </c>
      <c r="L980">
        <v>0</v>
      </c>
      <c r="M980">
        <v>0.88861303921931611</v>
      </c>
      <c r="N980">
        <v>0</v>
      </c>
    </row>
    <row r="981" spans="1:16">
      <c r="A981" s="171"/>
      <c r="B981" s="172">
        <v>-0.60912970227287866</v>
      </c>
      <c r="C981" s="172">
        <v>0.28261535739067112</v>
      </c>
      <c r="D981" s="172">
        <v>-0.68802996689194662</v>
      </c>
      <c r="E981" s="171">
        <v>0</v>
      </c>
      <c r="F981" s="172">
        <v>0</v>
      </c>
      <c r="G981" s="171">
        <f>-$L$1</f>
        <v>-1.4990492230334603E-2</v>
      </c>
      <c r="H981" s="172">
        <v>0</v>
      </c>
      <c r="I981" s="172">
        <v>0</v>
      </c>
      <c r="J981" s="178">
        <f>-$N$1</f>
        <v>-4.7716218756768064E-3</v>
      </c>
      <c r="L981">
        <v>0</v>
      </c>
      <c r="M981">
        <v>0</v>
      </c>
      <c r="N981">
        <v>0.6399841212360724</v>
      </c>
    </row>
    <row r="982" spans="1:16">
      <c r="A982" s="171"/>
      <c r="B982" s="172"/>
      <c r="C982" s="172"/>
      <c r="D982" s="172"/>
      <c r="E982" s="171"/>
      <c r="F982" s="171"/>
      <c r="G982" s="171"/>
      <c r="H982" s="171"/>
      <c r="I982" s="171"/>
      <c r="J982" s="171"/>
    </row>
    <row r="983" spans="1:16">
      <c r="A983" s="171"/>
      <c r="B983" s="172">
        <v>2.5457845528396139E-2</v>
      </c>
      <c r="C983" s="172">
        <v>-2.3667658472617719</v>
      </c>
      <c r="D983" s="172">
        <v>-6.368425350466822E-2</v>
      </c>
      <c r="E983" s="171">
        <f>-$L$1</f>
        <v>-1.4990492230334603E-2</v>
      </c>
      <c r="F983" s="172">
        <v>0</v>
      </c>
      <c r="G983" s="172">
        <v>0</v>
      </c>
      <c r="H983" s="178">
        <f>-$N$1</f>
        <v>-4.7716218756768064E-3</v>
      </c>
      <c r="I983" s="171">
        <v>0</v>
      </c>
      <c r="J983" s="171">
        <v>0</v>
      </c>
      <c r="L983">
        <f t="array" ref="L983:N985">SVDD(B983:J985)</f>
        <v>4.214646805501431</v>
      </c>
      <c r="M983">
        <v>0</v>
      </c>
      <c r="N983">
        <v>0</v>
      </c>
      <c r="P983">
        <f t="shared" ref="P983" si="258">MAX(L983,M984,N985)/MIN(L983,M984,N985)</f>
        <v>7.0039271355282375</v>
      </c>
    </row>
    <row r="984" spans="1:16">
      <c r="A984" s="171" t="s">
        <v>459</v>
      </c>
      <c r="B984" s="172">
        <v>-1.2284177840385118</v>
      </c>
      <c r="C984" s="172">
        <v>-2.3993580133895418</v>
      </c>
      <c r="D984" s="172">
        <v>0.6756623603325641</v>
      </c>
      <c r="E984" s="171">
        <v>0</v>
      </c>
      <c r="F984" s="171">
        <f>-$L$1</f>
        <v>-1.4990492230334603E-2</v>
      </c>
      <c r="G984" s="172">
        <v>0</v>
      </c>
      <c r="H984" s="172">
        <v>0</v>
      </c>
      <c r="I984" s="178">
        <f>-$N$1</f>
        <v>-4.7716218756768064E-3</v>
      </c>
      <c r="J984" s="171">
        <v>0</v>
      </c>
      <c r="L984">
        <v>0</v>
      </c>
      <c r="M984">
        <v>1.6255022701690331</v>
      </c>
      <c r="N984">
        <v>0</v>
      </c>
    </row>
    <row r="985" spans="1:16">
      <c r="A985" s="171"/>
      <c r="B985" s="172">
        <v>1.0673702345396179</v>
      </c>
      <c r="C985" s="172">
        <v>-2.4075843796929846</v>
      </c>
      <c r="D985" s="172">
        <v>0.708799578341892</v>
      </c>
      <c r="E985" s="171">
        <v>0</v>
      </c>
      <c r="F985" s="172">
        <v>0</v>
      </c>
      <c r="G985" s="171">
        <f>-$L$1</f>
        <v>-1.4990492230334603E-2</v>
      </c>
      <c r="H985" s="172">
        <v>0</v>
      </c>
      <c r="I985" s="172">
        <v>0</v>
      </c>
      <c r="J985" s="178">
        <f>-$N$1</f>
        <v>-4.7716218756768064E-3</v>
      </c>
      <c r="L985">
        <v>0</v>
      </c>
      <c r="M985">
        <v>0</v>
      </c>
      <c r="N985">
        <v>0.60175480468980658</v>
      </c>
    </row>
    <row r="986" spans="1:16">
      <c r="A986" s="171"/>
      <c r="B986" s="172"/>
      <c r="C986" s="172"/>
      <c r="D986" s="172"/>
      <c r="E986" s="171"/>
      <c r="F986" s="171"/>
      <c r="G986" s="171"/>
      <c r="H986" s="171"/>
      <c r="I986" s="171"/>
      <c r="J986" s="171"/>
    </row>
    <row r="987" spans="1:16">
      <c r="A987" s="171"/>
      <c r="B987" s="172">
        <v>2.5457845528396139E-2</v>
      </c>
      <c r="C987" s="172">
        <v>-2.3667658472617719</v>
      </c>
      <c r="D987" s="172">
        <v>-6.368425350466822E-2</v>
      </c>
      <c r="E987" s="171">
        <f>-$L$1</f>
        <v>-1.4990492230334603E-2</v>
      </c>
      <c r="F987" s="172">
        <v>0</v>
      </c>
      <c r="G987" s="172">
        <v>0</v>
      </c>
      <c r="H987" s="178">
        <f>-$N$1</f>
        <v>-4.7716218756768064E-3</v>
      </c>
      <c r="I987" s="171">
        <v>0</v>
      </c>
      <c r="J987" s="171">
        <v>0</v>
      </c>
      <c r="L987">
        <f t="array" ref="L987:N989">SVDD(B987:J989)</f>
        <v>4.0460924259201043</v>
      </c>
      <c r="M987">
        <v>0</v>
      </c>
      <c r="N987">
        <v>0</v>
      </c>
      <c r="P987">
        <f t="shared" ref="P987" si="259">MAX(L987,M988,N989)/MIN(L987,M988,N989)</f>
        <v>55.930591454987265</v>
      </c>
    </row>
    <row r="988" spans="1:16">
      <c r="A988" s="171" t="s">
        <v>460</v>
      </c>
      <c r="B988" s="172">
        <v>-1.2284177840385118</v>
      </c>
      <c r="C988" s="172">
        <v>-2.3993580133895418</v>
      </c>
      <c r="D988" s="172">
        <v>0.6756623603325641</v>
      </c>
      <c r="E988" s="171">
        <v>0</v>
      </c>
      <c r="F988" s="171">
        <f>-$L$1</f>
        <v>-1.4990492230334603E-2</v>
      </c>
      <c r="G988" s="172">
        <v>0</v>
      </c>
      <c r="H988" s="172">
        <v>0</v>
      </c>
      <c r="I988" s="178">
        <f>-$N$1</f>
        <v>-4.7716218756768064E-3</v>
      </c>
      <c r="J988" s="171">
        <v>0</v>
      </c>
      <c r="L988">
        <v>0</v>
      </c>
      <c r="M988">
        <v>1.2999246152285668</v>
      </c>
      <c r="N988">
        <v>0</v>
      </c>
    </row>
    <row r="989" spans="1:16">
      <c r="A989" s="171"/>
      <c r="B989" s="172">
        <v>-1.3773893306068323</v>
      </c>
      <c r="C989" s="172">
        <v>-1.5521003879162059</v>
      </c>
      <c r="D989" s="172">
        <v>0.65590292152571228</v>
      </c>
      <c r="E989" s="171">
        <v>0</v>
      </c>
      <c r="F989" s="172">
        <v>0</v>
      </c>
      <c r="G989" s="171">
        <f>-$L$1</f>
        <v>-1.4990492230334603E-2</v>
      </c>
      <c r="H989" s="172">
        <v>0</v>
      </c>
      <c r="I989" s="172">
        <v>0</v>
      </c>
      <c r="J989" s="178">
        <f>-$N$1</f>
        <v>-4.7716218756768064E-3</v>
      </c>
      <c r="L989">
        <v>0</v>
      </c>
      <c r="M989">
        <v>0</v>
      </c>
      <c r="N989">
        <v>7.2341313057209214E-2</v>
      </c>
    </row>
    <row r="990" spans="1:16">
      <c r="A990" s="171"/>
      <c r="B990" s="172"/>
      <c r="C990" s="172"/>
      <c r="D990" s="172"/>
      <c r="E990" s="171"/>
      <c r="F990" s="171"/>
      <c r="G990" s="171"/>
      <c r="H990" s="171"/>
      <c r="I990" s="171"/>
      <c r="J990" s="171"/>
    </row>
    <row r="991" spans="1:16">
      <c r="A991" s="171"/>
      <c r="B991" s="172">
        <v>2.5457845528396139E-2</v>
      </c>
      <c r="C991" s="172">
        <v>-2.3667658472617719</v>
      </c>
      <c r="D991" s="172">
        <v>-6.368425350466822E-2</v>
      </c>
      <c r="E991" s="171">
        <f>-$L$1</f>
        <v>-1.4990492230334603E-2</v>
      </c>
      <c r="F991" s="172">
        <v>0</v>
      </c>
      <c r="G991" s="172">
        <v>0</v>
      </c>
      <c r="H991" s="178">
        <f>-$N$1</f>
        <v>-4.7716218756768064E-3</v>
      </c>
      <c r="I991" s="171">
        <v>0</v>
      </c>
      <c r="J991" s="171">
        <v>0</v>
      </c>
      <c r="L991">
        <f t="array" ref="L991:N993">SVDD(B991:J993)</f>
        <v>3.6956791553986803</v>
      </c>
      <c r="M991">
        <v>0</v>
      </c>
      <c r="N991">
        <v>0</v>
      </c>
      <c r="P991">
        <f t="shared" ref="P991" si="260">MAX(L991,M992,N993)/MIN(L991,M992,N993)</f>
        <v>5.4193070411890991</v>
      </c>
    </row>
    <row r="992" spans="1:16">
      <c r="A992" s="171" t="s">
        <v>461</v>
      </c>
      <c r="B992" s="172">
        <v>-1.2284177840385118</v>
      </c>
      <c r="C992" s="172">
        <v>-2.3993580133895418</v>
      </c>
      <c r="D992" s="172">
        <v>0.6756623603325641</v>
      </c>
      <c r="E992" s="171">
        <v>0</v>
      </c>
      <c r="F992" s="171">
        <f>-$L$1</f>
        <v>-1.4990492230334603E-2</v>
      </c>
      <c r="G992" s="172">
        <v>0</v>
      </c>
      <c r="H992" s="172">
        <v>0</v>
      </c>
      <c r="I992" s="178">
        <f>-$N$1</f>
        <v>-4.7716218756768064E-3</v>
      </c>
      <c r="J992" s="171">
        <v>0</v>
      </c>
      <c r="L992">
        <v>0</v>
      </c>
      <c r="M992">
        <v>1.9074920552070791</v>
      </c>
      <c r="N992">
        <v>0</v>
      </c>
    </row>
    <row r="993" spans="1:16">
      <c r="A993" s="171"/>
      <c r="B993" s="172">
        <v>1.4675604394566215</v>
      </c>
      <c r="C993" s="172">
        <v>-1.3235781323919831</v>
      </c>
      <c r="D993" s="172">
        <v>0.72564008456612294</v>
      </c>
      <c r="E993" s="171">
        <v>0</v>
      </c>
      <c r="F993" s="172">
        <v>0</v>
      </c>
      <c r="G993" s="171">
        <f>-$L$1</f>
        <v>-1.4990492230334603E-2</v>
      </c>
      <c r="H993" s="172">
        <v>0</v>
      </c>
      <c r="I993" s="172">
        <v>0</v>
      </c>
      <c r="J993" s="178">
        <f>-$N$1</f>
        <v>-4.7716218756768064E-3</v>
      </c>
      <c r="L993">
        <v>0</v>
      </c>
      <c r="M993">
        <v>0</v>
      </c>
      <c r="N993">
        <v>0.68194681115314293</v>
      </c>
    </row>
    <row r="994" spans="1:16">
      <c r="A994" s="171"/>
      <c r="B994" s="172"/>
      <c r="C994" s="172"/>
      <c r="D994" s="172"/>
      <c r="E994" s="171"/>
      <c r="F994" s="171"/>
      <c r="G994" s="171"/>
      <c r="H994" s="171"/>
      <c r="I994" s="171"/>
      <c r="J994" s="171"/>
    </row>
    <row r="995" spans="1:16">
      <c r="A995" s="171"/>
      <c r="B995" s="172">
        <v>2.5457845528396139E-2</v>
      </c>
      <c r="C995" s="172">
        <v>-2.3667658472617719</v>
      </c>
      <c r="D995" s="172">
        <v>-6.368425350466822E-2</v>
      </c>
      <c r="E995" s="171">
        <f>-$L$1</f>
        <v>-1.4990492230334603E-2</v>
      </c>
      <c r="F995" s="172">
        <v>0</v>
      </c>
      <c r="G995" s="172">
        <v>0</v>
      </c>
      <c r="H995" s="178">
        <f>-$N$1</f>
        <v>-4.7716218756768064E-3</v>
      </c>
      <c r="I995" s="171">
        <v>0</v>
      </c>
      <c r="J995" s="171">
        <v>0</v>
      </c>
      <c r="L995">
        <f t="array" ref="L995:N997">SVDD(B995:J997)</f>
        <v>3.5780660090769949</v>
      </c>
      <c r="M995">
        <v>0</v>
      </c>
      <c r="N995">
        <v>0</v>
      </c>
      <c r="P995">
        <f t="shared" ref="P995" si="261">MAX(L995,M996,N997)/MIN(L995,M996,N997)</f>
        <v>36.031737558129478</v>
      </c>
    </row>
    <row r="996" spans="1:16">
      <c r="A996" s="171" t="s">
        <v>462</v>
      </c>
      <c r="B996" s="172">
        <v>-1.2284177840385118</v>
      </c>
      <c r="C996" s="172">
        <v>-2.3993580133895418</v>
      </c>
      <c r="D996" s="172">
        <v>0.6756623603325641</v>
      </c>
      <c r="E996" s="171">
        <v>0</v>
      </c>
      <c r="F996" s="171">
        <f>-$L$1</f>
        <v>-1.4990492230334603E-2</v>
      </c>
      <c r="G996" s="172">
        <v>0</v>
      </c>
      <c r="H996" s="172">
        <v>0</v>
      </c>
      <c r="I996" s="178">
        <f>-$N$1</f>
        <v>-4.7716218756768064E-3</v>
      </c>
      <c r="J996" s="171">
        <v>0</v>
      </c>
      <c r="L996">
        <v>0</v>
      </c>
      <c r="M996">
        <v>1.4804227184233087</v>
      </c>
      <c r="N996">
        <v>0</v>
      </c>
    </row>
    <row r="997" spans="1:16">
      <c r="A997" s="171"/>
      <c r="B997" s="172">
        <v>-1.0097006711160386</v>
      </c>
      <c r="C997" s="172">
        <v>-0.26302086313966178</v>
      </c>
      <c r="D997" s="172">
        <v>0.76545275918666766</v>
      </c>
      <c r="E997" s="171">
        <v>0</v>
      </c>
      <c r="F997" s="172">
        <v>0</v>
      </c>
      <c r="G997" s="171">
        <f>-$L$1</f>
        <v>-1.4990492230334603E-2</v>
      </c>
      <c r="H997" s="172">
        <v>0</v>
      </c>
      <c r="I997" s="172">
        <v>0</v>
      </c>
      <c r="J997" s="178">
        <f>-$N$1</f>
        <v>-4.7716218756768064E-3</v>
      </c>
      <c r="L997">
        <v>0</v>
      </c>
      <c r="M997">
        <v>0</v>
      </c>
      <c r="N997">
        <v>9.9303176909094459E-2</v>
      </c>
    </row>
    <row r="998" spans="1:16">
      <c r="A998" s="171"/>
      <c r="B998" s="172"/>
      <c r="C998" s="172"/>
      <c r="D998" s="172"/>
      <c r="E998" s="171"/>
      <c r="F998" s="171"/>
      <c r="G998" s="171"/>
      <c r="H998" s="171"/>
      <c r="I998" s="171"/>
      <c r="J998" s="171"/>
    </row>
    <row r="999" spans="1:16">
      <c r="A999" s="171"/>
      <c r="B999" s="172">
        <v>2.5457845528396139E-2</v>
      </c>
      <c r="C999" s="172">
        <v>-2.3667658472617719</v>
      </c>
      <c r="D999" s="172">
        <v>-6.368425350466822E-2</v>
      </c>
      <c r="E999" s="171">
        <f>-$L$1</f>
        <v>-1.4990492230334603E-2</v>
      </c>
      <c r="F999" s="172">
        <v>0</v>
      </c>
      <c r="G999" s="172">
        <v>0</v>
      </c>
      <c r="H999" s="178">
        <f>-$N$1</f>
        <v>-4.7716218756768064E-3</v>
      </c>
      <c r="I999" s="171">
        <v>0</v>
      </c>
      <c r="J999" s="171">
        <v>0</v>
      </c>
      <c r="L999">
        <f t="array" ref="L999:N1001">SVDD(B999:J1001)</f>
        <v>3.5231049393519527</v>
      </c>
      <c r="M999">
        <v>0</v>
      </c>
      <c r="N999">
        <v>0</v>
      </c>
      <c r="P999">
        <f t="shared" ref="P999" si="262">MAX(L999,M1000,N1001)/MIN(L999,M1000,N1001)</f>
        <v>4.2832855882423431</v>
      </c>
    </row>
    <row r="1000" spans="1:16">
      <c r="A1000" s="171" t="s">
        <v>463</v>
      </c>
      <c r="B1000" s="172">
        <v>-1.2284177840385118</v>
      </c>
      <c r="C1000" s="172">
        <v>-2.3993580133895418</v>
      </c>
      <c r="D1000" s="172">
        <v>0.6756623603325641</v>
      </c>
      <c r="E1000" s="171">
        <v>0</v>
      </c>
      <c r="F1000" s="171">
        <f>-$L$1</f>
        <v>-1.4990492230334603E-2</v>
      </c>
      <c r="G1000" s="172">
        <v>0</v>
      </c>
      <c r="H1000" s="172">
        <v>0</v>
      </c>
      <c r="I1000" s="178">
        <f>-$N$1</f>
        <v>-4.7716218756768064E-3</v>
      </c>
      <c r="J1000" s="171">
        <v>0</v>
      </c>
      <c r="L1000">
        <v>0</v>
      </c>
      <c r="M1000">
        <v>1.0793318252481023</v>
      </c>
      <c r="N1000">
        <v>0</v>
      </c>
    </row>
    <row r="1001" spans="1:16">
      <c r="A1001" s="171"/>
      <c r="B1001" s="172">
        <v>0.60912970227287866</v>
      </c>
      <c r="C1001" s="172">
        <v>-0.28261535739067112</v>
      </c>
      <c r="D1001" s="172">
        <v>0.68802996689194662</v>
      </c>
      <c r="E1001" s="171">
        <v>0</v>
      </c>
      <c r="F1001" s="172">
        <v>0</v>
      </c>
      <c r="G1001" s="171">
        <f>-$L$1</f>
        <v>-1.4990492230334603E-2</v>
      </c>
      <c r="H1001" s="172">
        <v>0</v>
      </c>
      <c r="I1001" s="172">
        <v>0</v>
      </c>
      <c r="J1001" s="178">
        <f>-$N$1</f>
        <v>-4.7716218756768064E-3</v>
      </c>
      <c r="L1001">
        <v>0</v>
      </c>
      <c r="M1001">
        <v>0</v>
      </c>
      <c r="N1001">
        <v>0.8225239402721376</v>
      </c>
    </row>
    <row r="1002" spans="1:16">
      <c r="A1002" s="171"/>
      <c r="B1002" s="172"/>
      <c r="C1002" s="172"/>
      <c r="D1002" s="172"/>
      <c r="E1002" s="171"/>
      <c r="F1002" s="171"/>
      <c r="G1002" s="171"/>
      <c r="H1002" s="171"/>
      <c r="I1002" s="171"/>
      <c r="J1002" s="171"/>
    </row>
    <row r="1003" spans="1:16">
      <c r="A1003" s="171"/>
      <c r="B1003" s="172">
        <v>2.5457845528396139E-2</v>
      </c>
      <c r="C1003" s="172">
        <v>-2.3667658472617719</v>
      </c>
      <c r="D1003" s="172">
        <v>-6.368425350466822E-2</v>
      </c>
      <c r="E1003" s="171">
        <f>-$L$1</f>
        <v>-1.4990492230334603E-2</v>
      </c>
      <c r="F1003" s="172">
        <v>0</v>
      </c>
      <c r="G1003" s="172">
        <v>0</v>
      </c>
      <c r="H1003" s="178">
        <f>-$N$1</f>
        <v>-4.7716218756768064E-3</v>
      </c>
      <c r="I1003" s="171">
        <v>0</v>
      </c>
      <c r="J1003" s="171">
        <v>0</v>
      </c>
      <c r="L1003">
        <f t="array" ref="L1003:N1005">SVDD(B1003:J1005)</f>
        <v>3.7843487751802902</v>
      </c>
      <c r="M1003">
        <v>0</v>
      </c>
      <c r="N1003">
        <v>0</v>
      </c>
      <c r="P1003">
        <f t="shared" ref="P1003" si="263">MAX(L1003,M1004,N1005)/MIN(L1003,M1004,N1005)</f>
        <v>5.8437778580612463</v>
      </c>
    </row>
    <row r="1004" spans="1:16">
      <c r="A1004" s="171" t="s">
        <v>464</v>
      </c>
      <c r="B1004" s="172">
        <v>1.0673702345396179</v>
      </c>
      <c r="C1004" s="172">
        <v>-2.4075843796929846</v>
      </c>
      <c r="D1004" s="172">
        <v>0.708799578341892</v>
      </c>
      <c r="E1004" s="171">
        <v>0</v>
      </c>
      <c r="F1004" s="171">
        <f>-$L$1</f>
        <v>-1.4990492230334603E-2</v>
      </c>
      <c r="G1004" s="172">
        <v>0</v>
      </c>
      <c r="H1004" s="172">
        <v>0</v>
      </c>
      <c r="I1004" s="178">
        <f>-$N$1</f>
        <v>-4.7716218756768064E-3</v>
      </c>
      <c r="J1004" s="171">
        <v>0</v>
      </c>
      <c r="L1004">
        <v>0</v>
      </c>
      <c r="M1004">
        <v>1.7438256080606911</v>
      </c>
      <c r="N1004">
        <v>0</v>
      </c>
    </row>
    <row r="1005" spans="1:16">
      <c r="A1005" s="171"/>
      <c r="B1005" s="172">
        <v>-1.3773893306068323</v>
      </c>
      <c r="C1005" s="172">
        <v>-1.5521003879162059</v>
      </c>
      <c r="D1005" s="172">
        <v>0.65590292152571228</v>
      </c>
      <c r="E1005" s="171">
        <v>0</v>
      </c>
      <c r="F1005" s="172">
        <v>0</v>
      </c>
      <c r="G1005" s="171">
        <f>-$L$1</f>
        <v>-1.4990492230334603E-2</v>
      </c>
      <c r="H1005" s="172">
        <v>0</v>
      </c>
      <c r="I1005" s="172">
        <v>0</v>
      </c>
      <c r="J1005" s="178">
        <f>-$N$1</f>
        <v>-4.7716218756768064E-3</v>
      </c>
      <c r="L1005">
        <v>0</v>
      </c>
      <c r="M1005">
        <v>0</v>
      </c>
      <c r="N1005">
        <v>0.64758600807522826</v>
      </c>
    </row>
    <row r="1006" spans="1:16">
      <c r="A1006" s="171"/>
      <c r="B1006" s="172"/>
      <c r="C1006" s="172"/>
      <c r="D1006" s="172"/>
      <c r="E1006" s="171"/>
      <c r="F1006" s="171"/>
      <c r="G1006" s="171"/>
      <c r="H1006" s="171"/>
      <c r="I1006" s="171"/>
      <c r="J1006" s="171"/>
    </row>
    <row r="1007" spans="1:16">
      <c r="A1007" s="171"/>
      <c r="B1007" s="172">
        <v>2.5457845528396139E-2</v>
      </c>
      <c r="C1007" s="172">
        <v>-2.3667658472617719</v>
      </c>
      <c r="D1007" s="172">
        <v>-6.368425350466822E-2</v>
      </c>
      <c r="E1007" s="171">
        <f>-$L$1</f>
        <v>-1.4990492230334603E-2</v>
      </c>
      <c r="F1007" s="172">
        <v>0</v>
      </c>
      <c r="G1007" s="172">
        <v>0</v>
      </c>
      <c r="H1007" s="178">
        <f>-$N$1</f>
        <v>-4.7716218756768064E-3</v>
      </c>
      <c r="I1007" s="171">
        <v>0</v>
      </c>
      <c r="J1007" s="171">
        <v>0</v>
      </c>
      <c r="L1007">
        <f t="array" ref="L1007:N1009">SVDD(B1007:J1009)</f>
        <v>3.9457095677646086</v>
      </c>
      <c r="M1007">
        <v>0</v>
      </c>
      <c r="N1007">
        <v>0</v>
      </c>
      <c r="P1007">
        <f t="shared" ref="P1007" si="264">MAX(L1007,M1008,N1009)/MIN(L1007,M1008,N1009)</f>
        <v>27.105146996625582</v>
      </c>
    </row>
    <row r="1008" spans="1:16">
      <c r="A1008" s="171" t="s">
        <v>465</v>
      </c>
      <c r="B1008" s="172">
        <v>1.0673702345396179</v>
      </c>
      <c r="C1008" s="172">
        <v>-2.4075843796929846</v>
      </c>
      <c r="D1008" s="172">
        <v>0.708799578341892</v>
      </c>
      <c r="E1008" s="171">
        <v>0</v>
      </c>
      <c r="F1008" s="171">
        <f>-$L$1</f>
        <v>-1.4990492230334603E-2</v>
      </c>
      <c r="G1008" s="172">
        <v>0</v>
      </c>
      <c r="H1008" s="172">
        <v>0</v>
      </c>
      <c r="I1008" s="178">
        <f>-$N$1</f>
        <v>-4.7716218756768064E-3</v>
      </c>
      <c r="J1008" s="171">
        <v>0</v>
      </c>
      <c r="L1008">
        <v>0</v>
      </c>
      <c r="M1008">
        <v>1.37386203961839</v>
      </c>
      <c r="N1008">
        <v>0</v>
      </c>
    </row>
    <row r="1009" spans="1:16">
      <c r="A1009" s="171"/>
      <c r="B1009" s="172">
        <v>1.4675604394566215</v>
      </c>
      <c r="C1009" s="172">
        <v>-1.3235781323919831</v>
      </c>
      <c r="D1009" s="172">
        <v>0.72564008456612294</v>
      </c>
      <c r="E1009" s="171">
        <v>0</v>
      </c>
      <c r="F1009" s="172">
        <v>0</v>
      </c>
      <c r="G1009" s="171">
        <f>-$L$1</f>
        <v>-1.4990492230334603E-2</v>
      </c>
      <c r="H1009" s="172">
        <v>0</v>
      </c>
      <c r="I1009" s="172">
        <v>0</v>
      </c>
      <c r="J1009" s="178">
        <f>-$N$1</f>
        <v>-4.7716218756768064E-3</v>
      </c>
      <c r="L1009">
        <v>0</v>
      </c>
      <c r="M1009">
        <v>0</v>
      </c>
      <c r="N1009">
        <v>0.14557049139987413</v>
      </c>
    </row>
    <row r="1010" spans="1:16">
      <c r="A1010" s="171"/>
      <c r="B1010" s="172"/>
      <c r="C1010" s="172"/>
      <c r="D1010" s="172"/>
      <c r="E1010" s="171"/>
      <c r="F1010" s="171"/>
      <c r="G1010" s="171"/>
      <c r="H1010" s="171"/>
      <c r="I1010" s="171"/>
      <c r="J1010" s="171"/>
    </row>
    <row r="1011" spans="1:16">
      <c r="A1011" s="171"/>
      <c r="B1011" s="172">
        <v>2.5457845528396139E-2</v>
      </c>
      <c r="C1011" s="172">
        <v>-2.3667658472617719</v>
      </c>
      <c r="D1011" s="172">
        <v>-6.368425350466822E-2</v>
      </c>
      <c r="E1011" s="171">
        <f>-$L$1</f>
        <v>-1.4990492230334603E-2</v>
      </c>
      <c r="F1011" s="172">
        <v>0</v>
      </c>
      <c r="G1011" s="172">
        <v>0</v>
      </c>
      <c r="H1011" s="178">
        <f>-$N$1</f>
        <v>-4.7716218756768064E-3</v>
      </c>
      <c r="I1011" s="171">
        <v>0</v>
      </c>
      <c r="J1011" s="171">
        <v>0</v>
      </c>
      <c r="L1011">
        <f t="array" ref="L1011:N1013">SVDD(B1011:J1013)</f>
        <v>3.5062066364412945</v>
      </c>
      <c r="M1011">
        <v>0</v>
      </c>
      <c r="N1011">
        <v>0</v>
      </c>
      <c r="P1011">
        <f t="shared" ref="P1011" si="265">MAX(L1011,M1012,N1013)/MIN(L1011,M1012,N1013)</f>
        <v>4.3641874151518767</v>
      </c>
    </row>
    <row r="1012" spans="1:16">
      <c r="A1012" s="171" t="s">
        <v>466</v>
      </c>
      <c r="B1012" s="172">
        <v>1.0673702345396179</v>
      </c>
      <c r="C1012" s="172">
        <v>-2.4075843796929846</v>
      </c>
      <c r="D1012" s="172">
        <v>0.708799578341892</v>
      </c>
      <c r="E1012" s="171">
        <v>0</v>
      </c>
      <c r="F1012" s="171">
        <f>-$L$1</f>
        <v>-1.4990492230334603E-2</v>
      </c>
      <c r="G1012" s="172">
        <v>0</v>
      </c>
      <c r="H1012" s="172">
        <v>0</v>
      </c>
      <c r="I1012" s="178">
        <f>-$N$1</f>
        <v>-4.7716218756768064E-3</v>
      </c>
      <c r="J1012" s="171">
        <v>0</v>
      </c>
      <c r="L1012">
        <v>0</v>
      </c>
      <c r="M1012">
        <v>1.3344719653468469</v>
      </c>
      <c r="N1012">
        <v>0</v>
      </c>
    </row>
    <row r="1013" spans="1:16">
      <c r="A1013" s="171"/>
      <c r="B1013" s="172">
        <v>-1.0097006711160386</v>
      </c>
      <c r="C1013" s="172">
        <v>-0.26302086313966178</v>
      </c>
      <c r="D1013" s="172">
        <v>0.76545275918666766</v>
      </c>
      <c r="E1013" s="171">
        <v>0</v>
      </c>
      <c r="F1013" s="172">
        <v>0</v>
      </c>
      <c r="G1013" s="171">
        <f>-$L$1</f>
        <v>-1.4990492230334603E-2</v>
      </c>
      <c r="H1013" s="172">
        <v>0</v>
      </c>
      <c r="I1013" s="172">
        <v>0</v>
      </c>
      <c r="J1013" s="178">
        <f>-$N$1</f>
        <v>-4.7716218756768064E-3</v>
      </c>
      <c r="L1013">
        <v>0</v>
      </c>
      <c r="M1013">
        <v>0</v>
      </c>
      <c r="N1013">
        <v>0.80340423151128038</v>
      </c>
    </row>
    <row r="1014" spans="1:16">
      <c r="A1014" s="171"/>
      <c r="B1014" s="172"/>
      <c r="C1014" s="172"/>
      <c r="D1014" s="172"/>
      <c r="E1014" s="171"/>
      <c r="F1014" s="171"/>
      <c r="G1014" s="171"/>
      <c r="H1014" s="171"/>
      <c r="I1014" s="171"/>
      <c r="J1014" s="171"/>
    </row>
    <row r="1015" spans="1:16">
      <c r="A1015" s="171"/>
      <c r="B1015" s="172">
        <v>2.5457845528396139E-2</v>
      </c>
      <c r="C1015" s="172">
        <v>-2.3667658472617719</v>
      </c>
      <c r="D1015" s="172">
        <v>-6.368425350466822E-2</v>
      </c>
      <c r="E1015" s="171">
        <f>-$L$1</f>
        <v>-1.4990492230334603E-2</v>
      </c>
      <c r="F1015" s="172">
        <v>0</v>
      </c>
      <c r="G1015" s="172">
        <v>0</v>
      </c>
      <c r="H1015" s="178">
        <f>-$N$1</f>
        <v>-4.7716218756768064E-3</v>
      </c>
      <c r="I1015" s="171">
        <v>0</v>
      </c>
      <c r="J1015" s="171">
        <v>0</v>
      </c>
      <c r="L1015">
        <f t="array" ref="L1015:N1017">SVDD(B1015:J1017)</f>
        <v>3.543370189330354</v>
      </c>
      <c r="M1015">
        <v>0</v>
      </c>
      <c r="N1015">
        <v>0</v>
      </c>
      <c r="P1015">
        <f t="shared" ref="P1015" si="266">MAX(L1015,M1016,N1017)/MIN(L1015,M1016,N1017)</f>
        <v>24.345896072043825</v>
      </c>
    </row>
    <row r="1016" spans="1:16">
      <c r="A1016" s="171" t="s">
        <v>467</v>
      </c>
      <c r="B1016" s="172">
        <v>1.0673702345396179</v>
      </c>
      <c r="C1016" s="172">
        <v>-2.4075843796929846</v>
      </c>
      <c r="D1016" s="172">
        <v>0.708799578341892</v>
      </c>
      <c r="E1016" s="171">
        <v>0</v>
      </c>
      <c r="F1016" s="171">
        <f>-$L$1</f>
        <v>-1.4990492230334603E-2</v>
      </c>
      <c r="G1016" s="172">
        <v>0</v>
      </c>
      <c r="H1016" s="172">
        <v>0</v>
      </c>
      <c r="I1016" s="178">
        <f>-$N$1</f>
        <v>-4.7716218756768064E-3</v>
      </c>
      <c r="J1016" s="171">
        <v>0</v>
      </c>
      <c r="L1016">
        <v>0</v>
      </c>
      <c r="M1016">
        <v>1.1801720542024812</v>
      </c>
      <c r="N1016">
        <v>0</v>
      </c>
    </row>
    <row r="1017" spans="1:16">
      <c r="A1017" s="171"/>
      <c r="B1017" s="172">
        <v>0.60912970227287866</v>
      </c>
      <c r="C1017" s="172">
        <v>-0.28261535739067112</v>
      </c>
      <c r="D1017" s="172">
        <v>0.68802996689194662</v>
      </c>
      <c r="E1017" s="171">
        <v>0</v>
      </c>
      <c r="F1017" s="172">
        <v>0</v>
      </c>
      <c r="G1017" s="171">
        <f>-$L$1</f>
        <v>-1.4990492230334603E-2</v>
      </c>
      <c r="H1017" s="172">
        <v>0</v>
      </c>
      <c r="I1017" s="172">
        <v>0</v>
      </c>
      <c r="J1017" s="178">
        <f>-$N$1</f>
        <v>-4.7716218756768064E-3</v>
      </c>
      <c r="L1017">
        <v>0</v>
      </c>
      <c r="M1017">
        <v>0</v>
      </c>
      <c r="N1017">
        <v>0.14554281258923035</v>
      </c>
    </row>
    <row r="1018" spans="1:16">
      <c r="A1018" s="171"/>
      <c r="B1018" s="172"/>
      <c r="C1018" s="172"/>
      <c r="D1018" s="172"/>
      <c r="E1018" s="171"/>
      <c r="F1018" s="171"/>
      <c r="G1018" s="171"/>
      <c r="H1018" s="171"/>
      <c r="I1018" s="171"/>
      <c r="J1018" s="171"/>
    </row>
    <row r="1019" spans="1:16">
      <c r="A1019" s="171"/>
      <c r="B1019" s="172">
        <v>2.5457845528396139E-2</v>
      </c>
      <c r="C1019" s="172">
        <v>-2.3667658472617719</v>
      </c>
      <c r="D1019" s="172">
        <v>-6.368425350466822E-2</v>
      </c>
      <c r="E1019" s="171">
        <f>-$L$1</f>
        <v>-1.4990492230334603E-2</v>
      </c>
      <c r="F1019" s="172">
        <v>0</v>
      </c>
      <c r="G1019" s="172">
        <v>0</v>
      </c>
      <c r="H1019" s="178">
        <f>-$N$1</f>
        <v>-4.7716218756768064E-3</v>
      </c>
      <c r="I1019" s="171">
        <v>0</v>
      </c>
      <c r="J1019" s="171">
        <v>0</v>
      </c>
      <c r="L1019">
        <f t="array" ref="L1019:N1021">SVDD(B1019:J1021)</f>
        <v>3.1825852177535725</v>
      </c>
      <c r="M1019">
        <v>0</v>
      </c>
      <c r="N1019">
        <v>0</v>
      </c>
      <c r="P1019">
        <f t="shared" ref="P1019" si="267">MAX(L1019,M1020,N1021)/MIN(L1019,M1020,N1021)</f>
        <v>4.1542366580132848</v>
      </c>
    </row>
    <row r="1020" spans="1:16">
      <c r="A1020" s="171" t="s">
        <v>468</v>
      </c>
      <c r="B1020" s="172">
        <v>-1.3773893306068323</v>
      </c>
      <c r="C1020" s="172">
        <v>-1.5521003879162059</v>
      </c>
      <c r="D1020" s="172">
        <v>0.65590292152571228</v>
      </c>
      <c r="E1020" s="171">
        <v>0</v>
      </c>
      <c r="F1020" s="171">
        <f>-$L$1</f>
        <v>-1.4990492230334603E-2</v>
      </c>
      <c r="G1020" s="172">
        <v>0</v>
      </c>
      <c r="H1020" s="172">
        <v>0</v>
      </c>
      <c r="I1020" s="178">
        <f>-$N$1</f>
        <v>-4.7716218756768064E-3</v>
      </c>
      <c r="J1020" s="171">
        <v>0</v>
      </c>
      <c r="L1020">
        <v>0</v>
      </c>
      <c r="M1020">
        <v>2.0149024206574611</v>
      </c>
      <c r="N1020">
        <v>0</v>
      </c>
    </row>
    <row r="1021" spans="1:16">
      <c r="A1021" s="171"/>
      <c r="B1021" s="172">
        <v>1.4675604394566215</v>
      </c>
      <c r="C1021" s="172">
        <v>-1.3235781323919831</v>
      </c>
      <c r="D1021" s="172">
        <v>0.72564008456612294</v>
      </c>
      <c r="E1021" s="171">
        <v>0</v>
      </c>
      <c r="F1021" s="172">
        <v>0</v>
      </c>
      <c r="G1021" s="171">
        <f>-$L$1</f>
        <v>-1.4990492230334603E-2</v>
      </c>
      <c r="H1021" s="172">
        <v>0</v>
      </c>
      <c r="I1021" s="172">
        <v>0</v>
      </c>
      <c r="J1021" s="178">
        <f>-$N$1</f>
        <v>-4.7716218756768064E-3</v>
      </c>
      <c r="L1021">
        <v>0</v>
      </c>
      <c r="M1021">
        <v>0</v>
      </c>
      <c r="N1021">
        <v>0.76610590097570574</v>
      </c>
    </row>
    <row r="1022" spans="1:16">
      <c r="A1022" s="171"/>
      <c r="B1022" s="172"/>
      <c r="C1022" s="172"/>
      <c r="D1022" s="172"/>
      <c r="E1022" s="171"/>
      <c r="F1022" s="171"/>
      <c r="G1022" s="171"/>
      <c r="H1022" s="171"/>
      <c r="I1022" s="171"/>
      <c r="J1022" s="171"/>
    </row>
    <row r="1023" spans="1:16">
      <c r="A1023" s="171"/>
      <c r="B1023" s="172">
        <v>2.5457845528396139E-2</v>
      </c>
      <c r="C1023" s="172">
        <v>-2.3667658472617719</v>
      </c>
      <c r="D1023" s="172">
        <v>-6.368425350466822E-2</v>
      </c>
      <c r="E1023" s="171">
        <f>-$L$1</f>
        <v>-1.4990492230334603E-2</v>
      </c>
      <c r="F1023" s="172">
        <v>0</v>
      </c>
      <c r="G1023" s="172">
        <v>0</v>
      </c>
      <c r="H1023" s="178">
        <f>-$N$1</f>
        <v>-4.7716218756768064E-3</v>
      </c>
      <c r="I1023" s="171">
        <v>0</v>
      </c>
      <c r="J1023" s="171">
        <v>0</v>
      </c>
      <c r="L1023">
        <f t="array" ref="L1023:N1025">SVDD(B1023:J1025)</f>
        <v>3.04990246627227</v>
      </c>
      <c r="M1023">
        <v>0</v>
      </c>
      <c r="N1023">
        <v>0</v>
      </c>
      <c r="P1023">
        <f t="shared" ref="P1023" si="268">MAX(L1023,M1024,N1025)/MIN(L1023,M1024,N1025)</f>
        <v>17.308898192853974</v>
      </c>
    </row>
    <row r="1024" spans="1:16">
      <c r="A1024" s="171" t="s">
        <v>469</v>
      </c>
      <c r="B1024" s="172">
        <v>-1.3773893306068323</v>
      </c>
      <c r="C1024" s="172">
        <v>-1.5521003879162059</v>
      </c>
      <c r="D1024" s="172">
        <v>0.65590292152571228</v>
      </c>
      <c r="E1024" s="171">
        <v>0</v>
      </c>
      <c r="F1024" s="171">
        <f>-$L$1</f>
        <v>-1.4990492230334603E-2</v>
      </c>
      <c r="G1024" s="172">
        <v>0</v>
      </c>
      <c r="H1024" s="172">
        <v>0</v>
      </c>
      <c r="I1024" s="178">
        <f>-$N$1</f>
        <v>-4.7716218756768064E-3</v>
      </c>
      <c r="J1024" s="171">
        <v>0</v>
      </c>
      <c r="L1024">
        <v>0</v>
      </c>
      <c r="M1024">
        <v>1.6386252682515006</v>
      </c>
      <c r="N1024">
        <v>0</v>
      </c>
    </row>
    <row r="1025" spans="1:16">
      <c r="A1025" s="171"/>
      <c r="B1025" s="172">
        <v>-1.0097006711160386</v>
      </c>
      <c r="C1025" s="172">
        <v>-0.26302086313966178</v>
      </c>
      <c r="D1025" s="172">
        <v>0.76545275918666766</v>
      </c>
      <c r="E1025" s="171">
        <v>0</v>
      </c>
      <c r="F1025" s="172">
        <v>0</v>
      </c>
      <c r="G1025" s="171">
        <f>-$L$1</f>
        <v>-1.4990492230334603E-2</v>
      </c>
      <c r="H1025" s="172">
        <v>0</v>
      </c>
      <c r="I1025" s="172">
        <v>0</v>
      </c>
      <c r="J1025" s="178">
        <f>-$N$1</f>
        <v>-4.7716218756768064E-3</v>
      </c>
      <c r="L1025">
        <v>0</v>
      </c>
      <c r="M1025">
        <v>0</v>
      </c>
      <c r="N1025">
        <v>0.17620431019297522</v>
      </c>
    </row>
    <row r="1026" spans="1:16">
      <c r="A1026" s="171"/>
      <c r="B1026" s="172"/>
      <c r="C1026" s="172"/>
      <c r="D1026" s="172"/>
      <c r="E1026" s="171"/>
      <c r="F1026" s="171"/>
      <c r="G1026" s="171"/>
      <c r="H1026" s="171"/>
      <c r="I1026" s="171"/>
      <c r="J1026" s="171"/>
    </row>
    <row r="1027" spans="1:16">
      <c r="A1027" s="171"/>
      <c r="B1027" s="172">
        <v>2.5457845528396139E-2</v>
      </c>
      <c r="C1027" s="172">
        <v>-2.3667658472617719</v>
      </c>
      <c r="D1027" s="172">
        <v>-6.368425350466822E-2</v>
      </c>
      <c r="E1027" s="171">
        <f>-$L$1</f>
        <v>-1.4990492230334603E-2</v>
      </c>
      <c r="F1027" s="172">
        <v>0</v>
      </c>
      <c r="G1027" s="172">
        <v>0</v>
      </c>
      <c r="H1027" s="178">
        <f>-$N$1</f>
        <v>-4.7716218756768064E-3</v>
      </c>
      <c r="I1027" s="171">
        <v>0</v>
      </c>
      <c r="J1027" s="171">
        <v>0</v>
      </c>
      <c r="L1027">
        <f t="array" ref="L1027:N1029">SVDD(B1027:J1029)</f>
        <v>2.97116667608806</v>
      </c>
      <c r="M1027">
        <v>0</v>
      </c>
      <c r="N1027">
        <v>0</v>
      </c>
      <c r="P1027">
        <f t="shared" ref="P1027" si="269">MAX(L1027,M1028,N1029)/MIN(L1027,M1028,N1029)</f>
        <v>3.5187890734996405</v>
      </c>
    </row>
    <row r="1028" spans="1:16">
      <c r="A1028" s="171" t="s">
        <v>470</v>
      </c>
      <c r="B1028" s="172">
        <v>-1.3773893306068323</v>
      </c>
      <c r="C1028" s="172">
        <v>-1.5521003879162059</v>
      </c>
      <c r="D1028" s="172">
        <v>0.65590292152571228</v>
      </c>
      <c r="E1028" s="171">
        <v>0</v>
      </c>
      <c r="F1028" s="171">
        <f>-$L$1</f>
        <v>-1.4990492230334603E-2</v>
      </c>
      <c r="G1028" s="172">
        <v>0</v>
      </c>
      <c r="H1028" s="172">
        <v>0</v>
      </c>
      <c r="I1028" s="178">
        <f>-$N$1</f>
        <v>-4.7716218756768064E-3</v>
      </c>
      <c r="J1028" s="171">
        <v>0</v>
      </c>
      <c r="L1028">
        <v>0</v>
      </c>
      <c r="M1028">
        <v>1.3141357442762609</v>
      </c>
      <c r="N1028">
        <v>0</v>
      </c>
    </row>
    <row r="1029" spans="1:16">
      <c r="A1029" s="171"/>
      <c r="B1029" s="172">
        <v>0.60912970227287866</v>
      </c>
      <c r="C1029" s="172">
        <v>-0.28261535739067112</v>
      </c>
      <c r="D1029" s="172">
        <v>0.68802996689194662</v>
      </c>
      <c r="E1029" s="171">
        <v>0</v>
      </c>
      <c r="F1029" s="172">
        <v>0</v>
      </c>
      <c r="G1029" s="171">
        <f>-$L$1</f>
        <v>-1.4990492230334603E-2</v>
      </c>
      <c r="H1029" s="172">
        <v>0</v>
      </c>
      <c r="I1029" s="172">
        <v>0</v>
      </c>
      <c r="J1029" s="178">
        <f>-$N$1</f>
        <v>-4.7716218756768064E-3</v>
      </c>
      <c r="L1029">
        <v>0</v>
      </c>
      <c r="M1029">
        <v>0</v>
      </c>
      <c r="N1029">
        <v>0.84437191716440729</v>
      </c>
    </row>
    <row r="1030" spans="1:16">
      <c r="A1030" s="171"/>
      <c r="B1030" s="172"/>
      <c r="C1030" s="172"/>
      <c r="D1030" s="172"/>
      <c r="E1030" s="171"/>
      <c r="F1030" s="171"/>
      <c r="G1030" s="171"/>
      <c r="H1030" s="171"/>
      <c r="I1030" s="171"/>
      <c r="J1030" s="171"/>
    </row>
    <row r="1031" spans="1:16">
      <c r="A1031" s="171"/>
      <c r="B1031" s="172">
        <v>2.5457845528396139E-2</v>
      </c>
      <c r="C1031" s="172">
        <v>-2.3667658472617719</v>
      </c>
      <c r="D1031" s="172">
        <v>-6.368425350466822E-2</v>
      </c>
      <c r="E1031" s="171">
        <f>-$L$1</f>
        <v>-1.4990492230334603E-2</v>
      </c>
      <c r="F1031" s="172">
        <v>0</v>
      </c>
      <c r="G1031" s="172">
        <v>0</v>
      </c>
      <c r="H1031" s="178">
        <f>-$N$1</f>
        <v>-4.7716218756768064E-3</v>
      </c>
      <c r="I1031" s="171">
        <v>0</v>
      </c>
      <c r="J1031" s="171">
        <v>0</v>
      </c>
      <c r="L1031">
        <f t="array" ref="L1031:N1033">SVDD(B1031:J1033)</f>
        <v>2.8632725892798132</v>
      </c>
      <c r="M1031">
        <v>0</v>
      </c>
      <c r="N1031">
        <v>0</v>
      </c>
      <c r="P1031">
        <f t="shared" ref="P1031" si="270">MAX(L1031,M1032,N1033)/MIN(L1031,M1032,N1033)</f>
        <v>2.9246852621052959</v>
      </c>
    </row>
    <row r="1032" spans="1:16">
      <c r="A1032" s="171" t="s">
        <v>471</v>
      </c>
      <c r="B1032" s="172">
        <v>1.4675604394566215</v>
      </c>
      <c r="C1032" s="172">
        <v>-1.3235781323919831</v>
      </c>
      <c r="D1032" s="172">
        <v>0.72564008456612294</v>
      </c>
      <c r="E1032" s="171">
        <v>0</v>
      </c>
      <c r="F1032" s="171">
        <f>-$L$1</f>
        <v>-1.4990492230334603E-2</v>
      </c>
      <c r="G1032" s="172">
        <v>0</v>
      </c>
      <c r="H1032" s="172">
        <v>0</v>
      </c>
      <c r="I1032" s="178">
        <f>-$N$1</f>
        <v>-4.7716218756768064E-3</v>
      </c>
      <c r="J1032" s="171">
        <v>0</v>
      </c>
      <c r="L1032">
        <v>0</v>
      </c>
      <c r="M1032">
        <v>1.5990596166885567</v>
      </c>
      <c r="N1032">
        <v>0</v>
      </c>
    </row>
    <row r="1033" spans="1:16">
      <c r="A1033" s="171"/>
      <c r="B1033" s="172">
        <v>-1.0097006711160386</v>
      </c>
      <c r="C1033" s="172">
        <v>-0.26302086313966178</v>
      </c>
      <c r="D1033" s="172">
        <v>0.76545275918666766</v>
      </c>
      <c r="E1033" s="171">
        <v>0</v>
      </c>
      <c r="F1033" s="172">
        <v>0</v>
      </c>
      <c r="G1033" s="171">
        <f>-$L$1</f>
        <v>-1.4990492230334603E-2</v>
      </c>
      <c r="H1033" s="172">
        <v>0</v>
      </c>
      <c r="I1033" s="172">
        <v>0</v>
      </c>
      <c r="J1033" s="178">
        <f>-$N$1</f>
        <v>-4.7716218756768064E-3</v>
      </c>
      <c r="L1033">
        <v>0</v>
      </c>
      <c r="M1033">
        <v>0</v>
      </c>
      <c r="N1033">
        <v>0.97900195497231879</v>
      </c>
    </row>
    <row r="1034" spans="1:16">
      <c r="A1034" s="171"/>
      <c r="B1034" s="172"/>
      <c r="C1034" s="172"/>
      <c r="D1034" s="172"/>
      <c r="E1034" s="171"/>
      <c r="F1034" s="171"/>
      <c r="G1034" s="171"/>
      <c r="H1034" s="171"/>
      <c r="I1034" s="171"/>
      <c r="J1034" s="171"/>
    </row>
    <row r="1035" spans="1:16">
      <c r="A1035" s="171"/>
      <c r="B1035" s="172">
        <v>2.5457845528396139E-2</v>
      </c>
      <c r="C1035" s="172">
        <v>-2.3667658472617719</v>
      </c>
      <c r="D1035" s="172">
        <v>-6.368425350466822E-2</v>
      </c>
      <c r="E1035" s="171">
        <f>-$L$1</f>
        <v>-1.4990492230334603E-2</v>
      </c>
      <c r="F1035" s="172">
        <v>0</v>
      </c>
      <c r="G1035" s="172">
        <v>0</v>
      </c>
      <c r="H1035" s="178">
        <f>-$N$1</f>
        <v>-4.7716218756768064E-3</v>
      </c>
      <c r="I1035" s="171">
        <v>0</v>
      </c>
      <c r="J1035" s="171">
        <v>0</v>
      </c>
      <c r="L1035">
        <f t="array" ref="L1035:N1037">SVDD(B1035:J1037)</f>
        <v>2.9238502231079195</v>
      </c>
      <c r="M1035">
        <v>0</v>
      </c>
      <c r="N1035">
        <v>0</v>
      </c>
      <c r="P1035">
        <f t="shared" ref="P1035" si="271">MAX(L1035,M1036,N1037)/MIN(L1035,M1036,N1037)</f>
        <v>10.015423341047251</v>
      </c>
    </row>
    <row r="1036" spans="1:16">
      <c r="A1036" s="171" t="s">
        <v>472</v>
      </c>
      <c r="B1036" s="172">
        <v>1.4675604394566215</v>
      </c>
      <c r="C1036" s="172">
        <v>-1.3235781323919831</v>
      </c>
      <c r="D1036" s="172">
        <v>0.72564008456612294</v>
      </c>
      <c r="E1036" s="171">
        <v>0</v>
      </c>
      <c r="F1036" s="171">
        <f>-$L$1</f>
        <v>-1.4990492230334603E-2</v>
      </c>
      <c r="G1036" s="172">
        <v>0</v>
      </c>
      <c r="H1036" s="172">
        <v>0</v>
      </c>
      <c r="I1036" s="178">
        <f>-$N$1</f>
        <v>-4.7716218756768064E-3</v>
      </c>
      <c r="J1036" s="171">
        <v>0</v>
      </c>
      <c r="L1036">
        <v>0</v>
      </c>
      <c r="M1036">
        <v>1.5262184304808444</v>
      </c>
      <c r="N1036">
        <v>0</v>
      </c>
    </row>
    <row r="1037" spans="1:16">
      <c r="A1037" s="171"/>
      <c r="B1037" s="172">
        <v>0.60912970227287866</v>
      </c>
      <c r="C1037" s="172">
        <v>-0.28261535739067112</v>
      </c>
      <c r="D1037" s="172">
        <v>0.68802996689194662</v>
      </c>
      <c r="E1037" s="171">
        <v>0</v>
      </c>
      <c r="F1037" s="172">
        <v>0</v>
      </c>
      <c r="G1037" s="171">
        <f>-$L$1</f>
        <v>-1.4990492230334603E-2</v>
      </c>
      <c r="H1037" s="172">
        <v>0</v>
      </c>
      <c r="I1037" s="172">
        <v>0</v>
      </c>
      <c r="J1037" s="178">
        <f>-$N$1</f>
        <v>-4.7716218756768064E-3</v>
      </c>
      <c r="L1037">
        <v>0</v>
      </c>
      <c r="M1037">
        <v>0</v>
      </c>
      <c r="N1037">
        <v>0.29193476137197316</v>
      </c>
    </row>
    <row r="1038" spans="1:16">
      <c r="A1038" s="171"/>
      <c r="B1038" s="172"/>
      <c r="C1038" s="172"/>
      <c r="D1038" s="172"/>
      <c r="E1038" s="171"/>
      <c r="F1038" s="171"/>
      <c r="G1038" s="171"/>
      <c r="H1038" s="171"/>
      <c r="I1038" s="171"/>
      <c r="J1038" s="171"/>
    </row>
    <row r="1039" spans="1:16">
      <c r="A1039" s="171"/>
      <c r="B1039" s="172">
        <v>2.5457845528396139E-2</v>
      </c>
      <c r="C1039" s="172">
        <v>-2.3667658472617719</v>
      </c>
      <c r="D1039" s="172">
        <v>-6.368425350466822E-2</v>
      </c>
      <c r="E1039" s="171">
        <f>-$L$1</f>
        <v>-1.4990492230334603E-2</v>
      </c>
      <c r="F1039" s="172">
        <v>0</v>
      </c>
      <c r="G1039" s="172">
        <v>0</v>
      </c>
      <c r="H1039" s="178">
        <f>-$N$1</f>
        <v>-4.7716218756768064E-3</v>
      </c>
      <c r="I1039" s="171">
        <v>0</v>
      </c>
      <c r="J1039" s="171">
        <v>0</v>
      </c>
      <c r="L1039">
        <f t="array" ref="L1039:N1041">SVDD(B1039:J1041)</f>
        <v>2.4008892850610968</v>
      </c>
      <c r="M1039">
        <v>0</v>
      </c>
      <c r="N1039">
        <v>0</v>
      </c>
      <c r="P1039">
        <f t="shared" ref="P1039" si="272">MAX(L1039,M1040,N1041)/MIN(L1039,M1040,N1041)</f>
        <v>2.6371099326821943</v>
      </c>
    </row>
    <row r="1040" spans="1:16">
      <c r="A1040" s="171" t="s">
        <v>473</v>
      </c>
      <c r="B1040" s="172">
        <v>-1.0097006711160386</v>
      </c>
      <c r="C1040" s="172">
        <v>-0.26302086313966178</v>
      </c>
      <c r="D1040" s="172">
        <v>0.76545275918666766</v>
      </c>
      <c r="E1040" s="171">
        <v>0</v>
      </c>
      <c r="F1040" s="171">
        <f>-$L$1</f>
        <v>-1.4990492230334603E-2</v>
      </c>
      <c r="G1040" s="172">
        <v>0</v>
      </c>
      <c r="H1040" s="172">
        <v>0</v>
      </c>
      <c r="I1040" s="178">
        <f>-$N$1</f>
        <v>-4.7716218756768064E-3</v>
      </c>
      <c r="J1040" s="171">
        <v>0</v>
      </c>
      <c r="L1040">
        <v>0</v>
      </c>
      <c r="M1040">
        <v>1.2699503301376573</v>
      </c>
      <c r="N1040">
        <v>0</v>
      </c>
    </row>
    <row r="1041" spans="1:16">
      <c r="A1041" s="171"/>
      <c r="B1041" s="172">
        <v>0.60912970227287866</v>
      </c>
      <c r="C1041" s="172">
        <v>-0.28261535739067112</v>
      </c>
      <c r="D1041" s="172">
        <v>0.68802996689194662</v>
      </c>
      <c r="E1041" s="171">
        <v>0</v>
      </c>
      <c r="F1041" s="172">
        <v>0</v>
      </c>
      <c r="G1041" s="171">
        <f>-$L$1</f>
        <v>-1.4990492230334603E-2</v>
      </c>
      <c r="H1041" s="172">
        <v>0</v>
      </c>
      <c r="I1041" s="172">
        <v>0</v>
      </c>
      <c r="J1041" s="178">
        <f>-$N$1</f>
        <v>-4.7716218756768064E-3</v>
      </c>
      <c r="L1041">
        <v>0</v>
      </c>
      <c r="M1041">
        <v>0</v>
      </c>
      <c r="N1041">
        <v>0.91042442156332926</v>
      </c>
    </row>
    <row r="1042" spans="1:16">
      <c r="A1042" s="171"/>
      <c r="B1042" s="172"/>
      <c r="C1042" s="172"/>
      <c r="D1042" s="172"/>
      <c r="E1042" s="171"/>
      <c r="F1042" s="171"/>
      <c r="G1042" s="171"/>
      <c r="H1042" s="171"/>
      <c r="I1042" s="171"/>
      <c r="J1042" s="171"/>
    </row>
    <row r="1043" spans="1:16">
      <c r="A1043" s="171"/>
      <c r="B1043" s="172">
        <v>-1.2284177840385118</v>
      </c>
      <c r="C1043" s="172">
        <v>-2.3993580133895418</v>
      </c>
      <c r="D1043" s="172">
        <v>0.6756623603325641</v>
      </c>
      <c r="E1043" s="171">
        <f>-$L$1</f>
        <v>-1.4990492230334603E-2</v>
      </c>
      <c r="F1043" s="172">
        <v>0</v>
      </c>
      <c r="G1043" s="172">
        <v>0</v>
      </c>
      <c r="H1043" s="178">
        <f>-$N$1</f>
        <v>-4.7716218756768064E-3</v>
      </c>
      <c r="I1043" s="171">
        <v>0</v>
      </c>
      <c r="J1043" s="171">
        <v>0</v>
      </c>
      <c r="L1043">
        <f t="array" ref="L1043:N1045">SVDD(B1043:J1045)</f>
        <v>3.9942350452056745</v>
      </c>
      <c r="M1043">
        <v>0</v>
      </c>
      <c r="N1043">
        <v>0</v>
      </c>
      <c r="P1043">
        <f t="shared" ref="P1043" si="273">MAX(L1043,M1044,N1045)/MIN(L1043,M1044,N1045)</f>
        <v>25.125840436768463</v>
      </c>
    </row>
    <row r="1044" spans="1:16">
      <c r="A1044" s="171" t="s">
        <v>474</v>
      </c>
      <c r="B1044" s="172">
        <v>1.0673702345396179</v>
      </c>
      <c r="C1044" s="172">
        <v>-2.4075843796929846</v>
      </c>
      <c r="D1044" s="172">
        <v>0.708799578341892</v>
      </c>
      <c r="E1044" s="171">
        <v>0</v>
      </c>
      <c r="F1044" s="171">
        <f>-$L$1</f>
        <v>-1.4990492230334603E-2</v>
      </c>
      <c r="G1044" s="172">
        <v>0</v>
      </c>
      <c r="H1044" s="172">
        <v>0</v>
      </c>
      <c r="I1044" s="178">
        <f>-$N$1</f>
        <v>-4.7716218756768064E-3</v>
      </c>
      <c r="J1044" s="171">
        <v>0</v>
      </c>
      <c r="L1044">
        <v>0</v>
      </c>
      <c r="M1044">
        <v>1.9795379831476068</v>
      </c>
      <c r="N1044">
        <v>0</v>
      </c>
    </row>
    <row r="1045" spans="1:16">
      <c r="A1045" s="171"/>
      <c r="B1045" s="172">
        <v>-1.3773893306068323</v>
      </c>
      <c r="C1045" s="172">
        <v>-1.5521003879162059</v>
      </c>
      <c r="D1045" s="172">
        <v>0.65590292152571228</v>
      </c>
      <c r="E1045" s="171">
        <v>0</v>
      </c>
      <c r="F1045" s="172">
        <v>0</v>
      </c>
      <c r="G1045" s="171">
        <f>-$L$1</f>
        <v>-1.4990492230334603E-2</v>
      </c>
      <c r="H1045" s="172">
        <v>0</v>
      </c>
      <c r="I1045" s="172">
        <v>0</v>
      </c>
      <c r="J1045" s="178">
        <f>-$N$1</f>
        <v>-4.7716218756768064E-3</v>
      </c>
      <c r="L1045">
        <v>0</v>
      </c>
      <c r="M1045">
        <v>0</v>
      </c>
      <c r="N1045">
        <v>0.1589692116073706</v>
      </c>
    </row>
    <row r="1046" spans="1:16">
      <c r="A1046" s="171"/>
      <c r="B1046" s="172"/>
      <c r="C1046" s="172"/>
      <c r="D1046" s="172"/>
      <c r="E1046" s="171"/>
      <c r="F1046" s="171"/>
      <c r="G1046" s="171"/>
      <c r="H1046" s="171"/>
      <c r="I1046" s="171"/>
      <c r="J1046" s="171"/>
    </row>
    <row r="1047" spans="1:16">
      <c r="A1047" s="171"/>
      <c r="B1047" s="172">
        <v>-1.2284177840385118</v>
      </c>
      <c r="C1047" s="172">
        <v>-2.3993580133895418</v>
      </c>
      <c r="D1047" s="172">
        <v>0.6756623603325641</v>
      </c>
      <c r="E1047" s="171">
        <f>-$L$1</f>
        <v>-1.4990492230334603E-2</v>
      </c>
      <c r="F1047" s="172">
        <v>0</v>
      </c>
      <c r="G1047" s="172">
        <v>0</v>
      </c>
      <c r="H1047" s="178">
        <f>-$N$1</f>
        <v>-4.7716218756768064E-3</v>
      </c>
      <c r="I1047" s="171">
        <v>0</v>
      </c>
      <c r="J1047" s="171">
        <v>0</v>
      </c>
      <c r="L1047">
        <f t="array" ref="L1047:N1049">SVDD(B1047:J1049)</f>
        <v>3.8746710282368162</v>
      </c>
      <c r="M1047">
        <v>0</v>
      </c>
      <c r="N1047">
        <v>0</v>
      </c>
      <c r="P1047">
        <f t="shared" ref="P1047" si="274">MAX(L1047,M1048,N1049)/MIN(L1047,M1048,N1049)</f>
        <v>17.820276961680449</v>
      </c>
    </row>
    <row r="1048" spans="1:16">
      <c r="A1048" s="171" t="s">
        <v>475</v>
      </c>
      <c r="B1048" s="172">
        <v>1.0673702345396179</v>
      </c>
      <c r="C1048" s="172">
        <v>-2.4075843796929846</v>
      </c>
      <c r="D1048" s="172">
        <v>0.708799578341892</v>
      </c>
      <c r="E1048" s="171">
        <v>0</v>
      </c>
      <c r="F1048" s="171">
        <f>-$L$1</f>
        <v>-1.4990492230334603E-2</v>
      </c>
      <c r="G1048" s="172">
        <v>0</v>
      </c>
      <c r="H1048" s="172">
        <v>0</v>
      </c>
      <c r="I1048" s="178">
        <f>-$N$1</f>
        <v>-4.7716218756768064E-3</v>
      </c>
      <c r="J1048" s="171">
        <v>0</v>
      </c>
      <c r="L1048">
        <v>0</v>
      </c>
      <c r="M1048">
        <v>2.129113541987727</v>
      </c>
      <c r="N1048">
        <v>0</v>
      </c>
    </row>
    <row r="1049" spans="1:16">
      <c r="A1049" s="171"/>
      <c r="B1049" s="172">
        <v>1.4675604394566215</v>
      </c>
      <c r="C1049" s="172">
        <v>-1.3235781323919831</v>
      </c>
      <c r="D1049" s="172">
        <v>0.72564008456612294</v>
      </c>
      <c r="E1049" s="171">
        <v>0</v>
      </c>
      <c r="F1049" s="172">
        <v>0</v>
      </c>
      <c r="G1049" s="171">
        <f>-$L$1</f>
        <v>-1.4990492230334603E-2</v>
      </c>
      <c r="H1049" s="172">
        <v>0</v>
      </c>
      <c r="I1049" s="172">
        <v>0</v>
      </c>
      <c r="J1049" s="178">
        <f>-$N$1</f>
        <v>-4.7716218756768064E-3</v>
      </c>
      <c r="L1049">
        <v>0</v>
      </c>
      <c r="M1049">
        <v>0</v>
      </c>
      <c r="N1049">
        <v>0.21743046062463864</v>
      </c>
    </row>
    <row r="1050" spans="1:16">
      <c r="A1050" s="171"/>
      <c r="B1050" s="172"/>
      <c r="C1050" s="172"/>
      <c r="D1050" s="172"/>
      <c r="E1050" s="171"/>
      <c r="F1050" s="171"/>
      <c r="G1050" s="171"/>
      <c r="H1050" s="171"/>
      <c r="I1050" s="171"/>
      <c r="J1050" s="171"/>
    </row>
    <row r="1051" spans="1:16">
      <c r="A1051" s="171"/>
      <c r="B1051" s="172">
        <v>-1.2284177840385118</v>
      </c>
      <c r="C1051" s="172">
        <v>-2.3993580133895418</v>
      </c>
      <c r="D1051" s="172">
        <v>0.6756623603325641</v>
      </c>
      <c r="E1051" s="171">
        <f>-$L$1</f>
        <v>-1.4990492230334603E-2</v>
      </c>
      <c r="F1051" s="172">
        <v>0</v>
      </c>
      <c r="G1051" s="172">
        <v>0</v>
      </c>
      <c r="H1051" s="178">
        <f>-$N$1</f>
        <v>-4.7716218756768064E-3</v>
      </c>
      <c r="I1051" s="171">
        <v>0</v>
      </c>
      <c r="J1051" s="171">
        <v>0</v>
      </c>
      <c r="L1051">
        <f t="array" ref="L1051:N1053">SVDD(B1051:J1053)</f>
        <v>3.5802634562839573</v>
      </c>
      <c r="M1051">
        <v>0</v>
      </c>
      <c r="N1051">
        <v>0</v>
      </c>
      <c r="P1051">
        <f t="shared" ref="P1051" si="275">MAX(L1051,M1052,N1053)/MIN(L1051,M1052,N1053)</f>
        <v>6.3517120058015237</v>
      </c>
    </row>
    <row r="1052" spans="1:16">
      <c r="A1052" s="171" t="s">
        <v>476</v>
      </c>
      <c r="B1052" s="172">
        <v>1.0673702345396179</v>
      </c>
      <c r="C1052" s="172">
        <v>-2.4075843796929846</v>
      </c>
      <c r="D1052" s="172">
        <v>0.708799578341892</v>
      </c>
      <c r="E1052" s="171">
        <v>0</v>
      </c>
      <c r="F1052" s="171">
        <f>-$L$1</f>
        <v>-1.4990492230334603E-2</v>
      </c>
      <c r="G1052" s="172">
        <v>0</v>
      </c>
      <c r="H1052" s="172">
        <v>0</v>
      </c>
      <c r="I1052" s="178">
        <f>-$N$1</f>
        <v>-4.7716218756768064E-3</v>
      </c>
      <c r="J1052" s="171">
        <v>0</v>
      </c>
      <c r="L1052">
        <v>0</v>
      </c>
      <c r="M1052">
        <v>1.9235160366745938</v>
      </c>
      <c r="N1052">
        <v>0</v>
      </c>
    </row>
    <row r="1053" spans="1:16">
      <c r="A1053" s="171"/>
      <c r="B1053" s="172">
        <v>-1.0097006711160386</v>
      </c>
      <c r="C1053" s="172">
        <v>-0.26302086313966178</v>
      </c>
      <c r="D1053" s="172">
        <v>0.76545275918666766</v>
      </c>
      <c r="E1053" s="171">
        <v>0</v>
      </c>
      <c r="F1053" s="172">
        <v>0</v>
      </c>
      <c r="G1053" s="171">
        <f>-$L$1</f>
        <v>-1.4990492230334603E-2</v>
      </c>
      <c r="H1053" s="172">
        <v>0</v>
      </c>
      <c r="I1053" s="172">
        <v>0</v>
      </c>
      <c r="J1053" s="178">
        <f>-$N$1</f>
        <v>-4.7716218756768064E-3</v>
      </c>
      <c r="L1053">
        <v>0</v>
      </c>
      <c r="M1053">
        <v>0</v>
      </c>
      <c r="N1053">
        <v>0.56366904749677216</v>
      </c>
    </row>
    <row r="1054" spans="1:16">
      <c r="A1054" s="171"/>
      <c r="B1054" s="172"/>
      <c r="C1054" s="172"/>
      <c r="D1054" s="172"/>
      <c r="E1054" s="171"/>
      <c r="F1054" s="171"/>
      <c r="G1054" s="171"/>
      <c r="H1054" s="171"/>
      <c r="I1054" s="171"/>
      <c r="J1054" s="171"/>
    </row>
    <row r="1055" spans="1:16">
      <c r="A1055" s="171"/>
      <c r="B1055" s="172">
        <v>-1.2284177840385118</v>
      </c>
      <c r="C1055" s="172">
        <v>-2.3993580133895418</v>
      </c>
      <c r="D1055" s="172">
        <v>0.6756623603325641</v>
      </c>
      <c r="E1055" s="171">
        <f>-$L$1</f>
        <v>-1.4990492230334603E-2</v>
      </c>
      <c r="F1055" s="172">
        <v>0</v>
      </c>
      <c r="G1055" s="172">
        <v>0</v>
      </c>
      <c r="H1055" s="178">
        <f>-$N$1</f>
        <v>-4.7716218756768064E-3</v>
      </c>
      <c r="I1055" s="171">
        <v>0</v>
      </c>
      <c r="J1055" s="171">
        <v>0</v>
      </c>
      <c r="L1055">
        <f t="array" ref="L1055:N1057">SVDD(B1055:J1057)</f>
        <v>3.5682364643061204</v>
      </c>
      <c r="M1055">
        <v>0</v>
      </c>
      <c r="N1055">
        <v>0</v>
      </c>
      <c r="P1055">
        <f t="shared" ref="P1055" si="276">MAX(L1055,M1056,N1057)/MIN(L1055,M1056,N1057)</f>
        <v>6.7578324973079091</v>
      </c>
    </row>
    <row r="1056" spans="1:16">
      <c r="A1056" s="171" t="s">
        <v>477</v>
      </c>
      <c r="B1056" s="172">
        <v>1.0673702345396179</v>
      </c>
      <c r="C1056" s="172">
        <v>-2.4075843796929846</v>
      </c>
      <c r="D1056" s="172">
        <v>0.708799578341892</v>
      </c>
      <c r="E1056" s="171">
        <v>0</v>
      </c>
      <c r="F1056" s="171">
        <f>-$L$1</f>
        <v>-1.4990492230334603E-2</v>
      </c>
      <c r="G1056" s="172">
        <v>0</v>
      </c>
      <c r="H1056" s="172">
        <v>0</v>
      </c>
      <c r="I1056" s="178">
        <f>-$N$1</f>
        <v>-4.7716218756768064E-3</v>
      </c>
      <c r="J1056" s="171">
        <v>0</v>
      </c>
      <c r="L1056">
        <v>0</v>
      </c>
      <c r="M1056">
        <v>1.7534292814658672</v>
      </c>
      <c r="N1056">
        <v>0</v>
      </c>
    </row>
    <row r="1057" spans="1:16">
      <c r="A1057" s="171"/>
      <c r="B1057" s="172">
        <v>0.60912970227287866</v>
      </c>
      <c r="C1057" s="172">
        <v>-0.28261535739067112</v>
      </c>
      <c r="D1057" s="172">
        <v>0.68802996689194662</v>
      </c>
      <c r="E1057" s="171">
        <v>0</v>
      </c>
      <c r="F1057" s="172">
        <v>0</v>
      </c>
      <c r="G1057" s="171">
        <f>-$L$1</f>
        <v>-1.4990492230334603E-2</v>
      </c>
      <c r="H1057" s="172">
        <v>0</v>
      </c>
      <c r="I1057" s="172">
        <v>0</v>
      </c>
      <c r="J1057" s="178">
        <f>-$N$1</f>
        <v>-4.7716218756768064E-3</v>
      </c>
      <c r="L1057">
        <v>0</v>
      </c>
      <c r="M1057">
        <v>0</v>
      </c>
      <c r="N1057">
        <v>0.52801493167041125</v>
      </c>
    </row>
    <row r="1058" spans="1:16">
      <c r="A1058" s="171"/>
      <c r="B1058" s="172"/>
      <c r="C1058" s="172"/>
      <c r="D1058" s="172"/>
      <c r="E1058" s="171"/>
      <c r="F1058" s="171"/>
      <c r="G1058" s="171"/>
      <c r="H1058" s="171"/>
      <c r="I1058" s="171"/>
      <c r="J1058" s="171"/>
    </row>
    <row r="1059" spans="1:16">
      <c r="A1059" s="171"/>
      <c r="B1059" s="172">
        <v>-1.2284177840385118</v>
      </c>
      <c r="C1059" s="172">
        <v>-2.3993580133895418</v>
      </c>
      <c r="D1059" s="172">
        <v>0.6756623603325641</v>
      </c>
      <c r="E1059" s="171">
        <f>-$L$1</f>
        <v>-1.4990492230334603E-2</v>
      </c>
      <c r="F1059" s="172">
        <v>0</v>
      </c>
      <c r="G1059" s="172">
        <v>0</v>
      </c>
      <c r="H1059" s="178">
        <f>-$N$1</f>
        <v>-4.7716218756768064E-3</v>
      </c>
      <c r="I1059" s="171">
        <v>0</v>
      </c>
      <c r="J1059" s="171">
        <v>0</v>
      </c>
      <c r="L1059">
        <f t="array" ref="L1059:N1061">SVDD(B1059:J1061)</f>
        <v>3.5587352777308103</v>
      </c>
      <c r="M1059">
        <v>0</v>
      </c>
      <c r="N1059">
        <v>0</v>
      </c>
      <c r="P1059">
        <f t="shared" ref="P1059" si="277">MAX(L1059,M1060,N1061)/MIN(L1059,M1060,N1061)</f>
        <v>15.93974965125182</v>
      </c>
    </row>
    <row r="1060" spans="1:16">
      <c r="A1060" s="171" t="s">
        <v>478</v>
      </c>
      <c r="B1060" s="172">
        <v>-1.3773893306068323</v>
      </c>
      <c r="C1060" s="172">
        <v>-1.5521003879162059</v>
      </c>
      <c r="D1060" s="172">
        <v>0.65590292152571228</v>
      </c>
      <c r="E1060" s="171">
        <v>0</v>
      </c>
      <c r="F1060" s="171">
        <f>-$L$1</f>
        <v>-1.4990492230334603E-2</v>
      </c>
      <c r="G1060" s="172">
        <v>0</v>
      </c>
      <c r="H1060" s="172">
        <v>0</v>
      </c>
      <c r="I1060" s="178">
        <f>-$N$1</f>
        <v>-4.7716218756768064E-3</v>
      </c>
      <c r="J1060" s="171">
        <v>0</v>
      </c>
      <c r="L1060">
        <v>0</v>
      </c>
      <c r="M1060">
        <v>2.0438494372072906</v>
      </c>
      <c r="N1060">
        <v>0</v>
      </c>
    </row>
    <row r="1061" spans="1:16">
      <c r="A1061" s="171"/>
      <c r="B1061" s="172">
        <v>1.4675604394566215</v>
      </c>
      <c r="C1061" s="172">
        <v>-1.3235781323919831</v>
      </c>
      <c r="D1061" s="172">
        <v>0.72564008456612294</v>
      </c>
      <c r="E1061" s="171">
        <v>0</v>
      </c>
      <c r="F1061" s="172">
        <v>0</v>
      </c>
      <c r="G1061" s="171">
        <f>-$L$1</f>
        <v>-1.4990492230334603E-2</v>
      </c>
      <c r="H1061" s="172">
        <v>0</v>
      </c>
      <c r="I1061" s="172">
        <v>0</v>
      </c>
      <c r="J1061" s="178">
        <f>-$N$1</f>
        <v>-4.7716218756768064E-3</v>
      </c>
      <c r="L1061">
        <v>0</v>
      </c>
      <c r="M1061">
        <v>0</v>
      </c>
      <c r="N1061">
        <v>0.22326167948637304</v>
      </c>
    </row>
    <row r="1062" spans="1:16">
      <c r="A1062" s="171"/>
      <c r="B1062" s="172"/>
      <c r="C1062" s="172"/>
      <c r="D1062" s="172"/>
      <c r="E1062" s="171"/>
      <c r="F1062" s="171"/>
      <c r="G1062" s="171"/>
      <c r="H1062" s="171"/>
      <c r="I1062" s="171"/>
      <c r="J1062" s="171"/>
    </row>
    <row r="1063" spans="1:16">
      <c r="A1063" s="171"/>
      <c r="B1063" s="172">
        <v>-1.2284177840385118</v>
      </c>
      <c r="C1063" s="172">
        <v>-2.3993580133895418</v>
      </c>
      <c r="D1063" s="172">
        <v>0.6756623603325641</v>
      </c>
      <c r="E1063" s="171">
        <f>-$L$1</f>
        <v>-1.4990492230334603E-2</v>
      </c>
      <c r="F1063" s="172">
        <v>0</v>
      </c>
      <c r="G1063" s="172">
        <v>0</v>
      </c>
      <c r="H1063" s="178">
        <f>-$N$1</f>
        <v>-4.7716218756768064E-3</v>
      </c>
      <c r="I1063" s="171">
        <v>0</v>
      </c>
      <c r="J1063" s="171">
        <v>0</v>
      </c>
      <c r="L1063">
        <f t="array" ref="L1063:N1065">SVDD(B1063:J1065)</f>
        <v>3.6358082497843478</v>
      </c>
      <c r="M1063">
        <v>0</v>
      </c>
      <c r="N1063">
        <v>0</v>
      </c>
      <c r="P1063">
        <f t="shared" ref="P1063" si="278">MAX(L1063,M1064,N1065)/MIN(L1063,M1064,N1065)</f>
        <v>24.484220635039041</v>
      </c>
    </row>
    <row r="1064" spans="1:16">
      <c r="A1064" s="171" t="s">
        <v>479</v>
      </c>
      <c r="B1064" s="172">
        <v>-1.3773893306068323</v>
      </c>
      <c r="C1064" s="172">
        <v>-1.5521003879162059</v>
      </c>
      <c r="D1064" s="172">
        <v>0.65590292152571228</v>
      </c>
      <c r="E1064" s="171">
        <v>0</v>
      </c>
      <c r="F1064" s="171">
        <f>-$L$1</f>
        <v>-1.4990492230334603E-2</v>
      </c>
      <c r="G1064" s="172">
        <v>0</v>
      </c>
      <c r="H1064" s="172">
        <v>0</v>
      </c>
      <c r="I1064" s="178">
        <f>-$N$1</f>
        <v>-4.7716218756768064E-3</v>
      </c>
      <c r="J1064" s="171">
        <v>0</v>
      </c>
      <c r="L1064">
        <v>0</v>
      </c>
      <c r="M1064">
        <v>0.94501719040875876</v>
      </c>
      <c r="N1064">
        <v>0</v>
      </c>
    </row>
    <row r="1065" spans="1:16">
      <c r="A1065" s="171"/>
      <c r="B1065" s="172">
        <v>-1.0097006711160386</v>
      </c>
      <c r="C1065" s="172">
        <v>-0.26302086313966178</v>
      </c>
      <c r="D1065" s="172">
        <v>0.76545275918666766</v>
      </c>
      <c r="E1065" s="171">
        <v>0</v>
      </c>
      <c r="F1065" s="172">
        <v>0</v>
      </c>
      <c r="G1065" s="171">
        <f>-$L$1</f>
        <v>-1.4990492230334603E-2</v>
      </c>
      <c r="H1065" s="172">
        <v>0</v>
      </c>
      <c r="I1065" s="172">
        <v>0</v>
      </c>
      <c r="J1065" s="178">
        <f>-$N$1</f>
        <v>-4.7716218756768064E-3</v>
      </c>
      <c r="L1065">
        <v>0</v>
      </c>
      <c r="M1065">
        <v>0</v>
      </c>
      <c r="N1065">
        <v>0.14849597640780901</v>
      </c>
    </row>
    <row r="1066" spans="1:16">
      <c r="A1066" s="171"/>
      <c r="B1066" s="172"/>
      <c r="C1066" s="172"/>
      <c r="D1066" s="172"/>
      <c r="E1066" s="171"/>
      <c r="F1066" s="171"/>
      <c r="G1066" s="171"/>
      <c r="H1066" s="171"/>
      <c r="I1066" s="171"/>
      <c r="J1066" s="171"/>
    </row>
    <row r="1067" spans="1:16">
      <c r="A1067" s="171"/>
      <c r="B1067" s="172">
        <v>-1.2284177840385118</v>
      </c>
      <c r="C1067" s="172">
        <v>-2.3993580133895418</v>
      </c>
      <c r="D1067" s="172">
        <v>0.6756623603325641</v>
      </c>
      <c r="E1067" s="171">
        <f>-$L$1</f>
        <v>-1.4990492230334603E-2</v>
      </c>
      <c r="F1067" s="172">
        <v>0</v>
      </c>
      <c r="G1067" s="172">
        <v>0</v>
      </c>
      <c r="H1067" s="178">
        <f>-$N$1</f>
        <v>-4.7716218756768064E-3</v>
      </c>
      <c r="I1067" s="171">
        <v>0</v>
      </c>
      <c r="J1067" s="171">
        <v>0</v>
      </c>
      <c r="L1067">
        <f t="array" ref="L1067:N1069">SVDD(B1067:J1069)</f>
        <v>3.5052087250702497</v>
      </c>
      <c r="M1067">
        <v>0</v>
      </c>
      <c r="N1067">
        <v>0</v>
      </c>
      <c r="P1067">
        <f t="shared" ref="P1067" si="279">MAX(L1067,M1068,N1069)/MIN(L1067,M1068,N1069)</f>
        <v>9.6782940219142635</v>
      </c>
    </row>
    <row r="1068" spans="1:16">
      <c r="A1068" s="171" t="s">
        <v>480</v>
      </c>
      <c r="B1068" s="172">
        <v>-1.3773893306068323</v>
      </c>
      <c r="C1068" s="172">
        <v>-1.5521003879162059</v>
      </c>
      <c r="D1068" s="172">
        <v>0.65590292152571228</v>
      </c>
      <c r="E1068" s="171">
        <v>0</v>
      </c>
      <c r="F1068" s="171">
        <f>-$L$1</f>
        <v>-1.4990492230334603E-2</v>
      </c>
      <c r="G1068" s="172">
        <v>0</v>
      </c>
      <c r="H1068" s="172">
        <v>0</v>
      </c>
      <c r="I1068" s="178">
        <f>-$N$1</f>
        <v>-4.7716218756768064E-3</v>
      </c>
      <c r="J1068" s="171">
        <v>0</v>
      </c>
      <c r="L1068">
        <v>0</v>
      </c>
      <c r="M1068">
        <v>0.98298301743644556</v>
      </c>
      <c r="N1068">
        <v>0</v>
      </c>
    </row>
    <row r="1069" spans="1:16">
      <c r="A1069" s="171"/>
      <c r="B1069" s="172">
        <v>0.60912970227287866</v>
      </c>
      <c r="C1069" s="172">
        <v>-0.28261535739067112</v>
      </c>
      <c r="D1069" s="172">
        <v>0.68802996689194662</v>
      </c>
      <c r="E1069" s="171">
        <v>0</v>
      </c>
      <c r="F1069" s="172">
        <v>0</v>
      </c>
      <c r="G1069" s="171">
        <f>-$L$1</f>
        <v>-1.4990492230334603E-2</v>
      </c>
      <c r="H1069" s="172">
        <v>0</v>
      </c>
      <c r="I1069" s="172">
        <v>0</v>
      </c>
      <c r="J1069" s="178">
        <f>-$N$1</f>
        <v>-4.7716218756768064E-3</v>
      </c>
      <c r="L1069">
        <v>0</v>
      </c>
      <c r="M1069">
        <v>0</v>
      </c>
      <c r="N1069">
        <v>0.36217216764995086</v>
      </c>
    </row>
    <row r="1070" spans="1:16">
      <c r="A1070" s="171"/>
      <c r="B1070" s="172"/>
      <c r="C1070" s="172"/>
      <c r="D1070" s="172"/>
      <c r="E1070" s="171"/>
      <c r="F1070" s="171"/>
      <c r="G1070" s="171"/>
      <c r="H1070" s="171"/>
      <c r="I1070" s="171"/>
      <c r="J1070" s="171"/>
    </row>
    <row r="1071" spans="1:16">
      <c r="A1071" s="171"/>
      <c r="B1071" s="172">
        <v>-1.2284177840385118</v>
      </c>
      <c r="C1071" s="172">
        <v>-2.3993580133895418</v>
      </c>
      <c r="D1071" s="172">
        <v>0.6756623603325641</v>
      </c>
      <c r="E1071" s="171">
        <f>-$L$1</f>
        <v>-1.4990492230334603E-2</v>
      </c>
      <c r="F1071" s="172">
        <v>0</v>
      </c>
      <c r="G1071" s="172">
        <v>0</v>
      </c>
      <c r="H1071" s="178">
        <f>-$N$1</f>
        <v>-4.7716218756768064E-3</v>
      </c>
      <c r="I1071" s="171">
        <v>0</v>
      </c>
      <c r="J1071" s="171">
        <v>0</v>
      </c>
      <c r="L1071">
        <f t="array" ref="L1071:N1073">SVDD(B1071:J1073)</f>
        <v>3.0165730024986415</v>
      </c>
      <c r="M1071">
        <v>0</v>
      </c>
      <c r="N1071">
        <v>0</v>
      </c>
      <c r="P1071">
        <f t="shared" ref="P1071" si="280">MAX(L1071,M1072,N1073)/MIN(L1071,M1072,N1073)</f>
        <v>4.3628779752189537</v>
      </c>
    </row>
    <row r="1072" spans="1:16">
      <c r="A1072" s="171" t="s">
        <v>481</v>
      </c>
      <c r="B1072" s="172">
        <v>1.4675604394566215</v>
      </c>
      <c r="C1072" s="172">
        <v>-1.3235781323919831</v>
      </c>
      <c r="D1072" s="172">
        <v>0.72564008456612294</v>
      </c>
      <c r="E1072" s="171">
        <v>0</v>
      </c>
      <c r="F1072" s="171">
        <f>-$L$1</f>
        <v>-1.4990492230334603E-2</v>
      </c>
      <c r="G1072" s="172">
        <v>0</v>
      </c>
      <c r="H1072" s="172">
        <v>0</v>
      </c>
      <c r="I1072" s="178">
        <f>-$N$1</f>
        <v>-4.7716218756768064E-3</v>
      </c>
      <c r="J1072" s="171">
        <v>0</v>
      </c>
      <c r="L1072">
        <v>0</v>
      </c>
      <c r="M1072">
        <v>2.0620763966112912</v>
      </c>
      <c r="N1072">
        <v>0</v>
      </c>
    </row>
    <row r="1073" spans="1:16">
      <c r="A1073" s="171"/>
      <c r="B1073" s="172">
        <v>-1.0097006711160386</v>
      </c>
      <c r="C1073" s="172">
        <v>-0.26302086313966178</v>
      </c>
      <c r="D1073" s="172">
        <v>0.76545275918666766</v>
      </c>
      <c r="E1073" s="171">
        <v>0</v>
      </c>
      <c r="F1073" s="172">
        <v>0</v>
      </c>
      <c r="G1073" s="171">
        <f>-$L$1</f>
        <v>-1.4990492230334603E-2</v>
      </c>
      <c r="H1073" s="172">
        <v>0</v>
      </c>
      <c r="I1073" s="172">
        <v>0</v>
      </c>
      <c r="J1073" s="178">
        <f>-$N$1</f>
        <v>-4.7716218756768064E-3</v>
      </c>
      <c r="L1073">
        <v>0</v>
      </c>
      <c r="M1073">
        <v>0</v>
      </c>
      <c r="N1073">
        <v>0.69141814637785115</v>
      </c>
    </row>
    <row r="1074" spans="1:16">
      <c r="A1074" s="171"/>
      <c r="B1074" s="172"/>
      <c r="C1074" s="172"/>
      <c r="D1074" s="172"/>
      <c r="E1074" s="171"/>
      <c r="F1074" s="171"/>
      <c r="G1074" s="171"/>
      <c r="H1074" s="171"/>
      <c r="I1074" s="171"/>
      <c r="J1074" s="171"/>
    </row>
    <row r="1075" spans="1:16">
      <c r="A1075" s="171"/>
      <c r="B1075" s="172">
        <v>-1.2284177840385118</v>
      </c>
      <c r="C1075" s="172">
        <v>-2.3993580133895418</v>
      </c>
      <c r="D1075" s="172">
        <v>0.6756623603325641</v>
      </c>
      <c r="E1075" s="171">
        <f>-$L$1</f>
        <v>-1.4990492230334603E-2</v>
      </c>
      <c r="F1075" s="172">
        <v>0</v>
      </c>
      <c r="G1075" s="172">
        <v>0</v>
      </c>
      <c r="H1075" s="178">
        <f>-$N$1</f>
        <v>-4.7716218756768064E-3</v>
      </c>
      <c r="I1075" s="171">
        <v>0</v>
      </c>
      <c r="J1075" s="171">
        <v>0</v>
      </c>
      <c r="L1075">
        <f t="array" ref="L1075:N1077">SVDD(B1075:J1077)</f>
        <v>2.9534532988578772</v>
      </c>
      <c r="M1075">
        <v>0</v>
      </c>
      <c r="N1075">
        <v>0</v>
      </c>
      <c r="P1075">
        <f t="shared" ref="P1075" si="281">MAX(L1075,M1076,N1077)/MIN(L1075,M1076,N1077)</f>
        <v>7.1522546835630632</v>
      </c>
    </row>
    <row r="1076" spans="1:16">
      <c r="A1076" s="171" t="s">
        <v>482</v>
      </c>
      <c r="B1076" s="172">
        <v>1.4675604394566215</v>
      </c>
      <c r="C1076" s="172">
        <v>-1.3235781323919831</v>
      </c>
      <c r="D1076" s="172">
        <v>0.72564008456612294</v>
      </c>
      <c r="E1076" s="171">
        <v>0</v>
      </c>
      <c r="F1076" s="171">
        <f>-$L$1</f>
        <v>-1.4990492230334603E-2</v>
      </c>
      <c r="G1076" s="172">
        <v>0</v>
      </c>
      <c r="H1076" s="172">
        <v>0</v>
      </c>
      <c r="I1076" s="178">
        <f>-$N$1</f>
        <v>-4.7716218756768064E-3</v>
      </c>
      <c r="J1076" s="171">
        <v>0</v>
      </c>
      <c r="L1076">
        <v>0</v>
      </c>
      <c r="M1076">
        <v>2.0460271613720131</v>
      </c>
      <c r="N1076">
        <v>0</v>
      </c>
    </row>
    <row r="1077" spans="1:16">
      <c r="A1077" s="171"/>
      <c r="B1077" s="172">
        <v>0.60912970227287866</v>
      </c>
      <c r="C1077" s="172">
        <v>-0.28261535739067112</v>
      </c>
      <c r="D1077" s="172">
        <v>0.68802996689194662</v>
      </c>
      <c r="E1077" s="171">
        <v>0</v>
      </c>
      <c r="F1077" s="172">
        <v>0</v>
      </c>
      <c r="G1077" s="171">
        <f>-$L$1</f>
        <v>-1.4990492230334603E-2</v>
      </c>
      <c r="H1077" s="172">
        <v>0</v>
      </c>
      <c r="I1077" s="172">
        <v>0</v>
      </c>
      <c r="J1077" s="178">
        <f>-$N$1</f>
        <v>-4.7716218756768064E-3</v>
      </c>
      <c r="L1077">
        <v>0</v>
      </c>
      <c r="M1077">
        <v>0</v>
      </c>
      <c r="N1077">
        <v>0.41294017474592298</v>
      </c>
    </row>
    <row r="1078" spans="1:16">
      <c r="A1078" s="171"/>
      <c r="B1078" s="172"/>
      <c r="C1078" s="172"/>
      <c r="D1078" s="172"/>
      <c r="E1078" s="171"/>
      <c r="F1078" s="171"/>
      <c r="G1078" s="171"/>
      <c r="H1078" s="171"/>
      <c r="I1078" s="171"/>
      <c r="J1078" s="171"/>
    </row>
    <row r="1079" spans="1:16">
      <c r="A1079" s="171"/>
      <c r="B1079" s="172">
        <v>-1.2284177840385118</v>
      </c>
      <c r="C1079" s="172">
        <v>-2.3993580133895418</v>
      </c>
      <c r="D1079" s="172">
        <v>0.6756623603325641</v>
      </c>
      <c r="E1079" s="171">
        <f>-$L$1</f>
        <v>-1.4990492230334603E-2</v>
      </c>
      <c r="F1079" s="172">
        <v>0</v>
      </c>
      <c r="G1079" s="172">
        <v>0</v>
      </c>
      <c r="H1079" s="178">
        <f>-$N$1</f>
        <v>-4.7716218756768064E-3</v>
      </c>
      <c r="I1079" s="171">
        <v>0</v>
      </c>
      <c r="J1079" s="171">
        <v>0</v>
      </c>
      <c r="L1079">
        <f t="array" ref="L1079:N1081">SVDD(B1079:J1081)</f>
        <v>2.9274604408167346</v>
      </c>
      <c r="M1079">
        <v>0</v>
      </c>
      <c r="N1079">
        <v>0</v>
      </c>
      <c r="P1079">
        <f t="shared" ref="P1079" si="282">MAX(L1079,M1080,N1081)/MIN(L1079,M1080,N1081)</f>
        <v>3.4260059455186656</v>
      </c>
    </row>
    <row r="1080" spans="1:16">
      <c r="A1080" s="171" t="s">
        <v>483</v>
      </c>
      <c r="B1080" s="172">
        <v>-1.0097006711160386</v>
      </c>
      <c r="C1080" s="172">
        <v>-0.26302086313966178</v>
      </c>
      <c r="D1080" s="172">
        <v>0.76545275918666766</v>
      </c>
      <c r="E1080" s="171">
        <v>0</v>
      </c>
      <c r="F1080" s="171">
        <f>-$L$1</f>
        <v>-1.4990492230334603E-2</v>
      </c>
      <c r="G1080" s="172">
        <v>0</v>
      </c>
      <c r="H1080" s="172">
        <v>0</v>
      </c>
      <c r="I1080" s="178">
        <f>-$N$1</f>
        <v>-4.7716218756768064E-3</v>
      </c>
      <c r="J1080" s="171">
        <v>0</v>
      </c>
      <c r="L1080">
        <v>0</v>
      </c>
      <c r="M1080">
        <v>1.0108986518742771</v>
      </c>
      <c r="N1080">
        <v>0</v>
      </c>
    </row>
    <row r="1081" spans="1:16">
      <c r="A1081" s="171"/>
      <c r="B1081" s="172">
        <v>0.60912970227287866</v>
      </c>
      <c r="C1081" s="172">
        <v>-0.28261535739067112</v>
      </c>
      <c r="D1081" s="172">
        <v>0.68802996689194662</v>
      </c>
      <c r="E1081" s="171">
        <v>0</v>
      </c>
      <c r="F1081" s="172">
        <v>0</v>
      </c>
      <c r="G1081" s="171">
        <f>-$L$1</f>
        <v>-1.4990492230334603E-2</v>
      </c>
      <c r="H1081" s="172">
        <v>0</v>
      </c>
      <c r="I1081" s="172">
        <v>0</v>
      </c>
      <c r="J1081" s="178">
        <f>-$N$1</f>
        <v>-4.7716218756768064E-3</v>
      </c>
      <c r="L1081">
        <v>0</v>
      </c>
      <c r="M1081">
        <v>0</v>
      </c>
      <c r="N1081">
        <v>0.85448200831231902</v>
      </c>
    </row>
    <row r="1082" spans="1:16">
      <c r="A1082" s="171"/>
      <c r="B1082" s="172"/>
      <c r="C1082" s="172"/>
      <c r="D1082" s="172"/>
      <c r="E1082" s="171"/>
      <c r="F1082" s="171"/>
      <c r="G1082" s="171"/>
      <c r="H1082" s="171"/>
      <c r="I1082" s="171"/>
      <c r="J1082" s="171"/>
    </row>
    <row r="1083" spans="1:16">
      <c r="A1083" s="171"/>
      <c r="B1083" s="172">
        <v>1.0673702345396179</v>
      </c>
      <c r="C1083" s="172">
        <v>-2.4075843796929846</v>
      </c>
      <c r="D1083" s="172">
        <v>0.708799578341892</v>
      </c>
      <c r="E1083" s="171">
        <f>-$L$1</f>
        <v>-1.4990492230334603E-2</v>
      </c>
      <c r="F1083" s="172">
        <v>0</v>
      </c>
      <c r="G1083" s="172">
        <v>0</v>
      </c>
      <c r="H1083" s="178">
        <f>-$N$1</f>
        <v>-4.7716218756768064E-3</v>
      </c>
      <c r="I1083" s="171">
        <v>0</v>
      </c>
      <c r="J1083" s="171">
        <v>0</v>
      </c>
      <c r="L1083">
        <f t="array" ref="L1083:N1085">SVDD(B1083:J1085)</f>
        <v>3.5000923910703836</v>
      </c>
      <c r="M1083">
        <v>0</v>
      </c>
      <c r="N1083">
        <v>0</v>
      </c>
      <c r="P1083">
        <f t="shared" ref="P1083" si="283">MAX(L1083,M1084,N1085)/MIN(L1083,M1084,N1085)</f>
        <v>12.082714650270805</v>
      </c>
    </row>
    <row r="1084" spans="1:16">
      <c r="A1084" s="171" t="s">
        <v>484</v>
      </c>
      <c r="B1084" s="172">
        <v>-1.3773893306068323</v>
      </c>
      <c r="C1084" s="172">
        <v>-1.5521003879162059</v>
      </c>
      <c r="D1084" s="172">
        <v>0.65590292152571228</v>
      </c>
      <c r="E1084" s="171">
        <v>0</v>
      </c>
      <c r="F1084" s="171">
        <f>-$L$1</f>
        <v>-1.4990492230334603E-2</v>
      </c>
      <c r="G1084" s="172">
        <v>0</v>
      </c>
      <c r="H1084" s="172">
        <v>0</v>
      </c>
      <c r="I1084" s="178">
        <f>-$N$1</f>
        <v>-4.7716218756768064E-3</v>
      </c>
      <c r="J1084" s="171">
        <v>0</v>
      </c>
      <c r="L1084">
        <v>0</v>
      </c>
      <c r="M1084">
        <v>2.0670977337107477</v>
      </c>
      <c r="N1084">
        <v>0</v>
      </c>
    </row>
    <row r="1085" spans="1:16">
      <c r="A1085" s="171"/>
      <c r="B1085" s="172">
        <v>1.4675604394566215</v>
      </c>
      <c r="C1085" s="172">
        <v>-1.3235781323919831</v>
      </c>
      <c r="D1085" s="172">
        <v>0.72564008456612294</v>
      </c>
      <c r="E1085" s="171">
        <v>0</v>
      </c>
      <c r="F1085" s="172">
        <v>0</v>
      </c>
      <c r="G1085" s="171">
        <f>-$L$1</f>
        <v>-1.4990492230334603E-2</v>
      </c>
      <c r="H1085" s="172">
        <v>0</v>
      </c>
      <c r="I1085" s="172">
        <v>0</v>
      </c>
      <c r="J1085" s="178">
        <f>-$N$1</f>
        <v>-4.7716218756768064E-3</v>
      </c>
      <c r="L1085">
        <v>0</v>
      </c>
      <c r="M1085">
        <v>0</v>
      </c>
      <c r="N1085">
        <v>0.2896776504601089</v>
      </c>
    </row>
    <row r="1086" spans="1:16">
      <c r="A1086" s="171"/>
      <c r="B1086" s="172"/>
      <c r="C1086" s="172"/>
      <c r="D1086" s="172"/>
      <c r="E1086" s="171"/>
      <c r="F1086" s="171"/>
      <c r="G1086" s="171"/>
      <c r="H1086" s="171"/>
      <c r="I1086" s="171"/>
      <c r="J1086" s="171"/>
    </row>
    <row r="1087" spans="1:16">
      <c r="A1087" s="171"/>
      <c r="B1087" s="172">
        <v>1.0673702345396179</v>
      </c>
      <c r="C1087" s="172">
        <v>-2.4075843796929846</v>
      </c>
      <c r="D1087" s="172">
        <v>0.708799578341892</v>
      </c>
      <c r="E1087" s="171">
        <f>-$L$1</f>
        <v>-1.4990492230334603E-2</v>
      </c>
      <c r="F1087" s="172">
        <v>0</v>
      </c>
      <c r="G1087" s="172">
        <v>0</v>
      </c>
      <c r="H1087" s="178">
        <f>-$N$1</f>
        <v>-4.7716218756768064E-3</v>
      </c>
      <c r="I1087" s="171">
        <v>0</v>
      </c>
      <c r="J1087" s="171">
        <v>0</v>
      </c>
      <c r="L1087">
        <f t="array" ref="L1087:N1089">SVDD(B1087:J1089)</f>
        <v>3.0612220880958989</v>
      </c>
      <c r="M1087">
        <v>0</v>
      </c>
      <c r="N1087">
        <v>0</v>
      </c>
      <c r="P1087">
        <f t="shared" ref="P1087" si="284">MAX(L1087,M1088,N1089)/MIN(L1087,M1088,N1089)</f>
        <v>6.7158596115691598</v>
      </c>
    </row>
    <row r="1088" spans="1:16">
      <c r="A1088" s="171" t="s">
        <v>485</v>
      </c>
      <c r="B1088" s="172">
        <v>-1.3773893306068323</v>
      </c>
      <c r="C1088" s="172">
        <v>-1.5521003879162059</v>
      </c>
      <c r="D1088" s="172">
        <v>0.65590292152571228</v>
      </c>
      <c r="E1088" s="171">
        <v>0</v>
      </c>
      <c r="F1088" s="171">
        <f>-$L$1</f>
        <v>-1.4990492230334603E-2</v>
      </c>
      <c r="G1088" s="172">
        <v>0</v>
      </c>
      <c r="H1088" s="172">
        <v>0</v>
      </c>
      <c r="I1088" s="178">
        <f>-$N$1</f>
        <v>-4.7716218756768064E-3</v>
      </c>
      <c r="J1088" s="171">
        <v>0</v>
      </c>
      <c r="L1088">
        <v>0</v>
      </c>
      <c r="M1088">
        <v>2.0666513063319343</v>
      </c>
      <c r="N1088">
        <v>0</v>
      </c>
    </row>
    <row r="1089" spans="1:16">
      <c r="A1089" s="171"/>
      <c r="B1089" s="172">
        <v>-1.0097006711160386</v>
      </c>
      <c r="C1089" s="172">
        <v>-0.26302086313966178</v>
      </c>
      <c r="D1089" s="172">
        <v>0.76545275918666766</v>
      </c>
      <c r="E1089" s="171">
        <v>0</v>
      </c>
      <c r="F1089" s="172">
        <v>0</v>
      </c>
      <c r="G1089" s="171">
        <f>-$L$1</f>
        <v>-1.4990492230334603E-2</v>
      </c>
      <c r="H1089" s="172">
        <v>0</v>
      </c>
      <c r="I1089" s="172">
        <v>0</v>
      </c>
      <c r="J1089" s="178">
        <f>-$N$1</f>
        <v>-4.7716218756768064E-3</v>
      </c>
      <c r="L1089">
        <v>0</v>
      </c>
      <c r="M1089">
        <v>0</v>
      </c>
      <c r="N1089">
        <v>0.45581984513530421</v>
      </c>
    </row>
    <row r="1090" spans="1:16">
      <c r="A1090" s="171"/>
      <c r="B1090" s="172"/>
      <c r="C1090" s="172"/>
      <c r="D1090" s="172"/>
      <c r="E1090" s="171"/>
      <c r="F1090" s="171"/>
      <c r="G1090" s="171"/>
      <c r="H1090" s="171"/>
      <c r="I1090" s="171"/>
      <c r="J1090" s="171"/>
    </row>
    <row r="1091" spans="1:16">
      <c r="A1091" s="171"/>
      <c r="B1091" s="172">
        <v>1.0673702345396179</v>
      </c>
      <c r="C1091" s="172">
        <v>-2.4075843796929846</v>
      </c>
      <c r="D1091" s="172">
        <v>0.708799578341892</v>
      </c>
      <c r="E1091" s="171">
        <f>-$L$1</f>
        <v>-1.4990492230334603E-2</v>
      </c>
      <c r="F1091" s="172">
        <v>0</v>
      </c>
      <c r="G1091" s="172">
        <v>0</v>
      </c>
      <c r="H1091" s="178">
        <f>-$N$1</f>
        <v>-4.7716218756768064E-3</v>
      </c>
      <c r="I1091" s="171">
        <v>0</v>
      </c>
      <c r="J1091" s="171">
        <v>0</v>
      </c>
      <c r="L1091">
        <f t="array" ref="L1091:N1093">SVDD(B1091:J1093)</f>
        <v>3.0707892069027127</v>
      </c>
      <c r="M1091">
        <v>0</v>
      </c>
      <c r="N1091">
        <v>0</v>
      </c>
      <c r="P1091">
        <f t="shared" ref="P1091" si="285">MAX(L1091,M1092,N1093)/MIN(L1091,M1092,N1093)</f>
        <v>5.3143923989038973</v>
      </c>
    </row>
    <row r="1092" spans="1:16">
      <c r="A1092" s="171" t="s">
        <v>486</v>
      </c>
      <c r="B1092" s="172">
        <v>-1.3773893306068323</v>
      </c>
      <c r="C1092" s="172">
        <v>-1.5521003879162059</v>
      </c>
      <c r="D1092" s="172">
        <v>0.65590292152571228</v>
      </c>
      <c r="E1092" s="171">
        <v>0</v>
      </c>
      <c r="F1092" s="171">
        <f>-$L$1</f>
        <v>-1.4990492230334603E-2</v>
      </c>
      <c r="G1092" s="172">
        <v>0</v>
      </c>
      <c r="H1092" s="172">
        <v>0</v>
      </c>
      <c r="I1092" s="178">
        <f>-$N$1</f>
        <v>-4.7716218756768064E-3</v>
      </c>
      <c r="J1092" s="171">
        <v>0</v>
      </c>
      <c r="L1092">
        <v>0</v>
      </c>
      <c r="M1092">
        <v>1.8264649392687702</v>
      </c>
      <c r="N1092">
        <v>0</v>
      </c>
    </row>
    <row r="1093" spans="1:16">
      <c r="A1093" s="171"/>
      <c r="B1093" s="172">
        <v>0.60912970227287866</v>
      </c>
      <c r="C1093" s="172">
        <v>-0.28261535739067112</v>
      </c>
      <c r="D1093" s="172">
        <v>0.68802996689194662</v>
      </c>
      <c r="E1093" s="171">
        <v>0</v>
      </c>
      <c r="F1093" s="172">
        <v>0</v>
      </c>
      <c r="G1093" s="171">
        <f>-$L$1</f>
        <v>-1.4990492230334603E-2</v>
      </c>
      <c r="H1093" s="172">
        <v>0</v>
      </c>
      <c r="I1093" s="172">
        <v>0</v>
      </c>
      <c r="J1093" s="178">
        <f>-$N$1</f>
        <v>-4.7716218756768064E-3</v>
      </c>
      <c r="L1093">
        <v>0</v>
      </c>
      <c r="M1093">
        <v>0</v>
      </c>
      <c r="N1093">
        <v>0.57782507884364509</v>
      </c>
    </row>
    <row r="1094" spans="1:16">
      <c r="A1094" s="171"/>
      <c r="B1094" s="172"/>
      <c r="C1094" s="172"/>
      <c r="D1094" s="172"/>
      <c r="E1094" s="171"/>
      <c r="F1094" s="171"/>
      <c r="G1094" s="171"/>
      <c r="H1094" s="171"/>
      <c r="I1094" s="171"/>
      <c r="J1094" s="171"/>
    </row>
    <row r="1095" spans="1:16">
      <c r="A1095" s="171"/>
      <c r="B1095" s="172">
        <v>1.0673702345396179</v>
      </c>
      <c r="C1095" s="172">
        <v>-2.4075843796929846</v>
      </c>
      <c r="D1095" s="172">
        <v>0.708799578341892</v>
      </c>
      <c r="E1095" s="171">
        <f>-$L$1</f>
        <v>-1.4990492230334603E-2</v>
      </c>
      <c r="F1095" s="172">
        <v>0</v>
      </c>
      <c r="G1095" s="172">
        <v>0</v>
      </c>
      <c r="H1095" s="178">
        <f>-$N$1</f>
        <v>-4.7716218756768064E-3</v>
      </c>
      <c r="I1095" s="171">
        <v>0</v>
      </c>
      <c r="J1095" s="171">
        <v>0</v>
      </c>
      <c r="L1095">
        <f t="array" ref="L1095:N1097">SVDD(B1095:J1097)</f>
        <v>3.379425334754989</v>
      </c>
      <c r="M1095">
        <v>0</v>
      </c>
      <c r="N1095">
        <v>0</v>
      </c>
      <c r="P1095">
        <f t="shared" ref="P1095" si="286">MAX(L1095,M1096,N1097)/MIN(L1095,M1096,N1097)</f>
        <v>6.5691112647755974</v>
      </c>
    </row>
    <row r="1096" spans="1:16">
      <c r="A1096" s="171" t="s">
        <v>487</v>
      </c>
      <c r="B1096" s="172">
        <v>1.4675604394566215</v>
      </c>
      <c r="C1096" s="172">
        <v>-1.3235781323919831</v>
      </c>
      <c r="D1096" s="172">
        <v>0.72564008456612294</v>
      </c>
      <c r="E1096" s="171">
        <v>0</v>
      </c>
      <c r="F1096" s="171">
        <f>-$L$1</f>
        <v>-1.4990492230334603E-2</v>
      </c>
      <c r="G1096" s="172">
        <v>0</v>
      </c>
      <c r="H1096" s="172">
        <v>0</v>
      </c>
      <c r="I1096" s="178">
        <f>-$N$1</f>
        <v>-4.7716218756768064E-3</v>
      </c>
      <c r="J1096" s="171">
        <v>0</v>
      </c>
      <c r="L1096">
        <v>0</v>
      </c>
      <c r="M1096">
        <v>1.3639848622980284</v>
      </c>
      <c r="N1096">
        <v>0</v>
      </c>
    </row>
    <row r="1097" spans="1:16">
      <c r="A1097" s="171"/>
      <c r="B1097" s="172">
        <v>-1.0097006711160386</v>
      </c>
      <c r="C1097" s="172">
        <v>-0.26302086313966178</v>
      </c>
      <c r="D1097" s="172">
        <v>0.76545275918666766</v>
      </c>
      <c r="E1097" s="171">
        <v>0</v>
      </c>
      <c r="F1097" s="172">
        <v>0</v>
      </c>
      <c r="G1097" s="171">
        <f>-$L$1</f>
        <v>-1.4990492230334603E-2</v>
      </c>
      <c r="H1097" s="172">
        <v>0</v>
      </c>
      <c r="I1097" s="172">
        <v>0</v>
      </c>
      <c r="J1097" s="178">
        <f>-$N$1</f>
        <v>-4.7716218756768064E-3</v>
      </c>
      <c r="L1097">
        <v>0</v>
      </c>
      <c r="M1097">
        <v>0</v>
      </c>
      <c r="N1097">
        <v>0.51444178649795347</v>
      </c>
    </row>
    <row r="1098" spans="1:16">
      <c r="A1098" s="171"/>
      <c r="B1098" s="172"/>
      <c r="C1098" s="172"/>
      <c r="D1098" s="172"/>
      <c r="E1098" s="171"/>
      <c r="F1098" s="171"/>
      <c r="G1098" s="171"/>
      <c r="H1098" s="171"/>
      <c r="I1098" s="171"/>
      <c r="J1098" s="171"/>
    </row>
    <row r="1099" spans="1:16">
      <c r="A1099" s="171"/>
      <c r="B1099" s="172">
        <v>1.0673702345396179</v>
      </c>
      <c r="C1099" s="172">
        <v>-2.4075843796929846</v>
      </c>
      <c r="D1099" s="172">
        <v>0.708799578341892</v>
      </c>
      <c r="E1099" s="171">
        <f>-$L$1</f>
        <v>-1.4990492230334603E-2</v>
      </c>
      <c r="F1099" s="172">
        <v>0</v>
      </c>
      <c r="G1099" s="172">
        <v>0</v>
      </c>
      <c r="H1099" s="178">
        <f>-$N$1</f>
        <v>-4.7716218756768064E-3</v>
      </c>
      <c r="I1099" s="171">
        <v>0</v>
      </c>
      <c r="J1099" s="171">
        <v>0</v>
      </c>
      <c r="L1099">
        <f t="array" ref="L1099:N1101">SVDD(B1099:J1101)</f>
        <v>3.4620387964767052</v>
      </c>
      <c r="M1099">
        <v>0</v>
      </c>
      <c r="N1099">
        <v>0</v>
      </c>
      <c r="P1099">
        <f t="shared" ref="P1099" si="287">MAX(L1099,M1100,N1101)/MIN(L1099,M1100,N1101)</f>
        <v>11.370138866273509</v>
      </c>
    </row>
    <row r="1100" spans="1:16">
      <c r="A1100" s="171" t="s">
        <v>488</v>
      </c>
      <c r="B1100" s="172">
        <v>1.4675604394566215</v>
      </c>
      <c r="C1100" s="172">
        <v>-1.3235781323919831</v>
      </c>
      <c r="D1100" s="172">
        <v>0.72564008456612294</v>
      </c>
      <c r="E1100" s="171">
        <v>0</v>
      </c>
      <c r="F1100" s="171">
        <f>-$L$1</f>
        <v>-1.4990492230334603E-2</v>
      </c>
      <c r="G1100" s="172">
        <v>0</v>
      </c>
      <c r="H1100" s="172">
        <v>0</v>
      </c>
      <c r="I1100" s="178">
        <f>-$N$1</f>
        <v>-4.7716218756768064E-3</v>
      </c>
      <c r="J1100" s="171">
        <v>0</v>
      </c>
      <c r="L1100">
        <v>0</v>
      </c>
      <c r="M1100">
        <v>0.8466989541206501</v>
      </c>
      <c r="N1100">
        <v>0</v>
      </c>
    </row>
    <row r="1101" spans="1:16">
      <c r="A1101" s="171"/>
      <c r="B1101" s="172">
        <v>0.60912970227287866</v>
      </c>
      <c r="C1101" s="172">
        <v>-0.28261535739067112</v>
      </c>
      <c r="D1101" s="172">
        <v>0.68802996689194662</v>
      </c>
      <c r="E1101" s="171">
        <v>0</v>
      </c>
      <c r="F1101" s="172">
        <v>0</v>
      </c>
      <c r="G1101" s="171">
        <f>-$L$1</f>
        <v>-1.4990492230334603E-2</v>
      </c>
      <c r="H1101" s="172">
        <v>0</v>
      </c>
      <c r="I1101" s="172">
        <v>0</v>
      </c>
      <c r="J1101" s="178">
        <f>-$N$1</f>
        <v>-4.7716218756768064E-3</v>
      </c>
      <c r="L1101">
        <v>0</v>
      </c>
      <c r="M1101">
        <v>0</v>
      </c>
      <c r="N1101">
        <v>0.30448518150872561</v>
      </c>
    </row>
    <row r="1102" spans="1:16">
      <c r="A1102" s="171"/>
      <c r="B1102" s="172"/>
      <c r="C1102" s="172"/>
      <c r="D1102" s="172"/>
      <c r="E1102" s="171"/>
      <c r="F1102" s="171"/>
      <c r="G1102" s="171"/>
      <c r="H1102" s="171"/>
      <c r="I1102" s="171"/>
      <c r="J1102" s="171"/>
    </row>
    <row r="1103" spans="1:16">
      <c r="A1103" s="171"/>
      <c r="B1103" s="172">
        <v>1.0673702345396179</v>
      </c>
      <c r="C1103" s="172">
        <v>-2.4075843796929846</v>
      </c>
      <c r="D1103" s="172">
        <v>0.708799578341892</v>
      </c>
      <c r="E1103" s="171">
        <f>-$L$1</f>
        <v>-1.4990492230334603E-2</v>
      </c>
      <c r="F1103" s="172">
        <v>0</v>
      </c>
      <c r="G1103" s="172">
        <v>0</v>
      </c>
      <c r="H1103" s="178">
        <f>-$N$1</f>
        <v>-4.7716218756768064E-3</v>
      </c>
      <c r="I1103" s="171">
        <v>0</v>
      </c>
      <c r="J1103" s="171">
        <v>0</v>
      </c>
      <c r="L1103">
        <f t="array" ref="L1103:N1105">SVDD(B1103:J1105)</f>
        <v>2.8129875732956702</v>
      </c>
      <c r="M1103">
        <v>0</v>
      </c>
      <c r="N1103">
        <v>0</v>
      </c>
      <c r="P1103">
        <f t="shared" ref="P1103" si="288">MAX(L1103,M1104,N1105)/MIN(L1103,M1104,N1105)</f>
        <v>4.1925628111386697</v>
      </c>
    </row>
    <row r="1104" spans="1:16">
      <c r="A1104" s="171" t="s">
        <v>489</v>
      </c>
      <c r="B1104" s="172">
        <v>-1.0097006711160386</v>
      </c>
      <c r="C1104" s="172">
        <v>-0.26302086313966178</v>
      </c>
      <c r="D1104" s="172">
        <v>0.76545275918666766</v>
      </c>
      <c r="E1104" s="171">
        <v>0</v>
      </c>
      <c r="F1104" s="171">
        <f>-$L$1</f>
        <v>-1.4990492230334603E-2</v>
      </c>
      <c r="G1104" s="172">
        <v>0</v>
      </c>
      <c r="H1104" s="172">
        <v>0</v>
      </c>
      <c r="I1104" s="178">
        <f>-$N$1</f>
        <v>-4.7716218756768064E-3</v>
      </c>
      <c r="J1104" s="171">
        <v>0</v>
      </c>
      <c r="L1104">
        <v>0</v>
      </c>
      <c r="M1104">
        <v>1.294102416365662</v>
      </c>
      <c r="N1104">
        <v>0</v>
      </c>
    </row>
    <row r="1105" spans="1:16">
      <c r="A1105" s="171"/>
      <c r="B1105" s="172">
        <v>0.60912970227287866</v>
      </c>
      <c r="C1105" s="172">
        <v>-0.28261535739067112</v>
      </c>
      <c r="D1105" s="172">
        <v>0.68802996689194662</v>
      </c>
      <c r="E1105" s="171">
        <v>0</v>
      </c>
      <c r="F1105" s="172">
        <v>0</v>
      </c>
      <c r="G1105" s="171">
        <f>-$L$1</f>
        <v>-1.4990492230334603E-2</v>
      </c>
      <c r="H1105" s="172">
        <v>0</v>
      </c>
      <c r="I1105" s="172">
        <v>0</v>
      </c>
      <c r="J1105" s="178">
        <f>-$N$1</f>
        <v>-4.7716218756768064E-3</v>
      </c>
      <c r="L1105">
        <v>0</v>
      </c>
      <c r="M1105">
        <v>0</v>
      </c>
      <c r="N1105">
        <v>0.67094703168720882</v>
      </c>
    </row>
    <row r="1106" spans="1:16">
      <c r="A1106" s="171"/>
      <c r="B1106" s="172"/>
      <c r="C1106" s="172"/>
      <c r="D1106" s="172"/>
      <c r="E1106" s="171"/>
      <c r="F1106" s="171"/>
      <c r="G1106" s="171"/>
      <c r="H1106" s="171"/>
      <c r="I1106" s="171"/>
      <c r="J1106" s="171"/>
    </row>
    <row r="1107" spans="1:16">
      <c r="A1107" s="171"/>
      <c r="B1107" s="172">
        <v>-1.3773893306068323</v>
      </c>
      <c r="C1107" s="172">
        <v>-1.5521003879162059</v>
      </c>
      <c r="D1107" s="172">
        <v>0.65590292152571228</v>
      </c>
      <c r="E1107" s="171">
        <f>-$L$1</f>
        <v>-1.4990492230334603E-2</v>
      </c>
      <c r="F1107" s="172">
        <v>0</v>
      </c>
      <c r="G1107" s="172">
        <v>0</v>
      </c>
      <c r="H1107" s="178">
        <f>-$N$1</f>
        <v>-4.7716218756768064E-3</v>
      </c>
      <c r="I1107" s="171">
        <v>0</v>
      </c>
      <c r="J1107" s="171">
        <v>0</v>
      </c>
      <c r="L1107">
        <f t="array" ref="L1107:N1109">SVDD(B1107:J1109)</f>
        <v>2.4475863706281604</v>
      </c>
      <c r="M1107">
        <v>0</v>
      </c>
      <c r="N1107">
        <v>0</v>
      </c>
      <c r="P1107">
        <f t="shared" ref="P1107" si="289">MAX(L1107,M1108,N1109)/MIN(L1107,M1108,N1109)</f>
        <v>4.4283528561982362</v>
      </c>
    </row>
    <row r="1108" spans="1:16">
      <c r="A1108" s="171" t="s">
        <v>490</v>
      </c>
      <c r="B1108" s="172">
        <v>1.4675604394566215</v>
      </c>
      <c r="C1108" s="172">
        <v>-1.3235781323919831</v>
      </c>
      <c r="D1108" s="172">
        <v>0.72564008456612294</v>
      </c>
      <c r="E1108" s="171">
        <v>0</v>
      </c>
      <c r="F1108" s="171">
        <f>-$L$1</f>
        <v>-1.4990492230334603E-2</v>
      </c>
      <c r="G1108" s="172">
        <v>0</v>
      </c>
      <c r="H1108" s="172">
        <v>0</v>
      </c>
      <c r="I1108" s="178">
        <f>-$N$1</f>
        <v>-4.7716218756768064E-3</v>
      </c>
      <c r="J1108" s="171">
        <v>0</v>
      </c>
      <c r="L1108">
        <v>0</v>
      </c>
      <c r="M1108">
        <v>2.1325436488165845</v>
      </c>
      <c r="N1108">
        <v>0</v>
      </c>
    </row>
    <row r="1109" spans="1:16">
      <c r="A1109" s="171"/>
      <c r="B1109" s="172">
        <v>-1.0097006711160386</v>
      </c>
      <c r="C1109" s="172">
        <v>-0.26302086313966178</v>
      </c>
      <c r="D1109" s="172">
        <v>0.76545275918666766</v>
      </c>
      <c r="E1109" s="171">
        <v>0</v>
      </c>
      <c r="F1109" s="172">
        <v>0</v>
      </c>
      <c r="G1109" s="171">
        <f>-$L$1</f>
        <v>-1.4990492230334603E-2</v>
      </c>
      <c r="H1109" s="172">
        <v>0</v>
      </c>
      <c r="I1109" s="172">
        <v>0</v>
      </c>
      <c r="J1109" s="178">
        <f>-$N$1</f>
        <v>-4.7716218756768064E-3</v>
      </c>
      <c r="L1109">
        <v>0</v>
      </c>
      <c r="M1109">
        <v>0</v>
      </c>
      <c r="N1109">
        <v>0.55270807230330465</v>
      </c>
    </row>
    <row r="1110" spans="1:16">
      <c r="A1110" s="171"/>
      <c r="B1110" s="172"/>
      <c r="C1110" s="172"/>
      <c r="D1110" s="172"/>
      <c r="E1110" s="171"/>
      <c r="F1110" s="171"/>
      <c r="G1110" s="171"/>
      <c r="H1110" s="171"/>
      <c r="I1110" s="171"/>
      <c r="J1110" s="171"/>
    </row>
    <row r="1111" spans="1:16">
      <c r="A1111" s="171"/>
      <c r="B1111" s="172">
        <v>-1.3773893306068323</v>
      </c>
      <c r="C1111" s="172">
        <v>-1.5521003879162059</v>
      </c>
      <c r="D1111" s="172">
        <v>0.65590292152571228</v>
      </c>
      <c r="E1111" s="171">
        <f>-$L$1</f>
        <v>-1.4990492230334603E-2</v>
      </c>
      <c r="F1111" s="172">
        <v>0</v>
      </c>
      <c r="G1111" s="172">
        <v>0</v>
      </c>
      <c r="H1111" s="178">
        <f>-$N$1</f>
        <v>-4.7716218756768064E-3</v>
      </c>
      <c r="I1111" s="171">
        <v>0</v>
      </c>
      <c r="J1111" s="171">
        <v>0</v>
      </c>
      <c r="L1111">
        <f t="array" ref="L1111:N1113">SVDD(B1111:J1113)</f>
        <v>2.3427721061478102</v>
      </c>
      <c r="M1111">
        <v>0</v>
      </c>
      <c r="N1111">
        <v>0</v>
      </c>
      <c r="P1111">
        <f t="shared" ref="P1111" si="290">MAX(L1111,M1112,N1113)/MIN(L1111,M1112,N1113)</f>
        <v>5.4661731998728929</v>
      </c>
    </row>
    <row r="1112" spans="1:16">
      <c r="A1112" s="171" t="s">
        <v>491</v>
      </c>
      <c r="B1112" s="172">
        <v>1.4675604394566215</v>
      </c>
      <c r="C1112" s="172">
        <v>-1.3235781323919831</v>
      </c>
      <c r="D1112" s="172">
        <v>0.72564008456612294</v>
      </c>
      <c r="E1112" s="171">
        <v>0</v>
      </c>
      <c r="F1112" s="171">
        <f>-$L$1</f>
        <v>-1.4990492230334603E-2</v>
      </c>
      <c r="G1112" s="172">
        <v>0</v>
      </c>
      <c r="H1112" s="172">
        <v>0</v>
      </c>
      <c r="I1112" s="178">
        <f>-$N$1</f>
        <v>-4.7716218756768064E-3</v>
      </c>
      <c r="J1112" s="171">
        <v>0</v>
      </c>
      <c r="L1112">
        <v>0</v>
      </c>
      <c r="M1112">
        <v>2.1026972090477924</v>
      </c>
      <c r="N1112">
        <v>0</v>
      </c>
    </row>
    <row r="1113" spans="1:16">
      <c r="A1113" s="171"/>
      <c r="B1113" s="172">
        <v>0.60912970227287866</v>
      </c>
      <c r="C1113" s="172">
        <v>-0.28261535739067112</v>
      </c>
      <c r="D1113" s="172">
        <v>0.68802996689194662</v>
      </c>
      <c r="E1113" s="171">
        <v>0</v>
      </c>
      <c r="F1113" s="172">
        <v>0</v>
      </c>
      <c r="G1113" s="171">
        <f>-$L$1</f>
        <v>-1.4990492230334603E-2</v>
      </c>
      <c r="H1113" s="172">
        <v>0</v>
      </c>
      <c r="I1113" s="172">
        <v>0</v>
      </c>
      <c r="J1113" s="178">
        <f>-$N$1</f>
        <v>-4.7716218756768064E-3</v>
      </c>
      <c r="L1113">
        <v>0</v>
      </c>
      <c r="M1113">
        <v>0</v>
      </c>
      <c r="N1113">
        <v>0.42859456158511178</v>
      </c>
    </row>
    <row r="1114" spans="1:16">
      <c r="A1114" s="171"/>
      <c r="B1114" s="172"/>
      <c r="C1114" s="172"/>
      <c r="D1114" s="172"/>
      <c r="E1114" s="171"/>
      <c r="F1114" s="171"/>
      <c r="G1114" s="171"/>
      <c r="H1114" s="171"/>
      <c r="I1114" s="171"/>
      <c r="J1114" s="171"/>
    </row>
    <row r="1115" spans="1:16">
      <c r="A1115" s="171"/>
      <c r="B1115" s="172">
        <v>-1.3773893306068323</v>
      </c>
      <c r="C1115" s="172">
        <v>-1.5521003879162059</v>
      </c>
      <c r="D1115" s="172">
        <v>0.65590292152571228</v>
      </c>
      <c r="E1115" s="171">
        <f>-$L$1</f>
        <v>-1.4990492230334603E-2</v>
      </c>
      <c r="F1115" s="172">
        <v>0</v>
      </c>
      <c r="G1115" s="172">
        <v>0</v>
      </c>
      <c r="H1115" s="178">
        <f>-$N$1</f>
        <v>-4.7716218756768064E-3</v>
      </c>
      <c r="I1115" s="171">
        <v>0</v>
      </c>
      <c r="J1115" s="171">
        <v>0</v>
      </c>
      <c r="L1115">
        <f t="array" ref="L1115:N1117">SVDD(B1115:J1117)</f>
        <v>2.4433247106451867</v>
      </c>
      <c r="M1115">
        <v>0</v>
      </c>
      <c r="N1115">
        <v>0</v>
      </c>
      <c r="P1115">
        <f t="shared" ref="P1115" si="291">MAX(L1115,M1116,N1117)/MIN(L1115,M1116,N1117)</f>
        <v>3.6866705596950839</v>
      </c>
    </row>
    <row r="1116" spans="1:16">
      <c r="A1116" s="171" t="s">
        <v>492</v>
      </c>
      <c r="B1116" s="172">
        <v>-1.0097006711160386</v>
      </c>
      <c r="C1116" s="172">
        <v>-0.26302086313966178</v>
      </c>
      <c r="D1116" s="172">
        <v>0.76545275918666766</v>
      </c>
      <c r="E1116" s="171">
        <v>0</v>
      </c>
      <c r="F1116" s="171">
        <f>-$L$1</f>
        <v>-1.4990492230334603E-2</v>
      </c>
      <c r="G1116" s="172">
        <v>0</v>
      </c>
      <c r="H1116" s="172">
        <v>0</v>
      </c>
      <c r="I1116" s="178">
        <f>-$N$1</f>
        <v>-4.7716218756768064E-3</v>
      </c>
      <c r="J1116" s="171">
        <v>0</v>
      </c>
      <c r="L1116">
        <v>0</v>
      </c>
      <c r="M1116">
        <v>0.96280304931638805</v>
      </c>
      <c r="N1116">
        <v>0</v>
      </c>
    </row>
    <row r="1117" spans="1:16">
      <c r="A1117" s="171"/>
      <c r="B1117" s="172">
        <v>0.60912970227287866</v>
      </c>
      <c r="C1117" s="172">
        <v>-0.28261535739067112</v>
      </c>
      <c r="D1117" s="172">
        <v>0.68802996689194662</v>
      </c>
      <c r="E1117" s="171">
        <v>0</v>
      </c>
      <c r="F1117" s="172">
        <v>0</v>
      </c>
      <c r="G1117" s="171">
        <f>-$L$1</f>
        <v>-1.4990492230334603E-2</v>
      </c>
      <c r="H1117" s="172">
        <v>0</v>
      </c>
      <c r="I1117" s="172">
        <v>0</v>
      </c>
      <c r="J1117" s="178">
        <f>-$N$1</f>
        <v>-4.7716218756768064E-3</v>
      </c>
      <c r="L1117">
        <v>0</v>
      </c>
      <c r="M1117">
        <v>0</v>
      </c>
      <c r="N1117">
        <v>0.66274560503373769</v>
      </c>
    </row>
    <row r="1118" spans="1:16">
      <c r="A1118" s="171"/>
      <c r="B1118" s="172"/>
      <c r="C1118" s="172"/>
      <c r="D1118" s="172"/>
      <c r="E1118" s="171"/>
      <c r="F1118" s="171"/>
      <c r="G1118" s="171"/>
      <c r="H1118" s="171"/>
      <c r="I1118" s="171"/>
      <c r="J1118" s="171"/>
    </row>
    <row r="1119" spans="1:16">
      <c r="A1119" s="171"/>
      <c r="B1119" s="172">
        <v>1.4675604394566215</v>
      </c>
      <c r="C1119" s="172">
        <v>-1.3235781323919831</v>
      </c>
      <c r="D1119" s="172">
        <v>0.72564008456612294</v>
      </c>
      <c r="E1119" s="171">
        <f>-$L$1</f>
        <v>-1.4990492230334603E-2</v>
      </c>
      <c r="F1119" s="172">
        <v>0</v>
      </c>
      <c r="G1119" s="172">
        <v>0</v>
      </c>
      <c r="H1119" s="178">
        <f>-$N$1</f>
        <v>-4.7716218756768064E-3</v>
      </c>
      <c r="I1119" s="171">
        <v>0</v>
      </c>
      <c r="J1119" s="171">
        <v>0</v>
      </c>
      <c r="L1119">
        <f t="array" ref="L1119:N1121">SVDD(B1119:J1121)</f>
        <v>2.2912572687131525</v>
      </c>
      <c r="M1119">
        <v>0</v>
      </c>
      <c r="N1119">
        <v>0</v>
      </c>
      <c r="P1119">
        <f t="shared" ref="P1119" si="292">MAX(L1119,M1120,N1121)/MIN(L1119,M1120,N1121)</f>
        <v>5.7542568897760695</v>
      </c>
    </row>
    <row r="1120" spans="1:16">
      <c r="A1120" s="171" t="s">
        <v>493</v>
      </c>
      <c r="B1120" s="172">
        <v>-1.0097006711160386</v>
      </c>
      <c r="C1120" s="172">
        <v>-0.26302086313966178</v>
      </c>
      <c r="D1120" s="172">
        <v>0.76545275918666766</v>
      </c>
      <c r="E1120" s="171">
        <v>0</v>
      </c>
      <c r="F1120" s="171">
        <f>-$L$1</f>
        <v>-1.4990492230334603E-2</v>
      </c>
      <c r="G1120" s="172">
        <v>0</v>
      </c>
      <c r="H1120" s="172">
        <v>0</v>
      </c>
      <c r="I1120" s="178">
        <f>-$N$1</f>
        <v>-4.7716218756768064E-3</v>
      </c>
      <c r="J1120" s="171">
        <v>0</v>
      </c>
      <c r="L1120">
        <v>0</v>
      </c>
      <c r="M1120">
        <v>1.2741141069369255</v>
      </c>
      <c r="N1120">
        <v>0</v>
      </c>
    </row>
    <row r="1121" spans="1:14">
      <c r="A1121" s="171"/>
      <c r="B1121" s="172">
        <v>0.60912970227287866</v>
      </c>
      <c r="C1121" s="172">
        <v>-0.28261535739067112</v>
      </c>
      <c r="D1121" s="172">
        <v>0.68802996689194662</v>
      </c>
      <c r="E1121" s="171">
        <v>0</v>
      </c>
      <c r="F1121" s="172">
        <v>0</v>
      </c>
      <c r="G1121" s="171">
        <f>-$L$1</f>
        <v>-1.4990492230334603E-2</v>
      </c>
      <c r="H1121" s="172">
        <v>0</v>
      </c>
      <c r="I1121" s="172">
        <v>0</v>
      </c>
      <c r="J1121" s="178">
        <f>-$N$1</f>
        <v>-4.7716218756768064E-3</v>
      </c>
      <c r="L1121">
        <v>0</v>
      </c>
      <c r="M1121">
        <v>0</v>
      </c>
      <c r="N1121">
        <v>0.39818473742181471</v>
      </c>
    </row>
    <row r="1122" spans="1:14">
      <c r="A1122" s="171"/>
      <c r="B1122" s="171"/>
      <c r="C1122" s="171"/>
      <c r="D1122" s="171"/>
      <c r="E1122" s="171"/>
      <c r="F1122" s="171"/>
      <c r="G1122" s="171"/>
      <c r="H1122" s="171"/>
      <c r="I1122" s="171"/>
      <c r="J1122" s="171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45</vt:i4>
      </vt:variant>
    </vt:vector>
  </HeadingPairs>
  <TitlesOfParts>
    <vt:vector size="55" baseType="lpstr">
      <vt:lpstr>Messaufbau_Messdaten</vt:lpstr>
      <vt:lpstr>num.-Neues-Modell</vt:lpstr>
      <vt:lpstr>Ref0_Alle-Kombinationen</vt:lpstr>
      <vt:lpstr>ConditionAnalysis</vt:lpstr>
      <vt:lpstr>numerisch</vt:lpstr>
      <vt:lpstr>analytisch</vt:lpstr>
      <vt:lpstr>Modell+Rechnung</vt:lpstr>
      <vt:lpstr>AntennenPermutation</vt:lpstr>
      <vt:lpstr>Matrix_Konfiguration</vt:lpstr>
      <vt:lpstr>Tabelle2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OFFSET</vt:lpstr>
      <vt:lpstr>SCALING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2013-06-11T14:27:24Z</dcterms:modified>
</cp:coreProperties>
</file>