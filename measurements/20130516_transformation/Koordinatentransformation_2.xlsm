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DieseArbeitsmappe" defaultThemeVersion="124226"/>
  <bookViews>
    <workbookView xWindow="15" yWindow="45" windowWidth="24465" windowHeight="12345" firstSheet="2" activeTab="8"/>
  </bookViews>
  <sheets>
    <sheet name="Messaufbau_Messdaten" sheetId="1" r:id="rId1"/>
    <sheet name="num.-Neues-Modell" sheetId="18" r:id="rId2"/>
    <sheet name="Ref0_Alle-Kombinationen" sheetId="20" r:id="rId3"/>
    <sheet name="ConditionEstimation" sheetId="21" r:id="rId4"/>
    <sheet name="numerisch" sheetId="15" r:id="rId5"/>
    <sheet name="analytisch" sheetId="14" r:id="rId6"/>
    <sheet name="Modell+Rechnung" sheetId="4" r:id="rId7"/>
    <sheet name="AntennenPermutation" sheetId="19" r:id="rId8"/>
    <sheet name="Matrix_Konfiguration" sheetId="22" r:id="rId9"/>
    <sheet name="Tabelle2" sheetId="23" r:id="rId10"/>
  </sheets>
  <definedNames>
    <definedName name="A_1" localSheetId="2">'Ref0_Alle-Kombinationen'!$E$7</definedName>
    <definedName name="A_1">'num.-Neues-Modell'!$E$7</definedName>
    <definedName name="A_2" localSheetId="2">'Ref0_Alle-Kombinationen'!$F$7</definedName>
    <definedName name="A_2">'num.-Neues-Modell'!$F$7</definedName>
    <definedName name="d_10">Messaufbau_Messdaten!$I$9</definedName>
    <definedName name="d_20">Messaufbau_Messdaten!$I$10</definedName>
    <definedName name="d_30">Messaufbau_Messdaten!$I$11</definedName>
    <definedName name="OFFSET">Messaufbau_Messdaten!$I$4</definedName>
    <definedName name="SCALING">Messaufbau_Messdaten!$K$62</definedName>
    <definedName name="solver_adj" localSheetId="1" hidden="1">'num.-Neues-Modell'!$H$22:$H$28</definedName>
    <definedName name="solver_adj" localSheetId="4" hidden="1">numerisch!$K$18:$K$20</definedName>
    <definedName name="solver_adj" localSheetId="2" hidden="1">'Ref0_Alle-Kombinationen'!$H$22:$H$28</definedName>
    <definedName name="solver_cvg" localSheetId="1" hidden="1">0.0001</definedName>
    <definedName name="solver_cvg" localSheetId="4" hidden="1">0.0001</definedName>
    <definedName name="solver_cvg" localSheetId="2" hidden="1">0.0001</definedName>
    <definedName name="solver_drv" localSheetId="1" hidden="1">1</definedName>
    <definedName name="solver_drv" localSheetId="4" hidden="1">1</definedName>
    <definedName name="solver_drv" localSheetId="2" hidden="1">1</definedName>
    <definedName name="solver_est" localSheetId="1" hidden="1">1</definedName>
    <definedName name="solver_est" localSheetId="4" hidden="1">1</definedName>
    <definedName name="solver_est" localSheetId="2" hidden="1">1</definedName>
    <definedName name="solver_itr" localSheetId="1" hidden="1">100</definedName>
    <definedName name="solver_itr" localSheetId="4" hidden="1">100</definedName>
    <definedName name="solver_itr" localSheetId="2" hidden="1">100</definedName>
    <definedName name="solver_lhs1" localSheetId="1" hidden="1">'num.-Neues-Modell'!$H$22:$H$25</definedName>
    <definedName name="solver_lhs1" localSheetId="4" hidden="1">numerisch!$K$20</definedName>
    <definedName name="solver_lhs1" localSheetId="2" hidden="1">'Ref0_Alle-Kombinationen'!$H$22:$H$25</definedName>
    <definedName name="solver_lhs10" localSheetId="4" hidden="1">numerisch!$E$18</definedName>
    <definedName name="solver_lhs11" localSheetId="4" hidden="1">numerisch!$F$18</definedName>
    <definedName name="solver_lhs12" localSheetId="4" hidden="1">numerisch!$G$18</definedName>
    <definedName name="solver_lhs13" localSheetId="4" hidden="1">numerisch!$H$18</definedName>
    <definedName name="solver_lhs14" localSheetId="4" hidden="1">numerisch!$ID$18</definedName>
    <definedName name="solver_lhs15" localSheetId="4" hidden="1">numerisch!$J$18</definedName>
    <definedName name="solver_lhs16" localSheetId="4" hidden="1">numerisch!$K$18</definedName>
    <definedName name="solver_lhs17" localSheetId="4" hidden="1">numerisch!$D$18</definedName>
    <definedName name="solver_lhs18" localSheetId="4" hidden="1">numerisch!$E$18</definedName>
    <definedName name="solver_lhs19" localSheetId="4" hidden="1">numerisch!$F$18</definedName>
    <definedName name="solver_lhs2" localSheetId="1" hidden="1">'num.-Neues-Modell'!$D$22:$D$25</definedName>
    <definedName name="solver_lhs2" localSheetId="4" hidden="1">numerisch!$E$18</definedName>
    <definedName name="solver_lhs2" localSheetId="2" hidden="1">'Ref0_Alle-Kombinationen'!$D$22:$D$25</definedName>
    <definedName name="solver_lhs20" localSheetId="4" hidden="1">numerisch!$G$18</definedName>
    <definedName name="solver_lhs21" localSheetId="4" hidden="1">numerisch!$H$18</definedName>
    <definedName name="solver_lhs22" localSheetId="4" hidden="1">numerisch!$ID$18</definedName>
    <definedName name="solver_lhs23" localSheetId="4" hidden="1">numerisch!$J$18</definedName>
    <definedName name="solver_lhs24" localSheetId="4" hidden="1">numerisch!$K$18</definedName>
    <definedName name="solver_lhs3" localSheetId="1" hidden="1">'num.-Neues-Modell'!$D$28</definedName>
    <definedName name="solver_lhs3" localSheetId="4" hidden="1">numerisch!$F$18</definedName>
    <definedName name="solver_lhs3" localSheetId="2" hidden="1">'Ref0_Alle-Kombinationen'!$D$28</definedName>
    <definedName name="solver_lhs4" localSheetId="1" hidden="1">'num.-Neues-Modell'!$D$25</definedName>
    <definedName name="solver_lhs4" localSheetId="4" hidden="1">numerisch!$G$18</definedName>
    <definedName name="solver_lhs4" localSheetId="2" hidden="1">'Ref0_Alle-Kombinationen'!$D$25</definedName>
    <definedName name="solver_lhs5" localSheetId="4" hidden="1">numerisch!$H$18</definedName>
    <definedName name="solver_lhs6" localSheetId="4" hidden="1">numerisch!$ID$18</definedName>
    <definedName name="solver_lhs7" localSheetId="4" hidden="1">numerisch!$J$18</definedName>
    <definedName name="solver_lhs8" localSheetId="4" hidden="1">numerisch!$K$18</definedName>
    <definedName name="solver_lhs9" localSheetId="4" hidden="1">numerisch!$D$18</definedName>
    <definedName name="solver_lin" localSheetId="1" hidden="1">2</definedName>
    <definedName name="solver_lin" localSheetId="4" hidden="1">2</definedName>
    <definedName name="solver_lin" localSheetId="2" hidden="1">2</definedName>
    <definedName name="solver_neg" localSheetId="1" hidden="1">2</definedName>
    <definedName name="solver_neg" localSheetId="4" hidden="1">2</definedName>
    <definedName name="solver_neg" localSheetId="2" hidden="1">2</definedName>
    <definedName name="solver_num" localSheetId="1" hidden="1">1</definedName>
    <definedName name="solver_num" localSheetId="4" hidden="1">1</definedName>
    <definedName name="solver_num" localSheetId="2" hidden="1">1</definedName>
    <definedName name="solver_nwt" localSheetId="1" hidden="1">1</definedName>
    <definedName name="solver_nwt" localSheetId="4" hidden="1">1</definedName>
    <definedName name="solver_nwt" localSheetId="2" hidden="1">1</definedName>
    <definedName name="solver_opt" localSheetId="1" hidden="1">'num.-Neues-Modell'!$H$57</definedName>
    <definedName name="solver_opt" localSheetId="4" hidden="1">numerisch!$K$14</definedName>
    <definedName name="solver_opt" localSheetId="2" hidden="1">'Ref0_Alle-Kombinationen'!$H$57</definedName>
    <definedName name="solver_pre" localSheetId="1" hidden="1">0.00000001</definedName>
    <definedName name="solver_pre" localSheetId="4" hidden="1">0.000001</definedName>
    <definedName name="solver_pre" localSheetId="2" hidden="1">0.00000001</definedName>
    <definedName name="solver_rel1" localSheetId="1" hidden="1">3</definedName>
    <definedName name="solver_rel1" localSheetId="4" hidden="1">3</definedName>
    <definedName name="solver_rel1" localSheetId="2" hidden="1">3</definedName>
    <definedName name="solver_rel10" localSheetId="4" hidden="1">3</definedName>
    <definedName name="solver_rel11" localSheetId="4" hidden="1">3</definedName>
    <definedName name="solver_rel12" localSheetId="4" hidden="1">3</definedName>
    <definedName name="solver_rel13" localSheetId="4" hidden="1">3</definedName>
    <definedName name="solver_rel14" localSheetId="4" hidden="1">3</definedName>
    <definedName name="solver_rel15" localSheetId="4" hidden="1">3</definedName>
    <definedName name="solver_rel16" localSheetId="4" hidden="1">3</definedName>
    <definedName name="solver_rel17" localSheetId="4" hidden="1">3</definedName>
    <definedName name="solver_rel18" localSheetId="4" hidden="1">3</definedName>
    <definedName name="solver_rel19" localSheetId="4" hidden="1">3</definedName>
    <definedName name="solver_rel2" localSheetId="1" hidden="1">3</definedName>
    <definedName name="solver_rel2" localSheetId="4" hidden="1">3</definedName>
    <definedName name="solver_rel2" localSheetId="2" hidden="1">3</definedName>
    <definedName name="solver_rel20" localSheetId="4" hidden="1">3</definedName>
    <definedName name="solver_rel21" localSheetId="4" hidden="1">3</definedName>
    <definedName name="solver_rel22" localSheetId="4" hidden="1">3</definedName>
    <definedName name="solver_rel23" localSheetId="4" hidden="1">3</definedName>
    <definedName name="solver_rel24" localSheetId="4" hidden="1">3</definedName>
    <definedName name="solver_rel3" localSheetId="1" hidden="1">1</definedName>
    <definedName name="solver_rel3" localSheetId="4" hidden="1">3</definedName>
    <definedName name="solver_rel3" localSheetId="2" hidden="1">1</definedName>
    <definedName name="solver_rel4" localSheetId="1" hidden="1">3</definedName>
    <definedName name="solver_rel4" localSheetId="4" hidden="1">3</definedName>
    <definedName name="solver_rel4" localSheetId="2" hidden="1">3</definedName>
    <definedName name="solver_rel5" localSheetId="4" hidden="1">3</definedName>
    <definedName name="solver_rel6" localSheetId="4" hidden="1">3</definedName>
    <definedName name="solver_rel7" localSheetId="4" hidden="1">3</definedName>
    <definedName name="solver_rel8" localSheetId="4" hidden="1">3</definedName>
    <definedName name="solver_rel9" localSheetId="4" hidden="1">3</definedName>
    <definedName name="solver_rhs1" localSheetId="1" hidden="1">0</definedName>
    <definedName name="solver_rhs1" localSheetId="4" hidden="1">0</definedName>
    <definedName name="solver_rhs1" localSheetId="2" hidden="1">0</definedName>
    <definedName name="solver_rhs10" localSheetId="4" hidden="1">0</definedName>
    <definedName name="solver_rhs11" localSheetId="4" hidden="1">0</definedName>
    <definedName name="solver_rhs12" localSheetId="4" hidden="1">0</definedName>
    <definedName name="solver_rhs13" localSheetId="4" hidden="1">0</definedName>
    <definedName name="solver_rhs14" localSheetId="4" hidden="1">0</definedName>
    <definedName name="solver_rhs15" localSheetId="4" hidden="1">0</definedName>
    <definedName name="solver_rhs16" localSheetId="4" hidden="1">0</definedName>
    <definedName name="solver_rhs17" localSheetId="4" hidden="1">0</definedName>
    <definedName name="solver_rhs18" localSheetId="4" hidden="1">0</definedName>
    <definedName name="solver_rhs19" localSheetId="4" hidden="1">0</definedName>
    <definedName name="solver_rhs2" localSheetId="1" hidden="1">0</definedName>
    <definedName name="solver_rhs2" localSheetId="4" hidden="1">0</definedName>
    <definedName name="solver_rhs2" localSheetId="2" hidden="1">3</definedName>
    <definedName name="solver_rhs20" localSheetId="4" hidden="1">0</definedName>
    <definedName name="solver_rhs21" localSheetId="4" hidden="1">0</definedName>
    <definedName name="solver_rhs22" localSheetId="4" hidden="1">0</definedName>
    <definedName name="solver_rhs23" localSheetId="4" hidden="1">0</definedName>
    <definedName name="solver_rhs24" localSheetId="4" hidden="1">0</definedName>
    <definedName name="solver_rhs3" localSheetId="1" hidden="1">0</definedName>
    <definedName name="solver_rhs3" localSheetId="4" hidden="1">0</definedName>
    <definedName name="solver_rhs3" localSheetId="2" hidden="1">0</definedName>
    <definedName name="solver_rhs4" localSheetId="1" hidden="1">0</definedName>
    <definedName name="solver_rhs4" localSheetId="4" hidden="1">0</definedName>
    <definedName name="solver_rhs4" localSheetId="2" hidden="1">0</definedName>
    <definedName name="solver_rhs5" localSheetId="4" hidden="1">0</definedName>
    <definedName name="solver_rhs6" localSheetId="4" hidden="1">0</definedName>
    <definedName name="solver_rhs7" localSheetId="4" hidden="1">0</definedName>
    <definedName name="solver_rhs8" localSheetId="4" hidden="1">0</definedName>
    <definedName name="solver_rhs9" localSheetId="4" hidden="1">0</definedName>
    <definedName name="solver_scl" localSheetId="1" hidden="1">2</definedName>
    <definedName name="solver_scl" localSheetId="4" hidden="1">2</definedName>
    <definedName name="solver_scl" localSheetId="2" hidden="1">2</definedName>
    <definedName name="solver_sho" localSheetId="1" hidden="1">2</definedName>
    <definedName name="solver_sho" localSheetId="4" hidden="1">2</definedName>
    <definedName name="solver_sho" localSheetId="2" hidden="1">2</definedName>
    <definedName name="solver_tim" localSheetId="1" hidden="1">100</definedName>
    <definedName name="solver_tim" localSheetId="4" hidden="1">100</definedName>
    <definedName name="solver_tim" localSheetId="2" hidden="1">100</definedName>
    <definedName name="solver_tol" localSheetId="1" hidden="1">0.05</definedName>
    <definedName name="solver_tol" localSheetId="4" hidden="1">0.05</definedName>
    <definedName name="solver_tol" localSheetId="2" hidden="1">0.05</definedName>
    <definedName name="solver_typ" localSheetId="1" hidden="1">2</definedName>
    <definedName name="solver_typ" localSheetId="4" hidden="1">2</definedName>
    <definedName name="solver_typ" localSheetId="2" hidden="1">2</definedName>
    <definedName name="solver_val" localSheetId="1" hidden="1">0</definedName>
    <definedName name="solver_val" localSheetId="4" hidden="1">0</definedName>
    <definedName name="solver_val" localSheetId="2" hidden="1">0</definedName>
    <definedName name="T_0" localSheetId="2">'Ref0_Alle-Kombinationen'!$B$149</definedName>
    <definedName name="T_0">'num.-Neues-Modell'!$B$149</definedName>
    <definedName name="T_1" localSheetId="2">'Ref0_Alle-Kombinationen'!$B$150</definedName>
    <definedName name="T_1">'num.-Neues-Modell'!$B$150</definedName>
    <definedName name="T_2" localSheetId="2">'Ref0_Alle-Kombinationen'!$B$151</definedName>
    <definedName name="T_2">'num.-Neues-Modell'!$B$151</definedName>
    <definedName name="T_3" localSheetId="2">'Ref0_Alle-Kombinationen'!$B$152</definedName>
    <definedName name="T_3">'num.-Neues-Modell'!$B$152</definedName>
    <definedName name="T_4" localSheetId="2">'Ref0_Alle-Kombinationen'!$B$153</definedName>
    <definedName name="T_4">'num.-Neues-Modell'!$B$153</definedName>
    <definedName name="T_5" localSheetId="2">'Ref0_Alle-Kombinationen'!$B$154</definedName>
    <definedName name="T_5">'num.-Neues-Modell'!$B$154</definedName>
    <definedName name="T_6" localSheetId="2">'Ref0_Alle-Kombinationen'!$B$155</definedName>
    <definedName name="T_6">'num.-Neues-Modell'!$B$155</definedName>
    <definedName name="T_7" localSheetId="2">'Ref0_Alle-Kombinationen'!$B$156</definedName>
    <definedName name="T_7">'num.-Neues-Modell'!$B$156</definedName>
    <definedName name="THETA_0" localSheetId="2">'Ref0_Alle-Kombinationen'!$H$10</definedName>
    <definedName name="THETA_0">'num.-Neues-Modell'!$H$10</definedName>
    <definedName name="THETA_1" localSheetId="2">'Ref0_Alle-Kombinationen'!$H$7</definedName>
    <definedName name="THETA_1">'num.-Neues-Modell'!$H$7</definedName>
    <definedName name="THETA_1_alt" localSheetId="2">'Ref0_Alle-Kombinationen'!$H$7</definedName>
    <definedName name="THETA_1_alt">'num.-Neues-Modell'!$H$7</definedName>
    <definedName name="THETA_1dasd" localSheetId="2">'Ref0_Alle-Kombinationen'!$H$7</definedName>
    <definedName name="THETA_1dasd">'num.-Neues-Modell'!$H$7</definedName>
    <definedName name="THETA_2" localSheetId="2">'Ref0_Alle-Kombinationen'!$H$8</definedName>
    <definedName name="THETA_2">'num.-Neues-Modell'!$H$8</definedName>
    <definedName name="THETA_3" localSheetId="2">'Ref0_Alle-Kombinationen'!$H$9</definedName>
    <definedName name="THETA_3">'num.-Neues-Modell'!$H$9</definedName>
    <definedName name="Theta_A0">Messaufbau_Messdaten!$I$51</definedName>
    <definedName name="Theta_A1">Messaufbau_Messdaten!$I$52</definedName>
    <definedName name="Theta_A2">Messaufbau_Messdaten!$I$53</definedName>
    <definedName name="Theta_A3">Messaufbau_Messdaten!$I$54</definedName>
    <definedName name="Theta_A4">Messaufbau_Messdaten!$I$55</definedName>
    <definedName name="Theta_A5">Messaufbau_Messdaten!$I$56</definedName>
    <definedName name="Theta_A6">Messaufbau_Messdaten!$I$57</definedName>
    <definedName name="Theta_A7">Messaufbau_Messdaten!$I$58</definedName>
  </definedNames>
  <calcPr calcId="124519"/>
</workbook>
</file>

<file path=xl/calcChain.xml><?xml version="1.0" encoding="utf-8"?>
<calcChain xmlns="http://schemas.openxmlformats.org/spreadsheetml/2006/main">
  <c r="K32" i="2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3"/>
  <c r="K274"/>
  <c r="K275"/>
  <c r="K276"/>
  <c r="K277"/>
  <c r="K278"/>
  <c r="K279"/>
  <c r="K280"/>
  <c r="K281"/>
  <c r="K282"/>
  <c r="K283"/>
  <c r="K284"/>
  <c r="K285"/>
  <c r="K286"/>
  <c r="K287"/>
  <c r="K288"/>
  <c r="K289"/>
  <c r="K290"/>
  <c r="K291"/>
  <c r="K292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13"/>
  <c r="F37"/>
  <c r="F41"/>
  <c r="F45"/>
  <c r="F49"/>
  <c r="F53"/>
  <c r="F57"/>
  <c r="F61"/>
  <c r="F65"/>
  <c r="F69"/>
  <c r="F73"/>
  <c r="F77"/>
  <c r="F81"/>
  <c r="F85"/>
  <c r="F89"/>
  <c r="F93"/>
  <c r="F97"/>
  <c r="F101"/>
  <c r="F105"/>
  <c r="F109"/>
  <c r="F113"/>
  <c r="F117"/>
  <c r="F121"/>
  <c r="F125"/>
  <c r="F129"/>
  <c r="F133"/>
  <c r="F137"/>
  <c r="F141"/>
  <c r="F145"/>
  <c r="F149"/>
  <c r="F153"/>
  <c r="F157"/>
  <c r="F161"/>
  <c r="F165"/>
  <c r="F169"/>
  <c r="F173"/>
  <c r="F177"/>
  <c r="F181"/>
  <c r="F185"/>
  <c r="F189"/>
  <c r="F193"/>
  <c r="F197"/>
  <c r="F201"/>
  <c r="F205"/>
  <c r="F209"/>
  <c r="F213"/>
  <c r="F217"/>
  <c r="F221"/>
  <c r="F225"/>
  <c r="F229"/>
  <c r="F233"/>
  <c r="F237"/>
  <c r="F241"/>
  <c r="F245"/>
  <c r="F249"/>
  <c r="F253"/>
  <c r="F257"/>
  <c r="F261"/>
  <c r="F265"/>
  <c r="F269"/>
  <c r="F273"/>
  <c r="F277"/>
  <c r="F281"/>
  <c r="F285"/>
  <c r="F289"/>
  <c r="F293"/>
  <c r="F297"/>
  <c r="F301"/>
  <c r="F305"/>
  <c r="F309"/>
  <c r="F313"/>
  <c r="F317"/>
  <c r="F321"/>
  <c r="F325"/>
  <c r="F329"/>
  <c r="F333"/>
  <c r="F337"/>
  <c r="F341"/>
  <c r="F345"/>
  <c r="F349"/>
  <c r="F353"/>
  <c r="F357"/>
  <c r="F361"/>
  <c r="F365"/>
  <c r="F369"/>
  <c r="F373"/>
  <c r="F377"/>
  <c r="F381"/>
  <c r="F385"/>
  <c r="F389"/>
  <c r="F393"/>
  <c r="F397"/>
  <c r="F401"/>
  <c r="F405"/>
  <c r="F409"/>
  <c r="F413"/>
  <c r="F417"/>
  <c r="F421"/>
  <c r="F425"/>
  <c r="F429"/>
  <c r="F433"/>
  <c r="F437"/>
  <c r="F441"/>
  <c r="F445"/>
  <c r="F449"/>
  <c r="F453"/>
  <c r="F457"/>
  <c r="F461"/>
  <c r="F465"/>
  <c r="F469"/>
  <c r="F473"/>
  <c r="F477"/>
  <c r="F481"/>
  <c r="F485"/>
  <c r="F489"/>
  <c r="F493"/>
  <c r="F497"/>
  <c r="F501"/>
  <c r="F505"/>
  <c r="F509"/>
  <c r="F513"/>
  <c r="F517"/>
  <c r="F521"/>
  <c r="F525"/>
  <c r="F529"/>
  <c r="F533"/>
  <c r="F537"/>
  <c r="F541"/>
  <c r="F545"/>
  <c r="F549"/>
  <c r="F553"/>
  <c r="F557"/>
  <c r="F561"/>
  <c r="F565"/>
  <c r="F569"/>
  <c r="F573"/>
  <c r="F577"/>
  <c r="F581"/>
  <c r="F585"/>
  <c r="F589"/>
  <c r="F593"/>
  <c r="F597"/>
  <c r="F601"/>
  <c r="F605"/>
  <c r="F609"/>
  <c r="F613"/>
  <c r="F617"/>
  <c r="F621"/>
  <c r="F625"/>
  <c r="F629"/>
  <c r="F633"/>
  <c r="F637"/>
  <c r="F641"/>
  <c r="F645"/>
  <c r="F649"/>
  <c r="F653"/>
  <c r="F657"/>
  <c r="F661"/>
  <c r="F665"/>
  <c r="F669"/>
  <c r="F673"/>
  <c r="F677"/>
  <c r="F681"/>
  <c r="F685"/>
  <c r="F689"/>
  <c r="F693"/>
  <c r="F697"/>
  <c r="F701"/>
  <c r="F705"/>
  <c r="F709"/>
  <c r="F713"/>
  <c r="F717"/>
  <c r="F721"/>
  <c r="F725"/>
  <c r="F729"/>
  <c r="F733"/>
  <c r="F737"/>
  <c r="F741"/>
  <c r="F745"/>
  <c r="F749"/>
  <c r="F753"/>
  <c r="F757"/>
  <c r="F761"/>
  <c r="F765"/>
  <c r="F769"/>
  <c r="F773"/>
  <c r="F777"/>
  <c r="F781"/>
  <c r="F785"/>
  <c r="F789"/>
  <c r="F793"/>
  <c r="F797"/>
  <c r="F801"/>
  <c r="F805"/>
  <c r="F809"/>
  <c r="F813"/>
  <c r="F817"/>
  <c r="F821"/>
  <c r="F825"/>
  <c r="F829"/>
  <c r="F833"/>
  <c r="F837"/>
  <c r="F841"/>
  <c r="F845"/>
  <c r="F849"/>
  <c r="F853"/>
  <c r="F857"/>
  <c r="F861"/>
  <c r="F865"/>
  <c r="F869"/>
  <c r="F873"/>
  <c r="F877"/>
  <c r="F881"/>
  <c r="F885"/>
  <c r="F889"/>
  <c r="F893"/>
  <c r="F897"/>
  <c r="F901"/>
  <c r="F905"/>
  <c r="F909"/>
  <c r="F913"/>
  <c r="F917"/>
  <c r="F921"/>
  <c r="F925"/>
  <c r="F929"/>
  <c r="F933"/>
  <c r="F937"/>
  <c r="F941"/>
  <c r="F945"/>
  <c r="F949"/>
  <c r="F953"/>
  <c r="F957"/>
  <c r="F961"/>
  <c r="F965"/>
  <c r="F969"/>
  <c r="F973"/>
  <c r="F977"/>
  <c r="F981"/>
  <c r="F985"/>
  <c r="F989"/>
  <c r="F993"/>
  <c r="F997"/>
  <c r="F1001"/>
  <c r="F1005"/>
  <c r="F1009"/>
  <c r="F1013"/>
  <c r="F1017"/>
  <c r="F1021"/>
  <c r="F1025"/>
  <c r="F1029"/>
  <c r="F1033"/>
  <c r="F1037"/>
  <c r="F1041"/>
  <c r="F1045"/>
  <c r="F1049"/>
  <c r="F1053"/>
  <c r="F1057"/>
  <c r="F1061"/>
  <c r="F1065"/>
  <c r="F1069"/>
  <c r="F1073"/>
  <c r="F1077"/>
  <c r="F1081"/>
  <c r="F1085"/>
  <c r="F1089"/>
  <c r="F1093"/>
  <c r="F1097"/>
  <c r="F1101"/>
  <c r="F1105"/>
  <c r="F1109"/>
  <c r="F1113"/>
  <c r="F1117"/>
  <c r="F1121"/>
  <c r="F1125"/>
  <c r="F1129"/>
  <c r="F17"/>
  <c r="F21"/>
  <c r="F25"/>
  <c r="F29"/>
  <c r="F33"/>
  <c r="F13"/>
  <c r="L14" l="1"/>
  <c r="L13"/>
  <c r="G149"/>
  <c r="H149"/>
  <c r="G150"/>
  <c r="H150"/>
  <c r="G148"/>
  <c r="H148"/>
  <c r="G20"/>
  <c r="H20"/>
  <c r="G21"/>
  <c r="H21"/>
  <c r="G22"/>
  <c r="H22"/>
  <c r="G18"/>
  <c r="H18"/>
  <c r="G17"/>
  <c r="H17"/>
  <c r="G16"/>
  <c r="H16"/>
  <c r="E7" i="18"/>
  <c r="L90" i="1"/>
  <c r="L91"/>
  <c r="L92"/>
  <c r="L93"/>
  <c r="L94"/>
  <c r="L95"/>
  <c r="L96"/>
  <c r="L89"/>
  <c r="K90"/>
  <c r="K91"/>
  <c r="K92"/>
  <c r="K93"/>
  <c r="K94"/>
  <c r="K95"/>
  <c r="K96"/>
  <c r="K89"/>
  <c r="J90"/>
  <c r="J91"/>
  <c r="J92"/>
  <c r="J93"/>
  <c r="J94"/>
  <c r="J95"/>
  <c r="J96"/>
  <c r="J89"/>
  <c r="I90"/>
  <c r="I91"/>
  <c r="I92"/>
  <c r="I93"/>
  <c r="I94"/>
  <c r="I95"/>
  <c r="I96"/>
  <c r="I89"/>
  <c r="I72"/>
  <c r="I73"/>
  <c r="I74"/>
  <c r="I75"/>
  <c r="I76"/>
  <c r="I77"/>
  <c r="I78"/>
  <c r="I71"/>
  <c r="J80" s="1"/>
  <c r="K80" s="1"/>
  <c r="M63"/>
  <c r="M64"/>
  <c r="M65"/>
  <c r="M66"/>
  <c r="M67"/>
  <c r="M68"/>
  <c r="M69"/>
  <c r="M62"/>
  <c r="M58"/>
  <c r="M57"/>
  <c r="M56"/>
  <c r="M55"/>
  <c r="M54"/>
  <c r="M53"/>
  <c r="M52"/>
  <c r="M51"/>
  <c r="M74"/>
  <c r="M73"/>
  <c r="M72"/>
  <c r="M71"/>
  <c r="J81"/>
  <c r="K81" s="1"/>
  <c r="J82"/>
  <c r="K82" s="1"/>
  <c r="J83"/>
  <c r="K83" s="1"/>
  <c r="J84"/>
  <c r="K84" s="1"/>
  <c r="J85"/>
  <c r="K85" s="1"/>
  <c r="J86"/>
  <c r="K86" s="1"/>
  <c r="J87"/>
  <c r="K87" s="1"/>
  <c r="J18" i="21" a="1"/>
  <c r="F21" a="1"/>
  <c r="B21" a="1"/>
  <c r="M33" i="22" l="1"/>
  <c r="O33" s="1"/>
  <c r="M37"/>
  <c r="O37" s="1"/>
  <c r="M41"/>
  <c r="O41" s="1"/>
  <c r="M45"/>
  <c r="O45" s="1"/>
  <c r="M49"/>
  <c r="P14" s="1"/>
  <c r="M53"/>
  <c r="P18" s="1"/>
  <c r="M57"/>
  <c r="P22" s="1"/>
  <c r="M61"/>
  <c r="P26" s="1"/>
  <c r="M65"/>
  <c r="P30" s="1"/>
  <c r="M69"/>
  <c r="P34" s="1"/>
  <c r="M73"/>
  <c r="P38" s="1"/>
  <c r="M77"/>
  <c r="P42" s="1"/>
  <c r="M81"/>
  <c r="P46" s="1"/>
  <c r="M85"/>
  <c r="Q15" s="1"/>
  <c r="M89"/>
  <c r="Q19" s="1"/>
  <c r="M93"/>
  <c r="Q23" s="1"/>
  <c r="M97"/>
  <c r="Q27" s="1"/>
  <c r="M101"/>
  <c r="Q31" s="1"/>
  <c r="M105"/>
  <c r="Q35" s="1"/>
  <c r="M109"/>
  <c r="Q39" s="1"/>
  <c r="M113"/>
  <c r="Q43" s="1"/>
  <c r="M117"/>
  <c r="Q47" s="1"/>
  <c r="M121"/>
  <c r="R16" s="1"/>
  <c r="M125"/>
  <c r="R20" s="1"/>
  <c r="M129"/>
  <c r="R24" s="1"/>
  <c r="M133"/>
  <c r="R28" s="1"/>
  <c r="M137"/>
  <c r="R32" s="1"/>
  <c r="M141"/>
  <c r="R36" s="1"/>
  <c r="M145"/>
  <c r="R40" s="1"/>
  <c r="M149"/>
  <c r="R44" s="1"/>
  <c r="M153"/>
  <c r="S13" s="1"/>
  <c r="M157"/>
  <c r="S17" s="1"/>
  <c r="M161"/>
  <c r="S21" s="1"/>
  <c r="M165"/>
  <c r="S25" s="1"/>
  <c r="M169"/>
  <c r="S29" s="1"/>
  <c r="M173"/>
  <c r="S33" s="1"/>
  <c r="M177"/>
  <c r="S37" s="1"/>
  <c r="M181"/>
  <c r="S41" s="1"/>
  <c r="M185"/>
  <c r="S45" s="1"/>
  <c r="M189"/>
  <c r="T14" s="1"/>
  <c r="M193"/>
  <c r="T18" s="1"/>
  <c r="M197"/>
  <c r="T22" s="1"/>
  <c r="M201"/>
  <c r="T26" s="1"/>
  <c r="M205"/>
  <c r="T30" s="1"/>
  <c r="M209"/>
  <c r="T34" s="1"/>
  <c r="M213"/>
  <c r="T38" s="1"/>
  <c r="M217"/>
  <c r="T42" s="1"/>
  <c r="M221"/>
  <c r="T46" s="1"/>
  <c r="M225"/>
  <c r="U15" s="1"/>
  <c r="M229"/>
  <c r="U19" s="1"/>
  <c r="M233"/>
  <c r="U23" s="1"/>
  <c r="M237"/>
  <c r="U27" s="1"/>
  <c r="M241"/>
  <c r="U31" s="1"/>
  <c r="M245"/>
  <c r="U35" s="1"/>
  <c r="M249"/>
  <c r="U39" s="1"/>
  <c r="M253"/>
  <c r="U43" s="1"/>
  <c r="M257"/>
  <c r="U47" s="1"/>
  <c r="M261"/>
  <c r="V16" s="1"/>
  <c r="M265"/>
  <c r="V20" s="1"/>
  <c r="M269"/>
  <c r="V24" s="1"/>
  <c r="M273"/>
  <c r="V28" s="1"/>
  <c r="M277"/>
  <c r="V32" s="1"/>
  <c r="M281"/>
  <c r="V36" s="1"/>
  <c r="M285"/>
  <c r="V40" s="1"/>
  <c r="M289"/>
  <c r="V44" s="1"/>
  <c r="M14"/>
  <c r="O14" s="1"/>
  <c r="M18"/>
  <c r="O18" s="1"/>
  <c r="M22"/>
  <c r="O22" s="1"/>
  <c r="M26"/>
  <c r="O26" s="1"/>
  <c r="M30"/>
  <c r="O30" s="1"/>
  <c r="M34"/>
  <c r="O34" s="1"/>
  <c r="M42"/>
  <c r="O42" s="1"/>
  <c r="M50"/>
  <c r="P15" s="1"/>
  <c r="M58"/>
  <c r="P23" s="1"/>
  <c r="M66"/>
  <c r="P31" s="1"/>
  <c r="M74"/>
  <c r="P39" s="1"/>
  <c r="M82"/>
  <c r="P47" s="1"/>
  <c r="M94"/>
  <c r="Q24" s="1"/>
  <c r="M102"/>
  <c r="Q32" s="1"/>
  <c r="M110"/>
  <c r="Q40" s="1"/>
  <c r="M118"/>
  <c r="R13" s="1"/>
  <c r="M122"/>
  <c r="R17" s="1"/>
  <c r="M134"/>
  <c r="R29" s="1"/>
  <c r="M142"/>
  <c r="R37" s="1"/>
  <c r="M154"/>
  <c r="S14" s="1"/>
  <c r="M166"/>
  <c r="S26" s="1"/>
  <c r="M174"/>
  <c r="S34" s="1"/>
  <c r="M182"/>
  <c r="S42" s="1"/>
  <c r="M186"/>
  <c r="S46" s="1"/>
  <c r="M194"/>
  <c r="T19" s="1"/>
  <c r="M202"/>
  <c r="T27" s="1"/>
  <c r="M210"/>
  <c r="T35" s="1"/>
  <c r="M218"/>
  <c r="T43" s="1"/>
  <c r="M226"/>
  <c r="U16" s="1"/>
  <c r="M234"/>
  <c r="U24" s="1"/>
  <c r="M242"/>
  <c r="U32" s="1"/>
  <c r="M250"/>
  <c r="U40" s="1"/>
  <c r="M258"/>
  <c r="V13" s="1"/>
  <c r="M266"/>
  <c r="V21" s="1"/>
  <c r="M274"/>
  <c r="V29" s="1"/>
  <c r="M282"/>
  <c r="V37" s="1"/>
  <c r="M290"/>
  <c r="V45" s="1"/>
  <c r="M19"/>
  <c r="O19" s="1"/>
  <c r="M27"/>
  <c r="O27" s="1"/>
  <c r="M32"/>
  <c r="O32" s="1"/>
  <c r="M36"/>
  <c r="O36" s="1"/>
  <c r="M40"/>
  <c r="O40" s="1"/>
  <c r="M44"/>
  <c r="O44" s="1"/>
  <c r="M48"/>
  <c r="P13" s="1"/>
  <c r="M52"/>
  <c r="P17" s="1"/>
  <c r="M56"/>
  <c r="P21" s="1"/>
  <c r="M60"/>
  <c r="P25" s="1"/>
  <c r="M64"/>
  <c r="P29" s="1"/>
  <c r="M68"/>
  <c r="P33" s="1"/>
  <c r="M72"/>
  <c r="P37" s="1"/>
  <c r="M76"/>
  <c r="P41" s="1"/>
  <c r="M80"/>
  <c r="P45" s="1"/>
  <c r="M84"/>
  <c r="Q14" s="1"/>
  <c r="M88"/>
  <c r="Q18" s="1"/>
  <c r="M92"/>
  <c r="Q22" s="1"/>
  <c r="M96"/>
  <c r="Q26" s="1"/>
  <c r="M100"/>
  <c r="Q30" s="1"/>
  <c r="M104"/>
  <c r="Q34" s="1"/>
  <c r="M108"/>
  <c r="Q38" s="1"/>
  <c r="M112"/>
  <c r="Q42" s="1"/>
  <c r="M116"/>
  <c r="Q46" s="1"/>
  <c r="M120"/>
  <c r="R15" s="1"/>
  <c r="M124"/>
  <c r="R19" s="1"/>
  <c r="M128"/>
  <c r="R23" s="1"/>
  <c r="M132"/>
  <c r="R27" s="1"/>
  <c r="M136"/>
  <c r="R31" s="1"/>
  <c r="M140"/>
  <c r="R35" s="1"/>
  <c r="M144"/>
  <c r="R39" s="1"/>
  <c r="M148"/>
  <c r="R43" s="1"/>
  <c r="M152"/>
  <c r="R47" s="1"/>
  <c r="M156"/>
  <c r="S16" s="1"/>
  <c r="M160"/>
  <c r="S20" s="1"/>
  <c r="M164"/>
  <c r="S24" s="1"/>
  <c r="M168"/>
  <c r="S28" s="1"/>
  <c r="M172"/>
  <c r="S32" s="1"/>
  <c r="M176"/>
  <c r="S36" s="1"/>
  <c r="M180"/>
  <c r="S40" s="1"/>
  <c r="M184"/>
  <c r="S44" s="1"/>
  <c r="M188"/>
  <c r="T13" s="1"/>
  <c r="M192"/>
  <c r="T17" s="1"/>
  <c r="M196"/>
  <c r="T21" s="1"/>
  <c r="M200"/>
  <c r="T25" s="1"/>
  <c r="M204"/>
  <c r="T29" s="1"/>
  <c r="M208"/>
  <c r="T33" s="1"/>
  <c r="M212"/>
  <c r="T37" s="1"/>
  <c r="M216"/>
  <c r="T41" s="1"/>
  <c r="M220"/>
  <c r="T45" s="1"/>
  <c r="M224"/>
  <c r="U14" s="1"/>
  <c r="M228"/>
  <c r="U18" s="1"/>
  <c r="M232"/>
  <c r="U22" s="1"/>
  <c r="M236"/>
  <c r="U26" s="1"/>
  <c r="M240"/>
  <c r="U30" s="1"/>
  <c r="M244"/>
  <c r="U34" s="1"/>
  <c r="M248"/>
  <c r="U38" s="1"/>
  <c r="M252"/>
  <c r="U42" s="1"/>
  <c r="M256"/>
  <c r="U46" s="1"/>
  <c r="M260"/>
  <c r="V15" s="1"/>
  <c r="M264"/>
  <c r="V19" s="1"/>
  <c r="M268"/>
  <c r="V23" s="1"/>
  <c r="M272"/>
  <c r="V27" s="1"/>
  <c r="M276"/>
  <c r="V31" s="1"/>
  <c r="M280"/>
  <c r="V35" s="1"/>
  <c r="M284"/>
  <c r="V39" s="1"/>
  <c r="M288"/>
  <c r="V43" s="1"/>
  <c r="M292"/>
  <c r="V47" s="1"/>
  <c r="M17"/>
  <c r="O17" s="1"/>
  <c r="M21"/>
  <c r="O21" s="1"/>
  <c r="M25"/>
  <c r="O25" s="1"/>
  <c r="M29"/>
  <c r="O29" s="1"/>
  <c r="M38"/>
  <c r="O38" s="1"/>
  <c r="M46"/>
  <c r="O46" s="1"/>
  <c r="M54"/>
  <c r="P19" s="1"/>
  <c r="M62"/>
  <c r="P27" s="1"/>
  <c r="M70"/>
  <c r="P35" s="1"/>
  <c r="M78"/>
  <c r="P43" s="1"/>
  <c r="M86"/>
  <c r="Q16" s="1"/>
  <c r="M90"/>
  <c r="Q20" s="1"/>
  <c r="M98"/>
  <c r="Q28" s="1"/>
  <c r="M106"/>
  <c r="Q36" s="1"/>
  <c r="M114"/>
  <c r="Q44" s="1"/>
  <c r="M126"/>
  <c r="R21" s="1"/>
  <c r="M130"/>
  <c r="R25" s="1"/>
  <c r="M138"/>
  <c r="R33" s="1"/>
  <c r="M146"/>
  <c r="R41" s="1"/>
  <c r="M150"/>
  <c r="R45" s="1"/>
  <c r="M158"/>
  <c r="S18" s="1"/>
  <c r="M162"/>
  <c r="S22" s="1"/>
  <c r="M170"/>
  <c r="S30" s="1"/>
  <c r="M178"/>
  <c r="S38" s="1"/>
  <c r="M190"/>
  <c r="T15" s="1"/>
  <c r="M198"/>
  <c r="T23" s="1"/>
  <c r="M206"/>
  <c r="T31" s="1"/>
  <c r="M214"/>
  <c r="T39" s="1"/>
  <c r="M222"/>
  <c r="T47" s="1"/>
  <c r="M230"/>
  <c r="U20" s="1"/>
  <c r="M238"/>
  <c r="U28" s="1"/>
  <c r="M246"/>
  <c r="U36" s="1"/>
  <c r="M254"/>
  <c r="U44" s="1"/>
  <c r="M262"/>
  <c r="V17" s="1"/>
  <c r="M270"/>
  <c r="V25" s="1"/>
  <c r="M278"/>
  <c r="V33" s="1"/>
  <c r="M286"/>
  <c r="V41" s="1"/>
  <c r="M15"/>
  <c r="O15" s="1"/>
  <c r="M23"/>
  <c r="O23" s="1"/>
  <c r="M31"/>
  <c r="O31" s="1"/>
  <c r="M13"/>
  <c r="O13" s="1"/>
  <c r="M35"/>
  <c r="O35" s="1"/>
  <c r="M39"/>
  <c r="O39" s="1"/>
  <c r="M43"/>
  <c r="O43" s="1"/>
  <c r="M47"/>
  <c r="O47" s="1"/>
  <c r="M51"/>
  <c r="P16" s="1"/>
  <c r="M55"/>
  <c r="P20" s="1"/>
  <c r="M59"/>
  <c r="P24" s="1"/>
  <c r="M63"/>
  <c r="P28" s="1"/>
  <c r="M67"/>
  <c r="P32" s="1"/>
  <c r="M71"/>
  <c r="P36" s="1"/>
  <c r="M75"/>
  <c r="P40" s="1"/>
  <c r="M79"/>
  <c r="P44" s="1"/>
  <c r="M83"/>
  <c r="Q13" s="1"/>
  <c r="M87"/>
  <c r="Q17" s="1"/>
  <c r="M91"/>
  <c r="Q21" s="1"/>
  <c r="M95"/>
  <c r="Q25" s="1"/>
  <c r="M99"/>
  <c r="Q29" s="1"/>
  <c r="M103"/>
  <c r="Q33" s="1"/>
  <c r="M107"/>
  <c r="Q37" s="1"/>
  <c r="M111"/>
  <c r="Q41" s="1"/>
  <c r="M115"/>
  <c r="Q45" s="1"/>
  <c r="M119"/>
  <c r="R14" s="1"/>
  <c r="M123"/>
  <c r="R18" s="1"/>
  <c r="M127"/>
  <c r="R22" s="1"/>
  <c r="M131"/>
  <c r="R26" s="1"/>
  <c r="M135"/>
  <c r="R30" s="1"/>
  <c r="M139"/>
  <c r="R34" s="1"/>
  <c r="M143"/>
  <c r="R38" s="1"/>
  <c r="M147"/>
  <c r="R42" s="1"/>
  <c r="M151"/>
  <c r="R46" s="1"/>
  <c r="M155"/>
  <c r="S15" s="1"/>
  <c r="M159"/>
  <c r="S19" s="1"/>
  <c r="M163"/>
  <c r="S23" s="1"/>
  <c r="M167"/>
  <c r="S27" s="1"/>
  <c r="M171"/>
  <c r="S31" s="1"/>
  <c r="M175"/>
  <c r="S35" s="1"/>
  <c r="M179"/>
  <c r="S39" s="1"/>
  <c r="M183"/>
  <c r="S43" s="1"/>
  <c r="M187"/>
  <c r="S47" s="1"/>
  <c r="M191"/>
  <c r="T16" s="1"/>
  <c r="M195"/>
  <c r="T20" s="1"/>
  <c r="M199"/>
  <c r="T24" s="1"/>
  <c r="M203"/>
  <c r="T28" s="1"/>
  <c r="M207"/>
  <c r="T32" s="1"/>
  <c r="M211"/>
  <c r="T36" s="1"/>
  <c r="M215"/>
  <c r="T40" s="1"/>
  <c r="M219"/>
  <c r="T44" s="1"/>
  <c r="M223"/>
  <c r="U13" s="1"/>
  <c r="M227"/>
  <c r="U17" s="1"/>
  <c r="M231"/>
  <c r="U21" s="1"/>
  <c r="M235"/>
  <c r="U25" s="1"/>
  <c r="M239"/>
  <c r="U29" s="1"/>
  <c r="M243"/>
  <c r="U33" s="1"/>
  <c r="M247"/>
  <c r="U37" s="1"/>
  <c r="M251"/>
  <c r="U41" s="1"/>
  <c r="M255"/>
  <c r="U45" s="1"/>
  <c r="M259"/>
  <c r="V14" s="1"/>
  <c r="M263"/>
  <c r="V18" s="1"/>
  <c r="M267"/>
  <c r="V22" s="1"/>
  <c r="M271"/>
  <c r="V26" s="1"/>
  <c r="M275"/>
  <c r="V30" s="1"/>
  <c r="M279"/>
  <c r="V34" s="1"/>
  <c r="M283"/>
  <c r="V38" s="1"/>
  <c r="M287"/>
  <c r="V42" s="1"/>
  <c r="M291"/>
  <c r="V46" s="1"/>
  <c r="M16"/>
  <c r="O16" s="1"/>
  <c r="M20"/>
  <c r="O20" s="1"/>
  <c r="M24"/>
  <c r="O24" s="1"/>
  <c r="M28"/>
  <c r="O28" s="1"/>
  <c r="L18" i="21"/>
  <c r="J20"/>
  <c r="K21"/>
  <c r="L22"/>
  <c r="J24"/>
  <c r="K25"/>
  <c r="L26"/>
  <c r="J25"/>
  <c r="J19"/>
  <c r="L21"/>
  <c r="J23"/>
  <c r="K24"/>
  <c r="L25"/>
  <c r="K18"/>
  <c r="L19"/>
  <c r="J21"/>
  <c r="K22"/>
  <c r="L23"/>
  <c r="K26"/>
  <c r="J18"/>
  <c r="K19"/>
  <c r="L20"/>
  <c r="J22"/>
  <c r="K23"/>
  <c r="L24"/>
  <c r="J26"/>
  <c r="K20"/>
  <c r="H21"/>
  <c r="F23"/>
  <c r="H22"/>
  <c r="F22"/>
  <c r="G23"/>
  <c r="G21"/>
  <c r="F21"/>
  <c r="H31" s="1"/>
  <c r="G22"/>
  <c r="H23"/>
  <c r="D21"/>
  <c r="B23"/>
  <c r="B21"/>
  <c r="C22"/>
  <c r="D23"/>
  <c r="B22"/>
  <c r="C23"/>
  <c r="C21"/>
  <c r="D22"/>
  <c r="K52" i="1"/>
  <c r="K53"/>
  <c r="K54"/>
  <c r="K55"/>
  <c r="K56"/>
  <c r="K57"/>
  <c r="K58"/>
  <c r="K51"/>
  <c r="J58"/>
  <c r="J57"/>
  <c r="J56"/>
  <c r="J55"/>
  <c r="J54"/>
  <c r="J53"/>
  <c r="J52"/>
  <c r="J51"/>
  <c r="L38" i="20"/>
  <c r="J42" i="18"/>
  <c r="J41"/>
  <c r="J40"/>
  <c r="J39"/>
  <c r="J38"/>
  <c r="J42" i="20"/>
  <c r="J41"/>
  <c r="J40"/>
  <c r="J39"/>
  <c r="B34" i="21" l="1" a="1"/>
  <c r="M25" i="20"/>
  <c r="M24"/>
  <c r="M23"/>
  <c r="M22"/>
  <c r="J38"/>
  <c r="D34" i="21" l="1"/>
  <c r="I35"/>
  <c r="E36"/>
  <c r="G34"/>
  <c r="I34"/>
  <c r="F34"/>
  <c r="G35"/>
  <c r="E34"/>
  <c r="I36"/>
  <c r="B35"/>
  <c r="H35"/>
  <c r="E35"/>
  <c r="B36"/>
  <c r="D35"/>
  <c r="B34"/>
  <c r="F35"/>
  <c r="G36"/>
  <c r="D36"/>
  <c r="F36"/>
  <c r="H34"/>
  <c r="C36"/>
  <c r="J34"/>
  <c r="J35"/>
  <c r="C34"/>
  <c r="H36"/>
  <c r="J36"/>
  <c r="C35"/>
  <c r="E79" i="20"/>
  <c r="Q28" s="1"/>
  <c r="E78"/>
  <c r="Q27" s="1"/>
  <c r="E77"/>
  <c r="Q26" s="1"/>
  <c r="D12"/>
  <c r="D17"/>
  <c r="C45"/>
  <c r="C47"/>
  <c r="C49"/>
  <c r="B44"/>
  <c r="B49"/>
  <c r="D108"/>
  <c r="C44" s="1"/>
  <c r="E108"/>
  <c r="D44" s="1"/>
  <c r="D109"/>
  <c r="E109"/>
  <c r="D45" s="1"/>
  <c r="C108"/>
  <c r="C109"/>
  <c r="B45" s="1"/>
  <c r="D104"/>
  <c r="E104"/>
  <c r="D105"/>
  <c r="E105"/>
  <c r="C105"/>
  <c r="C104"/>
  <c r="D112"/>
  <c r="C48" s="1"/>
  <c r="E112"/>
  <c r="D48" s="1"/>
  <c r="D113"/>
  <c r="E113"/>
  <c r="D49" s="1"/>
  <c r="C113"/>
  <c r="C112"/>
  <c r="B48" s="1"/>
  <c r="D111"/>
  <c r="E111"/>
  <c r="D47" s="1"/>
  <c r="D107"/>
  <c r="C43" s="1"/>
  <c r="E107"/>
  <c r="D43" s="1"/>
  <c r="D103"/>
  <c r="E103"/>
  <c r="C111"/>
  <c r="B47" s="1"/>
  <c r="C107"/>
  <c r="C103"/>
  <c r="D101"/>
  <c r="E101"/>
  <c r="C101"/>
  <c r="D100"/>
  <c r="E100"/>
  <c r="C100"/>
  <c r="D99"/>
  <c r="E99"/>
  <c r="C99"/>
  <c r="C156"/>
  <c r="C155"/>
  <c r="C154"/>
  <c r="C153"/>
  <c r="C152"/>
  <c r="C151"/>
  <c r="C150"/>
  <c r="C149"/>
  <c r="H144"/>
  <c r="I142"/>
  <c r="H142"/>
  <c r="G142"/>
  <c r="F142"/>
  <c r="E142"/>
  <c r="D142"/>
  <c r="C142"/>
  <c r="B142"/>
  <c r="I141"/>
  <c r="H141"/>
  <c r="G141"/>
  <c r="F141"/>
  <c r="E141"/>
  <c r="D141"/>
  <c r="C141"/>
  <c r="B141"/>
  <c r="I140"/>
  <c r="I144" s="1"/>
  <c r="H140"/>
  <c r="G140"/>
  <c r="G144" s="1"/>
  <c r="F140"/>
  <c r="F144" s="1"/>
  <c r="E140"/>
  <c r="E144" s="1"/>
  <c r="D140"/>
  <c r="D144" s="1"/>
  <c r="C140"/>
  <c r="C144" s="1"/>
  <c r="B140"/>
  <c r="B144" s="1"/>
  <c r="I135"/>
  <c r="H135"/>
  <c r="G135"/>
  <c r="F135"/>
  <c r="E135"/>
  <c r="D135"/>
  <c r="C135"/>
  <c r="B135"/>
  <c r="I134"/>
  <c r="H134"/>
  <c r="G134"/>
  <c r="F134"/>
  <c r="E134"/>
  <c r="D134"/>
  <c r="C134"/>
  <c r="B134"/>
  <c r="I133"/>
  <c r="I137" s="1"/>
  <c r="H133"/>
  <c r="H137" s="1"/>
  <c r="G133"/>
  <c r="G137" s="1"/>
  <c r="F133"/>
  <c r="F137" s="1"/>
  <c r="E133"/>
  <c r="E137" s="1"/>
  <c r="D133"/>
  <c r="D137" s="1"/>
  <c r="C133"/>
  <c r="C137" s="1"/>
  <c r="B133"/>
  <c r="B137" s="1"/>
  <c r="I128"/>
  <c r="H128"/>
  <c r="G128"/>
  <c r="F128"/>
  <c r="E128"/>
  <c r="D128"/>
  <c r="C128"/>
  <c r="B128"/>
  <c r="I127"/>
  <c r="H127"/>
  <c r="G127"/>
  <c r="F127"/>
  <c r="E127"/>
  <c r="D127"/>
  <c r="C127"/>
  <c r="B127"/>
  <c r="I126"/>
  <c r="I130" s="1"/>
  <c r="H126"/>
  <c r="H130" s="1"/>
  <c r="G126"/>
  <c r="G130" s="1"/>
  <c r="F126"/>
  <c r="F130" s="1"/>
  <c r="E126"/>
  <c r="E130" s="1"/>
  <c r="D126"/>
  <c r="D130" s="1"/>
  <c r="C126"/>
  <c r="C130" s="1"/>
  <c r="B126"/>
  <c r="B130" s="1"/>
  <c r="I121"/>
  <c r="H121"/>
  <c r="G121"/>
  <c r="F121"/>
  <c r="E121"/>
  <c r="D121"/>
  <c r="C121"/>
  <c r="B121"/>
  <c r="I120"/>
  <c r="H120"/>
  <c r="G120"/>
  <c r="F120"/>
  <c r="E120"/>
  <c r="D120"/>
  <c r="C120"/>
  <c r="B120"/>
  <c r="I119"/>
  <c r="I123" s="1"/>
  <c r="D18" s="1"/>
  <c r="H119"/>
  <c r="G119"/>
  <c r="G123" s="1"/>
  <c r="D16" s="1"/>
  <c r="F119"/>
  <c r="F123" s="1"/>
  <c r="D15" s="1"/>
  <c r="E119"/>
  <c r="E123" s="1"/>
  <c r="D14" s="1"/>
  <c r="D119"/>
  <c r="D123" s="1"/>
  <c r="D13" s="1"/>
  <c r="C119"/>
  <c r="B119"/>
  <c r="B123" s="1"/>
  <c r="C41"/>
  <c r="B40"/>
  <c r="D37"/>
  <c r="C36"/>
  <c r="B35"/>
  <c r="E54" s="1" a="1"/>
  <c r="E56" s="1"/>
  <c r="E97"/>
  <c r="D97"/>
  <c r="C97"/>
  <c r="E96"/>
  <c r="D32" s="1"/>
  <c r="D96"/>
  <c r="C96"/>
  <c r="L95"/>
  <c r="E95"/>
  <c r="D95"/>
  <c r="C31" s="1"/>
  <c r="C95"/>
  <c r="S93"/>
  <c r="R93"/>
  <c r="Q93"/>
  <c r="P93"/>
  <c r="O93"/>
  <c r="N93"/>
  <c r="M93"/>
  <c r="S92"/>
  <c r="R92"/>
  <c r="Q92"/>
  <c r="P92"/>
  <c r="O92"/>
  <c r="N92"/>
  <c r="M92"/>
  <c r="S91"/>
  <c r="S95" s="1"/>
  <c r="R91"/>
  <c r="R95" s="1"/>
  <c r="Q91"/>
  <c r="P91"/>
  <c r="O91"/>
  <c r="O95" s="1"/>
  <c r="N91"/>
  <c r="N95" s="1"/>
  <c r="M91"/>
  <c r="K79"/>
  <c r="J79"/>
  <c r="I79"/>
  <c r="H79"/>
  <c r="T28" s="1"/>
  <c r="G79"/>
  <c r="S28" s="1"/>
  <c r="F79"/>
  <c r="R28" s="1"/>
  <c r="D79"/>
  <c r="P28" s="1"/>
  <c r="K78"/>
  <c r="J78"/>
  <c r="I78"/>
  <c r="H78"/>
  <c r="T27" s="1"/>
  <c r="G78"/>
  <c r="S27" s="1"/>
  <c r="F78"/>
  <c r="R27" s="1"/>
  <c r="D78"/>
  <c r="P27" s="1"/>
  <c r="K77"/>
  <c r="J77"/>
  <c r="J84" s="1"/>
  <c r="I77"/>
  <c r="I84" s="1"/>
  <c r="H77"/>
  <c r="G77"/>
  <c r="F77"/>
  <c r="R26" s="1"/>
  <c r="D77"/>
  <c r="B43"/>
  <c r="D41"/>
  <c r="B41"/>
  <c r="D40"/>
  <c r="C40"/>
  <c r="D39"/>
  <c r="C39"/>
  <c r="B39"/>
  <c r="C37"/>
  <c r="B37"/>
  <c r="D36"/>
  <c r="B36"/>
  <c r="D35"/>
  <c r="C35"/>
  <c r="D33"/>
  <c r="C33"/>
  <c r="B33"/>
  <c r="C32"/>
  <c r="B32"/>
  <c r="D31"/>
  <c r="B31"/>
  <c r="M28"/>
  <c r="M27"/>
  <c r="M26"/>
  <c r="C4"/>
  <c r="E7" s="1"/>
  <c r="J14" s="1"/>
  <c r="H54" i="18" a="1"/>
  <c r="H56" s="1"/>
  <c r="H77"/>
  <c r="T26" s="1"/>
  <c r="E78"/>
  <c r="Q27" s="1"/>
  <c r="F78"/>
  <c r="R27" s="1"/>
  <c r="G78"/>
  <c r="S27" s="1"/>
  <c r="E79"/>
  <c r="Q28" s="1"/>
  <c r="F79"/>
  <c r="R28" s="1"/>
  <c r="G79"/>
  <c r="S28" s="1"/>
  <c r="D79"/>
  <c r="P28" s="1"/>
  <c r="E77"/>
  <c r="Q26" s="1"/>
  <c r="F77"/>
  <c r="R26" s="1"/>
  <c r="G77"/>
  <c r="S26" s="1"/>
  <c r="D78"/>
  <c r="P27" s="1"/>
  <c r="D77"/>
  <c r="P26" s="1"/>
  <c r="C99"/>
  <c r="C95"/>
  <c r="E101"/>
  <c r="D37" s="1"/>
  <c r="B35"/>
  <c r="C104"/>
  <c r="C152"/>
  <c r="C153"/>
  <c r="C149"/>
  <c r="C107"/>
  <c r="C115"/>
  <c r="C114"/>
  <c r="C113"/>
  <c r="C112"/>
  <c r="C111"/>
  <c r="C109"/>
  <c r="C108"/>
  <c r="C105"/>
  <c r="C103"/>
  <c r="C101"/>
  <c r="B37" s="1"/>
  <c r="C100"/>
  <c r="B36" s="1"/>
  <c r="B43"/>
  <c r="D109"/>
  <c r="D96"/>
  <c r="E96"/>
  <c r="D97"/>
  <c r="E97"/>
  <c r="C97"/>
  <c r="C96"/>
  <c r="D95"/>
  <c r="E95"/>
  <c r="E115"/>
  <c r="E114"/>
  <c r="E113"/>
  <c r="E112"/>
  <c r="E111"/>
  <c r="E109"/>
  <c r="E108"/>
  <c r="D44" s="1"/>
  <c r="E107"/>
  <c r="D43" s="1"/>
  <c r="E105"/>
  <c r="E104"/>
  <c r="E103"/>
  <c r="D39" s="1"/>
  <c r="D101"/>
  <c r="C37" s="1"/>
  <c r="D100"/>
  <c r="C36" s="1"/>
  <c r="D99"/>
  <c r="C35" s="1"/>
  <c r="C140"/>
  <c r="C144" s="1"/>
  <c r="D140"/>
  <c r="E140"/>
  <c r="F140"/>
  <c r="G140"/>
  <c r="G144" s="1"/>
  <c r="H140"/>
  <c r="I140"/>
  <c r="C141"/>
  <c r="D141"/>
  <c r="E141"/>
  <c r="F141"/>
  <c r="G141"/>
  <c r="H141"/>
  <c r="I141"/>
  <c r="C142"/>
  <c r="D142"/>
  <c r="E142"/>
  <c r="F142"/>
  <c r="G142"/>
  <c r="H142"/>
  <c r="I142"/>
  <c r="B141"/>
  <c r="B142"/>
  <c r="B140"/>
  <c r="B133"/>
  <c r="B137" s="1"/>
  <c r="F13" s="1"/>
  <c r="B134"/>
  <c r="B135"/>
  <c r="C134"/>
  <c r="D134"/>
  <c r="E134"/>
  <c r="F134"/>
  <c r="G134"/>
  <c r="H134"/>
  <c r="I134"/>
  <c r="C135"/>
  <c r="D135"/>
  <c r="E135"/>
  <c r="F135"/>
  <c r="G135"/>
  <c r="H135"/>
  <c r="I135"/>
  <c r="D133"/>
  <c r="E133"/>
  <c r="F133"/>
  <c r="G133"/>
  <c r="G137" s="1"/>
  <c r="H133"/>
  <c r="I133"/>
  <c r="C133"/>
  <c r="C137" s="1"/>
  <c r="B127"/>
  <c r="C127"/>
  <c r="D127"/>
  <c r="E127"/>
  <c r="F127"/>
  <c r="G127"/>
  <c r="H127"/>
  <c r="I127"/>
  <c r="B128"/>
  <c r="C128"/>
  <c r="D128"/>
  <c r="E128"/>
  <c r="F128"/>
  <c r="G128"/>
  <c r="H128"/>
  <c r="I128"/>
  <c r="D126"/>
  <c r="D130" s="1"/>
  <c r="E126"/>
  <c r="E130" s="1"/>
  <c r="E13" s="1"/>
  <c r="F126"/>
  <c r="G126"/>
  <c r="H126"/>
  <c r="H130" s="1"/>
  <c r="I126"/>
  <c r="I130" s="1"/>
  <c r="B126"/>
  <c r="C126"/>
  <c r="B120"/>
  <c r="C120"/>
  <c r="B121"/>
  <c r="C121"/>
  <c r="B119"/>
  <c r="B123" s="1"/>
  <c r="D120"/>
  <c r="E120"/>
  <c r="F120"/>
  <c r="G120"/>
  <c r="H120"/>
  <c r="I120"/>
  <c r="D121"/>
  <c r="E121"/>
  <c r="F121"/>
  <c r="G121"/>
  <c r="H121"/>
  <c r="I121"/>
  <c r="D119"/>
  <c r="D123" s="1"/>
  <c r="H13" s="1"/>
  <c r="E119"/>
  <c r="F119"/>
  <c r="G119"/>
  <c r="G123" s="1"/>
  <c r="H119"/>
  <c r="H123" s="1"/>
  <c r="I119"/>
  <c r="C119"/>
  <c r="D112"/>
  <c r="D113"/>
  <c r="D114"/>
  <c r="D115"/>
  <c r="D111"/>
  <c r="C45"/>
  <c r="B45"/>
  <c r="D108"/>
  <c r="C44" s="1"/>
  <c r="B44"/>
  <c r="D107"/>
  <c r="C43" s="1"/>
  <c r="D104"/>
  <c r="C40" s="1"/>
  <c r="D40"/>
  <c r="D41"/>
  <c r="D105"/>
  <c r="C41" s="1"/>
  <c r="B41"/>
  <c r="D103"/>
  <c r="B39"/>
  <c r="F54" s="1" a="1"/>
  <c r="F56" s="1"/>
  <c r="E100"/>
  <c r="D36" s="1"/>
  <c r="E99"/>
  <c r="D35" s="1"/>
  <c r="B31"/>
  <c r="B40"/>
  <c r="D45"/>
  <c r="C39"/>
  <c r="N91"/>
  <c r="O91"/>
  <c r="P91"/>
  <c r="Q91"/>
  <c r="R91"/>
  <c r="S91"/>
  <c r="N92"/>
  <c r="O92"/>
  <c r="P92"/>
  <c r="Q92"/>
  <c r="R92"/>
  <c r="S92"/>
  <c r="N93"/>
  <c r="O93"/>
  <c r="P93"/>
  <c r="Q93"/>
  <c r="R93"/>
  <c r="S93"/>
  <c r="M92"/>
  <c r="M93"/>
  <c r="M91"/>
  <c r="C33"/>
  <c r="B33"/>
  <c r="D32"/>
  <c r="C32"/>
  <c r="B32"/>
  <c r="D31"/>
  <c r="C31"/>
  <c r="M23"/>
  <c r="M24"/>
  <c r="M25"/>
  <c r="M26"/>
  <c r="M27"/>
  <c r="M28"/>
  <c r="M22"/>
  <c r="N11" i="15"/>
  <c r="M20"/>
  <c r="M19"/>
  <c r="M18"/>
  <c r="I77" i="18"/>
  <c r="J77"/>
  <c r="K77"/>
  <c r="H78"/>
  <c r="T27" s="1"/>
  <c r="I78"/>
  <c r="J78"/>
  <c r="K78"/>
  <c r="H79"/>
  <c r="T28" s="1"/>
  <c r="I79"/>
  <c r="J79"/>
  <c r="K79"/>
  <c r="C4"/>
  <c r="K14" s="1"/>
  <c r="E11" i="15"/>
  <c r="F11"/>
  <c r="G11"/>
  <c r="H11"/>
  <c r="I11"/>
  <c r="J11"/>
  <c r="K11"/>
  <c r="E12"/>
  <c r="F12"/>
  <c r="G12"/>
  <c r="H12"/>
  <c r="I12"/>
  <c r="J12"/>
  <c r="K12"/>
  <c r="E13"/>
  <c r="F13"/>
  <c r="G13"/>
  <c r="H13"/>
  <c r="I13"/>
  <c r="J13"/>
  <c r="K13"/>
  <c r="D34"/>
  <c r="E34"/>
  <c r="D35"/>
  <c r="E35"/>
  <c r="D33"/>
  <c r="D12"/>
  <c r="D13"/>
  <c r="D11"/>
  <c r="K27" i="1"/>
  <c r="L27"/>
  <c r="M27"/>
  <c r="N27"/>
  <c r="O27"/>
  <c r="P27"/>
  <c r="Q27"/>
  <c r="K28"/>
  <c r="L28"/>
  <c r="M28"/>
  <c r="N28"/>
  <c r="O28"/>
  <c r="P28"/>
  <c r="Q28"/>
  <c r="J27"/>
  <c r="I45"/>
  <c r="I39"/>
  <c r="I37"/>
  <c r="J28"/>
  <c r="J29"/>
  <c r="K29"/>
  <c r="L29"/>
  <c r="M29"/>
  <c r="N29"/>
  <c r="O29"/>
  <c r="P29"/>
  <c r="Q29"/>
  <c r="J30"/>
  <c r="J31" s="1"/>
  <c r="K30"/>
  <c r="K31" s="1"/>
  <c r="L30"/>
  <c r="L31" s="1"/>
  <c r="M30"/>
  <c r="M31" s="1"/>
  <c r="N30"/>
  <c r="N31" s="1"/>
  <c r="O30"/>
  <c r="O31" s="1"/>
  <c r="P30"/>
  <c r="P31" s="1"/>
  <c r="Q30"/>
  <c r="K83" i="20" s="1"/>
  <c r="J15" i="4"/>
  <c r="H54" i="20" l="1" a="1"/>
  <c r="H54" s="1"/>
  <c r="G54" i="18" a="1"/>
  <c r="G56" s="1"/>
  <c r="C123"/>
  <c r="F123"/>
  <c r="C130"/>
  <c r="G130"/>
  <c r="F137"/>
  <c r="F14" s="1"/>
  <c r="B144"/>
  <c r="G14" s="1"/>
  <c r="F144"/>
  <c r="N13"/>
  <c r="K84" i="20"/>
  <c r="P95"/>
  <c r="K12"/>
  <c r="L14"/>
  <c r="N14"/>
  <c r="J13"/>
  <c r="K86"/>
  <c r="D12" i="18"/>
  <c r="N12"/>
  <c r="J83" i="20"/>
  <c r="J86" s="1"/>
  <c r="L12"/>
  <c r="L13"/>
  <c r="N13"/>
  <c r="H137" i="18"/>
  <c r="D137"/>
  <c r="F12" s="1"/>
  <c r="H144"/>
  <c r="D144"/>
  <c r="G12" s="1"/>
  <c r="D61"/>
  <c r="M12" i="20"/>
  <c r="K14"/>
  <c r="M13"/>
  <c r="I123" i="18"/>
  <c r="E123"/>
  <c r="B130"/>
  <c r="E12" s="1"/>
  <c r="F130"/>
  <c r="E14" s="1"/>
  <c r="I137"/>
  <c r="E137"/>
  <c r="I144"/>
  <c r="E144"/>
  <c r="G13" s="1"/>
  <c r="N14"/>
  <c r="F54" i="20" a="1"/>
  <c r="F56" s="1"/>
  <c r="M95"/>
  <c r="Q95"/>
  <c r="N12"/>
  <c r="K13"/>
  <c r="M14"/>
  <c r="H84"/>
  <c r="H85" s="1"/>
  <c r="H87" s="1"/>
  <c r="G84"/>
  <c r="G86" s="1"/>
  <c r="S25" s="1"/>
  <c r="E54"/>
  <c r="E55"/>
  <c r="T26"/>
  <c r="S26"/>
  <c r="D84"/>
  <c r="D86" s="1"/>
  <c r="P25" s="1"/>
  <c r="P26"/>
  <c r="F84"/>
  <c r="F86" s="1"/>
  <c r="R25" s="1"/>
  <c r="G54" a="1"/>
  <c r="G54" s="1"/>
  <c r="K62"/>
  <c r="G62"/>
  <c r="K61"/>
  <c r="G61"/>
  <c r="K60"/>
  <c r="G60"/>
  <c r="J12"/>
  <c r="I62"/>
  <c r="E61"/>
  <c r="H62"/>
  <c r="D62"/>
  <c r="H61"/>
  <c r="D61"/>
  <c r="H60"/>
  <c r="D60"/>
  <c r="E62"/>
  <c r="I61"/>
  <c r="E60"/>
  <c r="F7"/>
  <c r="J62"/>
  <c r="F62"/>
  <c r="J61"/>
  <c r="F61"/>
  <c r="J60"/>
  <c r="F60"/>
  <c r="I60"/>
  <c r="K54"/>
  <c r="I56"/>
  <c r="K56"/>
  <c r="K85"/>
  <c r="K87" s="1"/>
  <c r="I55"/>
  <c r="J56"/>
  <c r="J54"/>
  <c r="K55"/>
  <c r="I83"/>
  <c r="I86" s="1"/>
  <c r="E84"/>
  <c r="D54" a="1"/>
  <c r="I54"/>
  <c r="J55"/>
  <c r="H54" i="18"/>
  <c r="H55"/>
  <c r="F54"/>
  <c r="F55"/>
  <c r="E54" a="1"/>
  <c r="E56" s="1"/>
  <c r="G60"/>
  <c r="F61"/>
  <c r="D60"/>
  <c r="E62"/>
  <c r="K13"/>
  <c r="E60"/>
  <c r="G61"/>
  <c r="J12"/>
  <c r="K12"/>
  <c r="F62"/>
  <c r="D62"/>
  <c r="F60"/>
  <c r="G62"/>
  <c r="E61"/>
  <c r="C154"/>
  <c r="C150"/>
  <c r="C155"/>
  <c r="C151"/>
  <c r="C156"/>
  <c r="J62"/>
  <c r="I61"/>
  <c r="H60"/>
  <c r="K62"/>
  <c r="J61"/>
  <c r="I60"/>
  <c r="H62"/>
  <c r="K61"/>
  <c r="J60"/>
  <c r="I62"/>
  <c r="H61"/>
  <c r="K60"/>
  <c r="F7"/>
  <c r="L95"/>
  <c r="Q95"/>
  <c r="M95"/>
  <c r="P95"/>
  <c r="R95"/>
  <c r="N95"/>
  <c r="S95"/>
  <c r="O95"/>
  <c r="K84"/>
  <c r="D33"/>
  <c r="I55" s="1"/>
  <c r="J84"/>
  <c r="I84"/>
  <c r="F84"/>
  <c r="G84"/>
  <c r="E84"/>
  <c r="H84"/>
  <c r="D84"/>
  <c r="D22" i="15"/>
  <c r="E14"/>
  <c r="K83" i="18"/>
  <c r="J83"/>
  <c r="I83"/>
  <c r="K17" i="14"/>
  <c r="G17"/>
  <c r="J16"/>
  <c r="F16"/>
  <c r="I15"/>
  <c r="E15"/>
  <c r="I32"/>
  <c r="E32"/>
  <c r="G22" i="15"/>
  <c r="K22"/>
  <c r="G23"/>
  <c r="K23"/>
  <c r="G24"/>
  <c r="K24"/>
  <c r="G39"/>
  <c r="K39"/>
  <c r="D17" i="14"/>
  <c r="H17"/>
  <c r="K16"/>
  <c r="G16"/>
  <c r="J15"/>
  <c r="F15"/>
  <c r="J32"/>
  <c r="F32"/>
  <c r="F22" i="15"/>
  <c r="J22"/>
  <c r="F23"/>
  <c r="J23"/>
  <c r="F24"/>
  <c r="J24"/>
  <c r="F39"/>
  <c r="J39"/>
  <c r="D16" i="14"/>
  <c r="I17"/>
  <c r="E17"/>
  <c r="H16"/>
  <c r="K15"/>
  <c r="G15"/>
  <c r="K32"/>
  <c r="G32"/>
  <c r="I22" i="15"/>
  <c r="I23"/>
  <c r="I24"/>
  <c r="E39"/>
  <c r="I39"/>
  <c r="D15" i="14"/>
  <c r="D11" s="1"/>
  <c r="D28" s="1"/>
  <c r="J17"/>
  <c r="J11" s="1"/>
  <c r="J28" s="1"/>
  <c r="F17"/>
  <c r="I16"/>
  <c r="E16"/>
  <c r="E10" s="1"/>
  <c r="E27" s="1"/>
  <c r="H15"/>
  <c r="D32"/>
  <c r="H32"/>
  <c r="H22" i="15"/>
  <c r="D23"/>
  <c r="H23"/>
  <c r="D24"/>
  <c r="H24"/>
  <c r="D39"/>
  <c r="H39"/>
  <c r="K10" i="14"/>
  <c r="K27" s="1"/>
  <c r="K9"/>
  <c r="K26" s="1"/>
  <c r="J10"/>
  <c r="J27" s="1"/>
  <c r="Q31" i="1"/>
  <c r="G24" i="4"/>
  <c r="H10" s="1"/>
  <c r="G23"/>
  <c r="H9" s="1"/>
  <c r="G25"/>
  <c r="H11" s="1"/>
  <c r="K11" i="14" l="1"/>
  <c r="K28" s="1"/>
  <c r="G54" i="18"/>
  <c r="G55"/>
  <c r="H56" i="20"/>
  <c r="H55"/>
  <c r="F54"/>
  <c r="F55"/>
  <c r="G65"/>
  <c r="G68" s="1"/>
  <c r="F64"/>
  <c r="F67" s="1"/>
  <c r="E63"/>
  <c r="E66" s="1"/>
  <c r="H63"/>
  <c r="H66" s="1"/>
  <c r="F65"/>
  <c r="F68" s="1"/>
  <c r="E64"/>
  <c r="E67" s="1"/>
  <c r="D63"/>
  <c r="D66" s="1"/>
  <c r="H64"/>
  <c r="H67" s="1"/>
  <c r="G63"/>
  <c r="G66" s="1"/>
  <c r="E65"/>
  <c r="E68" s="1"/>
  <c r="D64"/>
  <c r="D67" s="1"/>
  <c r="H65"/>
  <c r="H68" s="1"/>
  <c r="G64"/>
  <c r="G67" s="1"/>
  <c r="F63"/>
  <c r="F66" s="1"/>
  <c r="D65"/>
  <c r="D68" s="1"/>
  <c r="D14" i="18"/>
  <c r="H12"/>
  <c r="J85" i="20"/>
  <c r="J87" s="1"/>
  <c r="H14" i="18"/>
  <c r="D13"/>
  <c r="H64"/>
  <c r="H67" s="1"/>
  <c r="H65"/>
  <c r="H68" s="1"/>
  <c r="G63"/>
  <c r="H63"/>
  <c r="I10" i="14"/>
  <c r="I27" s="1"/>
  <c r="H86" i="20"/>
  <c r="T25" s="1"/>
  <c r="G85"/>
  <c r="G87" s="1"/>
  <c r="F85"/>
  <c r="F87" s="1"/>
  <c r="D85"/>
  <c r="D87" s="1"/>
  <c r="G55"/>
  <c r="G56"/>
  <c r="K65"/>
  <c r="K68" s="1"/>
  <c r="K64"/>
  <c r="K67" s="1"/>
  <c r="K63"/>
  <c r="K66" s="1"/>
  <c r="I63"/>
  <c r="I66" s="1"/>
  <c r="I65"/>
  <c r="I68" s="1"/>
  <c r="I64"/>
  <c r="I67" s="1"/>
  <c r="J65"/>
  <c r="J68" s="1"/>
  <c r="J64"/>
  <c r="J67" s="1"/>
  <c r="J63"/>
  <c r="J66" s="1"/>
  <c r="E86"/>
  <c r="Q25" s="1"/>
  <c r="E85"/>
  <c r="E87" s="1"/>
  <c r="H10" i="14"/>
  <c r="H27" s="1"/>
  <c r="I85" i="20"/>
  <c r="I87" s="1"/>
  <c r="D54"/>
  <c r="D55"/>
  <c r="D56"/>
  <c r="E63" i="18"/>
  <c r="E66" s="1"/>
  <c r="F63"/>
  <c r="E64"/>
  <c r="E65"/>
  <c r="E54"/>
  <c r="E55"/>
  <c r="D54" a="1"/>
  <c r="H11" i="14"/>
  <c r="H28" s="1"/>
  <c r="J9"/>
  <c r="J26" s="1"/>
  <c r="J33" s="1"/>
  <c r="J35" s="1"/>
  <c r="I9"/>
  <c r="I26" s="1"/>
  <c r="G11"/>
  <c r="G28" s="1"/>
  <c r="F9"/>
  <c r="F26" s="1"/>
  <c r="H9"/>
  <c r="H26" s="1"/>
  <c r="E11"/>
  <c r="E28" s="1"/>
  <c r="J63" i="18"/>
  <c r="K65"/>
  <c r="K64"/>
  <c r="I63"/>
  <c r="J64"/>
  <c r="J65"/>
  <c r="I64"/>
  <c r="I65"/>
  <c r="K63"/>
  <c r="K54"/>
  <c r="I54"/>
  <c r="K55"/>
  <c r="J55"/>
  <c r="J54"/>
  <c r="F10" i="14"/>
  <c r="F27" s="1"/>
  <c r="G10"/>
  <c r="G27" s="1"/>
  <c r="E9"/>
  <c r="E26" s="1"/>
  <c r="E33" s="1"/>
  <c r="E35" s="1"/>
  <c r="G9"/>
  <c r="G26" s="1"/>
  <c r="F11"/>
  <c r="F28" s="1"/>
  <c r="I11"/>
  <c r="I28" s="1"/>
  <c r="I33" s="1"/>
  <c r="I35" s="1"/>
  <c r="K86" i="18"/>
  <c r="J56"/>
  <c r="I56"/>
  <c r="K56"/>
  <c r="J86"/>
  <c r="H86"/>
  <c r="T25" s="1"/>
  <c r="I86"/>
  <c r="F86"/>
  <c r="R25" s="1"/>
  <c r="G86"/>
  <c r="S25" s="1"/>
  <c r="E86"/>
  <c r="Q25" s="1"/>
  <c r="D86"/>
  <c r="P25" s="1"/>
  <c r="D14" i="15"/>
  <c r="I85" i="18"/>
  <c r="I87" s="1"/>
  <c r="I14" i="15"/>
  <c r="F14"/>
  <c r="G14"/>
  <c r="D85" i="18"/>
  <c r="D87" s="1"/>
  <c r="G85"/>
  <c r="G87" s="1"/>
  <c r="D10" i="14"/>
  <c r="D27" s="1"/>
  <c r="D9"/>
  <c r="D26" s="1"/>
  <c r="J14" i="15"/>
  <c r="K14"/>
  <c r="H85" i="18"/>
  <c r="H87" s="1"/>
  <c r="E85"/>
  <c r="E87" s="1"/>
  <c r="F85"/>
  <c r="F87" s="1"/>
  <c r="K85"/>
  <c r="K87" s="1"/>
  <c r="H14" i="15"/>
  <c r="J85" i="18"/>
  <c r="J87" s="1"/>
  <c r="E33" i="15"/>
  <c r="F35"/>
  <c r="F34"/>
  <c r="F33"/>
  <c r="G35"/>
  <c r="G34"/>
  <c r="G33"/>
  <c r="H35"/>
  <c r="H34"/>
  <c r="H33"/>
  <c r="I35"/>
  <c r="I34"/>
  <c r="I33"/>
  <c r="J35"/>
  <c r="J34"/>
  <c r="J33"/>
  <c r="K35"/>
  <c r="K34"/>
  <c r="K33"/>
  <c r="K33" i="14"/>
  <c r="K35" s="1"/>
  <c r="D17" i="4"/>
  <c r="D36" s="1"/>
  <c r="D16"/>
  <c r="D35" s="1"/>
  <c r="D15"/>
  <c r="H66" i="18" l="1"/>
  <c r="H57" s="1"/>
  <c r="J57" i="20"/>
  <c r="F33" i="14"/>
  <c r="F35" s="1"/>
  <c r="E57" i="20"/>
  <c r="H57"/>
  <c r="K57"/>
  <c r="I57"/>
  <c r="G33" i="14"/>
  <c r="G34" s="1"/>
  <c r="D57" i="20"/>
  <c r="G57"/>
  <c r="H33" i="14"/>
  <c r="H34" s="1"/>
  <c r="F57" i="20"/>
  <c r="D56" i="18"/>
  <c r="D55"/>
  <c r="D54"/>
  <c r="D33" i="14"/>
  <c r="D35" s="1"/>
  <c r="I66" i="18"/>
  <c r="K68"/>
  <c r="K67"/>
  <c r="J67"/>
  <c r="J68"/>
  <c r="K66"/>
  <c r="I68"/>
  <c r="J66"/>
  <c r="I67"/>
  <c r="F40" i="15"/>
  <c r="J40"/>
  <c r="I40"/>
  <c r="I42" s="1"/>
  <c r="E40"/>
  <c r="E42" s="1"/>
  <c r="H40"/>
  <c r="H42" s="1"/>
  <c r="D40"/>
  <c r="D42" s="1"/>
  <c r="K40"/>
  <c r="K42" s="1"/>
  <c r="G40"/>
  <c r="G42" s="1"/>
  <c r="K34" i="14"/>
  <c r="I34"/>
  <c r="E34"/>
  <c r="J34"/>
  <c r="J18" i="4"/>
  <c r="D34"/>
  <c r="J19"/>
  <c r="J20"/>
  <c r="F34" i="14" l="1"/>
  <c r="H35"/>
  <c r="G35"/>
  <c r="D34"/>
  <c r="J41" i="15"/>
  <c r="J43" s="1"/>
  <c r="J42"/>
  <c r="F41"/>
  <c r="F43" s="1"/>
  <c r="F42"/>
  <c r="J57" i="18"/>
  <c r="I57"/>
  <c r="K57"/>
  <c r="I41" i="15"/>
  <c r="I43" s="1"/>
  <c r="E41"/>
  <c r="E43" s="1"/>
  <c r="K41"/>
  <c r="K43" s="1"/>
  <c r="H41"/>
  <c r="H43" s="1"/>
  <c r="G41"/>
  <c r="G43" s="1"/>
  <c r="D41"/>
  <c r="D43" s="1"/>
  <c r="D64" i="18" l="1"/>
  <c r="L14"/>
  <c r="D65" l="1"/>
  <c r="F64"/>
  <c r="F65"/>
  <c r="F68" s="1"/>
  <c r="L13"/>
  <c r="M13"/>
  <c r="J14"/>
  <c r="J13"/>
  <c r="D67" s="1"/>
  <c r="L12"/>
  <c r="M12"/>
  <c r="G66" s="1"/>
  <c r="G64"/>
  <c r="G65"/>
  <c r="D63"/>
  <c r="D66" s="1"/>
  <c r="M14"/>
  <c r="G67" l="1"/>
  <c r="G68"/>
  <c r="F66"/>
  <c r="D68"/>
  <c r="D57" s="1"/>
  <c r="E68"/>
  <c r="E67"/>
  <c r="F67"/>
  <c r="G57" l="1"/>
  <c r="F57"/>
  <c r="E57"/>
</calcChain>
</file>

<file path=xl/comments1.xml><?xml version="1.0" encoding="utf-8"?>
<comments xmlns="http://schemas.openxmlformats.org/spreadsheetml/2006/main">
  <authors>
    <author>cg</author>
  </authors>
  <commentList>
    <comment ref="M22" authorId="0">
      <text>
        <r>
          <rPr>
            <b/>
            <sz val="9"/>
            <color indexed="81"/>
            <rFont val="Tahoma"/>
            <family val="2"/>
          </rPr>
          <t>cg:</t>
        </r>
        <r>
          <rPr>
            <sz val="9"/>
            <color indexed="81"/>
            <rFont val="Tahoma"/>
            <family val="2"/>
          </rPr>
          <t xml:space="preserve">
nie &lt; 0
</t>
        </r>
      </text>
    </comment>
    <comment ref="M26" authorId="0">
      <text>
        <r>
          <rPr>
            <b/>
            <sz val="9"/>
            <color indexed="81"/>
            <rFont val="Tahoma"/>
            <family val="2"/>
          </rPr>
          <t>cg:</t>
        </r>
        <r>
          <rPr>
            <sz val="9"/>
            <color indexed="81"/>
            <rFont val="Tahoma"/>
            <family val="2"/>
          </rPr>
          <t xml:space="preserve">
darf &lt; 0 sein</t>
        </r>
      </text>
    </comment>
  </commentList>
</comments>
</file>

<file path=xl/sharedStrings.xml><?xml version="1.0" encoding="utf-8"?>
<sst xmlns="http://schemas.openxmlformats.org/spreadsheetml/2006/main" count="790" uniqueCount="494">
  <si>
    <t>(0,0)</t>
  </si>
  <si>
    <t>(1,0)</t>
  </si>
  <si>
    <t>(0,1)</t>
  </si>
  <si>
    <t>(x_0,y_0,z_0)</t>
  </si>
  <si>
    <t>R_0</t>
  </si>
  <si>
    <t>Referenzpunkt</t>
  </si>
  <si>
    <t>Reproduzierbare Aufstellung</t>
  </si>
  <si>
    <t>A_j</t>
  </si>
  <si>
    <t>P_i</t>
  </si>
  <si>
    <t>Antennen Anordnung</t>
  </si>
  <si>
    <t>Modell</t>
  </si>
  <si>
    <t>y-y_j</t>
  </si>
  <si>
    <t>z-z_j</t>
  </si>
  <si>
    <t>x-x_j</t>
  </si>
  <si>
    <t>c_1j</t>
  </si>
  <si>
    <t>c_3j</t>
  </si>
  <si>
    <t>c_2j</t>
  </si>
  <si>
    <t>x_1-x_0</t>
  </si>
  <si>
    <t>x_2-x_0</t>
  </si>
  <si>
    <t>x_3-x_0</t>
  </si>
  <si>
    <t>y_1-y_0</t>
  </si>
  <si>
    <t>z_1-z_0</t>
  </si>
  <si>
    <t>y_2-y_0</t>
  </si>
  <si>
    <t>y_3-y_0</t>
  </si>
  <si>
    <t>z_3-z_0</t>
  </si>
  <si>
    <t>z_2-z_0</t>
  </si>
  <si>
    <t>c_bj</t>
  </si>
  <si>
    <t>=</t>
  </si>
  <si>
    <t>1/2[-r_j^2-r_ab^2+d_bj^2]</t>
  </si>
  <si>
    <t>d_10</t>
  </si>
  <si>
    <t>d_20</t>
  </si>
  <si>
    <t>d_30</t>
  </si>
  <si>
    <t>Offset</t>
  </si>
  <si>
    <t>m</t>
  </si>
  <si>
    <t>Originaldaten</t>
  </si>
  <si>
    <t>Daten + Offset</t>
  </si>
  <si>
    <t>d_10=d_01</t>
  </si>
  <si>
    <t>d_12=d_21</t>
  </si>
  <si>
    <t>d_13=d_31</t>
  </si>
  <si>
    <t>d_20=d_02</t>
  </si>
  <si>
    <t>d_30=d_03</t>
  </si>
  <si>
    <t>d_23=d_32</t>
  </si>
  <si>
    <t>c_30</t>
  </si>
  <si>
    <t>c_20</t>
  </si>
  <si>
    <t>1/2[-r_0^2-r_1^2+d_10^2]</t>
  </si>
  <si>
    <t>c_10</t>
  </si>
  <si>
    <t>z-z_</t>
  </si>
  <si>
    <t>y-y_0</t>
  </si>
  <si>
    <t>x-x_0</t>
  </si>
  <si>
    <t>1/2[-r_0^2-r_2^2+d_20^2]</t>
  </si>
  <si>
    <t>1/2[-r_0^2-r_3^2+d_30^2]</t>
  </si>
  <si>
    <t>LSG</t>
  </si>
  <si>
    <t>z-z_0</t>
  </si>
  <si>
    <t>x_0</t>
  </si>
  <si>
    <t>y_0</t>
  </si>
  <si>
    <t>z_0</t>
  </si>
  <si>
    <t>x</t>
  </si>
  <si>
    <t>y</t>
  </si>
  <si>
    <t>z</t>
  </si>
  <si>
    <t>x_i</t>
  </si>
  <si>
    <t>y_i</t>
  </si>
  <si>
    <t>z_i</t>
  </si>
  <si>
    <t>Inertialkoordinaten von x_0</t>
  </si>
  <si>
    <t>*</t>
  </si>
  <si>
    <t>Ermittelte Koordinaten</t>
  </si>
  <si>
    <t>Lineare Modell für die Koordinatenberechnung</t>
  </si>
  <si>
    <t>Lösung des Modells</t>
  </si>
  <si>
    <t>Fehlerbetrachtung</t>
  </si>
  <si>
    <t>Fehler %</t>
  </si>
  <si>
    <t>Fehler ABS [m]</t>
  </si>
  <si>
    <t>berechnet [m]</t>
  </si>
  <si>
    <t>gemessen [m]</t>
  </si>
  <si>
    <t>c_k0</t>
  </si>
  <si>
    <t>1/2[r_0^2-r_k^2+d_k0^2]</t>
  </si>
  <si>
    <t>error</t>
  </si>
  <si>
    <t>a_1</t>
  </si>
  <si>
    <t>a_2</t>
  </si>
  <si>
    <t>a_0k</t>
  </si>
  <si>
    <t>k</t>
  </si>
  <si>
    <t>a_3k0</t>
  </si>
  <si>
    <t>Theta_k</t>
  </si>
  <si>
    <t>n_0</t>
  </si>
  <si>
    <t>n_1</t>
  </si>
  <si>
    <t>n_2</t>
  </si>
  <si>
    <t>n_3</t>
  </si>
  <si>
    <t>Variabel</t>
  </si>
  <si>
    <t>TermB_1</t>
  </si>
  <si>
    <t>TermA_1</t>
  </si>
  <si>
    <t>TermA_2</t>
  </si>
  <si>
    <t>TermA_3</t>
  </si>
  <si>
    <t>TermB_3</t>
  </si>
  <si>
    <t>TermB_2</t>
  </si>
  <si>
    <t>predicted_c_10</t>
  </si>
  <si>
    <t>predicted_c_20</t>
  </si>
  <si>
    <t>predicted_c_30</t>
  </si>
  <si>
    <t>error^2</t>
  </si>
  <si>
    <t>For Debugging only</t>
  </si>
  <si>
    <t xml:space="preserve">c_0 </t>
  </si>
  <si>
    <t>[m/s]</t>
  </si>
  <si>
    <t xml:space="preserve">f_mess </t>
  </si>
  <si>
    <t>[1/s]</t>
  </si>
  <si>
    <t xml:space="preserve">lambda </t>
  </si>
  <si>
    <t>[m]</t>
  </si>
  <si>
    <t>-</t>
  </si>
  <si>
    <t>xxx</t>
  </si>
  <si>
    <t>Fehler^2</t>
  </si>
  <si>
    <t>b</t>
  </si>
  <si>
    <t>A</t>
  </si>
  <si>
    <t>Lineares Modell für die Koordinatenberechnung</t>
  </si>
  <si>
    <t>c_10'</t>
  </si>
  <si>
    <t>c_20'</t>
  </si>
  <si>
    <t>c_30'</t>
  </si>
  <si>
    <t>Vorhersage vom Solver</t>
  </si>
  <si>
    <t>x_k</t>
  </si>
  <si>
    <t>b_k</t>
  </si>
  <si>
    <t>y_k</t>
  </si>
  <si>
    <t>z_k</t>
  </si>
  <si>
    <t>Messung vom 22.5.2013</t>
  </si>
  <si>
    <t>Messung vom 15.5.2013</t>
  </si>
  <si>
    <t>Alte Messungen</t>
  </si>
  <si>
    <t>A0</t>
  </si>
  <si>
    <t>A1</t>
  </si>
  <si>
    <t>A2</t>
  </si>
  <si>
    <t>A3</t>
  </si>
  <si>
    <t>A7</t>
  </si>
  <si>
    <t>A6</t>
  </si>
  <si>
    <t>A5</t>
  </si>
  <si>
    <t>A4</t>
  </si>
  <si>
    <t>d_k0</t>
  </si>
  <si>
    <t>a_0234</t>
  </si>
  <si>
    <t>a_2034</t>
  </si>
  <si>
    <t>a_3204</t>
  </si>
  <si>
    <t>a_4230</t>
  </si>
  <si>
    <t>A_0234</t>
  </si>
  <si>
    <t>A_023457</t>
  </si>
  <si>
    <t>0243</t>
  </si>
  <si>
    <t>2043</t>
  </si>
  <si>
    <t>3204</t>
  </si>
  <si>
    <t>4230</t>
  </si>
  <si>
    <t>…</t>
  </si>
  <si>
    <t>A_2034</t>
  </si>
  <si>
    <t>A_3204</t>
  </si>
  <si>
    <t>A_4230</t>
  </si>
  <si>
    <t>Koordinaten bezogen auf (0,0,0) des Kalibrieraufbaus</t>
  </si>
  <si>
    <t>d_k2</t>
  </si>
  <si>
    <t>d_k3</t>
  </si>
  <si>
    <t>d_k4</t>
  </si>
  <si>
    <t>Referenz</t>
  </si>
  <si>
    <t>Verwendet</t>
  </si>
  <si>
    <t>Keine Daten</t>
  </si>
  <si>
    <t>Der Solver solves hier</t>
  </si>
  <si>
    <t>d_Referenz</t>
  </si>
  <si>
    <t>Lineare Modelel für die Koordinatenberechnung</t>
  </si>
  <si>
    <t>Theta_mess</t>
  </si>
  <si>
    <t>a_3k2</t>
  </si>
  <si>
    <t>a_3k3</t>
  </si>
  <si>
    <t>a_3k4</t>
  </si>
  <si>
    <t>a_2k</t>
  </si>
  <si>
    <t>a_3k</t>
  </si>
  <si>
    <t>a_4k</t>
  </si>
  <si>
    <t>a_0423</t>
  </si>
  <si>
    <t>0423</t>
  </si>
  <si>
    <t>a_0257</t>
  </si>
  <si>
    <t>a_0245</t>
  </si>
  <si>
    <t>a_0237</t>
  </si>
  <si>
    <t>a_0235</t>
  </si>
  <si>
    <t>n_0^2-n_1^2</t>
  </si>
  <si>
    <t>ϴ_0n_0-ϴ_1n_1</t>
  </si>
  <si>
    <t>ϴ_0n_0-ϴ_3n_3</t>
  </si>
  <si>
    <t>ϴ_0n_0-ϴ_2n_2</t>
  </si>
  <si>
    <t>n_0^2-n_3^2</t>
  </si>
  <si>
    <t>n_0^2-n_2^2</t>
  </si>
  <si>
    <t>Condition Number over SVD</t>
  </si>
  <si>
    <t>Linear Equation</t>
  </si>
  <si>
    <t>U</t>
  </si>
  <si>
    <t>D</t>
  </si>
  <si>
    <t>V</t>
  </si>
  <si>
    <t>Kontrolle</t>
  </si>
  <si>
    <t>3aus7</t>
  </si>
  <si>
    <t>0123</t>
  </si>
  <si>
    <t>0124</t>
  </si>
  <si>
    <t>0125</t>
  </si>
  <si>
    <t>0126</t>
  </si>
  <si>
    <t>0127</t>
  </si>
  <si>
    <t>0134</t>
  </si>
  <si>
    <t>0135</t>
  </si>
  <si>
    <t>0136</t>
  </si>
  <si>
    <t>0137</t>
  </si>
  <si>
    <t>0145</t>
  </si>
  <si>
    <t>0146</t>
  </si>
  <si>
    <t>0147</t>
  </si>
  <si>
    <t>0157</t>
  </si>
  <si>
    <t>0156</t>
  </si>
  <si>
    <t>0167</t>
  </si>
  <si>
    <t>0234</t>
  </si>
  <si>
    <t>0235</t>
  </si>
  <si>
    <t>0236</t>
  </si>
  <si>
    <t>0237</t>
  </si>
  <si>
    <t>0245</t>
  </si>
  <si>
    <t>0246</t>
  </si>
  <si>
    <t>0247</t>
  </si>
  <si>
    <t>0256</t>
  </si>
  <si>
    <t>0257</t>
  </si>
  <si>
    <t>0267</t>
  </si>
  <si>
    <t>0345</t>
  </si>
  <si>
    <t>0346</t>
  </si>
  <si>
    <t>0347</t>
  </si>
  <si>
    <t>0356</t>
  </si>
  <si>
    <t>0357</t>
  </si>
  <si>
    <t>0367</t>
  </si>
  <si>
    <t>0456</t>
  </si>
  <si>
    <t>0457</t>
  </si>
  <si>
    <t>0465</t>
  </si>
  <si>
    <t>0567</t>
  </si>
  <si>
    <t>1-0_123</t>
  </si>
  <si>
    <t>2-0_124</t>
  </si>
  <si>
    <t>3-0_125</t>
  </si>
  <si>
    <t>4-0_126</t>
  </si>
  <si>
    <t>5-0_127</t>
  </si>
  <si>
    <t>6-0_134</t>
  </si>
  <si>
    <t>7-0_135</t>
  </si>
  <si>
    <t>8-0_136</t>
  </si>
  <si>
    <t>9-0_137</t>
  </si>
  <si>
    <t>10-0_145</t>
  </si>
  <si>
    <t>11-0_146</t>
  </si>
  <si>
    <t>12-0_147</t>
  </si>
  <si>
    <t>13-0_156</t>
  </si>
  <si>
    <t>14-0_157</t>
  </si>
  <si>
    <t>15-0_167</t>
  </si>
  <si>
    <t>16-0_234</t>
  </si>
  <si>
    <t>17-0_235</t>
  </si>
  <si>
    <t>18-0_236</t>
  </si>
  <si>
    <t>19-0_237</t>
  </si>
  <si>
    <t>20-0_245</t>
  </si>
  <si>
    <t>21-0_246</t>
  </si>
  <si>
    <t>22-0_247</t>
  </si>
  <si>
    <t>23-0_256</t>
  </si>
  <si>
    <t>24-0_257</t>
  </si>
  <si>
    <t>25-0_267</t>
  </si>
  <si>
    <t>26-0_345</t>
  </si>
  <si>
    <t>27-0_346</t>
  </si>
  <si>
    <t>28-0_347</t>
  </si>
  <si>
    <t>29-0_356</t>
  </si>
  <si>
    <t>30-0_357</t>
  </si>
  <si>
    <t>31-0_367</t>
  </si>
  <si>
    <t>32-0_456</t>
  </si>
  <si>
    <t>33-0_457</t>
  </si>
  <si>
    <t>34-0_467</t>
  </si>
  <si>
    <t>35-0_567</t>
  </si>
  <si>
    <t>36-1_023</t>
  </si>
  <si>
    <t>37-1_024</t>
  </si>
  <si>
    <t>38-1_025</t>
  </si>
  <si>
    <t>39-1_026</t>
  </si>
  <si>
    <t>40-1_027</t>
  </si>
  <si>
    <t>41-1_034</t>
  </si>
  <si>
    <t>42-1_035</t>
  </si>
  <si>
    <t>43-1_036</t>
  </si>
  <si>
    <t>44-1_037</t>
  </si>
  <si>
    <t>45-1_045</t>
  </si>
  <si>
    <t>46-1_046</t>
  </si>
  <si>
    <t>47-1_047</t>
  </si>
  <si>
    <t>48-1_056</t>
  </si>
  <si>
    <t>49-1_057</t>
  </si>
  <si>
    <t>50-1_067</t>
  </si>
  <si>
    <t>51-1_234</t>
  </si>
  <si>
    <t>52-1_235</t>
  </si>
  <si>
    <t>53-1_236</t>
  </si>
  <si>
    <t>54-1_237</t>
  </si>
  <si>
    <t>55-1_245</t>
  </si>
  <si>
    <t>56-1_246</t>
  </si>
  <si>
    <t>57-1_247</t>
  </si>
  <si>
    <t>58-1_256</t>
  </si>
  <si>
    <t>59-1_257</t>
  </si>
  <si>
    <t>60-1_267</t>
  </si>
  <si>
    <t>61-1_345</t>
  </si>
  <si>
    <t>62-1_346</t>
  </si>
  <si>
    <t>63-1_347</t>
  </si>
  <si>
    <t>64-1_356</t>
  </si>
  <si>
    <t>65-1_357</t>
  </si>
  <si>
    <t>66-1_367</t>
  </si>
  <si>
    <t>67-1_456</t>
  </si>
  <si>
    <t>68-1_457</t>
  </si>
  <si>
    <t>69-1_467</t>
  </si>
  <si>
    <t>70-1_567</t>
  </si>
  <si>
    <t>71-2_013</t>
  </si>
  <si>
    <t>72-2_014</t>
  </si>
  <si>
    <t>73-2_015</t>
  </si>
  <si>
    <t>74-2_016</t>
  </si>
  <si>
    <t>75-2_017</t>
  </si>
  <si>
    <t>76-2_034</t>
  </si>
  <si>
    <t>77-2_035</t>
  </si>
  <si>
    <t>78-2_036</t>
  </si>
  <si>
    <t>79-2_037</t>
  </si>
  <si>
    <t>80-2_045</t>
  </si>
  <si>
    <t>81-2_046</t>
  </si>
  <si>
    <t>82-2_047</t>
  </si>
  <si>
    <t>83-2_056</t>
  </si>
  <si>
    <t>84-2_057</t>
  </si>
  <si>
    <t>85-2_067</t>
  </si>
  <si>
    <t>86-2_134</t>
  </si>
  <si>
    <t>87-2_135</t>
  </si>
  <si>
    <t>88-2_136</t>
  </si>
  <si>
    <t>89-2_137</t>
  </si>
  <si>
    <t>90-2_145</t>
  </si>
  <si>
    <t>91-2_146</t>
  </si>
  <si>
    <t>92-2_147</t>
  </si>
  <si>
    <t>93-2_156</t>
  </si>
  <si>
    <t>94-2_157</t>
  </si>
  <si>
    <t>95-2_167</t>
  </si>
  <si>
    <t>96-2_345</t>
  </si>
  <si>
    <t>97-2_346</t>
  </si>
  <si>
    <t>98-2_347</t>
  </si>
  <si>
    <t>99-2_356</t>
  </si>
  <si>
    <t>100-2_357</t>
  </si>
  <si>
    <t>101-2_367</t>
  </si>
  <si>
    <t>102-2_456</t>
  </si>
  <si>
    <t>103-2_457</t>
  </si>
  <si>
    <t>104-2_467</t>
  </si>
  <si>
    <t>105-2_567</t>
  </si>
  <si>
    <t>106-3_012</t>
  </si>
  <si>
    <t>107-3_014</t>
  </si>
  <si>
    <t>108-3_015</t>
  </si>
  <si>
    <t>109-3_016</t>
  </si>
  <si>
    <t>110-3_017</t>
  </si>
  <si>
    <t>111-3_024</t>
  </si>
  <si>
    <t>112-3_025</t>
  </si>
  <si>
    <t>113-3_026</t>
  </si>
  <si>
    <t>114-3_027</t>
  </si>
  <si>
    <t>115-3_045</t>
  </si>
  <si>
    <t>116-3_046</t>
  </si>
  <si>
    <t>117-3_047</t>
  </si>
  <si>
    <t>118-3_056</t>
  </si>
  <si>
    <t>119-3_057</t>
  </si>
  <si>
    <t>120-3_067</t>
  </si>
  <si>
    <t>121-3_124</t>
  </si>
  <si>
    <t>122-3_125</t>
  </si>
  <si>
    <t>123-3_126</t>
  </si>
  <si>
    <t>124-3_127</t>
  </si>
  <si>
    <t>125-3_145</t>
  </si>
  <si>
    <t>126-3_146</t>
  </si>
  <si>
    <t>127-3_147</t>
  </si>
  <si>
    <t>128-3_156</t>
  </si>
  <si>
    <t>129-3_157</t>
  </si>
  <si>
    <t>130-3_167</t>
  </si>
  <si>
    <t>131-3_245</t>
  </si>
  <si>
    <t>132-3_246</t>
  </si>
  <si>
    <t>133-3_247</t>
  </si>
  <si>
    <t>134-3_256</t>
  </si>
  <si>
    <t>135-3_257</t>
  </si>
  <si>
    <t>136-3_267</t>
  </si>
  <si>
    <t>137-3_456</t>
  </si>
  <si>
    <t>138-3_457</t>
  </si>
  <si>
    <t>139-3_467</t>
  </si>
  <si>
    <t>140-3_567</t>
  </si>
  <si>
    <t>141-4_012</t>
  </si>
  <si>
    <t>142-4_013</t>
  </si>
  <si>
    <t>143-4_015</t>
  </si>
  <si>
    <t>144-4_016</t>
  </si>
  <si>
    <t>145-4_017</t>
  </si>
  <si>
    <t>146-4_023</t>
  </si>
  <si>
    <t>147-4_025</t>
  </si>
  <si>
    <t>148-4_026</t>
  </si>
  <si>
    <t>149-4_027</t>
  </si>
  <si>
    <t>150-4_035</t>
  </si>
  <si>
    <t>151-4_036</t>
  </si>
  <si>
    <t>152-4_037</t>
  </si>
  <si>
    <t>153-4_056</t>
  </si>
  <si>
    <t>154-4_057</t>
  </si>
  <si>
    <t>155-4_067</t>
  </si>
  <si>
    <t>156-4_123</t>
  </si>
  <si>
    <t>157-4_125</t>
  </si>
  <si>
    <t>158-4_126</t>
  </si>
  <si>
    <t>159-4_127</t>
  </si>
  <si>
    <t>160-4_135</t>
  </si>
  <si>
    <t>161-4_136</t>
  </si>
  <si>
    <t>162-4_137</t>
  </si>
  <si>
    <t>163-4_156</t>
  </si>
  <si>
    <t>164-4_157</t>
  </si>
  <si>
    <t>165-4_167</t>
  </si>
  <si>
    <t>166-4_235</t>
  </si>
  <si>
    <t>167-4_236</t>
  </si>
  <si>
    <t>168-4_237</t>
  </si>
  <si>
    <t>169-4_256</t>
  </si>
  <si>
    <t>170-4_257</t>
  </si>
  <si>
    <t>171-4_267</t>
  </si>
  <si>
    <t>172-4_356</t>
  </si>
  <si>
    <t>173-4_357</t>
  </si>
  <si>
    <t>174-4_367</t>
  </si>
  <si>
    <t>175-4_567</t>
  </si>
  <si>
    <t>176-5_012</t>
  </si>
  <si>
    <t>177-5_013</t>
  </si>
  <si>
    <t>178-5_014</t>
  </si>
  <si>
    <t>179-5_016</t>
  </si>
  <si>
    <t>180-5_017</t>
  </si>
  <si>
    <t>181-5_023</t>
  </si>
  <si>
    <t>182-5_024</t>
  </si>
  <si>
    <t>183-5_026</t>
  </si>
  <si>
    <t>184-5_027</t>
  </si>
  <si>
    <t>185-5_034</t>
  </si>
  <si>
    <t>186-5_036</t>
  </si>
  <si>
    <t>187-5_037</t>
  </si>
  <si>
    <t>188-5_046</t>
  </si>
  <si>
    <t>189-5_047</t>
  </si>
  <si>
    <t>190-5_067</t>
  </si>
  <si>
    <t>191-5_123</t>
  </si>
  <si>
    <t>192-5_124</t>
  </si>
  <si>
    <t>193-5_126</t>
  </si>
  <si>
    <t>194-5_127</t>
  </si>
  <si>
    <t>195-5_134</t>
  </si>
  <si>
    <t>196-5_136</t>
  </si>
  <si>
    <t>197-5_137</t>
  </si>
  <si>
    <t>198-5_146</t>
  </si>
  <si>
    <t>199-5_147</t>
  </si>
  <si>
    <t>200-5_167</t>
  </si>
  <si>
    <t>201-5_234</t>
  </si>
  <si>
    <t>202-5_236</t>
  </si>
  <si>
    <t>203-5_237</t>
  </si>
  <si>
    <t>204-5_246</t>
  </si>
  <si>
    <t>205-5_247</t>
  </si>
  <si>
    <t>206-5_267</t>
  </si>
  <si>
    <t>207-5_346</t>
  </si>
  <si>
    <t>208-5_347</t>
  </si>
  <si>
    <t>209-5_367</t>
  </si>
  <si>
    <t>210-5_467</t>
  </si>
  <si>
    <t>211-6_012</t>
  </si>
  <si>
    <t>212-6_013</t>
  </si>
  <si>
    <t>213-6_014</t>
  </si>
  <si>
    <t>214-6_015</t>
  </si>
  <si>
    <t>215-6_017</t>
  </si>
  <si>
    <t>216-6_023</t>
  </si>
  <si>
    <t>217-6_024</t>
  </si>
  <si>
    <t>218-6_025</t>
  </si>
  <si>
    <t>219-6_027</t>
  </si>
  <si>
    <t>220-6_034</t>
  </si>
  <si>
    <t>221-6_035</t>
  </si>
  <si>
    <t>222-6_037</t>
  </si>
  <si>
    <t>223-6_045</t>
  </si>
  <si>
    <t>224-6_047</t>
  </si>
  <si>
    <t>225-6_057</t>
  </si>
  <si>
    <t>226-6_123</t>
  </si>
  <si>
    <t>227-6_124</t>
  </si>
  <si>
    <t>228-6_125</t>
  </si>
  <si>
    <t>229-6_127</t>
  </si>
  <si>
    <t>230-6_134</t>
  </si>
  <si>
    <t>231-6_135</t>
  </si>
  <si>
    <t>232-6_137</t>
  </si>
  <si>
    <t>233-6_145</t>
  </si>
  <si>
    <t>234-6_147</t>
  </si>
  <si>
    <t>235-6_157</t>
  </si>
  <si>
    <t>236-6_234</t>
  </si>
  <si>
    <t>237-6_235</t>
  </si>
  <si>
    <t>238-6_237</t>
  </si>
  <si>
    <t>239-6_245</t>
  </si>
  <si>
    <t>240-6_247</t>
  </si>
  <si>
    <t>241-6_257</t>
  </si>
  <si>
    <t>242-6_345</t>
  </si>
  <si>
    <t>243-6_347</t>
  </si>
  <si>
    <t>244-6_357</t>
  </si>
  <si>
    <t>245-6_457</t>
  </si>
  <si>
    <t>246-7_012</t>
  </si>
  <si>
    <t>247-7_013</t>
  </si>
  <si>
    <t>248-7_014</t>
  </si>
  <si>
    <t>249-7_015</t>
  </si>
  <si>
    <t>250-7_016</t>
  </si>
  <si>
    <t>251-7_023</t>
  </si>
  <si>
    <t>252-7_024</t>
  </si>
  <si>
    <t>253-7_025</t>
  </si>
  <si>
    <t>254-7_026</t>
  </si>
  <si>
    <t>255-7_034</t>
  </si>
  <si>
    <t>256-7_035</t>
  </si>
  <si>
    <t>257-7_036</t>
  </si>
  <si>
    <t>258-7_045</t>
  </si>
  <si>
    <t>259-7_046</t>
  </si>
  <si>
    <t>260-7_056</t>
  </si>
  <si>
    <t>261-7_123</t>
  </si>
  <si>
    <t>262-7_124</t>
  </si>
  <si>
    <t>263-7_125</t>
  </si>
  <si>
    <t>264-7_126</t>
  </si>
  <si>
    <t>265-7_134</t>
  </si>
  <si>
    <t>266-7_135</t>
  </si>
  <si>
    <t>267-7_136</t>
  </si>
  <si>
    <t>268-7_145</t>
  </si>
  <si>
    <t>269-7_146</t>
  </si>
  <si>
    <t>270-7_156</t>
  </si>
  <si>
    <t>271-7_234</t>
  </si>
  <si>
    <t>272-7_235</t>
  </si>
  <si>
    <t>273-7_236</t>
  </si>
  <si>
    <t>274-7_245</t>
  </si>
  <si>
    <t>275-7_246</t>
  </si>
  <si>
    <t>276-7_256</t>
  </si>
  <si>
    <t>277-7_345</t>
  </si>
  <si>
    <t>278-7_346</t>
  </si>
  <si>
    <t>279-7_356</t>
  </si>
  <si>
    <t>280-7_456</t>
  </si>
</sst>
</file>

<file path=xl/styles.xml><?xml version="1.0" encoding="utf-8"?>
<styleSheet xmlns="http://schemas.openxmlformats.org/spreadsheetml/2006/main">
  <numFmts count="3">
    <numFmt numFmtId="164" formatCode="0.000"/>
    <numFmt numFmtId="165" formatCode="0.000E+00"/>
    <numFmt numFmtId="166" formatCode="0.0000"/>
  </numFmts>
  <fonts count="1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4"/>
      <color theme="0" tint="-0.34998626667073579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184">
    <xf numFmtId="0" fontId="0" fillId="0" borderId="0" xfId="0"/>
    <xf numFmtId="49" fontId="0" fillId="0" borderId="0" xfId="0" applyNumberFormat="1"/>
    <xf numFmtId="0" fontId="0" fillId="0" borderId="0" xfId="0" applyBorder="1"/>
    <xf numFmtId="0" fontId="0" fillId="0" borderId="1" xfId="0" applyBorder="1"/>
    <xf numFmtId="49" fontId="0" fillId="0" borderId="1" xfId="0" applyNumberFormat="1" applyBorder="1"/>
    <xf numFmtId="0" fontId="0" fillId="0" borderId="2" xfId="0" applyBorder="1"/>
    <xf numFmtId="49" fontId="0" fillId="0" borderId="2" xfId="0" applyNumberFormat="1" applyBorder="1"/>
    <xf numFmtId="0" fontId="0" fillId="0" borderId="3" xfId="0" applyBorder="1"/>
    <xf numFmtId="0" fontId="0" fillId="0" borderId="5" xfId="0" applyBorder="1"/>
    <xf numFmtId="0" fontId="0" fillId="0" borderId="4" xfId="0" applyBorder="1"/>
    <xf numFmtId="0" fontId="1" fillId="0" borderId="6" xfId="0" applyFont="1" applyBorder="1"/>
    <xf numFmtId="0" fontId="0" fillId="0" borderId="8" xfId="0" applyBorder="1"/>
    <xf numFmtId="0" fontId="1" fillId="0" borderId="7" xfId="0" applyFont="1" applyBorder="1"/>
    <xf numFmtId="0" fontId="2" fillId="0" borderId="0" xfId="0" applyFont="1"/>
    <xf numFmtId="49" fontId="2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/>
    <xf numFmtId="0" fontId="0" fillId="2" borderId="0" xfId="0" applyFill="1"/>
    <xf numFmtId="0" fontId="1" fillId="0" borderId="9" xfId="0" applyFont="1" applyFill="1" applyBorder="1"/>
    <xf numFmtId="0" fontId="1" fillId="0" borderId="6" xfId="0" applyFont="1" applyFill="1" applyBorder="1"/>
    <xf numFmtId="0" fontId="0" fillId="0" borderId="6" xfId="0" applyBorder="1"/>
    <xf numFmtId="0" fontId="0" fillId="0" borderId="7" xfId="0" applyBorder="1"/>
    <xf numFmtId="0" fontId="1" fillId="0" borderId="6" xfId="0" applyFont="1" applyBorder="1" applyAlignment="1">
      <alignment horizontal="center"/>
    </xf>
    <xf numFmtId="0" fontId="3" fillId="0" borderId="0" xfId="0" applyFont="1"/>
    <xf numFmtId="0" fontId="0" fillId="0" borderId="10" xfId="0" applyBorder="1"/>
    <xf numFmtId="0" fontId="2" fillId="0" borderId="0" xfId="0" applyFont="1" applyBorder="1"/>
    <xf numFmtId="0" fontId="1" fillId="0" borderId="0" xfId="0" applyFont="1" applyBorder="1"/>
    <xf numFmtId="0" fontId="0" fillId="0" borderId="10" xfId="0" applyBorder="1" applyAlignment="1">
      <alignment horizontal="center" vertical="center"/>
    </xf>
    <xf numFmtId="0" fontId="3" fillId="0" borderId="1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0" xfId="0" applyFont="1" applyBorder="1" applyAlignment="1">
      <alignment horizontal="center"/>
    </xf>
    <xf numFmtId="164" fontId="0" fillId="0" borderId="0" xfId="0" applyNumberFormat="1" applyBorder="1"/>
    <xf numFmtId="164" fontId="0" fillId="0" borderId="0" xfId="0" applyNumberFormat="1" applyFont="1" applyBorder="1"/>
    <xf numFmtId="10" fontId="1" fillId="0" borderId="0" xfId="0" applyNumberFormat="1" applyFont="1" applyBorder="1"/>
    <xf numFmtId="0" fontId="1" fillId="0" borderId="0" xfId="0" applyFont="1" applyAlignment="1">
      <alignment horizontal="center"/>
    </xf>
    <xf numFmtId="164" fontId="0" fillId="0" borderId="0" xfId="0" applyNumberFormat="1"/>
    <xf numFmtId="164" fontId="0" fillId="3" borderId="0" xfId="0" applyNumberFormat="1" applyFill="1" applyBorder="1"/>
    <xf numFmtId="164" fontId="0" fillId="5" borderId="0" xfId="0" applyNumberFormat="1" applyFill="1"/>
    <xf numFmtId="0" fontId="0" fillId="3" borderId="0" xfId="0" applyFill="1"/>
    <xf numFmtId="10" fontId="1" fillId="3" borderId="0" xfId="0" applyNumberFormat="1" applyFont="1" applyFill="1" applyBorder="1"/>
    <xf numFmtId="164" fontId="0" fillId="6" borderId="0" xfId="0" applyNumberFormat="1" applyFill="1" applyBorder="1"/>
    <xf numFmtId="11" fontId="0" fillId="0" borderId="0" xfId="0" applyNumberFormat="1"/>
    <xf numFmtId="0" fontId="0" fillId="0" borderId="11" xfId="0" applyBorder="1"/>
    <xf numFmtId="11" fontId="0" fillId="0" borderId="12" xfId="0" applyNumberFormat="1" applyBorder="1"/>
    <xf numFmtId="0" fontId="0" fillId="0" borderId="12" xfId="0" applyBorder="1"/>
    <xf numFmtId="0" fontId="0" fillId="0" borderId="9" xfId="0" applyBorder="1"/>
    <xf numFmtId="0" fontId="0" fillId="0" borderId="13" xfId="0" applyBorder="1"/>
    <xf numFmtId="11" fontId="0" fillId="0" borderId="0" xfId="0" applyNumberFormat="1" applyBorder="1"/>
    <xf numFmtId="0" fontId="1" fillId="0" borderId="8" xfId="0" applyFont="1" applyBorder="1"/>
    <xf numFmtId="0" fontId="0" fillId="0" borderId="14" xfId="0" applyBorder="1"/>
    <xf numFmtId="0" fontId="0" fillId="0" borderId="0" xfId="0" applyFill="1" applyBorder="1"/>
    <xf numFmtId="0" fontId="1" fillId="0" borderId="10" xfId="0" applyFont="1" applyBorder="1"/>
    <xf numFmtId="0" fontId="4" fillId="0" borderId="0" xfId="0" applyFont="1" applyBorder="1"/>
    <xf numFmtId="0" fontId="1" fillId="0" borderId="16" xfId="0" applyFont="1" applyBorder="1"/>
    <xf numFmtId="0" fontId="1" fillId="0" borderId="15" xfId="0" applyFont="1" applyBorder="1" applyAlignment="1">
      <alignment horizontal="right"/>
    </xf>
    <xf numFmtId="164" fontId="0" fillId="0" borderId="0" xfId="0" applyNumberFormat="1" applyBorder="1" applyAlignment="1">
      <alignment horizontal="right"/>
    </xf>
    <xf numFmtId="0" fontId="5" fillId="0" borderId="0" xfId="0" applyFont="1"/>
    <xf numFmtId="0" fontId="6" fillId="0" borderId="0" xfId="0" applyFont="1" applyBorder="1"/>
    <xf numFmtId="0" fontId="5" fillId="0" borderId="0" xfId="0" applyFont="1" applyBorder="1"/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Border="1"/>
    <xf numFmtId="164" fontId="7" fillId="4" borderId="0" xfId="0" applyNumberFormat="1" applyFont="1" applyFill="1" applyBorder="1"/>
    <xf numFmtId="164" fontId="8" fillId="0" borderId="0" xfId="0" applyNumberFormat="1" applyFont="1" applyFill="1" applyBorder="1"/>
    <xf numFmtId="0" fontId="3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10" fillId="0" borderId="7" xfId="0" applyFont="1" applyBorder="1"/>
    <xf numFmtId="164" fontId="8" fillId="4" borderId="0" xfId="0" applyNumberFormat="1" applyFont="1" applyFill="1" applyBorder="1"/>
    <xf numFmtId="164" fontId="8" fillId="5" borderId="0" xfId="0" applyNumberFormat="1" applyFont="1" applyFill="1"/>
    <xf numFmtId="164" fontId="8" fillId="0" borderId="0" xfId="0" applyNumberFormat="1" applyFont="1" applyBorder="1" applyAlignment="1">
      <alignment horizontal="right"/>
    </xf>
    <xf numFmtId="164" fontId="8" fillId="0" borderId="0" xfId="0" applyNumberFormat="1" applyFont="1" applyBorder="1"/>
    <xf numFmtId="0" fontId="8" fillId="3" borderId="0" xfId="0" applyFont="1" applyFill="1"/>
    <xf numFmtId="164" fontId="8" fillId="3" borderId="0" xfId="0" applyNumberFormat="1" applyFont="1" applyFill="1" applyBorder="1"/>
    <xf numFmtId="10" fontId="10" fillId="3" borderId="0" xfId="0" applyNumberFormat="1" applyFont="1" applyFill="1" applyBorder="1"/>
    <xf numFmtId="0" fontId="8" fillId="0" borderId="0" xfId="0" applyFont="1"/>
    <xf numFmtId="164" fontId="8" fillId="0" borderId="0" xfId="0" applyNumberFormat="1" applyFont="1"/>
    <xf numFmtId="164" fontId="1" fillId="0" borderId="0" xfId="0" applyNumberFormat="1" applyFont="1" applyAlignment="1">
      <alignment horizontal="center"/>
    </xf>
    <xf numFmtId="11" fontId="5" fillId="0" borderId="0" xfId="0" applyNumberFormat="1" applyFont="1" applyBorder="1" applyAlignment="1">
      <alignment horizontal="right"/>
    </xf>
    <xf numFmtId="10" fontId="0" fillId="0" borderId="0" xfId="0" applyNumberFormat="1" applyBorder="1"/>
    <xf numFmtId="0" fontId="0" fillId="7" borderId="0" xfId="0" applyFill="1"/>
    <xf numFmtId="164" fontId="0" fillId="7" borderId="0" xfId="0" applyNumberFormat="1" applyFill="1"/>
    <xf numFmtId="49" fontId="1" fillId="0" borderId="7" xfId="0" applyNumberFormat="1" applyFont="1" applyBorder="1" applyAlignment="1">
      <alignment horizontal="center" vertical="center"/>
    </xf>
    <xf numFmtId="164" fontId="1" fillId="0" borderId="2" xfId="0" applyNumberFormat="1" applyFont="1" applyBorder="1" applyAlignment="1">
      <alignment horizontal="center"/>
    </xf>
    <xf numFmtId="0" fontId="0" fillId="0" borderId="17" xfId="0" applyBorder="1"/>
    <xf numFmtId="0" fontId="0" fillId="0" borderId="17" xfId="0" applyBorder="1" applyAlignment="1">
      <alignment horizontal="center" vertical="center"/>
    </xf>
    <xf numFmtId="0" fontId="3" fillId="0" borderId="17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164" fontId="0" fillId="0" borderId="0" xfId="0" applyNumberFormat="1" applyFill="1"/>
    <xf numFmtId="0" fontId="1" fillId="9" borderId="18" xfId="0" applyFont="1" applyFill="1" applyBorder="1"/>
    <xf numFmtId="0" fontId="1" fillId="10" borderId="18" xfId="0" applyFont="1" applyFill="1" applyBorder="1"/>
    <xf numFmtId="164" fontId="0" fillId="9" borderId="18" xfId="0" applyNumberFormat="1" applyFill="1" applyBorder="1"/>
    <xf numFmtId="164" fontId="0" fillId="10" borderId="18" xfId="0" applyNumberFormat="1" applyFill="1" applyBorder="1"/>
    <xf numFmtId="164" fontId="1" fillId="9" borderId="18" xfId="0" applyNumberFormat="1" applyFont="1" applyFill="1" applyBorder="1"/>
    <xf numFmtId="164" fontId="1" fillId="6" borderId="18" xfId="0" applyNumberFormat="1" applyFont="1" applyFill="1" applyBorder="1"/>
    <xf numFmtId="164" fontId="1" fillId="10" borderId="18" xfId="0" applyNumberFormat="1" applyFont="1" applyFill="1" applyBorder="1"/>
    <xf numFmtId="0" fontId="0" fillId="9" borderId="18" xfId="0" applyFill="1" applyBorder="1"/>
    <xf numFmtId="0" fontId="0" fillId="10" borderId="18" xfId="0" applyFill="1" applyBorder="1"/>
    <xf numFmtId="0" fontId="0" fillId="6" borderId="18" xfId="0" applyFill="1" applyBorder="1"/>
    <xf numFmtId="0" fontId="1" fillId="0" borderId="13" xfId="0" applyFont="1" applyBorder="1"/>
    <xf numFmtId="0" fontId="11" fillId="0" borderId="7" xfId="0" applyFont="1" applyBorder="1"/>
    <xf numFmtId="164" fontId="7" fillId="0" borderId="0" xfId="0" applyNumberFormat="1" applyFont="1" applyBorder="1"/>
    <xf numFmtId="0" fontId="7" fillId="3" borderId="0" xfId="0" applyFont="1" applyFill="1"/>
    <xf numFmtId="164" fontId="7" fillId="3" borderId="0" xfId="0" applyNumberFormat="1" applyFont="1" applyFill="1" applyBorder="1"/>
    <xf numFmtId="10" fontId="11" fillId="3" borderId="0" xfId="0" applyNumberFormat="1" applyFont="1" applyFill="1" applyBorder="1"/>
    <xf numFmtId="0" fontId="7" fillId="0" borderId="0" xfId="0" applyFont="1"/>
    <xf numFmtId="164" fontId="7" fillId="5" borderId="0" xfId="0" applyNumberFormat="1" applyFont="1" applyFill="1"/>
    <xf numFmtId="0" fontId="0" fillId="0" borderId="21" xfId="0" applyBorder="1"/>
    <xf numFmtId="0" fontId="11" fillId="0" borderId="0" xfId="0" applyFont="1" applyFill="1" applyBorder="1"/>
    <xf numFmtId="0" fontId="0" fillId="11" borderId="0" xfId="0" applyFill="1"/>
    <xf numFmtId="10" fontId="0" fillId="0" borderId="0" xfId="0" applyNumberFormat="1"/>
    <xf numFmtId="0" fontId="8" fillId="0" borderId="0" xfId="0" applyFont="1" applyBorder="1"/>
    <xf numFmtId="0" fontId="14" fillId="12" borderId="0" xfId="0" applyFont="1" applyFill="1" applyBorder="1"/>
    <xf numFmtId="0" fontId="0" fillId="12" borderId="0" xfId="0" applyFill="1" applyBorder="1"/>
    <xf numFmtId="0" fontId="12" fillId="6" borderId="18" xfId="0" applyFont="1" applyFill="1" applyBorder="1"/>
    <xf numFmtId="164" fontId="13" fillId="6" borderId="18" xfId="0" applyNumberFormat="1" applyFont="1" applyFill="1" applyBorder="1"/>
    <xf numFmtId="0" fontId="13" fillId="0" borderId="0" xfId="0" applyFont="1"/>
    <xf numFmtId="0" fontId="12" fillId="6" borderId="16" xfId="0" applyFont="1" applyFill="1" applyBorder="1"/>
    <xf numFmtId="164" fontId="13" fillId="6" borderId="10" xfId="0" applyNumberFormat="1" applyFont="1" applyFill="1" applyBorder="1"/>
    <xf numFmtId="0" fontId="12" fillId="8" borderId="18" xfId="0" applyFont="1" applyFill="1" applyBorder="1"/>
    <xf numFmtId="164" fontId="13" fillId="8" borderId="18" xfId="0" applyNumberFormat="1" applyFont="1" applyFill="1" applyBorder="1"/>
    <xf numFmtId="0" fontId="13" fillId="8" borderId="0" xfId="0" applyFont="1" applyFill="1"/>
    <xf numFmtId="165" fontId="0" fillId="4" borderId="0" xfId="0" applyNumberFormat="1" applyFill="1" applyBorder="1"/>
    <xf numFmtId="165" fontId="7" fillId="4" borderId="0" xfId="0" applyNumberFormat="1" applyFont="1" applyFill="1" applyBorder="1"/>
    <xf numFmtId="165" fontId="0" fillId="6" borderId="0" xfId="0" applyNumberFormat="1" applyFill="1" applyBorder="1"/>
    <xf numFmtId="165" fontId="8" fillId="6" borderId="0" xfId="0" applyNumberFormat="1" applyFont="1" applyFill="1" applyBorder="1"/>
    <xf numFmtId="0" fontId="0" fillId="0" borderId="0" xfId="0" applyFont="1" applyBorder="1"/>
    <xf numFmtId="0" fontId="7" fillId="0" borderId="0" xfId="0" applyFont="1" applyBorder="1"/>
    <xf numFmtId="49" fontId="10" fillId="0" borderId="7" xfId="0" applyNumberFormat="1" applyFont="1" applyBorder="1"/>
    <xf numFmtId="0" fontId="12" fillId="8" borderId="20" xfId="0" applyFont="1" applyFill="1" applyBorder="1"/>
    <xf numFmtId="164" fontId="13" fillId="8" borderId="20" xfId="0" applyNumberFormat="1" applyFont="1" applyFill="1" applyBorder="1"/>
    <xf numFmtId="164" fontId="1" fillId="8" borderId="18" xfId="0" applyNumberFormat="1" applyFont="1" applyFill="1" applyBorder="1"/>
    <xf numFmtId="0" fontId="12" fillId="8" borderId="19" xfId="0" applyFont="1" applyFill="1" applyBorder="1"/>
    <xf numFmtId="164" fontId="13" fillId="8" borderId="19" xfId="0" applyNumberFormat="1" applyFont="1" applyFill="1" applyBorder="1"/>
    <xf numFmtId="0" fontId="0" fillId="0" borderId="22" xfId="0" applyBorder="1"/>
    <xf numFmtId="0" fontId="0" fillId="0" borderId="22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49" fontId="11" fillId="0" borderId="7" xfId="0" applyNumberFormat="1" applyFont="1" applyBorder="1" applyAlignment="1">
      <alignment horizontal="center" vertical="center"/>
    </xf>
    <xf numFmtId="164" fontId="7" fillId="0" borderId="0" xfId="0" applyNumberFormat="1" applyFont="1" applyBorder="1" applyAlignment="1">
      <alignment horizontal="right"/>
    </xf>
    <xf numFmtId="164" fontId="1" fillId="0" borderId="22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0" fillId="11" borderId="0" xfId="0" applyNumberFormat="1" applyFill="1"/>
    <xf numFmtId="0" fontId="1" fillId="0" borderId="0" xfId="0" applyFont="1" applyBorder="1" applyAlignment="1">
      <alignment horizontal="right"/>
    </xf>
    <xf numFmtId="164" fontId="1" fillId="0" borderId="0" xfId="0" applyNumberFormat="1" applyFont="1" applyBorder="1" applyAlignment="1">
      <alignment horizontal="center"/>
    </xf>
    <xf numFmtId="0" fontId="11" fillId="8" borderId="18" xfId="0" applyFont="1" applyFill="1" applyBorder="1"/>
    <xf numFmtId="164" fontId="7" fillId="8" borderId="18" xfId="0" applyNumberFormat="1" applyFont="1" applyFill="1" applyBorder="1"/>
    <xf numFmtId="0" fontId="7" fillId="8" borderId="0" xfId="0" applyFont="1" applyFill="1"/>
    <xf numFmtId="164" fontId="11" fillId="8" borderId="18" xfId="0" applyNumberFormat="1" applyFont="1" applyFill="1" applyBorder="1"/>
    <xf numFmtId="0" fontId="11" fillId="8" borderId="19" xfId="0" applyFont="1" applyFill="1" applyBorder="1"/>
    <xf numFmtId="164" fontId="7" fillId="8" borderId="19" xfId="0" applyNumberFormat="1" applyFont="1" applyFill="1" applyBorder="1"/>
    <xf numFmtId="0" fontId="11" fillId="8" borderId="20" xfId="0" applyFont="1" applyFill="1" applyBorder="1"/>
    <xf numFmtId="164" fontId="7" fillId="8" borderId="20" xfId="0" applyNumberFormat="1" applyFont="1" applyFill="1" applyBorder="1"/>
    <xf numFmtId="2" fontId="0" fillId="0" borderId="0" xfId="0" applyNumberFormat="1"/>
    <xf numFmtId="0" fontId="1" fillId="0" borderId="2" xfId="0" applyFont="1" applyFill="1" applyBorder="1" applyAlignment="1">
      <alignment horizontal="center"/>
    </xf>
    <xf numFmtId="166" fontId="1" fillId="0" borderId="0" xfId="0" applyNumberFormat="1" applyFont="1" applyAlignment="1">
      <alignment horizontal="center" vertical="center"/>
    </xf>
    <xf numFmtId="0" fontId="18" fillId="0" borderId="0" xfId="0" applyFont="1"/>
    <xf numFmtId="0" fontId="1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4" fontId="1" fillId="0" borderId="0" xfId="0" applyNumberFormat="1" applyFont="1" applyFill="1" applyBorder="1" applyAlignment="1">
      <alignment horizontal="center" vertical="center"/>
    </xf>
    <xf numFmtId="166" fontId="1" fillId="0" borderId="2" xfId="0" applyNumberFormat="1" applyFont="1" applyBorder="1" applyAlignment="1">
      <alignment horizontal="center" vertical="center"/>
    </xf>
    <xf numFmtId="0" fontId="0" fillId="0" borderId="0" xfId="0" applyFill="1"/>
    <xf numFmtId="0" fontId="0" fillId="13" borderId="0" xfId="0" applyFill="1"/>
    <xf numFmtId="0" fontId="0" fillId="14" borderId="0" xfId="0" applyFill="1"/>
    <xf numFmtId="0" fontId="0" fillId="1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" fillId="0" borderId="0" xfId="0" applyFont="1" applyAlignment="1"/>
    <xf numFmtId="0" fontId="1" fillId="0" borderId="0" xfId="0" applyFont="1" applyAlignment="1">
      <alignment horizontal="center"/>
    </xf>
    <xf numFmtId="0" fontId="0" fillId="0" borderId="0" xfId="0" applyBorder="1" applyAlignment="1">
      <alignment horizontal="right"/>
    </xf>
    <xf numFmtId="0" fontId="1" fillId="0" borderId="0" xfId="0" applyFont="1" applyBorder="1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center" vertical="center" textRotation="90" wrapText="1"/>
    </xf>
    <xf numFmtId="0" fontId="0" fillId="0" borderId="0" xfId="0" applyAlignment="1">
      <alignment horizontal="right"/>
    </xf>
    <xf numFmtId="0" fontId="17" fillId="0" borderId="23" xfId="0" applyFont="1" applyBorder="1" applyAlignment="1">
      <alignment horizontal="center" vertical="center"/>
    </xf>
    <xf numFmtId="0" fontId="0" fillId="0" borderId="0" xfId="0" applyFill="1" applyBorder="1" applyAlignment="1">
      <alignment horizontal="right"/>
    </xf>
    <xf numFmtId="0" fontId="0" fillId="0" borderId="0" xfId="0" applyAlignment="1"/>
    <xf numFmtId="0" fontId="0" fillId="0" borderId="0" xfId="0" applyAlignment="1">
      <alignment horizontal="left"/>
    </xf>
    <xf numFmtId="49" fontId="2" fillId="0" borderId="0" xfId="0" applyNumberFormat="1" applyFont="1" applyBorder="1" applyAlignment="1">
      <alignment horizontal="left"/>
    </xf>
    <xf numFmtId="0" fontId="0" fillId="0" borderId="0" xfId="0" applyBorder="1" applyAlignment="1">
      <alignment horizontal="left"/>
    </xf>
    <xf numFmtId="1" fontId="0" fillId="0" borderId="0" xfId="0" applyNumberFormat="1"/>
  </cellXfs>
  <cellStyles count="1">
    <cellStyle name="Standard" xfId="0" builtinId="0"/>
  </cellStyles>
  <dxfs count="3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Matrix_Konfiguration!$M$13:$M$292</c:f>
              <c:numCache>
                <c:formatCode>General</c:formatCode>
                <c:ptCount val="2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</c:numCache>
            </c:numRef>
          </c:val>
        </c:ser>
        <c:marker val="1"/>
        <c:axId val="255808256"/>
        <c:axId val="255809792"/>
      </c:lineChart>
      <c:catAx>
        <c:axId val="255808256"/>
        <c:scaling>
          <c:orientation val="minMax"/>
        </c:scaling>
        <c:axPos val="b"/>
        <c:tickLblPos val="nextTo"/>
        <c:crossAx val="255809792"/>
        <c:crosses val="autoZero"/>
        <c:auto val="1"/>
        <c:lblAlgn val="ctr"/>
        <c:lblOffset val="100"/>
      </c:catAx>
      <c:valAx>
        <c:axId val="255809792"/>
        <c:scaling>
          <c:orientation val="minMax"/>
        </c:scaling>
        <c:axPos val="l"/>
        <c:majorGridlines/>
        <c:numFmt formatCode="General" sourceLinked="1"/>
        <c:tickLblPos val="nextTo"/>
        <c:crossAx val="25580825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Matrix_Konfiguration!$K$13:$K$292</c:f>
              <c:numCache>
                <c:formatCode>0.000</c:formatCode>
                <c:ptCount val="2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</c:numCache>
            </c:numRef>
          </c:val>
        </c:ser>
        <c:marker val="1"/>
        <c:axId val="251135488"/>
        <c:axId val="251137024"/>
      </c:lineChart>
      <c:catAx>
        <c:axId val="251135488"/>
        <c:scaling>
          <c:orientation val="minMax"/>
        </c:scaling>
        <c:axPos val="b"/>
        <c:tickLblPos val="nextTo"/>
        <c:crossAx val="251137024"/>
        <c:crosses val="autoZero"/>
        <c:auto val="1"/>
        <c:lblAlgn val="ctr"/>
        <c:lblOffset val="100"/>
      </c:catAx>
      <c:valAx>
        <c:axId val="251137024"/>
        <c:scaling>
          <c:orientation val="minMax"/>
        </c:scaling>
        <c:axPos val="l"/>
        <c:majorGridlines/>
        <c:numFmt formatCode="0.000" sourceLinked="1"/>
        <c:tickLblPos val="nextTo"/>
        <c:crossAx val="25113548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742950</xdr:colOff>
      <xdr:row>3</xdr:row>
      <xdr:rowOff>0</xdr:rowOff>
    </xdr:from>
    <xdr:to>
      <xdr:col>7</xdr:col>
      <xdr:colOff>0</xdr:colOff>
      <xdr:row>6</xdr:row>
      <xdr:rowOff>180975</xdr:rowOff>
    </xdr:to>
    <xdr:cxnSp macro="">
      <xdr:nvCxnSpPr>
        <xdr:cNvPr id="3" name="Gerade Verbindung mit Pfeil 2"/>
        <xdr:cNvCxnSpPr/>
      </xdr:nvCxnSpPr>
      <xdr:spPr>
        <a:xfrm>
          <a:off x="3790950" y="571500"/>
          <a:ext cx="1543050" cy="7524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3</xdr:row>
      <xdr:rowOff>0</xdr:rowOff>
    </xdr:from>
    <xdr:to>
      <xdr:col>7</xdr:col>
      <xdr:colOff>0</xdr:colOff>
      <xdr:row>6</xdr:row>
      <xdr:rowOff>180975</xdr:rowOff>
    </xdr:to>
    <xdr:cxnSp macro="">
      <xdr:nvCxnSpPr>
        <xdr:cNvPr id="6" name="Gerade Verbindung mit Pfeil 5"/>
        <xdr:cNvCxnSpPr/>
      </xdr:nvCxnSpPr>
      <xdr:spPr>
        <a:xfrm>
          <a:off x="1533525" y="571500"/>
          <a:ext cx="2905125" cy="7524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752475</xdr:colOff>
      <xdr:row>6</xdr:row>
      <xdr:rowOff>180975</xdr:rowOff>
    </xdr:from>
    <xdr:to>
      <xdr:col>6</xdr:col>
      <xdr:colOff>752475</xdr:colOff>
      <xdr:row>11</xdr:row>
      <xdr:rowOff>180975</xdr:rowOff>
    </xdr:to>
    <xdr:cxnSp macro="">
      <xdr:nvCxnSpPr>
        <xdr:cNvPr id="7" name="Gerade Verbindung mit Pfeil 6"/>
        <xdr:cNvCxnSpPr/>
      </xdr:nvCxnSpPr>
      <xdr:spPr>
        <a:xfrm flipV="1">
          <a:off x="1514475" y="1323975"/>
          <a:ext cx="3810000" cy="9525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318879</xdr:colOff>
      <xdr:row>8</xdr:row>
      <xdr:rowOff>44726</xdr:rowOff>
    </xdr:from>
    <xdr:ext cx="432939" cy="264560"/>
    <xdr:sp macro="" textlink="">
      <xdr:nvSpPr>
        <xdr:cNvPr id="10" name="Textfeld 9"/>
        <xdr:cNvSpPr txBox="1"/>
      </xdr:nvSpPr>
      <xdr:spPr>
        <a:xfrm rot="20526684">
          <a:off x="2604879" y="1577009"/>
          <a:ext cx="4329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de-DE" sz="1100" b="1"/>
            <a:t>d_i0</a:t>
          </a:r>
        </a:p>
      </xdr:txBody>
    </xdr:sp>
    <xdr:clientData/>
  </xdr:oneCellAnchor>
  <xdr:twoCellAnchor>
    <xdr:from>
      <xdr:col>2</xdr:col>
      <xdr:colOff>342900</xdr:colOff>
      <xdr:row>23</xdr:row>
      <xdr:rowOff>26817</xdr:rowOff>
    </xdr:from>
    <xdr:to>
      <xdr:col>2</xdr:col>
      <xdr:colOff>388619</xdr:colOff>
      <xdr:row>23</xdr:row>
      <xdr:rowOff>72536</xdr:rowOff>
    </xdr:to>
    <xdr:sp macro="" textlink="">
      <xdr:nvSpPr>
        <xdr:cNvPr id="11" name="Ellipse 10"/>
        <xdr:cNvSpPr/>
      </xdr:nvSpPr>
      <xdr:spPr>
        <a:xfrm>
          <a:off x="1866900" y="4420223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187569</xdr:colOff>
      <xdr:row>21</xdr:row>
      <xdr:rowOff>25352</xdr:rowOff>
    </xdr:from>
    <xdr:to>
      <xdr:col>3</xdr:col>
      <xdr:colOff>233288</xdr:colOff>
      <xdr:row>21</xdr:row>
      <xdr:rowOff>71071</xdr:rowOff>
    </xdr:to>
    <xdr:sp macro="" textlink="">
      <xdr:nvSpPr>
        <xdr:cNvPr id="12" name="Ellipse 11"/>
        <xdr:cNvSpPr/>
      </xdr:nvSpPr>
      <xdr:spPr>
        <a:xfrm>
          <a:off x="2473569" y="4033179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237392</xdr:colOff>
      <xdr:row>24</xdr:row>
      <xdr:rowOff>75175</xdr:rowOff>
    </xdr:from>
    <xdr:to>
      <xdr:col>3</xdr:col>
      <xdr:colOff>283111</xdr:colOff>
      <xdr:row>24</xdr:row>
      <xdr:rowOff>120894</xdr:rowOff>
    </xdr:to>
    <xdr:sp macro="" textlink="">
      <xdr:nvSpPr>
        <xdr:cNvPr id="13" name="Ellipse 12"/>
        <xdr:cNvSpPr/>
      </xdr:nvSpPr>
      <xdr:spPr>
        <a:xfrm>
          <a:off x="2523392" y="4654502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de-DE" sz="1100"/>
            <a:t>sasdas</a:t>
          </a:r>
        </a:p>
      </xdr:txBody>
    </xdr:sp>
    <xdr:clientData/>
  </xdr:twoCellAnchor>
  <xdr:twoCellAnchor>
    <xdr:from>
      <xdr:col>4</xdr:col>
      <xdr:colOff>433754</xdr:colOff>
      <xdr:row>23</xdr:row>
      <xdr:rowOff>59056</xdr:rowOff>
    </xdr:from>
    <xdr:to>
      <xdr:col>4</xdr:col>
      <xdr:colOff>479473</xdr:colOff>
      <xdr:row>23</xdr:row>
      <xdr:rowOff>104775</xdr:rowOff>
    </xdr:to>
    <xdr:sp macro="" textlink="">
      <xdr:nvSpPr>
        <xdr:cNvPr id="14" name="Ellipse 13"/>
        <xdr:cNvSpPr/>
      </xdr:nvSpPr>
      <xdr:spPr>
        <a:xfrm>
          <a:off x="3481754" y="4447883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2</xdr:col>
      <xdr:colOff>1</xdr:colOff>
      <xdr:row>11</xdr:row>
      <xdr:rowOff>190499</xdr:rowOff>
    </xdr:from>
    <xdr:to>
      <xdr:col>2</xdr:col>
      <xdr:colOff>365761</xdr:colOff>
      <xdr:row>23</xdr:row>
      <xdr:rowOff>26816</xdr:rowOff>
    </xdr:to>
    <xdr:cxnSp macro="">
      <xdr:nvCxnSpPr>
        <xdr:cNvPr id="15" name="Gerade Verbindung mit Pfeil 14"/>
        <xdr:cNvCxnSpPr>
          <a:endCxn id="11" idx="0"/>
        </xdr:cNvCxnSpPr>
      </xdr:nvCxnSpPr>
      <xdr:spPr>
        <a:xfrm rot="16200000" flipH="1">
          <a:off x="645722" y="3173571"/>
          <a:ext cx="2122317" cy="365760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4645</xdr:colOff>
      <xdr:row>2</xdr:row>
      <xdr:rowOff>195149</xdr:rowOff>
    </xdr:from>
    <xdr:to>
      <xdr:col>2</xdr:col>
      <xdr:colOff>349594</xdr:colOff>
      <xdr:row>23</xdr:row>
      <xdr:rowOff>33512</xdr:rowOff>
    </xdr:to>
    <xdr:cxnSp macro="">
      <xdr:nvCxnSpPr>
        <xdr:cNvPr id="19" name="Gerade Verbindung mit Pfeil 18"/>
        <xdr:cNvCxnSpPr>
          <a:endCxn id="11" idx="1"/>
        </xdr:cNvCxnSpPr>
      </xdr:nvCxnSpPr>
      <xdr:spPr>
        <a:xfrm rot="16200000" flipH="1">
          <a:off x="-222958" y="2327752"/>
          <a:ext cx="3848156" cy="344949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381924</xdr:colOff>
      <xdr:row>2</xdr:row>
      <xdr:rowOff>195149</xdr:rowOff>
    </xdr:from>
    <xdr:to>
      <xdr:col>4</xdr:col>
      <xdr:colOff>757354</xdr:colOff>
      <xdr:row>23</xdr:row>
      <xdr:rowOff>33512</xdr:rowOff>
    </xdr:to>
    <xdr:cxnSp macro="">
      <xdr:nvCxnSpPr>
        <xdr:cNvPr id="21" name="Gerade Verbindung mit Pfeil 20"/>
        <xdr:cNvCxnSpPr>
          <a:endCxn id="11" idx="7"/>
        </xdr:cNvCxnSpPr>
      </xdr:nvCxnSpPr>
      <xdr:spPr>
        <a:xfrm rot="5400000">
          <a:off x="931561" y="1550512"/>
          <a:ext cx="3848156" cy="1899430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oneCellAnchor>
    <xdr:from>
      <xdr:col>3</xdr:col>
      <xdr:colOff>337038</xdr:colOff>
      <xdr:row>20</xdr:row>
      <xdr:rowOff>109904</xdr:rowOff>
    </xdr:from>
    <xdr:ext cx="967957" cy="264560"/>
    <xdr:sp macro="" textlink="">
      <xdr:nvSpPr>
        <xdr:cNvPr id="26" name="Textfeld 25"/>
        <xdr:cNvSpPr txBox="1"/>
      </xdr:nvSpPr>
      <xdr:spPr>
        <a:xfrm>
          <a:off x="2623038" y="3927231"/>
          <a:ext cx="96795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de-DE" sz="1100"/>
            <a:t>Antennen A_j</a:t>
          </a:r>
        </a:p>
      </xdr:txBody>
    </xdr:sp>
    <xdr:clientData/>
  </xdr:oneCellAnchor>
  <xdr:oneCellAnchor>
    <xdr:from>
      <xdr:col>3</xdr:col>
      <xdr:colOff>240730</xdr:colOff>
      <xdr:row>12</xdr:row>
      <xdr:rowOff>88089</xdr:rowOff>
    </xdr:from>
    <xdr:ext cx="264560" cy="432939"/>
    <xdr:sp macro="" textlink="">
      <xdr:nvSpPr>
        <xdr:cNvPr id="27" name="Textfeld 26"/>
        <xdr:cNvSpPr txBox="1"/>
      </xdr:nvSpPr>
      <xdr:spPr>
        <a:xfrm rot="17792813">
          <a:off x="2442540" y="2466562"/>
          <a:ext cx="4329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de-DE" sz="1100" b="1"/>
            <a:t>r_ij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76200</xdr:colOff>
      <xdr:row>3</xdr:row>
      <xdr:rowOff>47625</xdr:rowOff>
    </xdr:from>
    <xdr:to>
      <xdr:col>23</xdr:col>
      <xdr:colOff>76200</xdr:colOff>
      <xdr:row>17</xdr:row>
      <xdr:rowOff>123825</xdr:rowOff>
    </xdr:to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76200</xdr:colOff>
      <xdr:row>17</xdr:row>
      <xdr:rowOff>152400</xdr:rowOff>
    </xdr:from>
    <xdr:to>
      <xdr:col>23</xdr:col>
      <xdr:colOff>76200</xdr:colOff>
      <xdr:row>32</xdr:row>
      <xdr:rowOff>38100</xdr:rowOff>
    </xdr:to>
    <xdr:graphicFrame macro="">
      <xdr:nvGraphicFramePr>
        <xdr:cNvPr id="7" name="Diagramm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AA96"/>
  <sheetViews>
    <sheetView topLeftCell="F63" zoomScale="115" zoomScaleNormal="115" workbookViewId="0">
      <selection activeCell="L89" sqref="L89:L96"/>
    </sheetView>
  </sheetViews>
  <sheetFormatPr baseColWidth="10" defaultRowHeight="15"/>
  <cols>
    <col min="6" max="7" width="4.7109375" customWidth="1"/>
    <col min="8" max="8" width="5.42578125" bestFit="1" customWidth="1"/>
  </cols>
  <sheetData>
    <row r="1" spans="2:27">
      <c r="B1" s="171" t="s">
        <v>6</v>
      </c>
      <c r="C1" s="171"/>
      <c r="D1" s="171"/>
      <c r="E1" s="171"/>
      <c r="G1" s="7"/>
    </row>
    <row r="2" spans="2:27">
      <c r="G2" s="7"/>
    </row>
    <row r="3" spans="2:27" ht="15.75" thickBot="1">
      <c r="B3" s="1" t="s">
        <v>0</v>
      </c>
      <c r="C3" s="3"/>
      <c r="D3" s="3"/>
      <c r="E3" s="4" t="s">
        <v>1</v>
      </c>
      <c r="G3" s="7"/>
      <c r="H3" t="s">
        <v>32</v>
      </c>
    </row>
    <row r="4" spans="2:27">
      <c r="B4" s="5"/>
      <c r="C4" s="2"/>
      <c r="D4" s="2"/>
      <c r="E4" s="2"/>
      <c r="G4" s="7"/>
      <c r="I4">
        <v>0.08</v>
      </c>
      <c r="J4" t="s">
        <v>33</v>
      </c>
    </row>
    <row r="5" spans="2:27">
      <c r="B5" s="5"/>
      <c r="C5" s="2"/>
      <c r="G5" s="7"/>
    </row>
    <row r="6" spans="2:27">
      <c r="B6" s="5"/>
      <c r="C6" s="2"/>
      <c r="G6" s="7"/>
      <c r="H6" s="170" t="s">
        <v>5</v>
      </c>
      <c r="I6" s="170"/>
    </row>
    <row r="7" spans="2:27">
      <c r="B7" s="5"/>
      <c r="C7" s="2"/>
      <c r="G7" s="7"/>
      <c r="H7" t="s">
        <v>4</v>
      </c>
      <c r="I7" t="s">
        <v>3</v>
      </c>
    </row>
    <row r="8" spans="2:27">
      <c r="B8" s="5"/>
      <c r="C8" s="2"/>
      <c r="G8" s="7"/>
    </row>
    <row r="9" spans="2:27">
      <c r="B9" s="5"/>
      <c r="C9" s="2"/>
      <c r="G9" s="7"/>
      <c r="H9" t="s">
        <v>29</v>
      </c>
      <c r="I9">
        <v>2.71</v>
      </c>
    </row>
    <row r="10" spans="2:27">
      <c r="B10" s="5"/>
      <c r="C10" s="2"/>
      <c r="G10" s="7"/>
      <c r="H10" t="s">
        <v>30</v>
      </c>
      <c r="I10">
        <v>1.972</v>
      </c>
    </row>
    <row r="11" spans="2:27">
      <c r="B11" s="5"/>
      <c r="C11" s="2"/>
      <c r="G11" s="7"/>
      <c r="H11" t="s">
        <v>31</v>
      </c>
      <c r="I11">
        <v>2.87</v>
      </c>
    </row>
    <row r="12" spans="2:27">
      <c r="B12" s="6" t="s">
        <v>2</v>
      </c>
      <c r="C12" s="2"/>
      <c r="G12" s="7"/>
    </row>
    <row r="13" spans="2:27">
      <c r="G13" s="7"/>
    </row>
    <row r="14" spans="2:27">
      <c r="G14" s="7"/>
    </row>
    <row r="15" spans="2:27">
      <c r="G15" s="7"/>
    </row>
    <row r="16" spans="2:27">
      <c r="G16" s="7"/>
      <c r="H16" t="s">
        <v>34</v>
      </c>
      <c r="T16" s="21" t="s">
        <v>119</v>
      </c>
      <c r="U16" s="21"/>
      <c r="V16" s="21"/>
      <c r="W16" s="21"/>
      <c r="X16" s="21"/>
      <c r="Y16" s="21"/>
      <c r="Z16" s="21"/>
      <c r="AA16" s="21"/>
    </row>
    <row r="17" spans="1:27">
      <c r="G17" s="7"/>
      <c r="J17" t="s">
        <v>7</v>
      </c>
    </row>
    <row r="18" spans="1:27">
      <c r="G18" s="7"/>
      <c r="I18" s="11" t="s">
        <v>8</v>
      </c>
      <c r="J18" s="12">
        <v>1</v>
      </c>
      <c r="K18" s="12">
        <v>2</v>
      </c>
      <c r="L18" s="12">
        <v>3</v>
      </c>
      <c r="M18" s="12">
        <v>4</v>
      </c>
      <c r="N18" s="12">
        <v>5</v>
      </c>
      <c r="O18" s="12">
        <v>6</v>
      </c>
      <c r="P18" s="12">
        <v>7</v>
      </c>
      <c r="Q18" s="12">
        <v>8</v>
      </c>
      <c r="T18" t="s">
        <v>118</v>
      </c>
    </row>
    <row r="19" spans="1:27">
      <c r="B19" s="171" t="s">
        <v>9</v>
      </c>
      <c r="C19" s="171"/>
      <c r="D19" s="171"/>
      <c r="E19" s="171"/>
      <c r="G19" s="7"/>
      <c r="I19" s="18">
        <v>1</v>
      </c>
      <c r="J19">
        <v>1.1200000000000001</v>
      </c>
      <c r="K19">
        <v>2.238</v>
      </c>
      <c r="L19">
        <v>1.843</v>
      </c>
      <c r="M19">
        <v>2.105</v>
      </c>
      <c r="N19">
        <v>1.7609999999999999</v>
      </c>
      <c r="O19">
        <v>2.1280000000000001</v>
      </c>
      <c r="P19">
        <v>1.7030000000000001</v>
      </c>
      <c r="Q19">
        <v>1.46</v>
      </c>
      <c r="T19" s="17">
        <v>1.04</v>
      </c>
      <c r="U19" s="17">
        <v>1.36</v>
      </c>
      <c r="V19" s="17">
        <v>1.89</v>
      </c>
      <c r="W19" s="17">
        <v>1.05</v>
      </c>
      <c r="X19" s="17">
        <v>1.96</v>
      </c>
      <c r="Y19" s="17">
        <v>1.25</v>
      </c>
      <c r="Z19" s="17">
        <v>1.56</v>
      </c>
      <c r="AA19" s="17">
        <v>1.35</v>
      </c>
    </row>
    <row r="20" spans="1:27">
      <c r="G20" s="7"/>
      <c r="I20" s="10">
        <v>2</v>
      </c>
      <c r="J20">
        <v>1.853</v>
      </c>
      <c r="K20">
        <v>2.3260000000000001</v>
      </c>
      <c r="L20">
        <v>2.6880000000000002</v>
      </c>
      <c r="M20">
        <v>1.8320000000000001</v>
      </c>
      <c r="N20">
        <v>2.4300000000000002</v>
      </c>
      <c r="O20">
        <v>1.4490000000000001</v>
      </c>
      <c r="P20">
        <v>1.6990000000000001</v>
      </c>
      <c r="Q20">
        <v>0.91200000000000003</v>
      </c>
      <c r="T20" s="17">
        <v>1.1200000000000001</v>
      </c>
      <c r="U20" s="17">
        <v>2.2400000000000002</v>
      </c>
      <c r="V20" s="17">
        <v>1.84</v>
      </c>
      <c r="W20" s="17">
        <v>2.1</v>
      </c>
      <c r="X20" s="17">
        <v>1.76</v>
      </c>
      <c r="Y20" s="17">
        <v>2.13</v>
      </c>
      <c r="Z20" s="17">
        <v>1.7</v>
      </c>
      <c r="AA20" s="17">
        <v>1.46</v>
      </c>
    </row>
    <row r="21" spans="1:27">
      <c r="G21" s="7"/>
      <c r="I21" s="19">
        <v>3</v>
      </c>
      <c r="J21">
        <v>1.04</v>
      </c>
      <c r="K21">
        <v>1.36</v>
      </c>
      <c r="L21">
        <v>1.89</v>
      </c>
      <c r="M21">
        <v>1.05</v>
      </c>
      <c r="N21">
        <v>1.96</v>
      </c>
      <c r="O21">
        <v>1.25</v>
      </c>
      <c r="P21">
        <v>1.56</v>
      </c>
      <c r="Q21">
        <v>1.35</v>
      </c>
      <c r="T21" s="17">
        <v>1.81</v>
      </c>
      <c r="U21" s="17">
        <v>2.29</v>
      </c>
      <c r="V21" s="17">
        <v>2.66</v>
      </c>
      <c r="W21" s="17">
        <v>1.8</v>
      </c>
      <c r="X21" s="17">
        <v>2.42</v>
      </c>
      <c r="Y21" s="17">
        <v>1.45</v>
      </c>
      <c r="Z21" s="17">
        <v>1.7</v>
      </c>
      <c r="AA21" s="17">
        <v>0.94</v>
      </c>
    </row>
    <row r="22" spans="1:27">
      <c r="G22" s="7"/>
      <c r="I22" s="10">
        <v>0</v>
      </c>
      <c r="J22">
        <v>1.179</v>
      </c>
      <c r="K22">
        <v>1.8140000000000001</v>
      </c>
      <c r="L22">
        <v>2.254</v>
      </c>
      <c r="M22">
        <v>1.581</v>
      </c>
      <c r="N22">
        <v>2.319</v>
      </c>
      <c r="O22">
        <v>1.7709999999999999</v>
      </c>
      <c r="P22">
        <v>1.9750000000000001</v>
      </c>
      <c r="Q22">
        <v>1.494</v>
      </c>
      <c r="T22" s="17">
        <v>1.18</v>
      </c>
      <c r="U22" s="17">
        <v>1.81</v>
      </c>
      <c r="V22" s="17">
        <v>2.2599999999999998</v>
      </c>
      <c r="W22" s="17">
        <v>1.58</v>
      </c>
      <c r="X22" s="17">
        <v>2.3199999999999998</v>
      </c>
      <c r="Y22" s="17">
        <v>1.71</v>
      </c>
      <c r="Z22" s="17">
        <v>1.95</v>
      </c>
      <c r="AA22" s="17">
        <v>1.49</v>
      </c>
    </row>
    <row r="23" spans="1:27">
      <c r="G23" s="7"/>
    </row>
    <row r="24" spans="1:27">
      <c r="G24" s="7"/>
      <c r="H24" t="s">
        <v>35</v>
      </c>
      <c r="T24" t="s">
        <v>117</v>
      </c>
    </row>
    <row r="25" spans="1:27">
      <c r="G25" s="7"/>
      <c r="J25" t="s">
        <v>7</v>
      </c>
      <c r="T25">
        <v>1.1200000000000001</v>
      </c>
      <c r="U25">
        <v>2.238</v>
      </c>
      <c r="V25">
        <v>1.843</v>
      </c>
      <c r="W25">
        <v>2.105</v>
      </c>
      <c r="X25">
        <v>1.7609999999999999</v>
      </c>
      <c r="Y25">
        <v>2.1280000000000001</v>
      </c>
      <c r="Z25">
        <v>1.7030000000000001</v>
      </c>
      <c r="AA25">
        <v>1.46</v>
      </c>
    </row>
    <row r="26" spans="1:27">
      <c r="G26" s="7"/>
      <c r="I26" s="11" t="s">
        <v>8</v>
      </c>
      <c r="J26" s="12">
        <v>1</v>
      </c>
      <c r="K26" s="12">
        <v>2</v>
      </c>
      <c r="L26" s="12">
        <v>3</v>
      </c>
      <c r="M26" s="12">
        <v>4</v>
      </c>
      <c r="N26" s="12">
        <v>5</v>
      </c>
      <c r="O26" s="12">
        <v>6</v>
      </c>
      <c r="P26" s="12">
        <v>7</v>
      </c>
      <c r="Q26" s="12">
        <v>8</v>
      </c>
      <c r="T26">
        <v>1.853</v>
      </c>
      <c r="U26">
        <v>2.3260000000000001</v>
      </c>
      <c r="V26">
        <v>2.6880000000000002</v>
      </c>
      <c r="W26">
        <v>1.8320000000000001</v>
      </c>
      <c r="X26">
        <v>2.4300000000000002</v>
      </c>
      <c r="Y26">
        <v>1.4490000000000001</v>
      </c>
      <c r="Z26">
        <v>1.6990000000000001</v>
      </c>
      <c r="AA26">
        <v>0.91200000000000003</v>
      </c>
    </row>
    <row r="27" spans="1:27" ht="15.75" thickBot="1">
      <c r="A27" s="8"/>
      <c r="B27" s="8"/>
      <c r="C27" s="8"/>
      <c r="D27" s="8"/>
      <c r="E27" s="8"/>
      <c r="F27" s="8"/>
      <c r="G27" s="9"/>
      <c r="I27" s="18">
        <v>1</v>
      </c>
      <c r="J27">
        <f t="shared" ref="J27:Q30" si="0">J19+OFFSET</f>
        <v>1.2000000000000002</v>
      </c>
      <c r="K27">
        <f t="shared" si="0"/>
        <v>2.3180000000000001</v>
      </c>
      <c r="L27">
        <f t="shared" si="0"/>
        <v>1.923</v>
      </c>
      <c r="M27">
        <f t="shared" si="0"/>
        <v>2.1850000000000001</v>
      </c>
      <c r="N27">
        <f t="shared" si="0"/>
        <v>1.841</v>
      </c>
      <c r="O27">
        <f t="shared" si="0"/>
        <v>2.2080000000000002</v>
      </c>
      <c r="P27">
        <f t="shared" si="0"/>
        <v>1.7830000000000001</v>
      </c>
      <c r="Q27">
        <f t="shared" si="0"/>
        <v>1.54</v>
      </c>
      <c r="T27">
        <v>1.04</v>
      </c>
      <c r="U27">
        <v>1.36</v>
      </c>
      <c r="V27">
        <v>1.89</v>
      </c>
      <c r="W27">
        <v>1.05</v>
      </c>
      <c r="X27">
        <v>1.96</v>
      </c>
      <c r="Y27">
        <v>1.25</v>
      </c>
      <c r="Z27">
        <v>1.56</v>
      </c>
      <c r="AA27">
        <v>1.35</v>
      </c>
    </row>
    <row r="28" spans="1:27" ht="15.75" thickTop="1">
      <c r="I28" s="10">
        <v>2</v>
      </c>
      <c r="J28">
        <f t="shared" si="0"/>
        <v>1.9330000000000001</v>
      </c>
      <c r="K28">
        <f t="shared" si="0"/>
        <v>2.4060000000000001</v>
      </c>
      <c r="L28">
        <f t="shared" si="0"/>
        <v>2.7680000000000002</v>
      </c>
      <c r="M28">
        <f t="shared" si="0"/>
        <v>1.9120000000000001</v>
      </c>
      <c r="N28">
        <f t="shared" si="0"/>
        <v>2.5100000000000002</v>
      </c>
      <c r="O28">
        <f t="shared" si="0"/>
        <v>1.5290000000000001</v>
      </c>
      <c r="P28">
        <f t="shared" si="0"/>
        <v>1.7790000000000001</v>
      </c>
      <c r="Q28">
        <f t="shared" si="0"/>
        <v>0.99199999999999999</v>
      </c>
      <c r="T28">
        <v>1.179</v>
      </c>
      <c r="U28">
        <v>1.8140000000000001</v>
      </c>
      <c r="V28">
        <v>2.254</v>
      </c>
      <c r="W28">
        <v>1.581</v>
      </c>
      <c r="X28">
        <v>2.319</v>
      </c>
      <c r="Y28">
        <v>1.7709999999999999</v>
      </c>
      <c r="Z28">
        <v>1.9750000000000001</v>
      </c>
      <c r="AA28">
        <v>1.494</v>
      </c>
    </row>
    <row r="29" spans="1:27">
      <c r="I29" s="10">
        <v>3</v>
      </c>
      <c r="J29">
        <f t="shared" si="0"/>
        <v>1.1200000000000001</v>
      </c>
      <c r="K29">
        <f t="shared" si="0"/>
        <v>1.4400000000000002</v>
      </c>
      <c r="L29">
        <f t="shared" si="0"/>
        <v>1.97</v>
      </c>
      <c r="M29">
        <f t="shared" si="0"/>
        <v>1.1300000000000001</v>
      </c>
      <c r="N29">
        <f t="shared" si="0"/>
        <v>2.04</v>
      </c>
      <c r="O29">
        <f t="shared" si="0"/>
        <v>1.33</v>
      </c>
      <c r="P29">
        <f t="shared" si="0"/>
        <v>1.6400000000000001</v>
      </c>
      <c r="Q29">
        <f t="shared" si="0"/>
        <v>1.4300000000000002</v>
      </c>
    </row>
    <row r="30" spans="1:27">
      <c r="I30" s="10">
        <v>0</v>
      </c>
      <c r="J30">
        <f t="shared" si="0"/>
        <v>1.2590000000000001</v>
      </c>
      <c r="K30">
        <f t="shared" si="0"/>
        <v>1.8940000000000001</v>
      </c>
      <c r="L30">
        <f t="shared" si="0"/>
        <v>2.3340000000000001</v>
      </c>
      <c r="M30">
        <f t="shared" si="0"/>
        <v>1.661</v>
      </c>
      <c r="N30">
        <f t="shared" si="0"/>
        <v>2.399</v>
      </c>
      <c r="O30">
        <f t="shared" si="0"/>
        <v>1.851</v>
      </c>
      <c r="P30">
        <f t="shared" si="0"/>
        <v>2.0550000000000002</v>
      </c>
      <c r="Q30">
        <f t="shared" si="0"/>
        <v>1.5740000000000001</v>
      </c>
    </row>
    <row r="31" spans="1:27">
      <c r="J31" s="16">
        <f>J30*J30</f>
        <v>1.5850810000000004</v>
      </c>
      <c r="K31" s="16">
        <f t="shared" ref="K31:Q31" si="1">K30*K30</f>
        <v>3.5872360000000003</v>
      </c>
      <c r="L31" s="16">
        <f t="shared" si="1"/>
        <v>5.4475560000000005</v>
      </c>
      <c r="M31" s="16">
        <f t="shared" si="1"/>
        <v>2.758921</v>
      </c>
      <c r="N31" s="16">
        <f t="shared" si="1"/>
        <v>5.7552010000000005</v>
      </c>
      <c r="O31" s="16">
        <f t="shared" si="1"/>
        <v>3.4262009999999998</v>
      </c>
      <c r="P31" s="16">
        <f t="shared" si="1"/>
        <v>4.2230250000000007</v>
      </c>
      <c r="Q31" s="16">
        <f t="shared" si="1"/>
        <v>2.4774760000000002</v>
      </c>
    </row>
    <row r="34" spans="9:23">
      <c r="I34" s="16" t="s">
        <v>36</v>
      </c>
    </row>
    <row r="35" spans="9:23">
      <c r="I35">
        <v>0.77</v>
      </c>
      <c r="J35" t="s">
        <v>33</v>
      </c>
    </row>
    <row r="36" spans="9:23">
      <c r="I36" s="16" t="s">
        <v>37</v>
      </c>
    </row>
    <row r="37" spans="9:23">
      <c r="I37">
        <f>SQRT(0.77^2+0.77^2)</f>
        <v>1.0889444430272832</v>
      </c>
      <c r="J37" t="s">
        <v>33</v>
      </c>
    </row>
    <row r="38" spans="9:23">
      <c r="I38" s="16" t="s">
        <v>38</v>
      </c>
    </row>
    <row r="39" spans="9:23">
      <c r="I39">
        <f>SQRT(0.77^2+0.8^2)</f>
        <v>1.1103603018840327</v>
      </c>
      <c r="J39" t="s">
        <v>33</v>
      </c>
    </row>
    <row r="40" spans="9:23">
      <c r="I40" s="16" t="s">
        <v>39</v>
      </c>
    </row>
    <row r="41" spans="9:23">
      <c r="I41">
        <v>0.77</v>
      </c>
      <c r="J41" t="s">
        <v>33</v>
      </c>
    </row>
    <row r="42" spans="9:23">
      <c r="I42" s="16" t="s">
        <v>40</v>
      </c>
    </row>
    <row r="43" spans="9:23">
      <c r="I43">
        <v>0.8</v>
      </c>
      <c r="J43" t="s">
        <v>33</v>
      </c>
    </row>
    <row r="44" spans="9:23">
      <c r="I44" s="16" t="s">
        <v>41</v>
      </c>
    </row>
    <row r="45" spans="9:23">
      <c r="I45">
        <f>SQRT(0.77^2+0.8^2)</f>
        <v>1.1103603018840327</v>
      </c>
      <c r="J45" t="s">
        <v>33</v>
      </c>
    </row>
    <row r="48" spans="9:23">
      <c r="I48" t="s">
        <v>120</v>
      </c>
      <c r="K48" t="s">
        <v>121</v>
      </c>
      <c r="M48" t="s">
        <v>122</v>
      </c>
      <c r="O48" t="s">
        <v>123</v>
      </c>
      <c r="Q48" t="s">
        <v>127</v>
      </c>
      <c r="S48" t="s">
        <v>126</v>
      </c>
      <c r="U48" t="s">
        <v>125</v>
      </c>
      <c r="W48" t="s">
        <v>124</v>
      </c>
    </row>
    <row r="49" spans="8:24">
      <c r="I49">
        <v>-30.441860465116278</v>
      </c>
      <c r="J49">
        <v>-16.380549682875266</v>
      </c>
      <c r="K49" t="e">
        <v>#DIV/0!</v>
      </c>
      <c r="L49" t="e">
        <v>#DIV/0!</v>
      </c>
      <c r="M49">
        <v>-12.232758620689655</v>
      </c>
      <c r="N49">
        <v>3.6724137931034484</v>
      </c>
      <c r="O49">
        <v>-4.4375</v>
      </c>
      <c r="P49">
        <v>-0.34375</v>
      </c>
      <c r="Q49">
        <v>14.42443729903537</v>
      </c>
      <c r="R49">
        <v>-14.260450160771704</v>
      </c>
      <c r="S49">
        <v>38.125</v>
      </c>
      <c r="T49">
        <v>-29.387681159420289</v>
      </c>
      <c r="U49" t="e">
        <v>#DIV/0!</v>
      </c>
      <c r="V49" t="e">
        <v>#DIV/0!</v>
      </c>
      <c r="W49">
        <v>-18.798816568047336</v>
      </c>
      <c r="X49">
        <v>-30.363905325443788</v>
      </c>
    </row>
    <row r="51" spans="8:24">
      <c r="H51" t="s">
        <v>120</v>
      </c>
      <c r="I51">
        <v>-30.441860465116278</v>
      </c>
      <c r="J51">
        <f>I49/J49</f>
        <v>1.8584150748580277</v>
      </c>
      <c r="K51">
        <f>1/J51</f>
        <v>0.53809292311966117</v>
      </c>
      <c r="M51">
        <f>ABS(I49)/ABS(J49)</f>
        <v>1.8584150748580277</v>
      </c>
    </row>
    <row r="52" spans="8:24">
      <c r="H52" t="s">
        <v>121</v>
      </c>
      <c r="I52" t="e">
        <v>#DIV/0!</v>
      </c>
      <c r="J52" t="e">
        <f>K49/L49</f>
        <v>#DIV/0!</v>
      </c>
      <c r="K52" t="e">
        <f t="shared" ref="K52:K58" si="2">1/J52</f>
        <v>#DIV/0!</v>
      </c>
      <c r="M52" t="e">
        <f t="shared" ref="M52" si="3">ABS(I50)/ABS(J50)</f>
        <v>#DIV/0!</v>
      </c>
    </row>
    <row r="53" spans="8:24">
      <c r="H53" t="s">
        <v>122</v>
      </c>
      <c r="I53">
        <v>-12.232758620689655</v>
      </c>
      <c r="J53">
        <f>M49/N49</f>
        <v>-3.3309859154929575</v>
      </c>
      <c r="K53">
        <f t="shared" si="2"/>
        <v>-0.30021141649048627</v>
      </c>
      <c r="M53">
        <f>ABS(M49)/ABS(N49)</f>
        <v>3.3309859154929575</v>
      </c>
    </row>
    <row r="54" spans="8:24">
      <c r="H54" t="s">
        <v>123</v>
      </c>
      <c r="I54">
        <v>-4.4375</v>
      </c>
      <c r="J54">
        <f>O49/P49</f>
        <v>12.909090909090908</v>
      </c>
      <c r="K54">
        <f t="shared" si="2"/>
        <v>7.7464788732394374E-2</v>
      </c>
      <c r="M54">
        <f>ABS(O49)/ABS(P49)</f>
        <v>12.909090909090908</v>
      </c>
    </row>
    <row r="55" spans="8:24">
      <c r="H55" t="s">
        <v>127</v>
      </c>
      <c r="I55">
        <v>14.42443729903537</v>
      </c>
      <c r="J55">
        <f>Q49/R49</f>
        <v>-1.0114994363021421</v>
      </c>
      <c r="K55">
        <f t="shared" si="2"/>
        <v>-0.98863129736959421</v>
      </c>
      <c r="M55">
        <f>ABS(Q49)/ABS(R49)</f>
        <v>1.0114994363021421</v>
      </c>
    </row>
    <row r="56" spans="8:24">
      <c r="H56" t="s">
        <v>126</v>
      </c>
      <c r="I56">
        <v>38.125</v>
      </c>
      <c r="J56">
        <f>S49/T49</f>
        <v>-1.2973122919492048</v>
      </c>
      <c r="K56">
        <f t="shared" si="2"/>
        <v>-0.77082442385364691</v>
      </c>
      <c r="M56">
        <f>ABS(S49)/ABS(T49)</f>
        <v>1.2973122919492048</v>
      </c>
    </row>
    <row r="57" spans="8:24">
      <c r="H57" t="s">
        <v>125</v>
      </c>
      <c r="I57" t="e">
        <v>#DIV/0!</v>
      </c>
      <c r="J57" t="e">
        <f>U49/V49</f>
        <v>#DIV/0!</v>
      </c>
      <c r="K57" t="e">
        <f t="shared" si="2"/>
        <v>#DIV/0!</v>
      </c>
      <c r="M57" t="e">
        <f>ABS(U49)/ABS(V49)</f>
        <v>#DIV/0!</v>
      </c>
    </row>
    <row r="58" spans="8:24">
      <c r="H58" t="s">
        <v>124</v>
      </c>
      <c r="I58">
        <v>-18.798816568047336</v>
      </c>
      <c r="J58">
        <f>W49/X49</f>
        <v>0.61911721718795665</v>
      </c>
      <c r="K58">
        <f t="shared" si="2"/>
        <v>1.6152030217186026</v>
      </c>
      <c r="M58">
        <f>ABS(W49)/ABS(X49)</f>
        <v>0.61911721718795665</v>
      </c>
    </row>
    <row r="62" spans="8:24">
      <c r="H62" t="s">
        <v>120</v>
      </c>
      <c r="I62" s="157">
        <v>-30.441860465116278</v>
      </c>
      <c r="J62" s="157">
        <v>-16.380549682875266</v>
      </c>
      <c r="K62">
        <v>1</v>
      </c>
      <c r="M62">
        <f>ABS(I62)/ABS(J62)</f>
        <v>1.8584150748580277</v>
      </c>
    </row>
    <row r="63" spans="8:24">
      <c r="H63" t="s">
        <v>121</v>
      </c>
      <c r="I63" s="157" t="e">
        <v>#DIV/0!</v>
      </c>
      <c r="J63" s="157" t="e">
        <v>#DIV/0!</v>
      </c>
      <c r="M63" t="e">
        <f t="shared" ref="M63:M69" si="4">ABS(I63)/ABS(J63)</f>
        <v>#DIV/0!</v>
      </c>
    </row>
    <row r="64" spans="8:24">
      <c r="H64" t="s">
        <v>122</v>
      </c>
      <c r="I64" s="157">
        <v>-12.232758620689655</v>
      </c>
      <c r="J64" s="157">
        <v>3.6724137931034484</v>
      </c>
      <c r="M64">
        <f t="shared" si="4"/>
        <v>3.3309859154929575</v>
      </c>
    </row>
    <row r="65" spans="8:13">
      <c r="H65" t="s">
        <v>123</v>
      </c>
      <c r="I65" s="157">
        <v>-4.4375</v>
      </c>
      <c r="J65" s="157">
        <v>-0.34375</v>
      </c>
      <c r="M65">
        <f t="shared" si="4"/>
        <v>12.909090909090908</v>
      </c>
    </row>
    <row r="66" spans="8:13">
      <c r="H66" t="s">
        <v>127</v>
      </c>
      <c r="I66" s="157">
        <v>14.42443729903537</v>
      </c>
      <c r="J66" s="157">
        <v>-14.260450160771704</v>
      </c>
      <c r="M66">
        <f t="shared" si="4"/>
        <v>1.0114994363021421</v>
      </c>
    </row>
    <row r="67" spans="8:13">
      <c r="H67" t="s">
        <v>126</v>
      </c>
      <c r="I67" s="157">
        <v>38.125</v>
      </c>
      <c r="J67" s="157">
        <v>-29.387681159420289</v>
      </c>
      <c r="M67">
        <f t="shared" si="4"/>
        <v>1.2973122919492048</v>
      </c>
    </row>
    <row r="68" spans="8:13">
      <c r="H68" t="s">
        <v>125</v>
      </c>
      <c r="I68" s="157" t="e">
        <v>#DIV/0!</v>
      </c>
      <c r="J68" s="157" t="e">
        <v>#DIV/0!</v>
      </c>
      <c r="M68" t="e">
        <f t="shared" si="4"/>
        <v>#DIV/0!</v>
      </c>
    </row>
    <row r="69" spans="8:13">
      <c r="H69" t="s">
        <v>124</v>
      </c>
      <c r="I69" s="157">
        <v>-18.798816568047336</v>
      </c>
      <c r="J69" s="157">
        <v>-30.363905325443788</v>
      </c>
      <c r="M69">
        <f t="shared" si="4"/>
        <v>0.61911721718795665</v>
      </c>
    </row>
    <row r="71" spans="8:13">
      <c r="I71" s="41" t="str">
        <f>COMPLEX(I62,J62*M62)</f>
        <v>-30,4418604651163-30,4418604651163i</v>
      </c>
      <c r="M71">
        <f>PI()/2</f>
        <v>1.5707963267948966</v>
      </c>
    </row>
    <row r="72" spans="8:13">
      <c r="I72" s="41" t="e">
        <f t="shared" ref="I72:I78" si="5">COMPLEX(I63,J63*M63)</f>
        <v>#DIV/0!</v>
      </c>
      <c r="M72">
        <f>PI()</f>
        <v>3.1415926535897931</v>
      </c>
    </row>
    <row r="73" spans="8:13">
      <c r="I73" s="41" t="str">
        <f t="shared" si="5"/>
        <v>-12,2327586206897+12,2327586206897i</v>
      </c>
      <c r="M73">
        <f>M72+M71</f>
        <v>4.7123889803846897</v>
      </c>
    </row>
    <row r="74" spans="8:13">
      <c r="I74" s="41" t="str">
        <f t="shared" si="5"/>
        <v>-4,4375-4,4375i</v>
      </c>
      <c r="M74">
        <f>2*M72</f>
        <v>6.2831853071795862</v>
      </c>
    </row>
    <row r="75" spans="8:13">
      <c r="I75" s="41" t="str">
        <f t="shared" si="5"/>
        <v>14,4244372990354-14,4244372990354i</v>
      </c>
    </row>
    <row r="76" spans="8:13">
      <c r="I76" s="41" t="str">
        <f t="shared" si="5"/>
        <v>38,125-38,125i</v>
      </c>
    </row>
    <row r="77" spans="8:13">
      <c r="I77" s="41" t="e">
        <f t="shared" si="5"/>
        <v>#DIV/0!</v>
      </c>
    </row>
    <row r="78" spans="8:13">
      <c r="I78" s="41" t="str">
        <f t="shared" si="5"/>
        <v>-18,7988165680473-18,7988165680473i</v>
      </c>
    </row>
    <row r="79" spans="8:13">
      <c r="I79" s="41"/>
    </row>
    <row r="80" spans="8:13">
      <c r="I80" s="41"/>
      <c r="J80">
        <f t="shared" ref="J80:J87" si="6">IMARGUMENT(I71)</f>
        <v>-2.3561944901923448</v>
      </c>
      <c r="K80" s="157">
        <f>IF(J80&lt;0,(-2*PI()+J80*-1)*-1,J80)</f>
        <v>3.9269908169872414</v>
      </c>
    </row>
    <row r="81" spans="9:12">
      <c r="I81" s="41"/>
      <c r="J81" t="e">
        <f t="shared" si="6"/>
        <v>#DIV/0!</v>
      </c>
      <c r="K81" s="157" t="e">
        <f t="shared" ref="K81:K87" si="7">IF(J81&lt;0,(-2*PI()+J81*-1)*-1,J81)</f>
        <v>#DIV/0!</v>
      </c>
    </row>
    <row r="82" spans="9:12">
      <c r="J82">
        <f t="shared" si="6"/>
        <v>2.3561944901923448</v>
      </c>
      <c r="K82" s="157">
        <f t="shared" si="7"/>
        <v>2.3561944901923448</v>
      </c>
    </row>
    <row r="83" spans="9:12">
      <c r="J83">
        <f t="shared" si="6"/>
        <v>-2.3561944901923448</v>
      </c>
      <c r="K83" s="157">
        <f t="shared" si="7"/>
        <v>3.9269908169872414</v>
      </c>
    </row>
    <row r="84" spans="9:12">
      <c r="J84">
        <f t="shared" si="6"/>
        <v>-0.78539816339744828</v>
      </c>
      <c r="K84" s="157">
        <f t="shared" si="7"/>
        <v>5.497787143782138</v>
      </c>
    </row>
    <row r="85" spans="9:12">
      <c r="J85">
        <f t="shared" si="6"/>
        <v>-0.78539816339744828</v>
      </c>
      <c r="K85" s="157">
        <f t="shared" si="7"/>
        <v>5.497787143782138</v>
      </c>
    </row>
    <row r="86" spans="9:12">
      <c r="J86" t="e">
        <f t="shared" si="6"/>
        <v>#DIV/0!</v>
      </c>
      <c r="K86" s="157" t="e">
        <f t="shared" si="7"/>
        <v>#DIV/0!</v>
      </c>
    </row>
    <row r="87" spans="9:12">
      <c r="J87">
        <f t="shared" si="6"/>
        <v>-2.3561944901923448</v>
      </c>
      <c r="K87" s="157">
        <f t="shared" si="7"/>
        <v>3.9269908169872414</v>
      </c>
    </row>
    <row r="89" spans="9:12">
      <c r="I89">
        <f>ASIN(I62/100)</f>
        <v>-0.30932800545732669</v>
      </c>
      <c r="J89">
        <f>IF(J62&gt;0,-1*I89+PI(),I89)</f>
        <v>-0.30932800545732669</v>
      </c>
      <c r="K89" s="157">
        <f>IF(J89&lt;0,J89+2*PI(),J89)</f>
        <v>5.9738573017222594</v>
      </c>
      <c r="L89">
        <f>K89*0.95</f>
        <v>5.6751644366361464</v>
      </c>
    </row>
    <row r="90" spans="9:12">
      <c r="I90" t="e">
        <f t="shared" ref="I90:I96" si="8">ASIN(I63/100)</f>
        <v>#DIV/0!</v>
      </c>
      <c r="J90" t="e">
        <f t="shared" ref="J90:J96" si="9">IF(J63&gt;0,-1*I90+PI(),I90)</f>
        <v>#DIV/0!</v>
      </c>
      <c r="K90" s="157" t="e">
        <f t="shared" ref="K90:K96" si="10">IF(J90&lt;0,J90+2*PI(),J90)</f>
        <v>#DIV/0!</v>
      </c>
      <c r="L90" t="e">
        <f t="shared" ref="L90:L96" si="11">K90*0.95</f>
        <v>#DIV/0!</v>
      </c>
    </row>
    <row r="91" spans="9:12">
      <c r="I91">
        <f t="shared" si="8"/>
        <v>-0.12263474486785807</v>
      </c>
      <c r="J91">
        <f t="shared" si="9"/>
        <v>3.2642273984576513</v>
      </c>
      <c r="K91" s="157">
        <f t="shared" si="10"/>
        <v>3.2642273984576513</v>
      </c>
      <c r="L91">
        <f t="shared" si="11"/>
        <v>3.1010160285347688</v>
      </c>
    </row>
    <row r="92" spans="9:12">
      <c r="I92">
        <f t="shared" si="8"/>
        <v>-4.4389576355872519E-2</v>
      </c>
      <c r="J92">
        <f t="shared" si="9"/>
        <v>-4.4389576355872519E-2</v>
      </c>
      <c r="K92" s="157">
        <f t="shared" si="10"/>
        <v>6.2387957308237141</v>
      </c>
      <c r="L92">
        <f t="shared" si="11"/>
        <v>5.9268559442825284</v>
      </c>
    </row>
    <row r="93" spans="9:12">
      <c r="I93">
        <f t="shared" si="8"/>
        <v>0.14474931712766034</v>
      </c>
      <c r="J93">
        <f t="shared" si="9"/>
        <v>0.14474931712766034</v>
      </c>
      <c r="K93" s="157">
        <f t="shared" si="10"/>
        <v>0.14474931712766034</v>
      </c>
      <c r="L93">
        <f t="shared" si="11"/>
        <v>0.13751185127127732</v>
      </c>
    </row>
    <row r="94" spans="9:12">
      <c r="I94">
        <f t="shared" si="8"/>
        <v>0.39114804330605585</v>
      </c>
      <c r="J94">
        <f t="shared" si="9"/>
        <v>0.39114804330605585</v>
      </c>
      <c r="K94" s="157">
        <f t="shared" si="10"/>
        <v>0.39114804330605585</v>
      </c>
      <c r="L94">
        <f t="shared" si="11"/>
        <v>0.37159064114075302</v>
      </c>
    </row>
    <row r="95" spans="9:12">
      <c r="I95" t="e">
        <f t="shared" si="8"/>
        <v>#DIV/0!</v>
      </c>
      <c r="J95" t="e">
        <f t="shared" si="9"/>
        <v>#DIV/0!</v>
      </c>
      <c r="K95" s="157" t="e">
        <f t="shared" si="10"/>
        <v>#DIV/0!</v>
      </c>
      <c r="L95" t="e">
        <f t="shared" si="11"/>
        <v>#DIV/0!</v>
      </c>
    </row>
    <row r="96" spans="9:12">
      <c r="I96">
        <f t="shared" si="8"/>
        <v>-0.18911338958626631</v>
      </c>
      <c r="J96">
        <f t="shared" si="9"/>
        <v>-0.18911338958626631</v>
      </c>
      <c r="K96" s="157">
        <f t="shared" si="10"/>
        <v>6.09407191759332</v>
      </c>
      <c r="L96">
        <f t="shared" si="11"/>
        <v>5.7893683217136536</v>
      </c>
    </row>
  </sheetData>
  <mergeCells count="3">
    <mergeCell ref="H6:I6"/>
    <mergeCell ref="B1:E1"/>
    <mergeCell ref="B19:E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1:T158"/>
  <sheetViews>
    <sheetView topLeftCell="A37" workbookViewId="0">
      <selection activeCell="E64" sqref="E64"/>
    </sheetView>
  </sheetViews>
  <sheetFormatPr baseColWidth="10" defaultRowHeight="15"/>
  <sheetData>
    <row r="1" spans="1:15">
      <c r="A1" s="174">
        <v>0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</row>
    <row r="2" spans="1:15">
      <c r="B2" s="42" t="s">
        <v>97</v>
      </c>
      <c r="C2" s="43">
        <v>300000000</v>
      </c>
      <c r="D2" s="44" t="s">
        <v>98</v>
      </c>
      <c r="E2" s="44"/>
      <c r="F2" s="44"/>
      <c r="G2" s="44"/>
      <c r="H2" s="44"/>
      <c r="I2" s="44"/>
      <c r="J2" s="44"/>
      <c r="K2" s="45"/>
    </row>
    <row r="3" spans="1:15">
      <c r="B3" s="46" t="s">
        <v>99</v>
      </c>
      <c r="C3" s="47">
        <v>866300000</v>
      </c>
      <c r="D3" s="2" t="s">
        <v>100</v>
      </c>
      <c r="E3" s="2"/>
      <c r="F3" s="2"/>
      <c r="G3" s="2"/>
      <c r="H3" s="2"/>
      <c r="I3" s="2"/>
      <c r="J3" s="2"/>
      <c r="K3" s="20"/>
    </row>
    <row r="4" spans="1:15">
      <c r="B4" s="46" t="s">
        <v>101</v>
      </c>
      <c r="C4" s="2">
        <f>$C$2/$C$3</f>
        <v>0.34630035784370311</v>
      </c>
      <c r="D4" s="2" t="s">
        <v>102</v>
      </c>
      <c r="E4" s="2"/>
      <c r="F4" s="2"/>
      <c r="G4" s="2"/>
      <c r="H4" s="2"/>
      <c r="I4" s="2"/>
      <c r="J4" s="2"/>
      <c r="K4" s="20"/>
    </row>
    <row r="5" spans="1:15">
      <c r="B5" s="46"/>
      <c r="C5" s="2"/>
      <c r="I5" s="2"/>
      <c r="J5" s="2"/>
      <c r="K5" s="20"/>
    </row>
    <row r="6" spans="1:15">
      <c r="A6" s="20"/>
      <c r="B6" s="54" t="s">
        <v>78</v>
      </c>
      <c r="C6" s="21"/>
      <c r="D6" s="12" t="s">
        <v>77</v>
      </c>
      <c r="E6" s="12" t="s">
        <v>75</v>
      </c>
      <c r="F6" s="12" t="s">
        <v>76</v>
      </c>
      <c r="G6" s="12" t="s">
        <v>79</v>
      </c>
      <c r="H6" s="12" t="s">
        <v>80</v>
      </c>
      <c r="I6" s="12"/>
      <c r="J6" s="12"/>
      <c r="K6" s="48"/>
    </row>
    <row r="7" spans="1:15">
      <c r="A7" s="20"/>
      <c r="B7" s="53">
        <v>1</v>
      </c>
      <c r="C7" s="2"/>
      <c r="D7" s="115"/>
      <c r="E7" s="2">
        <f>$C$4^2/8</f>
        <v>1.4990492230334603E-2</v>
      </c>
      <c r="F7" s="2">
        <f>E$7/PI()</f>
        <v>4.7716218756768064E-3</v>
      </c>
      <c r="G7" s="115"/>
      <c r="H7" s="116"/>
      <c r="I7" s="2"/>
      <c r="J7" s="31"/>
      <c r="K7" s="20"/>
      <c r="L7" s="2"/>
      <c r="M7" s="2"/>
      <c r="N7" s="2"/>
      <c r="O7" s="2"/>
    </row>
    <row r="8" spans="1:15">
      <c r="A8" s="20"/>
      <c r="B8" s="51">
        <v>2</v>
      </c>
      <c r="C8" s="2"/>
      <c r="D8" s="115"/>
      <c r="E8" s="61" t="s">
        <v>104</v>
      </c>
      <c r="F8" s="61" t="s">
        <v>104</v>
      </c>
      <c r="G8" s="115"/>
      <c r="H8" s="116"/>
      <c r="I8" s="2"/>
      <c r="J8" s="31"/>
      <c r="K8" s="20"/>
      <c r="L8" s="2"/>
      <c r="M8" s="2"/>
      <c r="N8" s="2"/>
      <c r="O8" s="2"/>
    </row>
    <row r="9" spans="1:15">
      <c r="A9" s="20"/>
      <c r="B9" s="51">
        <v>3</v>
      </c>
      <c r="C9" s="2"/>
      <c r="D9" s="115"/>
      <c r="E9" s="61" t="s">
        <v>104</v>
      </c>
      <c r="F9" s="61" t="s">
        <v>104</v>
      </c>
      <c r="G9" s="115"/>
      <c r="H9" s="116"/>
      <c r="I9" s="2"/>
      <c r="J9" s="31"/>
      <c r="K9" s="20"/>
      <c r="L9" s="2"/>
      <c r="M9" s="2"/>
      <c r="N9" s="2"/>
      <c r="O9" s="2"/>
    </row>
    <row r="10" spans="1:15">
      <c r="A10" s="20"/>
      <c r="B10" s="51">
        <v>0</v>
      </c>
      <c r="C10" s="52"/>
      <c r="D10" s="61"/>
      <c r="E10" s="61"/>
      <c r="F10" s="61"/>
      <c r="G10" s="61"/>
      <c r="H10" s="116"/>
      <c r="I10" s="2"/>
      <c r="J10" s="81"/>
      <c r="K10" s="20"/>
      <c r="L10" s="2"/>
      <c r="M10" s="2"/>
      <c r="N10" s="2"/>
      <c r="O10" s="2"/>
    </row>
    <row r="11" spans="1:15">
      <c r="A11" s="2"/>
      <c r="B11" s="102"/>
      <c r="C11" s="52"/>
      <c r="D11" s="111" t="s">
        <v>77</v>
      </c>
      <c r="E11" s="111" t="s">
        <v>157</v>
      </c>
      <c r="F11" s="111" t="s">
        <v>158</v>
      </c>
      <c r="G11" s="111" t="s">
        <v>159</v>
      </c>
      <c r="H11" s="2"/>
      <c r="I11" s="2"/>
      <c r="J11" s="26" t="s">
        <v>79</v>
      </c>
      <c r="K11" s="26" t="s">
        <v>154</v>
      </c>
      <c r="L11" s="26" t="s">
        <v>155</v>
      </c>
      <c r="M11" s="26" t="s">
        <v>156</v>
      </c>
      <c r="N11" s="2"/>
      <c r="O11" s="2"/>
    </row>
    <row r="12" spans="1:15">
      <c r="A12" s="2"/>
      <c r="B12" s="102"/>
      <c r="C12" s="108">
        <v>1</v>
      </c>
      <c r="D12" s="2">
        <f>0.5*D123^2</f>
        <v>0.84198942471462679</v>
      </c>
      <c r="E12" s="2">
        <f>0.5*B130^2</f>
        <v>0.84198942471462679</v>
      </c>
      <c r="F12" s="2">
        <f>0.5*D137^2</f>
        <v>3.355750123931859</v>
      </c>
      <c r="G12" s="2">
        <f>0.5*D144^2</f>
        <v>0.66775267347450074</v>
      </c>
      <c r="H12" s="2">
        <f>0.5*F123^2</f>
        <v>1.8954667052703305</v>
      </c>
      <c r="I12" s="129">
        <v>1</v>
      </c>
      <c r="J12" s="2">
        <f>A_1*(1/(2*PI())^2)*(T_0^2-T_2^2)</f>
        <v>-2.9016804505667053E-3</v>
      </c>
      <c r="K12" s="2">
        <f>A_1*(1/(2*PI())^2)*(T_2^2-T_0^2)</f>
        <v>2.9016804505667053E-3</v>
      </c>
      <c r="L12" s="2">
        <f>A_1*(1/(2*PI())^2)*(T_3^2-T_2^2)</f>
        <v>5.906413250206563E-2</v>
      </c>
      <c r="M12" s="2">
        <f>A_1*(1/(2*PI())^2)*(T_4^2-T_2^2)</f>
        <v>-3.8246030262793821E-3</v>
      </c>
      <c r="N12" s="2">
        <f>A_1*(1/(2*PI())^2)*(T_0^2-T_4^2)</f>
        <v>9.2292257571267736E-4</v>
      </c>
      <c r="O12" s="2"/>
    </row>
    <row r="13" spans="1:15">
      <c r="A13" s="2"/>
      <c r="B13" s="102"/>
      <c r="C13" s="130">
        <v>2</v>
      </c>
      <c r="D13" s="2">
        <f>0.5*E123^2</f>
        <v>1.5747328563547551</v>
      </c>
      <c r="E13" s="2">
        <f>0.5*E130^2</f>
        <v>3.355750123931859</v>
      </c>
      <c r="F13" s="2">
        <f>0.5*B137^2</f>
        <v>1.5747328563547551</v>
      </c>
      <c r="G13" s="2">
        <f>0.5*E144^2</f>
        <v>4.0754124436814498</v>
      </c>
      <c r="H13" s="2">
        <f>0.5*D123^2</f>
        <v>0.84198942471462679</v>
      </c>
      <c r="I13" s="2">
        <v>2</v>
      </c>
      <c r="J13" s="2">
        <f>A_1*(1/(2*PI())^2)*(T_0^2-T_3^2)</f>
        <v>-6.1965812952632343E-2</v>
      </c>
      <c r="K13" s="2">
        <f>A_1*(1/(2*PI())^2)*(T_2^2-T_3^2)</f>
        <v>-5.906413250206563E-2</v>
      </c>
      <c r="L13" s="2">
        <f>A_1*(1/(2*PI())^2)*(T_3^2-T_0^2)</f>
        <v>6.1965812952632343E-2</v>
      </c>
      <c r="M13" s="2">
        <f>A_1*(1/(2*PI())^2)*(T_4^2-T_3^2)</f>
        <v>-6.2888735528345022E-2</v>
      </c>
      <c r="N13" s="2">
        <f>A_1*(1/(2*PI())^2)*(T_0^2-T_2^2)</f>
        <v>-2.9016804505667053E-3</v>
      </c>
      <c r="O13" s="2"/>
    </row>
    <row r="14" spans="1:15">
      <c r="A14" s="2"/>
      <c r="B14" s="102"/>
      <c r="C14" s="130">
        <v>3</v>
      </c>
      <c r="D14" s="2">
        <f>0.5*F123^2</f>
        <v>1.8954667052703305</v>
      </c>
      <c r="E14" s="2">
        <f>0.5*F130^2</f>
        <v>0.66775267347450074</v>
      </c>
      <c r="F14" s="2">
        <f>0.5*F137^2</f>
        <v>4.0754124436814498</v>
      </c>
      <c r="G14" s="2">
        <f>0.5*B144^2</f>
        <v>1.8954667052703305</v>
      </c>
      <c r="H14" s="2">
        <f>0.5*E123^2</f>
        <v>1.5747328563547551</v>
      </c>
      <c r="I14" s="2">
        <v>3</v>
      </c>
      <c r="J14" s="2">
        <f>A_1*(1/(2*PI())^2)*(T_0^2-T_4^2)</f>
        <v>9.2292257571267736E-4</v>
      </c>
      <c r="K14" s="2">
        <f>A_1*(1/(2*PI())^2)*(T_2^2-T_4^2)</f>
        <v>3.8246030262793821E-3</v>
      </c>
      <c r="L14" s="2">
        <f>A_1*(1/(2*PI())^2)*(T_3^2-T_4^2)</f>
        <v>6.2888735528345022E-2</v>
      </c>
      <c r="M14" s="2">
        <f>A_1*(1/(2*PI())^2)*(T_4^2-T_0^2)</f>
        <v>-9.2292257571267736E-4</v>
      </c>
      <c r="N14" s="2">
        <f>A_1*(1/(2*PI())^2)*(T_0^2-T_3^2)</f>
        <v>-6.1965812952632343E-2</v>
      </c>
      <c r="O14" s="2"/>
    </row>
    <row r="15" spans="1:15">
      <c r="A15" s="2"/>
      <c r="B15" s="102"/>
      <c r="C15" s="52"/>
      <c r="D15" s="2"/>
      <c r="E15" s="2"/>
      <c r="F15" s="2"/>
      <c r="G15" s="2"/>
      <c r="H15" s="114">
        <v>3.6315946901900333</v>
      </c>
      <c r="I15" s="2"/>
      <c r="J15" s="81"/>
      <c r="K15" s="20"/>
      <c r="L15" s="2"/>
      <c r="M15" s="2"/>
      <c r="N15" s="2"/>
      <c r="O15" s="2"/>
    </row>
    <row r="16" spans="1:15">
      <c r="A16" s="2"/>
      <c r="B16" s="102"/>
      <c r="C16" s="52"/>
      <c r="D16" s="2"/>
      <c r="E16" s="2"/>
      <c r="F16" s="2"/>
      <c r="G16" s="2"/>
      <c r="H16" s="114">
        <v>2.216073124166746</v>
      </c>
      <c r="I16" s="2"/>
      <c r="J16" s="81"/>
      <c r="K16" s="20"/>
      <c r="L16" s="2"/>
      <c r="M16" s="2"/>
      <c r="N16" s="2"/>
      <c r="O16" s="2"/>
    </row>
    <row r="17" spans="1:20">
      <c r="B17" s="49"/>
      <c r="C17" s="21"/>
      <c r="D17" s="21"/>
      <c r="E17" s="21"/>
      <c r="F17" s="21"/>
      <c r="G17" s="21"/>
      <c r="H17" s="21"/>
      <c r="I17" s="21"/>
      <c r="J17" s="21"/>
      <c r="K17" s="11"/>
    </row>
    <row r="18" spans="1:20">
      <c r="B18" s="2"/>
      <c r="C18" s="2"/>
      <c r="D18" s="2"/>
      <c r="E18" s="2"/>
      <c r="F18" s="2"/>
      <c r="G18" s="2"/>
      <c r="H18" s="2"/>
      <c r="I18" s="2"/>
      <c r="J18" s="2"/>
      <c r="K18" s="2"/>
    </row>
    <row r="19" spans="1:20">
      <c r="B19" s="2"/>
      <c r="C19" s="2"/>
      <c r="D19" s="2"/>
      <c r="F19" s="2"/>
      <c r="G19" s="2"/>
      <c r="H19" s="2"/>
      <c r="I19" s="2"/>
      <c r="J19" s="2"/>
      <c r="K19" s="2"/>
    </row>
    <row r="20" spans="1:20">
      <c r="A20" s="23" t="s">
        <v>85</v>
      </c>
      <c r="B20" s="2"/>
      <c r="C20" s="2"/>
      <c r="D20" s="2"/>
      <c r="E20" s="2"/>
      <c r="F20" s="2"/>
      <c r="G20" s="2"/>
      <c r="H20" s="2"/>
      <c r="I20" s="2"/>
      <c r="J20" s="2"/>
      <c r="K20" s="2"/>
    </row>
    <row r="21" spans="1:20">
      <c r="B21" s="2"/>
      <c r="C21" s="2"/>
      <c r="D21" s="12">
        <v>1</v>
      </c>
      <c r="E21" s="103">
        <v>2</v>
      </c>
      <c r="F21" s="103">
        <v>3</v>
      </c>
      <c r="G21" s="103">
        <v>4</v>
      </c>
      <c r="H21" s="103">
        <v>5</v>
      </c>
      <c r="I21" s="69">
        <v>6</v>
      </c>
      <c r="J21" s="69">
        <v>7</v>
      </c>
      <c r="K21" s="69">
        <v>8</v>
      </c>
    </row>
    <row r="22" spans="1:20">
      <c r="B22" s="2" t="s">
        <v>81</v>
      </c>
      <c r="C22" s="2"/>
      <c r="D22" s="125">
        <v>0.63133684209528462</v>
      </c>
      <c r="E22" s="126">
        <v>0</v>
      </c>
      <c r="F22" s="126">
        <v>0.63551506959318182</v>
      </c>
      <c r="G22" s="126">
        <v>0.75011859604783826</v>
      </c>
      <c r="H22" s="126">
        <v>0</v>
      </c>
      <c r="I22" s="70">
        <v>-0.15855509315995797</v>
      </c>
      <c r="J22" s="70">
        <v>-0.85603789680002773</v>
      </c>
      <c r="K22" s="70">
        <v>0.65342120690916317</v>
      </c>
      <c r="L22" s="175" t="s">
        <v>150</v>
      </c>
      <c r="M22" s="78">
        <f ca="1">RAND()-RAND()</f>
        <v>-0.18729540266509592</v>
      </c>
    </row>
    <row r="23" spans="1:20">
      <c r="B23" s="2" t="s">
        <v>82</v>
      </c>
      <c r="C23" s="2"/>
      <c r="D23" s="125">
        <v>7.6979139390737902E-2</v>
      </c>
      <c r="E23" s="126">
        <v>0.2218066346168576</v>
      </c>
      <c r="F23" s="126">
        <v>0</v>
      </c>
      <c r="G23" s="126">
        <v>0</v>
      </c>
      <c r="H23" s="126">
        <v>0.2321259737260698</v>
      </c>
      <c r="I23" s="70">
        <v>-0.3582528703161334</v>
      </c>
      <c r="J23" s="70">
        <v>0.54958182007341416</v>
      </c>
      <c r="K23" s="70">
        <v>-0.40737763775813596</v>
      </c>
      <c r="L23" s="175"/>
      <c r="M23" s="78">
        <f t="shared" ref="M23:M28" ca="1" si="0">RAND()-RAND()</f>
        <v>-0.77774657503506628</v>
      </c>
    </row>
    <row r="24" spans="1:20">
      <c r="B24" s="2" t="s">
        <v>83</v>
      </c>
      <c r="C24" s="2"/>
      <c r="D24" s="125">
        <v>0</v>
      </c>
      <c r="E24" s="126">
        <v>0</v>
      </c>
      <c r="F24" s="126">
        <v>0.13371555220586218</v>
      </c>
      <c r="G24" s="126">
        <v>0</v>
      </c>
      <c r="H24" s="126">
        <v>0.30296553957210076</v>
      </c>
      <c r="I24" s="70">
        <v>-2.4909669184959959E-2</v>
      </c>
      <c r="J24" s="70">
        <v>-0.36477405011057273</v>
      </c>
      <c r="K24" s="70">
        <v>0.20797765241452781</v>
      </c>
      <c r="L24" s="175"/>
      <c r="M24" s="78">
        <f t="shared" ca="1" si="0"/>
        <v>-0.22072969835524514</v>
      </c>
    </row>
    <row r="25" spans="1:20">
      <c r="B25" s="50" t="s">
        <v>84</v>
      </c>
      <c r="C25" s="2" t="s">
        <v>27</v>
      </c>
      <c r="D25" s="125">
        <v>9.9473534587796536E-2</v>
      </c>
      <c r="E25" s="126">
        <v>0</v>
      </c>
      <c r="F25" s="126">
        <v>0.1020912484200384</v>
      </c>
      <c r="G25" s="126">
        <v>1.3193599454025878E-2</v>
      </c>
      <c r="H25" s="126">
        <v>0.41859148737833973</v>
      </c>
      <c r="I25" s="70">
        <v>-0.60127917735887881</v>
      </c>
      <c r="J25" s="70">
        <v>7.3809363778690518E-2</v>
      </c>
      <c r="K25" s="70">
        <v>0.45904960287541474</v>
      </c>
      <c r="L25" s="175"/>
      <c r="M25" s="78">
        <f t="shared" ca="1" si="0"/>
        <v>0.75201838493781015</v>
      </c>
      <c r="P25" s="113">
        <f>D86</f>
        <v>0.23887175153031459</v>
      </c>
      <c r="Q25" s="113">
        <f>E86</f>
        <v>-0.25101878076058237</v>
      </c>
      <c r="R25" s="113">
        <f t="shared" ref="R25:T25" si="1">F86</f>
        <v>-0.42861060951290186</v>
      </c>
      <c r="S25" s="113">
        <f t="shared" si="1"/>
        <v>-0.19454926920916504</v>
      </c>
      <c r="T25" s="113">
        <f t="shared" si="1"/>
        <v>0.22491986479301973</v>
      </c>
    </row>
    <row r="26" spans="1:20">
      <c r="B26" s="2" t="s">
        <v>48</v>
      </c>
      <c r="C26" s="2"/>
      <c r="D26" s="125">
        <v>-1.5281532423178226E-2</v>
      </c>
      <c r="E26" s="126">
        <v>-1.0566625264410034</v>
      </c>
      <c r="F26" s="126">
        <v>1.4048749942792476</v>
      </c>
      <c r="G26" s="126">
        <v>-1.4603180121041786</v>
      </c>
      <c r="H26" s="125">
        <v>-4.887391857791243E-3</v>
      </c>
      <c r="I26" s="70">
        <v>-0.64147819789622496</v>
      </c>
      <c r="J26" s="70">
        <v>-2.6436636559469484E-2</v>
      </c>
      <c r="K26" s="70">
        <v>-1.0305960682470916E-2</v>
      </c>
      <c r="L26" s="175"/>
      <c r="M26" s="78">
        <f t="shared" ca="1" si="0"/>
        <v>0.35326273502955474</v>
      </c>
      <c r="P26" s="35">
        <f>D77</f>
        <v>-1.5281532423178226E-2</v>
      </c>
      <c r="Q26" s="35">
        <f t="shared" ref="Q26:T28" si="2">E77</f>
        <v>-1.0566625264410034</v>
      </c>
      <c r="R26" s="35">
        <f t="shared" si="2"/>
        <v>1.4048749942792476</v>
      </c>
      <c r="S26" s="35">
        <f t="shared" si="2"/>
        <v>-1.4603180121041786</v>
      </c>
      <c r="T26" s="35">
        <f t="shared" si="2"/>
        <v>-4.887391857791243E-3</v>
      </c>
    </row>
    <row r="27" spans="1:20">
      <c r="B27" t="s">
        <v>47</v>
      </c>
      <c r="D27" s="125">
        <v>0.9562783156398077</v>
      </c>
      <c r="E27" s="126">
        <v>0.99643143506690712</v>
      </c>
      <c r="F27" s="126">
        <v>0.13453570285931396</v>
      </c>
      <c r="G27" s="126">
        <v>-9.7426512875753782E-2</v>
      </c>
      <c r="H27" s="125">
        <v>0.95629134652133252</v>
      </c>
      <c r="I27" s="70">
        <v>4.8639647915487139E-2</v>
      </c>
      <c r="J27" s="70">
        <v>-0.42478485919807984</v>
      </c>
      <c r="K27" s="70">
        <v>5.2954891334215048E-2</v>
      </c>
      <c r="L27" s="175"/>
      <c r="M27" s="78">
        <f t="shared" ca="1" si="0"/>
        <v>0.14472878546376067</v>
      </c>
      <c r="P27" s="35">
        <f t="shared" ref="P27:P28" si="3">D78</f>
        <v>0.9562783156398077</v>
      </c>
      <c r="Q27" s="35">
        <f t="shared" si="2"/>
        <v>0.99643143506690712</v>
      </c>
      <c r="R27" s="35">
        <f t="shared" si="2"/>
        <v>0.13453570285931396</v>
      </c>
      <c r="S27" s="35">
        <f t="shared" si="2"/>
        <v>-9.7426512875753782E-2</v>
      </c>
      <c r="T27" s="35">
        <f t="shared" si="2"/>
        <v>0.95629134652133252</v>
      </c>
    </row>
    <row r="28" spans="1:20">
      <c r="B28" t="s">
        <v>52</v>
      </c>
      <c r="C28" s="2"/>
      <c r="D28" s="125">
        <v>1.178157965339047</v>
      </c>
      <c r="E28" s="126">
        <v>0.39513947309721981</v>
      </c>
      <c r="F28" s="126">
        <v>0.42344958655893555</v>
      </c>
      <c r="G28" s="126">
        <v>0.3791070636490706</v>
      </c>
      <c r="H28" s="125">
        <v>1.142840812579669</v>
      </c>
      <c r="I28" s="70">
        <v>-0.12219530665103107</v>
      </c>
      <c r="J28" s="70">
        <v>-0.2246402934383831</v>
      </c>
      <c r="K28" s="70">
        <v>-9.8948905880472005E-2</v>
      </c>
      <c r="L28" s="175"/>
      <c r="M28" s="78">
        <f t="shared" ca="1" si="0"/>
        <v>-0.580301593431652</v>
      </c>
      <c r="P28" s="35">
        <f t="shared" si="3"/>
        <v>1.178157965339047</v>
      </c>
      <c r="Q28" s="35">
        <f t="shared" si="2"/>
        <v>0.39513947309721981</v>
      </c>
      <c r="R28" s="35">
        <f t="shared" si="2"/>
        <v>0.42344958655893555</v>
      </c>
      <c r="S28" s="35">
        <f t="shared" si="2"/>
        <v>0.3791070636490706</v>
      </c>
      <c r="T28" s="35">
        <f t="shared" si="2"/>
        <v>1.142840812579669</v>
      </c>
    </row>
    <row r="29" spans="1:20">
      <c r="B29" s="2"/>
      <c r="C29" s="2"/>
      <c r="D29" s="2"/>
      <c r="E29" s="2"/>
      <c r="F29" s="2"/>
      <c r="G29" s="2"/>
      <c r="H29" s="2"/>
      <c r="I29" s="2"/>
      <c r="J29" s="2"/>
      <c r="K29" s="2"/>
    </row>
    <row r="30" spans="1:20">
      <c r="A30" s="174" t="s">
        <v>152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</row>
    <row r="31" spans="1:20">
      <c r="A31" s="5"/>
      <c r="B31" s="79">
        <f>C95</f>
        <v>1.0419123890112216</v>
      </c>
      <c r="C31" s="79">
        <f t="shared" ref="C31:D31" si="4">D95</f>
        <v>-4.0818532431212473E-2</v>
      </c>
      <c r="D31" s="85">
        <f t="shared" si="4"/>
        <v>0.77248383184656022</v>
      </c>
      <c r="E31" s="86"/>
      <c r="F31" s="88" t="s">
        <v>48</v>
      </c>
      <c r="G31" s="5"/>
      <c r="H31" s="89" t="s">
        <v>45</v>
      </c>
    </row>
    <row r="32" spans="1:20">
      <c r="A32" s="5" t="s">
        <v>129</v>
      </c>
      <c r="B32" s="79">
        <f t="shared" ref="B32:D32" si="5">C96</f>
        <v>-1.4028471761352286</v>
      </c>
      <c r="C32" s="79">
        <f t="shared" si="5"/>
        <v>0.814665459345566</v>
      </c>
      <c r="D32" s="85">
        <f t="shared" si="5"/>
        <v>0.7195871750303805</v>
      </c>
      <c r="E32" s="87" t="s">
        <v>63</v>
      </c>
      <c r="F32" s="88" t="s">
        <v>47</v>
      </c>
      <c r="G32" s="90" t="s">
        <v>103</v>
      </c>
      <c r="H32" s="89" t="s">
        <v>43</v>
      </c>
      <c r="I32" s="60" t="s">
        <v>27</v>
      </c>
      <c r="J32">
        <v>0</v>
      </c>
    </row>
    <row r="33" spans="1:13">
      <c r="A33" s="5"/>
      <c r="B33" s="79">
        <f t="shared" ref="B33:D33" si="6">C97</f>
        <v>1.4421025939282253</v>
      </c>
      <c r="C33" s="79">
        <f t="shared" si="6"/>
        <v>1.0431877148697888</v>
      </c>
      <c r="D33" s="85">
        <f t="shared" si="6"/>
        <v>0.78932433807079116</v>
      </c>
      <c r="E33" s="86"/>
      <c r="F33" s="88" t="s">
        <v>52</v>
      </c>
      <c r="G33" s="5"/>
      <c r="H33" s="89" t="s">
        <v>42</v>
      </c>
    </row>
    <row r="34" spans="1:13">
      <c r="D34" s="2"/>
      <c r="E34" s="2"/>
      <c r="F34" s="2"/>
      <c r="G34" s="2"/>
      <c r="H34" s="2"/>
    </row>
    <row r="35" spans="1:13">
      <c r="A35" s="5"/>
      <c r="B35" s="79">
        <f>C99</f>
        <v>-1.0419123890112216</v>
      </c>
      <c r="C35" s="79">
        <f t="shared" ref="C35:D35" si="7">D99</f>
        <v>4.0818532431212473E-2</v>
      </c>
      <c r="D35" s="79">
        <f t="shared" si="7"/>
        <v>-0.77248383184656022</v>
      </c>
      <c r="E35" s="137"/>
      <c r="F35" s="68"/>
      <c r="G35" s="2"/>
      <c r="H35" s="66"/>
      <c r="I35" s="2"/>
    </row>
    <row r="36" spans="1:13">
      <c r="A36" s="5" t="s">
        <v>130</v>
      </c>
      <c r="B36" s="79">
        <f t="shared" ref="B36:D36" si="8">C100</f>
        <v>-2.44475956514645</v>
      </c>
      <c r="C36" s="79">
        <f t="shared" si="8"/>
        <v>0.85548399177677847</v>
      </c>
      <c r="D36" s="79">
        <f t="shared" si="8"/>
        <v>-5.2896656816179721E-2</v>
      </c>
      <c r="E36" s="138"/>
      <c r="F36" s="68"/>
      <c r="G36" s="139"/>
      <c r="H36" s="66"/>
      <c r="I36" s="139"/>
    </row>
    <row r="37" spans="1:13">
      <c r="A37" s="5"/>
      <c r="B37" s="79">
        <f t="shared" ref="B37:D37" si="9">C101</f>
        <v>0.40019020491700363</v>
      </c>
      <c r="C37" s="79">
        <f t="shared" si="9"/>
        <v>1.0840062473010013</v>
      </c>
      <c r="D37" s="79">
        <f t="shared" si="9"/>
        <v>1.6840506224230944E-2</v>
      </c>
      <c r="E37" s="137"/>
      <c r="F37" s="68"/>
      <c r="G37" s="2"/>
      <c r="H37" s="66"/>
      <c r="I37" s="2"/>
      <c r="M37" s="31"/>
    </row>
    <row r="38" spans="1:13">
      <c r="D38" s="2"/>
      <c r="E38" s="2"/>
      <c r="F38" s="2"/>
      <c r="G38" s="2"/>
      <c r="H38" s="2"/>
      <c r="I38" s="2"/>
      <c r="J38" t="e">
        <f ca="1">MCond(B31:D33)</f>
        <v>#VALUE!</v>
      </c>
      <c r="M38" s="31"/>
    </row>
    <row r="39" spans="1:13">
      <c r="A39" s="5"/>
      <c r="B39" s="79">
        <f>C103</f>
        <v>2.44475956514645</v>
      </c>
      <c r="C39" s="79">
        <f t="shared" ref="C39:C41" si="10">D103</f>
        <v>-0.85548399177677847</v>
      </c>
      <c r="D39" s="85">
        <f t="shared" ref="D39:D41" si="11">E103</f>
        <v>5.2896656816179721E-2</v>
      </c>
      <c r="E39" s="137"/>
      <c r="F39" s="68"/>
      <c r="G39" s="2"/>
      <c r="H39" s="66"/>
      <c r="I39" s="2"/>
      <c r="J39" t="e">
        <f ca="1">MCond(B35:D37)</f>
        <v>#VALUE!</v>
      </c>
      <c r="M39" s="31"/>
    </row>
    <row r="40" spans="1:13">
      <c r="A40" s="5" t="s">
        <v>131</v>
      </c>
      <c r="B40" s="79">
        <f t="shared" ref="B40:B41" si="12">C104</f>
        <v>1.4028471761352286</v>
      </c>
      <c r="C40" s="79">
        <f t="shared" si="10"/>
        <v>-0.814665459345566</v>
      </c>
      <c r="D40" s="85">
        <f t="shared" si="11"/>
        <v>-0.7195871750303805</v>
      </c>
      <c r="E40" s="138"/>
      <c r="F40" s="68"/>
      <c r="G40" s="139"/>
      <c r="H40" s="66"/>
      <c r="I40" s="139"/>
      <c r="J40" t="e">
        <f ca="1">MCond(B39:D41)</f>
        <v>#VALUE!</v>
      </c>
    </row>
    <row r="41" spans="1:13">
      <c r="A41" s="5"/>
      <c r="B41" s="79">
        <f t="shared" si="12"/>
        <v>2.8449497700634536</v>
      </c>
      <c r="C41" s="79">
        <f t="shared" si="10"/>
        <v>0.22852225552422287</v>
      </c>
      <c r="D41" s="85">
        <f t="shared" si="11"/>
        <v>6.9737163040410666E-2</v>
      </c>
      <c r="E41" s="137"/>
      <c r="F41" s="68"/>
      <c r="G41" s="2"/>
      <c r="H41" s="66"/>
      <c r="I41" s="2"/>
      <c r="J41" t="e">
        <f ca="1">MCond(B43:D45)</f>
        <v>#VALUE!</v>
      </c>
    </row>
    <row r="42" spans="1:13">
      <c r="A42" s="2"/>
      <c r="B42" s="79"/>
      <c r="C42" s="79"/>
      <c r="D42" s="79"/>
      <c r="E42" s="2"/>
      <c r="F42" s="68"/>
      <c r="G42" s="2"/>
      <c r="H42" s="66"/>
      <c r="I42" s="2"/>
      <c r="J42" t="e">
        <f ca="1">MCond(B47:D49)</f>
        <v>#VALUE!</v>
      </c>
    </row>
    <row r="43" spans="1:13">
      <c r="A43" s="5"/>
      <c r="B43" s="79">
        <f>C107</f>
        <v>-0.40019020491700363</v>
      </c>
      <c r="C43" s="79">
        <f t="shared" ref="C43:C45" si="13">D107</f>
        <v>-1.0840062473010013</v>
      </c>
      <c r="D43" s="85">
        <f t="shared" ref="D43:D45" si="14">E107</f>
        <v>-1.6840506224230944E-2</v>
      </c>
      <c r="E43" s="137"/>
      <c r="F43" s="68"/>
      <c r="G43" s="2"/>
      <c r="H43" s="66"/>
      <c r="I43" s="2"/>
    </row>
    <row r="44" spans="1:13">
      <c r="A44" s="5" t="s">
        <v>132</v>
      </c>
      <c r="B44" s="79">
        <f t="shared" ref="B44:B45" si="15">C108</f>
        <v>-2.8449497700634536</v>
      </c>
      <c r="C44" s="79">
        <f t="shared" si="13"/>
        <v>-0.22852225552422287</v>
      </c>
      <c r="D44" s="85">
        <f t="shared" si="14"/>
        <v>-6.9737163040410666E-2</v>
      </c>
      <c r="E44" s="138"/>
      <c r="F44" s="68"/>
      <c r="G44" s="139"/>
      <c r="H44" s="66"/>
      <c r="I44" s="139"/>
    </row>
    <row r="45" spans="1:13">
      <c r="A45" s="5"/>
      <c r="B45" s="79">
        <f t="shared" si="15"/>
        <v>-1.4421025939282253</v>
      </c>
      <c r="C45" s="79">
        <f t="shared" si="13"/>
        <v>-1.0431877148697888</v>
      </c>
      <c r="D45" s="85">
        <f t="shared" si="14"/>
        <v>-0.78932433807079116</v>
      </c>
      <c r="E45" s="137"/>
      <c r="F45" s="68"/>
      <c r="G45" s="2"/>
      <c r="H45" s="66"/>
      <c r="I45" s="2"/>
      <c r="J45" s="2"/>
    </row>
    <row r="46" spans="1:13" ht="14.25" customHeight="1">
      <c r="A46" s="2"/>
      <c r="B46" s="79"/>
      <c r="C46" s="79"/>
      <c r="D46" s="79"/>
      <c r="E46" s="2"/>
      <c r="F46" s="68"/>
      <c r="G46" s="2"/>
      <c r="H46" s="66"/>
      <c r="I46" s="2"/>
    </row>
    <row r="47" spans="1:13" ht="14.25" customHeight="1">
      <c r="A47" s="5"/>
      <c r="B47" s="145">
        <v>1.4421025939282253</v>
      </c>
      <c r="C47" s="145">
        <v>1.0431877148697888</v>
      </c>
      <c r="D47" s="145">
        <v>0.78932433807079116</v>
      </c>
      <c r="H47" s="66"/>
      <c r="I47" s="2"/>
    </row>
    <row r="48" spans="1:13" ht="14.25" customHeight="1">
      <c r="A48" s="5"/>
      <c r="B48" s="143">
        <v>1.0419123890112216</v>
      </c>
      <c r="C48" s="144">
        <v>-4.0818532431212473E-2</v>
      </c>
      <c r="D48" s="144">
        <v>0.77248383184656022</v>
      </c>
      <c r="E48" s="138"/>
      <c r="F48" s="68"/>
      <c r="G48" s="139"/>
      <c r="H48" s="66"/>
      <c r="I48" s="139"/>
    </row>
    <row r="49" spans="1:16">
      <c r="A49" s="5" t="s">
        <v>160</v>
      </c>
      <c r="B49" s="143">
        <v>-1.4028471761352286</v>
      </c>
      <c r="C49" s="144">
        <v>0.814665459345566</v>
      </c>
      <c r="D49" s="144">
        <v>0.7195871750303805</v>
      </c>
      <c r="E49" s="138"/>
      <c r="F49" s="68"/>
      <c r="G49" s="140"/>
      <c r="H49" s="66"/>
      <c r="I49" s="140"/>
      <c r="O49" s="35"/>
      <c r="P49" s="35"/>
    </row>
    <row r="50" spans="1:16">
      <c r="A50" s="5"/>
      <c r="B50" s="79"/>
      <c r="C50" s="79"/>
      <c r="D50" s="85"/>
      <c r="E50" s="137"/>
      <c r="F50" s="68"/>
      <c r="G50" s="2"/>
      <c r="H50" s="66"/>
      <c r="I50" s="2"/>
      <c r="O50" s="35"/>
      <c r="P50" s="35"/>
    </row>
    <row r="51" spans="1:16">
      <c r="A51" s="5"/>
      <c r="B51" s="79"/>
      <c r="C51" s="79"/>
      <c r="D51" s="85"/>
      <c r="E51" s="2"/>
      <c r="F51" s="68"/>
      <c r="G51" s="2"/>
      <c r="H51" s="66"/>
      <c r="I51" s="2"/>
      <c r="O51" s="35"/>
      <c r="P51" s="35"/>
    </row>
    <row r="52" spans="1:16">
      <c r="A52" s="2"/>
      <c r="B52" s="79"/>
      <c r="C52" s="79"/>
      <c r="D52" s="79"/>
      <c r="E52" s="2"/>
      <c r="F52" s="68"/>
      <c r="G52" s="2"/>
      <c r="H52" s="66"/>
      <c r="O52" s="35"/>
      <c r="P52" s="35"/>
    </row>
    <row r="53" spans="1:16">
      <c r="D53" s="84" t="s">
        <v>135</v>
      </c>
      <c r="E53" s="84" t="s">
        <v>136</v>
      </c>
      <c r="F53" s="84" t="s">
        <v>137</v>
      </c>
      <c r="G53" s="84" t="s">
        <v>138</v>
      </c>
      <c r="H53" s="141" t="s">
        <v>161</v>
      </c>
      <c r="I53" s="131" t="s">
        <v>139</v>
      </c>
      <c r="J53" s="69" t="s">
        <v>139</v>
      </c>
      <c r="K53" s="69" t="s">
        <v>139</v>
      </c>
      <c r="O53" s="35"/>
      <c r="P53" s="35"/>
    </row>
    <row r="54" spans="1:16">
      <c r="B54" t="s">
        <v>92</v>
      </c>
      <c r="D54" s="37">
        <f t="array" ref="D54:D56">MMULT($B$31:$D$33,D$26:D$28)</f>
        <v>0.85515208419065913</v>
      </c>
      <c r="E54" s="109">
        <f t="array" ref="E54:E56">MMULT($B$35:$D$37,E$26:E$28)</f>
        <v>0.83638379185856604</v>
      </c>
      <c r="F54" s="109">
        <f t="array" ref="F54:F56">MMULT($B$39:$D$41,F$26:F$28)</f>
        <v>3.3418875074398349</v>
      </c>
      <c r="G54" s="109">
        <f t="array" ref="G54:G56">MMULT($B$43:$D$45,G$26:G$28)</f>
        <v>0.68363155825299915</v>
      </c>
      <c r="H54" s="109">
        <f t="array" ref="H54:H56">MMULT($B$47:$D$49,H$26:H$28)</f>
        <v>1.8926153319614101</v>
      </c>
      <c r="I54" s="71" t="e">
        <f>INDEX(MMULT($B$31:$D$33,I$26:I$28),ROW(#REF!))</f>
        <v>#REF!</v>
      </c>
      <c r="J54" s="71" t="e">
        <f>INDEX(MMULT($B$31:$D$33,J$26:J$28),ROW(#REF!))</f>
        <v>#REF!</v>
      </c>
      <c r="K54" s="71" t="e">
        <f>INDEX(MMULT($B$31:$D$33,K$26:K$28),ROW(#REF!))</f>
        <v>#REF!</v>
      </c>
      <c r="O54" s="35"/>
      <c r="P54" s="35"/>
    </row>
    <row r="55" spans="1:16">
      <c r="B55" t="s">
        <v>93</v>
      </c>
      <c r="D55" s="37">
        <v>1.6482719298976485</v>
      </c>
      <c r="E55" s="109">
        <v>3.4148154031484084</v>
      </c>
      <c r="F55" s="109">
        <v>1.5565144366196493</v>
      </c>
      <c r="G55" s="109">
        <v>4.1503576681180627</v>
      </c>
      <c r="H55" s="109">
        <v>0.83869940662392517</v>
      </c>
      <c r="I55" s="71">
        <f t="shared" ref="I55:K56" si="16">INDEX(MMULT($B$31:$D$33,I$26:I$28),ROW($A1))</f>
        <v>-0.76474337943000381</v>
      </c>
      <c r="J55" s="71">
        <f t="shared" si="16"/>
        <v>-0.18373655926605126</v>
      </c>
      <c r="K55" s="71">
        <f t="shared" si="16"/>
        <v>-8.9335879036617633E-2</v>
      </c>
      <c r="O55" s="35"/>
    </row>
    <row r="56" spans="1:16">
      <c r="B56" t="s">
        <v>94</v>
      </c>
      <c r="D56" s="37">
        <v>1.9054890094592314</v>
      </c>
      <c r="E56" s="109">
        <v>0.66392625639121827</v>
      </c>
      <c r="F56" s="109">
        <v>4.0570733670658425</v>
      </c>
      <c r="G56" s="109">
        <v>1.9083241024773712</v>
      </c>
      <c r="H56" s="109">
        <v>1.6082873847819885</v>
      </c>
      <c r="I56" s="71">
        <f t="shared" si="16"/>
        <v>0.85159074406752489</v>
      </c>
      <c r="J56" s="71">
        <f t="shared" si="16"/>
        <v>-0.47061926565100198</v>
      </c>
      <c r="K56" s="71">
        <f t="shared" si="16"/>
        <v>-1.3604154940728003E-2</v>
      </c>
      <c r="O56" s="35"/>
    </row>
    <row r="57" spans="1:16">
      <c r="B57" t="s">
        <v>95</v>
      </c>
      <c r="D57" s="127">
        <f>(D$66-D$54)^2+(D$67-D$55)^2+(D$68-D$56)^2</f>
        <v>1.0467591980732123E-13</v>
      </c>
      <c r="E57" s="127">
        <f>(E$66-E$54)^2+(E$67-E$55)^2+(E$68-E$56)^2</f>
        <v>4.814672834646616E-12</v>
      </c>
      <c r="F57" s="127">
        <f>(F$66-F$54)^2+(F$67-F$55)^2+(F$68-F$56)^2</f>
        <v>4.9333718106690707E-12</v>
      </c>
      <c r="G57" s="127">
        <f>(G$66-G$54)^2+(G$67-G$55)^2+(G$68-G$56)^2</f>
        <v>3.8603999168651867E-12</v>
      </c>
      <c r="H57" s="127">
        <f>(H$66-H$54)^2+(H$67-H$55)^2+(H$68-H$56)^2</f>
        <v>5.789253322191499E-13</v>
      </c>
      <c r="I57" s="128" t="e">
        <f t="shared" ref="I57:K57" si="17">(I$54-I$66)^2+(I$55-I$67)^2+(I$56-I$68)^2</f>
        <v>#REF!</v>
      </c>
      <c r="J57" s="128" t="e">
        <f t="shared" si="17"/>
        <v>#REF!</v>
      </c>
      <c r="K57" s="128" t="e">
        <f t="shared" si="17"/>
        <v>#REF!</v>
      </c>
    </row>
    <row r="58" spans="1:16">
      <c r="D58" s="31"/>
      <c r="E58" s="31"/>
      <c r="F58" s="2"/>
      <c r="G58" s="2"/>
      <c r="H58" s="2"/>
    </row>
    <row r="59" spans="1:16">
      <c r="D59" s="31"/>
      <c r="E59" s="31"/>
      <c r="F59" s="2"/>
      <c r="G59" s="2"/>
      <c r="H59" s="2"/>
    </row>
    <row r="60" spans="1:16" ht="18.75">
      <c r="B60" s="56" t="s">
        <v>87</v>
      </c>
      <c r="C60" s="57"/>
      <c r="D60" s="80">
        <f>A_1*($D$22^2-D23^2)</f>
        <v>5.8861729794498236E-3</v>
      </c>
      <c r="E60" s="80">
        <f>A_1*($E$22^2-E23^2)</f>
        <v>-7.375049824074007E-4</v>
      </c>
      <c r="F60" s="80">
        <f t="shared" ref="F60:K62" si="18">A_1*(F$22^2-F23^2)</f>
        <v>6.0543510628576136E-3</v>
      </c>
      <c r="G60" s="80">
        <f t="shared" si="18"/>
        <v>8.4348188101053285E-3</v>
      </c>
      <c r="H60" s="80">
        <f t="shared" si="18"/>
        <v>-8.0772471308245247E-4</v>
      </c>
      <c r="I60" s="80">
        <f t="shared" si="18"/>
        <v>-1.5470997696558767E-3</v>
      </c>
      <c r="J60" s="80">
        <f t="shared" si="18"/>
        <v>6.4573149834864655E-3</v>
      </c>
      <c r="K60" s="80">
        <f t="shared" si="18"/>
        <v>3.9125594545225302E-3</v>
      </c>
      <c r="L60" s="175" t="s">
        <v>96</v>
      </c>
    </row>
    <row r="61" spans="1:16" ht="18.75">
      <c r="B61" s="56" t="s">
        <v>88</v>
      </c>
      <c r="C61" s="57"/>
      <c r="D61" s="80">
        <f>A_1*($D$22^2-D24^2)</f>
        <v>5.9750034569434514E-3</v>
      </c>
      <c r="E61" s="80">
        <f>A_1*($E$22^2-E24^2)</f>
        <v>0</v>
      </c>
      <c r="F61" s="80">
        <f t="shared" si="18"/>
        <v>5.786323326816843E-3</v>
      </c>
      <c r="G61" s="80">
        <f t="shared" si="18"/>
        <v>8.4348188101053285E-3</v>
      </c>
      <c r="H61" s="80">
        <f t="shared" si="18"/>
        <v>-1.3759490722376486E-3</v>
      </c>
      <c r="I61" s="80">
        <f t="shared" si="18"/>
        <v>3.6755526606819416E-4</v>
      </c>
      <c r="J61" s="80">
        <f t="shared" si="18"/>
        <v>8.9904093997263575E-3</v>
      </c>
      <c r="K61" s="80">
        <f t="shared" si="18"/>
        <v>5.7519203713529404E-3</v>
      </c>
      <c r="L61" s="175"/>
    </row>
    <row r="62" spans="1:16" ht="18.75">
      <c r="B62" s="56" t="s">
        <v>89</v>
      </c>
      <c r="C62" s="57"/>
      <c r="D62" s="80">
        <f>A_1*($D$22^2-D25^2)</f>
        <v>5.8266727749221149E-3</v>
      </c>
      <c r="E62" s="80">
        <f>A_1*($E$22^2-E25^2)</f>
        <v>0</v>
      </c>
      <c r="F62" s="80">
        <f t="shared" si="18"/>
        <v>5.8981108136970141E-3</v>
      </c>
      <c r="G62" s="80">
        <f t="shared" si="18"/>
        <v>8.4322093991346346E-3</v>
      </c>
      <c r="H62" s="80">
        <f t="shared" si="18"/>
        <v>-2.6266165592760521E-3</v>
      </c>
      <c r="I62" s="80">
        <f t="shared" si="18"/>
        <v>-5.0427555888347027E-3</v>
      </c>
      <c r="J62" s="80">
        <f t="shared" si="18"/>
        <v>1.0903380373299632E-2</v>
      </c>
      <c r="K62" s="80">
        <f t="shared" si="18"/>
        <v>3.2414351450327505E-3</v>
      </c>
      <c r="L62" s="175"/>
    </row>
    <row r="63" spans="1:16">
      <c r="B63" s="56" t="s">
        <v>86</v>
      </c>
      <c r="C63" s="58"/>
      <c r="D63" s="80">
        <f>A_2*(T_0*$D$22-T_2*D23)</f>
        <v>4.3749544467501979E-3</v>
      </c>
      <c r="E63" s="80">
        <f>A_2*(T_2*$E$22-T_0*E23)</f>
        <v>-1.9669044962940131E-3</v>
      </c>
      <c r="F63" s="80">
        <f>A_2*(T_3*F$22-T_2*F23)</f>
        <v>3.9146012762892674E-2</v>
      </c>
      <c r="G63" s="80">
        <f>A_2*(T_4*G$22-T_2*G23)</f>
        <v>3.620442031095991E-3</v>
      </c>
      <c r="H63" s="80">
        <f>A_2*(T_0*H$22-T_4*H23)</f>
        <v>-1.1203543495852102E-3</v>
      </c>
      <c r="I63" s="80">
        <f t="shared" ref="I63:K65" si="19">A_2*(THETA_0*I$22-THETA_1*I23)</f>
        <v>0</v>
      </c>
      <c r="J63" s="80">
        <f t="shared" si="19"/>
        <v>0</v>
      </c>
      <c r="K63" s="80">
        <f t="shared" si="19"/>
        <v>0</v>
      </c>
      <c r="L63" s="175"/>
    </row>
    <row r="64" spans="1:16">
      <c r="B64" s="56" t="s">
        <v>91</v>
      </c>
      <c r="C64" s="58" t="s">
        <v>27</v>
      </c>
      <c r="D64" s="80">
        <f>A_2*(T_0*$D$22-T_3*D24)</f>
        <v>5.5984766891138873E-3</v>
      </c>
      <c r="E64" s="80">
        <f>A_2*(T_2*$E$22-T_3*E24)</f>
        <v>0</v>
      </c>
      <c r="F64" s="80">
        <f>A_2*(T_3*F$22-T_0*F24)</f>
        <v>3.7960269508131805E-2</v>
      </c>
      <c r="G64" s="80">
        <f>A_2*(T_4*G$22-T_3*G24)</f>
        <v>3.620442031095991E-3</v>
      </c>
      <c r="H64" s="80">
        <f>A_2*(T_0*H$22-T_2*H24)</f>
        <v>-4.8153964732526276E-3</v>
      </c>
      <c r="I64" s="80">
        <f t="shared" si="19"/>
        <v>0</v>
      </c>
      <c r="J64" s="80">
        <f t="shared" si="19"/>
        <v>0</v>
      </c>
      <c r="K64" s="80">
        <f t="shared" si="19"/>
        <v>0</v>
      </c>
      <c r="L64" s="175"/>
    </row>
    <row r="65" spans="1:12">
      <c r="B65" s="56" t="s">
        <v>90</v>
      </c>
      <c r="C65" s="58"/>
      <c r="D65" s="80">
        <f>A_2*(T_0*$D$22-T_4*D25)</f>
        <v>5.1183683869056688E-3</v>
      </c>
      <c r="E65" s="80">
        <f>A_2*(T_2*$E$22-T_4*E25)</f>
        <v>0</v>
      </c>
      <c r="F65" s="80">
        <f>A_2*(T_3*F$22-T_4*F25)</f>
        <v>3.8653270083622536E-2</v>
      </c>
      <c r="G65" s="80">
        <f>A_2*(T_4*G$22-T_0*G25)</f>
        <v>3.503445755789565E-3</v>
      </c>
      <c r="H65" s="80">
        <f>A_2*(T_0*H$22-T_3*H25)</f>
        <v>-2.5784105666983092E-2</v>
      </c>
      <c r="I65" s="80">
        <f t="shared" si="19"/>
        <v>0</v>
      </c>
      <c r="J65" s="80">
        <f t="shared" si="19"/>
        <v>0</v>
      </c>
      <c r="K65" s="80">
        <f t="shared" si="19"/>
        <v>0</v>
      </c>
      <c r="L65" s="175"/>
    </row>
    <row r="66" spans="1:12">
      <c r="B66" t="s">
        <v>45</v>
      </c>
      <c r="C66" s="2"/>
      <c r="D66" s="55">
        <f t="shared" ref="D66:G67" si="20">D12+D60+D63-J12</f>
        <v>0.8551522325913935</v>
      </c>
      <c r="E66" s="55">
        <f t="shared" si="20"/>
        <v>0.83638333478535865</v>
      </c>
      <c r="F66" s="55">
        <f t="shared" si="20"/>
        <v>3.3418863552555438</v>
      </c>
      <c r="G66" s="55">
        <f t="shared" si="20"/>
        <v>0.68363253734198148</v>
      </c>
      <c r="H66" s="142">
        <f>H12+H60+H63-$N$12</f>
        <v>1.8926157036319502</v>
      </c>
      <c r="I66" s="72">
        <f t="shared" ref="I66:K66" si="21">$D$7+$G$7+I60+I63</f>
        <v>-1.5470997696558767E-3</v>
      </c>
      <c r="J66" s="72">
        <f t="shared" si="21"/>
        <v>6.4573149834864655E-3</v>
      </c>
      <c r="K66" s="72">
        <f t="shared" si="21"/>
        <v>3.9125594545225302E-3</v>
      </c>
      <c r="L66" s="175"/>
    </row>
    <row r="67" spans="1:12">
      <c r="B67" t="s">
        <v>43</v>
      </c>
      <c r="D67" s="55">
        <f t="shared" si="20"/>
        <v>1.6482721494534449</v>
      </c>
      <c r="E67" s="55">
        <f t="shared" si="20"/>
        <v>3.4148142564339246</v>
      </c>
      <c r="F67" s="55">
        <f t="shared" si="20"/>
        <v>1.5565136362370715</v>
      </c>
      <c r="G67" s="55">
        <f t="shared" si="20"/>
        <v>4.150356440050996</v>
      </c>
      <c r="H67" s="142">
        <f>H13+H61+H64-$N$13</f>
        <v>0.83869975961970322</v>
      </c>
      <c r="I67" s="72">
        <f t="shared" ref="I67:K68" si="22">$D$7+$G$7+I61+I64</f>
        <v>3.6755526606819416E-4</v>
      </c>
      <c r="J67" s="72">
        <f t="shared" si="22"/>
        <v>8.9904093997263575E-3</v>
      </c>
      <c r="K67" s="72">
        <f t="shared" si="22"/>
        <v>5.7519203713529404E-3</v>
      </c>
      <c r="L67" s="175"/>
    </row>
    <row r="68" spans="1:12">
      <c r="B68" t="s">
        <v>42</v>
      </c>
      <c r="C68" s="2"/>
      <c r="D68" s="55">
        <f t="shared" ref="D68" si="23">D14+D62+D65-J14</f>
        <v>1.9054888238564456</v>
      </c>
      <c r="E68" s="55">
        <f>E14+E62+E65-K14</f>
        <v>0.66392807044822133</v>
      </c>
      <c r="F68" s="55">
        <f>F14+F62+F65-L14</f>
        <v>4.0570750890504241</v>
      </c>
      <c r="G68" s="55">
        <f>G14+G62+G65-M14</f>
        <v>1.9083252830009674</v>
      </c>
      <c r="H68" s="142">
        <f>H14+H62+H65-$N$14</f>
        <v>1.6082879470811282</v>
      </c>
      <c r="I68" s="72">
        <f t="shared" si="22"/>
        <v>-5.0427555888347027E-3</v>
      </c>
      <c r="J68" s="72">
        <f t="shared" si="22"/>
        <v>1.0903380373299632E-2</v>
      </c>
      <c r="K68" s="72">
        <f t="shared" si="22"/>
        <v>3.2414351450327505E-3</v>
      </c>
      <c r="L68" s="175"/>
    </row>
    <row r="69" spans="1:12">
      <c r="C69" s="2"/>
      <c r="D69" s="2"/>
      <c r="E69" s="2"/>
      <c r="F69" s="2"/>
      <c r="G69" s="2"/>
      <c r="H69" s="2"/>
      <c r="I69" s="2"/>
      <c r="J69" s="2"/>
      <c r="K69" s="2"/>
    </row>
    <row r="70" spans="1:12">
      <c r="A70" s="174" t="s">
        <v>62</v>
      </c>
      <c r="B70" s="174"/>
      <c r="C70" s="174"/>
      <c r="D70" s="174"/>
      <c r="E70" s="174"/>
      <c r="F70" s="174"/>
      <c r="G70" s="174"/>
      <c r="H70" s="174"/>
      <c r="I70" s="174"/>
      <c r="J70" s="174"/>
      <c r="K70" s="174"/>
    </row>
    <row r="71" spans="1:12">
      <c r="B71" t="s">
        <v>53</v>
      </c>
      <c r="C71" s="2"/>
      <c r="D71" s="35">
        <v>0</v>
      </c>
      <c r="E71" s="35">
        <v>0</v>
      </c>
      <c r="F71" s="35">
        <v>0</v>
      </c>
      <c r="G71" s="35">
        <v>0</v>
      </c>
      <c r="H71" s="2"/>
      <c r="I71" s="2"/>
      <c r="J71" s="2"/>
      <c r="K71" s="2"/>
    </row>
    <row r="72" spans="1:12">
      <c r="B72" t="s">
        <v>54</v>
      </c>
      <c r="C72" s="2" t="s">
        <v>27</v>
      </c>
      <c r="D72" s="35">
        <v>0</v>
      </c>
      <c r="E72" s="35">
        <v>0</v>
      </c>
      <c r="F72" s="35">
        <v>0</v>
      </c>
      <c r="G72" s="35">
        <v>0</v>
      </c>
      <c r="H72" s="2"/>
      <c r="I72" s="2"/>
      <c r="J72" s="2"/>
      <c r="K72" s="2"/>
    </row>
    <row r="73" spans="1:12">
      <c r="B73" t="s">
        <v>55</v>
      </c>
      <c r="C73" s="2"/>
      <c r="D73" s="35">
        <v>0</v>
      </c>
      <c r="E73" s="35">
        <v>0</v>
      </c>
      <c r="F73" s="35">
        <v>0</v>
      </c>
      <c r="G73" s="35">
        <v>0</v>
      </c>
      <c r="H73" s="2"/>
      <c r="I73" s="2"/>
      <c r="J73" s="2"/>
      <c r="K73" s="2"/>
    </row>
    <row r="74" spans="1:12">
      <c r="C74" s="2"/>
      <c r="D74" s="2"/>
      <c r="E74" s="2"/>
      <c r="F74" s="2"/>
      <c r="G74" s="2"/>
      <c r="H74" s="2"/>
      <c r="I74" s="2"/>
      <c r="J74" s="2"/>
      <c r="K74" s="2"/>
    </row>
    <row r="75" spans="1:12">
      <c r="A75" s="174" t="s">
        <v>64</v>
      </c>
      <c r="B75" s="174"/>
      <c r="C75" s="174"/>
      <c r="D75" s="174"/>
      <c r="E75" s="174"/>
      <c r="F75" s="174"/>
      <c r="G75" s="174"/>
      <c r="H75" s="174"/>
      <c r="I75" s="174"/>
      <c r="J75" s="174"/>
      <c r="K75" s="174"/>
    </row>
    <row r="76" spans="1:12">
      <c r="A76" s="23"/>
      <c r="B76" s="21"/>
      <c r="C76" s="21"/>
      <c r="D76" s="12">
        <v>0</v>
      </c>
      <c r="E76" s="103">
        <v>2</v>
      </c>
      <c r="F76" s="103">
        <v>3</v>
      </c>
      <c r="G76" s="103">
        <v>4</v>
      </c>
      <c r="H76" s="103">
        <v>0</v>
      </c>
      <c r="I76" s="69">
        <v>6</v>
      </c>
      <c r="J76" s="69">
        <v>7</v>
      </c>
      <c r="K76" s="69">
        <v>8</v>
      </c>
    </row>
    <row r="77" spans="1:12">
      <c r="B77" s="26" t="s">
        <v>59</v>
      </c>
      <c r="C77" s="26"/>
      <c r="D77" s="32">
        <f>D26+D71</f>
        <v>-1.5281532423178226E-2</v>
      </c>
      <c r="E77" s="32">
        <f t="shared" ref="E77:G77" si="24">E26+E71</f>
        <v>-1.0566625264410034</v>
      </c>
      <c r="F77" s="32">
        <f t="shared" si="24"/>
        <v>1.4048749942792476</v>
      </c>
      <c r="G77" s="32">
        <f t="shared" si="24"/>
        <v>-1.4603180121041786</v>
      </c>
      <c r="H77" s="104">
        <f>H26+$D$71</f>
        <v>-4.887391857791243E-3</v>
      </c>
      <c r="I77" s="73">
        <f t="shared" ref="H77:K79" si="25">I26+$D$71</f>
        <v>-0.64147819789622496</v>
      </c>
      <c r="J77" s="73">
        <f t="shared" si="25"/>
        <v>-2.6436636559469484E-2</v>
      </c>
      <c r="K77" s="73">
        <f t="shared" si="25"/>
        <v>-1.0305960682470916E-2</v>
      </c>
    </row>
    <row r="78" spans="1:12">
      <c r="B78" s="26" t="s">
        <v>60</v>
      </c>
      <c r="C78" s="26" t="s">
        <v>27</v>
      </c>
      <c r="D78" s="32">
        <f t="shared" ref="D78:D79" si="26">D27+D72</f>
        <v>0.9562783156398077</v>
      </c>
      <c r="E78" s="32">
        <f t="shared" ref="E78:G78" si="27">E27+E72</f>
        <v>0.99643143506690712</v>
      </c>
      <c r="F78" s="32">
        <f t="shared" si="27"/>
        <v>0.13453570285931396</v>
      </c>
      <c r="G78" s="32">
        <f t="shared" si="27"/>
        <v>-9.7426512875753782E-2</v>
      </c>
      <c r="H78" s="104">
        <f t="shared" si="25"/>
        <v>0.95629134652133252</v>
      </c>
      <c r="I78" s="73">
        <f t="shared" si="25"/>
        <v>4.8639647915487139E-2</v>
      </c>
      <c r="J78" s="73">
        <f t="shared" si="25"/>
        <v>-0.42478485919807984</v>
      </c>
      <c r="K78" s="73">
        <f t="shared" si="25"/>
        <v>5.2954891334215048E-2</v>
      </c>
    </row>
    <row r="79" spans="1:12">
      <c r="B79" s="26" t="s">
        <v>61</v>
      </c>
      <c r="C79" s="26"/>
      <c r="D79" s="32">
        <f t="shared" si="26"/>
        <v>1.178157965339047</v>
      </c>
      <c r="E79" s="32">
        <f t="shared" ref="E79:G79" si="28">E28+E73</f>
        <v>0.39513947309721981</v>
      </c>
      <c r="F79" s="32">
        <f t="shared" si="28"/>
        <v>0.42344958655893555</v>
      </c>
      <c r="G79" s="32">
        <f t="shared" si="28"/>
        <v>0.3791070636490706</v>
      </c>
      <c r="H79" s="104">
        <f t="shared" si="25"/>
        <v>1.142840812579669</v>
      </c>
      <c r="I79" s="73">
        <f t="shared" si="25"/>
        <v>-0.12219530665103107</v>
      </c>
      <c r="J79" s="73">
        <f t="shared" si="25"/>
        <v>-0.2246402934383831</v>
      </c>
      <c r="K79" s="73">
        <f t="shared" si="25"/>
        <v>-9.8948905880472005E-2</v>
      </c>
    </row>
    <row r="80" spans="1:12"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9">
      <c r="A81" s="174" t="s">
        <v>67</v>
      </c>
      <c r="B81" s="174"/>
      <c r="C81" s="174"/>
      <c r="D81" s="174"/>
      <c r="E81" s="174"/>
      <c r="F81" s="174"/>
      <c r="G81" s="174"/>
      <c r="H81" s="174"/>
      <c r="I81" s="174"/>
      <c r="J81" s="174"/>
      <c r="K81" s="174"/>
    </row>
    <row r="82" spans="1:19">
      <c r="A82" t="s">
        <v>151</v>
      </c>
      <c r="B82" s="21"/>
      <c r="C82" s="21"/>
      <c r="D82" s="12">
        <v>0</v>
      </c>
      <c r="E82" s="103">
        <v>2</v>
      </c>
      <c r="F82" s="103">
        <v>3</v>
      </c>
      <c r="G82" s="103">
        <v>4</v>
      </c>
      <c r="H82" s="103">
        <v>0</v>
      </c>
      <c r="I82" s="69">
        <v>6</v>
      </c>
      <c r="J82" s="69">
        <v>7</v>
      </c>
      <c r="K82" s="69">
        <v>8</v>
      </c>
    </row>
    <row r="83" spans="1:19">
      <c r="B83" s="176" t="s">
        <v>71</v>
      </c>
      <c r="C83" s="176"/>
      <c r="D83" s="38">
        <v>1.155</v>
      </c>
      <c r="E83" s="38">
        <v>1.883</v>
      </c>
      <c r="F83" s="105">
        <v>2.105</v>
      </c>
      <c r="G83" s="105">
        <v>1.806</v>
      </c>
      <c r="H83" s="105">
        <v>1.155</v>
      </c>
      <c r="I83" s="74">
        <f>Messaufbau_Messdaten!O30</f>
        <v>1.851</v>
      </c>
      <c r="J83" s="74">
        <f>Messaufbau_Messdaten!P30</f>
        <v>2.0550000000000002</v>
      </c>
      <c r="K83" s="74">
        <f>Messaufbau_Messdaten!Q30</f>
        <v>1.5740000000000001</v>
      </c>
    </row>
    <row r="84" spans="1:19">
      <c r="B84" s="172" t="s">
        <v>70</v>
      </c>
      <c r="C84" s="172"/>
      <c r="D84" s="36">
        <f>SQRT(D77^2+D78^2+D79^2)</f>
        <v>1.5174840801431664</v>
      </c>
      <c r="E84" s="106">
        <f t="shared" ref="E84:K84" si="29">SQRT(E77^2+E78^2+E79^2)</f>
        <v>1.505173246763883</v>
      </c>
      <c r="F84" s="106">
        <f t="shared" si="29"/>
        <v>1.4734595879262855</v>
      </c>
      <c r="G84" s="106">
        <f t="shared" si="29"/>
        <v>1.5118673181187725</v>
      </c>
      <c r="H84" s="106">
        <f t="shared" si="29"/>
        <v>1.4901684968246085</v>
      </c>
      <c r="I84" s="75">
        <f t="shared" si="29"/>
        <v>0.65482195037511559</v>
      </c>
      <c r="J84" s="75">
        <f t="shared" si="29"/>
        <v>0.48125287925641846</v>
      </c>
      <c r="K84" s="75">
        <f t="shared" si="29"/>
        <v>0.1127001300653627</v>
      </c>
    </row>
    <row r="85" spans="1:19">
      <c r="B85" s="172" t="s">
        <v>69</v>
      </c>
      <c r="C85" s="172"/>
      <c r="D85" s="36">
        <f>D84-D83</f>
        <v>0.36248408014316635</v>
      </c>
      <c r="E85" s="106">
        <f t="shared" ref="E85:K85" si="30">E84-E83</f>
        <v>-0.37782675323611703</v>
      </c>
      <c r="F85" s="106">
        <f t="shared" si="30"/>
        <v>-0.63154041207371447</v>
      </c>
      <c r="G85" s="106">
        <f t="shared" si="30"/>
        <v>-0.29413268188122754</v>
      </c>
      <c r="H85" s="106">
        <f t="shared" si="30"/>
        <v>0.33516849682460848</v>
      </c>
      <c r="I85" s="75">
        <f t="shared" si="30"/>
        <v>-1.1961780496248844</v>
      </c>
      <c r="J85" s="75">
        <f t="shared" si="30"/>
        <v>-1.5737471207435818</v>
      </c>
      <c r="K85" s="75">
        <f t="shared" si="30"/>
        <v>-1.4612998699346373</v>
      </c>
      <c r="L85" s="35"/>
      <c r="M85" s="35"/>
      <c r="N85" s="35"/>
      <c r="O85" s="35"/>
      <c r="P85" s="35"/>
      <c r="Q85" s="35"/>
      <c r="R85" s="35"/>
      <c r="S85" s="35"/>
    </row>
    <row r="86" spans="1:19">
      <c r="B86" s="173" t="s">
        <v>68</v>
      </c>
      <c r="C86" s="173"/>
      <c r="D86" s="39">
        <f>1-D83/D84</f>
        <v>0.23887175153031459</v>
      </c>
      <c r="E86" s="107">
        <f t="shared" ref="E86:K86" si="31">1-E83/E84</f>
        <v>-0.25101878076058237</v>
      </c>
      <c r="F86" s="107">
        <f t="shared" si="31"/>
        <v>-0.42861060951290186</v>
      </c>
      <c r="G86" s="107">
        <f t="shared" si="31"/>
        <v>-0.19454926920916504</v>
      </c>
      <c r="H86" s="107">
        <f t="shared" si="31"/>
        <v>0.22491986479301973</v>
      </c>
      <c r="I86" s="76">
        <f t="shared" si="31"/>
        <v>-1.8267225906823255</v>
      </c>
      <c r="J86" s="76">
        <f t="shared" si="31"/>
        <v>-3.2701043226487725</v>
      </c>
      <c r="K86" s="76">
        <f t="shared" si="31"/>
        <v>-12.966266046783861</v>
      </c>
      <c r="L86" s="35"/>
      <c r="M86" s="35"/>
      <c r="N86" s="35"/>
      <c r="O86" s="35"/>
      <c r="P86" s="35"/>
      <c r="Q86" s="35"/>
      <c r="R86" s="35"/>
      <c r="S86" s="35"/>
    </row>
    <row r="87" spans="1:19">
      <c r="D87">
        <f>D85*D85</f>
        <v>0.13139470835723746</v>
      </c>
      <c r="E87" s="108">
        <f t="shared" ref="E87:K87" si="32">E85*E85</f>
        <v>0.14275305546094566</v>
      </c>
      <c r="F87" s="108">
        <f t="shared" si="32"/>
        <v>0.39884329208223707</v>
      </c>
      <c r="G87" s="108">
        <f t="shared" si="32"/>
        <v>8.6514034550643396E-2</v>
      </c>
      <c r="H87" s="108">
        <f t="shared" si="32"/>
        <v>0.11233792126366758</v>
      </c>
      <c r="I87" s="77">
        <f t="shared" si="32"/>
        <v>1.4308419264043923</v>
      </c>
      <c r="J87" s="77">
        <f t="shared" si="32"/>
        <v>2.4766800000487139</v>
      </c>
      <c r="K87" s="77">
        <f t="shared" si="32"/>
        <v>2.1353973098709882</v>
      </c>
      <c r="L87" s="35"/>
      <c r="M87" s="35"/>
      <c r="N87" s="35"/>
      <c r="O87" s="35"/>
      <c r="P87" s="35"/>
      <c r="Q87" s="35"/>
      <c r="R87" s="35"/>
      <c r="S87" s="35"/>
    </row>
    <row r="88" spans="1:19" ht="15.75" thickBot="1">
      <c r="A88" s="110"/>
      <c r="B88" s="110"/>
      <c r="C88" s="110"/>
      <c r="D88" s="110"/>
      <c r="E88" s="110"/>
      <c r="F88" s="110"/>
      <c r="G88" s="110"/>
      <c r="H88" s="110"/>
      <c r="I88" s="110"/>
      <c r="J88" s="110"/>
      <c r="K88" s="110"/>
    </row>
    <row r="89" spans="1:19" ht="15.75" thickTop="1">
      <c r="L89" s="35"/>
      <c r="M89" s="35"/>
      <c r="N89" s="35"/>
      <c r="O89" s="35"/>
      <c r="P89" s="35"/>
      <c r="Q89" s="35"/>
      <c r="R89" s="35"/>
      <c r="S89" s="35"/>
    </row>
    <row r="90" spans="1:19">
      <c r="C90">
        <v>1</v>
      </c>
      <c r="D90" s="82">
        <v>2</v>
      </c>
      <c r="E90">
        <v>3</v>
      </c>
      <c r="F90">
        <v>4</v>
      </c>
      <c r="G90">
        <v>5</v>
      </c>
      <c r="H90">
        <v>6</v>
      </c>
      <c r="I90" s="82">
        <v>7</v>
      </c>
      <c r="J90">
        <v>8</v>
      </c>
      <c r="K90" t="s">
        <v>78</v>
      </c>
      <c r="L90" s="16">
        <v>1</v>
      </c>
      <c r="M90" s="16">
        <v>2</v>
      </c>
      <c r="N90" s="16">
        <v>3</v>
      </c>
      <c r="O90" s="16">
        <v>4</v>
      </c>
      <c r="P90" s="16">
        <v>5</v>
      </c>
      <c r="Q90" s="16">
        <v>6</v>
      </c>
      <c r="R90" s="16">
        <v>7</v>
      </c>
      <c r="S90" s="16">
        <v>8</v>
      </c>
    </row>
    <row r="91" spans="1:19">
      <c r="A91" t="s">
        <v>113</v>
      </c>
      <c r="B91" t="s">
        <v>27</v>
      </c>
      <c r="C91" s="35">
        <v>0.47920829337661575</v>
      </c>
      <c r="D91" s="83">
        <v>-0.77466733619029227</v>
      </c>
      <c r="E91" s="35">
        <v>1.5211206823878374</v>
      </c>
      <c r="F91" s="35">
        <v>-0.92363888275861272</v>
      </c>
      <c r="G91" s="35">
        <v>1.921310887304841</v>
      </c>
      <c r="H91" s="35">
        <v>-0.55595022326781851</v>
      </c>
      <c r="I91" s="83">
        <v>1.0628801501210983</v>
      </c>
      <c r="J91" s="35">
        <v>0.45375044784821961</v>
      </c>
      <c r="L91" s="35">
        <v>0</v>
      </c>
      <c r="M91" s="35">
        <f t="shared" ref="M91:S93" si="33">D91-$C91</f>
        <v>-1.253875629566908</v>
      </c>
      <c r="N91" s="35">
        <f t="shared" si="33"/>
        <v>1.0419123890112216</v>
      </c>
      <c r="O91" s="35">
        <f t="shared" si="33"/>
        <v>-1.4028471761352286</v>
      </c>
      <c r="P91" s="35">
        <f t="shared" si="33"/>
        <v>1.4421025939282253</v>
      </c>
      <c r="Q91" s="35">
        <f t="shared" si="33"/>
        <v>-1.0351585166444344</v>
      </c>
      <c r="R91" s="35">
        <f t="shared" si="33"/>
        <v>0.58367185674448252</v>
      </c>
      <c r="S91" s="35">
        <f t="shared" si="33"/>
        <v>-2.5457845528396139E-2</v>
      </c>
    </row>
    <row r="92" spans="1:19">
      <c r="A92" t="s">
        <v>115</v>
      </c>
      <c r="B92" t="s">
        <v>27</v>
      </c>
      <c r="C92" s="35">
        <v>-1.0120183213662168</v>
      </c>
      <c r="D92" s="83">
        <v>-1.0446104874939868</v>
      </c>
      <c r="E92" s="35">
        <v>-1.0528368537974293</v>
      </c>
      <c r="F92" s="35">
        <v>-0.1973528620206508</v>
      </c>
      <c r="G92" s="35">
        <v>3.1169393503572059E-2</v>
      </c>
      <c r="H92" s="35">
        <v>1.0917266627558933</v>
      </c>
      <c r="I92" s="83">
        <v>1.0721321685048839</v>
      </c>
      <c r="J92" s="35">
        <v>1.354747525895555</v>
      </c>
      <c r="L92" s="35">
        <v>0</v>
      </c>
      <c r="M92" s="35">
        <f t="shared" si="33"/>
        <v>-3.2592166127769939E-2</v>
      </c>
      <c r="N92" s="35">
        <f t="shared" si="33"/>
        <v>-4.0818532431212473E-2</v>
      </c>
      <c r="O92" s="35">
        <f t="shared" si="33"/>
        <v>0.814665459345566</v>
      </c>
      <c r="P92" s="35">
        <f t="shared" si="33"/>
        <v>1.0431877148697888</v>
      </c>
      <c r="Q92" s="35">
        <f t="shared" si="33"/>
        <v>2.1037449841221099</v>
      </c>
      <c r="R92" s="35">
        <f t="shared" si="33"/>
        <v>2.0841504898711007</v>
      </c>
      <c r="S92" s="35">
        <f t="shared" si="33"/>
        <v>2.3667658472617719</v>
      </c>
    </row>
    <row r="93" spans="1:19">
      <c r="A93" t="s">
        <v>116</v>
      </c>
      <c r="B93" t="s">
        <v>27</v>
      </c>
      <c r="C93" s="35">
        <v>0.60667574649490386</v>
      </c>
      <c r="D93" s="83">
        <v>1.3460223603321362</v>
      </c>
      <c r="E93" s="35">
        <v>1.3791595783414641</v>
      </c>
      <c r="F93" s="35">
        <v>1.3262629215252844</v>
      </c>
      <c r="G93" s="35">
        <v>1.396000084565695</v>
      </c>
      <c r="H93" s="35">
        <v>1.4358127591862397</v>
      </c>
      <c r="I93" s="83">
        <v>1.3583899668915187</v>
      </c>
      <c r="J93" s="35">
        <v>0.67035999999957208</v>
      </c>
      <c r="L93" s="35">
        <v>0</v>
      </c>
      <c r="M93" s="35">
        <f t="shared" si="33"/>
        <v>0.73934661383723232</v>
      </c>
      <c r="N93" s="35">
        <f t="shared" si="33"/>
        <v>0.77248383184656022</v>
      </c>
      <c r="O93" s="35">
        <f t="shared" si="33"/>
        <v>0.7195871750303805</v>
      </c>
      <c r="P93" s="35">
        <f t="shared" si="33"/>
        <v>0.78932433807079116</v>
      </c>
      <c r="Q93" s="35">
        <f t="shared" si="33"/>
        <v>0.82913701269133588</v>
      </c>
      <c r="R93" s="35">
        <f t="shared" si="33"/>
        <v>0.75171422039661484</v>
      </c>
      <c r="S93" s="35">
        <f t="shared" si="33"/>
        <v>6.368425350466822E-2</v>
      </c>
    </row>
    <row r="94" spans="1:19">
      <c r="E94" s="2"/>
      <c r="F94" s="2"/>
    </row>
    <row r="95" spans="1:19">
      <c r="B95" s="5"/>
      <c r="C95" s="79">
        <f>L$101-L$99</f>
        <v>1.0419123890112216</v>
      </c>
      <c r="D95" s="79">
        <f t="shared" ref="D95:E95" si="34">M$101-M$99</f>
        <v>-4.0818532431212473E-2</v>
      </c>
      <c r="E95" s="85">
        <f t="shared" si="34"/>
        <v>0.77248383184656022</v>
      </c>
      <c r="J95" s="79"/>
      <c r="K95" t="s">
        <v>128</v>
      </c>
      <c r="L95" s="35">
        <f>SQRT(L91^2+L92^2+L93^2)</f>
        <v>0</v>
      </c>
      <c r="M95" s="35">
        <f>SQRT(M91^2+M92^2+M93^2)</f>
        <v>1.4559875545853034</v>
      </c>
      <c r="N95" s="35">
        <f t="shared" ref="N95:S95" si="35">SQRT(N91^2+N92^2+N93^2)</f>
        <v>1.2976821064610753</v>
      </c>
      <c r="O95" s="35">
        <f t="shared" si="35"/>
        <v>1.7746734101545305</v>
      </c>
      <c r="P95" s="35">
        <f t="shared" si="35"/>
        <v>1.9470319490292554</v>
      </c>
      <c r="Q95" s="35">
        <f t="shared" si="35"/>
        <v>2.4869186353025614</v>
      </c>
      <c r="R95" s="35">
        <f t="shared" si="35"/>
        <v>2.2911635406343196</v>
      </c>
      <c r="S95" s="35">
        <f t="shared" si="35"/>
        <v>2.3677593547081863</v>
      </c>
    </row>
    <row r="96" spans="1:19">
      <c r="A96" t="s">
        <v>133</v>
      </c>
      <c r="B96" s="5" t="s">
        <v>27</v>
      </c>
      <c r="C96" s="79">
        <f>L$102-L$99</f>
        <v>-1.4028471761352286</v>
      </c>
      <c r="D96" s="79">
        <f t="shared" ref="D96:E96" si="36">M$102-M$99</f>
        <v>0.814665459345566</v>
      </c>
      <c r="E96" s="85">
        <f t="shared" si="36"/>
        <v>0.7195871750303805</v>
      </c>
      <c r="J96" s="79"/>
    </row>
    <row r="97" spans="1:14">
      <c r="B97" s="5"/>
      <c r="C97" s="79">
        <f>L$103-L$99</f>
        <v>1.4421025939282253</v>
      </c>
      <c r="D97" s="79">
        <f t="shared" ref="D97:E97" si="37">M$103-M$99</f>
        <v>1.0431877148697888</v>
      </c>
      <c r="E97" s="85">
        <f t="shared" si="37"/>
        <v>0.78932433807079116</v>
      </c>
      <c r="J97" s="79"/>
    </row>
    <row r="98" spans="1:14">
      <c r="L98" t="s">
        <v>56</v>
      </c>
      <c r="M98" t="s">
        <v>57</v>
      </c>
      <c r="N98" t="s">
        <v>58</v>
      </c>
    </row>
    <row r="99" spans="1:14">
      <c r="B99" s="5"/>
      <c r="C99" s="79">
        <f>L$99-L$101</f>
        <v>-1.0419123890112216</v>
      </c>
      <c r="D99" s="79">
        <f>M$99-M$101</f>
        <v>4.0818532431212473E-2</v>
      </c>
      <c r="E99" s="85">
        <f t="shared" ref="E99" si="38">N$99-N$101</f>
        <v>-0.77248383184656022</v>
      </c>
      <c r="K99">
        <v>0</v>
      </c>
      <c r="L99" s="35">
        <v>0.47920829337661575</v>
      </c>
      <c r="M99" s="35">
        <v>-1.0120183213662168</v>
      </c>
      <c r="N99" s="35">
        <v>0.60667574649490386</v>
      </c>
    </row>
    <row r="100" spans="1:14">
      <c r="A100" t="s">
        <v>140</v>
      </c>
      <c r="B100" s="5" t="s">
        <v>27</v>
      </c>
      <c r="C100" s="79">
        <f>L$102-L$101</f>
        <v>-2.44475956514645</v>
      </c>
      <c r="D100" s="79">
        <f>M$102-M$101</f>
        <v>0.85548399177677847</v>
      </c>
      <c r="E100" s="85">
        <f>N$102-N$101</f>
        <v>-5.2896656816179721E-2</v>
      </c>
      <c r="K100">
        <v>1</v>
      </c>
      <c r="L100" s="83">
        <v>-0.77466733619029227</v>
      </c>
      <c r="M100" s="83">
        <v>-1.0446104874939868</v>
      </c>
      <c r="N100" s="83">
        <v>1.3460223603321362</v>
      </c>
    </row>
    <row r="101" spans="1:14">
      <c r="B101" s="5"/>
      <c r="C101" s="79">
        <f>L$103-L$101</f>
        <v>0.40019020491700363</v>
      </c>
      <c r="D101" s="79">
        <f>M$103-M$101</f>
        <v>1.0840062473010013</v>
      </c>
      <c r="E101" s="85">
        <f>N$103-N$101</f>
        <v>1.6840506224230944E-2</v>
      </c>
      <c r="K101">
        <v>2</v>
      </c>
      <c r="L101" s="35">
        <v>1.5211206823878374</v>
      </c>
      <c r="M101" s="35">
        <v>-1.0528368537974293</v>
      </c>
      <c r="N101" s="35">
        <v>1.3791595783414641</v>
      </c>
    </row>
    <row r="102" spans="1:14">
      <c r="K102">
        <v>3</v>
      </c>
      <c r="L102" s="35">
        <v>-0.92363888275861272</v>
      </c>
      <c r="M102" s="35">
        <v>-0.1973528620206508</v>
      </c>
      <c r="N102" s="35">
        <v>1.3262629215252844</v>
      </c>
    </row>
    <row r="103" spans="1:14">
      <c r="B103" s="5"/>
      <c r="C103" s="79">
        <f>L$101-L$102</f>
        <v>2.44475956514645</v>
      </c>
      <c r="D103" s="79">
        <f t="shared" ref="D103" si="39">M$101-M$102</f>
        <v>-0.85548399177677847</v>
      </c>
      <c r="E103" s="85">
        <f>N$101-N$102</f>
        <v>5.2896656816179721E-2</v>
      </c>
      <c r="K103">
        <v>4</v>
      </c>
      <c r="L103" s="35">
        <v>1.921310887304841</v>
      </c>
      <c r="M103" s="35">
        <v>3.1169393503572059E-2</v>
      </c>
      <c r="N103" s="35">
        <v>1.396000084565695</v>
      </c>
    </row>
    <row r="104" spans="1:14">
      <c r="A104" t="s">
        <v>141</v>
      </c>
      <c r="B104" s="5" t="s">
        <v>27</v>
      </c>
      <c r="C104" s="79">
        <f>L$99-L$102</f>
        <v>1.4028471761352286</v>
      </c>
      <c r="D104" s="79">
        <f>M$99-M$102</f>
        <v>-0.814665459345566</v>
      </c>
      <c r="E104" s="85">
        <f>N$99-N$102</f>
        <v>-0.7195871750303805</v>
      </c>
      <c r="K104">
        <v>5</v>
      </c>
      <c r="L104" s="35">
        <v>-0.55595022326781851</v>
      </c>
      <c r="M104" s="35">
        <v>1.0917266627558933</v>
      </c>
      <c r="N104" s="35">
        <v>1.4358127591862397</v>
      </c>
    </row>
    <row r="105" spans="1:14">
      <c r="B105" s="5"/>
      <c r="C105" s="79">
        <f>L$103-L$102</f>
        <v>2.8449497700634536</v>
      </c>
      <c r="D105" s="79">
        <f>M$103-M$102</f>
        <v>0.22852225552422287</v>
      </c>
      <c r="E105" s="85">
        <f>N$103-N$102</f>
        <v>6.9737163040410666E-2</v>
      </c>
      <c r="K105">
        <v>6</v>
      </c>
      <c r="L105" s="83">
        <v>1.0628801501210983</v>
      </c>
      <c r="M105" s="83">
        <v>1.0721321685048839</v>
      </c>
      <c r="N105" s="83">
        <v>1.3583899668915187</v>
      </c>
    </row>
    <row r="106" spans="1:14">
      <c r="K106">
        <v>7</v>
      </c>
      <c r="L106" s="35">
        <v>0.45375044784821961</v>
      </c>
      <c r="M106" s="35">
        <v>1.354747525895555</v>
      </c>
      <c r="N106" s="35">
        <v>0.67035999999957208</v>
      </c>
    </row>
    <row r="107" spans="1:14">
      <c r="B107" s="5"/>
      <c r="C107" s="79">
        <f>L$101-L$103</f>
        <v>-0.40019020491700363</v>
      </c>
      <c r="D107" s="79">
        <f t="shared" ref="D107" si="40">M$101-M$103</f>
        <v>-1.0840062473010013</v>
      </c>
      <c r="E107" s="85">
        <f>N$101-N$103</f>
        <v>-1.6840506224230944E-2</v>
      </c>
    </row>
    <row r="108" spans="1:14">
      <c r="A108" t="s">
        <v>142</v>
      </c>
      <c r="B108" s="5" t="s">
        <v>27</v>
      </c>
      <c r="C108" s="79">
        <f>L$102-L$103</f>
        <v>-2.8449497700634536</v>
      </c>
      <c r="D108" s="79">
        <f>M$102-M$103</f>
        <v>-0.22852225552422287</v>
      </c>
      <c r="E108" s="85">
        <f>N$102-N$103</f>
        <v>-6.9737163040410666E-2</v>
      </c>
    </row>
    <row r="109" spans="1:14">
      <c r="B109" s="5"/>
      <c r="C109" s="79">
        <f>L$99-L$103</f>
        <v>-1.4421025939282253</v>
      </c>
      <c r="D109" s="79">
        <f>M$99-M$103</f>
        <v>-1.0431877148697888</v>
      </c>
      <c r="E109" s="85">
        <f>N$99-N$103</f>
        <v>-0.78932433807079116</v>
      </c>
    </row>
    <row r="111" spans="1:14">
      <c r="B111" s="5"/>
      <c r="C111" s="79">
        <f>L$101-L$99</f>
        <v>1.0419123890112216</v>
      </c>
      <c r="D111" s="79">
        <f t="shared" ref="D111" si="41">M$101-M$99</f>
        <v>-4.0818532431212473E-2</v>
      </c>
      <c r="E111" s="85">
        <f>N$101-N$99</f>
        <v>0.77248383184656022</v>
      </c>
    </row>
    <row r="112" spans="1:14">
      <c r="B112" s="5"/>
      <c r="C112" s="79">
        <f>L$102-L$99</f>
        <v>-1.4028471761352286</v>
      </c>
      <c r="D112" s="79">
        <f t="shared" ref="D112" si="42">M$102-M$99</f>
        <v>0.814665459345566</v>
      </c>
      <c r="E112" s="85">
        <f>N$102-N$99</f>
        <v>0.7195871750303805</v>
      </c>
    </row>
    <row r="113" spans="1:13">
      <c r="A113" t="s">
        <v>134</v>
      </c>
      <c r="B113" s="5" t="s">
        <v>27</v>
      </c>
      <c r="C113" s="79">
        <f>L$103-L$99</f>
        <v>1.4421025939282253</v>
      </c>
      <c r="D113" s="79">
        <f t="shared" ref="D113" si="43">M$103-M$99</f>
        <v>1.0431877148697888</v>
      </c>
      <c r="E113" s="85">
        <f>N$103-N$99</f>
        <v>0.78932433807079116</v>
      </c>
    </row>
    <row r="114" spans="1:13">
      <c r="B114" s="5"/>
      <c r="C114" s="79">
        <f>L$104-L$99</f>
        <v>-1.0351585166444344</v>
      </c>
      <c r="D114" s="79">
        <f t="shared" ref="D114" si="44">M$104-M$99</f>
        <v>2.1037449841221099</v>
      </c>
      <c r="E114" s="85">
        <f>N$104-N$99</f>
        <v>0.82913701269133588</v>
      </c>
    </row>
    <row r="115" spans="1:13">
      <c r="B115" s="5"/>
      <c r="C115" s="79">
        <f>L$106-L$99</f>
        <v>-2.5457845528396139E-2</v>
      </c>
      <c r="D115" s="79">
        <f t="shared" ref="D115" si="45">M$106-M$99</f>
        <v>2.3667658472617719</v>
      </c>
      <c r="E115" s="85">
        <f>N$106-N$99</f>
        <v>6.368425350466822E-2</v>
      </c>
    </row>
    <row r="117" spans="1:13">
      <c r="A117" s="23" t="s">
        <v>143</v>
      </c>
    </row>
    <row r="118" spans="1:13">
      <c r="B118" s="92">
        <v>0</v>
      </c>
      <c r="C118" s="117">
        <v>1</v>
      </c>
      <c r="D118" s="93">
        <v>2</v>
      </c>
      <c r="E118" s="93">
        <v>3</v>
      </c>
      <c r="F118" s="93">
        <v>4</v>
      </c>
      <c r="G118" s="135">
        <v>5</v>
      </c>
      <c r="H118" s="120">
        <v>6</v>
      </c>
      <c r="I118" s="132">
        <v>7</v>
      </c>
    </row>
    <row r="119" spans="1:13">
      <c r="B119" s="94">
        <f>C91-$C91</f>
        <v>0</v>
      </c>
      <c r="C119" s="118">
        <f>D91-$C91</f>
        <v>-1.253875629566908</v>
      </c>
      <c r="D119" s="95">
        <f t="shared" ref="D119:I119" si="46">E91-$C91</f>
        <v>1.0419123890112216</v>
      </c>
      <c r="E119" s="95">
        <f t="shared" si="46"/>
        <v>-1.4028471761352286</v>
      </c>
      <c r="F119" s="95">
        <f t="shared" si="46"/>
        <v>1.4421025939282253</v>
      </c>
      <c r="G119" s="136">
        <f t="shared" si="46"/>
        <v>-1.0351585166444344</v>
      </c>
      <c r="H119" s="118">
        <f t="shared" si="46"/>
        <v>0.58367185674448252</v>
      </c>
      <c r="I119" s="133">
        <f t="shared" si="46"/>
        <v>-2.5457845528396139E-2</v>
      </c>
      <c r="K119" s="99" t="s">
        <v>147</v>
      </c>
    </row>
    <row r="120" spans="1:13">
      <c r="B120" s="94">
        <f t="shared" ref="B120:C120" si="47">C92-$C92</f>
        <v>0</v>
      </c>
      <c r="C120" s="118">
        <f t="shared" si="47"/>
        <v>-3.2592166127769939E-2</v>
      </c>
      <c r="D120" s="95">
        <f t="shared" ref="D120:I120" si="48">E92-$C92</f>
        <v>-4.0818532431212473E-2</v>
      </c>
      <c r="E120" s="95">
        <f t="shared" si="48"/>
        <v>0.814665459345566</v>
      </c>
      <c r="F120" s="95">
        <f t="shared" si="48"/>
        <v>1.0431877148697888</v>
      </c>
      <c r="G120" s="136">
        <f t="shared" si="48"/>
        <v>2.1037449841221099</v>
      </c>
      <c r="H120" s="121">
        <f t="shared" si="48"/>
        <v>2.0841504898711007</v>
      </c>
      <c r="I120" s="133">
        <f t="shared" si="48"/>
        <v>2.3667658472617719</v>
      </c>
      <c r="K120" s="100" t="s">
        <v>148</v>
      </c>
    </row>
    <row r="121" spans="1:13">
      <c r="B121" s="94">
        <f t="shared" ref="B121:C121" si="49">C93-$C93</f>
        <v>0</v>
      </c>
      <c r="C121" s="118">
        <f t="shared" si="49"/>
        <v>0.73934661383723232</v>
      </c>
      <c r="D121" s="95">
        <f t="shared" ref="D121:I121" si="50">E93-$C93</f>
        <v>0.77248383184656022</v>
      </c>
      <c r="E121" s="95">
        <f t="shared" si="50"/>
        <v>0.7195871750303805</v>
      </c>
      <c r="F121" s="95">
        <f t="shared" si="50"/>
        <v>0.78932433807079116</v>
      </c>
      <c r="G121" s="136">
        <f t="shared" si="50"/>
        <v>0.82913701269133588</v>
      </c>
      <c r="H121" s="118">
        <f t="shared" si="50"/>
        <v>0.75171422039661484</v>
      </c>
      <c r="I121" s="133">
        <f t="shared" si="50"/>
        <v>6.368425350466822E-2</v>
      </c>
      <c r="K121" s="101" t="s">
        <v>149</v>
      </c>
    </row>
    <row r="122" spans="1:13">
      <c r="C122" s="119"/>
      <c r="G122" s="124"/>
      <c r="H122" s="119"/>
      <c r="I122" s="124"/>
    </row>
    <row r="123" spans="1:13">
      <c r="A123" s="16" t="s">
        <v>128</v>
      </c>
      <c r="B123" s="96">
        <f>SQRT(B119^2+B120^2+B121^2)</f>
        <v>0</v>
      </c>
      <c r="C123" s="97">
        <f t="shared" ref="C123:I123" si="51">SQRT(C119^2+C120^2+C121^2)</f>
        <v>1.4559875545853034</v>
      </c>
      <c r="D123" s="98">
        <f t="shared" si="51"/>
        <v>1.2976821064610753</v>
      </c>
      <c r="E123" s="98">
        <f t="shared" si="51"/>
        <v>1.7746734101545305</v>
      </c>
      <c r="F123" s="98">
        <f t="shared" si="51"/>
        <v>1.9470319490292554</v>
      </c>
      <c r="G123" s="134">
        <f t="shared" si="51"/>
        <v>2.4869186353025614</v>
      </c>
      <c r="H123" s="97">
        <f t="shared" si="51"/>
        <v>2.2911635406343196</v>
      </c>
      <c r="I123" s="134">
        <f t="shared" si="51"/>
        <v>2.3677593547081863</v>
      </c>
    </row>
    <row r="124" spans="1:13">
      <c r="C124" s="119"/>
      <c r="G124" s="124"/>
      <c r="H124" s="119"/>
      <c r="I124" s="124"/>
    </row>
    <row r="125" spans="1:13">
      <c r="B125" s="93">
        <v>0</v>
      </c>
      <c r="C125" s="117">
        <v>1</v>
      </c>
      <c r="D125" s="92">
        <v>2</v>
      </c>
      <c r="E125" s="93">
        <v>3</v>
      </c>
      <c r="F125" s="93">
        <v>4</v>
      </c>
      <c r="G125" s="122">
        <v>5</v>
      </c>
      <c r="H125" s="117">
        <v>6</v>
      </c>
      <c r="I125" s="122">
        <v>7</v>
      </c>
    </row>
    <row r="126" spans="1:13">
      <c r="B126" s="95">
        <f>C91-$E91</f>
        <v>-1.0419123890112216</v>
      </c>
      <c r="C126" s="118">
        <f>D91-$E91</f>
        <v>-2.2957880185781296</v>
      </c>
      <c r="D126" s="94">
        <f t="shared" ref="D126:I126" si="52">E91-$E91</f>
        <v>0</v>
      </c>
      <c r="E126" s="95">
        <f t="shared" si="52"/>
        <v>-2.44475956514645</v>
      </c>
      <c r="F126" s="95">
        <f t="shared" si="52"/>
        <v>0.40019020491700363</v>
      </c>
      <c r="G126" s="123">
        <f t="shared" si="52"/>
        <v>-2.0770709056556558</v>
      </c>
      <c r="H126" s="118">
        <f t="shared" si="52"/>
        <v>-0.45824053226673911</v>
      </c>
      <c r="I126" s="123">
        <f t="shared" si="52"/>
        <v>-1.0673702345396179</v>
      </c>
    </row>
    <row r="127" spans="1:13">
      <c r="B127" s="95">
        <f t="shared" ref="B127:I127" si="53">C92-$E92</f>
        <v>4.0818532431212473E-2</v>
      </c>
      <c r="C127" s="118">
        <f t="shared" si="53"/>
        <v>8.2263663034425338E-3</v>
      </c>
      <c r="D127" s="94">
        <f t="shared" si="53"/>
        <v>0</v>
      </c>
      <c r="E127" s="95">
        <f t="shared" si="53"/>
        <v>0.85548399177677847</v>
      </c>
      <c r="F127" s="95">
        <f t="shared" si="53"/>
        <v>1.0840062473010013</v>
      </c>
      <c r="G127" s="123">
        <f t="shared" si="53"/>
        <v>2.1445635165533226</v>
      </c>
      <c r="H127" s="118">
        <f t="shared" si="53"/>
        <v>2.124969022302313</v>
      </c>
      <c r="I127" s="123">
        <f t="shared" si="53"/>
        <v>2.4075843796929846</v>
      </c>
    </row>
    <row r="128" spans="1:13">
      <c r="B128" s="95">
        <f t="shared" ref="B128:I128" si="54">C93-$E93</f>
        <v>-0.77248383184656022</v>
      </c>
      <c r="C128" s="118">
        <f t="shared" si="54"/>
        <v>-3.3137218009327896E-2</v>
      </c>
      <c r="D128" s="94">
        <f t="shared" si="54"/>
        <v>0</v>
      </c>
      <c r="E128" s="95">
        <f t="shared" si="54"/>
        <v>-5.2896656816179721E-2</v>
      </c>
      <c r="F128" s="95">
        <f t="shared" si="54"/>
        <v>1.6840506224230944E-2</v>
      </c>
      <c r="G128" s="123">
        <f t="shared" si="54"/>
        <v>5.6653180844775664E-2</v>
      </c>
      <c r="H128" s="118">
        <f t="shared" si="54"/>
        <v>-2.076961144994538E-2</v>
      </c>
      <c r="I128" s="123">
        <f t="shared" si="54"/>
        <v>-0.708799578341892</v>
      </c>
      <c r="L128" s="35"/>
      <c r="M128" s="35"/>
    </row>
    <row r="129" spans="1:13">
      <c r="C129" s="119"/>
      <c r="G129" s="124"/>
      <c r="H129" s="119"/>
      <c r="I129" s="124"/>
      <c r="L129" s="35"/>
      <c r="M129" s="35"/>
    </row>
    <row r="130" spans="1:13">
      <c r="A130" s="16" t="s">
        <v>144</v>
      </c>
      <c r="B130" s="98">
        <f>SQRT(B126^2+B127^2+B128^2)</f>
        <v>1.2976821064610753</v>
      </c>
      <c r="C130" s="97">
        <f t="shared" ref="C130:I130" si="55">SQRT(C126^2+C127^2+C128^2)</f>
        <v>2.2960418930339337</v>
      </c>
      <c r="D130" s="96">
        <f t="shared" si="55"/>
        <v>0</v>
      </c>
      <c r="E130" s="98">
        <f t="shared" si="55"/>
        <v>2.5906563353451029</v>
      </c>
      <c r="F130" s="98">
        <f t="shared" si="55"/>
        <v>1.1556406651502886</v>
      </c>
      <c r="G130" s="134">
        <f t="shared" si="55"/>
        <v>2.9860652716497325</v>
      </c>
      <c r="H130" s="97">
        <f t="shared" si="55"/>
        <v>2.1739156165583644</v>
      </c>
      <c r="I130" s="134">
        <f t="shared" si="55"/>
        <v>2.7272951078276177</v>
      </c>
      <c r="L130" s="35"/>
      <c r="M130" s="35"/>
    </row>
    <row r="131" spans="1:13">
      <c r="C131" s="124"/>
      <c r="G131" s="124"/>
      <c r="H131" s="119"/>
      <c r="I131" s="124"/>
    </row>
    <row r="132" spans="1:13">
      <c r="B132" s="93">
        <v>0</v>
      </c>
      <c r="C132" s="117">
        <v>1</v>
      </c>
      <c r="D132" s="93">
        <v>2</v>
      </c>
      <c r="E132" s="92">
        <v>3</v>
      </c>
      <c r="F132" s="93">
        <v>4</v>
      </c>
      <c r="G132" s="122">
        <v>5</v>
      </c>
      <c r="H132" s="117">
        <v>6</v>
      </c>
      <c r="I132" s="122">
        <v>7</v>
      </c>
    </row>
    <row r="133" spans="1:13">
      <c r="B133" s="95">
        <f t="shared" ref="B133" si="56">C91-$F91</f>
        <v>1.4028471761352286</v>
      </c>
      <c r="C133" s="118">
        <f>D91-$F91</f>
        <v>0.14897154656832046</v>
      </c>
      <c r="D133" s="95">
        <f t="shared" ref="D133:I133" si="57">E91-$F91</f>
        <v>2.44475956514645</v>
      </c>
      <c r="E133" s="94">
        <f t="shared" si="57"/>
        <v>0</v>
      </c>
      <c r="F133" s="95">
        <f t="shared" si="57"/>
        <v>2.8449497700634536</v>
      </c>
      <c r="G133" s="123">
        <f t="shared" si="57"/>
        <v>0.36768865949079421</v>
      </c>
      <c r="H133" s="118">
        <f t="shared" si="57"/>
        <v>1.9865190328797109</v>
      </c>
      <c r="I133" s="123">
        <f t="shared" si="57"/>
        <v>1.3773893306068323</v>
      </c>
    </row>
    <row r="134" spans="1:13">
      <c r="B134" s="95">
        <f t="shared" ref="B134" si="58">C92-$F92</f>
        <v>-0.814665459345566</v>
      </c>
      <c r="C134" s="118">
        <f t="shared" ref="C134:I134" si="59">D92-$F92</f>
        <v>-0.84725762547333594</v>
      </c>
      <c r="D134" s="95">
        <f t="shared" si="59"/>
        <v>-0.85548399177677847</v>
      </c>
      <c r="E134" s="94">
        <f t="shared" si="59"/>
        <v>0</v>
      </c>
      <c r="F134" s="95">
        <f t="shared" si="59"/>
        <v>0.22852225552422287</v>
      </c>
      <c r="G134" s="123">
        <f t="shared" si="59"/>
        <v>1.2890795247765441</v>
      </c>
      <c r="H134" s="118">
        <f t="shared" si="59"/>
        <v>1.2694850305255347</v>
      </c>
      <c r="I134" s="123">
        <f t="shared" si="59"/>
        <v>1.5521003879162059</v>
      </c>
    </row>
    <row r="135" spans="1:13">
      <c r="B135" s="95">
        <f t="shared" ref="B135" si="60">C93-$F93</f>
        <v>-0.7195871750303805</v>
      </c>
      <c r="C135" s="118">
        <f t="shared" ref="C135:I135" si="61">D93-$F93</f>
        <v>1.9759438806851826E-2</v>
      </c>
      <c r="D135" s="95">
        <f t="shared" si="61"/>
        <v>5.2896656816179721E-2</v>
      </c>
      <c r="E135" s="94">
        <f t="shared" si="61"/>
        <v>0</v>
      </c>
      <c r="F135" s="95">
        <f t="shared" si="61"/>
        <v>6.9737163040410666E-2</v>
      </c>
      <c r="G135" s="123">
        <f t="shared" si="61"/>
        <v>0.10954983766095538</v>
      </c>
      <c r="H135" s="118">
        <f t="shared" si="61"/>
        <v>3.2127045366234341E-2</v>
      </c>
      <c r="I135" s="123">
        <f t="shared" si="61"/>
        <v>-0.65590292152571228</v>
      </c>
    </row>
    <row r="136" spans="1:13">
      <c r="C136" s="119"/>
      <c r="G136" s="124"/>
      <c r="H136" s="119"/>
      <c r="I136" s="124"/>
    </row>
    <row r="137" spans="1:13">
      <c r="A137" s="16" t="s">
        <v>145</v>
      </c>
      <c r="B137" s="98">
        <f>SQRT(B133^2+B134^2+B135^2)</f>
        <v>1.7746734101545305</v>
      </c>
      <c r="C137" s="97">
        <f t="shared" ref="C137:I137" si="62">SQRT(C133^2+C134^2+C135^2)</f>
        <v>0.86048151696107611</v>
      </c>
      <c r="D137" s="98">
        <f t="shared" si="62"/>
        <v>2.5906563353451029</v>
      </c>
      <c r="E137" s="96">
        <f t="shared" si="62"/>
        <v>0</v>
      </c>
      <c r="F137" s="98">
        <f t="shared" si="62"/>
        <v>2.8549649537889077</v>
      </c>
      <c r="G137" s="134">
        <f t="shared" si="62"/>
        <v>1.3449617609611804</v>
      </c>
      <c r="H137" s="97">
        <f t="shared" si="62"/>
        <v>2.3577281984498817</v>
      </c>
      <c r="I137" s="134">
        <f t="shared" si="62"/>
        <v>2.1763330684215454</v>
      </c>
    </row>
    <row r="138" spans="1:13">
      <c r="C138" s="119"/>
      <c r="G138" s="124"/>
      <c r="H138" s="119"/>
      <c r="I138" s="124"/>
    </row>
    <row r="139" spans="1:13">
      <c r="B139" s="93">
        <v>0</v>
      </c>
      <c r="C139" s="117">
        <v>1</v>
      </c>
      <c r="D139" s="93">
        <v>2</v>
      </c>
      <c r="E139" s="93">
        <v>3</v>
      </c>
      <c r="F139" s="92">
        <v>4</v>
      </c>
      <c r="G139" s="122">
        <v>5</v>
      </c>
      <c r="H139" s="117">
        <v>6</v>
      </c>
      <c r="I139" s="122">
        <v>7</v>
      </c>
    </row>
    <row r="140" spans="1:13">
      <c r="B140" s="95">
        <f>C91-$G91</f>
        <v>-1.4421025939282253</v>
      </c>
      <c r="C140" s="118">
        <f t="shared" ref="C140:I140" si="63">D91-$G91</f>
        <v>-2.6959782234951333</v>
      </c>
      <c r="D140" s="95">
        <f t="shared" si="63"/>
        <v>-0.40019020491700363</v>
      </c>
      <c r="E140" s="95">
        <f t="shared" si="63"/>
        <v>-2.8449497700634536</v>
      </c>
      <c r="F140" s="94">
        <f t="shared" si="63"/>
        <v>0</v>
      </c>
      <c r="G140" s="123">
        <f t="shared" si="63"/>
        <v>-2.4772611105726594</v>
      </c>
      <c r="H140" s="118">
        <f t="shared" si="63"/>
        <v>-0.85843073718374274</v>
      </c>
      <c r="I140" s="123">
        <f t="shared" si="63"/>
        <v>-1.4675604394566215</v>
      </c>
    </row>
    <row r="141" spans="1:13">
      <c r="B141" s="95">
        <f t="shared" ref="B141:I142" si="64">C92-$G92</f>
        <v>-1.0431877148697888</v>
      </c>
      <c r="C141" s="118">
        <f t="shared" si="64"/>
        <v>-1.0757798809975587</v>
      </c>
      <c r="D141" s="95">
        <f t="shared" si="64"/>
        <v>-1.0840062473010013</v>
      </c>
      <c r="E141" s="95">
        <f t="shared" si="64"/>
        <v>-0.22852225552422287</v>
      </c>
      <c r="F141" s="94">
        <f t="shared" si="64"/>
        <v>0</v>
      </c>
      <c r="G141" s="123">
        <f t="shared" si="64"/>
        <v>1.0605572692523213</v>
      </c>
      <c r="H141" s="118">
        <f t="shared" si="64"/>
        <v>1.040962775001312</v>
      </c>
      <c r="I141" s="123">
        <f t="shared" si="64"/>
        <v>1.3235781323919831</v>
      </c>
    </row>
    <row r="142" spans="1:13">
      <c r="B142" s="95">
        <f t="shared" si="64"/>
        <v>-0.78932433807079116</v>
      </c>
      <c r="C142" s="118">
        <f t="shared" si="64"/>
        <v>-4.997772423355884E-2</v>
      </c>
      <c r="D142" s="95">
        <f t="shared" si="64"/>
        <v>-1.6840506224230944E-2</v>
      </c>
      <c r="E142" s="95">
        <f t="shared" si="64"/>
        <v>-6.9737163040410666E-2</v>
      </c>
      <c r="F142" s="94">
        <f t="shared" si="64"/>
        <v>0</v>
      </c>
      <c r="G142" s="123">
        <f t="shared" si="64"/>
        <v>3.9812674620544719E-2</v>
      </c>
      <c r="H142" s="118">
        <f t="shared" si="64"/>
        <v>-3.7610117674176324E-2</v>
      </c>
      <c r="I142" s="123">
        <f t="shared" si="64"/>
        <v>-0.72564008456612294</v>
      </c>
    </row>
    <row r="143" spans="1:13">
      <c r="C143" s="119"/>
      <c r="G143" s="124"/>
      <c r="H143" s="119"/>
      <c r="I143" s="124"/>
    </row>
    <row r="144" spans="1:13">
      <c r="A144" s="16" t="s">
        <v>146</v>
      </c>
      <c r="B144" s="98">
        <f>SQRT(B140^2+B141^2+B142^2)</f>
        <v>1.9470319490292554</v>
      </c>
      <c r="C144" s="97">
        <f t="shared" ref="C144:I144" si="65">SQRT(C140^2+C141^2+C142^2)</f>
        <v>2.9031187896534068</v>
      </c>
      <c r="D144" s="98">
        <f t="shared" si="65"/>
        <v>1.1556406651502886</v>
      </c>
      <c r="E144" s="98">
        <f t="shared" si="65"/>
        <v>2.8549649537889077</v>
      </c>
      <c r="F144" s="96">
        <f t="shared" si="65"/>
        <v>0</v>
      </c>
      <c r="G144" s="134">
        <f t="shared" si="65"/>
        <v>2.6950304971150265</v>
      </c>
      <c r="H144" s="97">
        <f t="shared" si="65"/>
        <v>1.3497856683309841</v>
      </c>
      <c r="I144" s="134">
        <f t="shared" si="65"/>
        <v>2.1052663129242086</v>
      </c>
    </row>
    <row r="146" spans="1:9">
      <c r="B146" s="16"/>
      <c r="C146" s="16"/>
      <c r="D146" s="16"/>
      <c r="E146" s="16"/>
      <c r="F146" s="16"/>
      <c r="G146" s="16"/>
      <c r="H146" s="16"/>
      <c r="I146" s="16"/>
    </row>
    <row r="147" spans="1:9">
      <c r="B147" s="35"/>
      <c r="C147" s="35"/>
      <c r="D147" s="35"/>
      <c r="E147" s="35"/>
      <c r="F147" s="35"/>
      <c r="G147" s="35"/>
      <c r="H147" s="35"/>
      <c r="I147" s="35"/>
    </row>
    <row r="148" spans="1:9">
      <c r="A148" s="23" t="s">
        <v>153</v>
      </c>
      <c r="B148" s="35"/>
      <c r="C148" s="35"/>
      <c r="D148" s="35"/>
      <c r="E148" s="35"/>
      <c r="F148" s="35"/>
      <c r="G148" s="35"/>
      <c r="H148" s="35"/>
      <c r="I148" s="35"/>
    </row>
    <row r="149" spans="1:9">
      <c r="A149" t="s">
        <v>120</v>
      </c>
      <c r="B149" s="35">
        <v>1.8584150748580277</v>
      </c>
      <c r="C149" s="35">
        <f>$B$158/$D149</f>
        <v>-3.2849503437738736E-2</v>
      </c>
      <c r="D149">
        <v>-30.441860465116278</v>
      </c>
      <c r="E149" s="35"/>
      <c r="F149" s="35"/>
      <c r="G149" s="35"/>
      <c r="H149" s="35"/>
      <c r="I149" s="35"/>
    </row>
    <row r="150" spans="1:9">
      <c r="A150" s="112" t="s">
        <v>121</v>
      </c>
      <c r="B150" s="146" t="e">
        <v>#DIV/0!</v>
      </c>
      <c r="C150" s="146" t="e">
        <f t="shared" ref="C150:C156" si="66">$B$158/$D150</f>
        <v>#DIV/0!</v>
      </c>
      <c r="D150" s="112"/>
      <c r="E150" s="91"/>
      <c r="F150" s="91"/>
      <c r="G150" s="91"/>
      <c r="H150" s="91"/>
      <c r="I150" s="35"/>
    </row>
    <row r="151" spans="1:9">
      <c r="A151" t="s">
        <v>122</v>
      </c>
      <c r="B151" s="35">
        <v>3.3309859154929575</v>
      </c>
      <c r="C151" s="35">
        <f t="shared" si="66"/>
        <v>-8.1747709654686404E-2</v>
      </c>
      <c r="D151">
        <v>-12.232758620689655</v>
      </c>
      <c r="E151" s="35"/>
      <c r="F151" s="35"/>
      <c r="G151" s="35"/>
      <c r="H151" s="35"/>
      <c r="I151" s="35"/>
    </row>
    <row r="152" spans="1:9">
      <c r="A152" t="s">
        <v>123</v>
      </c>
      <c r="B152" s="35">
        <v>12.909090909090908</v>
      </c>
      <c r="C152" s="35">
        <f t="shared" si="66"/>
        <v>-0.22535211267605634</v>
      </c>
      <c r="D152">
        <v>-4.4375</v>
      </c>
    </row>
    <row r="153" spans="1:9">
      <c r="A153" t="s">
        <v>127</v>
      </c>
      <c r="B153" s="35">
        <v>1.0114994363021421</v>
      </c>
      <c r="C153" s="35">
        <f t="shared" si="66"/>
        <v>6.9326794471689698E-2</v>
      </c>
      <c r="D153">
        <v>14.42443729903537</v>
      </c>
    </row>
    <row r="154" spans="1:9">
      <c r="A154" t="s">
        <v>126</v>
      </c>
      <c r="B154">
        <v>1.2973122919492048</v>
      </c>
      <c r="C154">
        <f t="shared" si="66"/>
        <v>2.6229508196721311E-2</v>
      </c>
      <c r="D154">
        <v>38.125</v>
      </c>
    </row>
    <row r="155" spans="1:9">
      <c r="A155" s="112" t="s">
        <v>125</v>
      </c>
      <c r="B155" s="146" t="e">
        <v>#DIV/0!</v>
      </c>
      <c r="C155" s="146" t="e">
        <f t="shared" si="66"/>
        <v>#DIV/0!</v>
      </c>
      <c r="D155" s="112"/>
    </row>
    <row r="156" spans="1:9">
      <c r="A156" t="s">
        <v>124</v>
      </c>
      <c r="B156" s="35">
        <v>0.61911721718795665</v>
      </c>
      <c r="C156" s="35">
        <f t="shared" si="66"/>
        <v>-5.3194837897387479E-2</v>
      </c>
      <c r="D156">
        <v>-18.798816568047336</v>
      </c>
    </row>
    <row r="158" spans="1:9">
      <c r="B158">
        <v>1</v>
      </c>
    </row>
  </sheetData>
  <mergeCells count="11">
    <mergeCell ref="L60:L68"/>
    <mergeCell ref="L22:L28"/>
    <mergeCell ref="A30:K30"/>
    <mergeCell ref="B83:C83"/>
    <mergeCell ref="B84:C84"/>
    <mergeCell ref="B85:C85"/>
    <mergeCell ref="B86:C86"/>
    <mergeCell ref="A1:K1"/>
    <mergeCell ref="A81:K81"/>
    <mergeCell ref="A75:K75"/>
    <mergeCell ref="A70:K70"/>
  </mergeCells>
  <pageMargins left="0.7" right="0.7" top="0.78740157499999996" bottom="0.78740157499999996" header="0.3" footer="0.3"/>
  <pageSetup paperSize="9" orientation="landscape" r:id="rId1"/>
  <ignoredErrors>
    <ignoredError sqref="D53" numberStoredAsText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7"/>
  <dimension ref="A1:T158"/>
  <sheetViews>
    <sheetView topLeftCell="A82" workbookViewId="0">
      <selection activeCell="K98" sqref="K98:N106"/>
    </sheetView>
  </sheetViews>
  <sheetFormatPr baseColWidth="10" defaultRowHeight="15"/>
  <sheetData>
    <row r="1" spans="1:15">
      <c r="A1" s="174">
        <v>0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</row>
    <row r="2" spans="1:15">
      <c r="B2" s="2" t="s">
        <v>97</v>
      </c>
      <c r="C2" s="47">
        <v>300000000</v>
      </c>
      <c r="D2" s="2" t="s">
        <v>98</v>
      </c>
      <c r="E2" s="2"/>
      <c r="F2" s="2"/>
      <c r="G2" s="2"/>
      <c r="H2" s="2"/>
      <c r="I2" s="2"/>
      <c r="J2" s="2"/>
      <c r="K2" s="2"/>
    </row>
    <row r="3" spans="1:15">
      <c r="B3" s="2" t="s">
        <v>99</v>
      </c>
      <c r="C3" s="47">
        <v>866300000</v>
      </c>
      <c r="D3" s="2" t="s">
        <v>100</v>
      </c>
      <c r="E3" s="2"/>
      <c r="F3" s="2"/>
      <c r="G3" s="2"/>
      <c r="H3" s="2"/>
      <c r="I3" s="2"/>
      <c r="J3" s="2"/>
      <c r="K3" s="2"/>
    </row>
    <row r="4" spans="1:15">
      <c r="B4" s="2" t="s">
        <v>101</v>
      </c>
      <c r="C4" s="2">
        <f>$C$2/$C$3</f>
        <v>0.34630035784370311</v>
      </c>
      <c r="D4" s="2" t="s">
        <v>102</v>
      </c>
      <c r="E4" s="2"/>
      <c r="F4" s="2"/>
      <c r="G4" s="2"/>
      <c r="H4" s="2"/>
      <c r="I4" s="2"/>
      <c r="J4" s="2"/>
      <c r="K4" s="2"/>
    </row>
    <row r="5" spans="1:15">
      <c r="B5" s="2"/>
      <c r="C5" s="2"/>
      <c r="D5" s="2"/>
      <c r="E5" s="2"/>
      <c r="F5" s="2"/>
      <c r="G5" s="2"/>
      <c r="H5" s="2"/>
      <c r="I5" s="2"/>
      <c r="J5" s="2"/>
      <c r="K5" s="2"/>
    </row>
    <row r="6" spans="1:15">
      <c r="A6" s="2"/>
      <c r="B6" s="147" t="s">
        <v>78</v>
      </c>
      <c r="C6" s="2"/>
      <c r="D6" s="26" t="s">
        <v>77</v>
      </c>
      <c r="E6" s="26" t="s">
        <v>75</v>
      </c>
      <c r="F6" s="26" t="s">
        <v>76</v>
      </c>
      <c r="G6" s="26" t="s">
        <v>79</v>
      </c>
      <c r="H6" s="26" t="s">
        <v>80</v>
      </c>
      <c r="I6" s="26"/>
      <c r="J6" s="26"/>
      <c r="K6" s="26"/>
    </row>
    <row r="7" spans="1:15">
      <c r="A7" s="2"/>
      <c r="B7" s="26">
        <v>1</v>
      </c>
      <c r="C7" s="2"/>
      <c r="D7" s="115"/>
      <c r="E7" s="2">
        <f>$C$4^2/8</f>
        <v>1.4990492230334603E-2</v>
      </c>
      <c r="F7" s="2">
        <f>E$7/PI()</f>
        <v>4.7716218756768064E-3</v>
      </c>
      <c r="G7" s="115"/>
      <c r="H7" s="116"/>
      <c r="I7" s="2"/>
      <c r="J7" s="31"/>
      <c r="K7" s="2"/>
      <c r="L7" s="2"/>
      <c r="M7" s="2"/>
      <c r="N7" s="2"/>
      <c r="O7" s="2"/>
    </row>
    <row r="8" spans="1:15">
      <c r="A8" s="2"/>
      <c r="B8" s="26">
        <v>2</v>
      </c>
      <c r="C8" s="2"/>
      <c r="D8" s="115"/>
      <c r="E8" s="61" t="s">
        <v>104</v>
      </c>
      <c r="F8" s="61" t="s">
        <v>104</v>
      </c>
      <c r="G8" s="115"/>
      <c r="H8" s="116"/>
      <c r="I8" s="2"/>
      <c r="J8" s="31"/>
      <c r="K8" s="2"/>
      <c r="L8" s="2"/>
      <c r="M8" s="2"/>
      <c r="N8" s="2"/>
      <c r="O8" s="2"/>
    </row>
    <row r="9" spans="1:15">
      <c r="A9" s="2"/>
      <c r="B9" s="26">
        <v>3</v>
      </c>
      <c r="C9" s="2"/>
      <c r="D9" s="115"/>
      <c r="E9" s="61" t="s">
        <v>104</v>
      </c>
      <c r="F9" s="61" t="s">
        <v>104</v>
      </c>
      <c r="G9" s="115"/>
      <c r="H9" s="116"/>
      <c r="I9" s="2"/>
      <c r="J9" s="31"/>
      <c r="K9" s="2"/>
      <c r="L9" s="2"/>
      <c r="M9" s="2"/>
      <c r="N9" s="2"/>
      <c r="O9" s="2"/>
    </row>
    <row r="10" spans="1:15">
      <c r="A10" s="2"/>
      <c r="B10" s="26">
        <v>0</v>
      </c>
      <c r="C10" s="52"/>
      <c r="D10" s="61"/>
      <c r="E10" s="61"/>
      <c r="F10" s="61"/>
      <c r="G10" s="61"/>
      <c r="H10" s="116"/>
      <c r="I10" s="2"/>
      <c r="J10" s="81"/>
      <c r="K10" s="2"/>
      <c r="L10" s="2"/>
      <c r="M10" s="2"/>
      <c r="N10" s="2"/>
      <c r="O10" s="2"/>
    </row>
    <row r="11" spans="1:15">
      <c r="A11" s="2"/>
      <c r="B11" s="26"/>
      <c r="C11" s="52"/>
      <c r="D11" s="111" t="s">
        <v>77</v>
      </c>
      <c r="E11" s="111"/>
      <c r="F11" s="111"/>
      <c r="G11" s="111"/>
      <c r="H11" s="2"/>
      <c r="I11" s="2"/>
      <c r="J11" s="26" t="s">
        <v>79</v>
      </c>
      <c r="K11" s="26" t="s">
        <v>79</v>
      </c>
      <c r="L11" s="26" t="s">
        <v>79</v>
      </c>
      <c r="M11" s="26" t="s">
        <v>79</v>
      </c>
      <c r="N11" s="2"/>
      <c r="O11" s="2"/>
    </row>
    <row r="12" spans="1:15">
      <c r="A12" s="2"/>
      <c r="B12" s="26"/>
      <c r="C12" s="130">
        <v>1</v>
      </c>
      <c r="D12" s="2">
        <f>0.5*$C$123^2</f>
        <v>0</v>
      </c>
      <c r="E12" s="2"/>
      <c r="F12" s="2"/>
      <c r="G12" s="2"/>
      <c r="H12" s="2"/>
      <c r="I12" s="129">
        <v>1</v>
      </c>
      <c r="J12" s="2">
        <f>A_1*(1/(2*PI())^2)*(T_0^2-T_2^2)</f>
        <v>0.29506271563788528</v>
      </c>
      <c r="K12" s="2">
        <f>A_1*(1/(2*PI())^2)*(T_0^2-T_2^2)</f>
        <v>0.29506271563788528</v>
      </c>
      <c r="L12" s="2">
        <f>A_1*(1/(2*PI())^2)*(T_0^2-T_2^2)</f>
        <v>0.29506271563788528</v>
      </c>
      <c r="M12" s="2">
        <f>A_1*(1/(2*PI())^2)*(T_0^2-T_2^2)</f>
        <v>0.29506271563788528</v>
      </c>
      <c r="N12" s="2">
        <f>A_1*(1/(2*PI())^2)*(T_0^2-T_2^2)</f>
        <v>0.29506271563788528</v>
      </c>
      <c r="O12" s="2"/>
    </row>
    <row r="13" spans="1:15">
      <c r="A13" s="2"/>
      <c r="B13" s="26"/>
      <c r="C13" s="130">
        <v>2</v>
      </c>
      <c r="D13" s="2">
        <f>0.5*$D$123^2</f>
        <v>0.84198942471462679</v>
      </c>
      <c r="E13" s="2"/>
      <c r="F13" s="2"/>
      <c r="G13" s="2"/>
      <c r="H13" s="2"/>
      <c r="I13" s="2">
        <v>2</v>
      </c>
      <c r="J13" s="2">
        <f>A_1*(1/(2*PI())^2)*(T_0^2-T_3^2)</f>
        <v>0.34440611012014449</v>
      </c>
      <c r="K13" s="2">
        <f>A_1*(1/(2*PI())^2)*(T_0^2-T_5^2)</f>
        <v>-0.20003645154081437</v>
      </c>
      <c r="L13" s="2">
        <f>A_1*(1/(2*PI())^2)*(T_0^2-T_4^2)</f>
        <v>0.27287832502747572</v>
      </c>
      <c r="M13" s="2">
        <f>A_1*(1/(2*PI())^2)*(T_0^2-T_3^2)</f>
        <v>0.34440611012014449</v>
      </c>
      <c r="N13" s="2">
        <f>A_1*(1/(2*PI())^2)*(T_0^2-T_3^2)</f>
        <v>0.34440611012014449</v>
      </c>
      <c r="O13" s="2"/>
    </row>
    <row r="14" spans="1:15">
      <c r="A14" s="2"/>
      <c r="B14" s="26"/>
      <c r="C14" s="130">
        <v>3</v>
      </c>
      <c r="D14" s="2">
        <f>0.5*E$123^2</f>
        <v>1.5747328563547551</v>
      </c>
      <c r="E14" s="2"/>
      <c r="F14" s="2"/>
      <c r="G14" s="2"/>
      <c r="H14" s="2"/>
      <c r="I14" s="2">
        <v>3</v>
      </c>
      <c r="J14" s="2">
        <f>A_1*(1/(2*PI())^2)*(T_0^2-T_4^2)</f>
        <v>0.27287832502747572</v>
      </c>
      <c r="K14" s="2">
        <f>A_1*(1/(2*PI())^2)*(T_0^2-T_7^2)</f>
        <v>0.21769412434432645</v>
      </c>
      <c r="L14" s="2">
        <f>A_1*(1/(2*PI())^2)*(T_0^2-T_5^2)</f>
        <v>-0.20003645154081437</v>
      </c>
      <c r="M14" s="2">
        <f>A_1*(1/(2*PI())^2)*(T_0^2-T_7^2)</f>
        <v>0.21769412434432645</v>
      </c>
      <c r="N14" s="2">
        <f>A_1*(1/(2*PI())^2)*(T_0^2-T_5^2)</f>
        <v>-0.20003645154081437</v>
      </c>
      <c r="O14" s="2"/>
    </row>
    <row r="15" spans="1:15">
      <c r="A15" s="2"/>
      <c r="B15" s="26"/>
      <c r="C15" s="130">
        <v>4</v>
      </c>
      <c r="D15" s="2">
        <f>0.5*$F$123^2</f>
        <v>1.8954667052703305</v>
      </c>
      <c r="E15" s="2"/>
      <c r="F15" s="2"/>
      <c r="G15" s="2"/>
      <c r="H15" s="114"/>
      <c r="I15" s="2"/>
      <c r="J15" s="81"/>
      <c r="K15" s="2"/>
      <c r="L15" s="2"/>
      <c r="M15" s="2"/>
      <c r="N15" s="2"/>
      <c r="O15" s="2"/>
    </row>
    <row r="16" spans="1:15">
      <c r="A16" s="2"/>
      <c r="B16" s="26"/>
      <c r="C16" s="130">
        <v>5</v>
      </c>
      <c r="D16" s="2">
        <f>0.5*$G$123^2</f>
        <v>3.0923821493075772</v>
      </c>
      <c r="E16" s="2"/>
      <c r="F16" s="2"/>
      <c r="G16" s="2"/>
      <c r="H16" s="114"/>
      <c r="I16" s="2"/>
      <c r="J16" s="81"/>
      <c r="K16" s="2"/>
      <c r="L16" s="2"/>
      <c r="M16" s="2"/>
      <c r="N16" s="2"/>
      <c r="O16" s="2"/>
    </row>
    <row r="17" spans="1:20">
      <c r="B17" s="2"/>
      <c r="C17" s="130">
        <v>6</v>
      </c>
      <c r="D17" s="2">
        <f>0.5*$H$123^2</f>
        <v>0</v>
      </c>
      <c r="E17" s="2"/>
      <c r="F17" s="2"/>
      <c r="G17" s="2"/>
      <c r="H17" s="2"/>
      <c r="I17" s="2"/>
      <c r="J17" s="2"/>
      <c r="K17" s="2"/>
    </row>
    <row r="18" spans="1:20">
      <c r="B18" s="2"/>
      <c r="C18" s="130">
        <v>7</v>
      </c>
      <c r="D18" s="2">
        <f>0.5*$I$123^2</f>
        <v>2.8031421809040635</v>
      </c>
      <c r="E18" s="2"/>
      <c r="F18" s="2"/>
      <c r="G18" s="2"/>
      <c r="H18" s="2"/>
      <c r="I18" s="2"/>
      <c r="J18" s="2"/>
      <c r="K18" s="2"/>
    </row>
    <row r="19" spans="1:20">
      <c r="B19" s="2"/>
      <c r="C19" s="130"/>
      <c r="D19" s="2"/>
      <c r="F19" s="2"/>
      <c r="G19" s="2"/>
      <c r="H19" s="2"/>
      <c r="I19" s="2"/>
      <c r="J19" s="2"/>
      <c r="K19" s="2"/>
    </row>
    <row r="20" spans="1:20">
      <c r="A20" s="23" t="s">
        <v>85</v>
      </c>
      <c r="B20" s="2"/>
      <c r="C20" s="2"/>
      <c r="D20" s="2"/>
      <c r="E20" s="2"/>
      <c r="F20" s="2"/>
      <c r="G20" s="2"/>
      <c r="H20" s="2"/>
      <c r="I20" s="2"/>
      <c r="J20" s="2"/>
      <c r="K20" s="2"/>
    </row>
    <row r="21" spans="1:20">
      <c r="B21" s="2"/>
      <c r="C21" s="2"/>
      <c r="D21" s="12">
        <v>1</v>
      </c>
      <c r="E21" s="103">
        <v>2</v>
      </c>
      <c r="F21" s="103">
        <v>3</v>
      </c>
      <c r="G21" s="103">
        <v>4</v>
      </c>
      <c r="H21" s="103">
        <v>5</v>
      </c>
      <c r="I21" s="69">
        <v>6</v>
      </c>
      <c r="J21" s="69">
        <v>7</v>
      </c>
      <c r="K21" s="69">
        <v>8</v>
      </c>
    </row>
    <row r="22" spans="1:20">
      <c r="B22" s="2" t="s">
        <v>81</v>
      </c>
      <c r="C22" s="2"/>
      <c r="D22" s="125">
        <v>0.17044069214804358</v>
      </c>
      <c r="E22" s="126">
        <v>0.28148385606806042</v>
      </c>
      <c r="F22" s="126">
        <v>0.32299315855765565</v>
      </c>
      <c r="G22" s="126">
        <v>0.63338739898038177</v>
      </c>
      <c r="H22" s="126">
        <v>0.59575301728655083</v>
      </c>
      <c r="I22" s="70">
        <v>-0.15855509315995797</v>
      </c>
      <c r="J22" s="70">
        <v>-0.85603789680002773</v>
      </c>
      <c r="K22" s="70">
        <v>0.65342120690916317</v>
      </c>
      <c r="L22" s="175" t="s">
        <v>150</v>
      </c>
      <c r="M22" s="78">
        <f ca="1">RAND()</f>
        <v>0.92449693162323854</v>
      </c>
    </row>
    <row r="23" spans="1:20">
      <c r="B23" s="2" t="s">
        <v>82</v>
      </c>
      <c r="C23" s="2"/>
      <c r="D23" s="125">
        <v>0.4865348401622106</v>
      </c>
      <c r="E23" s="126">
        <v>0.51804063433576442</v>
      </c>
      <c r="F23" s="126">
        <v>0.48637631606396331</v>
      </c>
      <c r="G23" s="126">
        <v>0.65143894198304164</v>
      </c>
      <c r="H23" s="126">
        <v>0.4411300453248343</v>
      </c>
      <c r="I23" s="70">
        <v>-0.3582528703161334</v>
      </c>
      <c r="J23" s="70">
        <v>0.54958182007341416</v>
      </c>
      <c r="K23" s="70">
        <v>-0.40737763775813596</v>
      </c>
      <c r="L23" s="175"/>
      <c r="M23" s="78">
        <f ca="1">RAND()</f>
        <v>0.55002109317875547</v>
      </c>
    </row>
    <row r="24" spans="1:20">
      <c r="B24" s="2" t="s">
        <v>83</v>
      </c>
      <c r="C24" s="2"/>
      <c r="D24" s="125">
        <v>0.40782182039511206</v>
      </c>
      <c r="E24" s="126">
        <v>0.99163918185716127</v>
      </c>
      <c r="F24" s="126">
        <v>5.6854579115011385E-2</v>
      </c>
      <c r="G24" s="126">
        <v>0.81890784649696025</v>
      </c>
      <c r="H24" s="126">
        <v>0.97474434217664485</v>
      </c>
      <c r="I24" s="70">
        <v>-2.4909669184959959E-2</v>
      </c>
      <c r="J24" s="70">
        <v>-0.36477405011057273</v>
      </c>
      <c r="K24" s="70">
        <v>0.20797765241452781</v>
      </c>
      <c r="L24" s="175"/>
      <c r="M24" s="78">
        <f ca="1">RAND()</f>
        <v>0.33343297492854251</v>
      </c>
    </row>
    <row r="25" spans="1:20">
      <c r="B25" s="50" t="s">
        <v>84</v>
      </c>
      <c r="C25" s="2" t="s">
        <v>27</v>
      </c>
      <c r="D25" s="125">
        <v>1.0258793571687073</v>
      </c>
      <c r="E25" s="126">
        <v>0.71669674186902688</v>
      </c>
      <c r="F25" s="126">
        <v>0.49416700992430346</v>
      </c>
      <c r="G25" s="126">
        <v>0.22344778357198677</v>
      </c>
      <c r="H25" s="126">
        <v>0.43563931486406166</v>
      </c>
      <c r="I25" s="70">
        <v>-0.60127917735887881</v>
      </c>
      <c r="J25" s="70">
        <v>7.3809363778690518E-2</v>
      </c>
      <c r="K25" s="70">
        <v>0.45904960287541474</v>
      </c>
      <c r="L25" s="175"/>
      <c r="M25" s="78">
        <f ca="1">RAND()</f>
        <v>0.67475201515080685</v>
      </c>
      <c r="P25" s="113">
        <f>D86</f>
        <v>-1.48279874762276E-2</v>
      </c>
      <c r="Q25" s="113">
        <f>E86</f>
        <v>0.16165207782078173</v>
      </c>
      <c r="R25" s="113">
        <f t="shared" ref="R25:T25" si="0">F86</f>
        <v>0.19230849217144408</v>
      </c>
      <c r="S25" s="113">
        <f t="shared" si="0"/>
        <v>3.857343470584873E-2</v>
      </c>
      <c r="T25" s="113">
        <f t="shared" si="0"/>
        <v>0.23377174059983075</v>
      </c>
    </row>
    <row r="26" spans="1:20">
      <c r="B26" s="2" t="s">
        <v>48</v>
      </c>
      <c r="C26" s="2"/>
      <c r="D26" s="125">
        <v>1.7394225442122276E-2</v>
      </c>
      <c r="E26" s="126">
        <v>-8.1316915439917842E-2</v>
      </c>
      <c r="F26" s="126">
        <v>-0.18579848718625816</v>
      </c>
      <c r="G26" s="126">
        <v>8.5195650355251465E-2</v>
      </c>
      <c r="H26" s="125">
        <v>0.21983447548348592</v>
      </c>
      <c r="I26" s="70">
        <v>-0.64147819789622496</v>
      </c>
      <c r="J26" s="70">
        <v>-2.6436636559469484E-2</v>
      </c>
      <c r="K26" s="70">
        <v>-1.0305960682470916E-2</v>
      </c>
      <c r="L26" s="175"/>
      <c r="M26" s="78">
        <f t="shared" ref="M26:M28" ca="1" si="1">RAND()-RAND()</f>
        <v>0.32397521421995834</v>
      </c>
      <c r="P26" s="35">
        <f>D77</f>
        <v>1.7394225442122276E-2</v>
      </c>
      <c r="Q26" s="35">
        <f t="shared" ref="Q26:T28" si="2">E77</f>
        <v>-8.1316915439917842E-2</v>
      </c>
      <c r="R26" s="35">
        <f t="shared" si="2"/>
        <v>-0.18579848718625816</v>
      </c>
      <c r="S26" s="35">
        <f t="shared" si="2"/>
        <v>8.5195650355251465E-2</v>
      </c>
      <c r="T26" s="35">
        <f t="shared" si="2"/>
        <v>0.21983447548348592</v>
      </c>
    </row>
    <row r="27" spans="1:20">
      <c r="B27" t="s">
        <v>47</v>
      </c>
      <c r="D27" s="125">
        <v>0.87190340089992857</v>
      </c>
      <c r="E27" s="126">
        <v>1.0755957605158302</v>
      </c>
      <c r="F27" s="126">
        <v>1.0190033908030607</v>
      </c>
      <c r="G27" s="126">
        <v>1.0495745525058144</v>
      </c>
      <c r="H27" s="125">
        <v>1.4333232401798957</v>
      </c>
      <c r="I27" s="70">
        <v>4.8639647915487139E-2</v>
      </c>
      <c r="J27" s="70">
        <v>-0.42478485919807984</v>
      </c>
      <c r="K27" s="70">
        <v>5.2954891334215048E-2</v>
      </c>
      <c r="L27" s="175"/>
      <c r="M27" s="78">
        <f t="shared" ca="1" si="1"/>
        <v>5.1501116136177805E-2</v>
      </c>
      <c r="P27" s="35">
        <f t="shared" ref="P27:P28" si="3">D78</f>
        <v>0.87190340089992857</v>
      </c>
      <c r="Q27" s="35">
        <f t="shared" si="2"/>
        <v>1.0755957605158302</v>
      </c>
      <c r="R27" s="35">
        <f t="shared" si="2"/>
        <v>1.0190033908030607</v>
      </c>
      <c r="S27" s="35">
        <f t="shared" si="2"/>
        <v>1.0495745525058144</v>
      </c>
      <c r="T27" s="35">
        <f t="shared" si="2"/>
        <v>1.4333232401798957</v>
      </c>
    </row>
    <row r="28" spans="1:20">
      <c r="B28" t="s">
        <v>52</v>
      </c>
      <c r="C28" s="2"/>
      <c r="D28" s="125">
        <v>0.7313056416266257</v>
      </c>
      <c r="E28" s="126">
        <v>0.85706774829086085</v>
      </c>
      <c r="F28" s="126">
        <v>0.98590824210815953</v>
      </c>
      <c r="G28" s="126">
        <v>0.57823203023677694</v>
      </c>
      <c r="H28" s="125">
        <v>0.41165878593620336</v>
      </c>
      <c r="I28" s="70">
        <v>-0.12219530665103107</v>
      </c>
      <c r="J28" s="70">
        <v>-0.2246402934383831</v>
      </c>
      <c r="K28" s="70">
        <v>-9.8948905880472005E-2</v>
      </c>
      <c r="L28" s="175"/>
      <c r="M28" s="78">
        <f t="shared" ca="1" si="1"/>
        <v>0.44065985797131746</v>
      </c>
      <c r="P28" s="35">
        <f t="shared" si="3"/>
        <v>0.7313056416266257</v>
      </c>
      <c r="Q28" s="35">
        <f t="shared" si="2"/>
        <v>0.85706774829086085</v>
      </c>
      <c r="R28" s="35">
        <f t="shared" si="2"/>
        <v>0.98590824210815953</v>
      </c>
      <c r="S28" s="35">
        <f t="shared" si="2"/>
        <v>0.57823203023677694</v>
      </c>
      <c r="T28" s="35">
        <f t="shared" si="2"/>
        <v>0.41165878593620336</v>
      </c>
    </row>
    <row r="29" spans="1:20">
      <c r="B29" s="2"/>
      <c r="C29" s="2"/>
      <c r="D29" s="2"/>
      <c r="E29" s="2"/>
      <c r="F29" s="2">
        <v>0</v>
      </c>
      <c r="G29" s="2"/>
      <c r="H29" s="2"/>
      <c r="I29" s="2"/>
      <c r="J29" s="2"/>
      <c r="K29" s="2"/>
    </row>
    <row r="30" spans="1:20">
      <c r="A30" s="174" t="s">
        <v>152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</row>
    <row r="31" spans="1:20">
      <c r="A31" s="5"/>
      <c r="B31" s="79">
        <f>C95</f>
        <v>1.0419123890112216</v>
      </c>
      <c r="C31" s="79">
        <f t="shared" ref="C31:D31" si="4">D95</f>
        <v>-4.0818532431212473E-2</v>
      </c>
      <c r="D31" s="85">
        <f t="shared" si="4"/>
        <v>0.77248383184656022</v>
      </c>
      <c r="E31" s="86"/>
      <c r="F31" s="88" t="s">
        <v>48</v>
      </c>
      <c r="G31" s="5"/>
      <c r="H31" s="89" t="s">
        <v>45</v>
      </c>
    </row>
    <row r="32" spans="1:20">
      <c r="A32" s="5" t="s">
        <v>129</v>
      </c>
      <c r="B32" s="79">
        <f t="shared" ref="B32:D33" si="5">C96</f>
        <v>-1.4028471761352286</v>
      </c>
      <c r="C32" s="79">
        <f t="shared" si="5"/>
        <v>0.814665459345566</v>
      </c>
      <c r="D32" s="85">
        <f t="shared" si="5"/>
        <v>0.7195871750303805</v>
      </c>
      <c r="E32" s="87" t="s">
        <v>63</v>
      </c>
      <c r="F32" s="88" t="s">
        <v>47</v>
      </c>
      <c r="G32" s="90" t="s">
        <v>103</v>
      </c>
      <c r="H32" s="89" t="s">
        <v>43</v>
      </c>
      <c r="I32" s="60" t="s">
        <v>27</v>
      </c>
      <c r="J32" s="16">
        <v>0</v>
      </c>
    </row>
    <row r="33" spans="1:16">
      <c r="A33" s="5"/>
      <c r="B33" s="79">
        <f t="shared" si="5"/>
        <v>1.4421025939282253</v>
      </c>
      <c r="C33" s="79">
        <f t="shared" si="5"/>
        <v>1.0431877148697888</v>
      </c>
      <c r="D33" s="85">
        <f t="shared" si="5"/>
        <v>0.78932433807079116</v>
      </c>
      <c r="E33" s="86"/>
      <c r="F33" s="88" t="s">
        <v>52</v>
      </c>
      <c r="G33" s="5"/>
      <c r="H33" s="89" t="s">
        <v>42</v>
      </c>
      <c r="P33" s="35"/>
    </row>
    <row r="34" spans="1:16">
      <c r="D34" s="2"/>
      <c r="E34" s="2"/>
      <c r="F34" s="2"/>
      <c r="G34" s="2"/>
      <c r="H34" s="2"/>
      <c r="P34" s="35"/>
    </row>
    <row r="35" spans="1:16">
      <c r="A35" s="5"/>
      <c r="B35" s="79">
        <f>C99</f>
        <v>1.0419123890112216</v>
      </c>
      <c r="C35" s="79">
        <f t="shared" ref="C35:D35" si="6">D99</f>
        <v>-4.0818532431212473E-2</v>
      </c>
      <c r="D35" s="79">
        <f t="shared" si="6"/>
        <v>0.77248383184656022</v>
      </c>
      <c r="E35" s="137"/>
      <c r="F35" s="68"/>
      <c r="G35" s="2"/>
      <c r="H35" s="66"/>
      <c r="I35" s="2"/>
      <c r="P35" s="35"/>
    </row>
    <row r="36" spans="1:16">
      <c r="A36" s="5" t="s">
        <v>162</v>
      </c>
      <c r="B36" s="79">
        <f t="shared" ref="B36:D37" si="7">C100</f>
        <v>-1.0351585166444344</v>
      </c>
      <c r="C36" s="79">
        <f t="shared" si="7"/>
        <v>2.1037449841221099</v>
      </c>
      <c r="D36" s="79">
        <f t="shared" si="7"/>
        <v>0.82913701269133588</v>
      </c>
      <c r="E36" s="138"/>
      <c r="F36" s="68"/>
      <c r="G36" s="139"/>
      <c r="H36" s="66"/>
      <c r="I36" s="139"/>
      <c r="P36" s="35"/>
    </row>
    <row r="37" spans="1:16">
      <c r="A37" s="5"/>
      <c r="B37" s="79">
        <f t="shared" si="7"/>
        <v>-2.5457845528396139E-2</v>
      </c>
      <c r="C37" s="79">
        <f t="shared" si="7"/>
        <v>2.3667658472617719</v>
      </c>
      <c r="D37" s="79">
        <f t="shared" si="7"/>
        <v>6.368425350466822E-2</v>
      </c>
      <c r="E37" s="137"/>
      <c r="F37" s="68"/>
      <c r="G37" s="2"/>
      <c r="H37" s="66"/>
      <c r="I37" s="2"/>
      <c r="M37" s="31"/>
    </row>
    <row r="38" spans="1:16">
      <c r="D38" s="2"/>
      <c r="E38" s="2"/>
      <c r="F38" s="2"/>
      <c r="G38" s="2"/>
      <c r="H38" s="2"/>
      <c r="I38" s="2"/>
      <c r="J38" t="e">
        <f ca="1">MCond(B31:D33)</f>
        <v>#VALUE!</v>
      </c>
      <c r="L38">
        <f>SVDD(B31:D33)</f>
        <v>2.3451521789295224</v>
      </c>
      <c r="M38" s="31"/>
    </row>
    <row r="39" spans="1:16">
      <c r="A39" s="5"/>
      <c r="B39" s="79">
        <f>C103</f>
        <v>1.0419123890112216</v>
      </c>
      <c r="C39" s="79">
        <f t="shared" ref="C39:D41" si="8">D103</f>
        <v>-4.0818532431212473E-2</v>
      </c>
      <c r="D39" s="85">
        <f t="shared" si="8"/>
        <v>0.77248383184656022</v>
      </c>
      <c r="E39" s="137"/>
      <c r="F39" s="68"/>
      <c r="G39" s="2"/>
      <c r="H39" s="66"/>
      <c r="I39" s="2"/>
      <c r="J39" t="e">
        <f ca="1">MCond(B35:D37)</f>
        <v>#VALUE!</v>
      </c>
      <c r="M39" s="31"/>
    </row>
    <row r="40" spans="1:16">
      <c r="A40" s="5" t="s">
        <v>163</v>
      </c>
      <c r="B40" s="79">
        <f t="shared" ref="B40:B41" si="9">C104</f>
        <v>1.4421025939282253</v>
      </c>
      <c r="C40" s="79">
        <f t="shared" si="8"/>
        <v>1.0431877148697888</v>
      </c>
      <c r="D40" s="85">
        <f t="shared" si="8"/>
        <v>0.78932433807079116</v>
      </c>
      <c r="E40" s="138"/>
      <c r="F40" s="68"/>
      <c r="G40" s="139"/>
      <c r="H40" s="66"/>
      <c r="I40" s="139"/>
      <c r="J40" t="e">
        <f ca="1">MCond(B39:D41)</f>
        <v>#VALUE!</v>
      </c>
    </row>
    <row r="41" spans="1:16">
      <c r="A41" s="5"/>
      <c r="B41" s="79">
        <f t="shared" si="9"/>
        <v>-1.0351585166444344</v>
      </c>
      <c r="C41" s="79">
        <f t="shared" si="8"/>
        <v>2.1037449841221099</v>
      </c>
      <c r="D41" s="85">
        <f t="shared" si="8"/>
        <v>0.82913701269133588</v>
      </c>
      <c r="E41" s="137"/>
      <c r="F41" s="68"/>
      <c r="G41" s="2"/>
      <c r="H41" s="66"/>
      <c r="I41" s="2"/>
      <c r="J41" t="e">
        <f ca="1">MCond(B43:D45)</f>
        <v>#VALUE!</v>
      </c>
    </row>
    <row r="42" spans="1:16">
      <c r="A42" s="2"/>
      <c r="B42" s="79"/>
      <c r="C42" s="79"/>
      <c r="D42" s="79"/>
      <c r="E42" s="2"/>
      <c r="F42" s="68"/>
      <c r="G42" s="2"/>
      <c r="H42" s="66"/>
      <c r="I42" s="2"/>
      <c r="J42" t="e">
        <f ca="1">MCond(B47:D49)</f>
        <v>#VALUE!</v>
      </c>
    </row>
    <row r="43" spans="1:16">
      <c r="A43" s="5"/>
      <c r="B43" s="79">
        <f>C107</f>
        <v>1.0419123890112216</v>
      </c>
      <c r="C43" s="79">
        <f t="shared" ref="C43:D43" si="10">D107</f>
        <v>-4.0818532431212473E-2</v>
      </c>
      <c r="D43" s="79">
        <f t="shared" si="10"/>
        <v>0.77248383184656022</v>
      </c>
      <c r="E43" s="137"/>
      <c r="F43" s="68"/>
      <c r="G43" s="2"/>
      <c r="H43" s="66"/>
      <c r="I43" s="2"/>
    </row>
    <row r="44" spans="1:16">
      <c r="A44" s="5" t="s">
        <v>164</v>
      </c>
      <c r="B44" s="79">
        <f t="shared" ref="B44:D49" si="11">C108</f>
        <v>-1.4028471761352286</v>
      </c>
      <c r="C44" s="79">
        <f t="shared" si="11"/>
        <v>0.814665459345566</v>
      </c>
      <c r="D44" s="79">
        <f t="shared" si="11"/>
        <v>0.7195871750303805</v>
      </c>
      <c r="E44" s="138"/>
      <c r="F44" s="68"/>
      <c r="G44" s="139"/>
      <c r="H44" s="66"/>
      <c r="I44" s="139"/>
    </row>
    <row r="45" spans="1:16">
      <c r="A45" s="5"/>
      <c r="B45" s="79">
        <f t="shared" si="11"/>
        <v>-2.5457845528396139E-2</v>
      </c>
      <c r="C45" s="79">
        <f t="shared" si="11"/>
        <v>2.3667658472617719</v>
      </c>
      <c r="D45" s="79">
        <f t="shared" si="11"/>
        <v>6.368425350466822E-2</v>
      </c>
      <c r="E45" s="137"/>
      <c r="F45" s="68"/>
      <c r="G45" s="2"/>
      <c r="H45" s="66"/>
      <c r="I45" s="2"/>
      <c r="J45" s="2"/>
    </row>
    <row r="46" spans="1:16" ht="14.25" customHeight="1">
      <c r="A46" s="2"/>
      <c r="B46" s="79"/>
      <c r="C46" s="79"/>
      <c r="D46" s="79"/>
      <c r="E46" s="2"/>
      <c r="F46" s="68"/>
      <c r="G46" s="2"/>
      <c r="H46" s="66"/>
      <c r="I46" s="2"/>
    </row>
    <row r="47" spans="1:16" ht="14.25" customHeight="1">
      <c r="A47" s="5"/>
      <c r="B47" s="79">
        <f t="shared" si="11"/>
        <v>1.0419123890112216</v>
      </c>
      <c r="C47" s="79">
        <f t="shared" si="11"/>
        <v>-4.0818532431212473E-2</v>
      </c>
      <c r="D47" s="85">
        <f t="shared" si="11"/>
        <v>0.77248383184656022</v>
      </c>
      <c r="H47" s="66"/>
      <c r="I47" s="2"/>
    </row>
    <row r="48" spans="1:16" ht="14.25" customHeight="1">
      <c r="A48" s="5" t="s">
        <v>165</v>
      </c>
      <c r="B48" s="79">
        <f t="shared" si="11"/>
        <v>-1.4028471761352286</v>
      </c>
      <c r="C48" s="79">
        <f t="shared" si="11"/>
        <v>0.814665459345566</v>
      </c>
      <c r="D48" s="85">
        <f t="shared" si="11"/>
        <v>0.7195871750303805</v>
      </c>
      <c r="E48" s="140"/>
      <c r="F48" s="68"/>
      <c r="G48" s="139"/>
      <c r="H48" s="66"/>
      <c r="I48" s="139"/>
    </row>
    <row r="49" spans="1:16">
      <c r="A49" s="5"/>
      <c r="B49" s="79">
        <f t="shared" si="11"/>
        <v>-1.0351585166444344</v>
      </c>
      <c r="C49" s="79">
        <f t="shared" si="11"/>
        <v>2.1037449841221099</v>
      </c>
      <c r="D49" s="79">
        <f t="shared" si="11"/>
        <v>0.82913701269133588</v>
      </c>
      <c r="E49" s="138"/>
      <c r="F49" s="68"/>
      <c r="G49" s="140"/>
      <c r="H49" s="66"/>
      <c r="I49" s="140"/>
      <c r="O49" s="35"/>
      <c r="P49" s="35"/>
    </row>
    <row r="50" spans="1:16">
      <c r="A50" s="2"/>
      <c r="B50" s="148"/>
      <c r="C50" s="148"/>
      <c r="D50" s="148"/>
      <c r="E50" s="2"/>
      <c r="F50" s="68"/>
      <c r="G50" s="2"/>
      <c r="H50" s="66"/>
      <c r="I50" s="2"/>
      <c r="O50" s="35"/>
      <c r="P50" s="35"/>
    </row>
    <row r="51" spans="1:16">
      <c r="A51" s="2"/>
      <c r="B51" s="148"/>
      <c r="C51" s="148"/>
      <c r="D51" s="148"/>
      <c r="E51" s="2"/>
      <c r="F51" s="68"/>
      <c r="G51" s="2"/>
      <c r="H51" s="66"/>
      <c r="I51" s="2"/>
      <c r="O51" s="35"/>
      <c r="P51" s="35"/>
    </row>
    <row r="52" spans="1:16">
      <c r="A52" s="2"/>
      <c r="B52" s="79"/>
      <c r="C52" s="79"/>
      <c r="D52" s="79"/>
      <c r="E52" s="2"/>
      <c r="F52" s="68"/>
      <c r="G52" s="2"/>
      <c r="H52" s="66"/>
      <c r="O52" s="35"/>
      <c r="P52" s="35"/>
    </row>
    <row r="53" spans="1:16">
      <c r="D53" s="84" t="s">
        <v>135</v>
      </c>
      <c r="E53" s="84" t="s">
        <v>136</v>
      </c>
      <c r="F53" s="84" t="s">
        <v>137</v>
      </c>
      <c r="G53" s="84" t="s">
        <v>138</v>
      </c>
      <c r="H53" s="141" t="s">
        <v>161</v>
      </c>
      <c r="I53" s="131" t="s">
        <v>139</v>
      </c>
      <c r="J53" s="69" t="s">
        <v>139</v>
      </c>
      <c r="K53" s="69" t="s">
        <v>139</v>
      </c>
      <c r="O53" s="35"/>
      <c r="P53" s="35"/>
    </row>
    <row r="54" spans="1:16">
      <c r="B54" t="s">
        <v>92</v>
      </c>
      <c r="D54" s="37">
        <f t="array" ref="D54:D56">MMULT($B$31:$D$33,D$26:D$28)</f>
        <v>0.5474552260336264</v>
      </c>
      <c r="E54" s="109">
        <f t="array" ref="E54:E56">MMULT($B$35:$D$37,E$26:E$28)</f>
        <v>0.53344163628530905</v>
      </c>
      <c r="F54" s="109">
        <f t="array" ref="F54:F56">MMULT($B$39:$D$41,F$26:F$28)</f>
        <v>0.52641820809890194</v>
      </c>
      <c r="G54" s="109">
        <f t="array" ref="G54:G56">MMULT($B$43:$D$45,G$26:G$28)</f>
        <v>0.49259920509829241</v>
      </c>
      <c r="H54" s="109">
        <f t="array" ref="H54:H56">MMULT($B$47:$D$49,H$26:H$28)</f>
        <v>0.48854186874763528</v>
      </c>
      <c r="I54" s="71" t="e">
        <f>INDEX(MMULT($B$31:$D$33,I$26:I$28),ROW(#REF!))</f>
        <v>#REF!</v>
      </c>
      <c r="J54" s="71" t="e">
        <f>INDEX(MMULT($B$31:$D$33,J$26:J$28),ROW(#REF!))</f>
        <v>#REF!</v>
      </c>
      <c r="K54" s="71" t="e">
        <f>INDEX(MMULT($B$31:$D$33,K$26:K$28),ROW(#REF!))</f>
        <v>#REF!</v>
      </c>
      <c r="O54" s="35"/>
      <c r="P54" s="35"/>
    </row>
    <row r="55" spans="1:16">
      <c r="B55" t="s">
        <v>93</v>
      </c>
      <c r="D55" s="37">
        <v>1.2121463052984442</v>
      </c>
      <c r="E55" s="109">
        <v>3.0575816761850438</v>
      </c>
      <c r="F55" s="109">
        <v>1.5732727089777288</v>
      </c>
      <c r="G55" s="109">
        <v>1.1516240105648614</v>
      </c>
      <c r="H55" s="109">
        <v>1.155509145550921</v>
      </c>
      <c r="I55" s="71">
        <f t="shared" ref="I55:K56" si="12">INDEX(MMULT($B$31:$D$33,I$26:I$28),ROW($A1))</f>
        <v>-0.76474337943000381</v>
      </c>
      <c r="J55" s="71">
        <f t="shared" si="12"/>
        <v>-0.18373655926605126</v>
      </c>
      <c r="K55" s="71">
        <f t="shared" si="12"/>
        <v>-8.9335879036617633E-2</v>
      </c>
      <c r="O55" s="35"/>
    </row>
    <row r="56" spans="1:16">
      <c r="B56" t="s">
        <v>94</v>
      </c>
      <c r="D56" s="37">
        <v>1.5118805155058221</v>
      </c>
      <c r="E56" s="109">
        <v>2.6023351846733642</v>
      </c>
      <c r="F56" s="109">
        <v>3.1535071732451936</v>
      </c>
      <c r="G56" s="109">
        <v>2.5187525825175014</v>
      </c>
      <c r="H56" s="109">
        <v>3.1291045836245983</v>
      </c>
      <c r="I56" s="71">
        <f t="shared" si="12"/>
        <v>0.85159074406752489</v>
      </c>
      <c r="J56" s="71">
        <f t="shared" si="12"/>
        <v>-0.47061926565100198</v>
      </c>
      <c r="K56" s="71">
        <f t="shared" si="12"/>
        <v>-1.3604154940728003E-2</v>
      </c>
      <c r="O56" s="35"/>
    </row>
    <row r="57" spans="1:16">
      <c r="B57" t="s">
        <v>95</v>
      </c>
      <c r="D57" s="127">
        <f>(D$66-D$54)^2+(D$67-D$55)^2+(D$68-D$56)^2</f>
        <v>9.0380695085366914E-14</v>
      </c>
      <c r="E57" s="127">
        <f>(E$66-E$54)^2+(E$67-E$55)^2+(E$68-E$56)^2</f>
        <v>3.0477865965463654E-12</v>
      </c>
      <c r="F57" s="127">
        <f>(F$66-F$54)^2+(F$67-F$55)^2+(F$68-F$56)^2</f>
        <v>1.8809817245337768E-12</v>
      </c>
      <c r="G57" s="127">
        <f>(G$66-G$54)^2+(G$67-G$55)^2+(G$68-G$56)^2</f>
        <v>5.7411816000857969E-13</v>
      </c>
      <c r="H57" s="127">
        <f>(H$66-H$54)^2+(H$67-H$55)^2+(H$68-H$56)^2</f>
        <v>1.0526853399922608E-11</v>
      </c>
      <c r="I57" s="128" t="e">
        <f t="shared" ref="I57:K57" si="13">(I$54-I$66)^2+(I$55-I$67)^2+(I$56-I$68)^2</f>
        <v>#REF!</v>
      </c>
      <c r="J57" s="128" t="e">
        <f t="shared" si="13"/>
        <v>#REF!</v>
      </c>
      <c r="K57" s="128" t="e">
        <f t="shared" si="13"/>
        <v>#REF!</v>
      </c>
    </row>
    <row r="58" spans="1:16">
      <c r="D58" s="31"/>
      <c r="E58" s="31"/>
      <c r="F58" s="2"/>
      <c r="G58" s="2"/>
      <c r="H58" s="2"/>
    </row>
    <row r="59" spans="1:16">
      <c r="D59" s="31"/>
      <c r="E59" s="31"/>
      <c r="F59" s="2"/>
      <c r="G59" s="2"/>
      <c r="H59" s="2"/>
    </row>
    <row r="60" spans="1:16" ht="18.75">
      <c r="B60" s="56" t="s">
        <v>87</v>
      </c>
      <c r="C60" s="57"/>
      <c r="D60" s="80">
        <f>A_1*($D$22^2-D23^2)</f>
        <v>-3.1130173756292378E-3</v>
      </c>
      <c r="E60" s="80">
        <f>A_1*($E$22^2-E23^2)</f>
        <v>-2.8351958315340456E-3</v>
      </c>
      <c r="F60" s="80">
        <f t="shared" ref="F60:K62" si="14">A_1*(F$22^2-F23^2)</f>
        <v>-1.9823028231202816E-3</v>
      </c>
      <c r="G60" s="80">
        <f t="shared" si="14"/>
        <v>-3.4767595453968377E-4</v>
      </c>
      <c r="H60" s="80">
        <f t="shared" si="14"/>
        <v>2.4033647686503524E-3</v>
      </c>
      <c r="I60" s="80">
        <f t="shared" si="14"/>
        <v>-1.5470997696558767E-3</v>
      </c>
      <c r="J60" s="80">
        <f t="shared" si="14"/>
        <v>6.4573149834864655E-3</v>
      </c>
      <c r="K60" s="80">
        <f t="shared" si="14"/>
        <v>3.9125594545225302E-3</v>
      </c>
      <c r="L60" s="175" t="s">
        <v>96</v>
      </c>
    </row>
    <row r="61" spans="1:16" ht="18.75">
      <c r="B61" s="56" t="s">
        <v>88</v>
      </c>
      <c r="C61" s="57"/>
      <c r="D61" s="80">
        <f>A_1*($D$22^2-D24^2)</f>
        <v>-2.0577239964533526E-3</v>
      </c>
      <c r="E61" s="80">
        <f>A_1*($E$22^2-E24^2)</f>
        <v>-1.3553130468334292E-2</v>
      </c>
      <c r="F61" s="80">
        <f t="shared" si="14"/>
        <v>1.515420898874073E-3</v>
      </c>
      <c r="G61" s="80">
        <f t="shared" si="14"/>
        <v>-4.0388952752160451E-3</v>
      </c>
      <c r="H61" s="80">
        <f t="shared" si="14"/>
        <v>-8.9224140541350454E-3</v>
      </c>
      <c r="I61" s="80">
        <f t="shared" si="14"/>
        <v>3.6755526606819416E-4</v>
      </c>
      <c r="J61" s="80">
        <f t="shared" si="14"/>
        <v>8.9904093997263575E-3</v>
      </c>
      <c r="K61" s="80">
        <f t="shared" si="14"/>
        <v>5.7519203713529404E-3</v>
      </c>
      <c r="L61" s="175"/>
    </row>
    <row r="62" spans="1:16" ht="18.75">
      <c r="B62" s="56" t="s">
        <v>89</v>
      </c>
      <c r="C62" s="57"/>
      <c r="D62" s="80">
        <f>A_1*($D$22^2-D25^2)</f>
        <v>-1.5340946342520407E-2</v>
      </c>
      <c r="E62" s="80">
        <f>A_1*($E$22^2-E25^2)</f>
        <v>-6.512185503318244E-3</v>
      </c>
      <c r="F62" s="80">
        <f t="shared" si="14"/>
        <v>-2.0968168852382842E-3</v>
      </c>
      <c r="G62" s="80">
        <f t="shared" si="14"/>
        <v>5.2654206674487662E-3</v>
      </c>
      <c r="H62" s="80">
        <f t="shared" si="14"/>
        <v>2.475530560752079E-3</v>
      </c>
      <c r="I62" s="80">
        <f t="shared" si="14"/>
        <v>-5.0427555888347027E-3</v>
      </c>
      <c r="J62" s="80">
        <f t="shared" si="14"/>
        <v>1.0903380373299632E-2</v>
      </c>
      <c r="K62" s="80">
        <f t="shared" si="14"/>
        <v>3.2414351450327505E-3</v>
      </c>
      <c r="L62" s="175"/>
    </row>
    <row r="63" spans="1:16">
      <c r="B63" s="56" t="s">
        <v>86</v>
      </c>
      <c r="C63" s="58"/>
      <c r="D63" s="80">
        <f>A_2*(T_0*D$22-T_2*D23)</f>
        <v>3.6413749227317388E-3</v>
      </c>
      <c r="E63" s="80">
        <f>A_2*(T_0*$E$22-T_2*E23)</f>
        <v>-1.0649430881190209E-2</v>
      </c>
      <c r="F63" s="80">
        <f>A_2*(T_0*$F$22-T_2*F23)</f>
        <v>-1.852719897833981E-2</v>
      </c>
      <c r="G63" s="80">
        <f>A_2*(T_0*$G$22-T_2*G23)</f>
        <v>-5.3979428095152673E-2</v>
      </c>
      <c r="H63" s="80">
        <f>A_2*(T_0*$H$22-T_2*H23)</f>
        <v>-6.0788519973776801E-2</v>
      </c>
      <c r="I63" s="80">
        <f t="shared" ref="I63:K65" si="15">A_2*(THETA_0*I$22-THETA_1*I23)</f>
        <v>0</v>
      </c>
      <c r="J63" s="80">
        <f t="shared" si="15"/>
        <v>0</v>
      </c>
      <c r="K63" s="80">
        <f t="shared" si="15"/>
        <v>0</v>
      </c>
      <c r="L63" s="175"/>
    </row>
    <row r="64" spans="1:16">
      <c r="B64" s="56" t="s">
        <v>91</v>
      </c>
      <c r="C64" s="58" t="s">
        <v>27</v>
      </c>
      <c r="D64" s="80">
        <f>A_2*(T_0*D$22-T_3*D24)</f>
        <v>-1.6122463068470545E-2</v>
      </c>
      <c r="E64" s="80">
        <f>A_2*(T_0*$E$22-T_5*E24)</f>
        <v>-0.22128461379684902</v>
      </c>
      <c r="F64" s="80">
        <f>A_2*(T_0*$F$22-T_4*F24)</f>
        <v>-5.0830217249414909E-2</v>
      </c>
      <c r="G64" s="80">
        <f>A_2*(T_0*$G$22-T_3*G24)</f>
        <v>-7.4664369629833346E-2</v>
      </c>
      <c r="H64" s="80">
        <f>A_2*(T_0*$H$22-T_3*H24)</f>
        <v>-6.5898017275660567E-2</v>
      </c>
      <c r="I64" s="80">
        <f t="shared" si="15"/>
        <v>0</v>
      </c>
      <c r="J64" s="80">
        <f t="shared" si="15"/>
        <v>0</v>
      </c>
      <c r="K64" s="80">
        <f t="shared" si="15"/>
        <v>0</v>
      </c>
      <c r="L64" s="175"/>
    </row>
    <row r="65" spans="1:12">
      <c r="B65" s="56" t="s">
        <v>90</v>
      </c>
      <c r="C65" s="58"/>
      <c r="D65" s="80">
        <f>A_2*(T_0*D$22-T_4*D25)</f>
        <v>-9.5366895621529585E-2</v>
      </c>
      <c r="E65" s="80">
        <f>A_2*(T_0*$E$22-T_7*E25)</f>
        <v>2.3400789101006212E-2</v>
      </c>
      <c r="F65" s="80">
        <f>A_2*(T_0*$F$22-T_5*F25)</f>
        <v>-0.13681494814687647</v>
      </c>
      <c r="G65" s="80">
        <f>A_2*(T_0*$G$22-T_7*G25)</f>
        <v>-7.1960528533296861E-2</v>
      </c>
      <c r="H65" s="80">
        <f>A_2*(T_0*$H$22-T_5*H25)</f>
        <v>-0.16578799370954253</v>
      </c>
      <c r="I65" s="80">
        <f t="shared" si="15"/>
        <v>0</v>
      </c>
      <c r="J65" s="80">
        <f t="shared" si="15"/>
        <v>0</v>
      </c>
      <c r="K65" s="80">
        <f t="shared" si="15"/>
        <v>0</v>
      </c>
      <c r="L65" s="175"/>
    </row>
    <row r="66" spans="1:12">
      <c r="B66" t="s">
        <v>45</v>
      </c>
      <c r="C66" s="2"/>
      <c r="D66" s="55">
        <f>D13+D60+D63-J12</f>
        <v>0.54745506662384402</v>
      </c>
      <c r="E66" s="55">
        <f>D13+E60+E63-K12</f>
        <v>0.53344208236401736</v>
      </c>
      <c r="F66" s="55">
        <f>$D13+F60+F63-L12</f>
        <v>0.52641720727528152</v>
      </c>
      <c r="G66" s="55">
        <f>$D13+G60+G63-M12</f>
        <v>0.49259960502704919</v>
      </c>
      <c r="H66" s="55">
        <f t="shared" ref="H66" si="16">$D13+H60+H63-N12</f>
        <v>0.48854155387161508</v>
      </c>
      <c r="I66" s="72">
        <f t="shared" ref="I66:K68" si="17">$D$7+$G$7+I60+I63</f>
        <v>-1.5470997696558767E-3</v>
      </c>
      <c r="J66" s="72">
        <f t="shared" si="17"/>
        <v>6.4573149834864655E-3</v>
      </c>
      <c r="K66" s="72">
        <f t="shared" si="17"/>
        <v>3.9125594545225302E-3</v>
      </c>
      <c r="L66" s="175"/>
    </row>
    <row r="67" spans="1:12">
      <c r="B67" t="s">
        <v>43</v>
      </c>
      <c r="D67" s="55">
        <f>D14+D61+D64-J13</f>
        <v>1.2121465591696865</v>
      </c>
      <c r="E67" s="55">
        <f>D16+E61+E64-K13</f>
        <v>3.0575808565832081</v>
      </c>
      <c r="F67" s="55">
        <f>D15+F61+F64-L13</f>
        <v>1.573273583892314</v>
      </c>
      <c r="G67" s="55">
        <f>D14+G61+G64-M13</f>
        <v>1.1516234813295614</v>
      </c>
      <c r="H67" s="142">
        <f>D14+H61+H64-N13</f>
        <v>1.155506314904815</v>
      </c>
      <c r="I67" s="72">
        <f t="shared" si="17"/>
        <v>3.6755526606819416E-4</v>
      </c>
      <c r="J67" s="72">
        <f t="shared" si="17"/>
        <v>8.9904093997263575E-3</v>
      </c>
      <c r="K67" s="72">
        <f t="shared" si="17"/>
        <v>5.7519203713529404E-3</v>
      </c>
      <c r="L67" s="175"/>
    </row>
    <row r="68" spans="1:12">
      <c r="B68" t="s">
        <v>42</v>
      </c>
      <c r="C68" s="2"/>
      <c r="D68" s="55">
        <f>D15+D62+D65-J14</f>
        <v>1.5118805382788045</v>
      </c>
      <c r="E68" s="55">
        <f>D18+E62+E65-K14</f>
        <v>2.6023366601574249</v>
      </c>
      <c r="F68" s="55">
        <f>D16+F62+F65-L14</f>
        <v>3.1535068358162768</v>
      </c>
      <c r="G68" s="55">
        <f>D18+G62+G65-M14</f>
        <v>2.5187529486938889</v>
      </c>
      <c r="H68" s="142">
        <f>D16+H62+H65-N14</f>
        <v>3.1291061376996012</v>
      </c>
      <c r="I68" s="72">
        <f t="shared" si="17"/>
        <v>-5.0427555888347027E-3</v>
      </c>
      <c r="J68" s="72">
        <f t="shared" si="17"/>
        <v>1.0903380373299632E-2</v>
      </c>
      <c r="K68" s="72">
        <f t="shared" si="17"/>
        <v>3.2414351450327505E-3</v>
      </c>
      <c r="L68" s="175"/>
    </row>
    <row r="69" spans="1:12">
      <c r="C69" s="2"/>
      <c r="D69" s="2"/>
      <c r="E69" s="2"/>
      <c r="F69" s="2"/>
      <c r="G69" s="2"/>
      <c r="H69" s="2"/>
      <c r="I69" s="2"/>
      <c r="J69" s="2"/>
      <c r="K69" s="2"/>
    </row>
    <row r="70" spans="1:12">
      <c r="A70" s="174" t="s">
        <v>62</v>
      </c>
      <c r="B70" s="174"/>
      <c r="C70" s="174"/>
      <c r="D70" s="174"/>
      <c r="E70" s="174"/>
      <c r="F70" s="174"/>
      <c r="G70" s="174"/>
      <c r="H70" s="174"/>
      <c r="I70" s="174"/>
      <c r="J70" s="174"/>
      <c r="K70" s="174"/>
    </row>
    <row r="71" spans="1:12">
      <c r="B71" t="s">
        <v>53</v>
      </c>
      <c r="C71" s="2"/>
      <c r="D71" s="35">
        <v>0</v>
      </c>
      <c r="E71" s="35">
        <v>0</v>
      </c>
      <c r="F71" s="35">
        <v>0</v>
      </c>
      <c r="G71" s="35">
        <v>0</v>
      </c>
      <c r="H71" s="2"/>
      <c r="I71" s="2"/>
      <c r="J71" s="2"/>
      <c r="K71" s="2"/>
    </row>
    <row r="72" spans="1:12">
      <c r="B72" t="s">
        <v>54</v>
      </c>
      <c r="C72" s="2" t="s">
        <v>27</v>
      </c>
      <c r="D72" s="35">
        <v>0</v>
      </c>
      <c r="E72" s="35">
        <v>0</v>
      </c>
      <c r="F72" s="35">
        <v>0</v>
      </c>
      <c r="G72" s="35">
        <v>0</v>
      </c>
      <c r="H72" s="2"/>
      <c r="I72" s="2"/>
      <c r="J72" s="2"/>
      <c r="K72" s="2"/>
    </row>
    <row r="73" spans="1:12">
      <c r="B73" t="s">
        <v>55</v>
      </c>
      <c r="C73" s="2"/>
      <c r="D73" s="35">
        <v>0</v>
      </c>
      <c r="E73" s="35">
        <v>0</v>
      </c>
      <c r="F73" s="35">
        <v>0</v>
      </c>
      <c r="G73" s="35">
        <v>0</v>
      </c>
      <c r="H73" s="2"/>
      <c r="I73" s="2"/>
      <c r="J73" s="2"/>
      <c r="K73" s="2"/>
    </row>
    <row r="74" spans="1:12">
      <c r="C74" s="2"/>
      <c r="D74" s="2"/>
      <c r="E74" s="2"/>
      <c r="F74" s="2"/>
      <c r="G74" s="2"/>
      <c r="H74" s="2"/>
      <c r="I74" s="2"/>
      <c r="J74" s="2"/>
      <c r="K74" s="2"/>
    </row>
    <row r="75" spans="1:12">
      <c r="A75" s="174" t="s">
        <v>64</v>
      </c>
      <c r="B75" s="174"/>
      <c r="C75" s="174"/>
      <c r="D75" s="174"/>
      <c r="E75" s="174"/>
      <c r="F75" s="174"/>
      <c r="G75" s="174"/>
      <c r="H75" s="174"/>
      <c r="I75" s="174"/>
      <c r="J75" s="174"/>
      <c r="K75" s="174"/>
    </row>
    <row r="76" spans="1:12">
      <c r="A76" s="23"/>
      <c r="B76" s="21"/>
      <c r="C76" s="21"/>
      <c r="D76" s="12">
        <v>0</v>
      </c>
      <c r="E76" s="103">
        <v>2</v>
      </c>
      <c r="F76" s="103">
        <v>3</v>
      </c>
      <c r="G76" s="103">
        <v>4</v>
      </c>
      <c r="H76" s="103">
        <v>0</v>
      </c>
      <c r="I76" s="69">
        <v>6</v>
      </c>
      <c r="J76" s="69">
        <v>7</v>
      </c>
      <c r="K76" s="69">
        <v>8</v>
      </c>
    </row>
    <row r="77" spans="1:12">
      <c r="B77" s="26" t="s">
        <v>59</v>
      </c>
      <c r="C77" s="26"/>
      <c r="D77" s="32">
        <f>D26+D71</f>
        <v>1.7394225442122276E-2</v>
      </c>
      <c r="E77" s="32">
        <f>E26+E71</f>
        <v>-8.1316915439917842E-2</v>
      </c>
      <c r="F77" s="32">
        <f t="shared" ref="F77:G79" si="18">F26+F71</f>
        <v>-0.18579848718625816</v>
      </c>
      <c r="G77" s="32">
        <f t="shared" si="18"/>
        <v>8.5195650355251465E-2</v>
      </c>
      <c r="H77" s="104">
        <f>H26+$D$71</f>
        <v>0.21983447548348592</v>
      </c>
      <c r="I77" s="73">
        <f t="shared" ref="H77:K79" si="19">I26+$D$71</f>
        <v>-0.64147819789622496</v>
      </c>
      <c r="J77" s="73">
        <f t="shared" si="19"/>
        <v>-2.6436636559469484E-2</v>
      </c>
      <c r="K77" s="73">
        <f t="shared" si="19"/>
        <v>-1.0305960682470916E-2</v>
      </c>
    </row>
    <row r="78" spans="1:12">
      <c r="B78" s="26" t="s">
        <v>60</v>
      </c>
      <c r="C78" s="26" t="s">
        <v>27</v>
      </c>
      <c r="D78" s="32">
        <f t="shared" ref="D78:E79" si="20">D27+D72</f>
        <v>0.87190340089992857</v>
      </c>
      <c r="E78" s="32">
        <f t="shared" si="20"/>
        <v>1.0755957605158302</v>
      </c>
      <c r="F78" s="32">
        <f t="shared" si="18"/>
        <v>1.0190033908030607</v>
      </c>
      <c r="G78" s="32">
        <f t="shared" si="18"/>
        <v>1.0495745525058144</v>
      </c>
      <c r="H78" s="104">
        <f t="shared" si="19"/>
        <v>1.4333232401798957</v>
      </c>
      <c r="I78" s="73">
        <f t="shared" si="19"/>
        <v>4.8639647915487139E-2</v>
      </c>
      <c r="J78" s="73">
        <f t="shared" si="19"/>
        <v>-0.42478485919807984</v>
      </c>
      <c r="K78" s="73">
        <f t="shared" si="19"/>
        <v>5.2954891334215048E-2</v>
      </c>
    </row>
    <row r="79" spans="1:12">
      <c r="B79" s="26" t="s">
        <v>61</v>
      </c>
      <c r="C79" s="26"/>
      <c r="D79" s="32">
        <f t="shared" si="20"/>
        <v>0.7313056416266257</v>
      </c>
      <c r="E79" s="32">
        <f t="shared" si="20"/>
        <v>0.85706774829086085</v>
      </c>
      <c r="F79" s="32">
        <f t="shared" si="18"/>
        <v>0.98590824210815953</v>
      </c>
      <c r="G79" s="32">
        <f t="shared" si="18"/>
        <v>0.57823203023677694</v>
      </c>
      <c r="H79" s="104">
        <f t="shared" si="19"/>
        <v>0.41165878593620336</v>
      </c>
      <c r="I79" s="73">
        <f t="shared" si="19"/>
        <v>-0.12219530665103107</v>
      </c>
      <c r="J79" s="73">
        <f t="shared" si="19"/>
        <v>-0.2246402934383831</v>
      </c>
      <c r="K79" s="73">
        <f t="shared" si="19"/>
        <v>-9.8948905880472005E-2</v>
      </c>
    </row>
    <row r="80" spans="1:12"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9">
      <c r="A81" s="174" t="s">
        <v>67</v>
      </c>
      <c r="B81" s="174"/>
      <c r="C81" s="174"/>
      <c r="D81" s="174"/>
      <c r="E81" s="174"/>
      <c r="F81" s="174"/>
      <c r="G81" s="174"/>
      <c r="H81" s="174"/>
      <c r="I81" s="174"/>
      <c r="J81" s="174"/>
      <c r="K81" s="174"/>
    </row>
    <row r="82" spans="1:19">
      <c r="A82" t="s">
        <v>151</v>
      </c>
      <c r="B82" s="21"/>
      <c r="C82" s="21"/>
      <c r="D82" s="12">
        <v>0</v>
      </c>
      <c r="E82" s="103">
        <v>2</v>
      </c>
      <c r="F82" s="103">
        <v>3</v>
      </c>
      <c r="G82" s="103">
        <v>4</v>
      </c>
      <c r="H82" s="103">
        <v>0</v>
      </c>
      <c r="I82" s="69">
        <v>6</v>
      </c>
      <c r="J82" s="69">
        <v>7</v>
      </c>
      <c r="K82" s="69">
        <v>8</v>
      </c>
    </row>
    <row r="83" spans="1:19">
      <c r="B83" s="176" t="s">
        <v>71</v>
      </c>
      <c r="C83" s="176"/>
      <c r="D83" s="38">
        <v>1.155</v>
      </c>
      <c r="E83" s="38">
        <v>1.155</v>
      </c>
      <c r="F83" s="38">
        <v>1.155</v>
      </c>
      <c r="G83" s="38">
        <v>1.155</v>
      </c>
      <c r="H83" s="38">
        <v>1.155</v>
      </c>
      <c r="I83" s="74">
        <f>Messaufbau_Messdaten!O30</f>
        <v>1.851</v>
      </c>
      <c r="J83" s="74">
        <f>Messaufbau_Messdaten!P30</f>
        <v>2.0550000000000002</v>
      </c>
      <c r="K83" s="74">
        <f>Messaufbau_Messdaten!Q30</f>
        <v>1.5740000000000001</v>
      </c>
    </row>
    <row r="84" spans="1:19">
      <c r="B84" s="172" t="s">
        <v>70</v>
      </c>
      <c r="C84" s="172"/>
      <c r="D84" s="36">
        <f>SQRT(D77^2+D78^2+D79^2)</f>
        <v>1.1381239128735163</v>
      </c>
      <c r="E84" s="106">
        <f t="shared" ref="E84:K84" si="21">SQRT(E77^2+E78^2+E79^2)</f>
        <v>1.3777096232285875</v>
      </c>
      <c r="F84" s="106">
        <f t="shared" si="21"/>
        <v>1.4300014161411305</v>
      </c>
      <c r="G84" s="106">
        <f t="shared" si="21"/>
        <v>1.2013398024285136</v>
      </c>
      <c r="H84" s="106">
        <f t="shared" si="21"/>
        <v>1.5073837147486249</v>
      </c>
      <c r="I84" s="75">
        <f t="shared" si="21"/>
        <v>0.65482195037511559</v>
      </c>
      <c r="J84" s="75">
        <f t="shared" si="21"/>
        <v>0.48125287925641846</v>
      </c>
      <c r="K84" s="75">
        <f t="shared" si="21"/>
        <v>0.1127001300653627</v>
      </c>
    </row>
    <row r="85" spans="1:19">
      <c r="B85" s="172" t="s">
        <v>69</v>
      </c>
      <c r="C85" s="172"/>
      <c r="D85" s="36">
        <f>D84-D83</f>
        <v>-1.6876087126483696E-2</v>
      </c>
      <c r="E85" s="106">
        <f t="shared" ref="E85:K85" si="22">E84-E83</f>
        <v>0.22270962322858745</v>
      </c>
      <c r="F85" s="106">
        <f t="shared" si="22"/>
        <v>0.27500141614113049</v>
      </c>
      <c r="G85" s="106">
        <f t="shared" si="22"/>
        <v>4.6339802428513543E-2</v>
      </c>
      <c r="H85" s="106">
        <f t="shared" si="22"/>
        <v>0.35238371474862484</v>
      </c>
      <c r="I85" s="75">
        <f t="shared" si="22"/>
        <v>-1.1961780496248844</v>
      </c>
      <c r="J85" s="75">
        <f t="shared" si="22"/>
        <v>-1.5737471207435818</v>
      </c>
      <c r="K85" s="75">
        <f t="shared" si="22"/>
        <v>-1.4612998699346373</v>
      </c>
      <c r="L85" s="35"/>
      <c r="M85" s="35"/>
      <c r="N85" s="35"/>
      <c r="O85" s="35"/>
      <c r="P85" s="35"/>
      <c r="Q85" s="35"/>
      <c r="R85" s="35"/>
      <c r="S85" s="35"/>
    </row>
    <row r="86" spans="1:19">
      <c r="B86" s="173" t="s">
        <v>68</v>
      </c>
      <c r="C86" s="173"/>
      <c r="D86" s="39">
        <f>1-D83/D84</f>
        <v>-1.48279874762276E-2</v>
      </c>
      <c r="E86" s="107">
        <f t="shared" ref="E86:K86" si="23">1-E83/E84</f>
        <v>0.16165207782078173</v>
      </c>
      <c r="F86" s="107">
        <f t="shared" si="23"/>
        <v>0.19230849217144408</v>
      </c>
      <c r="G86" s="107">
        <f t="shared" si="23"/>
        <v>3.857343470584873E-2</v>
      </c>
      <c r="H86" s="107">
        <f t="shared" si="23"/>
        <v>0.23377174059983075</v>
      </c>
      <c r="I86" s="76">
        <f t="shared" si="23"/>
        <v>-1.8267225906823255</v>
      </c>
      <c r="J86" s="76">
        <f t="shared" si="23"/>
        <v>-3.2701043226487725</v>
      </c>
      <c r="K86" s="76">
        <f t="shared" si="23"/>
        <v>-12.966266046783861</v>
      </c>
      <c r="L86" s="35"/>
      <c r="M86" s="35"/>
      <c r="N86" s="35"/>
      <c r="O86" s="35"/>
      <c r="P86" s="35"/>
      <c r="Q86" s="35"/>
      <c r="R86" s="35"/>
      <c r="S86" s="35"/>
    </row>
    <row r="87" spans="1:19">
      <c r="D87">
        <f>D85*D85</f>
        <v>2.8480231670066874E-4</v>
      </c>
      <c r="E87" s="108">
        <f t="shared" ref="E87:K87" si="24">E85*E85</f>
        <v>4.9599576278619377E-2</v>
      </c>
      <c r="F87" s="108">
        <f t="shared" si="24"/>
        <v>7.5625778879627223E-2</v>
      </c>
      <c r="G87" s="108">
        <f t="shared" si="24"/>
        <v>2.1473772891136699E-3</v>
      </c>
      <c r="H87" s="108">
        <f t="shared" si="24"/>
        <v>0.12417428242004021</v>
      </c>
      <c r="I87" s="77">
        <f t="shared" si="24"/>
        <v>1.4308419264043923</v>
      </c>
      <c r="J87" s="77">
        <f t="shared" si="24"/>
        <v>2.4766800000487139</v>
      </c>
      <c r="K87" s="77">
        <f t="shared" si="24"/>
        <v>2.1353973098709882</v>
      </c>
      <c r="L87" s="35"/>
      <c r="M87" s="35"/>
      <c r="N87" s="35"/>
      <c r="O87" s="35"/>
      <c r="P87" s="35"/>
      <c r="Q87" s="35"/>
      <c r="R87" s="35"/>
      <c r="S87" s="35"/>
    </row>
    <row r="88" spans="1:19" ht="15.75" thickBot="1">
      <c r="A88" s="110"/>
      <c r="B88" s="110"/>
      <c r="C88" s="110"/>
      <c r="D88" s="110"/>
      <c r="E88" s="110"/>
      <c r="F88" s="110"/>
      <c r="G88" s="110"/>
      <c r="H88" s="110"/>
      <c r="I88" s="110"/>
      <c r="J88" s="110"/>
      <c r="K88" s="110"/>
    </row>
    <row r="89" spans="1:19" ht="15.75" thickTop="1">
      <c r="L89" s="35"/>
      <c r="M89" s="35"/>
      <c r="N89" s="35"/>
      <c r="O89" s="35"/>
      <c r="P89" s="35"/>
      <c r="Q89" s="35"/>
      <c r="R89" s="35"/>
      <c r="S89" s="35"/>
    </row>
    <row r="90" spans="1:19">
      <c r="C90">
        <v>1</v>
      </c>
      <c r="D90" s="82">
        <v>2</v>
      </c>
      <c r="E90">
        <v>3</v>
      </c>
      <c r="F90">
        <v>4</v>
      </c>
      <c r="G90">
        <v>5</v>
      </c>
      <c r="H90">
        <v>6</v>
      </c>
      <c r="I90" s="82">
        <v>7</v>
      </c>
      <c r="J90">
        <v>8</v>
      </c>
      <c r="K90" t="s">
        <v>78</v>
      </c>
      <c r="L90" s="16">
        <v>1</v>
      </c>
      <c r="M90" s="16">
        <v>2</v>
      </c>
      <c r="N90" s="16">
        <v>3</v>
      </c>
      <c r="O90" s="16">
        <v>4</v>
      </c>
      <c r="P90" s="16">
        <v>5</v>
      </c>
      <c r="Q90" s="16">
        <v>6</v>
      </c>
      <c r="R90" s="16">
        <v>7</v>
      </c>
      <c r="S90" s="16">
        <v>8</v>
      </c>
    </row>
    <row r="91" spans="1:19">
      <c r="A91" t="s">
        <v>113</v>
      </c>
      <c r="B91" t="s">
        <v>27</v>
      </c>
      <c r="C91" s="35">
        <v>0.47920829337661575</v>
      </c>
      <c r="D91" s="83">
        <v>-0.77466733619029227</v>
      </c>
      <c r="E91" s="35">
        <v>1.5211206823878374</v>
      </c>
      <c r="F91" s="35">
        <v>-0.92363888275861272</v>
      </c>
      <c r="G91" s="35">
        <v>1.921310887304841</v>
      </c>
      <c r="H91" s="35">
        <v>-0.55595022326781851</v>
      </c>
      <c r="I91" s="83">
        <v>1.0628801501210983</v>
      </c>
      <c r="J91" s="35">
        <v>0.45375044784821961</v>
      </c>
      <c r="L91" s="35">
        <v>0</v>
      </c>
      <c r="M91" s="35">
        <f t="shared" ref="M91:S93" si="25">D91-$C91</f>
        <v>-1.253875629566908</v>
      </c>
      <c r="N91" s="35">
        <f t="shared" si="25"/>
        <v>1.0419123890112216</v>
      </c>
      <c r="O91" s="35">
        <f t="shared" si="25"/>
        <v>-1.4028471761352286</v>
      </c>
      <c r="P91" s="35">
        <f t="shared" si="25"/>
        <v>1.4421025939282253</v>
      </c>
      <c r="Q91" s="35">
        <f t="shared" si="25"/>
        <v>-1.0351585166444344</v>
      </c>
      <c r="R91" s="35">
        <f t="shared" si="25"/>
        <v>0.58367185674448252</v>
      </c>
      <c r="S91" s="35">
        <f t="shared" si="25"/>
        <v>-2.5457845528396139E-2</v>
      </c>
    </row>
    <row r="92" spans="1:19">
      <c r="A92" t="s">
        <v>115</v>
      </c>
      <c r="B92" t="s">
        <v>27</v>
      </c>
      <c r="C92" s="35">
        <v>-1.0120183213662168</v>
      </c>
      <c r="D92" s="83">
        <v>-1.0446104874939868</v>
      </c>
      <c r="E92" s="35">
        <v>-1.0528368537974293</v>
      </c>
      <c r="F92" s="35">
        <v>-0.1973528620206508</v>
      </c>
      <c r="G92" s="35">
        <v>3.1169393503572059E-2</v>
      </c>
      <c r="H92" s="35">
        <v>1.0917266627558933</v>
      </c>
      <c r="I92" s="83">
        <v>1.0721321685048839</v>
      </c>
      <c r="J92" s="35">
        <v>1.354747525895555</v>
      </c>
      <c r="L92" s="35">
        <v>0</v>
      </c>
      <c r="M92" s="35">
        <f t="shared" si="25"/>
        <v>-3.2592166127769939E-2</v>
      </c>
      <c r="N92" s="35">
        <f t="shared" si="25"/>
        <v>-4.0818532431212473E-2</v>
      </c>
      <c r="O92" s="35">
        <f t="shared" si="25"/>
        <v>0.814665459345566</v>
      </c>
      <c r="P92" s="35">
        <f t="shared" si="25"/>
        <v>1.0431877148697888</v>
      </c>
      <c r="Q92" s="35">
        <f t="shared" si="25"/>
        <v>2.1037449841221099</v>
      </c>
      <c r="R92" s="35">
        <f t="shared" si="25"/>
        <v>2.0841504898711007</v>
      </c>
      <c r="S92" s="35">
        <f t="shared" si="25"/>
        <v>2.3667658472617719</v>
      </c>
    </row>
    <row r="93" spans="1:19">
      <c r="A93" t="s">
        <v>116</v>
      </c>
      <c r="B93" t="s">
        <v>27</v>
      </c>
      <c r="C93" s="35">
        <v>0.60667574649490386</v>
      </c>
      <c r="D93" s="83">
        <v>1.3460223603321362</v>
      </c>
      <c r="E93" s="35">
        <v>1.3791595783414641</v>
      </c>
      <c r="F93" s="35">
        <v>1.3262629215252844</v>
      </c>
      <c r="G93" s="35">
        <v>1.396000084565695</v>
      </c>
      <c r="H93" s="35">
        <v>1.4358127591862397</v>
      </c>
      <c r="I93" s="83">
        <v>1.3583899668915187</v>
      </c>
      <c r="J93" s="35">
        <v>0.67035999999957208</v>
      </c>
      <c r="L93" s="35">
        <v>0</v>
      </c>
      <c r="M93" s="35">
        <f t="shared" si="25"/>
        <v>0.73934661383723232</v>
      </c>
      <c r="N93" s="35">
        <f t="shared" si="25"/>
        <v>0.77248383184656022</v>
      </c>
      <c r="O93" s="35">
        <f t="shared" si="25"/>
        <v>0.7195871750303805</v>
      </c>
      <c r="P93" s="35">
        <f t="shared" si="25"/>
        <v>0.78932433807079116</v>
      </c>
      <c r="Q93" s="35">
        <f t="shared" si="25"/>
        <v>0.82913701269133588</v>
      </c>
      <c r="R93" s="35">
        <f t="shared" si="25"/>
        <v>0.75171422039661484</v>
      </c>
      <c r="S93" s="35">
        <f t="shared" si="25"/>
        <v>6.368425350466822E-2</v>
      </c>
    </row>
    <row r="94" spans="1:19">
      <c r="E94" s="2"/>
      <c r="F94" s="2"/>
    </row>
    <row r="95" spans="1:19">
      <c r="A95" s="2"/>
      <c r="B95" s="5"/>
      <c r="C95" s="79">
        <f>L$101-L$99</f>
        <v>1.0419123890112216</v>
      </c>
      <c r="D95" s="79">
        <f t="shared" ref="D95:E95" si="26">M$101-M$99</f>
        <v>-4.0818532431212473E-2</v>
      </c>
      <c r="E95" s="85">
        <f t="shared" si="26"/>
        <v>0.77248383184656022</v>
      </c>
      <c r="J95" s="79"/>
      <c r="K95" t="s">
        <v>128</v>
      </c>
      <c r="L95" s="35">
        <f>SQRT(L91^2+L92^2+L93^2)</f>
        <v>0</v>
      </c>
      <c r="M95" s="35">
        <f>SQRT(M91^2+M92^2+M93^2)</f>
        <v>1.4559875545853034</v>
      </c>
      <c r="N95" s="35">
        <f t="shared" ref="N95:S95" si="27">SQRT(N91^2+N92^2+N93^2)</f>
        <v>1.2976821064610753</v>
      </c>
      <c r="O95" s="35">
        <f t="shared" si="27"/>
        <v>1.7746734101545305</v>
      </c>
      <c r="P95" s="35">
        <f t="shared" si="27"/>
        <v>1.9470319490292554</v>
      </c>
      <c r="Q95" s="35">
        <f t="shared" si="27"/>
        <v>2.4869186353025614</v>
      </c>
      <c r="R95" s="35">
        <f t="shared" si="27"/>
        <v>2.2911635406343196</v>
      </c>
      <c r="S95" s="35">
        <f t="shared" si="27"/>
        <v>2.3677593547081863</v>
      </c>
    </row>
    <row r="96" spans="1:19">
      <c r="A96" s="2" t="s">
        <v>129</v>
      </c>
      <c r="B96" s="5" t="s">
        <v>27</v>
      </c>
      <c r="C96" s="79">
        <f>L$102-L$99</f>
        <v>-1.4028471761352286</v>
      </c>
      <c r="D96" s="79">
        <f t="shared" ref="D96:E96" si="28">M$102-M$99</f>
        <v>0.814665459345566</v>
      </c>
      <c r="E96" s="85">
        <f t="shared" si="28"/>
        <v>0.7195871750303805</v>
      </c>
      <c r="J96" s="79"/>
    </row>
    <row r="97" spans="1:14">
      <c r="A97" s="2"/>
      <c r="B97" s="5"/>
      <c r="C97" s="79">
        <f>L$103-L$99</f>
        <v>1.4421025939282253</v>
      </c>
      <c r="D97" s="79">
        <f t="shared" ref="D97:E97" si="29">M$103-M$99</f>
        <v>1.0431877148697888</v>
      </c>
      <c r="E97" s="85">
        <f t="shared" si="29"/>
        <v>0.78932433807079116</v>
      </c>
      <c r="J97" s="79"/>
    </row>
    <row r="98" spans="1:14">
      <c r="A98" s="2"/>
      <c r="L98" t="s">
        <v>56</v>
      </c>
      <c r="M98" t="s">
        <v>57</v>
      </c>
      <c r="N98" t="s">
        <v>58</v>
      </c>
    </row>
    <row r="99" spans="1:14">
      <c r="A99" s="2"/>
      <c r="B99" s="5"/>
      <c r="C99" s="79">
        <f>L$101-L$99</f>
        <v>1.0419123890112216</v>
      </c>
      <c r="D99" s="79">
        <f t="shared" ref="D99:E99" si="30">M$101-M$99</f>
        <v>-4.0818532431212473E-2</v>
      </c>
      <c r="E99" s="85">
        <f t="shared" si="30"/>
        <v>0.77248383184656022</v>
      </c>
      <c r="K99">
        <v>0</v>
      </c>
      <c r="L99" s="35">
        <v>0.47920829337661575</v>
      </c>
      <c r="M99" s="35">
        <v>-1.0120183213662168</v>
      </c>
      <c r="N99" s="35">
        <v>0.60667574649490386</v>
      </c>
    </row>
    <row r="100" spans="1:14">
      <c r="A100" s="2" t="s">
        <v>162</v>
      </c>
      <c r="B100" s="5" t="s">
        <v>27</v>
      </c>
      <c r="C100" s="79">
        <f>L$104-L$99</f>
        <v>-1.0351585166444344</v>
      </c>
      <c r="D100" s="79">
        <f t="shared" ref="D100:E100" si="31">M$104-M$99</f>
        <v>2.1037449841221099</v>
      </c>
      <c r="E100" s="85">
        <f t="shared" si="31"/>
        <v>0.82913701269133588</v>
      </c>
      <c r="K100">
        <v>1</v>
      </c>
      <c r="L100" s="83">
        <v>-0.77466733619029227</v>
      </c>
      <c r="M100" s="83">
        <v>-1.0446104874939868</v>
      </c>
      <c r="N100" s="83">
        <v>1.3460223603321362</v>
      </c>
    </row>
    <row r="101" spans="1:14">
      <c r="A101" s="2"/>
      <c r="B101" s="5"/>
      <c r="C101" s="79">
        <f>L$106-L$99</f>
        <v>-2.5457845528396139E-2</v>
      </c>
      <c r="D101" s="79">
        <f t="shared" ref="D101:E101" si="32">M$106-M$99</f>
        <v>2.3667658472617719</v>
      </c>
      <c r="E101" s="85">
        <f t="shared" si="32"/>
        <v>6.368425350466822E-2</v>
      </c>
      <c r="K101">
        <v>2</v>
      </c>
      <c r="L101" s="35">
        <v>1.5211206823878374</v>
      </c>
      <c r="M101" s="35">
        <v>-1.0528368537974293</v>
      </c>
      <c r="N101" s="35">
        <v>1.3791595783414641</v>
      </c>
    </row>
    <row r="102" spans="1:14">
      <c r="A102" s="2"/>
      <c r="K102">
        <v>3</v>
      </c>
      <c r="L102" s="35">
        <v>-0.92363888275861272</v>
      </c>
      <c r="M102" s="35">
        <v>-0.1973528620206508</v>
      </c>
      <c r="N102" s="35">
        <v>1.3262629215252844</v>
      </c>
    </row>
    <row r="103" spans="1:14">
      <c r="A103" s="2"/>
      <c r="B103" s="5"/>
      <c r="C103" s="79">
        <f>L$101-L$99</f>
        <v>1.0419123890112216</v>
      </c>
      <c r="D103" s="79">
        <f t="shared" ref="D103:E103" si="33">M$101-M$99</f>
        <v>-4.0818532431212473E-2</v>
      </c>
      <c r="E103" s="85">
        <f t="shared" si="33"/>
        <v>0.77248383184656022</v>
      </c>
      <c r="K103">
        <v>4</v>
      </c>
      <c r="L103" s="35">
        <v>1.921310887304841</v>
      </c>
      <c r="M103" s="35">
        <v>3.1169393503572059E-2</v>
      </c>
      <c r="N103" s="35">
        <v>1.396000084565695</v>
      </c>
    </row>
    <row r="104" spans="1:14">
      <c r="A104" s="2" t="s">
        <v>163</v>
      </c>
      <c r="B104" s="5" t="s">
        <v>27</v>
      </c>
      <c r="C104" s="79">
        <f>L$103-L$99</f>
        <v>1.4421025939282253</v>
      </c>
      <c r="D104" s="79">
        <f t="shared" ref="D104:E104" si="34">M$103-M$99</f>
        <v>1.0431877148697888</v>
      </c>
      <c r="E104" s="85">
        <f t="shared" si="34"/>
        <v>0.78932433807079116</v>
      </c>
      <c r="K104">
        <v>5</v>
      </c>
      <c r="L104" s="35">
        <v>-0.55595022326781851</v>
      </c>
      <c r="M104" s="35">
        <v>1.0917266627558933</v>
      </c>
      <c r="N104" s="35">
        <v>1.4358127591862397</v>
      </c>
    </row>
    <row r="105" spans="1:14">
      <c r="A105" s="2"/>
      <c r="B105" s="5"/>
      <c r="C105" s="79">
        <f>L$104-L$99</f>
        <v>-1.0351585166444344</v>
      </c>
      <c r="D105" s="79">
        <f t="shared" ref="D105:E105" si="35">M$104-M$99</f>
        <v>2.1037449841221099</v>
      </c>
      <c r="E105" s="85">
        <f t="shared" si="35"/>
        <v>0.82913701269133588</v>
      </c>
      <c r="K105">
        <v>6</v>
      </c>
      <c r="L105" s="83">
        <v>1.0628801501210983</v>
      </c>
      <c r="M105" s="83">
        <v>1.0721321685048839</v>
      </c>
      <c r="N105" s="83">
        <v>1.3583899668915187</v>
      </c>
    </row>
    <row r="106" spans="1:14">
      <c r="A106" s="2"/>
      <c r="K106">
        <v>7</v>
      </c>
      <c r="L106" s="35">
        <v>0.45375044784821961</v>
      </c>
      <c r="M106" s="35">
        <v>1.354747525895555</v>
      </c>
      <c r="N106" s="35">
        <v>0.67035999999957208</v>
      </c>
    </row>
    <row r="107" spans="1:14">
      <c r="A107" s="2"/>
      <c r="B107" s="5"/>
      <c r="C107" s="79">
        <f>L$101-L$99</f>
        <v>1.0419123890112216</v>
      </c>
      <c r="D107" s="79">
        <f t="shared" ref="D107:E107" si="36">M$101-M$99</f>
        <v>-4.0818532431212473E-2</v>
      </c>
      <c r="E107" s="85">
        <f t="shared" si="36"/>
        <v>0.77248383184656022</v>
      </c>
    </row>
    <row r="108" spans="1:14">
      <c r="A108" s="2" t="s">
        <v>164</v>
      </c>
      <c r="B108" s="5" t="s">
        <v>27</v>
      </c>
      <c r="C108" s="79">
        <f>L$102-L$99</f>
        <v>-1.4028471761352286</v>
      </c>
      <c r="D108" s="79">
        <f t="shared" ref="D108:E108" si="37">M$102-M$99</f>
        <v>0.814665459345566</v>
      </c>
      <c r="E108" s="85">
        <f t="shared" si="37"/>
        <v>0.7195871750303805</v>
      </c>
    </row>
    <row r="109" spans="1:14">
      <c r="A109" s="2"/>
      <c r="B109" s="5"/>
      <c r="C109" s="79">
        <f>L$106-L$99</f>
        <v>-2.5457845528396139E-2</v>
      </c>
      <c r="D109" s="79">
        <f t="shared" ref="D109:E109" si="38">M$106-M$99</f>
        <v>2.3667658472617719</v>
      </c>
      <c r="E109" s="85">
        <f t="shared" si="38"/>
        <v>6.368425350466822E-2</v>
      </c>
    </row>
    <row r="110" spans="1:14">
      <c r="A110" s="2"/>
    </row>
    <row r="111" spans="1:14">
      <c r="A111" s="2"/>
      <c r="B111" s="5"/>
      <c r="C111" s="79">
        <f>L$101-L$99</f>
        <v>1.0419123890112216</v>
      </c>
      <c r="D111" s="79">
        <f t="shared" ref="D111:E111" si="39">M$101-M$99</f>
        <v>-4.0818532431212473E-2</v>
      </c>
      <c r="E111" s="85">
        <f t="shared" si="39"/>
        <v>0.77248383184656022</v>
      </c>
    </row>
    <row r="112" spans="1:14">
      <c r="A112" s="2" t="s">
        <v>165</v>
      </c>
      <c r="B112" s="5" t="s">
        <v>27</v>
      </c>
      <c r="C112" s="79">
        <f>L$102-L$99</f>
        <v>-1.4028471761352286</v>
      </c>
      <c r="D112" s="79">
        <f t="shared" ref="D112:E112" si="40">M$102-M$99</f>
        <v>0.814665459345566</v>
      </c>
      <c r="E112" s="85">
        <f t="shared" si="40"/>
        <v>0.7195871750303805</v>
      </c>
    </row>
    <row r="113" spans="1:13">
      <c r="A113" s="2"/>
      <c r="C113" s="79">
        <f>L$104-L$99</f>
        <v>-1.0351585166444344</v>
      </c>
      <c r="D113" s="79">
        <f t="shared" ref="D113:E113" si="41">M$104-M$99</f>
        <v>2.1037449841221099</v>
      </c>
      <c r="E113" s="85">
        <f t="shared" si="41"/>
        <v>0.82913701269133588</v>
      </c>
    </row>
    <row r="114" spans="1:13">
      <c r="B114" s="2"/>
      <c r="C114" s="148"/>
      <c r="D114" s="148"/>
      <c r="E114" s="148"/>
      <c r="F114" s="2"/>
    </row>
    <row r="115" spans="1:13">
      <c r="B115" s="2"/>
      <c r="C115" s="148"/>
      <c r="D115" s="148"/>
      <c r="E115" s="148"/>
      <c r="F115" s="2"/>
    </row>
    <row r="117" spans="1:13">
      <c r="A117" s="23" t="s">
        <v>143</v>
      </c>
    </row>
    <row r="118" spans="1:13">
      <c r="B118" s="92">
        <v>0</v>
      </c>
      <c r="C118" s="117">
        <v>1</v>
      </c>
      <c r="D118" s="149">
        <v>2</v>
      </c>
      <c r="E118" s="149">
        <v>3</v>
      </c>
      <c r="F118" s="149">
        <v>4</v>
      </c>
      <c r="G118" s="153">
        <v>5</v>
      </c>
      <c r="H118" s="120">
        <v>6</v>
      </c>
      <c r="I118" s="155">
        <v>7</v>
      </c>
    </row>
    <row r="119" spans="1:13">
      <c r="B119" s="94">
        <f>C91-$C91</f>
        <v>0</v>
      </c>
      <c r="C119" s="118">
        <f>D91-$C91</f>
        <v>-1.253875629566908</v>
      </c>
      <c r="D119" s="150">
        <f t="shared" ref="D119:I121" si="42">E91-$C91</f>
        <v>1.0419123890112216</v>
      </c>
      <c r="E119" s="150">
        <f t="shared" si="42"/>
        <v>-1.4028471761352286</v>
      </c>
      <c r="F119" s="150">
        <f t="shared" si="42"/>
        <v>1.4421025939282253</v>
      </c>
      <c r="G119" s="154">
        <f t="shared" si="42"/>
        <v>-1.0351585166444344</v>
      </c>
      <c r="H119" s="118">
        <f t="shared" si="42"/>
        <v>0.58367185674448252</v>
      </c>
      <c r="I119" s="156">
        <f t="shared" si="42"/>
        <v>-2.5457845528396139E-2</v>
      </c>
      <c r="K119" s="99" t="s">
        <v>147</v>
      </c>
    </row>
    <row r="120" spans="1:13">
      <c r="B120" s="94">
        <f t="shared" ref="B120:C121" si="43">C92-$C92</f>
        <v>0</v>
      </c>
      <c r="C120" s="118">
        <f t="shared" si="43"/>
        <v>-3.2592166127769939E-2</v>
      </c>
      <c r="D120" s="150">
        <f t="shared" si="42"/>
        <v>-4.0818532431212473E-2</v>
      </c>
      <c r="E120" s="150">
        <f t="shared" si="42"/>
        <v>0.814665459345566</v>
      </c>
      <c r="F120" s="150">
        <f t="shared" si="42"/>
        <v>1.0431877148697888</v>
      </c>
      <c r="G120" s="154">
        <f t="shared" si="42"/>
        <v>2.1037449841221099</v>
      </c>
      <c r="H120" s="121">
        <f t="shared" si="42"/>
        <v>2.0841504898711007</v>
      </c>
      <c r="I120" s="156">
        <f t="shared" si="42"/>
        <v>2.3667658472617719</v>
      </c>
      <c r="K120" s="100" t="s">
        <v>148</v>
      </c>
    </row>
    <row r="121" spans="1:13">
      <c r="B121" s="94">
        <f t="shared" si="43"/>
        <v>0</v>
      </c>
      <c r="C121" s="118">
        <f t="shared" si="43"/>
        <v>0.73934661383723232</v>
      </c>
      <c r="D121" s="150">
        <f t="shared" si="42"/>
        <v>0.77248383184656022</v>
      </c>
      <c r="E121" s="150">
        <f t="shared" si="42"/>
        <v>0.7195871750303805</v>
      </c>
      <c r="F121" s="150">
        <f t="shared" si="42"/>
        <v>0.78932433807079116</v>
      </c>
      <c r="G121" s="154">
        <f t="shared" si="42"/>
        <v>0.82913701269133588</v>
      </c>
      <c r="H121" s="118">
        <f t="shared" si="42"/>
        <v>0.75171422039661484</v>
      </c>
      <c r="I121" s="156">
        <f t="shared" si="42"/>
        <v>6.368425350466822E-2</v>
      </c>
      <c r="K121" s="101" t="s">
        <v>149</v>
      </c>
    </row>
    <row r="122" spans="1:13">
      <c r="C122" s="119"/>
      <c r="D122" s="151"/>
      <c r="E122" s="151"/>
      <c r="F122" s="151"/>
      <c r="G122" s="151"/>
      <c r="H122" s="119"/>
      <c r="I122" s="151"/>
    </row>
    <row r="123" spans="1:13">
      <c r="A123" s="16" t="s">
        <v>128</v>
      </c>
      <c r="B123" s="96">
        <f>SQRT(B119^2+B120^2+B121^2)</f>
        <v>0</v>
      </c>
      <c r="C123" s="97">
        <v>0</v>
      </c>
      <c r="D123" s="152">
        <f t="shared" ref="D123:I123" si="44">SQRT(D119^2+D120^2+D121^2)</f>
        <v>1.2976821064610753</v>
      </c>
      <c r="E123" s="152">
        <f t="shared" si="44"/>
        <v>1.7746734101545305</v>
      </c>
      <c r="F123" s="152">
        <f t="shared" si="44"/>
        <v>1.9470319490292554</v>
      </c>
      <c r="G123" s="152">
        <f t="shared" si="44"/>
        <v>2.4869186353025614</v>
      </c>
      <c r="H123" s="97">
        <v>0</v>
      </c>
      <c r="I123" s="152">
        <f t="shared" si="44"/>
        <v>2.3677593547081863</v>
      </c>
    </row>
    <row r="124" spans="1:13">
      <c r="C124" s="119"/>
      <c r="G124" s="124"/>
      <c r="H124" s="119"/>
      <c r="I124" s="124"/>
    </row>
    <row r="125" spans="1:13">
      <c r="B125" s="93">
        <v>0</v>
      </c>
      <c r="C125" s="117">
        <v>1</v>
      </c>
      <c r="D125" s="92">
        <v>2</v>
      </c>
      <c r="E125" s="93">
        <v>3</v>
      </c>
      <c r="F125" s="93">
        <v>4</v>
      </c>
      <c r="G125" s="122">
        <v>5</v>
      </c>
      <c r="H125" s="117">
        <v>6</v>
      </c>
      <c r="I125" s="122">
        <v>7</v>
      </c>
    </row>
    <row r="126" spans="1:13">
      <c r="B126" s="95">
        <f>C91-$E91</f>
        <v>-1.0419123890112216</v>
      </c>
      <c r="C126" s="118">
        <f>D91-$E91</f>
        <v>-2.2957880185781296</v>
      </c>
      <c r="D126" s="94">
        <f t="shared" ref="D126:I126" si="45">E91-$E91</f>
        <v>0</v>
      </c>
      <c r="E126" s="95">
        <f t="shared" si="45"/>
        <v>-2.44475956514645</v>
      </c>
      <c r="F126" s="95">
        <f t="shared" si="45"/>
        <v>0.40019020491700363</v>
      </c>
      <c r="G126" s="123">
        <f t="shared" si="45"/>
        <v>-2.0770709056556558</v>
      </c>
      <c r="H126" s="118">
        <f t="shared" si="45"/>
        <v>-0.45824053226673911</v>
      </c>
      <c r="I126" s="123">
        <f t="shared" si="45"/>
        <v>-1.0673702345396179</v>
      </c>
    </row>
    <row r="127" spans="1:13">
      <c r="B127" s="95">
        <f t="shared" ref="B127:I128" si="46">C92-$E92</f>
        <v>4.0818532431212473E-2</v>
      </c>
      <c r="C127" s="118">
        <f t="shared" si="46"/>
        <v>8.2263663034425338E-3</v>
      </c>
      <c r="D127" s="94">
        <f t="shared" si="46"/>
        <v>0</v>
      </c>
      <c r="E127" s="95">
        <f t="shared" si="46"/>
        <v>0.85548399177677847</v>
      </c>
      <c r="F127" s="95">
        <f t="shared" si="46"/>
        <v>1.0840062473010013</v>
      </c>
      <c r="G127" s="123">
        <f t="shared" si="46"/>
        <v>2.1445635165533226</v>
      </c>
      <c r="H127" s="118">
        <f t="shared" si="46"/>
        <v>2.124969022302313</v>
      </c>
      <c r="I127" s="123">
        <f t="shared" si="46"/>
        <v>2.4075843796929846</v>
      </c>
    </row>
    <row r="128" spans="1:13">
      <c r="B128" s="95">
        <f t="shared" si="46"/>
        <v>-0.77248383184656022</v>
      </c>
      <c r="C128" s="118">
        <f t="shared" si="46"/>
        <v>-3.3137218009327896E-2</v>
      </c>
      <c r="D128" s="94">
        <f t="shared" si="46"/>
        <v>0</v>
      </c>
      <c r="E128" s="95">
        <f t="shared" si="46"/>
        <v>-5.2896656816179721E-2</v>
      </c>
      <c r="F128" s="95">
        <f t="shared" si="46"/>
        <v>1.6840506224230944E-2</v>
      </c>
      <c r="G128" s="123">
        <f t="shared" si="46"/>
        <v>5.6653180844775664E-2</v>
      </c>
      <c r="H128" s="118">
        <f t="shared" si="46"/>
        <v>-2.076961144994538E-2</v>
      </c>
      <c r="I128" s="123">
        <f t="shared" si="46"/>
        <v>-0.708799578341892</v>
      </c>
      <c r="L128" s="35"/>
      <c r="M128" s="35"/>
    </row>
    <row r="129" spans="1:13">
      <c r="C129" s="119"/>
      <c r="G129" s="124"/>
      <c r="H129" s="119"/>
      <c r="I129" s="124"/>
      <c r="L129" s="35"/>
      <c r="M129" s="35"/>
    </row>
    <row r="130" spans="1:13">
      <c r="A130" s="16" t="s">
        <v>144</v>
      </c>
      <c r="B130" s="98">
        <f>SQRT(B126^2+B127^2+B128^2)</f>
        <v>1.2976821064610753</v>
      </c>
      <c r="C130" s="97">
        <f t="shared" ref="C130:I130" si="47">SQRT(C126^2+C127^2+C128^2)</f>
        <v>2.2960418930339337</v>
      </c>
      <c r="D130" s="96">
        <f t="shared" si="47"/>
        <v>0</v>
      </c>
      <c r="E130" s="98">
        <f t="shared" si="47"/>
        <v>2.5906563353451029</v>
      </c>
      <c r="F130" s="98">
        <f t="shared" si="47"/>
        <v>1.1556406651502886</v>
      </c>
      <c r="G130" s="134">
        <f t="shared" si="47"/>
        <v>2.9860652716497325</v>
      </c>
      <c r="H130" s="97">
        <f t="shared" si="47"/>
        <v>2.1739156165583644</v>
      </c>
      <c r="I130" s="134">
        <f t="shared" si="47"/>
        <v>2.7272951078276177</v>
      </c>
      <c r="L130" s="35"/>
      <c r="M130" s="35"/>
    </row>
    <row r="131" spans="1:13">
      <c r="C131" s="124"/>
      <c r="G131" s="124"/>
      <c r="H131" s="119"/>
      <c r="I131" s="124"/>
    </row>
    <row r="132" spans="1:13">
      <c r="B132" s="93">
        <v>0</v>
      </c>
      <c r="C132" s="117">
        <v>1</v>
      </c>
      <c r="D132" s="93">
        <v>2</v>
      </c>
      <c r="E132" s="92">
        <v>3</v>
      </c>
      <c r="F132" s="93">
        <v>4</v>
      </c>
      <c r="G132" s="122">
        <v>5</v>
      </c>
      <c r="H132" s="117">
        <v>6</v>
      </c>
      <c r="I132" s="122">
        <v>7</v>
      </c>
    </row>
    <row r="133" spans="1:13">
      <c r="B133" s="95">
        <f t="shared" ref="B133:I135" si="48">C91-$F91</f>
        <v>1.4028471761352286</v>
      </c>
      <c r="C133" s="118">
        <f>D91-$F91</f>
        <v>0.14897154656832046</v>
      </c>
      <c r="D133" s="95">
        <f t="shared" ref="D133:I133" si="49">E91-$F91</f>
        <v>2.44475956514645</v>
      </c>
      <c r="E133" s="94">
        <f t="shared" si="49"/>
        <v>0</v>
      </c>
      <c r="F133" s="95">
        <f t="shared" si="49"/>
        <v>2.8449497700634536</v>
      </c>
      <c r="G133" s="123">
        <f t="shared" si="49"/>
        <v>0.36768865949079421</v>
      </c>
      <c r="H133" s="118">
        <f t="shared" si="49"/>
        <v>1.9865190328797109</v>
      </c>
      <c r="I133" s="123">
        <f t="shared" si="49"/>
        <v>1.3773893306068323</v>
      </c>
    </row>
    <row r="134" spans="1:13">
      <c r="B134" s="95">
        <f t="shared" si="48"/>
        <v>-0.814665459345566</v>
      </c>
      <c r="C134" s="118">
        <f t="shared" si="48"/>
        <v>-0.84725762547333594</v>
      </c>
      <c r="D134" s="95">
        <f t="shared" si="48"/>
        <v>-0.85548399177677847</v>
      </c>
      <c r="E134" s="94">
        <f t="shared" si="48"/>
        <v>0</v>
      </c>
      <c r="F134" s="95">
        <f t="shared" si="48"/>
        <v>0.22852225552422287</v>
      </c>
      <c r="G134" s="123">
        <f t="shared" si="48"/>
        <v>1.2890795247765441</v>
      </c>
      <c r="H134" s="118">
        <f t="shared" si="48"/>
        <v>1.2694850305255347</v>
      </c>
      <c r="I134" s="123">
        <f t="shared" si="48"/>
        <v>1.5521003879162059</v>
      </c>
    </row>
    <row r="135" spans="1:13">
      <c r="B135" s="95">
        <f t="shared" si="48"/>
        <v>-0.7195871750303805</v>
      </c>
      <c r="C135" s="118">
        <f t="shared" si="48"/>
        <v>1.9759438806851826E-2</v>
      </c>
      <c r="D135" s="95">
        <f t="shared" si="48"/>
        <v>5.2896656816179721E-2</v>
      </c>
      <c r="E135" s="94">
        <f t="shared" si="48"/>
        <v>0</v>
      </c>
      <c r="F135" s="95">
        <f t="shared" si="48"/>
        <v>6.9737163040410666E-2</v>
      </c>
      <c r="G135" s="123">
        <f t="shared" si="48"/>
        <v>0.10954983766095538</v>
      </c>
      <c r="H135" s="118">
        <f t="shared" si="48"/>
        <v>3.2127045366234341E-2</v>
      </c>
      <c r="I135" s="123">
        <f t="shared" si="48"/>
        <v>-0.65590292152571228</v>
      </c>
    </row>
    <row r="136" spans="1:13">
      <c r="C136" s="119"/>
      <c r="G136" s="124"/>
      <c r="H136" s="119"/>
      <c r="I136" s="124"/>
    </row>
    <row r="137" spans="1:13">
      <c r="A137" s="16" t="s">
        <v>145</v>
      </c>
      <c r="B137" s="98">
        <f>SQRT(B133^2+B134^2+B135^2)</f>
        <v>1.7746734101545305</v>
      </c>
      <c r="C137" s="97">
        <f t="shared" ref="C137:I137" si="50">SQRT(C133^2+C134^2+C135^2)</f>
        <v>0.86048151696107611</v>
      </c>
      <c r="D137" s="98">
        <f t="shared" si="50"/>
        <v>2.5906563353451029</v>
      </c>
      <c r="E137" s="96">
        <f t="shared" si="50"/>
        <v>0</v>
      </c>
      <c r="F137" s="98">
        <f t="shared" si="50"/>
        <v>2.8549649537889077</v>
      </c>
      <c r="G137" s="134">
        <f t="shared" si="50"/>
        <v>1.3449617609611804</v>
      </c>
      <c r="H137" s="97">
        <f t="shared" si="50"/>
        <v>2.3577281984498817</v>
      </c>
      <c r="I137" s="134">
        <f t="shared" si="50"/>
        <v>2.1763330684215454</v>
      </c>
    </row>
    <row r="138" spans="1:13">
      <c r="C138" s="119"/>
      <c r="G138" s="124"/>
      <c r="H138" s="119"/>
      <c r="I138" s="124"/>
    </row>
    <row r="139" spans="1:13">
      <c r="B139" s="93">
        <v>0</v>
      </c>
      <c r="C139" s="117">
        <v>1</v>
      </c>
      <c r="D139" s="93">
        <v>2</v>
      </c>
      <c r="E139" s="93">
        <v>3</v>
      </c>
      <c r="F139" s="92">
        <v>4</v>
      </c>
      <c r="G139" s="122">
        <v>5</v>
      </c>
      <c r="H139" s="117">
        <v>6</v>
      </c>
      <c r="I139" s="122">
        <v>7</v>
      </c>
    </row>
    <row r="140" spans="1:13">
      <c r="B140" s="95">
        <f>C91-$G91</f>
        <v>-1.4421025939282253</v>
      </c>
      <c r="C140" s="118">
        <f t="shared" ref="C140:I140" si="51">D91-$G91</f>
        <v>-2.6959782234951333</v>
      </c>
      <c r="D140" s="95">
        <f t="shared" si="51"/>
        <v>-0.40019020491700363</v>
      </c>
      <c r="E140" s="95">
        <f t="shared" si="51"/>
        <v>-2.8449497700634536</v>
      </c>
      <c r="F140" s="94">
        <f t="shared" si="51"/>
        <v>0</v>
      </c>
      <c r="G140" s="123">
        <f t="shared" si="51"/>
        <v>-2.4772611105726594</v>
      </c>
      <c r="H140" s="118">
        <f t="shared" si="51"/>
        <v>-0.85843073718374274</v>
      </c>
      <c r="I140" s="123">
        <f t="shared" si="51"/>
        <v>-1.4675604394566215</v>
      </c>
    </row>
    <row r="141" spans="1:13">
      <c r="B141" s="95">
        <f t="shared" ref="B141:I142" si="52">C92-$G92</f>
        <v>-1.0431877148697888</v>
      </c>
      <c r="C141" s="118">
        <f t="shared" si="52"/>
        <v>-1.0757798809975587</v>
      </c>
      <c r="D141" s="95">
        <f t="shared" si="52"/>
        <v>-1.0840062473010013</v>
      </c>
      <c r="E141" s="95">
        <f t="shared" si="52"/>
        <v>-0.22852225552422287</v>
      </c>
      <c r="F141" s="94">
        <f t="shared" si="52"/>
        <v>0</v>
      </c>
      <c r="G141" s="123">
        <f t="shared" si="52"/>
        <v>1.0605572692523213</v>
      </c>
      <c r="H141" s="118">
        <f t="shared" si="52"/>
        <v>1.040962775001312</v>
      </c>
      <c r="I141" s="123">
        <f t="shared" si="52"/>
        <v>1.3235781323919831</v>
      </c>
    </row>
    <row r="142" spans="1:13">
      <c r="B142" s="95">
        <f t="shared" si="52"/>
        <v>-0.78932433807079116</v>
      </c>
      <c r="C142" s="118">
        <f t="shared" si="52"/>
        <v>-4.997772423355884E-2</v>
      </c>
      <c r="D142" s="95">
        <f t="shared" si="52"/>
        <v>-1.6840506224230944E-2</v>
      </c>
      <c r="E142" s="95">
        <f t="shared" si="52"/>
        <v>-6.9737163040410666E-2</v>
      </c>
      <c r="F142" s="94">
        <f t="shared" si="52"/>
        <v>0</v>
      </c>
      <c r="G142" s="123">
        <f t="shared" si="52"/>
        <v>3.9812674620544719E-2</v>
      </c>
      <c r="H142" s="118">
        <f t="shared" si="52"/>
        <v>-3.7610117674176324E-2</v>
      </c>
      <c r="I142" s="123">
        <f t="shared" si="52"/>
        <v>-0.72564008456612294</v>
      </c>
    </row>
    <row r="143" spans="1:13">
      <c r="C143" s="119"/>
      <c r="G143" s="124"/>
      <c r="H143" s="119"/>
      <c r="I143" s="124"/>
    </row>
    <row r="144" spans="1:13">
      <c r="A144" s="16" t="s">
        <v>146</v>
      </c>
      <c r="B144" s="98">
        <f>SQRT(B140^2+B141^2+B142^2)</f>
        <v>1.9470319490292554</v>
      </c>
      <c r="C144" s="97">
        <f t="shared" ref="C144:I144" si="53">SQRT(C140^2+C141^2+C142^2)</f>
        <v>2.9031187896534068</v>
      </c>
      <c r="D144" s="98">
        <f t="shared" si="53"/>
        <v>1.1556406651502886</v>
      </c>
      <c r="E144" s="98">
        <f t="shared" si="53"/>
        <v>2.8549649537889077</v>
      </c>
      <c r="F144" s="96">
        <f t="shared" si="53"/>
        <v>0</v>
      </c>
      <c r="G144" s="134">
        <f t="shared" si="53"/>
        <v>2.6950304971150265</v>
      </c>
      <c r="H144" s="97">
        <f t="shared" si="53"/>
        <v>1.3497856683309841</v>
      </c>
      <c r="I144" s="134">
        <f t="shared" si="53"/>
        <v>2.1052663129242086</v>
      </c>
    </row>
    <row r="146" spans="1:9">
      <c r="B146" s="16"/>
      <c r="C146" s="16"/>
      <c r="D146" s="16"/>
      <c r="E146" s="16"/>
      <c r="F146" s="16"/>
      <c r="G146" s="16"/>
      <c r="H146" s="16"/>
      <c r="I146" s="16"/>
    </row>
    <row r="147" spans="1:9">
      <c r="B147" s="35"/>
      <c r="C147" s="35"/>
      <c r="D147" s="35"/>
      <c r="E147" s="35"/>
      <c r="F147" s="35"/>
      <c r="G147" s="35"/>
      <c r="H147" s="35"/>
      <c r="I147" s="35"/>
    </row>
    <row r="148" spans="1:9">
      <c r="A148" s="23" t="s">
        <v>153</v>
      </c>
      <c r="B148" s="35"/>
      <c r="C148" s="35"/>
      <c r="D148" s="35"/>
      <c r="E148" s="35"/>
      <c r="F148" s="35"/>
      <c r="G148" s="35"/>
      <c r="H148" s="35"/>
      <c r="I148" s="35"/>
    </row>
    <row r="149" spans="1:9">
      <c r="A149" t="s">
        <v>120</v>
      </c>
      <c r="B149" s="35">
        <v>-30.441860465116278</v>
      </c>
      <c r="C149" s="35">
        <f>$B$158/$D149</f>
        <v>-3.2849503437738736E-2</v>
      </c>
      <c r="D149">
        <v>-30.441860465116278</v>
      </c>
      <c r="E149">
        <v>1.8584150748580277</v>
      </c>
      <c r="F149" s="35"/>
      <c r="G149" s="35">
        <v>-30.441860465116278</v>
      </c>
      <c r="H149">
        <v>4.1095573256748086</v>
      </c>
      <c r="I149" s="35"/>
    </row>
    <row r="150" spans="1:9">
      <c r="A150" s="112" t="s">
        <v>121</v>
      </c>
      <c r="B150" s="146"/>
      <c r="C150" s="146" t="e">
        <f t="shared" ref="C150:C156" si="54">$B$158/$D150</f>
        <v>#DIV/0!</v>
      </c>
      <c r="D150" s="112"/>
      <c r="E150" t="e">
        <v>#DIV/0!</v>
      </c>
      <c r="F150" s="91"/>
      <c r="G150" s="146"/>
      <c r="H150" t="e">
        <v>#DIV/0!</v>
      </c>
      <c r="I150" s="35"/>
    </row>
    <row r="151" spans="1:9">
      <c r="A151" t="s">
        <v>122</v>
      </c>
      <c r="B151" s="35">
        <v>-12.232758620689655</v>
      </c>
      <c r="C151" s="35">
        <f t="shared" si="54"/>
        <v>-8.1747709654686404E-2</v>
      </c>
      <c r="D151">
        <v>-12.232758620689655</v>
      </c>
      <c r="E151">
        <v>-3.3309859154929575</v>
      </c>
      <c r="F151" s="35"/>
      <c r="G151" s="35">
        <v>-12.232758620689655</v>
      </c>
      <c r="H151">
        <v>2.4604392409065263</v>
      </c>
      <c r="I151" s="35"/>
    </row>
    <row r="152" spans="1:9">
      <c r="A152" t="s">
        <v>123</v>
      </c>
      <c r="B152" s="35">
        <v>-4.4375</v>
      </c>
      <c r="C152" s="35">
        <f t="shared" si="54"/>
        <v>-0.22535211267605634</v>
      </c>
      <c r="D152">
        <v>-4.4375</v>
      </c>
      <c r="E152">
        <v>12.909090909090908</v>
      </c>
      <c r="G152" s="35">
        <v>-4.4375</v>
      </c>
      <c r="H152">
        <v>3.3477753334927605</v>
      </c>
    </row>
    <row r="153" spans="1:9">
      <c r="A153" t="s">
        <v>127</v>
      </c>
      <c r="B153" s="35">
        <v>14.42443729903537</v>
      </c>
      <c r="C153" s="35">
        <f t="shared" si="54"/>
        <v>6.9326794471689698E-2</v>
      </c>
      <c r="D153">
        <v>14.42443729903537</v>
      </c>
      <c r="E153">
        <v>-1.0114994363021421</v>
      </c>
      <c r="G153" s="35">
        <v>14.42443729903537</v>
      </c>
      <c r="H153">
        <v>5.0708347197717192</v>
      </c>
    </row>
    <row r="154" spans="1:9">
      <c r="A154" t="s">
        <v>126</v>
      </c>
      <c r="B154">
        <v>38.125</v>
      </c>
      <c r="C154">
        <f t="shared" si="54"/>
        <v>2.6229508196721311E-2</v>
      </c>
      <c r="D154">
        <v>38.125</v>
      </c>
      <c r="E154">
        <v>-1.2973122919492048</v>
      </c>
      <c r="G154">
        <v>38.125</v>
      </c>
      <c r="H154">
        <v>5.160303901811746</v>
      </c>
    </row>
    <row r="155" spans="1:9">
      <c r="A155" s="112" t="s">
        <v>125</v>
      </c>
      <c r="B155" s="146"/>
      <c r="C155" s="146" t="e">
        <f t="shared" si="54"/>
        <v>#DIV/0!</v>
      </c>
      <c r="D155" s="112"/>
      <c r="E155" t="e">
        <v>#DIV/0!</v>
      </c>
      <c r="G155" s="146"/>
      <c r="H155" t="e">
        <v>#DIV/0!</v>
      </c>
    </row>
    <row r="156" spans="1:9">
      <c r="A156" t="s">
        <v>124</v>
      </c>
      <c r="B156" s="35">
        <v>-18.798816568047336</v>
      </c>
      <c r="C156" s="35">
        <f t="shared" si="54"/>
        <v>-5.3194837897387479E-2</v>
      </c>
      <c r="D156">
        <v>-18.798816568047336</v>
      </c>
      <c r="E156">
        <v>0.61911721718795665</v>
      </c>
      <c r="G156" s="35">
        <v>-18.798816568047336</v>
      </c>
      <c r="H156">
        <v>4.4869829849289369</v>
      </c>
    </row>
    <row r="158" spans="1:9">
      <c r="B158">
        <v>1</v>
      </c>
    </row>
  </sheetData>
  <mergeCells count="11">
    <mergeCell ref="A81:K81"/>
    <mergeCell ref="B83:C83"/>
    <mergeCell ref="B84:C84"/>
    <mergeCell ref="B85:C85"/>
    <mergeCell ref="B86:C86"/>
    <mergeCell ref="A75:K75"/>
    <mergeCell ref="A1:K1"/>
    <mergeCell ref="L22:L28"/>
    <mergeCell ref="A30:K30"/>
    <mergeCell ref="L60:L68"/>
    <mergeCell ref="A70:K70"/>
  </mergeCells>
  <pageMargins left="0.7" right="0.7" top="0.78740157499999996" bottom="0.78740157499999996" header="0.3" footer="0.3"/>
  <pageSetup paperSize="9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8"/>
  <dimension ref="A3:P36"/>
  <sheetViews>
    <sheetView workbookViewId="0">
      <selection activeCell="H22" sqref="H22"/>
    </sheetView>
  </sheetViews>
  <sheetFormatPr baseColWidth="10" defaultRowHeight="15"/>
  <cols>
    <col min="2" max="2" width="12.7109375" bestFit="1" customWidth="1"/>
    <col min="3" max="3" width="12" bestFit="1" customWidth="1"/>
    <col min="4" max="4" width="12.7109375" bestFit="1" customWidth="1"/>
    <col min="5" max="5" width="12.85546875" bestFit="1" customWidth="1"/>
    <col min="6" max="6" width="12.140625" bestFit="1" customWidth="1"/>
    <col min="7" max="9" width="12.85546875" bestFit="1" customWidth="1"/>
    <col min="10" max="10" width="12" bestFit="1" customWidth="1"/>
    <col min="12" max="12" width="14.85546875" bestFit="1" customWidth="1"/>
    <col min="18" max="20" width="11.5703125" bestFit="1" customWidth="1"/>
    <col min="21" max="21" width="12.7109375" bestFit="1" customWidth="1"/>
    <col min="22" max="22" width="12" bestFit="1" customWidth="1"/>
    <col min="23" max="26" width="12.7109375" bestFit="1" customWidth="1"/>
  </cols>
  <sheetData>
    <row r="3" spans="1:16" ht="18.75">
      <c r="A3" s="160" t="s">
        <v>173</v>
      </c>
      <c r="D3" s="2"/>
      <c r="E3" s="2"/>
    </row>
    <row r="4" spans="1:16">
      <c r="L4" s="88" t="s">
        <v>48</v>
      </c>
    </row>
    <row r="5" spans="1:16">
      <c r="L5" s="88" t="s">
        <v>47</v>
      </c>
    </row>
    <row r="6" spans="1:16">
      <c r="L6" s="88" t="s">
        <v>52</v>
      </c>
    </row>
    <row r="7" spans="1:16">
      <c r="A7" s="5"/>
      <c r="B7" s="145">
        <v>-1.0419123890112216</v>
      </c>
      <c r="C7" s="145">
        <v>4.0818532431212473E-2</v>
      </c>
      <c r="D7" s="145">
        <v>-0.77248383184656022</v>
      </c>
      <c r="E7" s="145">
        <v>1.4990492230334603E-2</v>
      </c>
      <c r="F7" s="144">
        <v>0</v>
      </c>
      <c r="G7" s="144">
        <v>0</v>
      </c>
      <c r="H7" s="145">
        <v>4.7716218756768064E-3</v>
      </c>
      <c r="I7" s="144">
        <v>0</v>
      </c>
      <c r="J7" s="163">
        <v>0</v>
      </c>
      <c r="K7" s="86"/>
      <c r="L7" s="158" t="s">
        <v>166</v>
      </c>
      <c r="M7" s="5"/>
      <c r="N7" s="89" t="s">
        <v>109</v>
      </c>
    </row>
    <row r="8" spans="1:16">
      <c r="A8" s="5" t="s">
        <v>129</v>
      </c>
      <c r="B8" s="145">
        <v>-2.44475956514645</v>
      </c>
      <c r="C8" s="145">
        <v>0.85548399177677847</v>
      </c>
      <c r="D8" s="145">
        <v>-5.2896656816179721E-2</v>
      </c>
      <c r="E8" s="144">
        <v>0</v>
      </c>
      <c r="F8" s="145">
        <v>1.4990492230334603E-2</v>
      </c>
      <c r="G8" s="144">
        <v>0</v>
      </c>
      <c r="H8" s="144">
        <v>0</v>
      </c>
      <c r="I8" s="145">
        <v>4.7716218756768064E-3</v>
      </c>
      <c r="J8" s="145">
        <v>0</v>
      </c>
      <c r="K8" s="87" t="s">
        <v>63</v>
      </c>
      <c r="L8" s="158" t="s">
        <v>171</v>
      </c>
      <c r="M8" s="90" t="s">
        <v>103</v>
      </c>
      <c r="N8" s="89" t="s">
        <v>110</v>
      </c>
      <c r="O8" s="60" t="s">
        <v>27</v>
      </c>
      <c r="P8" s="16">
        <v>0</v>
      </c>
    </row>
    <row r="9" spans="1:16">
      <c r="A9" s="5"/>
      <c r="B9" s="145">
        <v>0.40019020491700363</v>
      </c>
      <c r="C9" s="145">
        <v>1.0840062473010013</v>
      </c>
      <c r="D9" s="145">
        <v>1.6840506224230944E-2</v>
      </c>
      <c r="E9" s="144">
        <v>0</v>
      </c>
      <c r="F9" s="144">
        <v>0</v>
      </c>
      <c r="G9" s="145">
        <v>1.4990492230334603E-2</v>
      </c>
      <c r="H9" s="144">
        <v>0</v>
      </c>
      <c r="I9" s="144">
        <v>0</v>
      </c>
      <c r="J9" s="145">
        <v>4.7716218756768064E-3</v>
      </c>
      <c r="K9" s="86"/>
      <c r="L9" s="158" t="s">
        <v>170</v>
      </c>
      <c r="M9" s="5"/>
      <c r="N9" s="89" t="s">
        <v>111</v>
      </c>
    </row>
    <row r="10" spans="1:16">
      <c r="K10" s="5"/>
      <c r="L10" s="158" t="s">
        <v>167</v>
      </c>
    </row>
    <row r="11" spans="1:16">
      <c r="K11" s="5"/>
      <c r="L11" s="158" t="s">
        <v>169</v>
      </c>
    </row>
    <row r="12" spans="1:16">
      <c r="K12" s="5"/>
      <c r="L12" s="158" t="s">
        <v>168</v>
      </c>
    </row>
    <row r="17" spans="1:14" ht="18.75">
      <c r="A17" s="160" t="s">
        <v>172</v>
      </c>
    </row>
    <row r="18" spans="1:14">
      <c r="I18" s="5"/>
      <c r="J18">
        <f t="array" ref="J18:L26">SVDV(B7:J9)</f>
        <v>0.953225214758744</v>
      </c>
      <c r="K18">
        <v>-0.24569044900914541</v>
      </c>
      <c r="L18" s="5">
        <v>0.1759019463226123</v>
      </c>
    </row>
    <row r="19" spans="1:14">
      <c r="I19" s="5"/>
      <c r="J19">
        <v>-0.27461896357065402</v>
      </c>
      <c r="K19">
        <v>-0.94722149337043282</v>
      </c>
      <c r="L19" s="5">
        <v>0.16488039399208451</v>
      </c>
    </row>
    <row r="20" spans="1:14">
      <c r="I20" s="5"/>
      <c r="J20">
        <v>0.12615283048372355</v>
      </c>
      <c r="K20">
        <v>-0.20551781248907947</v>
      </c>
      <c r="L20" s="5">
        <v>-0.97021118891515856</v>
      </c>
    </row>
    <row r="21" spans="1:14">
      <c r="A21" s="5"/>
      <c r="B21">
        <f t="array" ref="B21:D23">SVDU(B7:J9)</f>
        <v>-0.39359706256109217</v>
      </c>
      <c r="C21">
        <v>0.31182017051555777</v>
      </c>
      <c r="D21" s="5">
        <v>0.86478294016644941</v>
      </c>
      <c r="E21" s="86"/>
      <c r="F21">
        <f t="array" ref="F21:H23">SVDD(B7:J9)</f>
        <v>2.7994937606221484</v>
      </c>
      <c r="G21">
        <v>0</v>
      </c>
      <c r="H21" s="5">
        <v>0</v>
      </c>
      <c r="I21" s="5"/>
      <c r="J21">
        <v>-2.1076002351558473E-3</v>
      </c>
      <c r="K21">
        <v>3.8749564475236936E-3</v>
      </c>
      <c r="L21" s="5">
        <v>1.9556234762064112E-2</v>
      </c>
    </row>
    <row r="22" spans="1:14">
      <c r="A22" s="5"/>
      <c r="B22">
        <v>-0.91877071126364662</v>
      </c>
      <c r="C22">
        <v>-0.16483652702163518</v>
      </c>
      <c r="D22" s="5">
        <v>-0.35873290828071491</v>
      </c>
      <c r="E22" s="87" t="s">
        <v>63</v>
      </c>
      <c r="F22">
        <v>0</v>
      </c>
      <c r="G22">
        <v>1.2062942917364237</v>
      </c>
      <c r="H22" s="5">
        <v>0</v>
      </c>
      <c r="I22" s="162" t="s">
        <v>63</v>
      </c>
      <c r="J22">
        <v>-4.9197556366747759E-3</v>
      </c>
      <c r="K22">
        <v>-2.0484061762708521E-3</v>
      </c>
      <c r="L22" s="5">
        <v>-8.1123998235503245E-3</v>
      </c>
      <c r="M22" s="60" t="s">
        <v>27</v>
      </c>
      <c r="N22" s="161" t="s">
        <v>107</v>
      </c>
    </row>
    <row r="23" spans="1:14">
      <c r="A23" s="5"/>
      <c r="B23">
        <v>3.0687659854961531E-2</v>
      </c>
      <c r="C23">
        <v>-0.93573345596868363</v>
      </c>
      <c r="D23" s="5">
        <v>0.35137041268941799</v>
      </c>
      <c r="E23" s="86"/>
      <c r="F23">
        <v>0</v>
      </c>
      <c r="G23">
        <v>0</v>
      </c>
      <c r="H23" s="5">
        <v>0.66288434881331049</v>
      </c>
      <c r="I23" s="5"/>
      <c r="J23">
        <v>1.6432368347937237E-4</v>
      </c>
      <c r="K23">
        <v>-1.1628261194182657E-2</v>
      </c>
      <c r="L23" s="5">
        <v>7.9459040642903926E-3</v>
      </c>
    </row>
    <row r="24" spans="1:14">
      <c r="I24" s="5"/>
      <c r="J24">
        <v>-6.7086999097338792E-4</v>
      </c>
      <c r="K24">
        <v>1.2334369457784138E-3</v>
      </c>
      <c r="L24" s="5">
        <v>6.2249428612961176E-3</v>
      </c>
    </row>
    <row r="25" spans="1:14">
      <c r="I25" s="5"/>
      <c r="J25">
        <v>-1.5660068567620099E-3</v>
      </c>
      <c r="K25">
        <v>-6.5202793682694979E-4</v>
      </c>
      <c r="L25" s="5">
        <v>-2.5822570645117151E-3</v>
      </c>
    </row>
    <row r="26" spans="1:14">
      <c r="I26" s="5"/>
      <c r="J26">
        <v>5.2305852985620357E-5</v>
      </c>
      <c r="K26">
        <v>-3.7013904972356682E-3</v>
      </c>
      <c r="L26" s="5">
        <v>2.5292598183315981E-3</v>
      </c>
    </row>
    <row r="27" spans="1:14" ht="15.75" thickBot="1">
      <c r="B27" s="3"/>
      <c r="C27" s="3"/>
      <c r="D27" s="3"/>
      <c r="F27" s="3"/>
      <c r="G27" s="3"/>
      <c r="H27" s="3"/>
      <c r="J27" s="3"/>
      <c r="K27" s="3"/>
      <c r="L27" s="3"/>
    </row>
    <row r="28" spans="1:14" ht="15.75">
      <c r="B28" s="177" t="s">
        <v>174</v>
      </c>
      <c r="C28" s="177"/>
      <c r="D28" s="177"/>
      <c r="F28" s="177" t="s">
        <v>175</v>
      </c>
      <c r="G28" s="177"/>
      <c r="H28" s="177"/>
      <c r="J28" s="177" t="s">
        <v>176</v>
      </c>
      <c r="K28" s="177"/>
      <c r="L28" s="177"/>
    </row>
    <row r="31" spans="1:14">
      <c r="F31" t="s">
        <v>33</v>
      </c>
      <c r="G31" t="s">
        <v>27</v>
      </c>
      <c r="H31">
        <f>MAX(F21,G22,H23)/MIN(F21,G22,H23)</f>
        <v>4.2232008730237434</v>
      </c>
    </row>
    <row r="33" spans="1:10" ht="18.75">
      <c r="A33" s="160" t="s">
        <v>177</v>
      </c>
    </row>
    <row r="34" spans="1:10">
      <c r="A34" s="5"/>
      <c r="B34" s="159">
        <f t="array" ref="B34:J36">MMULT(B21:D23,MMULT(F21:H23,TRANSPOSE(J18:L26)))</f>
        <v>-1.0419123890112219</v>
      </c>
      <c r="C34" s="159">
        <v>4.0818532431212085E-2</v>
      </c>
      <c r="D34" s="159">
        <v>-0.77248383184656155</v>
      </c>
      <c r="E34" s="159">
        <v>1.4990492230334629E-2</v>
      </c>
      <c r="F34" s="159">
        <v>1.5612511283791264E-17</v>
      </c>
      <c r="G34" s="159">
        <v>-1.5612511283791264E-17</v>
      </c>
      <c r="H34" s="159">
        <v>4.7716218756768142E-3</v>
      </c>
      <c r="I34" s="159">
        <v>-4.3368086899420177E-19</v>
      </c>
      <c r="J34" s="164">
        <v>-2.1684043449710089E-18</v>
      </c>
    </row>
    <row r="35" spans="1:10">
      <c r="A35" s="5"/>
      <c r="B35" s="159">
        <v>-2.4447595651464504</v>
      </c>
      <c r="C35" s="159">
        <v>0.85548399177677892</v>
      </c>
      <c r="D35" s="159">
        <v>-5.2896656816179416E-2</v>
      </c>
      <c r="E35" s="159">
        <v>-1.214306433183765E-17</v>
      </c>
      <c r="F35" s="159">
        <v>1.4990492230334603E-2</v>
      </c>
      <c r="G35" s="159">
        <v>7.8062556418956319E-18</v>
      </c>
      <c r="H35" s="159">
        <v>-4.7704895589362195E-18</v>
      </c>
      <c r="I35" s="159">
        <v>4.7716218756768064E-3</v>
      </c>
      <c r="J35" s="164">
        <v>9.7578195523695399E-19</v>
      </c>
    </row>
    <row r="36" spans="1:10">
      <c r="A36" s="5"/>
      <c r="B36" s="159">
        <v>0.40019020491700441</v>
      </c>
      <c r="C36" s="159">
        <v>1.0840062473010044</v>
      </c>
      <c r="D36" s="159">
        <v>1.6840506224230861E-2</v>
      </c>
      <c r="E36" s="159">
        <v>1.7347234759768071E-18</v>
      </c>
      <c r="F36" s="159">
        <v>1.1709383462843448E-17</v>
      </c>
      <c r="G36" s="159">
        <v>1.499049223033464E-2</v>
      </c>
      <c r="H36" s="159">
        <v>-1.3010426069826053E-18</v>
      </c>
      <c r="I36" s="159">
        <v>3.1441863002079629E-18</v>
      </c>
      <c r="J36" s="164">
        <v>4.7716218756768151E-3</v>
      </c>
    </row>
  </sheetData>
  <mergeCells count="3">
    <mergeCell ref="F28:H28"/>
    <mergeCell ref="J28:L28"/>
    <mergeCell ref="B28:D28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3"/>
  <dimension ref="A2:ID43"/>
  <sheetViews>
    <sheetView zoomScale="115" zoomScaleNormal="115" workbookViewId="0">
      <selection activeCell="D17" sqref="D17:K20"/>
    </sheetView>
  </sheetViews>
  <sheetFormatPr baseColWidth="10" defaultRowHeight="15"/>
  <sheetData>
    <row r="2" spans="1:14">
      <c r="A2" s="174" t="s">
        <v>108</v>
      </c>
      <c r="B2" s="180"/>
      <c r="C2" s="180"/>
      <c r="D2" s="180"/>
      <c r="E2" s="180"/>
      <c r="F2" s="180"/>
      <c r="G2" s="180"/>
      <c r="H2" s="180"/>
      <c r="I2" s="180"/>
      <c r="J2" s="180"/>
      <c r="K2" s="180"/>
    </row>
    <row r="3" spans="1:14">
      <c r="A3" s="20"/>
      <c r="B3" s="29">
        <v>0.77</v>
      </c>
      <c r="C3" s="29">
        <v>0</v>
      </c>
      <c r="D3" s="22">
        <v>0</v>
      </c>
      <c r="E3" s="24"/>
      <c r="F3" s="28" t="s">
        <v>48</v>
      </c>
      <c r="G3" s="20"/>
      <c r="H3" s="30" t="s">
        <v>45</v>
      </c>
    </row>
    <row r="4" spans="1:14">
      <c r="A4" s="20"/>
      <c r="B4" s="29">
        <v>0</v>
      </c>
      <c r="C4" s="29">
        <v>0.77</v>
      </c>
      <c r="D4" s="22">
        <v>0</v>
      </c>
      <c r="E4" s="27" t="s">
        <v>63</v>
      </c>
      <c r="F4" s="28" t="s">
        <v>47</v>
      </c>
      <c r="G4" s="59" t="s">
        <v>27</v>
      </c>
      <c r="H4" s="30" t="s">
        <v>43</v>
      </c>
    </row>
    <row r="5" spans="1:14">
      <c r="A5" s="20"/>
      <c r="B5" s="29">
        <v>0</v>
      </c>
      <c r="C5" s="29">
        <v>0</v>
      </c>
      <c r="D5" s="22">
        <v>0.8</v>
      </c>
      <c r="E5" s="24"/>
      <c r="F5" s="28" t="s">
        <v>52</v>
      </c>
      <c r="G5" s="20"/>
      <c r="H5" s="30" t="s">
        <v>42</v>
      </c>
    </row>
    <row r="6" spans="1:14">
      <c r="A6" s="2"/>
      <c r="B6" s="34"/>
      <c r="C6" s="34"/>
      <c r="D6" s="66"/>
      <c r="E6" s="2"/>
      <c r="F6" s="68"/>
      <c r="G6" s="2"/>
      <c r="H6" s="66"/>
    </row>
    <row r="7" spans="1:14">
      <c r="B7" s="171" t="s">
        <v>107</v>
      </c>
      <c r="C7" s="171"/>
      <c r="D7" s="171"/>
      <c r="E7" s="67" t="s">
        <v>63</v>
      </c>
      <c r="F7" s="64" t="s">
        <v>56</v>
      </c>
      <c r="G7" s="67" t="s">
        <v>27</v>
      </c>
      <c r="H7" s="65" t="s">
        <v>106</v>
      </c>
      <c r="I7" s="16"/>
    </row>
    <row r="8" spans="1:14">
      <c r="A8" s="179"/>
      <c r="B8" s="179"/>
      <c r="C8" s="179"/>
      <c r="D8" s="179"/>
      <c r="E8" s="179"/>
      <c r="F8" s="179"/>
      <c r="G8" s="179"/>
      <c r="H8" s="179"/>
      <c r="I8" s="179"/>
      <c r="J8" s="179"/>
      <c r="K8" s="179"/>
    </row>
    <row r="9" spans="1:14">
      <c r="A9" s="174" t="s">
        <v>112</v>
      </c>
      <c r="B9" s="174"/>
      <c r="C9" s="174"/>
      <c r="D9" s="174"/>
      <c r="E9" s="174"/>
      <c r="F9" s="174"/>
      <c r="G9" s="174"/>
      <c r="H9" s="174"/>
      <c r="I9" s="174"/>
      <c r="J9" s="174"/>
      <c r="K9" s="174"/>
    </row>
    <row r="10" spans="1:14">
      <c r="B10" s="21"/>
      <c r="C10" s="21"/>
      <c r="D10" s="12">
        <v>1</v>
      </c>
      <c r="E10" s="12">
        <v>2</v>
      </c>
      <c r="F10" s="12">
        <v>3</v>
      </c>
      <c r="G10" s="12">
        <v>4</v>
      </c>
      <c r="H10" s="12">
        <v>5</v>
      </c>
      <c r="I10" s="12">
        <v>6</v>
      </c>
      <c r="J10" s="12">
        <v>7</v>
      </c>
      <c r="K10" s="12">
        <v>8</v>
      </c>
    </row>
    <row r="11" spans="1:14">
      <c r="B11" t="s">
        <v>109</v>
      </c>
      <c r="D11" s="37">
        <f t="shared" ref="D11:K13" si="0">INDEX(MMULT($B$3:$D$5,D$18:D$20),ROW(A1))</f>
        <v>0.36899027443333487</v>
      </c>
      <c r="E11" s="37">
        <f t="shared" si="0"/>
        <v>-0.59649428893802736</v>
      </c>
      <c r="F11" s="37">
        <f t="shared" si="0"/>
        <v>1.1712628509354928</v>
      </c>
      <c r="G11" s="37">
        <f t="shared" si="0"/>
        <v>-0.71120201739443922</v>
      </c>
      <c r="H11" s="37">
        <f t="shared" si="0"/>
        <v>1.4794093713067082</v>
      </c>
      <c r="I11" s="37">
        <f t="shared" si="0"/>
        <v>-0.42808166780955986</v>
      </c>
      <c r="J11" s="37">
        <f t="shared" si="0"/>
        <v>0.81841764195495825</v>
      </c>
      <c r="K11" s="37">
        <f t="shared" si="0"/>
        <v>0.34938788065828258</v>
      </c>
      <c r="M11" s="31"/>
      <c r="N11">
        <f>MMULT(MINVERSE(B3:D5),B3:D5)</f>
        <v>1</v>
      </c>
    </row>
    <row r="12" spans="1:14">
      <c r="B12" t="s">
        <v>110</v>
      </c>
      <c r="D12" s="37">
        <f t="shared" si="0"/>
        <v>-0.77925418068807062</v>
      </c>
      <c r="E12" s="37">
        <f t="shared" si="0"/>
        <v>-0.804349887727275</v>
      </c>
      <c r="F12" s="37">
        <f t="shared" si="0"/>
        <v>-0.8106842988541888</v>
      </c>
      <c r="G12" s="37">
        <f t="shared" si="0"/>
        <v>-0.15196132163643955</v>
      </c>
      <c r="H12" s="37">
        <f t="shared" si="0"/>
        <v>2.4000416274763844E-2</v>
      </c>
      <c r="I12" s="37">
        <f t="shared" si="0"/>
        <v>0.84062956146257772</v>
      </c>
      <c r="J12" s="37">
        <f t="shared" si="0"/>
        <v>0.82554162786980689</v>
      </c>
      <c r="K12" s="37">
        <f t="shared" si="0"/>
        <v>1.0431555923559712</v>
      </c>
      <c r="M12" s="31"/>
    </row>
    <row r="13" spans="1:14">
      <c r="B13" t="s">
        <v>111</v>
      </c>
      <c r="D13" s="37">
        <f t="shared" si="0"/>
        <v>0.48534056470198134</v>
      </c>
      <c r="E13" s="37">
        <f t="shared" si="0"/>
        <v>1.0768177289685061</v>
      </c>
      <c r="F13" s="37">
        <f t="shared" si="0"/>
        <v>1.1033278353182276</v>
      </c>
      <c r="G13" s="37">
        <f t="shared" si="0"/>
        <v>1.0610103957237655</v>
      </c>
      <c r="H13" s="37">
        <f t="shared" si="0"/>
        <v>1.1168000508949951</v>
      </c>
      <c r="I13" s="37">
        <f t="shared" si="0"/>
        <v>1.1486500620909741</v>
      </c>
      <c r="J13" s="37">
        <f t="shared" si="0"/>
        <v>1.0867121456678466</v>
      </c>
      <c r="K13" s="37">
        <f t="shared" si="0"/>
        <v>0.53628775692783093</v>
      </c>
      <c r="M13" s="31"/>
    </row>
    <row r="14" spans="1:14">
      <c r="B14" t="s">
        <v>74</v>
      </c>
      <c r="D14" s="40">
        <f t="shared" ref="D14:K14" si="1">(D$11-D$22)^2+(D$12-D$23)^2+(D$13-D$24)^2</f>
        <v>8.7714845644660153E-14</v>
      </c>
      <c r="E14" s="40">
        <f t="shared" si="1"/>
        <v>1.6954841906913992E-13</v>
      </c>
      <c r="F14" s="40">
        <f t="shared" si="1"/>
        <v>5.3771864709851616E-13</v>
      </c>
      <c r="G14" s="40">
        <f t="shared" si="1"/>
        <v>4.2989659395430823E-14</v>
      </c>
      <c r="H14" s="40">
        <f t="shared" si="1"/>
        <v>6.0396047601711929E-13</v>
      </c>
      <c r="I14" s="40">
        <f t="shared" si="1"/>
        <v>4.1223943369370766E-13</v>
      </c>
      <c r="J14" s="40">
        <f t="shared" si="1"/>
        <v>3.9222840769521491E-13</v>
      </c>
      <c r="K14" s="40">
        <f t="shared" si="1"/>
        <v>2.3950017922882445E-13</v>
      </c>
    </row>
    <row r="15" spans="1:14">
      <c r="D15" s="31"/>
      <c r="E15" s="31"/>
      <c r="F15" s="2"/>
      <c r="G15" s="2"/>
      <c r="H15" s="2"/>
    </row>
    <row r="16" spans="1:14">
      <c r="A16" s="174" t="s">
        <v>66</v>
      </c>
      <c r="B16" s="180"/>
      <c r="C16" s="180"/>
      <c r="D16" s="180"/>
      <c r="E16" s="180"/>
      <c r="F16" s="180"/>
      <c r="G16" s="180"/>
      <c r="H16" s="180"/>
      <c r="I16" s="180"/>
      <c r="J16" s="180"/>
      <c r="K16" s="180"/>
    </row>
    <row r="17" spans="1:238">
      <c r="B17" s="21"/>
      <c r="C17" s="21"/>
      <c r="D17" s="12">
        <v>1</v>
      </c>
      <c r="E17" s="12">
        <v>2</v>
      </c>
      <c r="F17" s="12">
        <v>3</v>
      </c>
      <c r="G17" s="12">
        <v>4</v>
      </c>
      <c r="H17" s="12">
        <v>5</v>
      </c>
      <c r="I17" s="12">
        <v>6</v>
      </c>
      <c r="J17" s="12">
        <v>7</v>
      </c>
      <c r="K17" s="12">
        <v>8</v>
      </c>
    </row>
    <row r="18" spans="1:238">
      <c r="B18" s="2"/>
      <c r="C18" s="2"/>
      <c r="D18" s="62">
        <v>0.47920814861472061</v>
      </c>
      <c r="E18" s="62">
        <v>-0.77466790771172378</v>
      </c>
      <c r="F18" s="62">
        <v>1.5211205856305101</v>
      </c>
      <c r="G18" s="62">
        <v>-0.92363898362914187</v>
      </c>
      <c r="H18" s="62">
        <v>1.9213108718268936</v>
      </c>
      <c r="I18" s="62">
        <v>-0.55595021793449328</v>
      </c>
      <c r="J18" s="62">
        <v>1.0628800544869588</v>
      </c>
      <c r="K18" s="62">
        <v>0.45375049436140596</v>
      </c>
      <c r="M18" s="63">
        <f ca="1">RAND()-RAND()</f>
        <v>0.30061872997337469</v>
      </c>
      <c r="ID18">
        <v>0</v>
      </c>
    </row>
    <row r="19" spans="1:238">
      <c r="B19" s="16" t="s">
        <v>113</v>
      </c>
      <c r="C19" s="2" t="s">
        <v>27</v>
      </c>
      <c r="D19" s="62">
        <v>-1.0120184164780137</v>
      </c>
      <c r="E19" s="62">
        <v>-1.0446102438016558</v>
      </c>
      <c r="F19" s="62">
        <v>-1.0528367517586867</v>
      </c>
      <c r="G19" s="62">
        <v>-0.1973523657616098</v>
      </c>
      <c r="H19" s="62">
        <v>3.1169371785407587E-2</v>
      </c>
      <c r="I19" s="62">
        <v>1.0917267031981528</v>
      </c>
      <c r="J19" s="62">
        <v>1.0721319842465025</v>
      </c>
      <c r="K19" s="62">
        <v>1.3547475225402223</v>
      </c>
      <c r="M19" s="63">
        <f t="shared" ref="M19" ca="1" si="2">RAND()-RAND()</f>
        <v>0.56030259120684445</v>
      </c>
    </row>
    <row r="20" spans="1:238">
      <c r="C20" s="2"/>
      <c r="D20" s="62">
        <v>0.60667570587747666</v>
      </c>
      <c r="E20" s="62">
        <v>1.3460221612106327</v>
      </c>
      <c r="F20" s="62">
        <v>1.3791597941477844</v>
      </c>
      <c r="G20" s="62">
        <v>1.3262629946547069</v>
      </c>
      <c r="H20" s="62">
        <v>1.396000063618744</v>
      </c>
      <c r="I20" s="62">
        <v>1.4358125776137176</v>
      </c>
      <c r="J20" s="62">
        <v>1.3583901820848081</v>
      </c>
      <c r="K20" s="62">
        <v>0.67035969615978863</v>
      </c>
      <c r="M20" s="63">
        <f ca="1">IF(RAND()-RAND()&lt;0,-1*RAND()-RAND(),RAND()-RAND())</f>
        <v>0.48547898210293616</v>
      </c>
      <c r="ID20">
        <v>0</v>
      </c>
    </row>
    <row r="21" spans="1:238">
      <c r="C21" s="2"/>
      <c r="D21" s="2"/>
      <c r="E21" s="2"/>
      <c r="F21" s="2"/>
      <c r="G21" s="2"/>
      <c r="H21" s="2"/>
      <c r="I21" s="2"/>
      <c r="J21" s="2"/>
      <c r="K21" s="2"/>
    </row>
    <row r="22" spans="1:238">
      <c r="C22" s="2"/>
      <c r="D22" s="31">
        <f>((Messaufbau_Messdaten!J$30)^2-(Messaufbau_Messdaten!J27)^2+(Messaufbau_Messdaten!$I$35)^2)/2</f>
        <v>0.3689905</v>
      </c>
      <c r="E22" s="31">
        <v>-0.59649400000000019</v>
      </c>
      <c r="F22" s="31">
        <f>((Messaufbau_Messdaten!L$30)^2-(Messaufbau_Messdaten!L27)^2+(Messaufbau_Messdaten!$I$35)^2)/2</f>
        <v>1.1712635000000002</v>
      </c>
      <c r="G22" s="31">
        <f>((Messaufbau_Messdaten!M$30)^2-(Messaufbau_Messdaten!M27)^2+(Messaufbau_Messdaten!$I$35)^2)/2</f>
        <v>-0.71120200000000022</v>
      </c>
      <c r="H22" s="31">
        <f>((Messaufbau_Messdaten!N$30)^2-(Messaufbau_Messdaten!N27)^2+(Messaufbau_Messdaten!$I$35)^2)/2</f>
        <v>1.4794100000000001</v>
      </c>
      <c r="I22" s="31">
        <f>((Messaufbau_Messdaten!O$30)^2-(Messaufbau_Messdaten!O27)^2+(Messaufbau_Messdaten!$I$35)^2)/2</f>
        <v>-0.42808150000000034</v>
      </c>
      <c r="J22" s="31">
        <f>((Messaufbau_Messdaten!P$30)^2-(Messaufbau_Messdaten!P27)^2+(Messaufbau_Messdaten!$I$35)^2)/2</f>
        <v>0.81841799999999998</v>
      </c>
      <c r="K22" s="31">
        <f>((Messaufbau_Messdaten!Q$30)^2-(Messaufbau_Messdaten!Q27)^2+(Messaufbau_Messdaten!$I$35)^2)/2</f>
        <v>0.34938800000000014</v>
      </c>
      <c r="O22" s="35"/>
    </row>
    <row r="23" spans="1:238">
      <c r="B23" s="16" t="s">
        <v>114</v>
      </c>
      <c r="C23" s="2" t="s">
        <v>27</v>
      </c>
      <c r="D23" s="31">
        <f>((Messaufbau_Messdaten!J$30)^2-(Messaufbau_Messdaten!J28)^2+(Messaufbau_Messdaten!$I$41)^2)/2</f>
        <v>-0.779254</v>
      </c>
      <c r="E23" s="31">
        <v>-0.80435000000000023</v>
      </c>
      <c r="F23" s="31">
        <f>((Messaufbau_Messdaten!L$30)^2-(Messaufbau_Messdaten!L28)^2+(Messaufbau_Messdaten!$I$41)^2)/2</f>
        <v>-0.81068400000000029</v>
      </c>
      <c r="G23" s="31">
        <f>((Messaufbau_Messdaten!M$30)^2-(Messaufbau_Messdaten!M28)^2+(Messaufbau_Messdaten!$I$41)^2)/2</f>
        <v>-0.15196150000000042</v>
      </c>
      <c r="H23" s="31">
        <f>((Messaufbau_Messdaten!N$30)^2-(Messaufbau_Messdaten!N28)^2+(Messaufbau_Messdaten!$I$41)^2)/2</f>
        <v>2.4000499999999536E-2</v>
      </c>
      <c r="I23" s="31">
        <f>((Messaufbau_Messdaten!O$30)^2-(Messaufbau_Messdaten!O28)^2+(Messaufbau_Messdaten!$I$41)^2)/2</f>
        <v>0.84062999999999966</v>
      </c>
      <c r="J23" s="31">
        <f>((Messaufbau_Messdaten!P$30)^2-(Messaufbau_Messdaten!P28)^2+(Messaufbau_Messdaten!$I$41)^2)/2</f>
        <v>0.82554200000000011</v>
      </c>
      <c r="K23" s="31">
        <f>((Messaufbau_Messdaten!Q$30)^2-(Messaufbau_Messdaten!Q28)^2+(Messaufbau_Messdaten!$I$41)^2)/2</f>
        <v>1.0431560000000002</v>
      </c>
      <c r="O23" s="35"/>
    </row>
    <row r="24" spans="1:238">
      <c r="C24" s="2"/>
      <c r="D24" s="31">
        <f>((Messaufbau_Messdaten!J$30)^2-(Messaufbau_Messdaten!J29)^2+(Messaufbau_Messdaten!$I$43)^2)/2</f>
        <v>0.48534050000000017</v>
      </c>
      <c r="E24" s="31">
        <v>1.0768180000000001</v>
      </c>
      <c r="F24" s="31">
        <f>((Messaufbau_Messdaten!L$30)^2-(Messaufbau_Messdaten!L29)^2+(Messaufbau_Messdaten!$I$43)^2)/2</f>
        <v>1.1033280000000003</v>
      </c>
      <c r="G24" s="31">
        <f>((Messaufbau_Messdaten!M$30)^2-(Messaufbau_Messdaten!M29)^2+(Messaufbau_Messdaten!$I$43)^2)/2</f>
        <v>1.0610104999999999</v>
      </c>
      <c r="H24" s="31">
        <f>((Messaufbau_Messdaten!N$30)^2-(Messaufbau_Messdaten!N29)^2+(Messaufbau_Messdaten!$I$43)^2)/2</f>
        <v>1.1168005000000003</v>
      </c>
      <c r="I24" s="31">
        <f>((Messaufbau_Messdaten!O$30)^2-(Messaufbau_Messdaten!O29)^2+(Messaufbau_Messdaten!$I$43)^2)/2</f>
        <v>1.1486505</v>
      </c>
      <c r="J24" s="31">
        <f>((Messaufbau_Messdaten!P$30)^2-(Messaufbau_Messdaten!P29)^2+(Messaufbau_Messdaten!$I$43)^2)/2</f>
        <v>1.0867125000000002</v>
      </c>
      <c r="K24" s="31">
        <f>((Messaufbau_Messdaten!Q$30)^2-(Messaufbau_Messdaten!Q29)^2+(Messaufbau_Messdaten!$I$43)^2)/2</f>
        <v>0.53628799999999988</v>
      </c>
    </row>
    <row r="25" spans="1:238">
      <c r="C25" s="2"/>
      <c r="D25" s="2"/>
      <c r="E25" s="2"/>
      <c r="F25" s="2"/>
      <c r="G25" s="2"/>
      <c r="H25" s="2"/>
      <c r="I25" s="2"/>
      <c r="J25" s="2"/>
      <c r="K25" s="2"/>
    </row>
    <row r="26" spans="1:238">
      <c r="A26" s="174" t="s">
        <v>62</v>
      </c>
      <c r="B26" s="180"/>
      <c r="C26" s="180"/>
      <c r="D26" s="180"/>
      <c r="E26" s="180"/>
      <c r="F26" s="180"/>
      <c r="G26" s="180"/>
      <c r="H26" s="180"/>
      <c r="I26" s="180"/>
      <c r="J26" s="180"/>
      <c r="K26" s="180"/>
    </row>
    <row r="27" spans="1:238">
      <c r="B27" t="s">
        <v>53</v>
      </c>
      <c r="C27" s="2" t="s">
        <v>27</v>
      </c>
      <c r="D27" s="2">
        <v>0</v>
      </c>
      <c r="E27" s="2"/>
      <c r="F27" s="2"/>
      <c r="G27" s="2"/>
      <c r="H27" s="2"/>
      <c r="I27" s="2"/>
      <c r="J27" s="2"/>
      <c r="K27" s="2"/>
    </row>
    <row r="28" spans="1:238">
      <c r="B28" t="s">
        <v>54</v>
      </c>
      <c r="C28" s="2" t="s">
        <v>27</v>
      </c>
      <c r="D28" s="2">
        <v>0</v>
      </c>
      <c r="E28" s="2"/>
      <c r="F28" s="2"/>
      <c r="G28" s="2"/>
      <c r="H28" s="2"/>
      <c r="I28" s="2"/>
      <c r="J28" s="2"/>
      <c r="K28" s="2"/>
    </row>
    <row r="29" spans="1:238">
      <c r="B29" t="s">
        <v>55</v>
      </c>
      <c r="C29" s="2" t="s">
        <v>27</v>
      </c>
      <c r="D29" s="2">
        <v>0</v>
      </c>
      <c r="E29" s="2"/>
      <c r="F29" s="2"/>
      <c r="G29" s="2"/>
      <c r="H29" s="2"/>
      <c r="I29" s="2"/>
      <c r="J29" s="2"/>
      <c r="K29" s="2"/>
    </row>
    <row r="30" spans="1:238">
      <c r="C30" s="2"/>
      <c r="D30" s="2"/>
      <c r="E30" s="2"/>
      <c r="F30" s="2"/>
      <c r="G30" s="2"/>
      <c r="H30" s="2"/>
      <c r="I30" s="2"/>
      <c r="J30" s="2"/>
      <c r="K30" s="2"/>
    </row>
    <row r="31" spans="1:238">
      <c r="A31" s="174" t="s">
        <v>64</v>
      </c>
      <c r="B31" s="180"/>
      <c r="C31" s="180"/>
      <c r="D31" s="180"/>
      <c r="E31" s="180"/>
      <c r="F31" s="180"/>
      <c r="G31" s="180"/>
      <c r="H31" s="180"/>
      <c r="I31" s="180"/>
      <c r="J31" s="180"/>
      <c r="K31" s="180"/>
    </row>
    <row r="32" spans="1:238">
      <c r="A32" s="23"/>
      <c r="B32" s="21"/>
      <c r="C32" s="21"/>
      <c r="D32" s="12">
        <v>1</v>
      </c>
      <c r="E32" s="12">
        <v>2</v>
      </c>
      <c r="F32" s="12">
        <v>3</v>
      </c>
      <c r="G32" s="12">
        <v>4</v>
      </c>
      <c r="H32" s="12">
        <v>5</v>
      </c>
      <c r="I32" s="12">
        <v>6</v>
      </c>
      <c r="J32" s="12">
        <v>7</v>
      </c>
      <c r="K32" s="12">
        <v>8</v>
      </c>
    </row>
    <row r="33" spans="1:11">
      <c r="B33" s="26" t="s">
        <v>113</v>
      </c>
      <c r="C33" s="26" t="s">
        <v>27</v>
      </c>
      <c r="D33" s="32">
        <f t="shared" ref="D33:K33" si="3">D18+$D$27</f>
        <v>0.47920814861472061</v>
      </c>
      <c r="E33" s="32">
        <f t="shared" si="3"/>
        <v>-0.77466790771172378</v>
      </c>
      <c r="F33" s="32">
        <f t="shared" si="3"/>
        <v>1.5211205856305101</v>
      </c>
      <c r="G33" s="32">
        <f t="shared" si="3"/>
        <v>-0.92363898362914187</v>
      </c>
      <c r="H33" s="32">
        <f t="shared" si="3"/>
        <v>1.9213108718268936</v>
      </c>
      <c r="I33" s="32">
        <f t="shared" si="3"/>
        <v>-0.55595021793449328</v>
      </c>
      <c r="J33" s="32">
        <f t="shared" si="3"/>
        <v>1.0628800544869588</v>
      </c>
      <c r="K33" s="32">
        <f t="shared" si="3"/>
        <v>0.45375049436140596</v>
      </c>
    </row>
    <row r="34" spans="1:11">
      <c r="B34" s="26" t="s">
        <v>115</v>
      </c>
      <c r="C34" s="26" t="s">
        <v>27</v>
      </c>
      <c r="D34" s="32">
        <f t="shared" ref="D34:E34" si="4">D19+$D$27</f>
        <v>-1.0120184164780137</v>
      </c>
      <c r="E34" s="32">
        <f t="shared" si="4"/>
        <v>-1.0446102438016558</v>
      </c>
      <c r="F34" s="32">
        <f t="shared" ref="F34:K35" si="5">F19+$D$27</f>
        <v>-1.0528367517586867</v>
      </c>
      <c r="G34" s="32">
        <f t="shared" si="5"/>
        <v>-0.1973523657616098</v>
      </c>
      <c r="H34" s="32">
        <f t="shared" si="5"/>
        <v>3.1169371785407587E-2</v>
      </c>
      <c r="I34" s="32">
        <f t="shared" si="5"/>
        <v>1.0917267031981528</v>
      </c>
      <c r="J34" s="32">
        <f t="shared" si="5"/>
        <v>1.0721319842465025</v>
      </c>
      <c r="K34" s="32">
        <f t="shared" si="5"/>
        <v>1.3547475225402223</v>
      </c>
    </row>
    <row r="35" spans="1:11">
      <c r="B35" s="26" t="s">
        <v>116</v>
      </c>
      <c r="C35" s="26" t="s">
        <v>27</v>
      </c>
      <c r="D35" s="32">
        <f t="shared" ref="D35:E35" si="6">D20+$D$27</f>
        <v>0.60667570587747666</v>
      </c>
      <c r="E35" s="32">
        <f t="shared" si="6"/>
        <v>1.3460221612106327</v>
      </c>
      <c r="F35" s="32">
        <f t="shared" si="5"/>
        <v>1.3791597941477844</v>
      </c>
      <c r="G35" s="32">
        <f t="shared" si="5"/>
        <v>1.3262629946547069</v>
      </c>
      <c r="H35" s="32">
        <f t="shared" si="5"/>
        <v>1.396000063618744</v>
      </c>
      <c r="I35" s="32">
        <f t="shared" si="5"/>
        <v>1.4358125776137176</v>
      </c>
      <c r="J35" s="32">
        <f t="shared" si="5"/>
        <v>1.3583901820848081</v>
      </c>
      <c r="K35" s="32">
        <f t="shared" si="5"/>
        <v>0.67035969615978863</v>
      </c>
    </row>
    <row r="36" spans="1:11">
      <c r="B36" s="2"/>
      <c r="C36" s="2"/>
      <c r="D36" s="2"/>
      <c r="E36" s="2"/>
      <c r="F36" s="2"/>
      <c r="G36" s="2"/>
      <c r="H36" s="2"/>
      <c r="I36" s="2"/>
      <c r="J36" s="2"/>
      <c r="K36" s="2"/>
    </row>
    <row r="37" spans="1:11">
      <c r="A37" s="174" t="s">
        <v>67</v>
      </c>
      <c r="B37" s="174"/>
      <c r="C37" s="174"/>
      <c r="D37" s="174"/>
      <c r="E37" s="174"/>
      <c r="F37" s="174"/>
      <c r="G37" s="174"/>
      <c r="H37" s="174"/>
      <c r="I37" s="174"/>
      <c r="J37" s="174"/>
      <c r="K37" s="174"/>
    </row>
    <row r="38" spans="1:11">
      <c r="B38" s="21"/>
      <c r="C38" s="21"/>
      <c r="D38" s="12">
        <v>1</v>
      </c>
      <c r="E38" s="12">
        <v>2</v>
      </c>
      <c r="F38" s="12">
        <v>3</v>
      </c>
      <c r="G38" s="12">
        <v>4</v>
      </c>
      <c r="H38" s="12">
        <v>5</v>
      </c>
      <c r="I38" s="12">
        <v>6</v>
      </c>
      <c r="J38" s="12">
        <v>7</v>
      </c>
      <c r="K38" s="12">
        <v>8</v>
      </c>
    </row>
    <row r="39" spans="1:11">
      <c r="B39" s="176" t="s">
        <v>71</v>
      </c>
      <c r="C39" s="176"/>
      <c r="D39" s="38">
        <f>Messaufbau_Messdaten!J30</f>
        <v>1.2590000000000001</v>
      </c>
      <c r="E39" s="38">
        <f>Messaufbau_Messdaten!K30</f>
        <v>1.8940000000000001</v>
      </c>
      <c r="F39" s="38">
        <f>Messaufbau_Messdaten!L30</f>
        <v>2.3340000000000001</v>
      </c>
      <c r="G39" s="38">
        <f>Messaufbau_Messdaten!M30</f>
        <v>1.661</v>
      </c>
      <c r="H39" s="38">
        <f>Messaufbau_Messdaten!N30</f>
        <v>2.399</v>
      </c>
      <c r="I39" s="38">
        <f>Messaufbau_Messdaten!O30</f>
        <v>1.851</v>
      </c>
      <c r="J39" s="38">
        <f>Messaufbau_Messdaten!P30</f>
        <v>2.0550000000000002</v>
      </c>
      <c r="K39" s="38">
        <f>Messaufbau_Messdaten!Q30</f>
        <v>1.5740000000000001</v>
      </c>
    </row>
    <row r="40" spans="1:11">
      <c r="B40" s="172" t="s">
        <v>70</v>
      </c>
      <c r="C40" s="172"/>
      <c r="D40" s="36">
        <f>SQRT(D33^2+D34^2+D35^2)</f>
        <v>1.2735294017380789</v>
      </c>
      <c r="E40" s="36">
        <f t="shared" ref="E40:K40" si="7">SQRT(E33^2+E34^2+E35^2)</f>
        <v>1.8716561081469953</v>
      </c>
      <c r="F40" s="36">
        <f t="shared" si="7"/>
        <v>2.3074563483794117</v>
      </c>
      <c r="G40" s="36">
        <f t="shared" si="7"/>
        <v>1.6281985319185279</v>
      </c>
      <c r="H40" s="36">
        <f t="shared" si="7"/>
        <v>2.3751259279375594</v>
      </c>
      <c r="I40" s="36">
        <f t="shared" si="7"/>
        <v>1.8874600915863271</v>
      </c>
      <c r="J40" s="36">
        <f t="shared" si="7"/>
        <v>2.030863089588991</v>
      </c>
      <c r="K40" s="36">
        <f t="shared" si="7"/>
        <v>1.5781674446007099</v>
      </c>
    </row>
    <row r="41" spans="1:11">
      <c r="B41" s="172" t="s">
        <v>69</v>
      </c>
      <c r="C41" s="172"/>
      <c r="D41" s="36">
        <f>D40-D39</f>
        <v>1.4529401738078818E-2</v>
      </c>
      <c r="E41" s="36">
        <f t="shared" ref="E41:K41" si="8">E40-E39</f>
        <v>-2.2343891853004783E-2</v>
      </c>
      <c r="F41" s="36">
        <f t="shared" si="8"/>
        <v>-2.654365162058836E-2</v>
      </c>
      <c r="G41" s="36">
        <f t="shared" si="8"/>
        <v>-3.2801468081472107E-2</v>
      </c>
      <c r="H41" s="36">
        <f t="shared" si="8"/>
        <v>-2.3874072062440632E-2</v>
      </c>
      <c r="I41" s="36">
        <f t="shared" si="8"/>
        <v>3.6460091586327126E-2</v>
      </c>
      <c r="J41" s="36">
        <f t="shared" si="8"/>
        <v>-2.4136910411009183E-2</v>
      </c>
      <c r="K41" s="36">
        <f t="shared" si="8"/>
        <v>4.1674446007098354E-3</v>
      </c>
    </row>
    <row r="42" spans="1:11">
      <c r="B42" s="173" t="s">
        <v>68</v>
      </c>
      <c r="C42" s="173"/>
      <c r="D42" s="39">
        <f>ABS(1-D39/D40)</f>
        <v>1.1408768198244545E-2</v>
      </c>
      <c r="E42" s="39">
        <f t="shared" ref="E42:K42" si="9">ABS(1-E39/E40)</f>
        <v>1.193803271645133E-2</v>
      </c>
      <c r="F42" s="39">
        <f t="shared" si="9"/>
        <v>1.150342524972614E-2</v>
      </c>
      <c r="G42" s="39">
        <f t="shared" si="9"/>
        <v>2.0145865162291887E-2</v>
      </c>
      <c r="H42" s="39">
        <f t="shared" si="9"/>
        <v>1.0051707903829588E-2</v>
      </c>
      <c r="I42" s="39">
        <f t="shared" si="9"/>
        <v>1.9317013243805303E-2</v>
      </c>
      <c r="J42" s="39">
        <f t="shared" si="9"/>
        <v>1.1885050516080797E-2</v>
      </c>
      <c r="K42" s="39">
        <f t="shared" si="9"/>
        <v>2.6406859519043646E-3</v>
      </c>
    </row>
    <row r="43" spans="1:11">
      <c r="B43" s="178" t="s">
        <v>105</v>
      </c>
      <c r="C43" s="178"/>
      <c r="D43" s="41">
        <f>D41*D41</f>
        <v>2.1110351486648777E-4</v>
      </c>
      <c r="E43" s="41">
        <f t="shared" ref="E43:K43" si="10">E41*E41</f>
        <v>4.9924950313877349E-4</v>
      </c>
      <c r="F43" s="41">
        <f t="shared" si="10"/>
        <v>7.0456544135516302E-4</v>
      </c>
      <c r="G43" s="41">
        <f t="shared" si="10"/>
        <v>1.0759363082998334E-3</v>
      </c>
      <c r="H43" s="41">
        <f t="shared" si="10"/>
        <v>5.6997131684260831E-4</v>
      </c>
      <c r="I43" s="41">
        <f t="shared" si="10"/>
        <v>1.329338278483362E-3</v>
      </c>
      <c r="J43" s="41">
        <f t="shared" si="10"/>
        <v>5.8259044418908343E-4</v>
      </c>
      <c r="K43" s="41">
        <f t="shared" si="10"/>
        <v>1.7367594499985558E-5</v>
      </c>
    </row>
  </sheetData>
  <mergeCells count="13">
    <mergeCell ref="A37:K37"/>
    <mergeCell ref="B7:D7"/>
    <mergeCell ref="A9:K9"/>
    <mergeCell ref="A8:K8"/>
    <mergeCell ref="A2:K2"/>
    <mergeCell ref="A16:K16"/>
    <mergeCell ref="A26:K26"/>
    <mergeCell ref="A31:K31"/>
    <mergeCell ref="B39:C39"/>
    <mergeCell ref="B40:C40"/>
    <mergeCell ref="B41:C41"/>
    <mergeCell ref="B42:C42"/>
    <mergeCell ref="B43:C43"/>
  </mergeCells>
  <pageMargins left="0.7" right="0.7" top="0.78740157499999996" bottom="0.78740157499999996" header="0.3" footer="0.3"/>
  <pageSetup paperSize="9" orientation="landscape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Tabelle4"/>
  <dimension ref="A2:K35"/>
  <sheetViews>
    <sheetView zoomScale="115" zoomScaleNormal="115" workbookViewId="0">
      <selection activeCell="E59" sqref="E59"/>
    </sheetView>
  </sheetViews>
  <sheetFormatPr baseColWidth="10" defaultRowHeight="15"/>
  <sheetData>
    <row r="2" spans="1:11">
      <c r="A2" s="174" t="s">
        <v>65</v>
      </c>
      <c r="B2" s="180"/>
      <c r="C2" s="180"/>
      <c r="D2" s="180"/>
      <c r="E2" s="180"/>
      <c r="F2" s="180"/>
      <c r="G2" s="180"/>
      <c r="H2" s="180"/>
      <c r="I2" s="180"/>
      <c r="J2" s="180"/>
      <c r="K2" s="180"/>
    </row>
    <row r="3" spans="1:11">
      <c r="A3" s="20"/>
      <c r="B3" s="15">
        <v>0.77</v>
      </c>
      <c r="C3" s="15">
        <v>0</v>
      </c>
      <c r="D3" s="22">
        <v>0</v>
      </c>
      <c r="E3" s="24"/>
      <c r="F3" s="28" t="s">
        <v>48</v>
      </c>
      <c r="G3" s="20"/>
      <c r="H3" s="30" t="s">
        <v>45</v>
      </c>
    </row>
    <row r="4" spans="1:11">
      <c r="A4" s="20"/>
      <c r="B4" s="15">
        <v>0</v>
      </c>
      <c r="C4" s="15">
        <v>0.77</v>
      </c>
      <c r="D4" s="22">
        <v>0</v>
      </c>
      <c r="E4" s="27" t="s">
        <v>63</v>
      </c>
      <c r="F4" s="28" t="s">
        <v>47</v>
      </c>
      <c r="G4" s="20" t="s">
        <v>27</v>
      </c>
      <c r="H4" s="30" t="s">
        <v>43</v>
      </c>
    </row>
    <row r="5" spans="1:11">
      <c r="A5" s="20"/>
      <c r="B5" s="15">
        <v>0</v>
      </c>
      <c r="C5" s="15">
        <v>0</v>
      </c>
      <c r="D5" s="22">
        <v>0.8</v>
      </c>
      <c r="E5" s="24"/>
      <c r="F5" s="28" t="s">
        <v>52</v>
      </c>
      <c r="G5" s="20"/>
      <c r="H5" s="30" t="s">
        <v>42</v>
      </c>
    </row>
    <row r="6" spans="1:11">
      <c r="D6" s="2"/>
      <c r="E6" s="2"/>
      <c r="F6" s="2"/>
      <c r="G6" s="2"/>
      <c r="H6" s="2"/>
    </row>
    <row r="7" spans="1:11">
      <c r="A7" s="174" t="s">
        <v>66</v>
      </c>
      <c r="B7" s="180"/>
      <c r="C7" s="180"/>
      <c r="D7" s="180"/>
      <c r="E7" s="180"/>
      <c r="F7" s="180"/>
      <c r="G7" s="180"/>
      <c r="H7" s="180"/>
      <c r="I7" s="180"/>
      <c r="J7" s="180"/>
      <c r="K7" s="180"/>
    </row>
    <row r="8" spans="1:11">
      <c r="B8" s="21"/>
      <c r="C8" s="21"/>
      <c r="D8" s="12">
        <v>1</v>
      </c>
      <c r="E8" s="12">
        <v>2</v>
      </c>
      <c r="F8" s="12">
        <v>3</v>
      </c>
      <c r="G8" s="12">
        <v>4</v>
      </c>
      <c r="H8" s="12">
        <v>5</v>
      </c>
      <c r="I8" s="12">
        <v>6</v>
      </c>
      <c r="J8" s="12">
        <v>7</v>
      </c>
      <c r="K8" s="12">
        <v>8</v>
      </c>
    </row>
    <row r="9" spans="1:11">
      <c r="B9" s="2" t="s">
        <v>48</v>
      </c>
      <c r="C9" s="2"/>
      <c r="D9" s="31">
        <f>INDEX(MMULT(MINVERSE($B$3:$D$5),D$15:D$17),ROW(A1))</f>
        <v>0.47920844155844156</v>
      </c>
      <c r="E9" s="31">
        <f t="shared" ref="E9:K11" si="0">INDEX(MMULT(MINVERSE($B$3:$D$5),E$15:E$17),ROW(B1))</f>
        <v>-0.77466753246753273</v>
      </c>
      <c r="F9" s="31">
        <f t="shared" si="0"/>
        <v>1.521121428571429</v>
      </c>
      <c r="G9" s="31">
        <f t="shared" si="0"/>
        <v>-0.92363896103896137</v>
      </c>
      <c r="H9" s="31">
        <f t="shared" si="0"/>
        <v>1.9213116883116885</v>
      </c>
      <c r="I9" s="31">
        <f t="shared" si="0"/>
        <v>-0.55595000000000039</v>
      </c>
      <c r="J9" s="31">
        <f t="shared" si="0"/>
        <v>1.0628805194805195</v>
      </c>
      <c r="K9" s="31">
        <f t="shared" si="0"/>
        <v>0.45375064935064952</v>
      </c>
    </row>
    <row r="10" spans="1:11">
      <c r="B10" t="s">
        <v>47</v>
      </c>
      <c r="C10" s="2" t="s">
        <v>27</v>
      </c>
      <c r="D10" s="31">
        <f t="shared" ref="D10:D11" si="1">INDEX(MMULT(MINVERSE($B$3:$D$5),D$15:D$17),ROW(A2))</f>
        <v>-1.0120181818181817</v>
      </c>
      <c r="E10" s="31">
        <f t="shared" si="0"/>
        <v>-1.04461038961039</v>
      </c>
      <c r="F10" s="31">
        <f t="shared" si="0"/>
        <v>-1.052836363636364</v>
      </c>
      <c r="G10" s="31">
        <f t="shared" si="0"/>
        <v>-0.19735259740259795</v>
      </c>
      <c r="H10" s="31">
        <f t="shared" si="0"/>
        <v>3.1169480519479917E-2</v>
      </c>
      <c r="I10" s="31">
        <f t="shared" si="0"/>
        <v>1.0917272727272722</v>
      </c>
      <c r="J10" s="31">
        <f t="shared" si="0"/>
        <v>1.0721324675324677</v>
      </c>
      <c r="K10" s="31">
        <f t="shared" si="0"/>
        <v>1.3547480519480521</v>
      </c>
    </row>
    <row r="11" spans="1:11">
      <c r="B11" t="s">
        <v>52</v>
      </c>
      <c r="C11" s="2"/>
      <c r="D11" s="31">
        <f t="shared" si="1"/>
        <v>0.60667562500000027</v>
      </c>
      <c r="E11" s="31">
        <f t="shared" si="0"/>
        <v>1.3460225000000001</v>
      </c>
      <c r="F11" s="31">
        <f t="shared" si="0"/>
        <v>1.3791600000000004</v>
      </c>
      <c r="G11" s="31">
        <f t="shared" si="0"/>
        <v>1.3262631249999999</v>
      </c>
      <c r="H11" s="31">
        <f t="shared" si="0"/>
        <v>1.3960006250000003</v>
      </c>
      <c r="I11" s="31">
        <f t="shared" si="0"/>
        <v>1.4358131250000001</v>
      </c>
      <c r="J11" s="31">
        <f t="shared" si="0"/>
        <v>1.3583906250000002</v>
      </c>
      <c r="K11" s="31">
        <f t="shared" si="0"/>
        <v>0.67035999999999984</v>
      </c>
    </row>
    <row r="12" spans="1:11">
      <c r="C12" s="2"/>
      <c r="D12" s="2"/>
      <c r="E12" s="2"/>
      <c r="F12" s="2"/>
      <c r="G12" s="2"/>
      <c r="H12" s="2"/>
      <c r="I12" s="2"/>
      <c r="J12" s="2"/>
      <c r="K12" s="2"/>
    </row>
    <row r="13" spans="1:11" ht="18.75">
      <c r="B13" s="13" t="s">
        <v>72</v>
      </c>
      <c r="C13" s="25" t="s">
        <v>27</v>
      </c>
      <c r="D13" s="181" t="s">
        <v>73</v>
      </c>
      <c r="E13" s="182"/>
      <c r="F13" s="182"/>
      <c r="G13" s="182"/>
      <c r="H13" s="182"/>
      <c r="I13" s="182"/>
      <c r="J13" s="182"/>
      <c r="K13" s="182"/>
    </row>
    <row r="14" spans="1:11">
      <c r="C14" s="2"/>
      <c r="D14" s="26"/>
      <c r="E14" s="26"/>
      <c r="F14" s="26"/>
      <c r="G14" s="26"/>
      <c r="H14" s="26"/>
      <c r="I14" s="26"/>
      <c r="J14" s="26"/>
      <c r="K14" s="26"/>
    </row>
    <row r="15" spans="1:11">
      <c r="B15" t="s">
        <v>45</v>
      </c>
      <c r="C15" s="2"/>
      <c r="D15" s="31">
        <f>((Messaufbau_Messdaten!J$30)^2-(Messaufbau_Messdaten!J27)^2+(Messaufbau_Messdaten!$I$35)^2)/2</f>
        <v>0.3689905</v>
      </c>
      <c r="E15" s="31">
        <f>((Messaufbau_Messdaten!K$30)^2-(Messaufbau_Messdaten!K27)^2+(Messaufbau_Messdaten!$I$35)^2)/2</f>
        <v>-0.59649400000000019</v>
      </c>
      <c r="F15" s="31">
        <f>((Messaufbau_Messdaten!L$30)^2-(Messaufbau_Messdaten!L27)^2+(Messaufbau_Messdaten!$I$35)^2)/2</f>
        <v>1.1712635000000002</v>
      </c>
      <c r="G15" s="31">
        <f>((Messaufbau_Messdaten!M$30)^2-(Messaufbau_Messdaten!M27)^2+(Messaufbau_Messdaten!$I$35)^2)/2</f>
        <v>-0.71120200000000022</v>
      </c>
      <c r="H15" s="31">
        <f>((Messaufbau_Messdaten!N$30)^2-(Messaufbau_Messdaten!N27)^2+(Messaufbau_Messdaten!$I$35)^2)/2</f>
        <v>1.4794100000000001</v>
      </c>
      <c r="I15" s="31">
        <f>((Messaufbau_Messdaten!O$30)^2-(Messaufbau_Messdaten!O27)^2+(Messaufbau_Messdaten!$I$35)^2)/2</f>
        <v>-0.42808150000000034</v>
      </c>
      <c r="J15" s="31">
        <f>((Messaufbau_Messdaten!P$30)^2-(Messaufbau_Messdaten!P27)^2+(Messaufbau_Messdaten!$I$35)^2)/2</f>
        <v>0.81841799999999998</v>
      </c>
      <c r="K15" s="31">
        <f>((Messaufbau_Messdaten!Q$30)^2-(Messaufbau_Messdaten!Q27)^2+(Messaufbau_Messdaten!$I$35)^2)/2</f>
        <v>0.34938800000000014</v>
      </c>
    </row>
    <row r="16" spans="1:11">
      <c r="B16" t="s">
        <v>43</v>
      </c>
      <c r="C16" s="2" t="s">
        <v>27</v>
      </c>
      <c r="D16" s="31">
        <f>((Messaufbau_Messdaten!J$30)^2-(Messaufbau_Messdaten!J28)^2+(Messaufbau_Messdaten!$I$41)^2)/2</f>
        <v>-0.779254</v>
      </c>
      <c r="E16" s="31">
        <f>((Messaufbau_Messdaten!K$30)^2-(Messaufbau_Messdaten!K28)^2+(Messaufbau_Messdaten!$I$41)^2)/2</f>
        <v>-0.80435000000000023</v>
      </c>
      <c r="F16" s="31">
        <f>((Messaufbau_Messdaten!L$30)^2-(Messaufbau_Messdaten!L28)^2+(Messaufbau_Messdaten!$I$41)^2)/2</f>
        <v>-0.81068400000000029</v>
      </c>
      <c r="G16" s="31">
        <f>((Messaufbau_Messdaten!M$30)^2-(Messaufbau_Messdaten!M28)^2+(Messaufbau_Messdaten!$I$41)^2)/2</f>
        <v>-0.15196150000000042</v>
      </c>
      <c r="H16" s="31">
        <f>((Messaufbau_Messdaten!N$30)^2-(Messaufbau_Messdaten!N28)^2+(Messaufbau_Messdaten!$I$41)^2)/2</f>
        <v>2.4000499999999536E-2</v>
      </c>
      <c r="I16" s="31">
        <f>((Messaufbau_Messdaten!O$30)^2-(Messaufbau_Messdaten!O28)^2+(Messaufbau_Messdaten!$I$41)^2)/2</f>
        <v>0.84062999999999966</v>
      </c>
      <c r="J16" s="31">
        <f>((Messaufbau_Messdaten!P$30)^2-(Messaufbau_Messdaten!P28)^2+(Messaufbau_Messdaten!$I$41)^2)/2</f>
        <v>0.82554200000000011</v>
      </c>
      <c r="K16" s="31">
        <f>((Messaufbau_Messdaten!Q$30)^2-(Messaufbau_Messdaten!Q28)^2+(Messaufbau_Messdaten!$I$41)^2)/2</f>
        <v>1.0431560000000002</v>
      </c>
    </row>
    <row r="17" spans="1:11">
      <c r="B17" t="s">
        <v>42</v>
      </c>
      <c r="C17" s="2"/>
      <c r="D17" s="31">
        <f>((Messaufbau_Messdaten!J$30)^2-(Messaufbau_Messdaten!J29)^2+(Messaufbau_Messdaten!$I$43)^2)/2</f>
        <v>0.48534050000000017</v>
      </c>
      <c r="E17" s="31">
        <f>((Messaufbau_Messdaten!K$30)^2-(Messaufbau_Messdaten!K29)^2+(Messaufbau_Messdaten!$I$43)^2)/2</f>
        <v>1.0768180000000001</v>
      </c>
      <c r="F17" s="31">
        <f>((Messaufbau_Messdaten!L$30)^2-(Messaufbau_Messdaten!L29)^2+(Messaufbau_Messdaten!$I$43)^2)/2</f>
        <v>1.1033280000000003</v>
      </c>
      <c r="G17" s="31">
        <f>((Messaufbau_Messdaten!M$30)^2-(Messaufbau_Messdaten!M29)^2+(Messaufbau_Messdaten!$I$43)^2)/2</f>
        <v>1.0610104999999999</v>
      </c>
      <c r="H17" s="31">
        <f>((Messaufbau_Messdaten!N$30)^2-(Messaufbau_Messdaten!N29)^2+(Messaufbau_Messdaten!$I$43)^2)/2</f>
        <v>1.1168005000000003</v>
      </c>
      <c r="I17" s="31">
        <f>((Messaufbau_Messdaten!O$30)^2-(Messaufbau_Messdaten!O29)^2+(Messaufbau_Messdaten!$I$43)^2)/2</f>
        <v>1.1486505</v>
      </c>
      <c r="J17" s="31">
        <f>((Messaufbau_Messdaten!P$30)^2-(Messaufbau_Messdaten!P29)^2+(Messaufbau_Messdaten!$I$43)^2)/2</f>
        <v>1.0867125000000002</v>
      </c>
      <c r="K17" s="31">
        <f>((Messaufbau_Messdaten!Q$30)^2-(Messaufbau_Messdaten!Q29)^2+(Messaufbau_Messdaten!$I$43)^2)/2</f>
        <v>0.53628799999999988</v>
      </c>
    </row>
    <row r="18" spans="1:11">
      <c r="C18" s="2"/>
      <c r="D18" s="2"/>
      <c r="E18" s="2"/>
      <c r="F18" s="2"/>
      <c r="G18" s="2"/>
      <c r="H18" s="2"/>
      <c r="I18" s="2"/>
      <c r="J18" s="2"/>
      <c r="K18" s="2"/>
    </row>
    <row r="19" spans="1:11">
      <c r="A19" s="174" t="s">
        <v>62</v>
      </c>
      <c r="B19" s="180"/>
      <c r="C19" s="180"/>
      <c r="D19" s="180"/>
      <c r="E19" s="180"/>
      <c r="F19" s="180"/>
      <c r="G19" s="180"/>
      <c r="H19" s="180"/>
      <c r="I19" s="180"/>
      <c r="J19" s="180"/>
      <c r="K19" s="180"/>
    </row>
    <row r="20" spans="1:11">
      <c r="B20" t="s">
        <v>53</v>
      </c>
      <c r="C20" s="2" t="s">
        <v>27</v>
      </c>
      <c r="D20" s="2">
        <v>0</v>
      </c>
      <c r="E20" s="2"/>
      <c r="F20" s="2"/>
      <c r="G20" s="2"/>
      <c r="H20" s="2"/>
      <c r="I20" s="2"/>
      <c r="J20" s="2"/>
      <c r="K20" s="2"/>
    </row>
    <row r="21" spans="1:11">
      <c r="B21" t="s">
        <v>54</v>
      </c>
      <c r="C21" s="2" t="s">
        <v>27</v>
      </c>
      <c r="D21" s="2">
        <v>0</v>
      </c>
      <c r="E21" s="2"/>
      <c r="F21" s="2"/>
      <c r="G21" s="2"/>
      <c r="H21" s="2"/>
      <c r="I21" s="2"/>
      <c r="J21" s="2"/>
      <c r="K21" s="2"/>
    </row>
    <row r="22" spans="1:11">
      <c r="B22" t="s">
        <v>55</v>
      </c>
      <c r="C22" s="2" t="s">
        <v>27</v>
      </c>
      <c r="D22" s="2">
        <v>0</v>
      </c>
      <c r="E22" s="2"/>
      <c r="F22" s="2"/>
      <c r="G22" s="2"/>
      <c r="H22" s="2"/>
      <c r="I22" s="2"/>
      <c r="J22" s="2"/>
      <c r="K22" s="2"/>
    </row>
    <row r="23" spans="1:11">
      <c r="C23" s="2"/>
      <c r="D23" s="2"/>
      <c r="E23" s="2"/>
      <c r="F23" s="2"/>
      <c r="G23" s="2"/>
      <c r="H23" s="2"/>
      <c r="I23" s="2"/>
      <c r="J23" s="2"/>
      <c r="K23" s="2"/>
    </row>
    <row r="24" spans="1:11">
      <c r="A24" s="174" t="s">
        <v>64</v>
      </c>
      <c r="B24" s="180"/>
      <c r="C24" s="180"/>
      <c r="D24" s="180"/>
      <c r="E24" s="180"/>
      <c r="F24" s="180"/>
      <c r="G24" s="180"/>
      <c r="H24" s="180"/>
      <c r="I24" s="180"/>
      <c r="J24" s="180"/>
      <c r="K24" s="180"/>
    </row>
    <row r="25" spans="1:11">
      <c r="A25" s="23"/>
      <c r="B25" s="21"/>
      <c r="C25" s="21"/>
      <c r="D25" s="12">
        <v>1</v>
      </c>
      <c r="E25" s="12">
        <v>2</v>
      </c>
      <c r="F25" s="12">
        <v>3</v>
      </c>
      <c r="G25" s="12">
        <v>4</v>
      </c>
      <c r="H25" s="12">
        <v>5</v>
      </c>
      <c r="I25" s="12">
        <v>6</v>
      </c>
      <c r="J25" s="12">
        <v>7</v>
      </c>
      <c r="K25" s="12">
        <v>8</v>
      </c>
    </row>
    <row r="26" spans="1:11">
      <c r="B26" s="26" t="s">
        <v>59</v>
      </c>
      <c r="C26" s="26" t="s">
        <v>27</v>
      </c>
      <c r="D26" s="32">
        <f t="shared" ref="D26" si="2">D9+$D$20</f>
        <v>0.47920844155844156</v>
      </c>
      <c r="E26" s="32">
        <f t="shared" ref="E26:K26" si="3">E9+$D$20</f>
        <v>-0.77466753246753273</v>
      </c>
      <c r="F26" s="32">
        <f t="shared" si="3"/>
        <v>1.521121428571429</v>
      </c>
      <c r="G26" s="32">
        <f t="shared" si="3"/>
        <v>-0.92363896103896137</v>
      </c>
      <c r="H26" s="32">
        <f t="shared" si="3"/>
        <v>1.9213116883116885</v>
      </c>
      <c r="I26" s="32">
        <f t="shared" si="3"/>
        <v>-0.55595000000000039</v>
      </c>
      <c r="J26" s="32">
        <f t="shared" si="3"/>
        <v>1.0628805194805195</v>
      </c>
      <c r="K26" s="32">
        <f t="shared" si="3"/>
        <v>0.45375064935064952</v>
      </c>
    </row>
    <row r="27" spans="1:11">
      <c r="B27" s="26" t="s">
        <v>60</v>
      </c>
      <c r="C27" s="26" t="s">
        <v>27</v>
      </c>
      <c r="D27" s="32">
        <f t="shared" ref="D27" si="4">D10+$D$20</f>
        <v>-1.0120181818181817</v>
      </c>
      <c r="E27" s="32">
        <f t="shared" ref="E27:K28" si="5">E10+$D$20</f>
        <v>-1.04461038961039</v>
      </c>
      <c r="F27" s="32">
        <f t="shared" si="5"/>
        <v>-1.052836363636364</v>
      </c>
      <c r="G27" s="32">
        <f t="shared" si="5"/>
        <v>-0.19735259740259795</v>
      </c>
      <c r="H27" s="32">
        <f t="shared" si="5"/>
        <v>3.1169480519479917E-2</v>
      </c>
      <c r="I27" s="32">
        <f t="shared" si="5"/>
        <v>1.0917272727272722</v>
      </c>
      <c r="J27" s="32">
        <f t="shared" si="5"/>
        <v>1.0721324675324677</v>
      </c>
      <c r="K27" s="32">
        <f t="shared" si="5"/>
        <v>1.3547480519480521</v>
      </c>
    </row>
    <row r="28" spans="1:11">
      <c r="B28" s="26" t="s">
        <v>61</v>
      </c>
      <c r="C28" s="26" t="s">
        <v>27</v>
      </c>
      <c r="D28" s="32">
        <f t="shared" ref="D28" si="6">D11+$D$20</f>
        <v>0.60667562500000027</v>
      </c>
      <c r="E28" s="32">
        <f t="shared" si="5"/>
        <v>1.3460225000000001</v>
      </c>
      <c r="F28" s="32">
        <f t="shared" si="5"/>
        <v>1.3791600000000004</v>
      </c>
      <c r="G28" s="32">
        <f t="shared" si="5"/>
        <v>1.3262631249999999</v>
      </c>
      <c r="H28" s="32">
        <f t="shared" si="5"/>
        <v>1.3960006250000003</v>
      </c>
      <c r="I28" s="32">
        <f t="shared" si="5"/>
        <v>1.4358131250000001</v>
      </c>
      <c r="J28" s="32">
        <f t="shared" si="5"/>
        <v>1.3583906250000002</v>
      </c>
      <c r="K28" s="32">
        <f t="shared" si="5"/>
        <v>0.67035999999999984</v>
      </c>
    </row>
    <row r="29" spans="1:11">
      <c r="B29" s="2"/>
      <c r="C29" s="2"/>
      <c r="D29" s="2"/>
      <c r="E29" s="2"/>
      <c r="F29" s="2"/>
      <c r="G29" s="2"/>
      <c r="H29" s="2"/>
      <c r="I29" s="2"/>
      <c r="J29" s="2"/>
      <c r="K29" s="2"/>
    </row>
    <row r="30" spans="1:11">
      <c r="A30" s="174" t="s">
        <v>67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</row>
    <row r="31" spans="1:11">
      <c r="B31" s="21"/>
      <c r="C31" s="21"/>
      <c r="D31" s="12">
        <v>1</v>
      </c>
      <c r="E31" s="12">
        <v>2</v>
      </c>
      <c r="F31" s="12">
        <v>3</v>
      </c>
      <c r="G31" s="12">
        <v>4</v>
      </c>
      <c r="H31" s="12">
        <v>5</v>
      </c>
      <c r="I31" s="12">
        <v>6</v>
      </c>
      <c r="J31" s="12">
        <v>7</v>
      </c>
      <c r="K31" s="12">
        <v>8</v>
      </c>
    </row>
    <row r="32" spans="1:11">
      <c r="B32" s="176" t="s">
        <v>71</v>
      </c>
      <c r="C32" s="176"/>
      <c r="D32">
        <f>Messaufbau_Messdaten!J30</f>
        <v>1.2590000000000001</v>
      </c>
      <c r="E32">
        <f>Messaufbau_Messdaten!K30</f>
        <v>1.8940000000000001</v>
      </c>
      <c r="F32">
        <f>Messaufbau_Messdaten!L30</f>
        <v>2.3340000000000001</v>
      </c>
      <c r="G32">
        <f>Messaufbau_Messdaten!M30</f>
        <v>1.661</v>
      </c>
      <c r="H32">
        <f>Messaufbau_Messdaten!N30</f>
        <v>2.399</v>
      </c>
      <c r="I32">
        <f>Messaufbau_Messdaten!O30</f>
        <v>1.851</v>
      </c>
      <c r="J32">
        <f>Messaufbau_Messdaten!P30</f>
        <v>2.0550000000000002</v>
      </c>
      <c r="K32">
        <f>Messaufbau_Messdaten!Q30</f>
        <v>1.5740000000000001</v>
      </c>
    </row>
    <row r="33" spans="2:11">
      <c r="B33" s="172" t="s">
        <v>70</v>
      </c>
      <c r="C33" s="172"/>
      <c r="D33" s="31">
        <f>SQRT(D26^2+D27^2+D28^2)</f>
        <v>1.2735292869661812</v>
      </c>
      <c r="E33" s="31">
        <f t="shared" ref="E33:K33" si="7">SQRT(E26^2+E27^2+E28^2)</f>
        <v>1.8716562778586128</v>
      </c>
      <c r="F33" s="31">
        <f t="shared" si="7"/>
        <v>2.3074568500091672</v>
      </c>
      <c r="G33" s="31">
        <f t="shared" si="7"/>
        <v>1.6281986533545127</v>
      </c>
      <c r="H33" s="31">
        <f t="shared" si="7"/>
        <v>2.3751269198001519</v>
      </c>
      <c r="I33" s="31">
        <f t="shared" si="7"/>
        <v>1.8874607732185573</v>
      </c>
      <c r="J33" s="31">
        <f t="shared" si="7"/>
        <v>2.0308638843399445</v>
      </c>
      <c r="K33" s="31">
        <f t="shared" si="7"/>
        <v>1.5781680726852823</v>
      </c>
    </row>
    <row r="34" spans="2:11">
      <c r="B34" s="172" t="s">
        <v>69</v>
      </c>
      <c r="C34" s="172"/>
      <c r="D34" s="31">
        <f>D33-D32</f>
        <v>1.4529286966181054E-2</v>
      </c>
      <c r="E34" s="31">
        <f t="shared" ref="E34:K34" si="8">E33-E32</f>
        <v>-2.2343722141387357E-2</v>
      </c>
      <c r="F34" s="31">
        <f t="shared" si="8"/>
        <v>-2.6543149990832848E-2</v>
      </c>
      <c r="G34" s="31">
        <f t="shared" si="8"/>
        <v>-3.2801346645487284E-2</v>
      </c>
      <c r="H34" s="31">
        <f t="shared" si="8"/>
        <v>-2.3873080199848129E-2</v>
      </c>
      <c r="I34" s="31">
        <f t="shared" si="8"/>
        <v>3.6460773218557341E-2</v>
      </c>
      <c r="J34" s="31">
        <f t="shared" si="8"/>
        <v>-2.413611566005569E-2</v>
      </c>
      <c r="K34" s="31">
        <f t="shared" si="8"/>
        <v>4.168072685282187E-3</v>
      </c>
    </row>
    <row r="35" spans="2:11">
      <c r="B35" s="173" t="s">
        <v>68</v>
      </c>
      <c r="C35" s="173"/>
      <c r="D35" s="33">
        <f>ABS(1-D32/D33)</f>
        <v>1.1408679105286201E-2</v>
      </c>
      <c r="E35" s="33">
        <f t="shared" ref="E35:K35" si="9">ABS(1-E32/E33)</f>
        <v>1.1937940959411142E-2</v>
      </c>
      <c r="F35" s="33">
        <f t="shared" si="9"/>
        <v>1.1503205353862844E-2</v>
      </c>
      <c r="G35" s="33">
        <f t="shared" si="9"/>
        <v>2.0145789076724707E-2</v>
      </c>
      <c r="H35" s="33">
        <f t="shared" si="9"/>
        <v>1.0051286102157775E-2</v>
      </c>
      <c r="I35" s="33">
        <f t="shared" si="9"/>
        <v>1.9317367404877661E-2</v>
      </c>
      <c r="J35" s="33">
        <f t="shared" si="9"/>
        <v>1.1884654528631966E-2</v>
      </c>
      <c r="K35" s="33">
        <f t="shared" si="9"/>
        <v>2.6410828842774459E-3</v>
      </c>
    </row>
  </sheetData>
  <mergeCells count="10">
    <mergeCell ref="B32:C32"/>
    <mergeCell ref="B33:C33"/>
    <mergeCell ref="B34:C34"/>
    <mergeCell ref="B35:C35"/>
    <mergeCell ref="D13:K13"/>
    <mergeCell ref="A2:K2"/>
    <mergeCell ref="A7:K7"/>
    <mergeCell ref="A19:K19"/>
    <mergeCell ref="A24:K24"/>
    <mergeCell ref="A30:K30"/>
  </mergeCells>
  <pageMargins left="0.7" right="0.7" top="0.78740157499999996" bottom="0.78740157499999996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Tabelle6"/>
  <dimension ref="A3:J36"/>
  <sheetViews>
    <sheetView workbookViewId="0">
      <selection activeCell="H33" sqref="H33"/>
    </sheetView>
  </sheetViews>
  <sheetFormatPr baseColWidth="10" defaultRowHeight="15"/>
  <sheetData>
    <row r="3" spans="1:10">
      <c r="B3" t="s">
        <v>10</v>
      </c>
    </row>
    <row r="4" spans="1:10">
      <c r="B4" t="s">
        <v>17</v>
      </c>
      <c r="C4" t="s">
        <v>20</v>
      </c>
      <c r="D4" t="s">
        <v>21</v>
      </c>
      <c r="F4" t="s">
        <v>13</v>
      </c>
      <c r="H4" t="s">
        <v>14</v>
      </c>
    </row>
    <row r="5" spans="1:10">
      <c r="B5" t="s">
        <v>18</v>
      </c>
      <c r="C5" t="s">
        <v>22</v>
      </c>
      <c r="D5" t="s">
        <v>25</v>
      </c>
      <c r="F5" t="s">
        <v>11</v>
      </c>
      <c r="G5" t="s">
        <v>27</v>
      </c>
      <c r="H5" t="s">
        <v>16</v>
      </c>
    </row>
    <row r="6" spans="1:10">
      <c r="B6" t="s">
        <v>19</v>
      </c>
      <c r="C6" t="s">
        <v>23</v>
      </c>
      <c r="D6" t="s">
        <v>24</v>
      </c>
      <c r="F6" t="s">
        <v>12</v>
      </c>
      <c r="H6" t="s">
        <v>15</v>
      </c>
    </row>
    <row r="9" spans="1:10">
      <c r="B9">
        <v>0</v>
      </c>
      <c r="C9">
        <v>0</v>
      </c>
      <c r="D9">
        <v>-0.8</v>
      </c>
      <c r="F9" t="s">
        <v>48</v>
      </c>
      <c r="H9">
        <f>G23</f>
        <v>0.3689905</v>
      </c>
    </row>
    <row r="10" spans="1:10">
      <c r="B10">
        <v>0.77</v>
      </c>
      <c r="C10">
        <v>0</v>
      </c>
      <c r="D10">
        <v>-0.8</v>
      </c>
      <c r="F10" t="s">
        <v>47</v>
      </c>
      <c r="G10" t="s">
        <v>27</v>
      </c>
      <c r="H10">
        <f t="shared" ref="H10:H11" si="0">G24</f>
        <v>-0.779254</v>
      </c>
    </row>
    <row r="11" spans="1:10">
      <c r="B11">
        <v>0</v>
      </c>
      <c r="C11">
        <v>0.77</v>
      </c>
      <c r="D11">
        <v>-0.8</v>
      </c>
      <c r="F11" t="s">
        <v>46</v>
      </c>
      <c r="H11">
        <f t="shared" si="0"/>
        <v>0.48534050000000017</v>
      </c>
    </row>
    <row r="14" spans="1:10">
      <c r="A14" t="s">
        <v>51</v>
      </c>
    </row>
    <row r="15" spans="1:10">
      <c r="B15" t="s">
        <v>48</v>
      </c>
      <c r="D15">
        <f>INDEX(MMULT(MINVERSE($B$9:$D$11),$H$9:$H$11),ROW(A1))</f>
        <v>-1.4912266233766234</v>
      </c>
      <c r="J15">
        <f>MDETERM(B9:D11)</f>
        <v>-0.47432000000000002</v>
      </c>
    </row>
    <row r="16" spans="1:10">
      <c r="B16" t="s">
        <v>47</v>
      </c>
      <c r="C16" t="s">
        <v>27</v>
      </c>
      <c r="D16">
        <f t="shared" ref="D16:D17" si="1">INDEX(MMULT(MINVERSE($B$9:$D$11),$H$9:$H$11),ROW(A2))</f>
        <v>0.1511038961038963</v>
      </c>
    </row>
    <row r="17" spans="2:10">
      <c r="B17" t="s">
        <v>52</v>
      </c>
      <c r="D17">
        <f t="shared" si="1"/>
        <v>-0.461238125</v>
      </c>
    </row>
    <row r="18" spans="2:10">
      <c r="J18">
        <f>INDEX(MMULT($B$9:$D$11,$D$15:$D$17),ROW(A1))</f>
        <v>0.3689905</v>
      </c>
    </row>
    <row r="19" spans="2:10">
      <c r="J19">
        <f t="shared" ref="J19:J20" si="2">INDEX(MMULT($B$9:$D$11,$D$15:$D$17),ROW(A2))</f>
        <v>-0.77925400000000011</v>
      </c>
    </row>
    <row r="20" spans="2:10">
      <c r="J20">
        <f t="shared" si="2"/>
        <v>0.48534050000000017</v>
      </c>
    </row>
    <row r="21" spans="2:10" ht="18.75">
      <c r="B21" s="13" t="s">
        <v>26</v>
      </c>
      <c r="C21" s="13" t="s">
        <v>27</v>
      </c>
      <c r="D21" s="14" t="s">
        <v>28</v>
      </c>
    </row>
    <row r="23" spans="2:10">
      <c r="B23" t="s">
        <v>45</v>
      </c>
      <c r="C23" t="s">
        <v>27</v>
      </c>
      <c r="D23" t="s">
        <v>44</v>
      </c>
      <c r="F23" t="s">
        <v>27</v>
      </c>
      <c r="G23">
        <f>1/2*(-Messaufbau_Messdaten!$J$30^2-Messaufbau_Messdaten!J27^2+Messaufbau_Messdaten!$I$35^2)</f>
        <v>0.3689905</v>
      </c>
    </row>
    <row r="24" spans="2:10">
      <c r="B24" t="s">
        <v>43</v>
      </c>
      <c r="C24" t="s">
        <v>27</v>
      </c>
      <c r="D24" t="s">
        <v>49</v>
      </c>
      <c r="G24">
        <f>1/2*(-Messaufbau_Messdaten!$J$30^2-Messaufbau_Messdaten!J28^2+Messaufbau_Messdaten!$I$41^2)</f>
        <v>-0.779254</v>
      </c>
    </row>
    <row r="25" spans="2:10">
      <c r="B25" t="s">
        <v>42</v>
      </c>
      <c r="C25" t="s">
        <v>27</v>
      </c>
      <c r="D25" t="s">
        <v>50</v>
      </c>
      <c r="G25">
        <f>1/2*(-Messaufbau_Messdaten!$J$30^2-Messaufbau_Messdaten!J29^2+Messaufbau_Messdaten!$I$43^2)</f>
        <v>0.48534050000000017</v>
      </c>
    </row>
    <row r="29" spans="2:10">
      <c r="B29" t="s">
        <v>53</v>
      </c>
      <c r="C29" t="s">
        <v>27</v>
      </c>
      <c r="D29">
        <v>0</v>
      </c>
    </row>
    <row r="30" spans="2:10">
      <c r="B30" t="s">
        <v>54</v>
      </c>
      <c r="C30" t="s">
        <v>27</v>
      </c>
      <c r="D30">
        <v>0</v>
      </c>
    </row>
    <row r="31" spans="2:10">
      <c r="B31" t="s">
        <v>55</v>
      </c>
      <c r="C31" t="s">
        <v>27</v>
      </c>
      <c r="D31">
        <v>0.8</v>
      </c>
    </row>
    <row r="34" spans="2:4">
      <c r="B34" t="s">
        <v>56</v>
      </c>
      <c r="C34" t="s">
        <v>27</v>
      </c>
      <c r="D34">
        <f>D15+D29</f>
        <v>-1.4912266233766234</v>
      </c>
    </row>
    <row r="35" spans="2:4">
      <c r="B35" t="s">
        <v>57</v>
      </c>
      <c r="C35" t="s">
        <v>27</v>
      </c>
      <c r="D35">
        <f t="shared" ref="D35:D36" si="3">D16+D30</f>
        <v>0.1511038961038963</v>
      </c>
    </row>
    <row r="36" spans="2:4">
      <c r="B36" t="s">
        <v>58</v>
      </c>
      <c r="C36" t="s">
        <v>27</v>
      </c>
      <c r="D36">
        <f t="shared" si="3"/>
        <v>0.33876187500000005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Tabelle5"/>
  <dimension ref="A2:L282"/>
  <sheetViews>
    <sheetView topLeftCell="A244" workbookViewId="0">
      <selection activeCell="C280" sqref="C280"/>
    </sheetView>
  </sheetViews>
  <sheetFormatPr baseColWidth="10" defaultRowHeight="15"/>
  <sheetData>
    <row r="2" spans="1:12">
      <c r="B2">
        <v>0</v>
      </c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</row>
    <row r="3" spans="1:12">
      <c r="A3">
        <v>1</v>
      </c>
      <c r="B3">
        <v>0</v>
      </c>
      <c r="C3" s="166"/>
      <c r="D3" s="168">
        <v>1</v>
      </c>
      <c r="E3" s="168">
        <v>1</v>
      </c>
      <c r="F3" s="168">
        <v>1</v>
      </c>
      <c r="G3" s="169"/>
      <c r="H3" s="169"/>
      <c r="I3" s="169"/>
      <c r="J3" s="169"/>
      <c r="K3" s="1" t="s">
        <v>179</v>
      </c>
      <c r="L3" t="s">
        <v>178</v>
      </c>
    </row>
    <row r="4" spans="1:12">
      <c r="A4">
        <v>2</v>
      </c>
      <c r="B4">
        <v>0</v>
      </c>
      <c r="C4" s="166"/>
      <c r="D4" s="168"/>
      <c r="E4" s="168"/>
      <c r="F4" s="169"/>
      <c r="G4" s="168">
        <v>2</v>
      </c>
      <c r="H4" s="169"/>
      <c r="I4" s="169"/>
      <c r="J4" s="169"/>
      <c r="K4" s="1" t="s">
        <v>180</v>
      </c>
    </row>
    <row r="5" spans="1:12">
      <c r="A5">
        <v>3</v>
      </c>
      <c r="B5">
        <v>0</v>
      </c>
      <c r="C5" s="166"/>
      <c r="D5" s="168"/>
      <c r="E5" s="168"/>
      <c r="F5" s="169"/>
      <c r="G5" s="169"/>
      <c r="H5" s="168">
        <v>3</v>
      </c>
      <c r="I5" s="169"/>
      <c r="J5" s="169"/>
      <c r="K5" s="1" t="s">
        <v>181</v>
      </c>
    </row>
    <row r="6" spans="1:12">
      <c r="A6">
        <v>4</v>
      </c>
      <c r="B6">
        <v>0</v>
      </c>
      <c r="C6" s="166"/>
      <c r="D6" s="168"/>
      <c r="E6" s="168"/>
      <c r="F6" s="169"/>
      <c r="G6" s="169"/>
      <c r="H6" s="169"/>
      <c r="I6" s="168">
        <v>4</v>
      </c>
      <c r="J6" s="169"/>
      <c r="K6" s="1" t="s">
        <v>182</v>
      </c>
    </row>
    <row r="7" spans="1:12">
      <c r="A7">
        <v>5</v>
      </c>
      <c r="B7">
        <v>0</v>
      </c>
      <c r="C7" s="166"/>
      <c r="D7" s="168"/>
      <c r="E7" s="168"/>
      <c r="F7" s="169"/>
      <c r="G7" s="169"/>
      <c r="H7" s="169"/>
      <c r="I7" s="169"/>
      <c r="J7" s="168">
        <v>5</v>
      </c>
      <c r="K7" s="1" t="s">
        <v>183</v>
      </c>
    </row>
    <row r="8" spans="1:12">
      <c r="A8">
        <v>6</v>
      </c>
      <c r="B8">
        <v>0</v>
      </c>
      <c r="C8" s="166"/>
      <c r="D8" s="168"/>
      <c r="E8" s="169"/>
      <c r="F8" s="168">
        <v>2</v>
      </c>
      <c r="G8" s="168">
        <v>1</v>
      </c>
      <c r="H8" s="169"/>
      <c r="I8" s="169"/>
      <c r="J8" s="169"/>
      <c r="K8" s="1" t="s">
        <v>184</v>
      </c>
    </row>
    <row r="9" spans="1:12">
      <c r="A9">
        <v>7</v>
      </c>
      <c r="B9">
        <v>0</v>
      </c>
      <c r="C9" s="166"/>
      <c r="D9" s="168"/>
      <c r="E9" s="169"/>
      <c r="F9" s="168"/>
      <c r="G9" s="169"/>
      <c r="H9" s="168">
        <v>2</v>
      </c>
      <c r="I9" s="169"/>
      <c r="J9" s="169"/>
      <c r="K9" s="1" t="s">
        <v>185</v>
      </c>
    </row>
    <row r="10" spans="1:12">
      <c r="A10">
        <v>8</v>
      </c>
      <c r="B10">
        <v>0</v>
      </c>
      <c r="C10" s="166"/>
      <c r="D10" s="168"/>
      <c r="E10" s="169"/>
      <c r="F10" s="168"/>
      <c r="G10" s="169"/>
      <c r="H10" s="169"/>
      <c r="I10" s="168">
        <v>3</v>
      </c>
      <c r="J10" s="169"/>
      <c r="K10" s="1" t="s">
        <v>186</v>
      </c>
    </row>
    <row r="11" spans="1:12">
      <c r="A11">
        <v>9</v>
      </c>
      <c r="B11">
        <v>0</v>
      </c>
      <c r="C11" s="166"/>
      <c r="D11" s="168"/>
      <c r="E11" s="169"/>
      <c r="F11" s="168"/>
      <c r="G11" s="169"/>
      <c r="H11" s="169"/>
      <c r="I11" s="169"/>
      <c r="J11" s="168">
        <v>4</v>
      </c>
      <c r="K11" s="1" t="s">
        <v>187</v>
      </c>
    </row>
    <row r="12" spans="1:12">
      <c r="A12">
        <v>10</v>
      </c>
      <c r="B12">
        <v>0</v>
      </c>
      <c r="C12" s="166"/>
      <c r="D12" s="168"/>
      <c r="E12" s="169"/>
      <c r="F12" s="169"/>
      <c r="G12" s="168">
        <v>3</v>
      </c>
      <c r="H12" s="168">
        <v>1</v>
      </c>
      <c r="I12" s="169"/>
      <c r="J12" s="169"/>
      <c r="K12" s="1" t="s">
        <v>188</v>
      </c>
    </row>
    <row r="13" spans="1:12">
      <c r="A13">
        <v>11</v>
      </c>
      <c r="B13">
        <v>0</v>
      </c>
      <c r="C13" s="166"/>
      <c r="D13" s="168"/>
      <c r="E13" s="169"/>
      <c r="F13" s="169"/>
      <c r="G13" s="168"/>
      <c r="H13" s="169"/>
      <c r="I13" s="168">
        <v>2</v>
      </c>
      <c r="J13" s="169"/>
      <c r="K13" s="1" t="s">
        <v>189</v>
      </c>
    </row>
    <row r="14" spans="1:12">
      <c r="A14">
        <v>12</v>
      </c>
      <c r="B14">
        <v>0</v>
      </c>
      <c r="C14" s="166"/>
      <c r="D14" s="168"/>
      <c r="E14" s="169"/>
      <c r="F14" s="169"/>
      <c r="G14" s="168"/>
      <c r="H14" s="169"/>
      <c r="I14" s="169"/>
      <c r="J14" s="168">
        <v>3</v>
      </c>
      <c r="K14" s="1" t="s">
        <v>190</v>
      </c>
    </row>
    <row r="15" spans="1:12">
      <c r="A15">
        <v>13</v>
      </c>
      <c r="B15">
        <v>0</v>
      </c>
      <c r="C15" s="166"/>
      <c r="D15" s="168"/>
      <c r="E15" s="169"/>
      <c r="F15" s="169"/>
      <c r="G15" s="169"/>
      <c r="H15" s="168">
        <v>4</v>
      </c>
      <c r="I15" s="168">
        <v>1</v>
      </c>
      <c r="J15" s="169"/>
      <c r="K15" s="1" t="s">
        <v>192</v>
      </c>
    </row>
    <row r="16" spans="1:12">
      <c r="A16">
        <v>14</v>
      </c>
      <c r="B16">
        <v>0</v>
      </c>
      <c r="C16" s="166"/>
      <c r="D16" s="168"/>
      <c r="E16" s="169"/>
      <c r="F16" s="169"/>
      <c r="G16" s="169"/>
      <c r="H16" s="168"/>
      <c r="I16" s="169"/>
      <c r="J16" s="168">
        <v>2</v>
      </c>
      <c r="K16" s="1" t="s">
        <v>191</v>
      </c>
    </row>
    <row r="17" spans="1:11">
      <c r="A17">
        <v>15</v>
      </c>
      <c r="B17">
        <v>0</v>
      </c>
      <c r="C17" s="166"/>
      <c r="D17" s="168"/>
      <c r="E17" s="169"/>
      <c r="F17" s="169"/>
      <c r="G17" s="169"/>
      <c r="H17" s="169"/>
      <c r="I17" s="168">
        <v>5</v>
      </c>
      <c r="J17" s="168">
        <v>1</v>
      </c>
      <c r="K17" s="1" t="s">
        <v>193</v>
      </c>
    </row>
    <row r="18" spans="1:11">
      <c r="A18">
        <v>16</v>
      </c>
      <c r="B18">
        <v>0</v>
      </c>
      <c r="C18" s="166"/>
      <c r="D18" s="169"/>
      <c r="E18" s="168">
        <v>2</v>
      </c>
      <c r="F18" s="168">
        <v>1</v>
      </c>
      <c r="G18" s="168">
        <v>1</v>
      </c>
      <c r="H18" s="169"/>
      <c r="I18" s="169"/>
      <c r="J18" s="169"/>
      <c r="K18" s="1" t="s">
        <v>194</v>
      </c>
    </row>
    <row r="19" spans="1:11">
      <c r="A19">
        <v>17</v>
      </c>
      <c r="B19">
        <v>0</v>
      </c>
      <c r="C19" s="166"/>
      <c r="D19" s="169"/>
      <c r="E19" s="168"/>
      <c r="F19" s="168"/>
      <c r="G19" s="169"/>
      <c r="H19" s="168">
        <v>2</v>
      </c>
      <c r="I19" s="169"/>
      <c r="J19" s="169"/>
      <c r="K19" s="1" t="s">
        <v>195</v>
      </c>
    </row>
    <row r="20" spans="1:11">
      <c r="A20">
        <v>18</v>
      </c>
      <c r="B20">
        <v>0</v>
      </c>
      <c r="C20" s="166"/>
      <c r="D20" s="169"/>
      <c r="E20" s="168"/>
      <c r="F20" s="168"/>
      <c r="G20" s="169"/>
      <c r="H20" s="169"/>
      <c r="I20" s="168">
        <v>3</v>
      </c>
      <c r="J20" s="169"/>
      <c r="K20" s="1" t="s">
        <v>196</v>
      </c>
    </row>
    <row r="21" spans="1:11">
      <c r="A21">
        <v>19</v>
      </c>
      <c r="B21">
        <v>0</v>
      </c>
      <c r="C21" s="166"/>
      <c r="D21" s="169"/>
      <c r="E21" s="168"/>
      <c r="F21" s="168"/>
      <c r="G21" s="169"/>
      <c r="H21" s="169"/>
      <c r="I21" s="169"/>
      <c r="J21" s="168">
        <v>4</v>
      </c>
      <c r="K21" s="1" t="s">
        <v>197</v>
      </c>
    </row>
    <row r="22" spans="1:11">
      <c r="A22">
        <v>20</v>
      </c>
      <c r="B22">
        <v>0</v>
      </c>
      <c r="C22" s="166"/>
      <c r="D22" s="169"/>
      <c r="E22" s="168"/>
      <c r="F22" s="169"/>
      <c r="G22" s="168">
        <v>2</v>
      </c>
      <c r="H22" s="168">
        <v>1</v>
      </c>
      <c r="I22" s="169"/>
      <c r="J22" s="169"/>
      <c r="K22" s="1" t="s">
        <v>198</v>
      </c>
    </row>
    <row r="23" spans="1:11">
      <c r="A23">
        <v>21</v>
      </c>
      <c r="B23">
        <v>0</v>
      </c>
      <c r="C23" s="166"/>
      <c r="D23" s="169"/>
      <c r="E23" s="168"/>
      <c r="F23" s="169"/>
      <c r="G23" s="168"/>
      <c r="H23" s="169"/>
      <c r="I23" s="168">
        <v>2</v>
      </c>
      <c r="J23" s="169"/>
      <c r="K23" s="1" t="s">
        <v>199</v>
      </c>
    </row>
    <row r="24" spans="1:11">
      <c r="A24">
        <v>22</v>
      </c>
      <c r="B24">
        <v>0</v>
      </c>
      <c r="C24" s="166"/>
      <c r="D24" s="169"/>
      <c r="E24" s="168"/>
      <c r="F24" s="169"/>
      <c r="G24" s="168"/>
      <c r="H24" s="169"/>
      <c r="I24" s="169"/>
      <c r="J24" s="168">
        <v>3</v>
      </c>
      <c r="K24" s="1" t="s">
        <v>200</v>
      </c>
    </row>
    <row r="25" spans="1:11">
      <c r="A25">
        <v>23</v>
      </c>
      <c r="B25">
        <v>0</v>
      </c>
      <c r="C25" s="166"/>
      <c r="D25" s="169"/>
      <c r="E25" s="168"/>
      <c r="F25" s="169"/>
      <c r="G25" s="169"/>
      <c r="H25" s="168">
        <v>3</v>
      </c>
      <c r="I25" s="168">
        <v>1</v>
      </c>
      <c r="J25" s="169"/>
      <c r="K25" s="1" t="s">
        <v>201</v>
      </c>
    </row>
    <row r="26" spans="1:11">
      <c r="A26">
        <v>24</v>
      </c>
      <c r="B26">
        <v>0</v>
      </c>
      <c r="C26" s="166"/>
      <c r="D26" s="169"/>
      <c r="E26" s="168"/>
      <c r="F26" s="169"/>
      <c r="G26" s="169"/>
      <c r="H26" s="168"/>
      <c r="I26" s="169"/>
      <c r="J26" s="168">
        <v>2</v>
      </c>
      <c r="K26" s="1" t="s">
        <v>202</v>
      </c>
    </row>
    <row r="27" spans="1:11">
      <c r="A27">
        <v>25</v>
      </c>
      <c r="B27">
        <v>0</v>
      </c>
      <c r="C27" s="166"/>
      <c r="D27" s="60"/>
      <c r="E27" s="168"/>
      <c r="F27" s="60"/>
      <c r="G27" s="60"/>
      <c r="H27" s="60"/>
      <c r="I27" s="168">
        <v>4</v>
      </c>
      <c r="J27" s="168">
        <v>1</v>
      </c>
      <c r="K27" s="1" t="s">
        <v>203</v>
      </c>
    </row>
    <row r="28" spans="1:11">
      <c r="A28">
        <v>26</v>
      </c>
      <c r="B28">
        <v>0</v>
      </c>
      <c r="C28" s="166"/>
      <c r="D28" s="60"/>
      <c r="E28" s="60"/>
      <c r="F28" s="168">
        <v>3</v>
      </c>
      <c r="G28" s="168"/>
      <c r="H28" s="168">
        <v>1</v>
      </c>
      <c r="I28" s="60"/>
      <c r="J28" s="60"/>
      <c r="K28" s="1" t="s">
        <v>204</v>
      </c>
    </row>
    <row r="29" spans="1:11">
      <c r="A29">
        <v>27</v>
      </c>
      <c r="B29">
        <v>0</v>
      </c>
      <c r="C29" s="166"/>
      <c r="D29" s="60"/>
      <c r="E29" s="60"/>
      <c r="F29" s="168"/>
      <c r="G29" s="168"/>
      <c r="H29" s="60"/>
      <c r="I29" s="168">
        <v>2</v>
      </c>
      <c r="J29" s="60"/>
      <c r="K29" s="1" t="s">
        <v>205</v>
      </c>
    </row>
    <row r="30" spans="1:11">
      <c r="A30">
        <v>28</v>
      </c>
      <c r="B30">
        <v>0</v>
      </c>
      <c r="C30" s="166"/>
      <c r="D30" s="60"/>
      <c r="E30" s="60"/>
      <c r="F30" s="168"/>
      <c r="G30" s="168"/>
      <c r="H30" s="60"/>
      <c r="I30" s="60"/>
      <c r="J30" s="168">
        <v>3</v>
      </c>
      <c r="K30" s="1" t="s">
        <v>206</v>
      </c>
    </row>
    <row r="31" spans="1:11">
      <c r="A31">
        <v>29</v>
      </c>
      <c r="B31">
        <v>0</v>
      </c>
      <c r="C31" s="166"/>
      <c r="D31" s="60"/>
      <c r="E31" s="60"/>
      <c r="F31" s="168"/>
      <c r="G31" s="60"/>
      <c r="H31" s="168">
        <v>2</v>
      </c>
      <c r="I31" s="168">
        <v>1</v>
      </c>
      <c r="J31" s="60"/>
      <c r="K31" s="1" t="s">
        <v>207</v>
      </c>
    </row>
    <row r="32" spans="1:11">
      <c r="A32">
        <v>30</v>
      </c>
      <c r="B32">
        <v>0</v>
      </c>
      <c r="C32" s="166"/>
      <c r="D32" s="60"/>
      <c r="E32" s="60"/>
      <c r="F32" s="168"/>
      <c r="G32" s="60"/>
      <c r="H32" s="168"/>
      <c r="I32" s="60"/>
      <c r="J32" s="168">
        <v>2</v>
      </c>
      <c r="K32" s="1" t="s">
        <v>208</v>
      </c>
    </row>
    <row r="33" spans="1:11">
      <c r="A33">
        <v>31</v>
      </c>
      <c r="B33">
        <v>0</v>
      </c>
      <c r="C33" s="166"/>
      <c r="D33" s="60"/>
      <c r="E33" s="60"/>
      <c r="F33" s="168"/>
      <c r="G33" s="60"/>
      <c r="H33" s="60"/>
      <c r="I33" s="168">
        <v>3</v>
      </c>
      <c r="J33" s="168">
        <v>1</v>
      </c>
      <c r="K33" s="1" t="s">
        <v>209</v>
      </c>
    </row>
    <row r="34" spans="1:11">
      <c r="A34">
        <v>32</v>
      </c>
      <c r="B34">
        <v>0</v>
      </c>
      <c r="C34" s="166"/>
      <c r="D34" s="60"/>
      <c r="E34" s="60"/>
      <c r="F34" s="60"/>
      <c r="G34" s="168">
        <v>4</v>
      </c>
      <c r="H34" s="168">
        <v>1</v>
      </c>
      <c r="I34" s="168">
        <v>1</v>
      </c>
      <c r="J34" s="60"/>
      <c r="K34" s="1" t="s">
        <v>210</v>
      </c>
    </row>
    <row r="35" spans="1:11">
      <c r="A35">
        <v>33</v>
      </c>
      <c r="B35">
        <v>0</v>
      </c>
      <c r="C35" s="166"/>
      <c r="D35" s="60"/>
      <c r="E35" s="60"/>
      <c r="F35" s="60"/>
      <c r="G35" s="168"/>
      <c r="H35" s="168"/>
      <c r="I35" s="60"/>
      <c r="J35" s="168">
        <v>2</v>
      </c>
      <c r="K35" s="1" t="s">
        <v>211</v>
      </c>
    </row>
    <row r="36" spans="1:11">
      <c r="A36">
        <v>34</v>
      </c>
      <c r="B36">
        <v>0</v>
      </c>
      <c r="C36" s="166"/>
      <c r="D36" s="60"/>
      <c r="E36" s="60"/>
      <c r="F36" s="60"/>
      <c r="G36" s="168"/>
      <c r="H36" s="60"/>
      <c r="I36" s="168">
        <v>2</v>
      </c>
      <c r="J36" s="168"/>
      <c r="K36" s="1" t="s">
        <v>212</v>
      </c>
    </row>
    <row r="37" spans="1:11">
      <c r="A37">
        <v>35</v>
      </c>
      <c r="B37">
        <v>0</v>
      </c>
      <c r="C37" s="166"/>
      <c r="D37" s="60"/>
      <c r="E37" s="60"/>
      <c r="F37" s="60"/>
      <c r="G37" s="60"/>
      <c r="H37" s="168">
        <v>5</v>
      </c>
      <c r="I37" s="168">
        <v>1</v>
      </c>
      <c r="J37" s="168">
        <v>1</v>
      </c>
      <c r="K37" s="1" t="s">
        <v>213</v>
      </c>
    </row>
    <row r="38" spans="1:11">
      <c r="A38">
        <v>36</v>
      </c>
      <c r="B38">
        <v>1</v>
      </c>
      <c r="C38" s="167"/>
      <c r="D38" s="166"/>
      <c r="E38" s="167"/>
      <c r="F38" s="167"/>
      <c r="G38" s="165"/>
      <c r="H38" s="165"/>
      <c r="I38" s="165"/>
      <c r="J38" s="165"/>
    </row>
    <row r="39" spans="1:11">
      <c r="A39">
        <v>37</v>
      </c>
      <c r="B39">
        <v>1</v>
      </c>
      <c r="C39" s="167"/>
      <c r="D39" s="166"/>
      <c r="E39" s="167"/>
      <c r="F39" s="165"/>
      <c r="G39" s="167"/>
      <c r="H39" s="165"/>
      <c r="I39" s="165"/>
      <c r="J39" s="165"/>
    </row>
    <row r="40" spans="1:11">
      <c r="A40">
        <v>38</v>
      </c>
      <c r="B40">
        <v>1</v>
      </c>
      <c r="C40" s="167"/>
      <c r="D40" s="166"/>
      <c r="E40" s="167"/>
      <c r="F40" s="165"/>
      <c r="G40" s="165"/>
      <c r="H40" s="167"/>
      <c r="I40" s="165"/>
      <c r="J40" s="165"/>
    </row>
    <row r="41" spans="1:11">
      <c r="A41">
        <v>39</v>
      </c>
      <c r="B41">
        <v>1</v>
      </c>
      <c r="C41" s="167"/>
      <c r="D41" s="166"/>
      <c r="E41" s="167"/>
      <c r="F41" s="165"/>
      <c r="G41" s="165"/>
      <c r="H41" s="165"/>
      <c r="I41" s="167"/>
      <c r="J41" s="165"/>
    </row>
    <row r="42" spans="1:11">
      <c r="A42">
        <v>40</v>
      </c>
      <c r="B42">
        <v>1</v>
      </c>
      <c r="C42" s="167"/>
      <c r="D42" s="166"/>
      <c r="E42" s="167"/>
      <c r="F42" s="165"/>
      <c r="G42" s="165"/>
      <c r="H42" s="165"/>
      <c r="I42" s="165"/>
      <c r="J42" s="167"/>
    </row>
    <row r="43" spans="1:11">
      <c r="A43">
        <v>41</v>
      </c>
      <c r="B43">
        <v>1</v>
      </c>
      <c r="C43" s="167"/>
      <c r="D43" s="166"/>
      <c r="E43" s="165"/>
      <c r="F43" s="167"/>
      <c r="G43" s="167"/>
      <c r="H43" s="165"/>
      <c r="I43" s="165"/>
      <c r="J43" s="165"/>
    </row>
    <row r="44" spans="1:11">
      <c r="A44">
        <v>42</v>
      </c>
      <c r="B44">
        <v>1</v>
      </c>
      <c r="C44" s="167"/>
      <c r="D44" s="166"/>
      <c r="E44" s="165"/>
      <c r="F44" s="167"/>
      <c r="G44" s="165"/>
      <c r="H44" s="167"/>
      <c r="I44" s="165"/>
      <c r="J44" s="165"/>
    </row>
    <row r="45" spans="1:11">
      <c r="A45">
        <v>43</v>
      </c>
      <c r="B45">
        <v>1</v>
      </c>
      <c r="C45" s="167"/>
      <c r="D45" s="166"/>
      <c r="E45" s="165"/>
      <c r="F45" s="167"/>
      <c r="G45" s="165"/>
      <c r="H45" s="165"/>
      <c r="I45" s="167"/>
      <c r="J45" s="165"/>
    </row>
    <row r="46" spans="1:11">
      <c r="A46">
        <v>44</v>
      </c>
      <c r="B46">
        <v>1</v>
      </c>
      <c r="C46" s="167"/>
      <c r="D46" s="166"/>
      <c r="E46" s="165"/>
      <c r="F46" s="167"/>
      <c r="G46" s="165"/>
      <c r="H46" s="165"/>
      <c r="I46" s="165"/>
      <c r="J46" s="167"/>
    </row>
    <row r="47" spans="1:11">
      <c r="A47">
        <v>45</v>
      </c>
      <c r="B47">
        <v>1</v>
      </c>
      <c r="C47" s="167"/>
      <c r="D47" s="166"/>
      <c r="E47" s="165"/>
      <c r="F47" s="165"/>
      <c r="G47" s="167"/>
      <c r="H47" s="167"/>
      <c r="I47" s="165"/>
      <c r="J47" s="165"/>
    </row>
    <row r="48" spans="1:11">
      <c r="A48">
        <v>46</v>
      </c>
      <c r="B48">
        <v>1</v>
      </c>
      <c r="C48" s="167"/>
      <c r="D48" s="166"/>
      <c r="E48" s="165"/>
      <c r="F48" s="165"/>
      <c r="G48" s="167"/>
      <c r="H48" s="165"/>
      <c r="I48" s="167"/>
      <c r="J48" s="165"/>
    </row>
    <row r="49" spans="1:10">
      <c r="A49">
        <v>47</v>
      </c>
      <c r="B49">
        <v>1</v>
      </c>
      <c r="C49" s="167"/>
      <c r="D49" s="166"/>
      <c r="E49" s="165"/>
      <c r="F49" s="165"/>
      <c r="G49" s="167"/>
      <c r="H49" s="165"/>
      <c r="I49" s="165"/>
      <c r="J49" s="167"/>
    </row>
    <row r="50" spans="1:10">
      <c r="A50">
        <v>48</v>
      </c>
      <c r="B50">
        <v>1</v>
      </c>
      <c r="C50" s="167"/>
      <c r="D50" s="166"/>
      <c r="E50" s="165"/>
      <c r="F50" s="165"/>
      <c r="G50" s="165"/>
      <c r="H50" s="167"/>
      <c r="I50" s="167"/>
      <c r="J50" s="165"/>
    </row>
    <row r="51" spans="1:10">
      <c r="A51">
        <v>49</v>
      </c>
      <c r="B51">
        <v>1</v>
      </c>
      <c r="C51" s="167"/>
      <c r="D51" s="166"/>
      <c r="E51" s="165"/>
      <c r="F51" s="165"/>
      <c r="G51" s="165"/>
      <c r="H51" s="167"/>
      <c r="I51" s="165"/>
      <c r="J51" s="167"/>
    </row>
    <row r="52" spans="1:10">
      <c r="A52">
        <v>50</v>
      </c>
      <c r="B52">
        <v>1</v>
      </c>
      <c r="C52" s="167"/>
      <c r="D52" s="166"/>
      <c r="E52" s="165"/>
      <c r="F52" s="165"/>
      <c r="G52" s="165"/>
      <c r="H52" s="165"/>
      <c r="I52" s="167"/>
      <c r="J52" s="167"/>
    </row>
    <row r="53" spans="1:10">
      <c r="A53">
        <v>51</v>
      </c>
      <c r="B53">
        <v>2</v>
      </c>
      <c r="D53" s="166"/>
      <c r="E53" s="167"/>
      <c r="F53" s="167"/>
      <c r="G53" s="167"/>
      <c r="H53" s="165"/>
      <c r="I53" s="165"/>
      <c r="J53" s="165"/>
    </row>
    <row r="54" spans="1:10">
      <c r="A54">
        <v>52</v>
      </c>
      <c r="B54">
        <v>2</v>
      </c>
      <c r="D54" s="166"/>
      <c r="E54" s="167"/>
      <c r="F54" s="167"/>
      <c r="G54" s="165"/>
      <c r="H54" s="167"/>
      <c r="I54" s="165"/>
      <c r="J54" s="165"/>
    </row>
    <row r="55" spans="1:10">
      <c r="A55">
        <v>53</v>
      </c>
      <c r="B55">
        <v>2</v>
      </c>
      <c r="D55" s="166"/>
      <c r="E55" s="167"/>
      <c r="F55" s="167"/>
      <c r="G55" s="165"/>
      <c r="H55" s="165"/>
      <c r="I55" s="167"/>
      <c r="J55" s="165"/>
    </row>
    <row r="56" spans="1:10">
      <c r="A56">
        <v>54</v>
      </c>
      <c r="B56">
        <v>2</v>
      </c>
      <c r="D56" s="166"/>
      <c r="E56" s="167"/>
      <c r="F56" s="167"/>
      <c r="G56" s="165"/>
      <c r="H56" s="165"/>
      <c r="I56" s="165"/>
      <c r="J56" s="167"/>
    </row>
    <row r="57" spans="1:10">
      <c r="A57">
        <v>55</v>
      </c>
      <c r="B57">
        <v>2</v>
      </c>
      <c r="D57" s="166"/>
      <c r="E57" s="167"/>
      <c r="F57" s="165"/>
      <c r="G57" s="167"/>
      <c r="H57" s="167"/>
      <c r="I57" s="165"/>
      <c r="J57" s="165"/>
    </row>
    <row r="58" spans="1:10">
      <c r="A58">
        <v>56</v>
      </c>
      <c r="B58">
        <v>2</v>
      </c>
      <c r="D58" s="166"/>
      <c r="E58" s="167"/>
      <c r="F58" s="165"/>
      <c r="G58" s="167"/>
      <c r="H58" s="165"/>
      <c r="I58" s="167"/>
      <c r="J58" s="165"/>
    </row>
    <row r="59" spans="1:10">
      <c r="A59">
        <v>57</v>
      </c>
      <c r="B59">
        <v>2</v>
      </c>
      <c r="D59" s="166"/>
      <c r="E59" s="167"/>
      <c r="F59" s="165"/>
      <c r="G59" s="167"/>
      <c r="H59" s="165"/>
      <c r="I59" s="165"/>
      <c r="J59" s="167"/>
    </row>
    <row r="60" spans="1:10">
      <c r="A60">
        <v>58</v>
      </c>
      <c r="B60">
        <v>2</v>
      </c>
      <c r="D60" s="166"/>
      <c r="E60" s="167"/>
      <c r="F60" s="165"/>
      <c r="G60" s="165"/>
      <c r="H60" s="167"/>
      <c r="I60" s="167"/>
      <c r="J60" s="165"/>
    </row>
    <row r="61" spans="1:10">
      <c r="A61">
        <v>59</v>
      </c>
      <c r="B61">
        <v>2</v>
      </c>
      <c r="D61" s="166"/>
      <c r="E61" s="167"/>
      <c r="F61" s="165"/>
      <c r="G61" s="165"/>
      <c r="H61" s="167"/>
      <c r="I61" s="165"/>
      <c r="J61" s="167"/>
    </row>
    <row r="62" spans="1:10">
      <c r="A62">
        <v>60</v>
      </c>
      <c r="B62">
        <v>2</v>
      </c>
      <c r="D62" s="166"/>
      <c r="E62" s="167"/>
      <c r="I62" s="167"/>
      <c r="J62" s="167"/>
    </row>
    <row r="63" spans="1:10">
      <c r="A63">
        <v>61</v>
      </c>
      <c r="B63">
        <v>2</v>
      </c>
      <c r="D63" s="166"/>
      <c r="F63" s="167"/>
      <c r="G63" s="167"/>
      <c r="H63" s="167"/>
    </row>
    <row r="64" spans="1:10">
      <c r="A64">
        <v>62</v>
      </c>
      <c r="B64">
        <v>2</v>
      </c>
      <c r="D64" s="166"/>
      <c r="F64" s="167"/>
      <c r="G64" s="167"/>
      <c r="I64" s="167"/>
    </row>
    <row r="65" spans="1:10">
      <c r="A65">
        <v>63</v>
      </c>
      <c r="B65">
        <v>2</v>
      </c>
      <c r="D65" s="166"/>
      <c r="F65" s="167"/>
      <c r="G65" s="167"/>
      <c r="J65" s="167"/>
    </row>
    <row r="66" spans="1:10">
      <c r="A66">
        <v>64</v>
      </c>
      <c r="B66">
        <v>2</v>
      </c>
      <c r="D66" s="166"/>
      <c r="F66" s="167"/>
      <c r="H66" s="167"/>
      <c r="I66" s="167"/>
    </row>
    <row r="67" spans="1:10">
      <c r="A67">
        <v>65</v>
      </c>
      <c r="B67">
        <v>2</v>
      </c>
      <c r="D67" s="166"/>
      <c r="F67" s="167"/>
      <c r="H67" s="167"/>
      <c r="J67" s="167"/>
    </row>
    <row r="68" spans="1:10">
      <c r="A68">
        <v>66</v>
      </c>
      <c r="B68">
        <v>2</v>
      </c>
      <c r="D68" s="166"/>
      <c r="F68" s="167"/>
      <c r="I68" s="167"/>
      <c r="J68" s="167"/>
    </row>
    <row r="69" spans="1:10">
      <c r="A69">
        <v>67</v>
      </c>
      <c r="B69">
        <v>2</v>
      </c>
      <c r="D69" s="166"/>
      <c r="G69" s="167"/>
      <c r="H69" s="167"/>
      <c r="I69" s="167"/>
    </row>
    <row r="70" spans="1:10">
      <c r="A70">
        <v>68</v>
      </c>
      <c r="B70">
        <v>2</v>
      </c>
      <c r="D70" s="166"/>
      <c r="G70" s="167"/>
      <c r="H70" s="167"/>
      <c r="J70" s="167"/>
    </row>
    <row r="71" spans="1:10">
      <c r="A71">
        <v>69</v>
      </c>
      <c r="B71">
        <v>2</v>
      </c>
      <c r="D71" s="166"/>
      <c r="G71" s="167"/>
      <c r="I71" s="167"/>
      <c r="J71" s="167"/>
    </row>
    <row r="72" spans="1:10">
      <c r="A72">
        <v>70</v>
      </c>
      <c r="B72">
        <v>2</v>
      </c>
      <c r="D72" s="166"/>
      <c r="H72" s="167"/>
      <c r="I72" s="167"/>
      <c r="J72" s="167"/>
    </row>
    <row r="73" spans="1:10">
      <c r="A73">
        <v>71</v>
      </c>
      <c r="B73">
        <v>3</v>
      </c>
      <c r="C73" s="167">
        <v>1</v>
      </c>
      <c r="D73" s="167">
        <v>1</v>
      </c>
      <c r="E73" s="166"/>
      <c r="F73" s="167">
        <v>1</v>
      </c>
      <c r="G73" s="165"/>
      <c r="H73" s="165"/>
      <c r="I73" s="165"/>
      <c r="J73" s="165"/>
    </row>
    <row r="74" spans="1:10">
      <c r="A74">
        <v>72</v>
      </c>
      <c r="B74">
        <v>3</v>
      </c>
      <c r="C74" s="167"/>
      <c r="D74" s="167"/>
      <c r="E74" s="166"/>
      <c r="F74" s="165"/>
      <c r="G74" s="167">
        <v>2</v>
      </c>
      <c r="H74" s="165"/>
      <c r="I74" s="165"/>
      <c r="J74" s="165"/>
    </row>
    <row r="75" spans="1:10">
      <c r="A75">
        <v>73</v>
      </c>
      <c r="B75">
        <v>3</v>
      </c>
      <c r="C75" s="167"/>
      <c r="D75" s="167"/>
      <c r="E75" s="166"/>
      <c r="F75" s="165"/>
      <c r="G75" s="165"/>
      <c r="H75" s="167">
        <v>3</v>
      </c>
      <c r="I75" s="165"/>
      <c r="J75" s="165"/>
    </row>
    <row r="76" spans="1:10">
      <c r="A76">
        <v>74</v>
      </c>
      <c r="B76">
        <v>3</v>
      </c>
      <c r="C76" s="167"/>
      <c r="D76" s="167"/>
      <c r="E76" s="166"/>
      <c r="F76" s="165"/>
      <c r="G76" s="165"/>
      <c r="H76" s="165"/>
      <c r="I76" s="167">
        <v>4</v>
      </c>
      <c r="J76" s="165"/>
    </row>
    <row r="77" spans="1:10">
      <c r="A77">
        <v>75</v>
      </c>
      <c r="B77">
        <v>3</v>
      </c>
      <c r="C77" s="167"/>
      <c r="D77" s="167"/>
      <c r="E77" s="166"/>
      <c r="F77" s="165"/>
      <c r="G77" s="165"/>
      <c r="H77" s="165"/>
      <c r="I77" s="165"/>
      <c r="J77" s="167">
        <v>5</v>
      </c>
    </row>
    <row r="78" spans="1:10">
      <c r="A78">
        <v>76</v>
      </c>
      <c r="B78">
        <v>3</v>
      </c>
      <c r="C78" s="167"/>
      <c r="D78" s="165"/>
      <c r="E78" s="166"/>
      <c r="F78" s="167"/>
      <c r="G78" s="167"/>
      <c r="H78" s="165"/>
      <c r="I78" s="165"/>
      <c r="J78" s="165"/>
    </row>
    <row r="79" spans="1:10">
      <c r="A79">
        <v>77</v>
      </c>
      <c r="B79">
        <v>3</v>
      </c>
      <c r="C79" s="167"/>
      <c r="D79" s="165"/>
      <c r="E79" s="166"/>
      <c r="F79" s="167"/>
      <c r="G79" s="165"/>
      <c r="H79" s="167"/>
      <c r="I79" s="165"/>
      <c r="J79" s="165"/>
    </row>
    <row r="80" spans="1:10">
      <c r="A80">
        <v>78</v>
      </c>
      <c r="B80">
        <v>3</v>
      </c>
      <c r="C80" s="167"/>
      <c r="D80" s="165"/>
      <c r="E80" s="166"/>
      <c r="F80" s="167"/>
      <c r="G80" s="165"/>
      <c r="H80" s="165"/>
      <c r="I80" s="167"/>
      <c r="J80" s="165"/>
    </row>
    <row r="81" spans="1:10">
      <c r="A81">
        <v>79</v>
      </c>
      <c r="B81">
        <v>3</v>
      </c>
      <c r="C81" s="167"/>
      <c r="D81" s="165"/>
      <c r="E81" s="166"/>
      <c r="F81" s="167"/>
      <c r="G81" s="165"/>
      <c r="H81" s="165"/>
      <c r="I81" s="165"/>
      <c r="J81" s="167"/>
    </row>
    <row r="82" spans="1:10">
      <c r="A82">
        <v>80</v>
      </c>
      <c r="B82">
        <v>3</v>
      </c>
      <c r="C82" s="167"/>
      <c r="D82" s="165"/>
      <c r="E82" s="166"/>
      <c r="F82" s="165"/>
      <c r="G82" s="167"/>
      <c r="H82" s="167"/>
      <c r="I82" s="165"/>
      <c r="J82" s="165"/>
    </row>
    <row r="83" spans="1:10">
      <c r="A83">
        <v>81</v>
      </c>
      <c r="B83">
        <v>3</v>
      </c>
      <c r="C83" s="167"/>
      <c r="D83" s="165"/>
      <c r="E83" s="166"/>
      <c r="F83" s="165"/>
      <c r="G83" s="167"/>
      <c r="H83" s="165"/>
      <c r="I83" s="167"/>
      <c r="J83" s="165"/>
    </row>
    <row r="84" spans="1:10">
      <c r="A84">
        <v>82</v>
      </c>
      <c r="B84">
        <v>3</v>
      </c>
      <c r="C84" s="167"/>
      <c r="D84" s="165"/>
      <c r="E84" s="166"/>
      <c r="F84" s="165"/>
      <c r="G84" s="167"/>
      <c r="H84" s="165"/>
      <c r="I84" s="165"/>
      <c r="J84" s="167"/>
    </row>
    <row r="85" spans="1:10">
      <c r="A85">
        <v>83</v>
      </c>
      <c r="B85">
        <v>3</v>
      </c>
      <c r="C85" s="167"/>
      <c r="D85" s="165"/>
      <c r="E85" s="166"/>
      <c r="F85" s="165"/>
      <c r="G85" s="165"/>
      <c r="H85" s="167"/>
      <c r="I85" s="167"/>
      <c r="J85" s="165"/>
    </row>
    <row r="86" spans="1:10">
      <c r="A86">
        <v>84</v>
      </c>
      <c r="B86">
        <v>3</v>
      </c>
      <c r="C86" s="167"/>
      <c r="D86" s="165"/>
      <c r="E86" s="166"/>
      <c r="F86" s="165"/>
      <c r="G86" s="165"/>
      <c r="H86" s="167"/>
      <c r="I86" s="165"/>
      <c r="J86" s="167"/>
    </row>
    <row r="87" spans="1:10">
      <c r="A87">
        <v>85</v>
      </c>
      <c r="B87">
        <v>3</v>
      </c>
      <c r="C87" s="167"/>
      <c r="D87" s="165"/>
      <c r="E87" s="166"/>
      <c r="F87" s="165"/>
      <c r="G87" s="165"/>
      <c r="H87" s="165"/>
      <c r="I87" s="167"/>
      <c r="J87" s="167"/>
    </row>
    <row r="88" spans="1:10">
      <c r="A88">
        <v>86</v>
      </c>
      <c r="B88">
        <v>3</v>
      </c>
      <c r="D88" s="167">
        <v>2</v>
      </c>
      <c r="E88" s="166"/>
      <c r="F88" s="167">
        <v>1</v>
      </c>
      <c r="G88" s="167">
        <v>1</v>
      </c>
      <c r="H88" s="165"/>
      <c r="I88" s="165"/>
      <c r="J88" s="165"/>
    </row>
    <row r="89" spans="1:10">
      <c r="A89">
        <v>87</v>
      </c>
      <c r="B89">
        <v>3</v>
      </c>
      <c r="D89" s="167"/>
      <c r="E89" s="166"/>
      <c r="F89" s="167"/>
      <c r="G89" s="165"/>
      <c r="H89" s="167">
        <v>2</v>
      </c>
      <c r="I89" s="165"/>
      <c r="J89" s="165"/>
    </row>
    <row r="90" spans="1:10">
      <c r="A90">
        <v>88</v>
      </c>
      <c r="B90">
        <v>3</v>
      </c>
      <c r="D90" s="167"/>
      <c r="E90" s="166"/>
      <c r="F90" s="167"/>
      <c r="G90" s="165"/>
      <c r="H90" s="165"/>
      <c r="I90" s="167">
        <v>3</v>
      </c>
      <c r="J90" s="165"/>
    </row>
    <row r="91" spans="1:10">
      <c r="A91">
        <v>89</v>
      </c>
      <c r="B91">
        <v>3</v>
      </c>
      <c r="D91" s="167"/>
      <c r="E91" s="166"/>
      <c r="F91" s="167"/>
      <c r="G91" s="165"/>
      <c r="H91" s="165"/>
      <c r="I91" s="165"/>
      <c r="J91" s="167">
        <v>4</v>
      </c>
    </row>
    <row r="92" spans="1:10">
      <c r="A92">
        <v>90</v>
      </c>
      <c r="B92">
        <v>3</v>
      </c>
      <c r="D92" s="167"/>
      <c r="E92" s="166"/>
      <c r="F92" s="165"/>
      <c r="G92" s="167">
        <v>2</v>
      </c>
      <c r="H92" s="167">
        <v>1</v>
      </c>
      <c r="I92" s="165"/>
      <c r="J92" s="165"/>
    </row>
    <row r="93" spans="1:10">
      <c r="A93">
        <v>91</v>
      </c>
      <c r="B93">
        <v>3</v>
      </c>
      <c r="D93" s="167"/>
      <c r="E93" s="166"/>
      <c r="F93" s="165"/>
      <c r="G93" s="167"/>
      <c r="H93" s="165"/>
      <c r="I93" s="167">
        <v>2</v>
      </c>
      <c r="J93" s="165"/>
    </row>
    <row r="94" spans="1:10">
      <c r="A94">
        <v>92</v>
      </c>
      <c r="B94">
        <v>3</v>
      </c>
      <c r="D94" s="167"/>
      <c r="E94" s="166"/>
      <c r="F94" s="165"/>
      <c r="G94" s="167"/>
      <c r="H94" s="165"/>
      <c r="I94" s="165"/>
      <c r="J94" s="167">
        <v>3</v>
      </c>
    </row>
    <row r="95" spans="1:10">
      <c r="A95">
        <v>93</v>
      </c>
      <c r="B95">
        <v>3</v>
      </c>
      <c r="D95" s="167"/>
      <c r="E95" s="166"/>
      <c r="F95" s="165"/>
      <c r="G95" s="165"/>
      <c r="H95" s="167">
        <v>3</v>
      </c>
      <c r="I95" s="167">
        <v>1</v>
      </c>
      <c r="J95" s="165"/>
    </row>
    <row r="96" spans="1:10">
      <c r="A96">
        <v>94</v>
      </c>
      <c r="B96">
        <v>3</v>
      </c>
      <c r="D96" s="167"/>
      <c r="E96" s="166"/>
      <c r="F96" s="165"/>
      <c r="G96" s="165"/>
      <c r="H96" s="167"/>
      <c r="I96" s="165"/>
      <c r="J96" s="167">
        <v>2</v>
      </c>
    </row>
    <row r="97" spans="1:10">
      <c r="A97">
        <v>95</v>
      </c>
      <c r="B97">
        <v>3</v>
      </c>
      <c r="D97" s="167"/>
      <c r="E97" s="166"/>
      <c r="I97" s="167">
        <v>4</v>
      </c>
      <c r="J97" s="167"/>
    </row>
    <row r="98" spans="1:10">
      <c r="A98">
        <v>96</v>
      </c>
      <c r="B98">
        <v>3</v>
      </c>
      <c r="E98" s="166"/>
      <c r="F98" s="167">
        <v>3</v>
      </c>
      <c r="G98" s="167">
        <v>1</v>
      </c>
      <c r="H98" s="167">
        <v>1</v>
      </c>
    </row>
    <row r="99" spans="1:10">
      <c r="A99">
        <v>97</v>
      </c>
      <c r="B99">
        <v>3</v>
      </c>
      <c r="E99" s="166"/>
      <c r="F99" s="167"/>
      <c r="G99" s="167"/>
      <c r="I99" s="167">
        <v>2</v>
      </c>
    </row>
    <row r="100" spans="1:10">
      <c r="A100">
        <v>98</v>
      </c>
      <c r="B100">
        <v>3</v>
      </c>
      <c r="E100" s="166"/>
      <c r="F100" s="167"/>
      <c r="G100" s="167"/>
      <c r="J100" s="167">
        <v>3</v>
      </c>
    </row>
    <row r="101" spans="1:10">
      <c r="A101">
        <v>99</v>
      </c>
      <c r="B101">
        <v>3</v>
      </c>
      <c r="E101" s="166"/>
      <c r="F101" s="167"/>
      <c r="H101" s="167">
        <v>2</v>
      </c>
      <c r="I101" s="167">
        <v>1</v>
      </c>
    </row>
    <row r="102" spans="1:10">
      <c r="A102">
        <v>100</v>
      </c>
      <c r="B102">
        <v>3</v>
      </c>
      <c r="E102" s="166"/>
      <c r="F102" s="167"/>
      <c r="H102" s="167"/>
      <c r="J102" s="167">
        <v>2</v>
      </c>
    </row>
    <row r="103" spans="1:10">
      <c r="A103">
        <v>101</v>
      </c>
      <c r="B103">
        <v>3</v>
      </c>
      <c r="E103" s="166"/>
      <c r="F103" s="167"/>
      <c r="I103" s="167">
        <v>3</v>
      </c>
      <c r="J103" s="167">
        <v>1</v>
      </c>
    </row>
    <row r="104" spans="1:10">
      <c r="A104">
        <v>102</v>
      </c>
      <c r="B104">
        <v>3</v>
      </c>
      <c r="E104" s="166"/>
      <c r="G104" s="167">
        <v>4</v>
      </c>
      <c r="H104" s="167">
        <v>1</v>
      </c>
      <c r="I104" s="167">
        <v>1</v>
      </c>
    </row>
    <row r="105" spans="1:10">
      <c r="A105">
        <v>103</v>
      </c>
      <c r="B105">
        <v>3</v>
      </c>
      <c r="E105" s="166"/>
      <c r="G105" s="167"/>
      <c r="H105" s="167"/>
      <c r="J105" s="167">
        <v>2</v>
      </c>
    </row>
    <row r="106" spans="1:10">
      <c r="A106">
        <v>104</v>
      </c>
      <c r="B106">
        <v>3</v>
      </c>
      <c r="E106" s="166"/>
      <c r="G106" s="167"/>
      <c r="I106" s="167">
        <v>2</v>
      </c>
      <c r="J106" s="167">
        <v>1</v>
      </c>
    </row>
    <row r="107" spans="1:10">
      <c r="A107">
        <v>105</v>
      </c>
      <c r="B107">
        <v>3</v>
      </c>
      <c r="E107" s="166"/>
      <c r="H107" s="167">
        <v>5</v>
      </c>
      <c r="I107" s="167">
        <v>1</v>
      </c>
      <c r="J107" s="167">
        <v>1</v>
      </c>
    </row>
    <row r="108" spans="1:10">
      <c r="A108">
        <v>106</v>
      </c>
      <c r="B108">
        <v>4</v>
      </c>
      <c r="C108" s="167">
        <v>1</v>
      </c>
      <c r="D108" s="167"/>
      <c r="E108" s="167"/>
      <c r="F108" s="166"/>
      <c r="G108" s="165"/>
      <c r="H108" s="165"/>
      <c r="I108" s="165"/>
      <c r="J108" s="165"/>
    </row>
    <row r="109" spans="1:10">
      <c r="A109">
        <v>107</v>
      </c>
      <c r="B109">
        <v>4</v>
      </c>
      <c r="C109" s="167"/>
      <c r="D109" s="167"/>
      <c r="E109" s="165"/>
      <c r="F109" s="166"/>
      <c r="G109" s="167"/>
      <c r="H109" s="165"/>
      <c r="I109" s="165"/>
      <c r="J109" s="165"/>
    </row>
    <row r="110" spans="1:10">
      <c r="A110">
        <v>108</v>
      </c>
      <c r="B110">
        <v>4</v>
      </c>
      <c r="C110" s="167"/>
      <c r="D110" s="167"/>
      <c r="E110" s="165"/>
      <c r="F110" s="166"/>
      <c r="G110" s="165"/>
      <c r="H110" s="167"/>
      <c r="I110" s="165"/>
      <c r="J110" s="165"/>
    </row>
    <row r="111" spans="1:10">
      <c r="A111">
        <v>109</v>
      </c>
      <c r="B111">
        <v>4</v>
      </c>
      <c r="C111" s="167"/>
      <c r="D111" s="167"/>
      <c r="E111" s="165"/>
      <c r="F111" s="166"/>
      <c r="G111" s="165"/>
      <c r="H111" s="165"/>
      <c r="I111" s="167"/>
      <c r="J111" s="165"/>
    </row>
    <row r="112" spans="1:10">
      <c r="A112">
        <v>110</v>
      </c>
      <c r="B112">
        <v>4</v>
      </c>
      <c r="C112" s="167"/>
      <c r="D112" s="167"/>
      <c r="E112" s="165"/>
      <c r="F112" s="166"/>
      <c r="G112" s="165"/>
      <c r="H112" s="165"/>
      <c r="I112" s="165"/>
      <c r="J112" s="167"/>
    </row>
    <row r="113" spans="1:10">
      <c r="A113">
        <v>111</v>
      </c>
      <c r="B113">
        <v>4</v>
      </c>
      <c r="C113" s="167"/>
      <c r="D113" s="165"/>
      <c r="E113" s="167"/>
      <c r="F113" s="166"/>
      <c r="G113" s="167"/>
      <c r="H113" s="165"/>
      <c r="I113" s="165"/>
      <c r="J113" s="165"/>
    </row>
    <row r="114" spans="1:10">
      <c r="A114">
        <v>112</v>
      </c>
      <c r="B114">
        <v>4</v>
      </c>
      <c r="C114" s="167"/>
      <c r="D114" s="165"/>
      <c r="E114" s="167"/>
      <c r="F114" s="166"/>
      <c r="G114" s="165"/>
      <c r="H114" s="167"/>
      <c r="I114" s="165"/>
      <c r="J114" s="165"/>
    </row>
    <row r="115" spans="1:10">
      <c r="A115">
        <v>113</v>
      </c>
      <c r="B115">
        <v>4</v>
      </c>
      <c r="C115" s="167"/>
      <c r="D115" s="165"/>
      <c r="E115" s="167"/>
      <c r="F115" s="166"/>
      <c r="G115" s="165"/>
      <c r="H115" s="165"/>
      <c r="I115" s="167"/>
      <c r="J115" s="165"/>
    </row>
    <row r="116" spans="1:10">
      <c r="A116">
        <v>114</v>
      </c>
      <c r="B116">
        <v>4</v>
      </c>
      <c r="C116" s="167"/>
      <c r="D116" s="165"/>
      <c r="E116" s="167"/>
      <c r="F116" s="166"/>
      <c r="G116" s="165"/>
      <c r="H116" s="165"/>
      <c r="I116" s="165"/>
      <c r="J116" s="167"/>
    </row>
    <row r="117" spans="1:10">
      <c r="A117">
        <v>115</v>
      </c>
      <c r="B117">
        <v>4</v>
      </c>
      <c r="C117" s="167"/>
      <c r="D117" s="165"/>
      <c r="E117" s="165"/>
      <c r="F117" s="166"/>
      <c r="G117" s="167"/>
      <c r="H117" s="167"/>
      <c r="I117" s="165"/>
      <c r="J117" s="165"/>
    </row>
    <row r="118" spans="1:10">
      <c r="A118">
        <v>116</v>
      </c>
      <c r="B118">
        <v>4</v>
      </c>
      <c r="C118" s="167"/>
      <c r="D118" s="165"/>
      <c r="E118" s="165"/>
      <c r="F118" s="166"/>
      <c r="G118" s="167"/>
      <c r="H118" s="165"/>
      <c r="I118" s="167"/>
      <c r="J118" s="165"/>
    </row>
    <row r="119" spans="1:10">
      <c r="A119">
        <v>117</v>
      </c>
      <c r="B119">
        <v>4</v>
      </c>
      <c r="C119" s="167"/>
      <c r="D119" s="165"/>
      <c r="E119" s="165"/>
      <c r="F119" s="166"/>
      <c r="G119" s="167"/>
      <c r="H119" s="165"/>
      <c r="I119" s="165"/>
      <c r="J119" s="167"/>
    </row>
    <row r="120" spans="1:10">
      <c r="A120">
        <v>118</v>
      </c>
      <c r="B120">
        <v>4</v>
      </c>
      <c r="C120" s="167"/>
      <c r="D120" s="165"/>
      <c r="E120" s="165"/>
      <c r="F120" s="166"/>
      <c r="G120" s="165"/>
      <c r="H120" s="167"/>
      <c r="I120" s="167"/>
      <c r="J120" s="165"/>
    </row>
    <row r="121" spans="1:10">
      <c r="A121">
        <v>119</v>
      </c>
      <c r="B121">
        <v>4</v>
      </c>
      <c r="C121" s="167"/>
      <c r="D121" s="165"/>
      <c r="E121" s="165"/>
      <c r="F121" s="166"/>
      <c r="G121" s="165"/>
      <c r="H121" s="167"/>
      <c r="I121" s="165"/>
      <c r="J121" s="167"/>
    </row>
    <row r="122" spans="1:10">
      <c r="A122">
        <v>120</v>
      </c>
      <c r="B122">
        <v>4</v>
      </c>
      <c r="C122" s="167"/>
      <c r="D122" s="165"/>
      <c r="E122" s="165"/>
      <c r="F122" s="166"/>
      <c r="G122" s="165"/>
      <c r="H122" s="165"/>
      <c r="I122" s="167"/>
      <c r="J122" s="167"/>
    </row>
    <row r="123" spans="1:10">
      <c r="A123">
        <v>121</v>
      </c>
      <c r="B123">
        <v>5</v>
      </c>
      <c r="D123" s="167">
        <v>2</v>
      </c>
      <c r="E123" s="167"/>
      <c r="F123" s="166"/>
      <c r="G123" s="167"/>
      <c r="H123" s="165"/>
      <c r="I123" s="165"/>
      <c r="J123" s="165"/>
    </row>
    <row r="124" spans="1:10">
      <c r="A124">
        <v>122</v>
      </c>
      <c r="B124">
        <v>5</v>
      </c>
      <c r="D124" s="167"/>
      <c r="E124" s="167"/>
      <c r="F124" s="166"/>
      <c r="G124" s="165"/>
      <c r="H124" s="167"/>
      <c r="I124" s="165"/>
      <c r="J124" s="165"/>
    </row>
    <row r="125" spans="1:10">
      <c r="A125">
        <v>123</v>
      </c>
      <c r="B125">
        <v>5</v>
      </c>
      <c r="D125" s="167"/>
      <c r="E125" s="167"/>
      <c r="F125" s="166"/>
      <c r="G125" s="165"/>
      <c r="H125" s="165"/>
      <c r="I125" s="167"/>
      <c r="J125" s="165"/>
    </row>
    <row r="126" spans="1:10">
      <c r="A126">
        <v>124</v>
      </c>
      <c r="B126">
        <v>5</v>
      </c>
      <c r="D126" s="167"/>
      <c r="E126" s="167"/>
      <c r="F126" s="166"/>
      <c r="G126" s="165"/>
      <c r="H126" s="165"/>
      <c r="I126" s="165"/>
      <c r="J126" s="167"/>
    </row>
    <row r="127" spans="1:10">
      <c r="A127">
        <v>125</v>
      </c>
      <c r="B127">
        <v>5</v>
      </c>
      <c r="D127" s="167"/>
      <c r="E127" s="165"/>
      <c r="F127" s="166"/>
      <c r="G127" s="167"/>
      <c r="H127" s="167"/>
      <c r="I127" s="165"/>
      <c r="J127" s="165"/>
    </row>
    <row r="128" spans="1:10">
      <c r="A128">
        <v>126</v>
      </c>
      <c r="B128">
        <v>5</v>
      </c>
      <c r="D128" s="167"/>
      <c r="E128" s="165"/>
      <c r="F128" s="166"/>
      <c r="G128" s="167"/>
      <c r="H128" s="165"/>
      <c r="I128" s="167"/>
      <c r="J128" s="165"/>
    </row>
    <row r="129" spans="1:10">
      <c r="A129">
        <v>127</v>
      </c>
      <c r="B129">
        <v>5</v>
      </c>
      <c r="D129" s="167"/>
      <c r="E129" s="165"/>
      <c r="F129" s="166"/>
      <c r="G129" s="167"/>
      <c r="H129" s="165"/>
      <c r="I129" s="165"/>
      <c r="J129" s="167"/>
    </row>
    <row r="130" spans="1:10">
      <c r="A130">
        <v>128</v>
      </c>
      <c r="B130">
        <v>5</v>
      </c>
      <c r="D130" s="167"/>
      <c r="E130" s="165"/>
      <c r="F130" s="166"/>
      <c r="G130" s="165"/>
      <c r="H130" s="167"/>
      <c r="I130" s="167"/>
      <c r="J130" s="165"/>
    </row>
    <row r="131" spans="1:10">
      <c r="A131">
        <v>129</v>
      </c>
      <c r="B131">
        <v>5</v>
      </c>
      <c r="D131" s="167"/>
      <c r="E131" s="165"/>
      <c r="F131" s="166"/>
      <c r="G131" s="165"/>
      <c r="H131" s="167"/>
      <c r="I131" s="165"/>
      <c r="J131" s="167"/>
    </row>
    <row r="132" spans="1:10">
      <c r="A132">
        <v>130</v>
      </c>
      <c r="B132">
        <v>5</v>
      </c>
      <c r="D132" s="167"/>
      <c r="F132" s="166"/>
      <c r="I132" s="167"/>
      <c r="J132" s="167"/>
    </row>
    <row r="133" spans="1:10">
      <c r="A133">
        <v>131</v>
      </c>
      <c r="B133">
        <v>5</v>
      </c>
      <c r="E133" s="167">
        <v>3</v>
      </c>
      <c r="F133" s="166"/>
      <c r="G133" s="167"/>
      <c r="H133" s="167"/>
    </row>
    <row r="134" spans="1:10">
      <c r="A134">
        <v>132</v>
      </c>
      <c r="B134">
        <v>5</v>
      </c>
      <c r="E134" s="167"/>
      <c r="F134" s="166"/>
      <c r="G134" s="167"/>
      <c r="I134" s="167"/>
    </row>
    <row r="135" spans="1:10">
      <c r="A135">
        <v>133</v>
      </c>
      <c r="B135">
        <v>5</v>
      </c>
      <c r="E135" s="167"/>
      <c r="F135" s="166"/>
      <c r="G135" s="167"/>
      <c r="J135" s="167"/>
    </row>
    <row r="136" spans="1:10">
      <c r="A136">
        <v>134</v>
      </c>
      <c r="B136">
        <v>5</v>
      </c>
      <c r="E136" s="167"/>
      <c r="F136" s="166"/>
      <c r="H136" s="167"/>
      <c r="I136" s="167"/>
    </row>
    <row r="137" spans="1:10">
      <c r="A137">
        <v>135</v>
      </c>
      <c r="B137">
        <v>5</v>
      </c>
      <c r="E137" s="167"/>
      <c r="F137" s="166"/>
      <c r="H137" s="167"/>
      <c r="J137" s="167"/>
    </row>
    <row r="138" spans="1:10">
      <c r="A138">
        <v>136</v>
      </c>
      <c r="B138">
        <v>5</v>
      </c>
      <c r="E138" s="167"/>
      <c r="F138" s="166"/>
      <c r="I138" s="167"/>
      <c r="J138" s="167"/>
    </row>
    <row r="139" spans="1:10">
      <c r="A139">
        <v>137</v>
      </c>
      <c r="B139">
        <v>5</v>
      </c>
      <c r="F139" s="166"/>
      <c r="G139" s="167">
        <v>4</v>
      </c>
      <c r="H139" s="167"/>
      <c r="I139" s="167"/>
    </row>
    <row r="140" spans="1:10">
      <c r="A140">
        <v>138</v>
      </c>
      <c r="B140">
        <v>5</v>
      </c>
      <c r="F140" s="166"/>
      <c r="G140" s="167"/>
      <c r="H140" s="167"/>
      <c r="J140" s="167"/>
    </row>
    <row r="141" spans="1:10">
      <c r="A141">
        <v>139</v>
      </c>
      <c r="B141">
        <v>5</v>
      </c>
      <c r="F141" s="166"/>
      <c r="G141" s="167"/>
      <c r="I141" s="167"/>
      <c r="J141" s="167"/>
    </row>
    <row r="142" spans="1:10">
      <c r="A142">
        <v>140</v>
      </c>
      <c r="B142">
        <v>5</v>
      </c>
      <c r="F142" s="166"/>
      <c r="H142" s="167">
        <v>5</v>
      </c>
      <c r="I142" s="167">
        <v>1</v>
      </c>
      <c r="J142" s="167">
        <v>1</v>
      </c>
    </row>
    <row r="143" spans="1:10">
      <c r="A143">
        <v>141</v>
      </c>
      <c r="B143">
        <v>6</v>
      </c>
      <c r="C143" s="167"/>
      <c r="D143" s="167"/>
      <c r="E143" s="167"/>
      <c r="F143" s="165"/>
      <c r="G143" s="166"/>
      <c r="H143" s="165"/>
      <c r="I143" s="165"/>
      <c r="J143" s="165"/>
    </row>
    <row r="144" spans="1:10">
      <c r="A144">
        <v>142</v>
      </c>
      <c r="B144">
        <v>6</v>
      </c>
      <c r="C144" s="167"/>
      <c r="D144" s="167"/>
      <c r="E144" s="165"/>
      <c r="F144" s="167"/>
      <c r="G144" s="166"/>
      <c r="H144" s="165"/>
      <c r="I144" s="165"/>
      <c r="J144" s="165"/>
    </row>
    <row r="145" spans="1:10">
      <c r="A145">
        <v>143</v>
      </c>
      <c r="B145">
        <v>6</v>
      </c>
      <c r="C145" s="167"/>
      <c r="D145" s="167"/>
      <c r="E145" s="165"/>
      <c r="F145" s="165"/>
      <c r="G145" s="166"/>
      <c r="H145" s="167"/>
      <c r="I145" s="165"/>
      <c r="J145" s="165"/>
    </row>
    <row r="146" spans="1:10">
      <c r="A146">
        <v>144</v>
      </c>
      <c r="B146">
        <v>6</v>
      </c>
      <c r="C146" s="167"/>
      <c r="D146" s="167"/>
      <c r="E146" s="165"/>
      <c r="F146" s="165"/>
      <c r="G146" s="166"/>
      <c r="H146" s="165"/>
      <c r="I146" s="167"/>
      <c r="J146" s="165"/>
    </row>
    <row r="147" spans="1:10">
      <c r="A147">
        <v>145</v>
      </c>
      <c r="B147">
        <v>6</v>
      </c>
      <c r="C147" s="167"/>
      <c r="D147" s="167"/>
      <c r="E147" s="165"/>
      <c r="F147" s="165"/>
      <c r="G147" s="166"/>
      <c r="H147" s="165"/>
      <c r="I147" s="165"/>
      <c r="J147" s="167"/>
    </row>
    <row r="148" spans="1:10">
      <c r="A148">
        <v>146</v>
      </c>
      <c r="B148">
        <v>6</v>
      </c>
      <c r="C148" s="167"/>
      <c r="D148" s="165"/>
      <c r="E148" s="167"/>
      <c r="F148" s="167"/>
      <c r="G148" s="166"/>
      <c r="H148" s="165"/>
      <c r="I148" s="165"/>
      <c r="J148" s="165"/>
    </row>
    <row r="149" spans="1:10">
      <c r="A149">
        <v>147</v>
      </c>
      <c r="B149">
        <v>6</v>
      </c>
      <c r="C149" s="167"/>
      <c r="D149" s="165"/>
      <c r="E149" s="167"/>
      <c r="F149" s="165"/>
      <c r="G149" s="166"/>
      <c r="H149" s="167"/>
      <c r="I149" s="165"/>
      <c r="J149" s="165"/>
    </row>
    <row r="150" spans="1:10">
      <c r="A150">
        <v>148</v>
      </c>
      <c r="B150">
        <v>6</v>
      </c>
      <c r="C150" s="167"/>
      <c r="D150" s="165"/>
      <c r="E150" s="167"/>
      <c r="F150" s="165"/>
      <c r="G150" s="166"/>
      <c r="H150" s="165"/>
      <c r="I150" s="167"/>
      <c r="J150" s="165"/>
    </row>
    <row r="151" spans="1:10">
      <c r="A151">
        <v>149</v>
      </c>
      <c r="B151">
        <v>6</v>
      </c>
      <c r="C151" s="167"/>
      <c r="D151" s="165"/>
      <c r="E151" s="167"/>
      <c r="F151" s="165"/>
      <c r="G151" s="166"/>
      <c r="H151" s="165"/>
      <c r="I151" s="165"/>
      <c r="J151" s="167"/>
    </row>
    <row r="152" spans="1:10">
      <c r="A152">
        <v>150</v>
      </c>
      <c r="B152">
        <v>6</v>
      </c>
      <c r="C152" s="167"/>
      <c r="D152" s="165"/>
      <c r="E152" s="165"/>
      <c r="F152" s="167"/>
      <c r="G152" s="166"/>
      <c r="H152" s="167"/>
      <c r="I152" s="165"/>
      <c r="J152" s="165"/>
    </row>
    <row r="153" spans="1:10">
      <c r="A153">
        <v>151</v>
      </c>
      <c r="B153">
        <v>6</v>
      </c>
      <c r="C153" s="167"/>
      <c r="D153" s="165"/>
      <c r="E153" s="165"/>
      <c r="F153" s="167"/>
      <c r="G153" s="166"/>
      <c r="H153" s="165"/>
      <c r="I153" s="167"/>
      <c r="J153" s="165"/>
    </row>
    <row r="154" spans="1:10">
      <c r="A154">
        <v>152</v>
      </c>
      <c r="B154">
        <v>6</v>
      </c>
      <c r="C154" s="167"/>
      <c r="D154" s="165"/>
      <c r="E154" s="165"/>
      <c r="F154" s="167"/>
      <c r="G154" s="166"/>
      <c r="H154" s="165"/>
      <c r="I154" s="165"/>
      <c r="J154" s="167"/>
    </row>
    <row r="155" spans="1:10">
      <c r="A155">
        <v>153</v>
      </c>
      <c r="B155">
        <v>6</v>
      </c>
      <c r="C155" s="167"/>
      <c r="D155" s="165"/>
      <c r="E155" s="165"/>
      <c r="F155" s="165"/>
      <c r="G155" s="166"/>
      <c r="H155" s="167"/>
      <c r="I155" s="167"/>
      <c r="J155" s="165"/>
    </row>
    <row r="156" spans="1:10">
      <c r="A156">
        <v>154</v>
      </c>
      <c r="B156">
        <v>6</v>
      </c>
      <c r="C156" s="167"/>
      <c r="D156" s="165"/>
      <c r="E156" s="165"/>
      <c r="F156" s="165"/>
      <c r="G156" s="166"/>
      <c r="H156" s="167"/>
      <c r="I156" s="165"/>
      <c r="J156" s="167"/>
    </row>
    <row r="157" spans="1:10">
      <c r="A157">
        <v>155</v>
      </c>
      <c r="B157">
        <v>6</v>
      </c>
      <c r="C157" s="167"/>
      <c r="D157" s="165"/>
      <c r="E157" s="165"/>
      <c r="F157" s="165"/>
      <c r="G157" s="166"/>
      <c r="H157" s="165"/>
      <c r="I157" s="167"/>
      <c r="J157" s="167"/>
    </row>
    <row r="158" spans="1:10">
      <c r="A158">
        <v>156</v>
      </c>
      <c r="B158">
        <v>6</v>
      </c>
      <c r="D158" s="167"/>
      <c r="E158" s="167"/>
      <c r="F158" s="167"/>
      <c r="G158" s="166"/>
      <c r="H158" s="165"/>
      <c r="I158" s="165"/>
      <c r="J158" s="165"/>
    </row>
    <row r="159" spans="1:10">
      <c r="A159">
        <v>157</v>
      </c>
      <c r="B159">
        <v>6</v>
      </c>
      <c r="D159" s="167"/>
      <c r="E159" s="167"/>
      <c r="F159" s="165"/>
      <c r="G159" s="166"/>
      <c r="H159" s="167"/>
      <c r="I159" s="165"/>
      <c r="J159" s="165"/>
    </row>
    <row r="160" spans="1:10">
      <c r="A160">
        <v>158</v>
      </c>
      <c r="B160">
        <v>6</v>
      </c>
      <c r="D160" s="167"/>
      <c r="E160" s="167"/>
      <c r="F160" s="165"/>
      <c r="G160" s="166"/>
      <c r="H160" s="165"/>
      <c r="I160" s="167"/>
      <c r="J160" s="165"/>
    </row>
    <row r="161" spans="1:10">
      <c r="A161">
        <v>159</v>
      </c>
      <c r="B161">
        <v>6</v>
      </c>
      <c r="D161" s="167"/>
      <c r="E161" s="167"/>
      <c r="F161" s="165"/>
      <c r="G161" s="166"/>
      <c r="H161" s="165"/>
      <c r="I161" s="165"/>
      <c r="J161" s="167"/>
    </row>
    <row r="162" spans="1:10">
      <c r="A162">
        <v>160</v>
      </c>
      <c r="B162">
        <v>6</v>
      </c>
      <c r="D162" s="167"/>
      <c r="E162" s="165"/>
      <c r="F162" s="167"/>
      <c r="G162" s="166"/>
      <c r="H162" s="167"/>
      <c r="I162" s="165"/>
      <c r="J162" s="165"/>
    </row>
    <row r="163" spans="1:10">
      <c r="A163">
        <v>161</v>
      </c>
      <c r="B163">
        <v>6</v>
      </c>
      <c r="D163" s="167"/>
      <c r="E163" s="165"/>
      <c r="F163" s="167"/>
      <c r="G163" s="166"/>
      <c r="H163" s="165"/>
      <c r="I163" s="167"/>
      <c r="J163" s="165"/>
    </row>
    <row r="164" spans="1:10">
      <c r="A164">
        <v>162</v>
      </c>
      <c r="B164">
        <v>6</v>
      </c>
      <c r="D164" s="167"/>
      <c r="E164" s="165"/>
      <c r="F164" s="167"/>
      <c r="G164" s="166"/>
      <c r="H164" s="165"/>
      <c r="I164" s="165"/>
      <c r="J164" s="167"/>
    </row>
    <row r="165" spans="1:10">
      <c r="A165">
        <v>163</v>
      </c>
      <c r="B165">
        <v>6</v>
      </c>
      <c r="D165" s="167"/>
      <c r="E165" s="165"/>
      <c r="F165" s="165"/>
      <c r="G165" s="166"/>
      <c r="H165" s="167"/>
      <c r="I165" s="167"/>
      <c r="J165" s="165"/>
    </row>
    <row r="166" spans="1:10">
      <c r="A166">
        <v>164</v>
      </c>
      <c r="B166">
        <v>6</v>
      </c>
      <c r="D166" s="167"/>
      <c r="E166" s="165"/>
      <c r="F166" s="165"/>
      <c r="G166" s="166"/>
      <c r="H166" s="167"/>
      <c r="I166" s="165"/>
      <c r="J166" s="167"/>
    </row>
    <row r="167" spans="1:10">
      <c r="A167">
        <v>165</v>
      </c>
      <c r="B167">
        <v>6</v>
      </c>
      <c r="D167" s="167"/>
      <c r="G167" s="166"/>
      <c r="I167" s="167"/>
      <c r="J167" s="167"/>
    </row>
    <row r="168" spans="1:10">
      <c r="A168">
        <v>166</v>
      </c>
      <c r="B168">
        <v>6</v>
      </c>
      <c r="E168" s="167"/>
      <c r="F168" s="167"/>
      <c r="G168" s="166"/>
      <c r="H168" s="167"/>
    </row>
    <row r="169" spans="1:10">
      <c r="A169">
        <v>167</v>
      </c>
      <c r="B169">
        <v>6</v>
      </c>
      <c r="E169" s="167"/>
      <c r="F169" s="167"/>
      <c r="G169" s="166"/>
      <c r="I169" s="167"/>
    </row>
    <row r="170" spans="1:10">
      <c r="A170">
        <v>168</v>
      </c>
      <c r="B170">
        <v>6</v>
      </c>
      <c r="E170" s="167"/>
      <c r="F170" s="167"/>
      <c r="G170" s="166"/>
      <c r="J170" s="167"/>
    </row>
    <row r="171" spans="1:10">
      <c r="A171">
        <v>169</v>
      </c>
      <c r="B171">
        <v>6</v>
      </c>
      <c r="E171" s="167"/>
      <c r="G171" s="166"/>
      <c r="H171" s="167"/>
      <c r="I171" s="167"/>
    </row>
    <row r="172" spans="1:10">
      <c r="A172">
        <v>170</v>
      </c>
      <c r="B172">
        <v>6</v>
      </c>
      <c r="E172" s="167"/>
      <c r="G172" s="166"/>
      <c r="H172" s="167"/>
      <c r="J172" s="167"/>
    </row>
    <row r="173" spans="1:10">
      <c r="A173">
        <v>171</v>
      </c>
      <c r="B173">
        <v>6</v>
      </c>
      <c r="E173" s="167"/>
      <c r="G173" s="166"/>
      <c r="I173" s="167"/>
      <c r="J173" s="167"/>
    </row>
    <row r="174" spans="1:10">
      <c r="A174">
        <v>172</v>
      </c>
      <c r="B174">
        <v>6</v>
      </c>
      <c r="F174" s="167"/>
      <c r="G174" s="166"/>
      <c r="H174" s="167"/>
      <c r="I174" s="167"/>
    </row>
    <row r="175" spans="1:10">
      <c r="A175">
        <v>173</v>
      </c>
      <c r="B175">
        <v>6</v>
      </c>
      <c r="F175" s="167"/>
      <c r="G175" s="166"/>
      <c r="H175" s="167"/>
      <c r="J175" s="167"/>
    </row>
    <row r="176" spans="1:10">
      <c r="A176">
        <v>174</v>
      </c>
      <c r="B176">
        <v>6</v>
      </c>
      <c r="F176" s="167"/>
      <c r="G176" s="166"/>
      <c r="I176" s="167"/>
      <c r="J176" s="167"/>
    </row>
    <row r="177" spans="1:10">
      <c r="A177">
        <v>175</v>
      </c>
      <c r="B177">
        <v>6</v>
      </c>
      <c r="G177" s="166"/>
      <c r="H177" s="167"/>
      <c r="I177" s="167"/>
      <c r="J177" s="167"/>
    </row>
    <row r="178" spans="1:10">
      <c r="A178">
        <v>176</v>
      </c>
      <c r="B178">
        <v>7</v>
      </c>
      <c r="C178" s="167"/>
      <c r="D178" s="167"/>
      <c r="E178" s="167"/>
      <c r="F178" s="165"/>
      <c r="H178" s="166"/>
      <c r="I178" s="165"/>
      <c r="J178" s="165"/>
    </row>
    <row r="179" spans="1:10">
      <c r="A179">
        <v>177</v>
      </c>
      <c r="B179">
        <v>7</v>
      </c>
      <c r="C179" s="167"/>
      <c r="D179" s="167"/>
      <c r="E179" s="165"/>
      <c r="F179" s="167"/>
      <c r="H179" s="166"/>
      <c r="I179" s="165"/>
      <c r="J179" s="165"/>
    </row>
    <row r="180" spans="1:10">
      <c r="A180">
        <v>178</v>
      </c>
      <c r="B180">
        <v>7</v>
      </c>
      <c r="C180" s="167"/>
      <c r="D180" s="167"/>
      <c r="E180" s="165"/>
      <c r="F180" s="165"/>
      <c r="G180" s="167"/>
      <c r="H180" s="166"/>
      <c r="I180" s="165"/>
      <c r="J180" s="165"/>
    </row>
    <row r="181" spans="1:10">
      <c r="A181">
        <v>179</v>
      </c>
      <c r="B181">
        <v>7</v>
      </c>
      <c r="C181" s="167"/>
      <c r="D181" s="167"/>
      <c r="E181" s="165"/>
      <c r="F181" s="165"/>
      <c r="G181" s="165"/>
      <c r="H181" s="166"/>
      <c r="I181" s="167"/>
      <c r="J181" s="165"/>
    </row>
    <row r="182" spans="1:10">
      <c r="A182">
        <v>180</v>
      </c>
      <c r="B182">
        <v>7</v>
      </c>
      <c r="C182" s="167"/>
      <c r="D182" s="167"/>
      <c r="E182" s="165"/>
      <c r="F182" s="165"/>
      <c r="G182" s="165"/>
      <c r="H182" s="166"/>
      <c r="I182" s="165"/>
      <c r="J182" s="167"/>
    </row>
    <row r="183" spans="1:10">
      <c r="A183">
        <v>181</v>
      </c>
      <c r="B183">
        <v>7</v>
      </c>
      <c r="C183" s="167"/>
      <c r="D183" s="165"/>
      <c r="E183" s="167"/>
      <c r="F183" s="167"/>
      <c r="G183" s="165"/>
      <c r="H183" s="166"/>
      <c r="I183" s="165"/>
      <c r="J183" s="165"/>
    </row>
    <row r="184" spans="1:10">
      <c r="A184">
        <v>182</v>
      </c>
      <c r="B184">
        <v>7</v>
      </c>
      <c r="C184" s="167"/>
      <c r="D184" s="165"/>
      <c r="E184" s="167"/>
      <c r="F184" s="165"/>
      <c r="G184" s="167"/>
      <c r="H184" s="166"/>
      <c r="I184" s="165"/>
      <c r="J184" s="165"/>
    </row>
    <row r="185" spans="1:10">
      <c r="A185">
        <v>183</v>
      </c>
      <c r="B185">
        <v>7</v>
      </c>
      <c r="C185" s="167"/>
      <c r="D185" s="165"/>
      <c r="E185" s="167"/>
      <c r="F185" s="165"/>
      <c r="G185" s="165"/>
      <c r="H185" s="166"/>
      <c r="I185" s="167"/>
      <c r="J185" s="165"/>
    </row>
    <row r="186" spans="1:10">
      <c r="A186">
        <v>184</v>
      </c>
      <c r="B186">
        <v>7</v>
      </c>
      <c r="C186" s="167"/>
      <c r="D186" s="165"/>
      <c r="E186" s="167"/>
      <c r="F186" s="165"/>
      <c r="G186" s="165"/>
      <c r="H186" s="166"/>
      <c r="I186" s="165"/>
      <c r="J186" s="167"/>
    </row>
    <row r="187" spans="1:10">
      <c r="A187">
        <v>185</v>
      </c>
      <c r="B187">
        <v>7</v>
      </c>
      <c r="C187" s="167"/>
      <c r="D187" s="165"/>
      <c r="E187" s="165"/>
      <c r="F187" s="167"/>
      <c r="G187" s="167"/>
      <c r="H187" s="166"/>
      <c r="I187" s="165"/>
      <c r="J187" s="165"/>
    </row>
    <row r="188" spans="1:10">
      <c r="A188">
        <v>186</v>
      </c>
      <c r="B188">
        <v>7</v>
      </c>
      <c r="C188" s="167"/>
      <c r="D188" s="165"/>
      <c r="E188" s="165"/>
      <c r="F188" s="167"/>
      <c r="G188" s="165"/>
      <c r="H188" s="166"/>
      <c r="I188" s="167"/>
      <c r="J188" s="165"/>
    </row>
    <row r="189" spans="1:10">
      <c r="A189">
        <v>187</v>
      </c>
      <c r="B189">
        <v>7</v>
      </c>
      <c r="C189" s="167"/>
      <c r="D189" s="165"/>
      <c r="E189" s="165"/>
      <c r="F189" s="167"/>
      <c r="G189" s="165"/>
      <c r="H189" s="166"/>
      <c r="I189" s="165"/>
      <c r="J189" s="167"/>
    </row>
    <row r="190" spans="1:10">
      <c r="A190">
        <v>188</v>
      </c>
      <c r="B190">
        <v>7</v>
      </c>
      <c r="C190" s="167"/>
      <c r="D190" s="165"/>
      <c r="E190" s="165"/>
      <c r="F190" s="165"/>
      <c r="G190" s="167"/>
      <c r="H190" s="166"/>
      <c r="I190" s="167"/>
      <c r="J190" s="165"/>
    </row>
    <row r="191" spans="1:10">
      <c r="A191">
        <v>189</v>
      </c>
      <c r="B191">
        <v>7</v>
      </c>
      <c r="C191" s="167"/>
      <c r="D191" s="165"/>
      <c r="E191" s="165"/>
      <c r="F191" s="165"/>
      <c r="G191" s="167"/>
      <c r="H191" s="166"/>
      <c r="I191" s="165"/>
      <c r="J191" s="167"/>
    </row>
    <row r="192" spans="1:10">
      <c r="A192">
        <v>190</v>
      </c>
      <c r="B192">
        <v>7</v>
      </c>
      <c r="C192" s="167"/>
      <c r="D192" s="165"/>
      <c r="E192" s="165"/>
      <c r="F192" s="165"/>
      <c r="G192" s="165"/>
      <c r="H192" s="166"/>
      <c r="I192" s="167"/>
      <c r="J192" s="167"/>
    </row>
    <row r="193" spans="1:10">
      <c r="A193">
        <v>191</v>
      </c>
      <c r="B193">
        <v>7</v>
      </c>
      <c r="D193" s="167"/>
      <c r="E193" s="167"/>
      <c r="F193" s="167"/>
      <c r="G193" s="165"/>
      <c r="H193" s="166"/>
      <c r="I193" s="165"/>
      <c r="J193" s="165"/>
    </row>
    <row r="194" spans="1:10">
      <c r="A194">
        <v>192</v>
      </c>
      <c r="B194">
        <v>7</v>
      </c>
      <c r="D194" s="167"/>
      <c r="E194" s="167"/>
      <c r="F194" s="165"/>
      <c r="G194" s="167"/>
      <c r="H194" s="166"/>
      <c r="I194" s="165"/>
      <c r="J194" s="165"/>
    </row>
    <row r="195" spans="1:10">
      <c r="A195">
        <v>193</v>
      </c>
      <c r="B195">
        <v>7</v>
      </c>
      <c r="D195" s="167"/>
      <c r="E195" s="167"/>
      <c r="F195" s="165"/>
      <c r="G195" s="165"/>
      <c r="H195" s="166"/>
      <c r="I195" s="167"/>
      <c r="J195" s="165"/>
    </row>
    <row r="196" spans="1:10">
      <c r="A196">
        <v>194</v>
      </c>
      <c r="B196">
        <v>7</v>
      </c>
      <c r="D196" s="167"/>
      <c r="E196" s="167"/>
      <c r="F196" s="165"/>
      <c r="G196" s="165"/>
      <c r="H196" s="166"/>
      <c r="I196" s="165"/>
      <c r="J196" s="167"/>
    </row>
    <row r="197" spans="1:10">
      <c r="A197">
        <v>195</v>
      </c>
      <c r="B197">
        <v>7</v>
      </c>
      <c r="D197" s="167"/>
      <c r="E197" s="165"/>
      <c r="F197" s="167"/>
      <c r="G197" s="167"/>
      <c r="H197" s="166"/>
      <c r="I197" s="165"/>
      <c r="J197" s="165"/>
    </row>
    <row r="198" spans="1:10">
      <c r="A198">
        <v>196</v>
      </c>
      <c r="B198">
        <v>7</v>
      </c>
      <c r="D198" s="167"/>
      <c r="E198" s="165"/>
      <c r="F198" s="167"/>
      <c r="G198" s="165"/>
      <c r="H198" s="166"/>
      <c r="I198" s="167"/>
      <c r="J198" s="165"/>
    </row>
    <row r="199" spans="1:10">
      <c r="A199">
        <v>197</v>
      </c>
      <c r="B199">
        <v>7</v>
      </c>
      <c r="D199" s="167"/>
      <c r="E199" s="165"/>
      <c r="F199" s="167"/>
      <c r="G199" s="165"/>
      <c r="H199" s="166"/>
      <c r="I199" s="165"/>
      <c r="J199" s="167"/>
    </row>
    <row r="200" spans="1:10">
      <c r="A200">
        <v>198</v>
      </c>
      <c r="B200">
        <v>7</v>
      </c>
      <c r="D200" s="167"/>
      <c r="E200" s="165"/>
      <c r="F200" s="165"/>
      <c r="G200" s="167"/>
      <c r="H200" s="166"/>
      <c r="I200" s="167"/>
      <c r="J200" s="165"/>
    </row>
    <row r="201" spans="1:10">
      <c r="A201">
        <v>199</v>
      </c>
      <c r="B201">
        <v>7</v>
      </c>
      <c r="D201" s="167"/>
      <c r="E201" s="165"/>
      <c r="F201" s="165"/>
      <c r="G201" s="167"/>
      <c r="H201" s="166"/>
      <c r="I201" s="165"/>
      <c r="J201" s="167"/>
    </row>
    <row r="202" spans="1:10">
      <c r="A202">
        <v>200</v>
      </c>
      <c r="B202">
        <v>7</v>
      </c>
      <c r="D202" s="167"/>
      <c r="H202" s="166"/>
      <c r="I202" s="167"/>
      <c r="J202" s="167"/>
    </row>
    <row r="203" spans="1:10">
      <c r="A203">
        <v>201</v>
      </c>
      <c r="B203">
        <v>7</v>
      </c>
      <c r="E203" s="167"/>
      <c r="F203" s="167"/>
      <c r="G203" s="167"/>
      <c r="H203" s="166"/>
    </row>
    <row r="204" spans="1:10">
      <c r="A204">
        <v>202</v>
      </c>
      <c r="B204">
        <v>7</v>
      </c>
      <c r="E204" s="167"/>
      <c r="F204" s="167"/>
      <c r="H204" s="166"/>
      <c r="I204" s="167"/>
    </row>
    <row r="205" spans="1:10">
      <c r="A205">
        <v>203</v>
      </c>
      <c r="B205">
        <v>7</v>
      </c>
      <c r="E205" s="167"/>
      <c r="F205" s="167"/>
      <c r="H205" s="166"/>
      <c r="J205" s="167"/>
    </row>
    <row r="206" spans="1:10">
      <c r="A206">
        <v>204</v>
      </c>
      <c r="B206">
        <v>7</v>
      </c>
      <c r="E206" s="167"/>
      <c r="G206" s="167"/>
      <c r="H206" s="166"/>
      <c r="I206" s="167"/>
    </row>
    <row r="207" spans="1:10">
      <c r="A207">
        <v>205</v>
      </c>
      <c r="B207">
        <v>7</v>
      </c>
      <c r="E207" s="167"/>
      <c r="G207" s="167"/>
      <c r="H207" s="166"/>
      <c r="J207" s="167"/>
    </row>
    <row r="208" spans="1:10">
      <c r="A208">
        <v>206</v>
      </c>
      <c r="B208">
        <v>7</v>
      </c>
      <c r="E208" s="167"/>
      <c r="H208" s="166"/>
      <c r="I208" s="167"/>
      <c r="J208" s="167"/>
    </row>
    <row r="209" spans="1:10">
      <c r="A209">
        <v>207</v>
      </c>
      <c r="B209">
        <v>7</v>
      </c>
      <c r="F209" s="167"/>
      <c r="G209" s="167"/>
      <c r="H209" s="166"/>
      <c r="I209" s="167"/>
    </row>
    <row r="210" spans="1:10">
      <c r="A210">
        <v>208</v>
      </c>
      <c r="B210">
        <v>7</v>
      </c>
      <c r="F210" s="167"/>
      <c r="G210" s="167"/>
      <c r="H210" s="166"/>
      <c r="J210" s="167"/>
    </row>
    <row r="211" spans="1:10">
      <c r="A211">
        <v>209</v>
      </c>
      <c r="B211">
        <v>7</v>
      </c>
      <c r="F211" s="167"/>
      <c r="H211" s="166"/>
      <c r="I211" s="167"/>
      <c r="J211" s="167"/>
    </row>
    <row r="212" spans="1:10">
      <c r="A212">
        <v>210</v>
      </c>
      <c r="B212">
        <v>7</v>
      </c>
      <c r="G212" s="167"/>
      <c r="H212" s="166"/>
      <c r="I212" s="167"/>
      <c r="J212" s="167"/>
    </row>
    <row r="213" spans="1:10">
      <c r="A213">
        <v>211</v>
      </c>
      <c r="B213">
        <v>8</v>
      </c>
      <c r="C213" s="167"/>
      <c r="D213" s="167"/>
      <c r="E213" s="167"/>
      <c r="F213" s="165"/>
      <c r="I213" s="166"/>
      <c r="J213" s="165"/>
    </row>
    <row r="214" spans="1:10">
      <c r="A214">
        <v>212</v>
      </c>
      <c r="B214">
        <v>8</v>
      </c>
      <c r="C214" s="167"/>
      <c r="D214" s="167"/>
      <c r="E214" s="165"/>
      <c r="F214" s="167"/>
      <c r="I214" s="166"/>
      <c r="J214" s="165"/>
    </row>
    <row r="215" spans="1:10">
      <c r="A215">
        <v>213</v>
      </c>
      <c r="B215">
        <v>8</v>
      </c>
      <c r="C215" s="167"/>
      <c r="D215" s="167"/>
      <c r="E215" s="165"/>
      <c r="F215" s="165"/>
      <c r="G215" s="167"/>
      <c r="I215" s="166"/>
      <c r="J215" s="165"/>
    </row>
    <row r="216" spans="1:10">
      <c r="A216">
        <v>214</v>
      </c>
      <c r="B216">
        <v>8</v>
      </c>
      <c r="C216" s="167"/>
      <c r="D216" s="167"/>
      <c r="E216" s="165"/>
      <c r="F216" s="165"/>
      <c r="G216" s="165"/>
      <c r="H216" s="167"/>
      <c r="I216" s="166"/>
      <c r="J216" s="165"/>
    </row>
    <row r="217" spans="1:10">
      <c r="A217">
        <v>215</v>
      </c>
      <c r="B217">
        <v>8</v>
      </c>
      <c r="C217" s="167"/>
      <c r="D217" s="167"/>
      <c r="E217" s="165"/>
      <c r="F217" s="165"/>
      <c r="G217" s="165"/>
      <c r="H217" s="165"/>
      <c r="I217" s="166"/>
      <c r="J217" s="167"/>
    </row>
    <row r="218" spans="1:10">
      <c r="A218">
        <v>216</v>
      </c>
      <c r="B218">
        <v>8</v>
      </c>
      <c r="C218" s="167"/>
      <c r="D218" s="165"/>
      <c r="E218" s="167"/>
      <c r="F218" s="167"/>
      <c r="G218" s="165"/>
      <c r="H218" s="165"/>
      <c r="I218" s="166"/>
      <c r="J218" s="165"/>
    </row>
    <row r="219" spans="1:10">
      <c r="A219">
        <v>217</v>
      </c>
      <c r="B219">
        <v>8</v>
      </c>
      <c r="C219" s="167"/>
      <c r="D219" s="165"/>
      <c r="E219" s="167"/>
      <c r="F219" s="165"/>
      <c r="G219" s="167"/>
      <c r="H219" s="165"/>
      <c r="I219" s="166"/>
      <c r="J219" s="165"/>
    </row>
    <row r="220" spans="1:10">
      <c r="A220">
        <v>218</v>
      </c>
      <c r="B220">
        <v>8</v>
      </c>
      <c r="C220" s="167"/>
      <c r="D220" s="165"/>
      <c r="E220" s="167"/>
      <c r="F220" s="165"/>
      <c r="G220" s="165"/>
      <c r="H220" s="167"/>
      <c r="I220" s="166"/>
      <c r="J220" s="165"/>
    </row>
    <row r="221" spans="1:10">
      <c r="A221">
        <v>219</v>
      </c>
      <c r="B221">
        <v>8</v>
      </c>
      <c r="C221" s="167"/>
      <c r="D221" s="165"/>
      <c r="E221" s="167"/>
      <c r="F221" s="165"/>
      <c r="G221" s="165"/>
      <c r="H221" s="165"/>
      <c r="I221" s="166"/>
      <c r="J221" s="167"/>
    </row>
    <row r="222" spans="1:10">
      <c r="A222">
        <v>220</v>
      </c>
      <c r="B222">
        <v>8</v>
      </c>
      <c r="C222" s="167"/>
      <c r="D222" s="165"/>
      <c r="E222" s="165"/>
      <c r="F222" s="167"/>
      <c r="G222" s="167"/>
      <c r="H222" s="165"/>
      <c r="I222" s="166"/>
      <c r="J222" s="165"/>
    </row>
    <row r="223" spans="1:10">
      <c r="A223">
        <v>221</v>
      </c>
      <c r="B223">
        <v>8</v>
      </c>
      <c r="C223" s="167"/>
      <c r="D223" s="165"/>
      <c r="E223" s="165"/>
      <c r="F223" s="167"/>
      <c r="G223" s="165"/>
      <c r="H223" s="167"/>
      <c r="I223" s="166"/>
      <c r="J223" s="165"/>
    </row>
    <row r="224" spans="1:10">
      <c r="A224">
        <v>222</v>
      </c>
      <c r="B224">
        <v>8</v>
      </c>
      <c r="C224" s="167"/>
      <c r="D224" s="165"/>
      <c r="E224" s="165"/>
      <c r="F224" s="167"/>
      <c r="G224" s="165"/>
      <c r="H224" s="165"/>
      <c r="I224" s="166"/>
      <c r="J224" s="167"/>
    </row>
    <row r="225" spans="1:10">
      <c r="A225">
        <v>223</v>
      </c>
      <c r="B225">
        <v>8</v>
      </c>
      <c r="C225" s="167"/>
      <c r="D225" s="165"/>
      <c r="E225" s="165"/>
      <c r="F225" s="165"/>
      <c r="G225" s="167"/>
      <c r="H225" s="167"/>
      <c r="I225" s="166"/>
      <c r="J225" s="165"/>
    </row>
    <row r="226" spans="1:10">
      <c r="A226">
        <v>224</v>
      </c>
      <c r="B226">
        <v>8</v>
      </c>
      <c r="C226" s="167"/>
      <c r="D226" s="165"/>
      <c r="E226" s="165"/>
      <c r="F226" s="165"/>
      <c r="G226" s="167"/>
      <c r="H226" s="165"/>
      <c r="I226" s="166"/>
      <c r="J226" s="167"/>
    </row>
    <row r="227" spans="1:10">
      <c r="A227">
        <v>225</v>
      </c>
      <c r="B227">
        <v>8</v>
      </c>
      <c r="C227" s="167"/>
      <c r="D227" s="165"/>
      <c r="E227" s="165"/>
      <c r="F227" s="165"/>
      <c r="G227" s="165"/>
      <c r="H227" s="167"/>
      <c r="I227" s="166"/>
      <c r="J227" s="167"/>
    </row>
    <row r="228" spans="1:10">
      <c r="A228">
        <v>226</v>
      </c>
      <c r="B228">
        <v>8</v>
      </c>
      <c r="D228" s="167"/>
      <c r="E228" s="167"/>
      <c r="F228" s="167"/>
      <c r="G228" s="165"/>
      <c r="H228" s="165"/>
      <c r="I228" s="166"/>
      <c r="J228" s="165"/>
    </row>
    <row r="229" spans="1:10">
      <c r="A229">
        <v>227</v>
      </c>
      <c r="B229">
        <v>8</v>
      </c>
      <c r="D229" s="167"/>
      <c r="E229" s="167"/>
      <c r="F229" s="165"/>
      <c r="G229" s="167"/>
      <c r="H229" s="165"/>
      <c r="I229" s="166"/>
      <c r="J229" s="165"/>
    </row>
    <row r="230" spans="1:10">
      <c r="A230">
        <v>228</v>
      </c>
      <c r="B230">
        <v>8</v>
      </c>
      <c r="D230" s="167"/>
      <c r="E230" s="167"/>
      <c r="F230" s="165"/>
      <c r="G230" s="165"/>
      <c r="H230" s="167"/>
      <c r="I230" s="166"/>
      <c r="J230" s="165"/>
    </row>
    <row r="231" spans="1:10">
      <c r="A231">
        <v>229</v>
      </c>
      <c r="B231">
        <v>8</v>
      </c>
      <c r="D231" s="167"/>
      <c r="E231" s="167"/>
      <c r="F231" s="165"/>
      <c r="G231" s="165"/>
      <c r="H231" s="165"/>
      <c r="I231" s="166"/>
      <c r="J231" s="167"/>
    </row>
    <row r="232" spans="1:10">
      <c r="A232">
        <v>230</v>
      </c>
      <c r="B232">
        <v>8</v>
      </c>
      <c r="D232" s="167"/>
      <c r="E232" s="165"/>
      <c r="F232" s="167"/>
      <c r="G232" s="167"/>
      <c r="H232" s="165"/>
      <c r="I232" s="166"/>
      <c r="J232" s="165"/>
    </row>
    <row r="233" spans="1:10">
      <c r="A233">
        <v>231</v>
      </c>
      <c r="B233">
        <v>8</v>
      </c>
      <c r="D233" s="167"/>
      <c r="E233" s="165"/>
      <c r="F233" s="167"/>
      <c r="G233" s="165"/>
      <c r="H233" s="167"/>
      <c r="I233" s="166"/>
      <c r="J233" s="165"/>
    </row>
    <row r="234" spans="1:10">
      <c r="A234">
        <v>232</v>
      </c>
      <c r="B234">
        <v>8</v>
      </c>
      <c r="D234" s="167"/>
      <c r="E234" s="165"/>
      <c r="F234" s="167"/>
      <c r="G234" s="165"/>
      <c r="H234" s="165"/>
      <c r="I234" s="166"/>
      <c r="J234" s="167"/>
    </row>
    <row r="235" spans="1:10">
      <c r="A235">
        <v>233</v>
      </c>
      <c r="B235">
        <v>8</v>
      </c>
      <c r="D235" s="167"/>
      <c r="E235" s="165"/>
      <c r="F235" s="165"/>
      <c r="G235" s="167"/>
      <c r="H235" s="167"/>
      <c r="I235" s="166"/>
      <c r="J235" s="165"/>
    </row>
    <row r="236" spans="1:10">
      <c r="A236">
        <v>234</v>
      </c>
      <c r="B236">
        <v>8</v>
      </c>
      <c r="D236" s="167"/>
      <c r="E236" s="165"/>
      <c r="F236" s="165"/>
      <c r="G236" s="167"/>
      <c r="H236" s="165"/>
      <c r="I236" s="166"/>
      <c r="J236" s="167"/>
    </row>
    <row r="237" spans="1:10">
      <c r="A237">
        <v>235</v>
      </c>
      <c r="B237">
        <v>8</v>
      </c>
      <c r="D237" s="167"/>
      <c r="H237" s="167"/>
      <c r="I237" s="166"/>
      <c r="J237" s="167"/>
    </row>
    <row r="238" spans="1:10">
      <c r="A238">
        <v>236</v>
      </c>
      <c r="B238">
        <v>8</v>
      </c>
      <c r="E238" s="167"/>
      <c r="F238" s="167"/>
      <c r="G238" s="167"/>
      <c r="I238" s="166"/>
    </row>
    <row r="239" spans="1:10">
      <c r="A239">
        <v>237</v>
      </c>
      <c r="B239">
        <v>8</v>
      </c>
      <c r="E239" s="167"/>
      <c r="F239" s="167"/>
      <c r="H239" s="167"/>
      <c r="I239" s="166"/>
    </row>
    <row r="240" spans="1:10">
      <c r="A240">
        <v>238</v>
      </c>
      <c r="B240">
        <v>8</v>
      </c>
      <c r="E240" s="167"/>
      <c r="F240" s="167"/>
      <c r="I240" s="166"/>
      <c r="J240" s="167"/>
    </row>
    <row r="241" spans="1:10">
      <c r="A241">
        <v>239</v>
      </c>
      <c r="B241">
        <v>8</v>
      </c>
      <c r="E241" s="167"/>
      <c r="G241" s="167"/>
      <c r="H241" s="167"/>
      <c r="I241" s="166"/>
    </row>
    <row r="242" spans="1:10">
      <c r="A242">
        <v>240</v>
      </c>
      <c r="B242">
        <v>8</v>
      </c>
      <c r="E242" s="167"/>
      <c r="G242" s="167"/>
      <c r="I242" s="166"/>
      <c r="J242" s="167"/>
    </row>
    <row r="243" spans="1:10">
      <c r="A243">
        <v>241</v>
      </c>
      <c r="B243">
        <v>8</v>
      </c>
      <c r="E243" s="167"/>
      <c r="H243" s="167"/>
      <c r="I243" s="166"/>
      <c r="J243" s="167"/>
    </row>
    <row r="244" spans="1:10">
      <c r="A244">
        <v>242</v>
      </c>
      <c r="B244">
        <v>8</v>
      </c>
      <c r="F244" s="167"/>
      <c r="G244" s="167"/>
      <c r="H244" s="167"/>
      <c r="I244" s="166"/>
    </row>
    <row r="245" spans="1:10">
      <c r="A245">
        <v>243</v>
      </c>
      <c r="B245">
        <v>8</v>
      </c>
      <c r="F245" s="167"/>
      <c r="G245" s="167"/>
      <c r="I245" s="166"/>
      <c r="J245" s="167"/>
    </row>
    <row r="246" spans="1:10">
      <c r="A246">
        <v>244</v>
      </c>
      <c r="B246">
        <v>8</v>
      </c>
      <c r="F246" s="167"/>
      <c r="H246" s="167"/>
      <c r="I246" s="166"/>
      <c r="J246" s="167"/>
    </row>
    <row r="247" spans="1:10">
      <c r="A247">
        <v>245</v>
      </c>
      <c r="B247">
        <v>8</v>
      </c>
      <c r="G247" s="167"/>
      <c r="H247" s="167"/>
      <c r="I247" s="166"/>
      <c r="J247" s="167"/>
    </row>
    <row r="248" spans="1:10">
      <c r="A248">
        <v>246</v>
      </c>
      <c r="B248">
        <v>8</v>
      </c>
      <c r="C248" s="167">
        <v>1</v>
      </c>
      <c r="D248" s="167">
        <v>1</v>
      </c>
      <c r="E248" s="167">
        <v>1</v>
      </c>
      <c r="F248" s="165"/>
      <c r="I248" s="165"/>
      <c r="J248" s="166"/>
    </row>
    <row r="249" spans="1:10">
      <c r="A249">
        <v>247</v>
      </c>
      <c r="B249">
        <v>8</v>
      </c>
      <c r="C249" s="167"/>
      <c r="D249" s="167"/>
      <c r="E249" s="165"/>
      <c r="F249" s="167">
        <v>2</v>
      </c>
      <c r="I249" s="165"/>
      <c r="J249" s="166"/>
    </row>
    <row r="250" spans="1:10">
      <c r="A250">
        <v>248</v>
      </c>
      <c r="B250">
        <v>8</v>
      </c>
      <c r="C250" s="167"/>
      <c r="D250" s="167"/>
      <c r="E250" s="165"/>
      <c r="F250" s="165"/>
      <c r="G250" s="167">
        <v>3</v>
      </c>
      <c r="I250" s="165"/>
      <c r="J250" s="166"/>
    </row>
    <row r="251" spans="1:10">
      <c r="A251">
        <v>249</v>
      </c>
      <c r="B251">
        <v>8</v>
      </c>
      <c r="C251" s="167"/>
      <c r="D251" s="167"/>
      <c r="E251" s="165"/>
      <c r="F251" s="165"/>
      <c r="G251" s="165"/>
      <c r="H251" s="167">
        <v>4</v>
      </c>
      <c r="I251" s="165"/>
      <c r="J251" s="166"/>
    </row>
    <row r="252" spans="1:10">
      <c r="A252">
        <v>250</v>
      </c>
      <c r="B252">
        <v>8</v>
      </c>
      <c r="C252" s="167"/>
      <c r="D252" s="167"/>
      <c r="E252" s="165"/>
      <c r="F252" s="165"/>
      <c r="G252" s="165"/>
      <c r="H252" s="165"/>
      <c r="I252" s="167">
        <v>5</v>
      </c>
      <c r="J252" s="166"/>
    </row>
    <row r="253" spans="1:10">
      <c r="A253">
        <v>251</v>
      </c>
      <c r="B253">
        <v>8</v>
      </c>
      <c r="C253" s="167"/>
      <c r="D253" s="165"/>
      <c r="E253" s="167">
        <v>2</v>
      </c>
      <c r="F253" s="167">
        <v>1</v>
      </c>
      <c r="G253" s="165"/>
      <c r="H253" s="165"/>
      <c r="I253" s="165"/>
      <c r="J253" s="166"/>
    </row>
    <row r="254" spans="1:10">
      <c r="A254">
        <v>252</v>
      </c>
      <c r="B254">
        <v>8</v>
      </c>
      <c r="C254" s="167"/>
      <c r="D254" s="165"/>
      <c r="E254" s="167"/>
      <c r="F254" s="165"/>
      <c r="G254" s="167">
        <v>2</v>
      </c>
      <c r="H254" s="165"/>
      <c r="I254" s="165"/>
      <c r="J254" s="166"/>
    </row>
    <row r="255" spans="1:10">
      <c r="A255">
        <v>253</v>
      </c>
      <c r="B255">
        <v>8</v>
      </c>
      <c r="C255" s="167"/>
      <c r="D255" s="165"/>
      <c r="E255" s="167"/>
      <c r="F255" s="165"/>
      <c r="G255" s="165"/>
      <c r="H255" s="167">
        <v>3</v>
      </c>
      <c r="I255" s="165"/>
      <c r="J255" s="166"/>
    </row>
    <row r="256" spans="1:10">
      <c r="A256">
        <v>254</v>
      </c>
      <c r="B256">
        <v>8</v>
      </c>
      <c r="C256" s="167"/>
      <c r="D256" s="165"/>
      <c r="E256" s="167"/>
      <c r="F256" s="165"/>
      <c r="G256" s="165"/>
      <c r="H256" s="165"/>
      <c r="I256" s="167">
        <v>4</v>
      </c>
      <c r="J256" s="166"/>
    </row>
    <row r="257" spans="1:10">
      <c r="A257">
        <v>255</v>
      </c>
      <c r="B257">
        <v>8</v>
      </c>
      <c r="C257" s="167"/>
      <c r="D257" s="165"/>
      <c r="E257" s="165"/>
      <c r="F257" s="167">
        <v>3</v>
      </c>
      <c r="G257" s="167">
        <v>1</v>
      </c>
      <c r="H257" s="165"/>
      <c r="I257" s="165"/>
      <c r="J257" s="166"/>
    </row>
    <row r="258" spans="1:10">
      <c r="A258">
        <v>256</v>
      </c>
      <c r="B258">
        <v>8</v>
      </c>
      <c r="C258" s="167"/>
      <c r="D258" s="165"/>
      <c r="E258" s="165"/>
      <c r="F258" s="167"/>
      <c r="G258" s="165"/>
      <c r="H258" s="167">
        <v>2</v>
      </c>
      <c r="I258" s="165"/>
      <c r="J258" s="166"/>
    </row>
    <row r="259" spans="1:10">
      <c r="A259">
        <v>257</v>
      </c>
      <c r="B259">
        <v>8</v>
      </c>
      <c r="C259" s="167"/>
      <c r="D259" s="165"/>
      <c r="E259" s="165"/>
      <c r="F259" s="167"/>
      <c r="G259" s="165"/>
      <c r="H259" s="165"/>
      <c r="I259" s="167">
        <v>3</v>
      </c>
      <c r="J259" s="166"/>
    </row>
    <row r="260" spans="1:10">
      <c r="A260">
        <v>258</v>
      </c>
      <c r="B260">
        <v>8</v>
      </c>
      <c r="C260" s="167"/>
      <c r="D260" s="165"/>
      <c r="E260" s="165"/>
      <c r="F260" s="165"/>
      <c r="G260" s="167">
        <v>4</v>
      </c>
      <c r="H260" s="167">
        <v>1</v>
      </c>
      <c r="I260" s="165"/>
      <c r="J260" s="166"/>
    </row>
    <row r="261" spans="1:10">
      <c r="A261">
        <v>259</v>
      </c>
      <c r="B261">
        <v>8</v>
      </c>
      <c r="C261" s="167"/>
      <c r="D261" s="165"/>
      <c r="E261" s="165"/>
      <c r="F261" s="165"/>
      <c r="G261" s="167"/>
      <c r="H261" s="165"/>
      <c r="I261" s="167">
        <v>2</v>
      </c>
      <c r="J261" s="166"/>
    </row>
    <row r="262" spans="1:10">
      <c r="A262">
        <v>260</v>
      </c>
      <c r="B262">
        <v>8</v>
      </c>
      <c r="C262" s="167"/>
      <c r="D262" s="165"/>
      <c r="E262" s="165"/>
      <c r="F262" s="165"/>
      <c r="G262" s="165"/>
      <c r="H262" s="167">
        <v>5</v>
      </c>
      <c r="I262" s="167">
        <v>1</v>
      </c>
      <c r="J262" s="166"/>
    </row>
    <row r="263" spans="1:10">
      <c r="A263">
        <v>261</v>
      </c>
      <c r="B263">
        <v>8</v>
      </c>
      <c r="D263" s="167">
        <v>2</v>
      </c>
      <c r="E263" s="167"/>
      <c r="F263" s="167"/>
      <c r="G263" s="165"/>
      <c r="H263" s="165"/>
      <c r="I263" s="165"/>
      <c r="J263" s="166"/>
    </row>
    <row r="264" spans="1:10">
      <c r="A264">
        <v>262</v>
      </c>
      <c r="B264">
        <v>8</v>
      </c>
      <c r="D264" s="167"/>
      <c r="E264" s="167"/>
      <c r="F264" s="165"/>
      <c r="G264" s="167"/>
      <c r="H264" s="165"/>
      <c r="I264" s="165"/>
      <c r="J264" s="166"/>
    </row>
    <row r="265" spans="1:10">
      <c r="A265">
        <v>263</v>
      </c>
      <c r="B265">
        <v>8</v>
      </c>
      <c r="D265" s="167"/>
      <c r="E265" s="167"/>
      <c r="F265" s="165"/>
      <c r="G265" s="165"/>
      <c r="H265" s="167"/>
      <c r="I265" s="165"/>
      <c r="J265" s="166"/>
    </row>
    <row r="266" spans="1:10">
      <c r="A266">
        <v>264</v>
      </c>
      <c r="B266">
        <v>8</v>
      </c>
      <c r="D266" s="167"/>
      <c r="E266" s="167"/>
      <c r="F266" s="165"/>
      <c r="G266" s="165"/>
      <c r="H266" s="165"/>
      <c r="I266" s="167"/>
      <c r="J266" s="166"/>
    </row>
    <row r="267" spans="1:10">
      <c r="A267">
        <v>265</v>
      </c>
      <c r="B267">
        <v>8</v>
      </c>
      <c r="D267" s="167"/>
      <c r="E267" s="165"/>
      <c r="F267" s="167"/>
      <c r="G267" s="167"/>
      <c r="H267" s="165"/>
      <c r="I267" s="165"/>
      <c r="J267" s="166"/>
    </row>
    <row r="268" spans="1:10">
      <c r="A268">
        <v>266</v>
      </c>
      <c r="B268">
        <v>8</v>
      </c>
      <c r="D268" s="167"/>
      <c r="E268" s="165"/>
      <c r="F268" s="167"/>
      <c r="G268" s="165"/>
      <c r="H268" s="167"/>
      <c r="I268" s="165"/>
      <c r="J268" s="166"/>
    </row>
    <row r="269" spans="1:10">
      <c r="A269">
        <v>267</v>
      </c>
      <c r="B269">
        <v>8</v>
      </c>
      <c r="D269" s="167"/>
      <c r="E269" s="165"/>
      <c r="F269" s="167"/>
      <c r="G269" s="165"/>
      <c r="H269" s="165"/>
      <c r="I269" s="167"/>
      <c r="J269" s="166"/>
    </row>
    <row r="270" spans="1:10">
      <c r="A270">
        <v>268</v>
      </c>
      <c r="B270">
        <v>8</v>
      </c>
      <c r="D270" s="167"/>
      <c r="E270" s="165"/>
      <c r="F270" s="165"/>
      <c r="G270" s="167"/>
      <c r="H270" s="167"/>
      <c r="I270" s="165"/>
      <c r="J270" s="166"/>
    </row>
    <row r="271" spans="1:10">
      <c r="A271">
        <v>269</v>
      </c>
      <c r="B271">
        <v>8</v>
      </c>
      <c r="D271" s="167"/>
      <c r="E271" s="165"/>
      <c r="F271" s="165"/>
      <c r="G271" s="167"/>
      <c r="H271" s="165"/>
      <c r="I271" s="167"/>
      <c r="J271" s="166"/>
    </row>
    <row r="272" spans="1:10">
      <c r="A272">
        <v>270</v>
      </c>
      <c r="B272">
        <v>8</v>
      </c>
      <c r="D272" s="167"/>
      <c r="H272" s="167"/>
      <c r="I272" s="167"/>
      <c r="J272" s="166"/>
    </row>
    <row r="273" spans="1:10">
      <c r="A273">
        <v>271</v>
      </c>
      <c r="B273">
        <v>8</v>
      </c>
      <c r="E273" s="167">
        <v>3</v>
      </c>
      <c r="F273" s="167"/>
      <c r="G273" s="167"/>
      <c r="J273" s="166"/>
    </row>
    <row r="274" spans="1:10">
      <c r="A274">
        <v>272</v>
      </c>
      <c r="B274">
        <v>8</v>
      </c>
      <c r="E274" s="167"/>
      <c r="F274" s="167"/>
      <c r="H274" s="167"/>
      <c r="J274" s="166"/>
    </row>
    <row r="275" spans="1:10">
      <c r="A275">
        <v>273</v>
      </c>
      <c r="B275">
        <v>8</v>
      </c>
      <c r="E275" s="167"/>
      <c r="F275" s="167"/>
      <c r="I275" s="167"/>
      <c r="J275" s="166"/>
    </row>
    <row r="276" spans="1:10">
      <c r="A276">
        <v>274</v>
      </c>
      <c r="B276">
        <v>8</v>
      </c>
      <c r="E276" s="167"/>
      <c r="G276" s="167"/>
      <c r="H276" s="167"/>
      <c r="J276" s="166"/>
    </row>
    <row r="277" spans="1:10">
      <c r="A277">
        <v>275</v>
      </c>
      <c r="B277">
        <v>8</v>
      </c>
      <c r="E277" s="167"/>
      <c r="G277" s="167"/>
      <c r="I277" s="167"/>
      <c r="J277" s="166"/>
    </row>
    <row r="278" spans="1:10">
      <c r="A278">
        <v>276</v>
      </c>
      <c r="B278">
        <v>8</v>
      </c>
      <c r="E278" s="167"/>
      <c r="H278" s="167"/>
      <c r="I278" s="167"/>
      <c r="J278" s="166"/>
    </row>
    <row r="279" spans="1:10">
      <c r="A279">
        <v>277</v>
      </c>
      <c r="B279">
        <v>8</v>
      </c>
      <c r="F279" s="167">
        <v>4</v>
      </c>
      <c r="G279" s="167"/>
      <c r="H279" s="167"/>
      <c r="J279" s="166"/>
    </row>
    <row r="280" spans="1:10">
      <c r="A280">
        <v>278</v>
      </c>
      <c r="B280">
        <v>8</v>
      </c>
      <c r="F280" s="167"/>
      <c r="G280" s="167"/>
      <c r="I280" s="167"/>
      <c r="J280" s="166"/>
    </row>
    <row r="281" spans="1:10">
      <c r="A281">
        <v>279</v>
      </c>
      <c r="B281">
        <v>8</v>
      </c>
      <c r="F281" s="167"/>
      <c r="H281" s="167"/>
      <c r="I281" s="167"/>
      <c r="J281" s="166"/>
    </row>
    <row r="282" spans="1:10">
      <c r="A282">
        <v>280</v>
      </c>
      <c r="B282">
        <v>8</v>
      </c>
      <c r="G282" s="167">
        <v>5</v>
      </c>
      <c r="H282" s="167"/>
      <c r="I282" s="167"/>
      <c r="J282" s="166"/>
    </row>
  </sheetData>
  <pageMargins left="0.7" right="0.7" top="0.78740157499999996" bottom="0.78740157499999996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Tabelle9"/>
  <dimension ref="A2:V1130"/>
  <sheetViews>
    <sheetView tabSelected="1" topLeftCell="A12" workbookViewId="0">
      <selection activeCell="N13" sqref="N13:V47"/>
    </sheetView>
  </sheetViews>
  <sheetFormatPr baseColWidth="10" defaultRowHeight="15"/>
  <sheetData>
    <row r="2" spans="1:22">
      <c r="C2" t="s">
        <v>56</v>
      </c>
      <c r="D2" t="s">
        <v>57</v>
      </c>
      <c r="E2" t="s">
        <v>58</v>
      </c>
    </row>
    <row r="3" spans="1:22">
      <c r="B3">
        <v>0</v>
      </c>
      <c r="C3" s="35">
        <v>0.47920829337661575</v>
      </c>
      <c r="D3" s="35">
        <v>-1.0120183213662168</v>
      </c>
      <c r="E3" s="35">
        <v>0.60667574649490386</v>
      </c>
    </row>
    <row r="4" spans="1:22">
      <c r="B4">
        <v>1</v>
      </c>
      <c r="C4" s="83">
        <v>-0.77466733619029227</v>
      </c>
      <c r="D4" s="83">
        <v>-1.0446104874939868</v>
      </c>
      <c r="E4" s="83">
        <v>1.3460223603321362</v>
      </c>
    </row>
    <row r="5" spans="1:22">
      <c r="B5">
        <v>2</v>
      </c>
      <c r="C5" s="35">
        <v>1.5211206823878374</v>
      </c>
      <c r="D5" s="35">
        <v>-1.0528368537974293</v>
      </c>
      <c r="E5" s="35">
        <v>1.3791595783414641</v>
      </c>
    </row>
    <row r="6" spans="1:22">
      <c r="B6">
        <v>3</v>
      </c>
      <c r="C6" s="35">
        <v>-0.92363888275861272</v>
      </c>
      <c r="D6" s="35">
        <v>-0.1973528620206508</v>
      </c>
      <c r="E6" s="35">
        <v>1.3262629215252844</v>
      </c>
    </row>
    <row r="7" spans="1:22">
      <c r="B7">
        <v>4</v>
      </c>
      <c r="C7" s="35">
        <v>1.921310887304841</v>
      </c>
      <c r="D7" s="35">
        <v>3.1169393503572059E-2</v>
      </c>
      <c r="E7" s="35">
        <v>1.396000084565695</v>
      </c>
    </row>
    <row r="8" spans="1:22">
      <c r="B8">
        <v>5</v>
      </c>
      <c r="C8" s="35">
        <v>-0.55595022326781895</v>
      </c>
      <c r="D8" s="35">
        <v>1.0917266627558933</v>
      </c>
      <c r="E8" s="35">
        <v>1.4358127591862397</v>
      </c>
    </row>
    <row r="9" spans="1:22">
      <c r="B9">
        <v>6</v>
      </c>
      <c r="C9" s="83">
        <v>1.0628801501210983</v>
      </c>
      <c r="D9" s="83">
        <v>1.0721321685048839</v>
      </c>
      <c r="E9" s="83">
        <v>1.3583899668915187</v>
      </c>
    </row>
    <row r="10" spans="1:22">
      <c r="B10">
        <v>7</v>
      </c>
      <c r="C10" s="35">
        <v>0.45375044784821961</v>
      </c>
      <c r="D10" s="35">
        <v>1.354747525895555</v>
      </c>
      <c r="E10" s="35">
        <v>0.67035999999957208</v>
      </c>
    </row>
    <row r="11" spans="1:22">
      <c r="G11" t="s">
        <v>177</v>
      </c>
    </row>
    <row r="12" spans="1:22">
      <c r="B12" s="35">
        <v>-1.253875629566908</v>
      </c>
      <c r="C12" s="35">
        <v>-3.2592166127769939E-2</v>
      </c>
      <c r="D12" s="35">
        <v>0.73934661383723232</v>
      </c>
      <c r="F12" s="35"/>
      <c r="G12" s="35"/>
      <c r="H12" s="35"/>
    </row>
    <row r="13" spans="1:22">
      <c r="A13" t="s">
        <v>214</v>
      </c>
      <c r="B13" s="35">
        <v>1.0419123890112216</v>
      </c>
      <c r="C13" s="35">
        <v>-4.0818532431212473E-2</v>
      </c>
      <c r="D13" s="35">
        <v>0.77248383184656022</v>
      </c>
      <c r="F13" s="35" t="e">
        <f ca="1">MCond(B12:D14)</f>
        <v>#VALUE!</v>
      </c>
      <c r="G13" s="35"/>
      <c r="H13" s="35"/>
      <c r="J13" s="183">
        <v>1</v>
      </c>
      <c r="K13" s="35" t="e">
        <f ca="1">MCond(OFFSET($B$12,(ROW(A1)-1)*4,0,3,3))</f>
        <v>#VALUE!</v>
      </c>
      <c r="L13" t="e">
        <f ca="1">MAX(K:K)</f>
        <v>#VALUE!</v>
      </c>
      <c r="M13" t="e">
        <f ca="1">K13/$L$13</f>
        <v>#VALUE!</v>
      </c>
      <c r="N13" s="183">
        <v>1</v>
      </c>
      <c r="O13" s="35" t="e">
        <f ca="1">OFFSET($M13,(COLUMN(A1)-1)*35,0,1,1)</f>
        <v>#VALUE!</v>
      </c>
      <c r="P13" s="35" t="e">
        <f ca="1">OFFSET($M13,(COLUMN(B1)-1)*35,0,1,1)</f>
        <v>#VALUE!</v>
      </c>
      <c r="Q13" s="35" t="e">
        <f ca="1">OFFSET($M13,(COLUMN(C1)-1)*35,0,1,1)</f>
        <v>#VALUE!</v>
      </c>
      <c r="R13" s="35" t="e">
        <f ca="1">OFFSET($M13,(COLUMN(D1)-1)*35,0,1,1)</f>
        <v>#VALUE!</v>
      </c>
      <c r="S13" s="35" t="e">
        <f ca="1">OFFSET($M13,(COLUMN(E1)-1)*35,0,1,1)</f>
        <v>#VALUE!</v>
      </c>
      <c r="T13" s="35" t="e">
        <f ca="1">OFFSET($M13,(COLUMN(F1)-1)*35,0,1,1)</f>
        <v>#VALUE!</v>
      </c>
      <c r="U13" s="35" t="e">
        <f ca="1">OFFSET($M13,(COLUMN(G1)-1)*35,0,1,1)</f>
        <v>#VALUE!</v>
      </c>
      <c r="V13" s="35" t="e">
        <f ca="1">OFFSET($M13,(COLUMN(H1)-1)*35,0,1,1)</f>
        <v>#VALUE!</v>
      </c>
    </row>
    <row r="14" spans="1:22">
      <c r="B14" s="35">
        <v>-1.4028471761352286</v>
      </c>
      <c r="C14" s="35">
        <v>0.814665459345566</v>
      </c>
      <c r="D14" s="35">
        <v>0.7195871750303805</v>
      </c>
      <c r="F14" s="35"/>
      <c r="G14" s="35"/>
      <c r="H14" s="35"/>
      <c r="J14" s="183">
        <v>2</v>
      </c>
      <c r="K14" s="35" t="e">
        <f ca="1">MCond(OFFSET($B$12,(ROW(A2)-1)*4,0,3,3))</f>
        <v>#VALUE!</v>
      </c>
      <c r="L14" t="e">
        <f ca="1">MIN(K:K)</f>
        <v>#VALUE!</v>
      </c>
      <c r="M14" t="e">
        <f t="shared" ref="M14:M77" ca="1" si="0">K14/$L$13</f>
        <v>#VALUE!</v>
      </c>
      <c r="N14" s="183">
        <v>2</v>
      </c>
      <c r="O14" s="35" t="e">
        <f t="shared" ref="O14:P47" ca="1" si="1">OFFSET($M14,(COLUMN(A2)-1)*35,0,1,1)</f>
        <v>#VALUE!</v>
      </c>
      <c r="P14" s="35" t="e">
        <f t="shared" ca="1" si="1"/>
        <v>#VALUE!</v>
      </c>
      <c r="Q14" s="35" t="e">
        <f ca="1">OFFSET($M14,(COLUMN(C2)-1)*35,0,1,1)</f>
        <v>#VALUE!</v>
      </c>
      <c r="R14" s="35" t="e">
        <f ca="1">OFFSET($M14,(COLUMN(D2)-1)*35,0,1,1)</f>
        <v>#VALUE!</v>
      </c>
      <c r="S14" s="35" t="e">
        <f ca="1">OFFSET($M14,(COLUMN(E2)-1)*35,0,1,1)</f>
        <v>#VALUE!</v>
      </c>
      <c r="T14" s="35" t="e">
        <f ca="1">OFFSET($M14,(COLUMN(F2)-1)*35,0,1,1)</f>
        <v>#VALUE!</v>
      </c>
      <c r="U14" s="35" t="e">
        <f ca="1">OFFSET($M14,(COLUMN(G2)-1)*35,0,1,1)</f>
        <v>#VALUE!</v>
      </c>
      <c r="V14" s="35" t="e">
        <f ca="1">OFFSET($M14,(COLUMN(H2)-1)*35,0,1,1)</f>
        <v>#VALUE!</v>
      </c>
    </row>
    <row r="15" spans="1:22">
      <c r="B15" s="35"/>
      <c r="C15" s="35"/>
      <c r="D15" s="35"/>
      <c r="F15" s="157"/>
      <c r="G15" s="157"/>
      <c r="H15" s="157"/>
      <c r="J15" s="183">
        <v>3</v>
      </c>
      <c r="K15" s="35" t="e">
        <f ca="1">MCond(OFFSET($B$12,(ROW(A3)-1)*4,0,3,3))</f>
        <v>#VALUE!</v>
      </c>
      <c r="M15" t="e">
        <f t="shared" ca="1" si="0"/>
        <v>#VALUE!</v>
      </c>
      <c r="N15" s="183">
        <v>3</v>
      </c>
      <c r="O15" s="35" t="e">
        <f t="shared" ca="1" si="1"/>
        <v>#VALUE!</v>
      </c>
      <c r="P15" s="35" t="e">
        <f t="shared" ca="1" si="1"/>
        <v>#VALUE!</v>
      </c>
      <c r="Q15" s="35" t="e">
        <f ca="1">OFFSET($M15,(COLUMN(C3)-1)*35,0,1,1)</f>
        <v>#VALUE!</v>
      </c>
      <c r="R15" s="35" t="e">
        <f ca="1">OFFSET($M15,(COLUMN(D3)-1)*35,0,1,1)</f>
        <v>#VALUE!</v>
      </c>
      <c r="S15" s="35" t="e">
        <f ca="1">OFFSET($M15,(COLUMN(E3)-1)*35,0,1,1)</f>
        <v>#VALUE!</v>
      </c>
      <c r="T15" s="35" t="e">
        <f ca="1">OFFSET($M15,(COLUMN(F3)-1)*35,0,1,1)</f>
        <v>#VALUE!</v>
      </c>
      <c r="U15" s="35" t="e">
        <f ca="1">OFFSET($M15,(COLUMN(G3)-1)*35,0,1,1)</f>
        <v>#VALUE!</v>
      </c>
      <c r="V15" s="35" t="e">
        <f ca="1">OFFSET($M15,(COLUMN(H3)-1)*35,0,1,1)</f>
        <v>#VALUE!</v>
      </c>
    </row>
    <row r="16" spans="1:22">
      <c r="B16" s="35">
        <v>-1.253875629566908</v>
      </c>
      <c r="C16" s="35">
        <v>-3.2592166127769939E-2</v>
      </c>
      <c r="D16" s="35">
        <v>0.73934661383723232</v>
      </c>
      <c r="F16" s="35"/>
      <c r="G16" s="157">
        <f t="shared" ref="G16:H16" si="2">D4-D$3</f>
        <v>-3.2592166127769939E-2</v>
      </c>
      <c r="H16" s="157">
        <f t="shared" si="2"/>
        <v>0.73934661383723232</v>
      </c>
      <c r="J16" s="183">
        <v>4</v>
      </c>
      <c r="K16" s="35" t="e">
        <f ca="1">MCond(OFFSET($B$12,(ROW(A4)-1)*4,0,3,3))</f>
        <v>#VALUE!</v>
      </c>
      <c r="M16" t="e">
        <f t="shared" ca="1" si="0"/>
        <v>#VALUE!</v>
      </c>
      <c r="N16" s="183">
        <v>4</v>
      </c>
      <c r="O16" s="35" t="e">
        <f t="shared" ca="1" si="1"/>
        <v>#VALUE!</v>
      </c>
      <c r="P16" s="35" t="e">
        <f t="shared" ca="1" si="1"/>
        <v>#VALUE!</v>
      </c>
      <c r="Q16" s="35" t="e">
        <f ca="1">OFFSET($M16,(COLUMN(C4)-1)*35,0,1,1)</f>
        <v>#VALUE!</v>
      </c>
      <c r="R16" s="35" t="e">
        <f ca="1">OFFSET($M16,(COLUMN(D4)-1)*35,0,1,1)</f>
        <v>#VALUE!</v>
      </c>
      <c r="S16" s="35" t="e">
        <f ca="1">OFFSET($M16,(COLUMN(E4)-1)*35,0,1,1)</f>
        <v>#VALUE!</v>
      </c>
      <c r="T16" s="35" t="e">
        <f ca="1">OFFSET($M16,(COLUMN(F4)-1)*35,0,1,1)</f>
        <v>#VALUE!</v>
      </c>
      <c r="U16" s="35" t="e">
        <f ca="1">OFFSET($M16,(COLUMN(G4)-1)*35,0,1,1)</f>
        <v>#VALUE!</v>
      </c>
      <c r="V16" s="35" t="e">
        <f ca="1">OFFSET($M16,(COLUMN(H4)-1)*35,0,1,1)</f>
        <v>#VALUE!</v>
      </c>
    </row>
    <row r="17" spans="1:22">
      <c r="A17" t="s">
        <v>215</v>
      </c>
      <c r="B17" s="35">
        <v>1.0419123890112216</v>
      </c>
      <c r="C17" s="35">
        <v>-4.0818532431212473E-2</v>
      </c>
      <c r="D17" s="35">
        <v>0.77248383184656022</v>
      </c>
      <c r="F17" s="35" t="e">
        <f ca="1">MCond(B16:D18)</f>
        <v>#VALUE!</v>
      </c>
      <c r="G17" s="157">
        <f t="shared" ref="G17" si="3">D5-D$3</f>
        <v>-4.0818532431212473E-2</v>
      </c>
      <c r="H17" s="157">
        <f t="shared" ref="H17" si="4">E5-E$3</f>
        <v>0.77248383184656022</v>
      </c>
      <c r="J17" s="183">
        <v>5</v>
      </c>
      <c r="K17" s="35" t="e">
        <f ca="1">MCond(OFFSET($B$12,(ROW(A5)-1)*4,0,3,3))</f>
        <v>#VALUE!</v>
      </c>
      <c r="M17" t="e">
        <f t="shared" ca="1" si="0"/>
        <v>#VALUE!</v>
      </c>
      <c r="N17" s="183">
        <v>5</v>
      </c>
      <c r="O17" s="35" t="e">
        <f t="shared" ca="1" si="1"/>
        <v>#VALUE!</v>
      </c>
      <c r="P17" s="35" t="e">
        <f t="shared" ca="1" si="1"/>
        <v>#VALUE!</v>
      </c>
      <c r="Q17" s="35" t="e">
        <f ca="1">OFFSET($M17,(COLUMN(C5)-1)*35,0,1,1)</f>
        <v>#VALUE!</v>
      </c>
      <c r="R17" s="35" t="e">
        <f ca="1">OFFSET($M17,(COLUMN(D5)-1)*35,0,1,1)</f>
        <v>#VALUE!</v>
      </c>
      <c r="S17" s="35" t="e">
        <f ca="1">OFFSET($M17,(COLUMN(E5)-1)*35,0,1,1)</f>
        <v>#VALUE!</v>
      </c>
      <c r="T17" s="35" t="e">
        <f ca="1">OFFSET($M17,(COLUMN(F5)-1)*35,0,1,1)</f>
        <v>#VALUE!</v>
      </c>
      <c r="U17" s="35" t="e">
        <f ca="1">OFFSET($M17,(COLUMN(G5)-1)*35,0,1,1)</f>
        <v>#VALUE!</v>
      </c>
      <c r="V17" s="35" t="e">
        <f ca="1">OFFSET($M17,(COLUMN(H5)-1)*35,0,1,1)</f>
        <v>#VALUE!</v>
      </c>
    </row>
    <row r="18" spans="1:22">
      <c r="B18" s="35">
        <v>1.4421025939282253</v>
      </c>
      <c r="C18" s="35">
        <v>1.0431877148697888</v>
      </c>
      <c r="D18" s="35">
        <v>0.78932433807079116</v>
      </c>
      <c r="F18" s="35"/>
      <c r="G18" s="157">
        <f t="shared" ref="G18:H18" si="5">D7-D$3</f>
        <v>1.0431877148697888</v>
      </c>
      <c r="H18" s="157">
        <f t="shared" si="5"/>
        <v>0.78932433807079116</v>
      </c>
      <c r="J18" s="183">
        <v>6</v>
      </c>
      <c r="K18" s="35" t="e">
        <f ca="1">MCond(OFFSET($B$12,(ROW(A6)-1)*4,0,3,3))</f>
        <v>#VALUE!</v>
      </c>
      <c r="M18" t="e">
        <f t="shared" ca="1" si="0"/>
        <v>#VALUE!</v>
      </c>
      <c r="N18" s="183">
        <v>6</v>
      </c>
      <c r="O18" s="35" t="e">
        <f t="shared" ca="1" si="1"/>
        <v>#VALUE!</v>
      </c>
      <c r="P18" s="35" t="e">
        <f t="shared" ca="1" si="1"/>
        <v>#VALUE!</v>
      </c>
      <c r="Q18" s="35" t="e">
        <f ca="1">OFFSET($M18,(COLUMN(C6)-1)*35,0,1,1)</f>
        <v>#VALUE!</v>
      </c>
      <c r="R18" s="35" t="e">
        <f ca="1">OFFSET($M18,(COLUMN(D6)-1)*35,0,1,1)</f>
        <v>#VALUE!</v>
      </c>
      <c r="S18" s="35" t="e">
        <f ca="1">OFFSET($M18,(COLUMN(E6)-1)*35,0,1,1)</f>
        <v>#VALUE!</v>
      </c>
      <c r="T18" s="35" t="e">
        <f ca="1">OFFSET($M18,(COLUMN(F6)-1)*35,0,1,1)</f>
        <v>#VALUE!</v>
      </c>
      <c r="U18" s="35" t="e">
        <f ca="1">OFFSET($M18,(COLUMN(G6)-1)*35,0,1,1)</f>
        <v>#VALUE!</v>
      </c>
      <c r="V18" s="35" t="e">
        <f ca="1">OFFSET($M18,(COLUMN(H6)-1)*35,0,1,1)</f>
        <v>#VALUE!</v>
      </c>
    </row>
    <row r="19" spans="1:22">
      <c r="B19" s="35"/>
      <c r="C19" s="35"/>
      <c r="D19" s="35"/>
      <c r="F19" s="157"/>
      <c r="G19" s="157"/>
      <c r="H19" s="157"/>
      <c r="J19" s="183">
        <v>7</v>
      </c>
      <c r="K19" s="35" t="e">
        <f ca="1">MCond(OFFSET($B$12,(ROW(A7)-1)*4,0,3,3))</f>
        <v>#VALUE!</v>
      </c>
      <c r="M19" t="e">
        <f t="shared" ca="1" si="0"/>
        <v>#VALUE!</v>
      </c>
      <c r="N19" s="183">
        <v>7</v>
      </c>
      <c r="O19" s="35" t="e">
        <f t="shared" ca="1" si="1"/>
        <v>#VALUE!</v>
      </c>
      <c r="P19" s="35" t="e">
        <f t="shared" ca="1" si="1"/>
        <v>#VALUE!</v>
      </c>
      <c r="Q19" s="35" t="e">
        <f ca="1">OFFSET($M19,(COLUMN(C7)-1)*35,0,1,1)</f>
        <v>#VALUE!</v>
      </c>
      <c r="R19" s="35" t="e">
        <f ca="1">OFFSET($M19,(COLUMN(D7)-1)*35,0,1,1)</f>
        <v>#VALUE!</v>
      </c>
      <c r="S19" s="35" t="e">
        <f ca="1">OFFSET($M19,(COLUMN(E7)-1)*35,0,1,1)</f>
        <v>#VALUE!</v>
      </c>
      <c r="T19" s="35" t="e">
        <f ca="1">OFFSET($M19,(COLUMN(F7)-1)*35,0,1,1)</f>
        <v>#VALUE!</v>
      </c>
      <c r="U19" s="35" t="e">
        <f ca="1">OFFSET($M19,(COLUMN(G7)-1)*35,0,1,1)</f>
        <v>#VALUE!</v>
      </c>
      <c r="V19" s="35" t="e">
        <f ca="1">OFFSET($M19,(COLUMN(H7)-1)*35,0,1,1)</f>
        <v>#VALUE!</v>
      </c>
    </row>
    <row r="20" spans="1:22">
      <c r="B20" s="35">
        <v>-1.253875629566908</v>
      </c>
      <c r="C20" s="35">
        <v>-3.2592166127769939E-2</v>
      </c>
      <c r="D20" s="35">
        <v>0.73934661383723232</v>
      </c>
      <c r="F20" s="35"/>
      <c r="G20" s="157">
        <f t="shared" ref="G20:H20" si="6">D4-D$3</f>
        <v>-3.2592166127769939E-2</v>
      </c>
      <c r="H20" s="157">
        <f t="shared" si="6"/>
        <v>0.73934661383723232</v>
      </c>
      <c r="J20" s="183">
        <v>8</v>
      </c>
      <c r="K20" s="35" t="e">
        <f ca="1">MCond(OFFSET($B$12,(ROW(A8)-1)*4,0,3,3))</f>
        <v>#VALUE!</v>
      </c>
      <c r="M20" t="e">
        <f t="shared" ca="1" si="0"/>
        <v>#VALUE!</v>
      </c>
      <c r="N20" s="183">
        <v>8</v>
      </c>
      <c r="O20" s="35" t="e">
        <f t="shared" ca="1" si="1"/>
        <v>#VALUE!</v>
      </c>
      <c r="P20" s="35" t="e">
        <f t="shared" ca="1" si="1"/>
        <v>#VALUE!</v>
      </c>
      <c r="Q20" s="35" t="e">
        <f ca="1">OFFSET($M20,(COLUMN(C8)-1)*35,0,1,1)</f>
        <v>#VALUE!</v>
      </c>
      <c r="R20" s="35" t="e">
        <f ca="1">OFFSET($M20,(COLUMN(D8)-1)*35,0,1,1)</f>
        <v>#VALUE!</v>
      </c>
      <c r="S20" s="35" t="e">
        <f ca="1">OFFSET($M20,(COLUMN(E8)-1)*35,0,1,1)</f>
        <v>#VALUE!</v>
      </c>
      <c r="T20" s="35" t="e">
        <f ca="1">OFFSET($M20,(COLUMN(F8)-1)*35,0,1,1)</f>
        <v>#VALUE!</v>
      </c>
      <c r="U20" s="35" t="e">
        <f ca="1">OFFSET($M20,(COLUMN(G8)-1)*35,0,1,1)</f>
        <v>#VALUE!</v>
      </c>
      <c r="V20" s="35" t="e">
        <f ca="1">OFFSET($M20,(COLUMN(H8)-1)*35,0,1,1)</f>
        <v>#VALUE!</v>
      </c>
    </row>
    <row r="21" spans="1:22">
      <c r="A21" t="s">
        <v>216</v>
      </c>
      <c r="B21" s="35">
        <v>1.0419123890112216</v>
      </c>
      <c r="C21" s="35">
        <v>-4.0818532431212473E-2</v>
      </c>
      <c r="D21" s="35">
        <v>0.77248383184656022</v>
      </c>
      <c r="F21" s="35" t="e">
        <f ca="1">MCond(B20:D22)</f>
        <v>#VALUE!</v>
      </c>
      <c r="G21" s="157">
        <f t="shared" ref="G21:H21" si="7">D5-D$3</f>
        <v>-4.0818532431212473E-2</v>
      </c>
      <c r="H21" s="157">
        <f t="shared" si="7"/>
        <v>0.77248383184656022</v>
      </c>
      <c r="J21" s="183">
        <v>9</v>
      </c>
      <c r="K21" s="35" t="e">
        <f ca="1">MCond(OFFSET($B$12,(ROW(A9)-1)*4,0,3,3))</f>
        <v>#VALUE!</v>
      </c>
      <c r="M21" t="e">
        <f t="shared" ca="1" si="0"/>
        <v>#VALUE!</v>
      </c>
      <c r="N21" s="183">
        <v>9</v>
      </c>
      <c r="O21" s="35" t="e">
        <f t="shared" ca="1" si="1"/>
        <v>#VALUE!</v>
      </c>
      <c r="P21" s="35" t="e">
        <f t="shared" ca="1" si="1"/>
        <v>#VALUE!</v>
      </c>
      <c r="Q21" s="35" t="e">
        <f ca="1">OFFSET($M21,(COLUMN(C9)-1)*35,0,1,1)</f>
        <v>#VALUE!</v>
      </c>
      <c r="R21" s="35" t="e">
        <f ca="1">OFFSET($M21,(COLUMN(D9)-1)*35,0,1,1)</f>
        <v>#VALUE!</v>
      </c>
      <c r="S21" s="35" t="e">
        <f ca="1">OFFSET($M21,(COLUMN(E9)-1)*35,0,1,1)</f>
        <v>#VALUE!</v>
      </c>
      <c r="T21" s="35" t="e">
        <f ca="1">OFFSET($M21,(COLUMN(F9)-1)*35,0,1,1)</f>
        <v>#VALUE!</v>
      </c>
      <c r="U21" s="35" t="e">
        <f ca="1">OFFSET($M21,(COLUMN(G9)-1)*35,0,1,1)</f>
        <v>#VALUE!</v>
      </c>
      <c r="V21" s="35" t="e">
        <f ca="1">OFFSET($M21,(COLUMN(H9)-1)*35,0,1,1)</f>
        <v>#VALUE!</v>
      </c>
    </row>
    <row r="22" spans="1:22">
      <c r="B22" s="35">
        <v>-1.0351585166444348</v>
      </c>
      <c r="C22" s="35">
        <v>2.1037449841221099</v>
      </c>
      <c r="D22" s="35">
        <v>0.82913701269133588</v>
      </c>
      <c r="F22" s="35"/>
      <c r="G22" s="157">
        <f t="shared" ref="G22:H22" si="8">D8-D$3</f>
        <v>2.1037449841221099</v>
      </c>
      <c r="H22" s="157">
        <f t="shared" si="8"/>
        <v>0.82913701269133588</v>
      </c>
      <c r="J22" s="183">
        <v>10</v>
      </c>
      <c r="K22" s="35" t="e">
        <f ca="1">MCond(OFFSET($B$12,(ROW(A10)-1)*4,0,3,3))</f>
        <v>#VALUE!</v>
      </c>
      <c r="M22" t="e">
        <f t="shared" ca="1" si="0"/>
        <v>#VALUE!</v>
      </c>
      <c r="N22" s="183">
        <v>10</v>
      </c>
      <c r="O22" s="35" t="e">
        <f t="shared" ca="1" si="1"/>
        <v>#VALUE!</v>
      </c>
      <c r="P22" s="35" t="e">
        <f t="shared" ca="1" si="1"/>
        <v>#VALUE!</v>
      </c>
      <c r="Q22" s="35" t="e">
        <f ca="1">OFFSET($M22,(COLUMN(C10)-1)*35,0,1,1)</f>
        <v>#VALUE!</v>
      </c>
      <c r="R22" s="35" t="e">
        <f ca="1">OFFSET($M22,(COLUMN(D10)-1)*35,0,1,1)</f>
        <v>#VALUE!</v>
      </c>
      <c r="S22" s="35" t="e">
        <f ca="1">OFFSET($M22,(COLUMN(E10)-1)*35,0,1,1)</f>
        <v>#VALUE!</v>
      </c>
      <c r="T22" s="35" t="e">
        <f ca="1">OFFSET($M22,(COLUMN(F10)-1)*35,0,1,1)</f>
        <v>#VALUE!</v>
      </c>
      <c r="U22" s="35" t="e">
        <f ca="1">OFFSET($M22,(COLUMN(G10)-1)*35,0,1,1)</f>
        <v>#VALUE!</v>
      </c>
      <c r="V22" s="35" t="e">
        <f ca="1">OFFSET($M22,(COLUMN(H10)-1)*35,0,1,1)</f>
        <v>#VALUE!</v>
      </c>
    </row>
    <row r="23" spans="1:22">
      <c r="B23" s="35"/>
      <c r="C23" s="35"/>
      <c r="D23" s="35"/>
      <c r="F23" s="157"/>
      <c r="G23" s="157"/>
      <c r="H23" s="157"/>
      <c r="J23" s="183">
        <v>11</v>
      </c>
      <c r="K23" s="35" t="e">
        <f ca="1">MCond(OFFSET($B$12,(ROW(A11)-1)*4,0,3,3))</f>
        <v>#VALUE!</v>
      </c>
      <c r="M23" t="e">
        <f t="shared" ca="1" si="0"/>
        <v>#VALUE!</v>
      </c>
      <c r="N23" s="183">
        <v>11</v>
      </c>
      <c r="O23" s="35" t="e">
        <f t="shared" ca="1" si="1"/>
        <v>#VALUE!</v>
      </c>
      <c r="P23" s="35" t="e">
        <f t="shared" ca="1" si="1"/>
        <v>#VALUE!</v>
      </c>
      <c r="Q23" s="35" t="e">
        <f ca="1">OFFSET($M23,(COLUMN(C11)-1)*35,0,1,1)</f>
        <v>#VALUE!</v>
      </c>
      <c r="R23" s="35" t="e">
        <f ca="1">OFFSET($M23,(COLUMN(D11)-1)*35,0,1,1)</f>
        <v>#VALUE!</v>
      </c>
      <c r="S23" s="35" t="e">
        <f ca="1">OFFSET($M23,(COLUMN(E11)-1)*35,0,1,1)</f>
        <v>#VALUE!</v>
      </c>
      <c r="T23" s="35" t="e">
        <f ca="1">OFFSET($M23,(COLUMN(F11)-1)*35,0,1,1)</f>
        <v>#VALUE!</v>
      </c>
      <c r="U23" s="35" t="e">
        <f ca="1">OFFSET($M23,(COLUMN(G11)-1)*35,0,1,1)</f>
        <v>#VALUE!</v>
      </c>
      <c r="V23" s="35" t="e">
        <f ca="1">OFFSET($M23,(COLUMN(H11)-1)*35,0,1,1)</f>
        <v>#VALUE!</v>
      </c>
    </row>
    <row r="24" spans="1:22">
      <c r="B24" s="35">
        <v>-1.253875629566908</v>
      </c>
      <c r="C24" s="35">
        <v>-3.2592166127769939E-2</v>
      </c>
      <c r="D24" s="35">
        <v>0.73934661383723232</v>
      </c>
      <c r="F24" s="35"/>
      <c r="G24" s="157"/>
      <c r="H24" s="157"/>
      <c r="J24" s="183">
        <v>12</v>
      </c>
      <c r="K24" s="35" t="e">
        <f ca="1">MCond(OFFSET($B$12,(ROW(A12)-1)*4,0,3,3))</f>
        <v>#VALUE!</v>
      </c>
      <c r="M24" t="e">
        <f t="shared" ca="1" si="0"/>
        <v>#VALUE!</v>
      </c>
      <c r="N24" s="183">
        <v>12</v>
      </c>
      <c r="O24" s="35" t="e">
        <f t="shared" ca="1" si="1"/>
        <v>#VALUE!</v>
      </c>
      <c r="P24" s="35" t="e">
        <f t="shared" ca="1" si="1"/>
        <v>#VALUE!</v>
      </c>
      <c r="Q24" s="35" t="e">
        <f ca="1">OFFSET($M24,(COLUMN(C12)-1)*35,0,1,1)</f>
        <v>#VALUE!</v>
      </c>
      <c r="R24" s="35" t="e">
        <f ca="1">OFFSET($M24,(COLUMN(D12)-1)*35,0,1,1)</f>
        <v>#VALUE!</v>
      </c>
      <c r="S24" s="35" t="e">
        <f ca="1">OFFSET($M24,(COLUMN(E12)-1)*35,0,1,1)</f>
        <v>#VALUE!</v>
      </c>
      <c r="T24" s="35" t="e">
        <f ca="1">OFFSET($M24,(COLUMN(F12)-1)*35,0,1,1)</f>
        <v>#VALUE!</v>
      </c>
      <c r="U24" s="35" t="e">
        <f ca="1">OFFSET($M24,(COLUMN(G12)-1)*35,0,1,1)</f>
        <v>#VALUE!</v>
      </c>
      <c r="V24" s="35" t="e">
        <f ca="1">OFFSET($M24,(COLUMN(H12)-1)*35,0,1,1)</f>
        <v>#VALUE!</v>
      </c>
    </row>
    <row r="25" spans="1:22">
      <c r="A25" t="s">
        <v>217</v>
      </c>
      <c r="B25" s="35">
        <v>1.0419123890112216</v>
      </c>
      <c r="C25" s="35">
        <v>-4.0818532431212473E-2</v>
      </c>
      <c r="D25" s="35">
        <v>0.77248383184656022</v>
      </c>
      <c r="F25" s="35" t="e">
        <f ca="1">MCond(B24:D26)</f>
        <v>#VALUE!</v>
      </c>
      <c r="G25" s="157"/>
      <c r="H25" s="157"/>
      <c r="J25" s="183">
        <v>13</v>
      </c>
      <c r="K25" s="35" t="e">
        <f ca="1">MCond(OFFSET($B$12,(ROW(A13)-1)*4,0,3,3))</f>
        <v>#VALUE!</v>
      </c>
      <c r="M25" t="e">
        <f t="shared" ca="1" si="0"/>
        <v>#VALUE!</v>
      </c>
      <c r="N25" s="183">
        <v>13</v>
      </c>
      <c r="O25" s="35" t="e">
        <f t="shared" ca="1" si="1"/>
        <v>#VALUE!</v>
      </c>
      <c r="P25" s="35" t="e">
        <f t="shared" ca="1" si="1"/>
        <v>#VALUE!</v>
      </c>
      <c r="Q25" s="35" t="e">
        <f ca="1">OFFSET($M25,(COLUMN(C13)-1)*35,0,1,1)</f>
        <v>#VALUE!</v>
      </c>
      <c r="R25" s="35" t="e">
        <f ca="1">OFFSET($M25,(COLUMN(D13)-1)*35,0,1,1)</f>
        <v>#VALUE!</v>
      </c>
      <c r="S25" s="35" t="e">
        <f ca="1">OFFSET($M25,(COLUMN(E13)-1)*35,0,1,1)</f>
        <v>#VALUE!</v>
      </c>
      <c r="T25" s="35" t="e">
        <f ca="1">OFFSET($M25,(COLUMN(F13)-1)*35,0,1,1)</f>
        <v>#VALUE!</v>
      </c>
      <c r="U25" s="35" t="e">
        <f ca="1">OFFSET($M25,(COLUMN(G13)-1)*35,0,1,1)</f>
        <v>#VALUE!</v>
      </c>
      <c r="V25" s="35" t="e">
        <f ca="1">OFFSET($M25,(COLUMN(H13)-1)*35,0,1,1)</f>
        <v>#VALUE!</v>
      </c>
    </row>
    <row r="26" spans="1:22">
      <c r="B26" s="35">
        <v>0.58367185674448252</v>
      </c>
      <c r="C26" s="35">
        <v>2.0841504898711007</v>
      </c>
      <c r="D26" s="35">
        <v>0.75171422039661484</v>
      </c>
      <c r="F26" s="35"/>
      <c r="G26" s="157"/>
      <c r="H26" s="157"/>
      <c r="J26" s="183">
        <v>14</v>
      </c>
      <c r="K26" s="35" t="e">
        <f ca="1">MCond(OFFSET($B$12,(ROW(A14)-1)*4,0,3,3))</f>
        <v>#VALUE!</v>
      </c>
      <c r="M26" t="e">
        <f t="shared" ca="1" si="0"/>
        <v>#VALUE!</v>
      </c>
      <c r="N26" s="183">
        <v>14</v>
      </c>
      <c r="O26" s="35" t="e">
        <f t="shared" ca="1" si="1"/>
        <v>#VALUE!</v>
      </c>
      <c r="P26" s="35" t="e">
        <f t="shared" ca="1" si="1"/>
        <v>#VALUE!</v>
      </c>
      <c r="Q26" s="35" t="e">
        <f ca="1">OFFSET($M26,(COLUMN(C14)-1)*35,0,1,1)</f>
        <v>#VALUE!</v>
      </c>
      <c r="R26" s="35" t="e">
        <f ca="1">OFFSET($M26,(COLUMN(D14)-1)*35,0,1,1)</f>
        <v>#VALUE!</v>
      </c>
      <c r="S26" s="35" t="e">
        <f ca="1">OFFSET($M26,(COLUMN(E14)-1)*35,0,1,1)</f>
        <v>#VALUE!</v>
      </c>
      <c r="T26" s="35" t="e">
        <f ca="1">OFFSET($M26,(COLUMN(F14)-1)*35,0,1,1)</f>
        <v>#VALUE!</v>
      </c>
      <c r="U26" s="35" t="e">
        <f ca="1">OFFSET($M26,(COLUMN(G14)-1)*35,0,1,1)</f>
        <v>#VALUE!</v>
      </c>
      <c r="V26" s="35" t="e">
        <f ca="1">OFFSET($M26,(COLUMN(H14)-1)*35,0,1,1)</f>
        <v>#VALUE!</v>
      </c>
    </row>
    <row r="27" spans="1:22">
      <c r="B27" s="35"/>
      <c r="C27" s="35"/>
      <c r="D27" s="35"/>
      <c r="F27" s="157"/>
      <c r="G27" s="157"/>
      <c r="H27" s="157"/>
      <c r="J27" s="183">
        <v>15</v>
      </c>
      <c r="K27" s="35" t="e">
        <f ca="1">MCond(OFFSET($B$12,(ROW(A15)-1)*4,0,3,3))</f>
        <v>#VALUE!</v>
      </c>
      <c r="M27" t="e">
        <f t="shared" ca="1" si="0"/>
        <v>#VALUE!</v>
      </c>
      <c r="N27" s="183">
        <v>15</v>
      </c>
      <c r="O27" s="35" t="e">
        <f t="shared" ca="1" si="1"/>
        <v>#VALUE!</v>
      </c>
      <c r="P27" s="35" t="e">
        <f t="shared" ca="1" si="1"/>
        <v>#VALUE!</v>
      </c>
      <c r="Q27" s="35" t="e">
        <f ca="1">OFFSET($M27,(COLUMN(C15)-1)*35,0,1,1)</f>
        <v>#VALUE!</v>
      </c>
      <c r="R27" s="35" t="e">
        <f ca="1">OFFSET($M27,(COLUMN(D15)-1)*35,0,1,1)</f>
        <v>#VALUE!</v>
      </c>
      <c r="S27" s="35" t="e">
        <f ca="1">OFFSET($M27,(COLUMN(E15)-1)*35,0,1,1)</f>
        <v>#VALUE!</v>
      </c>
      <c r="T27" s="35" t="e">
        <f ca="1">OFFSET($M27,(COLUMN(F15)-1)*35,0,1,1)</f>
        <v>#VALUE!</v>
      </c>
      <c r="U27" s="35" t="e">
        <f ca="1">OFFSET($M27,(COLUMN(G15)-1)*35,0,1,1)</f>
        <v>#VALUE!</v>
      </c>
      <c r="V27" s="35" t="e">
        <f ca="1">OFFSET($M27,(COLUMN(H15)-1)*35,0,1,1)</f>
        <v>#VALUE!</v>
      </c>
    </row>
    <row r="28" spans="1:22">
      <c r="B28" s="35">
        <v>-1.253875629566908</v>
      </c>
      <c r="C28" s="35">
        <v>-3.2592166127769939E-2</v>
      </c>
      <c r="D28" s="35">
        <v>0.73934661383723232</v>
      </c>
      <c r="F28" s="35"/>
      <c r="G28" s="157"/>
      <c r="H28" s="157"/>
      <c r="J28" s="183">
        <v>16</v>
      </c>
      <c r="K28" s="35" t="e">
        <f ca="1">MCond(OFFSET($B$12,(ROW(A16)-1)*4,0,3,3))</f>
        <v>#VALUE!</v>
      </c>
      <c r="M28" t="e">
        <f t="shared" ca="1" si="0"/>
        <v>#VALUE!</v>
      </c>
      <c r="N28" s="183">
        <v>16</v>
      </c>
      <c r="O28" s="35" t="e">
        <f t="shared" ca="1" si="1"/>
        <v>#VALUE!</v>
      </c>
      <c r="P28" s="35" t="e">
        <f t="shared" ca="1" si="1"/>
        <v>#VALUE!</v>
      </c>
      <c r="Q28" s="35" t="e">
        <f ca="1">OFFSET($M28,(COLUMN(C16)-1)*35,0,1,1)</f>
        <v>#VALUE!</v>
      </c>
      <c r="R28" s="35" t="e">
        <f ca="1">OFFSET($M28,(COLUMN(D16)-1)*35,0,1,1)</f>
        <v>#VALUE!</v>
      </c>
      <c r="S28" s="35" t="e">
        <f ca="1">OFFSET($M28,(COLUMN(E16)-1)*35,0,1,1)</f>
        <v>#VALUE!</v>
      </c>
      <c r="T28" s="35" t="e">
        <f ca="1">OFFSET($M28,(COLUMN(F16)-1)*35,0,1,1)</f>
        <v>#VALUE!</v>
      </c>
      <c r="U28" s="35" t="e">
        <f ca="1">OFFSET($M28,(COLUMN(G16)-1)*35,0,1,1)</f>
        <v>#VALUE!</v>
      </c>
      <c r="V28" s="35" t="e">
        <f ca="1">OFFSET($M28,(COLUMN(H16)-1)*35,0,1,1)</f>
        <v>#VALUE!</v>
      </c>
    </row>
    <row r="29" spans="1:22">
      <c r="A29" t="s">
        <v>218</v>
      </c>
      <c r="B29" s="35">
        <v>1.0419123890112216</v>
      </c>
      <c r="C29" s="35">
        <v>-4.0818532431212473E-2</v>
      </c>
      <c r="D29" s="35">
        <v>0.77248383184656022</v>
      </c>
      <c r="F29" s="35" t="e">
        <f ca="1">MCond(B28:D30)</f>
        <v>#VALUE!</v>
      </c>
      <c r="G29" s="157"/>
      <c r="H29" s="157"/>
      <c r="J29" s="183">
        <v>17</v>
      </c>
      <c r="K29" s="35" t="e">
        <f ca="1">MCond(OFFSET($B$12,(ROW(A17)-1)*4,0,3,3))</f>
        <v>#VALUE!</v>
      </c>
      <c r="M29" t="e">
        <f t="shared" ca="1" si="0"/>
        <v>#VALUE!</v>
      </c>
      <c r="N29" s="183">
        <v>17</v>
      </c>
      <c r="O29" s="35" t="e">
        <f t="shared" ca="1" si="1"/>
        <v>#VALUE!</v>
      </c>
      <c r="P29" s="35" t="e">
        <f t="shared" ca="1" si="1"/>
        <v>#VALUE!</v>
      </c>
      <c r="Q29" s="35" t="e">
        <f t="shared" ref="Q29:Q47" ca="1" si="9">OFFSET($M29,(COLUMN(C17)-1)*35,0,1,1)</f>
        <v>#VALUE!</v>
      </c>
      <c r="R29" s="35" t="e">
        <f t="shared" ref="R29:R47" ca="1" si="10">OFFSET($M29,(COLUMN(D17)-1)*35,0,1,1)</f>
        <v>#VALUE!</v>
      </c>
      <c r="S29" s="35" t="e">
        <f t="shared" ref="S29:S47" ca="1" si="11">OFFSET($M29,(COLUMN(E17)-1)*35,0,1,1)</f>
        <v>#VALUE!</v>
      </c>
      <c r="T29" s="35" t="e">
        <f t="shared" ref="T29:T47" ca="1" si="12">OFFSET($M29,(COLUMN(F17)-1)*35,0,1,1)</f>
        <v>#VALUE!</v>
      </c>
      <c r="U29" s="35" t="e">
        <f t="shared" ref="U29:U47" ca="1" si="13">OFFSET($M29,(COLUMN(G17)-1)*35,0,1,1)</f>
        <v>#VALUE!</v>
      </c>
      <c r="V29" s="35" t="e">
        <f t="shared" ref="V29:V47" ca="1" si="14">OFFSET($M29,(COLUMN(H17)-1)*35,0,1,1)</f>
        <v>#VALUE!</v>
      </c>
    </row>
    <row r="30" spans="1:22">
      <c r="B30" s="35">
        <v>-2.5457845528396139E-2</v>
      </c>
      <c r="C30" s="35">
        <v>2.3667658472617719</v>
      </c>
      <c r="D30" s="35">
        <v>6.368425350466822E-2</v>
      </c>
      <c r="F30" s="35"/>
      <c r="G30" s="157"/>
      <c r="H30" s="157"/>
      <c r="J30" s="183">
        <v>18</v>
      </c>
      <c r="K30" s="35" t="e">
        <f ca="1">MCond(OFFSET($B$12,(ROW(A18)-1)*4,0,3,3))</f>
        <v>#VALUE!</v>
      </c>
      <c r="L30" s="35"/>
      <c r="M30" t="e">
        <f t="shared" ca="1" si="0"/>
        <v>#VALUE!</v>
      </c>
      <c r="N30" s="183">
        <v>18</v>
      </c>
      <c r="O30" s="35" t="e">
        <f t="shared" ca="1" si="1"/>
        <v>#VALUE!</v>
      </c>
      <c r="P30" s="35" t="e">
        <f t="shared" ca="1" si="1"/>
        <v>#VALUE!</v>
      </c>
      <c r="Q30" s="35" t="e">
        <f t="shared" ca="1" si="9"/>
        <v>#VALUE!</v>
      </c>
      <c r="R30" s="35" t="e">
        <f t="shared" ca="1" si="10"/>
        <v>#VALUE!</v>
      </c>
      <c r="S30" s="35" t="e">
        <f t="shared" ca="1" si="11"/>
        <v>#VALUE!</v>
      </c>
      <c r="T30" s="35" t="e">
        <f t="shared" ca="1" si="12"/>
        <v>#VALUE!</v>
      </c>
      <c r="U30" s="35" t="e">
        <f t="shared" ca="1" si="13"/>
        <v>#VALUE!</v>
      </c>
      <c r="V30" s="35" t="e">
        <f t="shared" ca="1" si="14"/>
        <v>#VALUE!</v>
      </c>
    </row>
    <row r="31" spans="1:22">
      <c r="B31" s="35"/>
      <c r="C31" s="35"/>
      <c r="D31" s="35"/>
      <c r="F31" s="157"/>
      <c r="G31" s="157"/>
      <c r="H31" s="157"/>
      <c r="J31" s="183">
        <v>19</v>
      </c>
      <c r="K31" s="35" t="e">
        <f ca="1">MCond(OFFSET($B$12,(ROW(A19)-1)*4,0,3,3))</f>
        <v>#VALUE!</v>
      </c>
      <c r="L31" s="35"/>
      <c r="M31" t="e">
        <f t="shared" ca="1" si="0"/>
        <v>#VALUE!</v>
      </c>
      <c r="N31" s="183">
        <v>19</v>
      </c>
      <c r="O31" s="35" t="e">
        <f t="shared" ca="1" si="1"/>
        <v>#VALUE!</v>
      </c>
      <c r="P31" s="35" t="e">
        <f t="shared" ca="1" si="1"/>
        <v>#VALUE!</v>
      </c>
      <c r="Q31" s="35" t="e">
        <f t="shared" ca="1" si="9"/>
        <v>#VALUE!</v>
      </c>
      <c r="R31" s="35" t="e">
        <f t="shared" ca="1" si="10"/>
        <v>#VALUE!</v>
      </c>
      <c r="S31" s="35" t="e">
        <f t="shared" ca="1" si="11"/>
        <v>#VALUE!</v>
      </c>
      <c r="T31" s="35" t="e">
        <f t="shared" ca="1" si="12"/>
        <v>#VALUE!</v>
      </c>
      <c r="U31" s="35" t="e">
        <f t="shared" ca="1" si="13"/>
        <v>#VALUE!</v>
      </c>
      <c r="V31" s="35" t="e">
        <f t="shared" ca="1" si="14"/>
        <v>#VALUE!</v>
      </c>
    </row>
    <row r="32" spans="1:22">
      <c r="B32" s="35">
        <v>-1.253875629566908</v>
      </c>
      <c r="C32" s="35">
        <v>-3.2592166127769939E-2</v>
      </c>
      <c r="D32" s="35">
        <v>0.73934661383723232</v>
      </c>
      <c r="F32" s="35"/>
      <c r="G32" s="157"/>
      <c r="H32" s="157"/>
      <c r="J32" s="183">
        <v>20</v>
      </c>
      <c r="K32" s="35" t="e">
        <f ca="1">MCond(OFFSET($B$12,(ROW(A20)-1)*4,0,3,3))</f>
        <v>#VALUE!</v>
      </c>
      <c r="L32" s="35"/>
      <c r="M32" t="e">
        <f t="shared" ca="1" si="0"/>
        <v>#VALUE!</v>
      </c>
      <c r="N32" s="183">
        <v>20</v>
      </c>
      <c r="O32" s="35" t="e">
        <f t="shared" ca="1" si="1"/>
        <v>#VALUE!</v>
      </c>
      <c r="P32" s="35" t="e">
        <f t="shared" ca="1" si="1"/>
        <v>#VALUE!</v>
      </c>
      <c r="Q32" s="35" t="e">
        <f t="shared" ca="1" si="9"/>
        <v>#VALUE!</v>
      </c>
      <c r="R32" s="35" t="e">
        <f t="shared" ca="1" si="10"/>
        <v>#VALUE!</v>
      </c>
      <c r="S32" s="35" t="e">
        <f t="shared" ca="1" si="11"/>
        <v>#VALUE!</v>
      </c>
      <c r="T32" s="35" t="e">
        <f t="shared" ca="1" si="12"/>
        <v>#VALUE!</v>
      </c>
      <c r="U32" s="35" t="e">
        <f t="shared" ca="1" si="13"/>
        <v>#VALUE!</v>
      </c>
      <c r="V32" s="35" t="e">
        <f t="shared" ca="1" si="14"/>
        <v>#VALUE!</v>
      </c>
    </row>
    <row r="33" spans="1:22">
      <c r="A33" t="s">
        <v>219</v>
      </c>
      <c r="B33" s="35">
        <v>-1.4028471761352286</v>
      </c>
      <c r="C33" s="35">
        <v>0.814665459345566</v>
      </c>
      <c r="D33" s="35">
        <v>0.7195871750303805</v>
      </c>
      <c r="F33" s="35" t="e">
        <f ca="1">MCond(B32:D34)</f>
        <v>#VALUE!</v>
      </c>
      <c r="J33" s="183">
        <v>21</v>
      </c>
      <c r="K33" s="35" t="e">
        <f ca="1">MCond(OFFSET($B$12,(ROW(A21)-1)*4,0,3,3))</f>
        <v>#VALUE!</v>
      </c>
      <c r="M33" t="e">
        <f t="shared" ca="1" si="0"/>
        <v>#VALUE!</v>
      </c>
      <c r="N33" s="183">
        <v>21</v>
      </c>
      <c r="O33" s="35" t="e">
        <f t="shared" ca="1" si="1"/>
        <v>#VALUE!</v>
      </c>
      <c r="P33" s="35" t="e">
        <f t="shared" ca="1" si="1"/>
        <v>#VALUE!</v>
      </c>
      <c r="Q33" s="35" t="e">
        <f t="shared" ca="1" si="9"/>
        <v>#VALUE!</v>
      </c>
      <c r="R33" s="35" t="e">
        <f t="shared" ca="1" si="10"/>
        <v>#VALUE!</v>
      </c>
      <c r="S33" s="35" t="e">
        <f t="shared" ca="1" si="11"/>
        <v>#VALUE!</v>
      </c>
      <c r="T33" s="35" t="e">
        <f t="shared" ca="1" si="12"/>
        <v>#VALUE!</v>
      </c>
      <c r="U33" s="35" t="e">
        <f t="shared" ca="1" si="13"/>
        <v>#VALUE!</v>
      </c>
      <c r="V33" s="35" t="e">
        <f t="shared" ca="1" si="14"/>
        <v>#VALUE!</v>
      </c>
    </row>
    <row r="34" spans="1:22">
      <c r="B34" s="35">
        <v>1.4421025939282253</v>
      </c>
      <c r="C34" s="35">
        <v>1.0431877148697888</v>
      </c>
      <c r="D34" s="35">
        <v>0.78932433807079116</v>
      </c>
      <c r="F34" s="35"/>
      <c r="J34" s="183">
        <v>22</v>
      </c>
      <c r="K34" s="35" t="e">
        <f ca="1">MCond(OFFSET($B$12,(ROW(A22)-1)*4,0,3,3))</f>
        <v>#VALUE!</v>
      </c>
      <c r="M34" t="e">
        <f t="shared" ca="1" si="0"/>
        <v>#VALUE!</v>
      </c>
      <c r="N34" s="183">
        <v>22</v>
      </c>
      <c r="O34" s="35" t="e">
        <f t="shared" ca="1" si="1"/>
        <v>#VALUE!</v>
      </c>
      <c r="P34" s="35" t="e">
        <f t="shared" ca="1" si="1"/>
        <v>#VALUE!</v>
      </c>
      <c r="Q34" s="35" t="e">
        <f t="shared" ca="1" si="9"/>
        <v>#VALUE!</v>
      </c>
      <c r="R34" s="35" t="e">
        <f t="shared" ca="1" si="10"/>
        <v>#VALUE!</v>
      </c>
      <c r="S34" s="35" t="e">
        <f t="shared" ca="1" si="11"/>
        <v>#VALUE!</v>
      </c>
      <c r="T34" s="35" t="e">
        <f t="shared" ca="1" si="12"/>
        <v>#VALUE!</v>
      </c>
      <c r="U34" s="35" t="e">
        <f t="shared" ca="1" si="13"/>
        <v>#VALUE!</v>
      </c>
      <c r="V34" s="35" t="e">
        <f t="shared" ca="1" si="14"/>
        <v>#VALUE!</v>
      </c>
    </row>
    <row r="35" spans="1:22">
      <c r="B35" s="35"/>
      <c r="C35" s="35"/>
      <c r="D35" s="35"/>
      <c r="F35" s="157"/>
      <c r="J35" s="183">
        <v>23</v>
      </c>
      <c r="K35" s="35" t="e">
        <f ca="1">MCond(OFFSET($B$12,(ROW(A23)-1)*4,0,3,3))</f>
        <v>#VALUE!</v>
      </c>
      <c r="M35" t="e">
        <f t="shared" ca="1" si="0"/>
        <v>#VALUE!</v>
      </c>
      <c r="N35" s="183">
        <v>23</v>
      </c>
      <c r="O35" s="35" t="e">
        <f t="shared" ca="1" si="1"/>
        <v>#VALUE!</v>
      </c>
      <c r="P35" s="35" t="e">
        <f t="shared" ca="1" si="1"/>
        <v>#VALUE!</v>
      </c>
      <c r="Q35" s="35" t="e">
        <f t="shared" ca="1" si="9"/>
        <v>#VALUE!</v>
      </c>
      <c r="R35" s="35" t="e">
        <f t="shared" ca="1" si="10"/>
        <v>#VALUE!</v>
      </c>
      <c r="S35" s="35" t="e">
        <f t="shared" ca="1" si="11"/>
        <v>#VALUE!</v>
      </c>
      <c r="T35" s="35" t="e">
        <f t="shared" ca="1" si="12"/>
        <v>#VALUE!</v>
      </c>
      <c r="U35" s="35" t="e">
        <f t="shared" ca="1" si="13"/>
        <v>#VALUE!</v>
      </c>
      <c r="V35" s="35" t="e">
        <f t="shared" ca="1" si="14"/>
        <v>#VALUE!</v>
      </c>
    </row>
    <row r="36" spans="1:22">
      <c r="B36" s="35">
        <v>-1.253875629566908</v>
      </c>
      <c r="C36" s="35">
        <v>-3.2592166127769939E-2</v>
      </c>
      <c r="D36" s="35">
        <v>0.73934661383723232</v>
      </c>
      <c r="F36" s="35"/>
      <c r="J36" s="183">
        <v>24</v>
      </c>
      <c r="K36" s="35" t="e">
        <f ca="1">MCond(OFFSET($B$12,(ROW(A24)-1)*4,0,3,3))</f>
        <v>#VALUE!</v>
      </c>
      <c r="M36" t="e">
        <f t="shared" ca="1" si="0"/>
        <v>#VALUE!</v>
      </c>
      <c r="N36" s="183">
        <v>24</v>
      </c>
      <c r="O36" s="35" t="e">
        <f t="shared" ca="1" si="1"/>
        <v>#VALUE!</v>
      </c>
      <c r="P36" s="35" t="e">
        <f t="shared" ca="1" si="1"/>
        <v>#VALUE!</v>
      </c>
      <c r="Q36" s="35" t="e">
        <f t="shared" ca="1" si="9"/>
        <v>#VALUE!</v>
      </c>
      <c r="R36" s="35" t="e">
        <f t="shared" ca="1" si="10"/>
        <v>#VALUE!</v>
      </c>
      <c r="S36" s="35" t="e">
        <f t="shared" ca="1" si="11"/>
        <v>#VALUE!</v>
      </c>
      <c r="T36" s="35" t="e">
        <f t="shared" ca="1" si="12"/>
        <v>#VALUE!</v>
      </c>
      <c r="U36" s="35" t="e">
        <f t="shared" ca="1" si="13"/>
        <v>#VALUE!</v>
      </c>
      <c r="V36" s="35" t="e">
        <f t="shared" ca="1" si="14"/>
        <v>#VALUE!</v>
      </c>
    </row>
    <row r="37" spans="1:22">
      <c r="A37" t="s">
        <v>220</v>
      </c>
      <c r="B37" s="35">
        <v>-1.4028471761352286</v>
      </c>
      <c r="C37" s="35">
        <v>0.814665459345566</v>
      </c>
      <c r="D37" s="35">
        <v>0.7195871750303805</v>
      </c>
      <c r="F37" s="35" t="e">
        <f ca="1">MCond(B36:D38)</f>
        <v>#VALUE!</v>
      </c>
      <c r="J37" s="183">
        <v>25</v>
      </c>
      <c r="K37" s="35" t="e">
        <f ca="1">MCond(OFFSET($B$12,(ROW(A25)-1)*4,0,3,3))</f>
        <v>#VALUE!</v>
      </c>
      <c r="M37" t="e">
        <f t="shared" ca="1" si="0"/>
        <v>#VALUE!</v>
      </c>
      <c r="N37" s="183">
        <v>25</v>
      </c>
      <c r="O37" s="35" t="e">
        <f t="shared" ca="1" si="1"/>
        <v>#VALUE!</v>
      </c>
      <c r="P37" s="35" t="e">
        <f t="shared" ca="1" si="1"/>
        <v>#VALUE!</v>
      </c>
      <c r="Q37" s="35" t="e">
        <f t="shared" ca="1" si="9"/>
        <v>#VALUE!</v>
      </c>
      <c r="R37" s="35" t="e">
        <f t="shared" ca="1" si="10"/>
        <v>#VALUE!</v>
      </c>
      <c r="S37" s="35" t="e">
        <f t="shared" ca="1" si="11"/>
        <v>#VALUE!</v>
      </c>
      <c r="T37" s="35" t="e">
        <f t="shared" ca="1" si="12"/>
        <v>#VALUE!</v>
      </c>
      <c r="U37" s="35" t="e">
        <f t="shared" ca="1" si="13"/>
        <v>#VALUE!</v>
      </c>
      <c r="V37" s="35" t="e">
        <f t="shared" ca="1" si="14"/>
        <v>#VALUE!</v>
      </c>
    </row>
    <row r="38" spans="1:22">
      <c r="B38" s="35">
        <v>-1.0351585166444348</v>
      </c>
      <c r="C38" s="35">
        <v>2.1037449841221099</v>
      </c>
      <c r="D38" s="35">
        <v>0.82913701269133588</v>
      </c>
      <c r="F38" s="35"/>
      <c r="J38" s="183">
        <v>26</v>
      </c>
      <c r="K38" s="35" t="e">
        <f ca="1">MCond(OFFSET($B$12,(ROW(A26)-1)*4,0,3,3))</f>
        <v>#VALUE!</v>
      </c>
      <c r="M38" t="e">
        <f t="shared" ca="1" si="0"/>
        <v>#VALUE!</v>
      </c>
      <c r="N38" s="183">
        <v>26</v>
      </c>
      <c r="O38" s="35" t="e">
        <f t="shared" ca="1" si="1"/>
        <v>#VALUE!</v>
      </c>
      <c r="P38" s="35" t="e">
        <f t="shared" ca="1" si="1"/>
        <v>#VALUE!</v>
      </c>
      <c r="Q38" s="35" t="e">
        <f t="shared" ca="1" si="9"/>
        <v>#VALUE!</v>
      </c>
      <c r="R38" s="35" t="e">
        <f t="shared" ca="1" si="10"/>
        <v>#VALUE!</v>
      </c>
      <c r="S38" s="35" t="e">
        <f t="shared" ca="1" si="11"/>
        <v>#VALUE!</v>
      </c>
      <c r="T38" s="35" t="e">
        <f t="shared" ca="1" si="12"/>
        <v>#VALUE!</v>
      </c>
      <c r="U38" s="35" t="e">
        <f t="shared" ca="1" si="13"/>
        <v>#VALUE!</v>
      </c>
      <c r="V38" s="35" t="e">
        <f t="shared" ca="1" si="14"/>
        <v>#VALUE!</v>
      </c>
    </row>
    <row r="39" spans="1:22">
      <c r="B39" s="35"/>
      <c r="C39" s="35"/>
      <c r="D39" s="35"/>
      <c r="F39" s="157"/>
      <c r="J39" s="183">
        <v>27</v>
      </c>
      <c r="K39" s="35" t="e">
        <f ca="1">MCond(OFFSET($B$12,(ROW(A27)-1)*4,0,3,3))</f>
        <v>#VALUE!</v>
      </c>
      <c r="M39" t="e">
        <f t="shared" ca="1" si="0"/>
        <v>#VALUE!</v>
      </c>
      <c r="N39" s="183">
        <v>27</v>
      </c>
      <c r="O39" s="35" t="e">
        <f t="shared" ca="1" si="1"/>
        <v>#VALUE!</v>
      </c>
      <c r="P39" s="35" t="e">
        <f t="shared" ca="1" si="1"/>
        <v>#VALUE!</v>
      </c>
      <c r="Q39" s="35" t="e">
        <f t="shared" ca="1" si="9"/>
        <v>#VALUE!</v>
      </c>
      <c r="R39" s="35" t="e">
        <f t="shared" ca="1" si="10"/>
        <v>#VALUE!</v>
      </c>
      <c r="S39" s="35" t="e">
        <f t="shared" ca="1" si="11"/>
        <v>#VALUE!</v>
      </c>
      <c r="T39" s="35" t="e">
        <f t="shared" ca="1" si="12"/>
        <v>#VALUE!</v>
      </c>
      <c r="U39" s="35" t="e">
        <f t="shared" ca="1" si="13"/>
        <v>#VALUE!</v>
      </c>
      <c r="V39" s="35" t="e">
        <f t="shared" ca="1" si="14"/>
        <v>#VALUE!</v>
      </c>
    </row>
    <row r="40" spans="1:22">
      <c r="B40" s="35">
        <v>-1.253875629566908</v>
      </c>
      <c r="C40" s="35">
        <v>-3.2592166127769939E-2</v>
      </c>
      <c r="D40" s="35">
        <v>0.73934661383723232</v>
      </c>
      <c r="F40" s="35"/>
      <c r="J40" s="183">
        <v>28</v>
      </c>
      <c r="K40" s="35" t="e">
        <f ca="1">MCond(OFFSET($B$12,(ROW(A28)-1)*4,0,3,3))</f>
        <v>#VALUE!</v>
      </c>
      <c r="M40" t="e">
        <f t="shared" ca="1" si="0"/>
        <v>#VALUE!</v>
      </c>
      <c r="N40" s="183">
        <v>28</v>
      </c>
      <c r="O40" s="35" t="e">
        <f t="shared" ca="1" si="1"/>
        <v>#VALUE!</v>
      </c>
      <c r="P40" s="35" t="e">
        <f t="shared" ca="1" si="1"/>
        <v>#VALUE!</v>
      </c>
      <c r="Q40" s="35" t="e">
        <f t="shared" ca="1" si="9"/>
        <v>#VALUE!</v>
      </c>
      <c r="R40" s="35" t="e">
        <f t="shared" ca="1" si="10"/>
        <v>#VALUE!</v>
      </c>
      <c r="S40" s="35" t="e">
        <f t="shared" ca="1" si="11"/>
        <v>#VALUE!</v>
      </c>
      <c r="T40" s="35" t="e">
        <f t="shared" ca="1" si="12"/>
        <v>#VALUE!</v>
      </c>
      <c r="U40" s="35" t="e">
        <f t="shared" ca="1" si="13"/>
        <v>#VALUE!</v>
      </c>
      <c r="V40" s="35" t="e">
        <f t="shared" ca="1" si="14"/>
        <v>#VALUE!</v>
      </c>
    </row>
    <row r="41" spans="1:22">
      <c r="A41" t="s">
        <v>221</v>
      </c>
      <c r="B41" s="35">
        <v>-1.4028471761352286</v>
      </c>
      <c r="C41" s="35">
        <v>0.814665459345566</v>
      </c>
      <c r="D41" s="35">
        <v>0.7195871750303805</v>
      </c>
      <c r="F41" s="35" t="e">
        <f ca="1">MCond(B40:D42)</f>
        <v>#VALUE!</v>
      </c>
      <c r="J41" s="183">
        <v>29</v>
      </c>
      <c r="K41" s="35" t="e">
        <f ca="1">MCond(OFFSET($B$12,(ROW(A29)-1)*4,0,3,3))</f>
        <v>#VALUE!</v>
      </c>
      <c r="M41" t="e">
        <f t="shared" ca="1" si="0"/>
        <v>#VALUE!</v>
      </c>
      <c r="N41" s="183">
        <v>29</v>
      </c>
      <c r="O41" s="35" t="e">
        <f t="shared" ca="1" si="1"/>
        <v>#VALUE!</v>
      </c>
      <c r="P41" s="35" t="e">
        <f t="shared" ca="1" si="1"/>
        <v>#VALUE!</v>
      </c>
      <c r="Q41" s="35" t="e">
        <f t="shared" ca="1" si="9"/>
        <v>#VALUE!</v>
      </c>
      <c r="R41" s="35" t="e">
        <f t="shared" ca="1" si="10"/>
        <v>#VALUE!</v>
      </c>
      <c r="S41" s="35" t="e">
        <f t="shared" ca="1" si="11"/>
        <v>#VALUE!</v>
      </c>
      <c r="T41" s="35" t="e">
        <f t="shared" ca="1" si="12"/>
        <v>#VALUE!</v>
      </c>
      <c r="U41" s="35" t="e">
        <f t="shared" ca="1" si="13"/>
        <v>#VALUE!</v>
      </c>
      <c r="V41" s="35" t="e">
        <f t="shared" ca="1" si="14"/>
        <v>#VALUE!</v>
      </c>
    </row>
    <row r="42" spans="1:22">
      <c r="B42" s="35">
        <v>0.58367185674448252</v>
      </c>
      <c r="C42" s="35">
        <v>2.0841504898711007</v>
      </c>
      <c r="D42" s="35">
        <v>0.75171422039661484</v>
      </c>
      <c r="F42" s="35"/>
      <c r="J42" s="183">
        <v>30</v>
      </c>
      <c r="K42" s="35" t="e">
        <f ca="1">MCond(OFFSET($B$12,(ROW(A30)-1)*4,0,3,3))</f>
        <v>#VALUE!</v>
      </c>
      <c r="M42" t="e">
        <f t="shared" ca="1" si="0"/>
        <v>#VALUE!</v>
      </c>
      <c r="N42" s="183">
        <v>30</v>
      </c>
      <c r="O42" s="35" t="e">
        <f t="shared" ca="1" si="1"/>
        <v>#VALUE!</v>
      </c>
      <c r="P42" s="35" t="e">
        <f t="shared" ca="1" si="1"/>
        <v>#VALUE!</v>
      </c>
      <c r="Q42" s="35" t="e">
        <f t="shared" ca="1" si="9"/>
        <v>#VALUE!</v>
      </c>
      <c r="R42" s="35" t="e">
        <f t="shared" ca="1" si="10"/>
        <v>#VALUE!</v>
      </c>
      <c r="S42" s="35" t="e">
        <f t="shared" ca="1" si="11"/>
        <v>#VALUE!</v>
      </c>
      <c r="T42" s="35" t="e">
        <f t="shared" ca="1" si="12"/>
        <v>#VALUE!</v>
      </c>
      <c r="U42" s="35" t="e">
        <f t="shared" ca="1" si="13"/>
        <v>#VALUE!</v>
      </c>
      <c r="V42" s="35" t="e">
        <f t="shared" ca="1" si="14"/>
        <v>#VALUE!</v>
      </c>
    </row>
    <row r="43" spans="1:22">
      <c r="B43" s="35"/>
      <c r="C43" s="35"/>
      <c r="D43" s="35"/>
      <c r="F43" s="157"/>
      <c r="J43" s="183">
        <v>31</v>
      </c>
      <c r="K43" s="35" t="e">
        <f ca="1">MCond(OFFSET($B$12,(ROW(A31)-1)*4,0,3,3))</f>
        <v>#VALUE!</v>
      </c>
      <c r="M43" t="e">
        <f t="shared" ca="1" si="0"/>
        <v>#VALUE!</v>
      </c>
      <c r="N43" s="183">
        <v>31</v>
      </c>
      <c r="O43" s="35" t="e">
        <f t="shared" ca="1" si="1"/>
        <v>#VALUE!</v>
      </c>
      <c r="P43" s="35" t="e">
        <f t="shared" ca="1" si="1"/>
        <v>#VALUE!</v>
      </c>
      <c r="Q43" s="35" t="e">
        <f t="shared" ca="1" si="9"/>
        <v>#VALUE!</v>
      </c>
      <c r="R43" s="35" t="e">
        <f t="shared" ca="1" si="10"/>
        <v>#VALUE!</v>
      </c>
      <c r="S43" s="35" t="e">
        <f t="shared" ca="1" si="11"/>
        <v>#VALUE!</v>
      </c>
      <c r="T43" s="35" t="e">
        <f t="shared" ca="1" si="12"/>
        <v>#VALUE!</v>
      </c>
      <c r="U43" s="35" t="e">
        <f t="shared" ca="1" si="13"/>
        <v>#VALUE!</v>
      </c>
      <c r="V43" s="35" t="e">
        <f t="shared" ca="1" si="14"/>
        <v>#VALUE!</v>
      </c>
    </row>
    <row r="44" spans="1:22">
      <c r="B44" s="35">
        <v>-1.253875629566908</v>
      </c>
      <c r="C44" s="35">
        <v>-3.2592166127769939E-2</v>
      </c>
      <c r="D44" s="35">
        <v>0.73934661383723232</v>
      </c>
      <c r="F44" s="35"/>
      <c r="J44" s="183">
        <v>32</v>
      </c>
      <c r="K44" s="35" t="e">
        <f ca="1">MCond(OFFSET($B$12,(ROW(A32)-1)*4,0,3,3))</f>
        <v>#VALUE!</v>
      </c>
      <c r="M44" t="e">
        <f t="shared" ca="1" si="0"/>
        <v>#VALUE!</v>
      </c>
      <c r="N44" s="183">
        <v>32</v>
      </c>
      <c r="O44" s="35" t="e">
        <f t="shared" ca="1" si="1"/>
        <v>#VALUE!</v>
      </c>
      <c r="P44" s="35" t="e">
        <f t="shared" ca="1" si="1"/>
        <v>#VALUE!</v>
      </c>
      <c r="Q44" s="35" t="e">
        <f t="shared" ca="1" si="9"/>
        <v>#VALUE!</v>
      </c>
      <c r="R44" s="35" t="e">
        <f t="shared" ca="1" si="10"/>
        <v>#VALUE!</v>
      </c>
      <c r="S44" s="35" t="e">
        <f t="shared" ca="1" si="11"/>
        <v>#VALUE!</v>
      </c>
      <c r="T44" s="35" t="e">
        <f t="shared" ca="1" si="12"/>
        <v>#VALUE!</v>
      </c>
      <c r="U44" s="35" t="e">
        <f t="shared" ca="1" si="13"/>
        <v>#VALUE!</v>
      </c>
      <c r="V44" s="35" t="e">
        <f t="shared" ca="1" si="14"/>
        <v>#VALUE!</v>
      </c>
    </row>
    <row r="45" spans="1:22">
      <c r="A45" t="s">
        <v>222</v>
      </c>
      <c r="B45" s="35">
        <v>-1.4028471761352286</v>
      </c>
      <c r="C45" s="35">
        <v>0.814665459345566</v>
      </c>
      <c r="D45" s="35">
        <v>0.7195871750303805</v>
      </c>
      <c r="F45" s="35" t="e">
        <f ca="1">MCond(B44:D46)</f>
        <v>#VALUE!</v>
      </c>
      <c r="J45" s="183">
        <v>33</v>
      </c>
      <c r="K45" s="35" t="e">
        <f ca="1">MCond(OFFSET($B$12,(ROW(A33)-1)*4,0,3,3))</f>
        <v>#VALUE!</v>
      </c>
      <c r="M45" t="e">
        <f t="shared" ca="1" si="0"/>
        <v>#VALUE!</v>
      </c>
      <c r="N45" s="183">
        <v>33</v>
      </c>
      <c r="O45" s="35" t="e">
        <f t="shared" ca="1" si="1"/>
        <v>#VALUE!</v>
      </c>
      <c r="P45" s="35" t="e">
        <f t="shared" ca="1" si="1"/>
        <v>#VALUE!</v>
      </c>
      <c r="Q45" s="35" t="e">
        <f t="shared" ca="1" si="9"/>
        <v>#VALUE!</v>
      </c>
      <c r="R45" s="35" t="e">
        <f t="shared" ca="1" si="10"/>
        <v>#VALUE!</v>
      </c>
      <c r="S45" s="35" t="e">
        <f t="shared" ca="1" si="11"/>
        <v>#VALUE!</v>
      </c>
      <c r="T45" s="35" t="e">
        <f t="shared" ca="1" si="12"/>
        <v>#VALUE!</v>
      </c>
      <c r="U45" s="35" t="e">
        <f t="shared" ca="1" si="13"/>
        <v>#VALUE!</v>
      </c>
      <c r="V45" s="35" t="e">
        <f t="shared" ca="1" si="14"/>
        <v>#VALUE!</v>
      </c>
    </row>
    <row r="46" spans="1:22">
      <c r="B46" s="35">
        <v>-2.5457845528396139E-2</v>
      </c>
      <c r="C46" s="35">
        <v>2.3667658472617719</v>
      </c>
      <c r="D46" s="35">
        <v>6.368425350466822E-2</v>
      </c>
      <c r="F46" s="35"/>
      <c r="J46" s="183">
        <v>34</v>
      </c>
      <c r="K46" s="35" t="e">
        <f ca="1">MCond(OFFSET($B$12,(ROW(A34)-1)*4,0,3,3))</f>
        <v>#VALUE!</v>
      </c>
      <c r="M46" t="e">
        <f t="shared" ca="1" si="0"/>
        <v>#VALUE!</v>
      </c>
      <c r="N46" s="183">
        <v>34</v>
      </c>
      <c r="O46" s="35" t="e">
        <f t="shared" ca="1" si="1"/>
        <v>#VALUE!</v>
      </c>
      <c r="P46" s="35" t="e">
        <f t="shared" ca="1" si="1"/>
        <v>#VALUE!</v>
      </c>
      <c r="Q46" s="35" t="e">
        <f t="shared" ca="1" si="9"/>
        <v>#VALUE!</v>
      </c>
      <c r="R46" s="35" t="e">
        <f t="shared" ca="1" si="10"/>
        <v>#VALUE!</v>
      </c>
      <c r="S46" s="35" t="e">
        <f t="shared" ca="1" si="11"/>
        <v>#VALUE!</v>
      </c>
      <c r="T46" s="35" t="e">
        <f t="shared" ca="1" si="12"/>
        <v>#VALUE!</v>
      </c>
      <c r="U46" s="35" t="e">
        <f t="shared" ca="1" si="13"/>
        <v>#VALUE!</v>
      </c>
      <c r="V46" s="35" t="e">
        <f t="shared" ca="1" si="14"/>
        <v>#VALUE!</v>
      </c>
    </row>
    <row r="47" spans="1:22">
      <c r="B47" s="35"/>
      <c r="C47" s="35"/>
      <c r="D47" s="35"/>
      <c r="F47" s="157"/>
      <c r="J47" s="183">
        <v>35</v>
      </c>
      <c r="K47" s="35" t="e">
        <f ca="1">MCond(OFFSET($B$12,(ROW(A35)-1)*4,0,3,3))</f>
        <v>#VALUE!</v>
      </c>
      <c r="M47" t="e">
        <f t="shared" ca="1" si="0"/>
        <v>#VALUE!</v>
      </c>
      <c r="N47" s="183">
        <v>35</v>
      </c>
      <c r="O47" s="35" t="e">
        <f t="shared" ca="1" si="1"/>
        <v>#VALUE!</v>
      </c>
      <c r="P47" s="35" t="e">
        <f t="shared" ca="1" si="1"/>
        <v>#VALUE!</v>
      </c>
      <c r="Q47" s="35" t="e">
        <f t="shared" ca="1" si="9"/>
        <v>#VALUE!</v>
      </c>
      <c r="R47" s="35" t="e">
        <f t="shared" ca="1" si="10"/>
        <v>#VALUE!</v>
      </c>
      <c r="S47" s="35" t="e">
        <f t="shared" ca="1" si="11"/>
        <v>#VALUE!</v>
      </c>
      <c r="T47" s="35" t="e">
        <f t="shared" ca="1" si="12"/>
        <v>#VALUE!</v>
      </c>
      <c r="U47" s="35" t="e">
        <f t="shared" ca="1" si="13"/>
        <v>#VALUE!</v>
      </c>
      <c r="V47" s="35" t="e">
        <f t="shared" ca="1" si="14"/>
        <v>#VALUE!</v>
      </c>
    </row>
    <row r="48" spans="1:22">
      <c r="B48" s="35">
        <v>-1.253875629566908</v>
      </c>
      <c r="C48" s="35">
        <v>-3.2592166127769939E-2</v>
      </c>
      <c r="D48" s="35">
        <v>0.73934661383723232</v>
      </c>
      <c r="F48" s="35"/>
      <c r="J48">
        <v>36</v>
      </c>
      <c r="K48" s="35" t="e">
        <f ca="1">MCond(OFFSET($B$12,(ROW(A36)-1)*4,0,3,3))</f>
        <v>#VALUE!</v>
      </c>
      <c r="M48" t="e">
        <f t="shared" ca="1" si="0"/>
        <v>#VALUE!</v>
      </c>
    </row>
    <row r="49" spans="1:13">
      <c r="A49" t="s">
        <v>223</v>
      </c>
      <c r="B49" s="35">
        <v>1.4421025939282253</v>
      </c>
      <c r="C49" s="35">
        <v>1.0431877148697888</v>
      </c>
      <c r="D49" s="35">
        <v>0.78932433807079116</v>
      </c>
      <c r="F49" s="35" t="e">
        <f ca="1">MCond(B48:D50)</f>
        <v>#VALUE!</v>
      </c>
      <c r="J49">
        <v>37</v>
      </c>
      <c r="K49" s="35" t="e">
        <f ca="1">MCond(OFFSET($B$12,(ROW(A37)-1)*4,0,3,3))</f>
        <v>#VALUE!</v>
      </c>
      <c r="M49" t="e">
        <f t="shared" ca="1" si="0"/>
        <v>#VALUE!</v>
      </c>
    </row>
    <row r="50" spans="1:13">
      <c r="B50" s="35">
        <v>-1.0351585166444348</v>
      </c>
      <c r="C50" s="35">
        <v>2.1037449841221099</v>
      </c>
      <c r="D50" s="35">
        <v>0.82913701269133588</v>
      </c>
      <c r="F50" s="35"/>
      <c r="J50">
        <v>38</v>
      </c>
      <c r="K50" s="35" t="e">
        <f ca="1">MCond(OFFSET($B$12,(ROW(A38)-1)*4,0,3,3))</f>
        <v>#VALUE!</v>
      </c>
      <c r="M50" t="e">
        <f t="shared" ca="1" si="0"/>
        <v>#VALUE!</v>
      </c>
    </row>
    <row r="51" spans="1:13">
      <c r="B51" s="35"/>
      <c r="C51" s="35"/>
      <c r="D51" s="35"/>
      <c r="F51" s="157"/>
      <c r="J51">
        <v>39</v>
      </c>
      <c r="K51" s="35" t="e">
        <f ca="1">MCond(OFFSET($B$12,(ROW(A39)-1)*4,0,3,3))</f>
        <v>#VALUE!</v>
      </c>
      <c r="M51" t="e">
        <f t="shared" ca="1" si="0"/>
        <v>#VALUE!</v>
      </c>
    </row>
    <row r="52" spans="1:13">
      <c r="B52" s="35">
        <v>-1.253875629566908</v>
      </c>
      <c r="C52" s="35">
        <v>-3.2592166127769939E-2</v>
      </c>
      <c r="D52" s="35">
        <v>0.73934661383723232</v>
      </c>
      <c r="F52" s="35"/>
      <c r="J52">
        <v>40</v>
      </c>
      <c r="K52" s="35" t="e">
        <f ca="1">MCond(OFFSET($B$12,(ROW(A40)-1)*4,0,3,3))</f>
        <v>#VALUE!</v>
      </c>
      <c r="M52" t="e">
        <f t="shared" ca="1" si="0"/>
        <v>#VALUE!</v>
      </c>
    </row>
    <row r="53" spans="1:13">
      <c r="A53" t="s">
        <v>224</v>
      </c>
      <c r="B53" s="35">
        <v>1.4421025939282253</v>
      </c>
      <c r="C53" s="35">
        <v>1.0431877148697888</v>
      </c>
      <c r="D53" s="35">
        <v>0.78932433807079116</v>
      </c>
      <c r="F53" s="35" t="e">
        <f ca="1">MCond(B52:D54)</f>
        <v>#VALUE!</v>
      </c>
      <c r="J53">
        <v>41</v>
      </c>
      <c r="K53" s="35" t="e">
        <f ca="1">MCond(OFFSET($B$12,(ROW(A41)-1)*4,0,3,3))</f>
        <v>#VALUE!</v>
      </c>
      <c r="M53" t="e">
        <f t="shared" ca="1" si="0"/>
        <v>#VALUE!</v>
      </c>
    </row>
    <row r="54" spans="1:13">
      <c r="B54" s="35">
        <v>0.58367185674448252</v>
      </c>
      <c r="C54" s="35">
        <v>2.0841504898711007</v>
      </c>
      <c r="D54" s="35">
        <v>0.75171422039661484</v>
      </c>
      <c r="F54" s="35"/>
      <c r="J54">
        <v>42</v>
      </c>
      <c r="K54" s="35" t="e">
        <f ca="1">MCond(OFFSET($B$12,(ROW(A42)-1)*4,0,3,3))</f>
        <v>#VALUE!</v>
      </c>
      <c r="M54" t="e">
        <f t="shared" ca="1" si="0"/>
        <v>#VALUE!</v>
      </c>
    </row>
    <row r="55" spans="1:13">
      <c r="B55" s="35"/>
      <c r="C55" s="35"/>
      <c r="D55" s="35"/>
      <c r="F55" s="157"/>
      <c r="J55">
        <v>43</v>
      </c>
      <c r="K55" s="35" t="e">
        <f ca="1">MCond(OFFSET($B$12,(ROW(A43)-1)*4,0,3,3))</f>
        <v>#VALUE!</v>
      </c>
      <c r="M55" t="e">
        <f t="shared" ca="1" si="0"/>
        <v>#VALUE!</v>
      </c>
    </row>
    <row r="56" spans="1:13">
      <c r="B56" s="35">
        <v>-1.253875629566908</v>
      </c>
      <c r="C56" s="35">
        <v>-3.2592166127769939E-2</v>
      </c>
      <c r="D56" s="35">
        <v>0.73934661383723232</v>
      </c>
      <c r="F56" s="35"/>
      <c r="J56">
        <v>44</v>
      </c>
      <c r="K56" s="35" t="e">
        <f ca="1">MCond(OFFSET($B$12,(ROW(A44)-1)*4,0,3,3))</f>
        <v>#VALUE!</v>
      </c>
      <c r="M56" t="e">
        <f t="shared" ca="1" si="0"/>
        <v>#VALUE!</v>
      </c>
    </row>
    <row r="57" spans="1:13">
      <c r="A57" t="s">
        <v>225</v>
      </c>
      <c r="B57" s="35">
        <v>1.4421025939282253</v>
      </c>
      <c r="C57" s="35">
        <v>1.0431877148697888</v>
      </c>
      <c r="D57" s="35">
        <v>0.78932433807079116</v>
      </c>
      <c r="F57" s="35" t="e">
        <f ca="1">MCond(B56:D58)</f>
        <v>#VALUE!</v>
      </c>
      <c r="J57">
        <v>45</v>
      </c>
      <c r="K57" s="35" t="e">
        <f ca="1">MCond(OFFSET($B$12,(ROW(A45)-1)*4,0,3,3))</f>
        <v>#VALUE!</v>
      </c>
      <c r="M57" t="e">
        <f t="shared" ca="1" si="0"/>
        <v>#VALUE!</v>
      </c>
    </row>
    <row r="58" spans="1:13">
      <c r="B58" s="35">
        <v>-2.5457845528396139E-2</v>
      </c>
      <c r="C58" s="35">
        <v>2.3667658472617719</v>
      </c>
      <c r="D58" s="35">
        <v>6.368425350466822E-2</v>
      </c>
      <c r="F58" s="35"/>
      <c r="J58">
        <v>46</v>
      </c>
      <c r="K58" s="35" t="e">
        <f ca="1">MCond(OFFSET($B$12,(ROW(A46)-1)*4,0,3,3))</f>
        <v>#VALUE!</v>
      </c>
      <c r="M58" t="e">
        <f t="shared" ca="1" si="0"/>
        <v>#VALUE!</v>
      </c>
    </row>
    <row r="59" spans="1:13">
      <c r="B59" s="35"/>
      <c r="C59" s="35"/>
      <c r="D59" s="35"/>
      <c r="F59" s="157"/>
      <c r="J59">
        <v>47</v>
      </c>
      <c r="K59" s="35" t="e">
        <f ca="1">MCond(OFFSET($B$12,(ROW(A47)-1)*4,0,3,3))</f>
        <v>#VALUE!</v>
      </c>
      <c r="M59" t="e">
        <f t="shared" ca="1" si="0"/>
        <v>#VALUE!</v>
      </c>
    </row>
    <row r="60" spans="1:13">
      <c r="B60" s="35">
        <v>-1.253875629566908</v>
      </c>
      <c r="C60" s="35">
        <v>-3.2592166127769939E-2</v>
      </c>
      <c r="D60" s="35">
        <v>0.73934661383723232</v>
      </c>
      <c r="F60" s="35"/>
      <c r="J60">
        <v>48</v>
      </c>
      <c r="K60" s="35" t="e">
        <f ca="1">MCond(OFFSET($B$12,(ROW(A48)-1)*4,0,3,3))</f>
        <v>#VALUE!</v>
      </c>
      <c r="M60" t="e">
        <f t="shared" ca="1" si="0"/>
        <v>#VALUE!</v>
      </c>
    </row>
    <row r="61" spans="1:13">
      <c r="A61" t="s">
        <v>226</v>
      </c>
      <c r="B61" s="35">
        <v>-1.0351585166444348</v>
      </c>
      <c r="C61" s="35">
        <v>2.1037449841221099</v>
      </c>
      <c r="D61" s="35">
        <v>0.82913701269133588</v>
      </c>
      <c r="F61" s="35" t="e">
        <f ca="1">MCond(B60:D62)</f>
        <v>#VALUE!</v>
      </c>
      <c r="J61">
        <v>49</v>
      </c>
      <c r="K61" s="35" t="e">
        <f ca="1">MCond(OFFSET($B$12,(ROW(A49)-1)*4,0,3,3))</f>
        <v>#VALUE!</v>
      </c>
      <c r="M61" t="e">
        <f t="shared" ca="1" si="0"/>
        <v>#VALUE!</v>
      </c>
    </row>
    <row r="62" spans="1:13">
      <c r="B62" s="35">
        <v>0.58367185674448252</v>
      </c>
      <c r="C62" s="35">
        <v>2.0841504898711007</v>
      </c>
      <c r="D62" s="35">
        <v>0.75171422039661484</v>
      </c>
      <c r="F62" s="35"/>
      <c r="J62">
        <v>50</v>
      </c>
      <c r="K62" s="35" t="e">
        <f ca="1">MCond(OFFSET($B$12,(ROW(A50)-1)*4,0,3,3))</f>
        <v>#VALUE!</v>
      </c>
      <c r="M62" t="e">
        <f t="shared" ca="1" si="0"/>
        <v>#VALUE!</v>
      </c>
    </row>
    <row r="63" spans="1:13">
      <c r="B63" s="35"/>
      <c r="C63" s="35"/>
      <c r="D63" s="35"/>
      <c r="F63" s="157"/>
      <c r="J63">
        <v>51</v>
      </c>
      <c r="K63" s="35" t="e">
        <f ca="1">MCond(OFFSET($B$12,(ROW(A51)-1)*4,0,3,3))</f>
        <v>#VALUE!</v>
      </c>
      <c r="M63" t="e">
        <f t="shared" ca="1" si="0"/>
        <v>#VALUE!</v>
      </c>
    </row>
    <row r="64" spans="1:13">
      <c r="B64" s="35">
        <v>-1.253875629566908</v>
      </c>
      <c r="C64" s="35">
        <v>-3.2592166127769939E-2</v>
      </c>
      <c r="D64" s="35">
        <v>0.73934661383723232</v>
      </c>
      <c r="F64" s="35"/>
      <c r="J64">
        <v>52</v>
      </c>
      <c r="K64" s="35" t="e">
        <f ca="1">MCond(OFFSET($B$12,(ROW(A52)-1)*4,0,3,3))</f>
        <v>#VALUE!</v>
      </c>
      <c r="M64" t="e">
        <f t="shared" ca="1" si="0"/>
        <v>#VALUE!</v>
      </c>
    </row>
    <row r="65" spans="1:13">
      <c r="A65" t="s">
        <v>227</v>
      </c>
      <c r="B65" s="35">
        <v>-1.0351585166444348</v>
      </c>
      <c r="C65" s="35">
        <v>2.1037449841221099</v>
      </c>
      <c r="D65" s="35">
        <v>0.82913701269133588</v>
      </c>
      <c r="F65" s="35" t="e">
        <f ca="1">MCond(B64:D66)</f>
        <v>#VALUE!</v>
      </c>
      <c r="J65">
        <v>53</v>
      </c>
      <c r="K65" s="35" t="e">
        <f ca="1">MCond(OFFSET($B$12,(ROW(A53)-1)*4,0,3,3))</f>
        <v>#VALUE!</v>
      </c>
      <c r="M65" t="e">
        <f t="shared" ca="1" si="0"/>
        <v>#VALUE!</v>
      </c>
    </row>
    <row r="66" spans="1:13">
      <c r="B66" s="35">
        <v>-2.5457845528396139E-2</v>
      </c>
      <c r="C66" s="35">
        <v>2.3667658472617719</v>
      </c>
      <c r="D66" s="35">
        <v>6.368425350466822E-2</v>
      </c>
      <c r="F66" s="35"/>
      <c r="J66">
        <v>54</v>
      </c>
      <c r="K66" s="35" t="e">
        <f ca="1">MCond(OFFSET($B$12,(ROW(A54)-1)*4,0,3,3))</f>
        <v>#VALUE!</v>
      </c>
      <c r="M66" t="e">
        <f t="shared" ca="1" si="0"/>
        <v>#VALUE!</v>
      </c>
    </row>
    <row r="67" spans="1:13">
      <c r="B67" s="35"/>
      <c r="C67" s="35"/>
      <c r="D67" s="35"/>
      <c r="F67" s="157"/>
      <c r="J67">
        <v>55</v>
      </c>
      <c r="K67" s="35" t="e">
        <f ca="1">MCond(OFFSET($B$12,(ROW(A55)-1)*4,0,3,3))</f>
        <v>#VALUE!</v>
      </c>
      <c r="M67" t="e">
        <f t="shared" ca="1" si="0"/>
        <v>#VALUE!</v>
      </c>
    </row>
    <row r="68" spans="1:13">
      <c r="B68" s="35">
        <v>-1.253875629566908</v>
      </c>
      <c r="C68" s="35">
        <v>-3.2592166127769939E-2</v>
      </c>
      <c r="D68" s="35">
        <v>0.73934661383723232</v>
      </c>
      <c r="F68" s="35"/>
      <c r="J68">
        <v>56</v>
      </c>
      <c r="K68" s="35" t="e">
        <f ca="1">MCond(OFFSET($B$12,(ROW(A56)-1)*4,0,3,3))</f>
        <v>#VALUE!</v>
      </c>
      <c r="M68" t="e">
        <f t="shared" ca="1" si="0"/>
        <v>#VALUE!</v>
      </c>
    </row>
    <row r="69" spans="1:13">
      <c r="A69" t="s">
        <v>228</v>
      </c>
      <c r="B69" s="35">
        <v>0.58367185674448252</v>
      </c>
      <c r="C69" s="35">
        <v>2.0841504898711007</v>
      </c>
      <c r="D69" s="35">
        <v>0.75171422039661484</v>
      </c>
      <c r="F69" s="35" t="e">
        <f ca="1">MCond(B68:D70)</f>
        <v>#VALUE!</v>
      </c>
      <c r="J69">
        <v>57</v>
      </c>
      <c r="K69" s="35" t="e">
        <f ca="1">MCond(OFFSET($B$12,(ROW(A57)-1)*4,0,3,3))</f>
        <v>#VALUE!</v>
      </c>
      <c r="M69" t="e">
        <f t="shared" ca="1" si="0"/>
        <v>#VALUE!</v>
      </c>
    </row>
    <row r="70" spans="1:13">
      <c r="B70" s="35">
        <v>-2.5457845528396139E-2</v>
      </c>
      <c r="C70" s="35">
        <v>2.3667658472617719</v>
      </c>
      <c r="D70" s="35">
        <v>6.368425350466822E-2</v>
      </c>
      <c r="F70" s="35"/>
      <c r="J70">
        <v>58</v>
      </c>
      <c r="K70" s="35" t="e">
        <f ca="1">MCond(OFFSET($B$12,(ROW(A58)-1)*4,0,3,3))</f>
        <v>#VALUE!</v>
      </c>
      <c r="M70" t="e">
        <f t="shared" ca="1" si="0"/>
        <v>#VALUE!</v>
      </c>
    </row>
    <row r="71" spans="1:13">
      <c r="B71" s="35"/>
      <c r="C71" s="35"/>
      <c r="D71" s="35"/>
      <c r="F71" s="157"/>
      <c r="J71">
        <v>59</v>
      </c>
      <c r="K71" s="35" t="e">
        <f ca="1">MCond(OFFSET($B$12,(ROW(A59)-1)*4,0,3,3))</f>
        <v>#VALUE!</v>
      </c>
      <c r="M71" t="e">
        <f t="shared" ca="1" si="0"/>
        <v>#VALUE!</v>
      </c>
    </row>
    <row r="72" spans="1:13">
      <c r="B72" s="35">
        <v>1.0419123890112216</v>
      </c>
      <c r="C72" s="35">
        <v>-4.0818532431212473E-2</v>
      </c>
      <c r="D72" s="35">
        <v>0.77248383184656022</v>
      </c>
      <c r="F72" s="35"/>
      <c r="J72">
        <v>60</v>
      </c>
      <c r="K72" s="35" t="e">
        <f ca="1">MCond(OFFSET($B$12,(ROW(A60)-1)*4,0,3,3))</f>
        <v>#VALUE!</v>
      </c>
      <c r="M72" t="e">
        <f t="shared" ca="1" si="0"/>
        <v>#VALUE!</v>
      </c>
    </row>
    <row r="73" spans="1:13">
      <c r="A73" t="s">
        <v>229</v>
      </c>
      <c r="B73" s="35">
        <v>-1.4028471761352286</v>
      </c>
      <c r="C73" s="35">
        <v>0.814665459345566</v>
      </c>
      <c r="D73" s="35">
        <v>0.7195871750303805</v>
      </c>
      <c r="F73" s="35" t="e">
        <f ca="1">MCond(B72:D74)</f>
        <v>#VALUE!</v>
      </c>
      <c r="J73">
        <v>61</v>
      </c>
      <c r="K73" s="35" t="e">
        <f ca="1">MCond(OFFSET($B$12,(ROW(A61)-1)*4,0,3,3))</f>
        <v>#VALUE!</v>
      </c>
      <c r="M73" t="e">
        <f t="shared" ca="1" si="0"/>
        <v>#VALUE!</v>
      </c>
    </row>
    <row r="74" spans="1:13">
      <c r="B74" s="35">
        <v>1.4421025939282253</v>
      </c>
      <c r="C74" s="35">
        <v>1.0431877148697888</v>
      </c>
      <c r="D74" s="35">
        <v>0.78932433807079116</v>
      </c>
      <c r="F74" s="35"/>
      <c r="J74">
        <v>62</v>
      </c>
      <c r="K74" s="35" t="e">
        <f ca="1">MCond(OFFSET($B$12,(ROW(A62)-1)*4,0,3,3))</f>
        <v>#VALUE!</v>
      </c>
      <c r="M74" t="e">
        <f t="shared" ca="1" si="0"/>
        <v>#VALUE!</v>
      </c>
    </row>
    <row r="75" spans="1:13">
      <c r="B75" s="35"/>
      <c r="C75" s="35"/>
      <c r="D75" s="35"/>
      <c r="F75" s="157"/>
      <c r="J75">
        <v>63</v>
      </c>
      <c r="K75" s="35" t="e">
        <f ca="1">MCond(OFFSET($B$12,(ROW(A63)-1)*4,0,3,3))</f>
        <v>#VALUE!</v>
      </c>
      <c r="M75" t="e">
        <f t="shared" ca="1" si="0"/>
        <v>#VALUE!</v>
      </c>
    </row>
    <row r="76" spans="1:13">
      <c r="B76" s="35">
        <v>1.0419123890112216</v>
      </c>
      <c r="C76" s="35">
        <v>-4.0818532431212473E-2</v>
      </c>
      <c r="D76" s="35">
        <v>0.77248383184656022</v>
      </c>
      <c r="F76" s="35"/>
      <c r="J76">
        <v>64</v>
      </c>
      <c r="K76" s="35" t="e">
        <f ca="1">MCond(OFFSET($B$12,(ROW(A64)-1)*4,0,3,3))</f>
        <v>#VALUE!</v>
      </c>
      <c r="M76" t="e">
        <f t="shared" ca="1" si="0"/>
        <v>#VALUE!</v>
      </c>
    </row>
    <row r="77" spans="1:13">
      <c r="A77" t="s">
        <v>230</v>
      </c>
      <c r="B77" s="35">
        <v>-1.4028471761352286</v>
      </c>
      <c r="C77" s="35">
        <v>0.814665459345566</v>
      </c>
      <c r="D77" s="35">
        <v>0.7195871750303805</v>
      </c>
      <c r="F77" s="35" t="e">
        <f ca="1">MCond(B76:D78)</f>
        <v>#VALUE!</v>
      </c>
      <c r="J77">
        <v>65</v>
      </c>
      <c r="K77" s="35" t="e">
        <f ca="1">MCond(OFFSET($B$12,(ROW(A65)-1)*4,0,3,3))</f>
        <v>#VALUE!</v>
      </c>
      <c r="M77" t="e">
        <f t="shared" ca="1" si="0"/>
        <v>#VALUE!</v>
      </c>
    </row>
    <row r="78" spans="1:13">
      <c r="B78" s="35">
        <v>-1.0351585166444348</v>
      </c>
      <c r="C78" s="35">
        <v>2.1037449841221099</v>
      </c>
      <c r="D78" s="35">
        <v>0.82913701269133588</v>
      </c>
      <c r="F78" s="35"/>
      <c r="J78">
        <v>66</v>
      </c>
      <c r="K78" s="35" t="e">
        <f ca="1">MCond(OFFSET($B$12,(ROW(A66)-1)*4,0,3,3))</f>
        <v>#VALUE!</v>
      </c>
      <c r="M78" t="e">
        <f t="shared" ref="M78:M141" ca="1" si="15">K78/$L$13</f>
        <v>#VALUE!</v>
      </c>
    </row>
    <row r="79" spans="1:13">
      <c r="B79" s="35"/>
      <c r="C79" s="35"/>
      <c r="D79" s="35"/>
      <c r="F79" s="157"/>
      <c r="J79">
        <v>67</v>
      </c>
      <c r="K79" s="35" t="e">
        <f ca="1">MCond(OFFSET($B$12,(ROW(A67)-1)*4,0,3,3))</f>
        <v>#VALUE!</v>
      </c>
      <c r="M79" t="e">
        <f t="shared" ca="1" si="15"/>
        <v>#VALUE!</v>
      </c>
    </row>
    <row r="80" spans="1:13">
      <c r="B80" s="35">
        <v>1.0419123890112216</v>
      </c>
      <c r="C80" s="35">
        <v>-4.0818532431212473E-2</v>
      </c>
      <c r="D80" s="35">
        <v>0.77248383184656022</v>
      </c>
      <c r="F80" s="35"/>
      <c r="J80">
        <v>68</v>
      </c>
      <c r="K80" s="35" t="e">
        <f ca="1">MCond(OFFSET($B$12,(ROW(A68)-1)*4,0,3,3))</f>
        <v>#VALUE!</v>
      </c>
      <c r="M80" t="e">
        <f t="shared" ca="1" si="15"/>
        <v>#VALUE!</v>
      </c>
    </row>
    <row r="81" spans="1:13">
      <c r="A81" t="s">
        <v>231</v>
      </c>
      <c r="B81" s="35">
        <v>-1.4028471761352286</v>
      </c>
      <c r="C81" s="35">
        <v>0.814665459345566</v>
      </c>
      <c r="D81" s="35">
        <v>0.7195871750303805</v>
      </c>
      <c r="F81" s="35" t="e">
        <f ca="1">MCond(B80:D82)</f>
        <v>#VALUE!</v>
      </c>
      <c r="J81">
        <v>69</v>
      </c>
      <c r="K81" s="35" t="e">
        <f ca="1">MCond(OFFSET($B$12,(ROW(A69)-1)*4,0,3,3))</f>
        <v>#VALUE!</v>
      </c>
      <c r="M81" t="e">
        <f t="shared" ca="1" si="15"/>
        <v>#VALUE!</v>
      </c>
    </row>
    <row r="82" spans="1:13">
      <c r="B82" s="35">
        <v>0.58367185674448252</v>
      </c>
      <c r="C82" s="35">
        <v>2.0841504898711007</v>
      </c>
      <c r="D82" s="35">
        <v>0.75171422039661484</v>
      </c>
      <c r="F82" s="35"/>
      <c r="J82">
        <v>70</v>
      </c>
      <c r="K82" s="35" t="e">
        <f ca="1">MCond(OFFSET($B$12,(ROW(A70)-1)*4,0,3,3))</f>
        <v>#VALUE!</v>
      </c>
      <c r="M82" t="e">
        <f t="shared" ca="1" si="15"/>
        <v>#VALUE!</v>
      </c>
    </row>
    <row r="83" spans="1:13">
      <c r="B83" s="35"/>
      <c r="C83" s="35"/>
      <c r="D83" s="35"/>
      <c r="F83" s="157"/>
      <c r="J83">
        <v>71</v>
      </c>
      <c r="K83" s="35" t="e">
        <f ca="1">MCond(OFFSET($B$12,(ROW(A71)-1)*4,0,3,3))</f>
        <v>#VALUE!</v>
      </c>
      <c r="M83" t="e">
        <f t="shared" ca="1" si="15"/>
        <v>#VALUE!</v>
      </c>
    </row>
    <row r="84" spans="1:13">
      <c r="B84" s="35">
        <v>1.0419123890112216</v>
      </c>
      <c r="C84" s="35">
        <v>-4.0818532431212473E-2</v>
      </c>
      <c r="D84" s="35">
        <v>0.77248383184656022</v>
      </c>
      <c r="F84" s="35"/>
      <c r="J84">
        <v>72</v>
      </c>
      <c r="K84" s="35" t="e">
        <f ca="1">MCond(OFFSET($B$12,(ROW(A72)-1)*4,0,3,3))</f>
        <v>#VALUE!</v>
      </c>
      <c r="M84" t="e">
        <f t="shared" ca="1" si="15"/>
        <v>#VALUE!</v>
      </c>
    </row>
    <row r="85" spans="1:13">
      <c r="A85" t="s">
        <v>232</v>
      </c>
      <c r="B85" s="35">
        <v>-1.4028471761352286</v>
      </c>
      <c r="C85" s="35">
        <v>0.814665459345566</v>
      </c>
      <c r="D85" s="35">
        <v>0.7195871750303805</v>
      </c>
      <c r="F85" s="35" t="e">
        <f ca="1">MCond(B84:D86)</f>
        <v>#VALUE!</v>
      </c>
      <c r="J85">
        <v>73</v>
      </c>
      <c r="K85" s="35" t="e">
        <f ca="1">MCond(OFFSET($B$12,(ROW(A73)-1)*4,0,3,3))</f>
        <v>#VALUE!</v>
      </c>
      <c r="M85" t="e">
        <f t="shared" ca="1" si="15"/>
        <v>#VALUE!</v>
      </c>
    </row>
    <row r="86" spans="1:13">
      <c r="B86" s="35">
        <v>-2.5457845528396139E-2</v>
      </c>
      <c r="C86" s="35">
        <v>2.3667658472617719</v>
      </c>
      <c r="D86" s="35">
        <v>6.368425350466822E-2</v>
      </c>
      <c r="F86" s="35"/>
      <c r="J86">
        <v>74</v>
      </c>
      <c r="K86" s="35" t="e">
        <f ca="1">MCond(OFFSET($B$12,(ROW(A74)-1)*4,0,3,3))</f>
        <v>#VALUE!</v>
      </c>
      <c r="M86" t="e">
        <f t="shared" ca="1" si="15"/>
        <v>#VALUE!</v>
      </c>
    </row>
    <row r="87" spans="1:13">
      <c r="B87" s="35"/>
      <c r="C87" s="35"/>
      <c r="D87" s="35"/>
      <c r="F87" s="157"/>
      <c r="J87">
        <v>75</v>
      </c>
      <c r="K87" s="35" t="e">
        <f ca="1">MCond(OFFSET($B$12,(ROW(A75)-1)*4,0,3,3))</f>
        <v>#VALUE!</v>
      </c>
      <c r="M87" t="e">
        <f t="shared" ca="1" si="15"/>
        <v>#VALUE!</v>
      </c>
    </row>
    <row r="88" spans="1:13">
      <c r="B88" s="35">
        <v>1.0419123890112216</v>
      </c>
      <c r="C88" s="35">
        <v>-4.0818532431212473E-2</v>
      </c>
      <c r="D88" s="35">
        <v>0.77248383184656022</v>
      </c>
      <c r="F88" s="35"/>
      <c r="J88">
        <v>76</v>
      </c>
      <c r="K88" s="35" t="e">
        <f ca="1">MCond(OFFSET($B$12,(ROW(A76)-1)*4,0,3,3))</f>
        <v>#VALUE!</v>
      </c>
      <c r="M88" t="e">
        <f t="shared" ca="1" si="15"/>
        <v>#VALUE!</v>
      </c>
    </row>
    <row r="89" spans="1:13">
      <c r="A89" t="s">
        <v>233</v>
      </c>
      <c r="B89" s="35">
        <v>1.4421025939282253</v>
      </c>
      <c r="C89" s="35">
        <v>1.0431877148697888</v>
      </c>
      <c r="D89" s="35">
        <v>0.78932433807079116</v>
      </c>
      <c r="F89" s="35" t="e">
        <f ca="1">MCond(B88:D90)</f>
        <v>#VALUE!</v>
      </c>
      <c r="J89">
        <v>77</v>
      </c>
      <c r="K89" s="35" t="e">
        <f ca="1">MCond(OFFSET($B$12,(ROW(A77)-1)*4,0,3,3))</f>
        <v>#VALUE!</v>
      </c>
      <c r="M89" t="e">
        <f t="shared" ca="1" si="15"/>
        <v>#VALUE!</v>
      </c>
    </row>
    <row r="90" spans="1:13">
      <c r="B90" s="35">
        <v>-1.0351585166444348</v>
      </c>
      <c r="C90" s="35">
        <v>2.1037449841221099</v>
      </c>
      <c r="D90" s="35">
        <v>0.82913701269133588</v>
      </c>
      <c r="F90" s="35"/>
      <c r="J90">
        <v>78</v>
      </c>
      <c r="K90" s="35" t="e">
        <f ca="1">MCond(OFFSET($B$12,(ROW(A78)-1)*4,0,3,3))</f>
        <v>#VALUE!</v>
      </c>
      <c r="M90" t="e">
        <f t="shared" ca="1" si="15"/>
        <v>#VALUE!</v>
      </c>
    </row>
    <row r="91" spans="1:13">
      <c r="B91" s="35"/>
      <c r="C91" s="35"/>
      <c r="D91" s="35"/>
      <c r="F91" s="157"/>
      <c r="J91">
        <v>79</v>
      </c>
      <c r="K91" s="35" t="e">
        <f ca="1">MCond(OFFSET($B$12,(ROW(A79)-1)*4,0,3,3))</f>
        <v>#VALUE!</v>
      </c>
      <c r="M91" t="e">
        <f t="shared" ca="1" si="15"/>
        <v>#VALUE!</v>
      </c>
    </row>
    <row r="92" spans="1:13">
      <c r="B92" s="35">
        <v>1.0419123890112216</v>
      </c>
      <c r="C92" s="35">
        <v>-4.0818532431212473E-2</v>
      </c>
      <c r="D92" s="35">
        <v>0.77248383184656022</v>
      </c>
      <c r="F92" s="35"/>
      <c r="J92">
        <v>80</v>
      </c>
      <c r="K92" s="35" t="e">
        <f ca="1">MCond(OFFSET($B$12,(ROW(A80)-1)*4,0,3,3))</f>
        <v>#VALUE!</v>
      </c>
      <c r="M92" t="e">
        <f t="shared" ca="1" si="15"/>
        <v>#VALUE!</v>
      </c>
    </row>
    <row r="93" spans="1:13">
      <c r="A93" t="s">
        <v>234</v>
      </c>
      <c r="B93" s="35">
        <v>1.4421025939282253</v>
      </c>
      <c r="C93" s="35">
        <v>1.0431877148697888</v>
      </c>
      <c r="D93" s="35">
        <v>0.78932433807079116</v>
      </c>
      <c r="F93" s="35" t="e">
        <f ca="1">MCond(B92:D94)</f>
        <v>#VALUE!</v>
      </c>
      <c r="J93">
        <v>81</v>
      </c>
      <c r="K93" s="35" t="e">
        <f ca="1">MCond(OFFSET($B$12,(ROW(A81)-1)*4,0,3,3))</f>
        <v>#VALUE!</v>
      </c>
      <c r="M93" t="e">
        <f t="shared" ca="1" si="15"/>
        <v>#VALUE!</v>
      </c>
    </row>
    <row r="94" spans="1:13">
      <c r="B94" s="35">
        <v>0.58367185674448252</v>
      </c>
      <c r="C94" s="35">
        <v>2.0841504898711007</v>
      </c>
      <c r="D94" s="35">
        <v>0.75171422039661484</v>
      </c>
      <c r="F94" s="35"/>
      <c r="J94">
        <v>82</v>
      </c>
      <c r="K94" s="35" t="e">
        <f ca="1">MCond(OFFSET($B$12,(ROW(A82)-1)*4,0,3,3))</f>
        <v>#VALUE!</v>
      </c>
      <c r="M94" t="e">
        <f t="shared" ca="1" si="15"/>
        <v>#VALUE!</v>
      </c>
    </row>
    <row r="95" spans="1:13">
      <c r="B95" s="35"/>
      <c r="C95" s="35"/>
      <c r="D95" s="35"/>
      <c r="F95" s="157"/>
      <c r="J95">
        <v>83</v>
      </c>
      <c r="K95" s="35" t="e">
        <f ca="1">MCond(OFFSET($B$12,(ROW(A83)-1)*4,0,3,3))</f>
        <v>#VALUE!</v>
      </c>
      <c r="M95" t="e">
        <f t="shared" ca="1" si="15"/>
        <v>#VALUE!</v>
      </c>
    </row>
    <row r="96" spans="1:13">
      <c r="B96" s="35">
        <v>1.0419123890112216</v>
      </c>
      <c r="C96" s="35">
        <v>-4.0818532431212473E-2</v>
      </c>
      <c r="D96" s="35">
        <v>0.77248383184656022</v>
      </c>
      <c r="F96" s="35"/>
      <c r="J96">
        <v>84</v>
      </c>
      <c r="K96" s="35" t="e">
        <f ca="1">MCond(OFFSET($B$12,(ROW(A84)-1)*4,0,3,3))</f>
        <v>#VALUE!</v>
      </c>
      <c r="M96" t="e">
        <f t="shared" ca="1" si="15"/>
        <v>#VALUE!</v>
      </c>
    </row>
    <row r="97" spans="1:13">
      <c r="A97" t="s">
        <v>235</v>
      </c>
      <c r="B97" s="35">
        <v>1.4421025939282253</v>
      </c>
      <c r="C97" s="35">
        <v>1.0431877148697888</v>
      </c>
      <c r="D97" s="35">
        <v>0.78932433807079116</v>
      </c>
      <c r="F97" s="35" t="e">
        <f ca="1">MCond(B96:D98)</f>
        <v>#VALUE!</v>
      </c>
      <c r="J97">
        <v>85</v>
      </c>
      <c r="K97" s="35" t="e">
        <f ca="1">MCond(OFFSET($B$12,(ROW(A85)-1)*4,0,3,3))</f>
        <v>#VALUE!</v>
      </c>
      <c r="M97" t="e">
        <f t="shared" ca="1" si="15"/>
        <v>#VALUE!</v>
      </c>
    </row>
    <row r="98" spans="1:13">
      <c r="B98" s="35">
        <v>-2.5457845528396139E-2</v>
      </c>
      <c r="C98" s="35">
        <v>2.3667658472617719</v>
      </c>
      <c r="D98" s="35">
        <v>6.368425350466822E-2</v>
      </c>
      <c r="F98" s="35"/>
      <c r="J98">
        <v>86</v>
      </c>
      <c r="K98" s="35" t="e">
        <f ca="1">MCond(OFFSET($B$12,(ROW(A86)-1)*4,0,3,3))</f>
        <v>#VALUE!</v>
      </c>
      <c r="M98" t="e">
        <f t="shared" ca="1" si="15"/>
        <v>#VALUE!</v>
      </c>
    </row>
    <row r="99" spans="1:13">
      <c r="B99" s="35"/>
      <c r="C99" s="35"/>
      <c r="D99" s="35"/>
      <c r="F99" s="157"/>
      <c r="J99">
        <v>87</v>
      </c>
      <c r="K99" s="35" t="e">
        <f ca="1">MCond(OFFSET($B$12,(ROW(A87)-1)*4,0,3,3))</f>
        <v>#VALUE!</v>
      </c>
      <c r="M99" t="e">
        <f t="shared" ca="1" si="15"/>
        <v>#VALUE!</v>
      </c>
    </row>
    <row r="100" spans="1:13">
      <c r="B100" s="35">
        <v>1.0419123890112216</v>
      </c>
      <c r="C100" s="35">
        <v>-4.0818532431212473E-2</v>
      </c>
      <c r="D100" s="35">
        <v>0.77248383184656022</v>
      </c>
      <c r="F100" s="35"/>
      <c r="J100">
        <v>88</v>
      </c>
      <c r="K100" s="35" t="e">
        <f ca="1">MCond(OFFSET($B$12,(ROW(A88)-1)*4,0,3,3))</f>
        <v>#VALUE!</v>
      </c>
      <c r="M100" t="e">
        <f t="shared" ca="1" si="15"/>
        <v>#VALUE!</v>
      </c>
    </row>
    <row r="101" spans="1:13">
      <c r="A101" t="s">
        <v>236</v>
      </c>
      <c r="B101" s="35">
        <v>-1.0351585166444348</v>
      </c>
      <c r="C101" s="35">
        <v>2.1037449841221099</v>
      </c>
      <c r="D101" s="35">
        <v>0.82913701269133588</v>
      </c>
      <c r="F101" s="35" t="e">
        <f ca="1">MCond(B100:D102)</f>
        <v>#VALUE!</v>
      </c>
      <c r="J101">
        <v>89</v>
      </c>
      <c r="K101" s="35" t="e">
        <f ca="1">MCond(OFFSET($B$12,(ROW(A89)-1)*4,0,3,3))</f>
        <v>#VALUE!</v>
      </c>
      <c r="M101" t="e">
        <f t="shared" ca="1" si="15"/>
        <v>#VALUE!</v>
      </c>
    </row>
    <row r="102" spans="1:13">
      <c r="B102" s="35">
        <v>0.58367185674448252</v>
      </c>
      <c r="C102" s="35">
        <v>2.0841504898711007</v>
      </c>
      <c r="D102" s="35">
        <v>0.75171422039661484</v>
      </c>
      <c r="F102" s="35"/>
      <c r="J102">
        <v>90</v>
      </c>
      <c r="K102" s="35" t="e">
        <f ca="1">MCond(OFFSET($B$12,(ROW(A90)-1)*4,0,3,3))</f>
        <v>#VALUE!</v>
      </c>
      <c r="M102" t="e">
        <f t="shared" ca="1" si="15"/>
        <v>#VALUE!</v>
      </c>
    </row>
    <row r="103" spans="1:13">
      <c r="B103" s="35"/>
      <c r="C103" s="35"/>
      <c r="D103" s="35"/>
      <c r="F103" s="157"/>
      <c r="J103">
        <v>91</v>
      </c>
      <c r="K103" s="35" t="e">
        <f ca="1">MCond(OFFSET($B$12,(ROW(A91)-1)*4,0,3,3))</f>
        <v>#VALUE!</v>
      </c>
      <c r="M103" t="e">
        <f t="shared" ca="1" si="15"/>
        <v>#VALUE!</v>
      </c>
    </row>
    <row r="104" spans="1:13">
      <c r="B104" s="35">
        <v>1.0419123890112216</v>
      </c>
      <c r="C104" s="35">
        <v>-4.0818532431212473E-2</v>
      </c>
      <c r="D104" s="35">
        <v>0.77248383184656022</v>
      </c>
      <c r="F104" s="35"/>
      <c r="J104">
        <v>92</v>
      </c>
      <c r="K104" s="35" t="e">
        <f ca="1">MCond(OFFSET($B$12,(ROW(A92)-1)*4,0,3,3))</f>
        <v>#VALUE!</v>
      </c>
      <c r="M104" t="e">
        <f t="shared" ca="1" si="15"/>
        <v>#VALUE!</v>
      </c>
    </row>
    <row r="105" spans="1:13">
      <c r="A105" t="s">
        <v>237</v>
      </c>
      <c r="B105" s="35">
        <v>-1.0351585166444348</v>
      </c>
      <c r="C105" s="35">
        <v>2.1037449841221099</v>
      </c>
      <c r="D105" s="35">
        <v>0.82913701269133588</v>
      </c>
      <c r="F105" s="35" t="e">
        <f ca="1">MCond(B104:D106)</f>
        <v>#VALUE!</v>
      </c>
      <c r="J105">
        <v>93</v>
      </c>
      <c r="K105" s="35" t="e">
        <f ca="1">MCond(OFFSET($B$12,(ROW(A93)-1)*4,0,3,3))</f>
        <v>#VALUE!</v>
      </c>
      <c r="M105" t="e">
        <f t="shared" ca="1" si="15"/>
        <v>#VALUE!</v>
      </c>
    </row>
    <row r="106" spans="1:13">
      <c r="B106" s="35">
        <v>-2.5457845528396139E-2</v>
      </c>
      <c r="C106" s="35">
        <v>2.3667658472617719</v>
      </c>
      <c r="D106" s="35">
        <v>6.368425350466822E-2</v>
      </c>
      <c r="F106" s="35"/>
      <c r="J106">
        <v>94</v>
      </c>
      <c r="K106" s="35" t="e">
        <f ca="1">MCond(OFFSET($B$12,(ROW(A94)-1)*4,0,3,3))</f>
        <v>#VALUE!</v>
      </c>
      <c r="M106" t="e">
        <f t="shared" ca="1" si="15"/>
        <v>#VALUE!</v>
      </c>
    </row>
    <row r="107" spans="1:13">
      <c r="B107" s="35"/>
      <c r="C107" s="35"/>
      <c r="D107" s="35"/>
      <c r="F107" s="157"/>
      <c r="J107">
        <v>95</v>
      </c>
      <c r="K107" s="35" t="e">
        <f ca="1">MCond(OFFSET($B$12,(ROW(A95)-1)*4,0,3,3))</f>
        <v>#VALUE!</v>
      </c>
      <c r="M107" t="e">
        <f t="shared" ca="1" si="15"/>
        <v>#VALUE!</v>
      </c>
    </row>
    <row r="108" spans="1:13">
      <c r="B108" s="35">
        <v>1.0419123890112216</v>
      </c>
      <c r="C108" s="35">
        <v>-4.0818532431212473E-2</v>
      </c>
      <c r="D108" s="35">
        <v>0.77248383184656022</v>
      </c>
      <c r="F108" s="35"/>
      <c r="J108">
        <v>96</v>
      </c>
      <c r="K108" s="35" t="e">
        <f ca="1">MCond(OFFSET($B$12,(ROW(A96)-1)*4,0,3,3))</f>
        <v>#VALUE!</v>
      </c>
      <c r="M108" t="e">
        <f t="shared" ca="1" si="15"/>
        <v>#VALUE!</v>
      </c>
    </row>
    <row r="109" spans="1:13">
      <c r="A109" t="s">
        <v>238</v>
      </c>
      <c r="B109" s="35">
        <v>0.58367185674448252</v>
      </c>
      <c r="C109" s="35">
        <v>2.0841504898711007</v>
      </c>
      <c r="D109" s="35">
        <v>0.75171422039661484</v>
      </c>
      <c r="F109" s="35" t="e">
        <f ca="1">MCond(B108:D110)</f>
        <v>#VALUE!</v>
      </c>
      <c r="J109">
        <v>97</v>
      </c>
      <c r="K109" s="35" t="e">
        <f ca="1">MCond(OFFSET($B$12,(ROW(A97)-1)*4,0,3,3))</f>
        <v>#VALUE!</v>
      </c>
      <c r="M109" t="e">
        <f t="shared" ca="1" si="15"/>
        <v>#VALUE!</v>
      </c>
    </row>
    <row r="110" spans="1:13">
      <c r="B110" s="35">
        <v>-2.5457845528396139E-2</v>
      </c>
      <c r="C110" s="35">
        <v>2.3667658472617719</v>
      </c>
      <c r="D110" s="35">
        <v>6.368425350466822E-2</v>
      </c>
      <c r="F110" s="35"/>
      <c r="J110">
        <v>98</v>
      </c>
      <c r="K110" s="35" t="e">
        <f ca="1">MCond(OFFSET($B$12,(ROW(A98)-1)*4,0,3,3))</f>
        <v>#VALUE!</v>
      </c>
      <c r="M110" t="e">
        <f t="shared" ca="1" si="15"/>
        <v>#VALUE!</v>
      </c>
    </row>
    <row r="111" spans="1:13">
      <c r="B111" s="35"/>
      <c r="C111" s="35"/>
      <c r="D111" s="35"/>
      <c r="F111" s="157"/>
      <c r="J111">
        <v>99</v>
      </c>
      <c r="K111" s="35" t="e">
        <f ca="1">MCond(OFFSET($B$12,(ROW(A99)-1)*4,0,3,3))</f>
        <v>#VALUE!</v>
      </c>
      <c r="M111" t="e">
        <f t="shared" ca="1" si="15"/>
        <v>#VALUE!</v>
      </c>
    </row>
    <row r="112" spans="1:13">
      <c r="B112" s="35">
        <v>-1.4028471761352286</v>
      </c>
      <c r="C112" s="35">
        <v>0.814665459345566</v>
      </c>
      <c r="D112" s="35">
        <v>0.7195871750303805</v>
      </c>
      <c r="F112" s="35"/>
      <c r="J112">
        <v>100</v>
      </c>
      <c r="K112" s="35" t="e">
        <f ca="1">MCond(OFFSET($B$12,(ROW(A100)-1)*4,0,3,3))</f>
        <v>#VALUE!</v>
      </c>
      <c r="M112" t="e">
        <f t="shared" ca="1" si="15"/>
        <v>#VALUE!</v>
      </c>
    </row>
    <row r="113" spans="1:13">
      <c r="A113" t="s">
        <v>239</v>
      </c>
      <c r="B113" s="35">
        <v>1.4421025939282253</v>
      </c>
      <c r="C113" s="35">
        <v>1.0431877148697888</v>
      </c>
      <c r="D113" s="35">
        <v>0.78932433807079116</v>
      </c>
      <c r="F113" s="35" t="e">
        <f ca="1">MCond(B112:D114)</f>
        <v>#VALUE!</v>
      </c>
      <c r="J113">
        <v>101</v>
      </c>
      <c r="K113" s="35" t="e">
        <f ca="1">MCond(OFFSET($B$12,(ROW(A101)-1)*4,0,3,3))</f>
        <v>#VALUE!</v>
      </c>
      <c r="M113" t="e">
        <f t="shared" ca="1" si="15"/>
        <v>#VALUE!</v>
      </c>
    </row>
    <row r="114" spans="1:13">
      <c r="B114" s="35">
        <v>-1.0351585166444348</v>
      </c>
      <c r="C114" s="35">
        <v>2.1037449841221099</v>
      </c>
      <c r="D114" s="35">
        <v>0.82913701269133588</v>
      </c>
      <c r="F114" s="35"/>
      <c r="J114">
        <v>102</v>
      </c>
      <c r="K114" s="35" t="e">
        <f ca="1">MCond(OFFSET($B$12,(ROW(A102)-1)*4,0,3,3))</f>
        <v>#VALUE!</v>
      </c>
      <c r="M114" t="e">
        <f t="shared" ca="1" si="15"/>
        <v>#VALUE!</v>
      </c>
    </row>
    <row r="115" spans="1:13">
      <c r="B115" s="35"/>
      <c r="C115" s="35"/>
      <c r="D115" s="35"/>
      <c r="F115" s="157"/>
      <c r="J115">
        <v>103</v>
      </c>
      <c r="K115" s="35" t="e">
        <f ca="1">MCond(OFFSET($B$12,(ROW(A103)-1)*4,0,3,3))</f>
        <v>#VALUE!</v>
      </c>
      <c r="M115" t="e">
        <f t="shared" ca="1" si="15"/>
        <v>#VALUE!</v>
      </c>
    </row>
    <row r="116" spans="1:13">
      <c r="B116" s="35">
        <v>-1.4028471761352286</v>
      </c>
      <c r="C116" s="35">
        <v>0.814665459345566</v>
      </c>
      <c r="D116" s="35">
        <v>0.7195871750303805</v>
      </c>
      <c r="F116" s="35"/>
      <c r="J116">
        <v>104</v>
      </c>
      <c r="K116" s="35" t="e">
        <f ca="1">MCond(OFFSET($B$12,(ROW(A104)-1)*4,0,3,3))</f>
        <v>#VALUE!</v>
      </c>
      <c r="M116" t="e">
        <f t="shared" ca="1" si="15"/>
        <v>#VALUE!</v>
      </c>
    </row>
    <row r="117" spans="1:13">
      <c r="A117" t="s">
        <v>240</v>
      </c>
      <c r="B117" s="35">
        <v>1.4421025939282253</v>
      </c>
      <c r="C117" s="35">
        <v>1.0431877148697888</v>
      </c>
      <c r="D117" s="35">
        <v>0.78932433807079116</v>
      </c>
      <c r="F117" s="35" t="e">
        <f ca="1">MCond(B116:D118)</f>
        <v>#VALUE!</v>
      </c>
      <c r="J117">
        <v>105</v>
      </c>
      <c r="K117" s="35" t="e">
        <f ca="1">MCond(OFFSET($B$12,(ROW(A105)-1)*4,0,3,3))</f>
        <v>#VALUE!</v>
      </c>
      <c r="M117" t="e">
        <f t="shared" ca="1" si="15"/>
        <v>#VALUE!</v>
      </c>
    </row>
    <row r="118" spans="1:13">
      <c r="B118" s="35">
        <v>0.58367185674448252</v>
      </c>
      <c r="C118" s="35">
        <v>2.0841504898711007</v>
      </c>
      <c r="D118" s="35">
        <v>0.75171422039661484</v>
      </c>
      <c r="F118" s="35"/>
      <c r="J118">
        <v>106</v>
      </c>
      <c r="K118" s="35" t="e">
        <f ca="1">MCond(OFFSET($B$12,(ROW(A106)-1)*4,0,3,3))</f>
        <v>#VALUE!</v>
      </c>
      <c r="M118" t="e">
        <f t="shared" ca="1" si="15"/>
        <v>#VALUE!</v>
      </c>
    </row>
    <row r="119" spans="1:13">
      <c r="B119" s="35"/>
      <c r="C119" s="35"/>
      <c r="D119" s="35"/>
      <c r="F119" s="157"/>
      <c r="J119">
        <v>107</v>
      </c>
      <c r="K119" s="35" t="e">
        <f ca="1">MCond(OFFSET($B$12,(ROW(A107)-1)*4,0,3,3))</f>
        <v>#VALUE!</v>
      </c>
      <c r="M119" t="e">
        <f t="shared" ca="1" si="15"/>
        <v>#VALUE!</v>
      </c>
    </row>
    <row r="120" spans="1:13">
      <c r="B120" s="35">
        <v>-1.4028471761352286</v>
      </c>
      <c r="C120" s="35">
        <v>0.814665459345566</v>
      </c>
      <c r="D120" s="35">
        <v>0.7195871750303805</v>
      </c>
      <c r="F120" s="35"/>
      <c r="J120">
        <v>108</v>
      </c>
      <c r="K120" s="35" t="e">
        <f ca="1">MCond(OFFSET($B$12,(ROW(A108)-1)*4,0,3,3))</f>
        <v>#VALUE!</v>
      </c>
      <c r="M120" t="e">
        <f t="shared" ca="1" si="15"/>
        <v>#VALUE!</v>
      </c>
    </row>
    <row r="121" spans="1:13">
      <c r="A121" t="s">
        <v>241</v>
      </c>
      <c r="B121" s="35">
        <v>1.4421025939282253</v>
      </c>
      <c r="C121" s="35">
        <v>1.0431877148697888</v>
      </c>
      <c r="D121" s="35">
        <v>0.78932433807079116</v>
      </c>
      <c r="F121" s="35" t="e">
        <f ca="1">MCond(B120:D122)</f>
        <v>#VALUE!</v>
      </c>
      <c r="J121">
        <v>109</v>
      </c>
      <c r="K121" s="35" t="e">
        <f ca="1">MCond(OFFSET($B$12,(ROW(A109)-1)*4,0,3,3))</f>
        <v>#VALUE!</v>
      </c>
      <c r="M121" t="e">
        <f t="shared" ca="1" si="15"/>
        <v>#VALUE!</v>
      </c>
    </row>
    <row r="122" spans="1:13">
      <c r="B122" s="35">
        <v>-2.5457845528396139E-2</v>
      </c>
      <c r="C122" s="35">
        <v>2.3667658472617719</v>
      </c>
      <c r="D122" s="35">
        <v>6.368425350466822E-2</v>
      </c>
      <c r="F122" s="35"/>
      <c r="J122">
        <v>110</v>
      </c>
      <c r="K122" s="35" t="e">
        <f ca="1">MCond(OFFSET($B$12,(ROW(A110)-1)*4,0,3,3))</f>
        <v>#VALUE!</v>
      </c>
      <c r="M122" t="e">
        <f t="shared" ca="1" si="15"/>
        <v>#VALUE!</v>
      </c>
    </row>
    <row r="123" spans="1:13">
      <c r="B123" s="35"/>
      <c r="C123" s="35"/>
      <c r="D123" s="35"/>
      <c r="F123" s="157"/>
      <c r="J123">
        <v>111</v>
      </c>
      <c r="K123" s="35" t="e">
        <f ca="1">MCond(OFFSET($B$12,(ROW(A111)-1)*4,0,3,3))</f>
        <v>#VALUE!</v>
      </c>
      <c r="M123" t="e">
        <f t="shared" ca="1" si="15"/>
        <v>#VALUE!</v>
      </c>
    </row>
    <row r="124" spans="1:13">
      <c r="B124" s="35">
        <v>-1.4028471761352286</v>
      </c>
      <c r="C124" s="35">
        <v>0.814665459345566</v>
      </c>
      <c r="D124" s="35">
        <v>0.7195871750303805</v>
      </c>
      <c r="F124" s="35"/>
      <c r="G124" s="35"/>
      <c r="H124" s="35"/>
      <c r="J124">
        <v>112</v>
      </c>
      <c r="K124" s="35" t="e">
        <f ca="1">MCond(OFFSET($B$12,(ROW(A112)-1)*4,0,3,3))</f>
        <v>#VALUE!</v>
      </c>
      <c r="M124" t="e">
        <f t="shared" ca="1" si="15"/>
        <v>#VALUE!</v>
      </c>
    </row>
    <row r="125" spans="1:13">
      <c r="A125" t="s">
        <v>242</v>
      </c>
      <c r="B125" s="35">
        <v>-1.0351585166444348</v>
      </c>
      <c r="C125" s="35">
        <v>2.1037449841221099</v>
      </c>
      <c r="D125" s="35">
        <v>0.82913701269133588</v>
      </c>
      <c r="F125" s="35" t="e">
        <f ca="1">MCond(B124:D126)</f>
        <v>#VALUE!</v>
      </c>
      <c r="G125" s="35"/>
      <c r="H125" s="35"/>
      <c r="J125">
        <v>113</v>
      </c>
      <c r="K125" s="35" t="e">
        <f ca="1">MCond(OFFSET($B$12,(ROW(A113)-1)*4,0,3,3))</f>
        <v>#VALUE!</v>
      </c>
      <c r="M125" t="e">
        <f t="shared" ca="1" si="15"/>
        <v>#VALUE!</v>
      </c>
    </row>
    <row r="126" spans="1:13">
      <c r="B126" s="35">
        <v>0.58367185674448252</v>
      </c>
      <c r="C126" s="35">
        <v>2.0841504898711007</v>
      </c>
      <c r="D126" s="35">
        <v>0.75171422039661484</v>
      </c>
      <c r="F126" s="35"/>
      <c r="G126" s="35"/>
      <c r="H126" s="35"/>
      <c r="J126">
        <v>114</v>
      </c>
      <c r="K126" s="35" t="e">
        <f ca="1">MCond(OFFSET($B$12,(ROW(A114)-1)*4,0,3,3))</f>
        <v>#VALUE!</v>
      </c>
      <c r="M126" t="e">
        <f t="shared" ca="1" si="15"/>
        <v>#VALUE!</v>
      </c>
    </row>
    <row r="127" spans="1:13">
      <c r="B127" s="35"/>
      <c r="C127" s="35"/>
      <c r="D127" s="35"/>
      <c r="F127" s="157"/>
      <c r="J127">
        <v>115</v>
      </c>
      <c r="K127" s="35" t="e">
        <f ca="1">MCond(OFFSET($B$12,(ROW(A115)-1)*4,0,3,3))</f>
        <v>#VALUE!</v>
      </c>
      <c r="M127" t="e">
        <f t="shared" ca="1" si="15"/>
        <v>#VALUE!</v>
      </c>
    </row>
    <row r="128" spans="1:13">
      <c r="B128" s="35">
        <v>-1.4028471761352286</v>
      </c>
      <c r="C128" s="35">
        <v>0.814665459345566</v>
      </c>
      <c r="D128" s="35">
        <v>0.7195871750303805</v>
      </c>
      <c r="F128" s="35"/>
      <c r="J128">
        <v>116</v>
      </c>
      <c r="K128" s="35" t="e">
        <f ca="1">MCond(OFFSET($B$12,(ROW(A116)-1)*4,0,3,3))</f>
        <v>#VALUE!</v>
      </c>
      <c r="M128" t="e">
        <f t="shared" ca="1" si="15"/>
        <v>#VALUE!</v>
      </c>
    </row>
    <row r="129" spans="1:13">
      <c r="A129" t="s">
        <v>243</v>
      </c>
      <c r="B129" s="35">
        <v>-1.0351585166444348</v>
      </c>
      <c r="C129" s="35">
        <v>2.1037449841221099</v>
      </c>
      <c r="D129" s="35">
        <v>0.82913701269133588</v>
      </c>
      <c r="F129" s="35" t="e">
        <f ca="1">MCond(B128:D130)</f>
        <v>#VALUE!</v>
      </c>
      <c r="J129">
        <v>117</v>
      </c>
      <c r="K129" s="35" t="e">
        <f ca="1">MCond(OFFSET($B$12,(ROW(A117)-1)*4,0,3,3))</f>
        <v>#VALUE!</v>
      </c>
      <c r="M129" t="e">
        <f t="shared" ca="1" si="15"/>
        <v>#VALUE!</v>
      </c>
    </row>
    <row r="130" spans="1:13">
      <c r="B130" s="35">
        <v>-2.5457845528396139E-2</v>
      </c>
      <c r="C130" s="35">
        <v>2.3667658472617719</v>
      </c>
      <c r="D130" s="35">
        <v>6.368425350466822E-2</v>
      </c>
      <c r="F130" s="35"/>
      <c r="J130">
        <v>118</v>
      </c>
      <c r="K130" s="35" t="e">
        <f ca="1">MCond(OFFSET($B$12,(ROW(A118)-1)*4,0,3,3))</f>
        <v>#VALUE!</v>
      </c>
      <c r="M130" t="e">
        <f t="shared" ca="1" si="15"/>
        <v>#VALUE!</v>
      </c>
    </row>
    <row r="131" spans="1:13">
      <c r="B131" s="35"/>
      <c r="C131" s="35"/>
      <c r="D131" s="35"/>
      <c r="F131" s="157"/>
      <c r="J131">
        <v>119</v>
      </c>
      <c r="K131" s="35" t="e">
        <f ca="1">MCond(OFFSET($B$12,(ROW(A119)-1)*4,0,3,3))</f>
        <v>#VALUE!</v>
      </c>
      <c r="M131" t="e">
        <f t="shared" ca="1" si="15"/>
        <v>#VALUE!</v>
      </c>
    </row>
    <row r="132" spans="1:13">
      <c r="B132" s="35">
        <v>-1.4028471761352286</v>
      </c>
      <c r="C132" s="35">
        <v>0.814665459345566</v>
      </c>
      <c r="D132" s="35">
        <v>0.7195871750303805</v>
      </c>
      <c r="F132" s="35"/>
      <c r="J132">
        <v>120</v>
      </c>
      <c r="K132" s="35" t="e">
        <f ca="1">MCond(OFFSET($B$12,(ROW(A120)-1)*4,0,3,3))</f>
        <v>#VALUE!</v>
      </c>
      <c r="M132" t="e">
        <f t="shared" ca="1" si="15"/>
        <v>#VALUE!</v>
      </c>
    </row>
    <row r="133" spans="1:13">
      <c r="A133" t="s">
        <v>244</v>
      </c>
      <c r="B133" s="35">
        <v>0.58367185674448252</v>
      </c>
      <c r="C133" s="35">
        <v>2.0841504898711007</v>
      </c>
      <c r="D133" s="35">
        <v>0.75171422039661484</v>
      </c>
      <c r="F133" s="35" t="e">
        <f ca="1">MCond(B132:D134)</f>
        <v>#VALUE!</v>
      </c>
      <c r="J133">
        <v>121</v>
      </c>
      <c r="K133" s="35" t="e">
        <f ca="1">MCond(OFFSET($B$12,(ROW(A121)-1)*4,0,3,3))</f>
        <v>#VALUE!</v>
      </c>
      <c r="M133" t="e">
        <f t="shared" ca="1" si="15"/>
        <v>#VALUE!</v>
      </c>
    </row>
    <row r="134" spans="1:13">
      <c r="B134" s="35">
        <v>-2.5457845528396139E-2</v>
      </c>
      <c r="C134" s="35">
        <v>2.3667658472617719</v>
      </c>
      <c r="D134" s="35">
        <v>6.368425350466822E-2</v>
      </c>
      <c r="F134" s="35"/>
      <c r="J134">
        <v>122</v>
      </c>
      <c r="K134" s="35" t="e">
        <f ca="1">MCond(OFFSET($B$12,(ROW(A122)-1)*4,0,3,3))</f>
        <v>#VALUE!</v>
      </c>
      <c r="M134" t="e">
        <f t="shared" ca="1" si="15"/>
        <v>#VALUE!</v>
      </c>
    </row>
    <row r="135" spans="1:13">
      <c r="B135" s="35"/>
      <c r="C135" s="35"/>
      <c r="D135" s="35"/>
      <c r="F135" s="157"/>
      <c r="J135">
        <v>123</v>
      </c>
      <c r="K135" s="35" t="e">
        <f ca="1">MCond(OFFSET($B$12,(ROW(A123)-1)*4,0,3,3))</f>
        <v>#VALUE!</v>
      </c>
      <c r="M135" t="e">
        <f t="shared" ca="1" si="15"/>
        <v>#VALUE!</v>
      </c>
    </row>
    <row r="136" spans="1:13">
      <c r="B136" s="35">
        <v>1.4421025939282253</v>
      </c>
      <c r="C136" s="35">
        <v>1.0431877148697888</v>
      </c>
      <c r="D136" s="35">
        <v>0.78932433807079116</v>
      </c>
      <c r="F136" s="35"/>
      <c r="J136">
        <v>124</v>
      </c>
      <c r="K136" s="35" t="e">
        <f ca="1">MCond(OFFSET($B$12,(ROW(A124)-1)*4,0,3,3))</f>
        <v>#VALUE!</v>
      </c>
      <c r="M136" t="e">
        <f t="shared" ca="1" si="15"/>
        <v>#VALUE!</v>
      </c>
    </row>
    <row r="137" spans="1:13">
      <c r="A137" t="s">
        <v>245</v>
      </c>
      <c r="B137" s="35">
        <v>-1.0351585166444348</v>
      </c>
      <c r="C137" s="35">
        <v>2.1037449841221099</v>
      </c>
      <c r="D137" s="35">
        <v>0.82913701269133588</v>
      </c>
      <c r="F137" s="35" t="e">
        <f ca="1">MCond(B136:D138)</f>
        <v>#VALUE!</v>
      </c>
      <c r="J137">
        <v>125</v>
      </c>
      <c r="K137" s="35" t="e">
        <f ca="1">MCond(OFFSET($B$12,(ROW(A125)-1)*4,0,3,3))</f>
        <v>#VALUE!</v>
      </c>
      <c r="M137" t="e">
        <f t="shared" ca="1" si="15"/>
        <v>#VALUE!</v>
      </c>
    </row>
    <row r="138" spans="1:13">
      <c r="B138" s="35">
        <v>0.58367185674448252</v>
      </c>
      <c r="C138" s="35">
        <v>2.0841504898711007</v>
      </c>
      <c r="D138" s="35">
        <v>0.75171422039661484</v>
      </c>
      <c r="F138" s="35"/>
      <c r="J138">
        <v>126</v>
      </c>
      <c r="K138" s="35" t="e">
        <f ca="1">MCond(OFFSET($B$12,(ROW(A126)-1)*4,0,3,3))</f>
        <v>#VALUE!</v>
      </c>
      <c r="M138" t="e">
        <f t="shared" ca="1" si="15"/>
        <v>#VALUE!</v>
      </c>
    </row>
    <row r="139" spans="1:13">
      <c r="B139" s="35"/>
      <c r="C139" s="35"/>
      <c r="D139" s="35"/>
      <c r="F139" s="157"/>
      <c r="J139">
        <v>127</v>
      </c>
      <c r="K139" s="35" t="e">
        <f ca="1">MCond(OFFSET($B$12,(ROW(A127)-1)*4,0,3,3))</f>
        <v>#VALUE!</v>
      </c>
      <c r="M139" t="e">
        <f t="shared" ca="1" si="15"/>
        <v>#VALUE!</v>
      </c>
    </row>
    <row r="140" spans="1:13">
      <c r="B140" s="35">
        <v>1.4421025939282253</v>
      </c>
      <c r="C140" s="35">
        <v>1.0431877148697888</v>
      </c>
      <c r="D140" s="35">
        <v>0.78932433807079116</v>
      </c>
      <c r="F140" s="35"/>
      <c r="G140" s="35"/>
      <c r="H140" s="35"/>
      <c r="J140">
        <v>128</v>
      </c>
      <c r="K140" s="35" t="e">
        <f ca="1">MCond(OFFSET($B$12,(ROW(A128)-1)*4,0,3,3))</f>
        <v>#VALUE!</v>
      </c>
      <c r="M140" t="e">
        <f t="shared" ca="1" si="15"/>
        <v>#VALUE!</v>
      </c>
    </row>
    <row r="141" spans="1:13">
      <c r="A141" t="s">
        <v>246</v>
      </c>
      <c r="B141" s="35">
        <v>-1.0351585166444348</v>
      </c>
      <c r="C141" s="35">
        <v>2.1037449841221099</v>
      </c>
      <c r="D141" s="35">
        <v>0.82913701269133588</v>
      </c>
      <c r="F141" s="35" t="e">
        <f ca="1">MCond(B140:D142)</f>
        <v>#VALUE!</v>
      </c>
      <c r="G141" s="35"/>
      <c r="H141" s="35"/>
      <c r="J141">
        <v>129</v>
      </c>
      <c r="K141" s="35" t="e">
        <f ca="1">MCond(OFFSET($B$12,(ROW(A129)-1)*4,0,3,3))</f>
        <v>#VALUE!</v>
      </c>
      <c r="M141" t="e">
        <f t="shared" ca="1" si="15"/>
        <v>#VALUE!</v>
      </c>
    </row>
    <row r="142" spans="1:13">
      <c r="B142" s="35">
        <v>-2.5457845528396139E-2</v>
      </c>
      <c r="C142" s="35">
        <v>2.3667658472617719</v>
      </c>
      <c r="D142" s="35">
        <v>6.368425350466822E-2</v>
      </c>
      <c r="F142" s="35"/>
      <c r="G142" s="35"/>
      <c r="H142" s="35"/>
      <c r="J142">
        <v>130</v>
      </c>
      <c r="K142" s="35" t="e">
        <f ca="1">MCond(OFFSET($B$12,(ROW(A130)-1)*4,0,3,3))</f>
        <v>#VALUE!</v>
      </c>
      <c r="M142" t="e">
        <f t="shared" ref="M142:M205" ca="1" si="16">K142/$L$13</f>
        <v>#VALUE!</v>
      </c>
    </row>
    <row r="143" spans="1:13">
      <c r="B143" s="35"/>
      <c r="C143" s="35"/>
      <c r="D143" s="35"/>
      <c r="F143" s="157"/>
      <c r="J143">
        <v>131</v>
      </c>
      <c r="K143" s="35" t="e">
        <f ca="1">MCond(OFFSET($B$12,(ROW(A131)-1)*4,0,3,3))</f>
        <v>#VALUE!</v>
      </c>
      <c r="M143" t="e">
        <f t="shared" ca="1" si="16"/>
        <v>#VALUE!</v>
      </c>
    </row>
    <row r="144" spans="1:13">
      <c r="B144" s="35">
        <v>1.4421025939282253</v>
      </c>
      <c r="C144" s="35">
        <v>1.0431877148697888</v>
      </c>
      <c r="D144" s="35">
        <v>0.78932433807079116</v>
      </c>
      <c r="F144" s="35"/>
      <c r="G144" s="35"/>
      <c r="H144" s="35"/>
      <c r="J144">
        <v>132</v>
      </c>
      <c r="K144" s="35" t="e">
        <f ca="1">MCond(OFFSET($B$12,(ROW(A132)-1)*4,0,3,3))</f>
        <v>#VALUE!</v>
      </c>
      <c r="M144" t="e">
        <f t="shared" ca="1" si="16"/>
        <v>#VALUE!</v>
      </c>
    </row>
    <row r="145" spans="1:13">
      <c r="A145" t="s">
        <v>247</v>
      </c>
      <c r="B145" s="35">
        <v>0.58367185674448252</v>
      </c>
      <c r="C145" s="35">
        <v>2.0841504898711007</v>
      </c>
      <c r="D145" s="35">
        <v>0.75171422039661484</v>
      </c>
      <c r="F145" s="35" t="e">
        <f ca="1">MCond(B144:D146)</f>
        <v>#VALUE!</v>
      </c>
      <c r="G145" s="35"/>
      <c r="H145" s="35"/>
      <c r="J145">
        <v>133</v>
      </c>
      <c r="K145" s="35" t="e">
        <f ca="1">MCond(OFFSET($B$12,(ROW(A133)-1)*4,0,3,3))</f>
        <v>#VALUE!</v>
      </c>
      <c r="M145" t="e">
        <f t="shared" ca="1" si="16"/>
        <v>#VALUE!</v>
      </c>
    </row>
    <row r="146" spans="1:13">
      <c r="B146" s="35">
        <v>-2.5457845528396139E-2</v>
      </c>
      <c r="C146" s="35">
        <v>2.3667658472617719</v>
      </c>
      <c r="D146" s="35">
        <v>6.368425350466822E-2</v>
      </c>
      <c r="F146" s="35"/>
      <c r="G146" s="35"/>
      <c r="H146" s="35"/>
      <c r="J146">
        <v>134</v>
      </c>
      <c r="K146" s="35" t="e">
        <f ca="1">MCond(OFFSET($B$12,(ROW(A134)-1)*4,0,3,3))</f>
        <v>#VALUE!</v>
      </c>
      <c r="M146" t="e">
        <f t="shared" ca="1" si="16"/>
        <v>#VALUE!</v>
      </c>
    </row>
    <row r="147" spans="1:13">
      <c r="B147" s="35"/>
      <c r="C147" s="35"/>
      <c r="D147" s="35"/>
      <c r="F147" s="157"/>
      <c r="J147">
        <v>135</v>
      </c>
      <c r="K147" s="35" t="e">
        <f ca="1">MCond(OFFSET($B$12,(ROW(A135)-1)*4,0,3,3))</f>
        <v>#VALUE!</v>
      </c>
      <c r="M147" t="e">
        <f t="shared" ca="1" si="16"/>
        <v>#VALUE!</v>
      </c>
    </row>
    <row r="148" spans="1:13">
      <c r="B148" s="35">
        <v>-1.0351585166444348</v>
      </c>
      <c r="C148" s="35">
        <v>2.1037449841221099</v>
      </c>
      <c r="D148" s="35">
        <v>0.82913701269133588</v>
      </c>
      <c r="F148" s="35"/>
      <c r="G148" s="35">
        <f t="shared" ref="G148:H148" si="17">D7-D$8</f>
        <v>-1.0605572692523213</v>
      </c>
      <c r="H148" s="35">
        <f t="shared" si="17"/>
        <v>-3.9812674620544719E-2</v>
      </c>
      <c r="J148">
        <v>136</v>
      </c>
      <c r="K148" s="35" t="e">
        <f ca="1">MCond(OFFSET($B$12,(ROW(A136)-1)*4,0,3,3))</f>
        <v>#VALUE!</v>
      </c>
      <c r="M148" t="e">
        <f t="shared" ca="1" si="16"/>
        <v>#VALUE!</v>
      </c>
    </row>
    <row r="149" spans="1:13">
      <c r="A149" t="s">
        <v>248</v>
      </c>
      <c r="B149" s="35">
        <v>0.58367185674448252</v>
      </c>
      <c r="C149" s="35">
        <v>2.0841504898711007</v>
      </c>
      <c r="D149" s="35">
        <v>0.75171422039661484</v>
      </c>
      <c r="F149" s="35" t="e">
        <f ca="1">MCond(B148:D150)</f>
        <v>#VALUE!</v>
      </c>
      <c r="G149" s="35">
        <f t="shared" ref="G149:H149" si="18">D9-D$8</f>
        <v>-1.9594494251009342E-2</v>
      </c>
      <c r="H149" s="35">
        <f t="shared" si="18"/>
        <v>-7.7422792294721043E-2</v>
      </c>
      <c r="J149">
        <v>137</v>
      </c>
      <c r="K149" s="35" t="e">
        <f ca="1">MCond(OFFSET($B$12,(ROW(A137)-1)*4,0,3,3))</f>
        <v>#VALUE!</v>
      </c>
      <c r="M149" t="e">
        <f t="shared" ca="1" si="16"/>
        <v>#VALUE!</v>
      </c>
    </row>
    <row r="150" spans="1:13">
      <c r="B150" s="35">
        <v>-2.5457845528396139E-2</v>
      </c>
      <c r="C150" s="35">
        <v>2.3667658472617719</v>
      </c>
      <c r="D150" s="35">
        <v>6.368425350466822E-2</v>
      </c>
      <c r="F150" s="35"/>
      <c r="G150" s="35">
        <f t="shared" ref="G150:H150" si="19">D10-D$8</f>
        <v>0.26302086313966178</v>
      </c>
      <c r="H150" s="35">
        <f t="shared" si="19"/>
        <v>-0.76545275918666766</v>
      </c>
      <c r="J150">
        <v>138</v>
      </c>
      <c r="K150" s="35" t="e">
        <f ca="1">MCond(OFFSET($B$12,(ROW(A138)-1)*4,0,3,3))</f>
        <v>#VALUE!</v>
      </c>
      <c r="M150" t="e">
        <f t="shared" ca="1" si="16"/>
        <v>#VALUE!</v>
      </c>
    </row>
    <row r="151" spans="1:13">
      <c r="F151" s="157"/>
      <c r="J151">
        <v>139</v>
      </c>
      <c r="K151" s="35" t="e">
        <f ca="1">MCond(OFFSET($B$12,(ROW(A139)-1)*4,0,3,3))</f>
        <v>#VALUE!</v>
      </c>
      <c r="M151" t="e">
        <f t="shared" ca="1" si="16"/>
        <v>#VALUE!</v>
      </c>
    </row>
    <row r="152" spans="1:13">
      <c r="B152" s="35">
        <v>1.253875629566908</v>
      </c>
      <c r="C152" s="35">
        <v>3.2592166127769939E-2</v>
      </c>
      <c r="D152" s="35">
        <v>-0.73934661383723232</v>
      </c>
      <c r="F152" s="35"/>
      <c r="J152">
        <v>140</v>
      </c>
      <c r="K152" s="35" t="e">
        <f ca="1">MCond(OFFSET($B$12,(ROW(A140)-1)*4,0,3,3))</f>
        <v>#VALUE!</v>
      </c>
      <c r="M152" t="e">
        <f t="shared" ca="1" si="16"/>
        <v>#VALUE!</v>
      </c>
    </row>
    <row r="153" spans="1:13">
      <c r="A153" t="s">
        <v>249</v>
      </c>
      <c r="B153" s="35">
        <v>2.2957880185781296</v>
      </c>
      <c r="C153" s="35">
        <v>-8.2263663034425338E-3</v>
      </c>
      <c r="D153" s="35">
        <v>3.3137218009327896E-2</v>
      </c>
      <c r="F153" s="35" t="e">
        <f ca="1">MCond(B152:D154)</f>
        <v>#VALUE!</v>
      </c>
      <c r="J153">
        <v>141</v>
      </c>
      <c r="K153" s="35" t="e">
        <f ca="1">MCond(OFFSET($B$12,(ROW(A141)-1)*4,0,3,3))</f>
        <v>#VALUE!</v>
      </c>
      <c r="M153" t="e">
        <f t="shared" ca="1" si="16"/>
        <v>#VALUE!</v>
      </c>
    </row>
    <row r="154" spans="1:13">
      <c r="B154" s="35">
        <v>-0.14897154656832046</v>
      </c>
      <c r="C154" s="35">
        <v>0.84725762547333594</v>
      </c>
      <c r="D154" s="35">
        <v>-1.9759438806851826E-2</v>
      </c>
      <c r="F154" s="35"/>
      <c r="J154">
        <v>142</v>
      </c>
      <c r="K154" s="35" t="e">
        <f ca="1">MCond(OFFSET($B$12,(ROW(A142)-1)*4,0,3,3))</f>
        <v>#VALUE!</v>
      </c>
      <c r="M154" t="e">
        <f t="shared" ca="1" si="16"/>
        <v>#VALUE!</v>
      </c>
    </row>
    <row r="155" spans="1:13">
      <c r="B155" s="35"/>
      <c r="C155" s="35"/>
      <c r="D155" s="35"/>
      <c r="F155" s="157"/>
      <c r="J155">
        <v>143</v>
      </c>
      <c r="K155" s="35" t="e">
        <f ca="1">MCond(OFFSET($B$12,(ROW(A143)-1)*4,0,3,3))</f>
        <v>#VALUE!</v>
      </c>
      <c r="M155" t="e">
        <f t="shared" ca="1" si="16"/>
        <v>#VALUE!</v>
      </c>
    </row>
    <row r="156" spans="1:13">
      <c r="B156" s="35">
        <v>1.253875629566908</v>
      </c>
      <c r="C156" s="35">
        <v>3.2592166127769939E-2</v>
      </c>
      <c r="D156" s="35">
        <v>-0.73934661383723232</v>
      </c>
      <c r="F156" s="35"/>
      <c r="J156">
        <v>144</v>
      </c>
      <c r="K156" s="35" t="e">
        <f ca="1">MCond(OFFSET($B$12,(ROW(A144)-1)*4,0,3,3))</f>
        <v>#VALUE!</v>
      </c>
      <c r="M156" t="e">
        <f t="shared" ca="1" si="16"/>
        <v>#VALUE!</v>
      </c>
    </row>
    <row r="157" spans="1:13">
      <c r="A157" t="s">
        <v>250</v>
      </c>
      <c r="B157" s="35">
        <v>2.2957880185781296</v>
      </c>
      <c r="C157" s="35">
        <v>-8.2263663034425338E-3</v>
      </c>
      <c r="D157" s="35">
        <v>3.3137218009327896E-2</v>
      </c>
      <c r="F157" s="35" t="e">
        <f ca="1">MCond(B156:D158)</f>
        <v>#VALUE!</v>
      </c>
      <c r="J157">
        <v>145</v>
      </c>
      <c r="K157" s="35" t="e">
        <f ca="1">MCond(OFFSET($B$12,(ROW(A145)-1)*4,0,3,3))</f>
        <v>#VALUE!</v>
      </c>
      <c r="M157" t="e">
        <f t="shared" ca="1" si="16"/>
        <v>#VALUE!</v>
      </c>
    </row>
    <row r="158" spans="1:13">
      <c r="B158" s="35">
        <v>2.6959782234951333</v>
      </c>
      <c r="C158" s="35">
        <v>1.0757798809975587</v>
      </c>
      <c r="D158" s="35">
        <v>4.997772423355884E-2</v>
      </c>
      <c r="F158" s="35"/>
      <c r="J158">
        <v>146</v>
      </c>
      <c r="K158" s="35" t="e">
        <f ca="1">MCond(OFFSET($B$12,(ROW(A146)-1)*4,0,3,3))</f>
        <v>#VALUE!</v>
      </c>
      <c r="M158" t="e">
        <f t="shared" ca="1" si="16"/>
        <v>#VALUE!</v>
      </c>
    </row>
    <row r="159" spans="1:13">
      <c r="B159" s="35"/>
      <c r="C159" s="35"/>
      <c r="D159" s="35"/>
      <c r="F159" s="157"/>
      <c r="J159">
        <v>147</v>
      </c>
      <c r="K159" s="35" t="e">
        <f ca="1">MCond(OFFSET($B$12,(ROW(A147)-1)*4,0,3,3))</f>
        <v>#VALUE!</v>
      </c>
      <c r="M159" t="e">
        <f t="shared" ca="1" si="16"/>
        <v>#VALUE!</v>
      </c>
    </row>
    <row r="160" spans="1:13">
      <c r="B160" s="35">
        <v>1.253875629566908</v>
      </c>
      <c r="C160" s="35">
        <v>3.2592166127769939E-2</v>
      </c>
      <c r="D160" s="35">
        <v>-0.73934661383723232</v>
      </c>
      <c r="F160" s="35"/>
      <c r="J160">
        <v>148</v>
      </c>
      <c r="K160" s="35" t="e">
        <f ca="1">MCond(OFFSET($B$12,(ROW(A148)-1)*4,0,3,3))</f>
        <v>#VALUE!</v>
      </c>
      <c r="M160" t="e">
        <f t="shared" ca="1" si="16"/>
        <v>#VALUE!</v>
      </c>
    </row>
    <row r="161" spans="1:13">
      <c r="A161" t="s">
        <v>251</v>
      </c>
      <c r="B161" s="35">
        <v>2.2957880185781296</v>
      </c>
      <c r="C161" s="35">
        <v>-8.2263663034425338E-3</v>
      </c>
      <c r="D161" s="35">
        <v>3.3137218009327896E-2</v>
      </c>
      <c r="F161" s="35" t="e">
        <f ca="1">MCond(B160:D162)</f>
        <v>#VALUE!</v>
      </c>
      <c r="J161">
        <v>149</v>
      </c>
      <c r="K161" s="35" t="e">
        <f ca="1">MCond(OFFSET($B$12,(ROW(A149)-1)*4,0,3,3))</f>
        <v>#VALUE!</v>
      </c>
      <c r="M161" t="e">
        <f t="shared" ca="1" si="16"/>
        <v>#VALUE!</v>
      </c>
    </row>
    <row r="162" spans="1:13">
      <c r="B162" s="35">
        <v>0.21871711292247331</v>
      </c>
      <c r="C162" s="35">
        <v>2.1363371502498802</v>
      </c>
      <c r="D162" s="35">
        <v>8.9790398854103559E-2</v>
      </c>
      <c r="F162" s="35"/>
      <c r="J162">
        <v>150</v>
      </c>
      <c r="K162" s="35" t="e">
        <f ca="1">MCond(OFFSET($B$12,(ROW(A150)-1)*4,0,3,3))</f>
        <v>#VALUE!</v>
      </c>
      <c r="M162" t="e">
        <f t="shared" ca="1" si="16"/>
        <v>#VALUE!</v>
      </c>
    </row>
    <row r="163" spans="1:13">
      <c r="B163" s="35"/>
      <c r="C163" s="35"/>
      <c r="D163" s="35"/>
      <c r="F163" s="157"/>
      <c r="J163">
        <v>151</v>
      </c>
      <c r="K163" s="35" t="e">
        <f ca="1">MCond(OFFSET($B$12,(ROW(A151)-1)*4,0,3,3))</f>
        <v>#VALUE!</v>
      </c>
      <c r="M163" t="e">
        <f t="shared" ca="1" si="16"/>
        <v>#VALUE!</v>
      </c>
    </row>
    <row r="164" spans="1:13">
      <c r="B164" s="35">
        <v>1.253875629566908</v>
      </c>
      <c r="C164" s="35">
        <v>3.2592166127769939E-2</v>
      </c>
      <c r="D164" s="35">
        <v>-0.73934661383723232</v>
      </c>
      <c r="F164" s="35"/>
      <c r="J164">
        <v>152</v>
      </c>
      <c r="K164" s="35" t="e">
        <f ca="1">MCond(OFFSET($B$12,(ROW(A152)-1)*4,0,3,3))</f>
        <v>#VALUE!</v>
      </c>
      <c r="M164" t="e">
        <f t="shared" ca="1" si="16"/>
        <v>#VALUE!</v>
      </c>
    </row>
    <row r="165" spans="1:13">
      <c r="A165" t="s">
        <v>252</v>
      </c>
      <c r="B165" s="35">
        <v>2.2957880185781296</v>
      </c>
      <c r="C165" s="35">
        <v>-8.2263663034425338E-3</v>
      </c>
      <c r="D165" s="35">
        <v>3.3137218009327896E-2</v>
      </c>
      <c r="F165" s="35" t="e">
        <f ca="1">MCond(B164:D166)</f>
        <v>#VALUE!</v>
      </c>
      <c r="J165">
        <v>153</v>
      </c>
      <c r="K165" s="35" t="e">
        <f ca="1">MCond(OFFSET($B$12,(ROW(A153)-1)*4,0,3,3))</f>
        <v>#VALUE!</v>
      </c>
      <c r="M165" t="e">
        <f t="shared" ca="1" si="16"/>
        <v>#VALUE!</v>
      </c>
    </row>
    <row r="166" spans="1:13">
      <c r="B166" s="35">
        <v>1.8375474863113905</v>
      </c>
      <c r="C166" s="35">
        <v>2.1167426559988707</v>
      </c>
      <c r="D166" s="35">
        <v>1.2367606559382516E-2</v>
      </c>
      <c r="F166" s="35"/>
      <c r="J166">
        <v>154</v>
      </c>
      <c r="K166" s="35" t="e">
        <f ca="1">MCond(OFFSET($B$12,(ROW(A154)-1)*4,0,3,3))</f>
        <v>#VALUE!</v>
      </c>
      <c r="M166" t="e">
        <f t="shared" ca="1" si="16"/>
        <v>#VALUE!</v>
      </c>
    </row>
    <row r="167" spans="1:13">
      <c r="B167" s="35"/>
      <c r="C167" s="35"/>
      <c r="D167" s="35"/>
      <c r="F167" s="157"/>
      <c r="J167">
        <v>155</v>
      </c>
      <c r="K167" s="35" t="e">
        <f ca="1">MCond(OFFSET($B$12,(ROW(A155)-1)*4,0,3,3))</f>
        <v>#VALUE!</v>
      </c>
      <c r="M167" t="e">
        <f t="shared" ca="1" si="16"/>
        <v>#VALUE!</v>
      </c>
    </row>
    <row r="168" spans="1:13">
      <c r="B168" s="35">
        <v>1.253875629566908</v>
      </c>
      <c r="C168" s="35">
        <v>3.2592166127769939E-2</v>
      </c>
      <c r="D168" s="35">
        <v>-0.73934661383723232</v>
      </c>
      <c r="F168" s="35"/>
      <c r="J168">
        <v>156</v>
      </c>
      <c r="K168" s="35" t="e">
        <f ca="1">MCond(OFFSET($B$12,(ROW(A156)-1)*4,0,3,3))</f>
        <v>#VALUE!</v>
      </c>
      <c r="M168" t="e">
        <f t="shared" ca="1" si="16"/>
        <v>#VALUE!</v>
      </c>
    </row>
    <row r="169" spans="1:13">
      <c r="A169" t="s">
        <v>253</v>
      </c>
      <c r="B169" s="35">
        <v>2.2957880185781296</v>
      </c>
      <c r="C169" s="35">
        <v>-8.2263663034425338E-3</v>
      </c>
      <c r="D169" s="35">
        <v>3.3137218009327896E-2</v>
      </c>
      <c r="F169" s="35" t="e">
        <f ca="1">MCond(B168:D170)</f>
        <v>#VALUE!</v>
      </c>
      <c r="J169">
        <v>157</v>
      </c>
      <c r="K169" s="35" t="e">
        <f ca="1">MCond(OFFSET($B$12,(ROW(A157)-1)*4,0,3,3))</f>
        <v>#VALUE!</v>
      </c>
      <c r="M169" t="e">
        <f t="shared" ca="1" si="16"/>
        <v>#VALUE!</v>
      </c>
    </row>
    <row r="170" spans="1:13">
      <c r="B170" s="35">
        <v>1.2284177840385118</v>
      </c>
      <c r="C170" s="35">
        <v>2.3993580133895418</v>
      </c>
      <c r="D170" s="35">
        <v>-0.6756623603325641</v>
      </c>
      <c r="F170" s="35"/>
      <c r="J170">
        <v>158</v>
      </c>
      <c r="K170" s="35" t="e">
        <f ca="1">MCond(OFFSET($B$12,(ROW(A158)-1)*4,0,3,3))</f>
        <v>#VALUE!</v>
      </c>
      <c r="M170" t="e">
        <f t="shared" ca="1" si="16"/>
        <v>#VALUE!</v>
      </c>
    </row>
    <row r="171" spans="1:13">
      <c r="B171" s="35"/>
      <c r="C171" s="35"/>
      <c r="D171" s="35"/>
      <c r="F171" s="157"/>
      <c r="J171">
        <v>159</v>
      </c>
      <c r="K171" s="35" t="e">
        <f ca="1">MCond(OFFSET($B$12,(ROW(A159)-1)*4,0,3,3))</f>
        <v>#VALUE!</v>
      </c>
      <c r="M171" t="e">
        <f t="shared" ca="1" si="16"/>
        <v>#VALUE!</v>
      </c>
    </row>
    <row r="172" spans="1:13">
      <c r="B172" s="35">
        <v>1.253875629566908</v>
      </c>
      <c r="C172" s="35">
        <v>3.2592166127769939E-2</v>
      </c>
      <c r="D172" s="35">
        <v>-0.73934661383723232</v>
      </c>
      <c r="F172" s="35"/>
      <c r="J172">
        <v>160</v>
      </c>
      <c r="K172" s="35" t="e">
        <f ca="1">MCond(OFFSET($B$12,(ROW(A160)-1)*4,0,3,3))</f>
        <v>#VALUE!</v>
      </c>
      <c r="M172" t="e">
        <f t="shared" ca="1" si="16"/>
        <v>#VALUE!</v>
      </c>
    </row>
    <row r="173" spans="1:13">
      <c r="A173" t="s">
        <v>254</v>
      </c>
      <c r="B173" s="35">
        <v>-0.14897154656832046</v>
      </c>
      <c r="C173" s="35">
        <v>0.84725762547333594</v>
      </c>
      <c r="D173" s="35">
        <v>-1.9759438806851826E-2</v>
      </c>
      <c r="F173" s="35" t="e">
        <f ca="1">MCond(B172:D174)</f>
        <v>#VALUE!</v>
      </c>
      <c r="J173">
        <v>161</v>
      </c>
      <c r="K173" s="35" t="e">
        <f ca="1">MCond(OFFSET($B$12,(ROW(A161)-1)*4,0,3,3))</f>
        <v>#VALUE!</v>
      </c>
      <c r="M173" t="e">
        <f t="shared" ca="1" si="16"/>
        <v>#VALUE!</v>
      </c>
    </row>
    <row r="174" spans="1:13">
      <c r="B174" s="35">
        <v>2.6959782234951333</v>
      </c>
      <c r="C174" s="35">
        <v>1.0757798809975587</v>
      </c>
      <c r="D174" s="35">
        <v>4.997772423355884E-2</v>
      </c>
      <c r="F174" s="35"/>
      <c r="J174">
        <v>162</v>
      </c>
      <c r="K174" s="35" t="e">
        <f ca="1">MCond(OFFSET($B$12,(ROW(A162)-1)*4,0,3,3))</f>
        <v>#VALUE!</v>
      </c>
      <c r="M174" t="e">
        <f t="shared" ca="1" si="16"/>
        <v>#VALUE!</v>
      </c>
    </row>
    <row r="175" spans="1:13">
      <c r="B175" s="35"/>
      <c r="C175" s="35"/>
      <c r="D175" s="35"/>
      <c r="F175" s="157"/>
      <c r="J175">
        <v>163</v>
      </c>
      <c r="K175" s="35" t="e">
        <f ca="1">MCond(OFFSET($B$12,(ROW(A163)-1)*4,0,3,3))</f>
        <v>#VALUE!</v>
      </c>
      <c r="M175" t="e">
        <f t="shared" ca="1" si="16"/>
        <v>#VALUE!</v>
      </c>
    </row>
    <row r="176" spans="1:13">
      <c r="B176" s="35">
        <v>1.253875629566908</v>
      </c>
      <c r="C176" s="35">
        <v>3.2592166127769939E-2</v>
      </c>
      <c r="D176" s="35">
        <v>-0.73934661383723232</v>
      </c>
      <c r="F176" s="35"/>
      <c r="J176">
        <v>164</v>
      </c>
      <c r="K176" s="35" t="e">
        <f ca="1">MCond(OFFSET($B$12,(ROW(A164)-1)*4,0,3,3))</f>
        <v>#VALUE!</v>
      </c>
      <c r="M176" t="e">
        <f t="shared" ca="1" si="16"/>
        <v>#VALUE!</v>
      </c>
    </row>
    <row r="177" spans="1:13">
      <c r="A177" t="s">
        <v>255</v>
      </c>
      <c r="B177" s="35">
        <v>-0.14897154656832046</v>
      </c>
      <c r="C177" s="35">
        <v>0.84725762547333594</v>
      </c>
      <c r="D177" s="35">
        <v>-1.9759438806851826E-2</v>
      </c>
      <c r="F177" s="35" t="e">
        <f ca="1">MCond(B176:D178)</f>
        <v>#VALUE!</v>
      </c>
      <c r="J177">
        <v>165</v>
      </c>
      <c r="K177" s="35" t="e">
        <f ca="1">MCond(OFFSET($B$12,(ROW(A165)-1)*4,0,3,3))</f>
        <v>#VALUE!</v>
      </c>
      <c r="M177" t="e">
        <f t="shared" ca="1" si="16"/>
        <v>#VALUE!</v>
      </c>
    </row>
    <row r="178" spans="1:13">
      <c r="B178" s="35">
        <v>0.21871711292247331</v>
      </c>
      <c r="C178" s="35">
        <v>2.1363371502498802</v>
      </c>
      <c r="D178" s="35">
        <v>8.9790398854103559E-2</v>
      </c>
      <c r="F178" s="35"/>
      <c r="J178">
        <v>166</v>
      </c>
      <c r="K178" s="35" t="e">
        <f ca="1">MCond(OFFSET($B$12,(ROW(A166)-1)*4,0,3,3))</f>
        <v>#VALUE!</v>
      </c>
      <c r="M178" t="e">
        <f t="shared" ca="1" si="16"/>
        <v>#VALUE!</v>
      </c>
    </row>
    <row r="179" spans="1:13">
      <c r="B179" s="35"/>
      <c r="C179" s="35"/>
      <c r="D179" s="35"/>
      <c r="F179" s="157"/>
      <c r="J179">
        <v>167</v>
      </c>
      <c r="K179" s="35" t="e">
        <f ca="1">MCond(OFFSET($B$12,(ROW(A167)-1)*4,0,3,3))</f>
        <v>#VALUE!</v>
      </c>
      <c r="M179" t="e">
        <f t="shared" ca="1" si="16"/>
        <v>#VALUE!</v>
      </c>
    </row>
    <row r="180" spans="1:13">
      <c r="B180" s="35">
        <v>1.253875629566908</v>
      </c>
      <c r="C180" s="35">
        <v>3.2592166127769939E-2</v>
      </c>
      <c r="D180" s="35">
        <v>-0.73934661383723232</v>
      </c>
      <c r="F180" s="35"/>
      <c r="J180">
        <v>168</v>
      </c>
      <c r="K180" s="35" t="e">
        <f ca="1">MCond(OFFSET($B$12,(ROW(A168)-1)*4,0,3,3))</f>
        <v>#VALUE!</v>
      </c>
      <c r="M180" t="e">
        <f t="shared" ca="1" si="16"/>
        <v>#VALUE!</v>
      </c>
    </row>
    <row r="181" spans="1:13">
      <c r="A181" t="s">
        <v>256</v>
      </c>
      <c r="B181" s="35">
        <v>-0.14897154656832046</v>
      </c>
      <c r="C181" s="35">
        <v>0.84725762547333594</v>
      </c>
      <c r="D181" s="35">
        <v>-1.9759438806851826E-2</v>
      </c>
      <c r="F181" s="35" t="e">
        <f ca="1">MCond(B180:D182)</f>
        <v>#VALUE!</v>
      </c>
      <c r="J181">
        <v>169</v>
      </c>
      <c r="K181" s="35" t="e">
        <f ca="1">MCond(OFFSET($B$12,(ROW(A169)-1)*4,0,3,3))</f>
        <v>#VALUE!</v>
      </c>
      <c r="M181" t="e">
        <f t="shared" ca="1" si="16"/>
        <v>#VALUE!</v>
      </c>
    </row>
    <row r="182" spans="1:13">
      <c r="B182" s="35">
        <v>1.8375474863113905</v>
      </c>
      <c r="C182" s="35">
        <v>2.1167426559988707</v>
      </c>
      <c r="D182" s="35">
        <v>1.2367606559382516E-2</v>
      </c>
      <c r="F182" s="35"/>
      <c r="J182">
        <v>170</v>
      </c>
      <c r="K182" s="35" t="e">
        <f ca="1">MCond(OFFSET($B$12,(ROW(A170)-1)*4,0,3,3))</f>
        <v>#VALUE!</v>
      </c>
      <c r="M182" t="e">
        <f t="shared" ca="1" si="16"/>
        <v>#VALUE!</v>
      </c>
    </row>
    <row r="183" spans="1:13">
      <c r="B183" s="35"/>
      <c r="C183" s="35"/>
      <c r="D183" s="35"/>
      <c r="F183" s="157"/>
      <c r="J183">
        <v>171</v>
      </c>
      <c r="K183" s="35" t="e">
        <f ca="1">MCond(OFFSET($B$12,(ROW(A171)-1)*4,0,3,3))</f>
        <v>#VALUE!</v>
      </c>
      <c r="M183" t="e">
        <f t="shared" ca="1" si="16"/>
        <v>#VALUE!</v>
      </c>
    </row>
    <row r="184" spans="1:13">
      <c r="B184" s="35">
        <v>1.253875629566908</v>
      </c>
      <c r="C184" s="35">
        <v>3.2592166127769939E-2</v>
      </c>
      <c r="D184" s="35">
        <v>-0.73934661383723232</v>
      </c>
      <c r="F184" s="35"/>
      <c r="J184">
        <v>172</v>
      </c>
      <c r="K184" s="35" t="e">
        <f ca="1">MCond(OFFSET($B$12,(ROW(A172)-1)*4,0,3,3))</f>
        <v>#VALUE!</v>
      </c>
      <c r="M184" t="e">
        <f t="shared" ca="1" si="16"/>
        <v>#VALUE!</v>
      </c>
    </row>
    <row r="185" spans="1:13">
      <c r="A185" t="s">
        <v>257</v>
      </c>
      <c r="B185" s="35">
        <v>-0.14897154656832046</v>
      </c>
      <c r="C185" s="35">
        <v>0.84725762547333594</v>
      </c>
      <c r="D185" s="35">
        <v>-1.9759438806851826E-2</v>
      </c>
      <c r="F185" s="35" t="e">
        <f ca="1">MCond(B184:D186)</f>
        <v>#VALUE!</v>
      </c>
      <c r="J185">
        <v>173</v>
      </c>
      <c r="K185" s="35" t="e">
        <f ca="1">MCond(OFFSET($B$12,(ROW(A173)-1)*4,0,3,3))</f>
        <v>#VALUE!</v>
      </c>
      <c r="M185" t="e">
        <f t="shared" ca="1" si="16"/>
        <v>#VALUE!</v>
      </c>
    </row>
    <row r="186" spans="1:13">
      <c r="B186" s="35">
        <v>1.2284177840385118</v>
      </c>
      <c r="C186" s="35">
        <v>2.3993580133895418</v>
      </c>
      <c r="D186" s="35">
        <v>-0.6756623603325641</v>
      </c>
      <c r="F186" s="35"/>
      <c r="J186">
        <v>174</v>
      </c>
      <c r="K186" s="35" t="e">
        <f ca="1">MCond(OFFSET($B$12,(ROW(A174)-1)*4,0,3,3))</f>
        <v>#VALUE!</v>
      </c>
      <c r="M186" t="e">
        <f t="shared" ca="1" si="16"/>
        <v>#VALUE!</v>
      </c>
    </row>
    <row r="187" spans="1:13">
      <c r="B187" s="35"/>
      <c r="C187" s="35"/>
      <c r="D187" s="35"/>
      <c r="F187" s="157"/>
      <c r="J187">
        <v>175</v>
      </c>
      <c r="K187" s="35" t="e">
        <f ca="1">MCond(OFFSET($B$12,(ROW(A175)-1)*4,0,3,3))</f>
        <v>#VALUE!</v>
      </c>
      <c r="M187" t="e">
        <f t="shared" ca="1" si="16"/>
        <v>#VALUE!</v>
      </c>
    </row>
    <row r="188" spans="1:13">
      <c r="B188" s="35">
        <v>1.253875629566908</v>
      </c>
      <c r="C188" s="35">
        <v>3.2592166127769939E-2</v>
      </c>
      <c r="D188" s="35">
        <v>-0.73934661383723232</v>
      </c>
      <c r="F188" s="35"/>
      <c r="J188">
        <v>176</v>
      </c>
      <c r="K188" s="35" t="e">
        <f ca="1">MCond(OFFSET($B$12,(ROW(A176)-1)*4,0,3,3))</f>
        <v>#VALUE!</v>
      </c>
      <c r="M188" t="e">
        <f t="shared" ca="1" si="16"/>
        <v>#VALUE!</v>
      </c>
    </row>
    <row r="189" spans="1:13">
      <c r="A189" t="s">
        <v>258</v>
      </c>
      <c r="B189" s="35">
        <v>2.6959782234951333</v>
      </c>
      <c r="C189" s="35">
        <v>1.0757798809975587</v>
      </c>
      <c r="D189" s="35">
        <v>4.997772423355884E-2</v>
      </c>
      <c r="F189" s="35" t="e">
        <f ca="1">MCond(B188:D190)</f>
        <v>#VALUE!</v>
      </c>
      <c r="J189">
        <v>177</v>
      </c>
      <c r="K189" s="35" t="e">
        <f ca="1">MCond(OFFSET($B$12,(ROW(A177)-1)*4,0,3,3))</f>
        <v>#VALUE!</v>
      </c>
      <c r="M189" t="e">
        <f t="shared" ca="1" si="16"/>
        <v>#VALUE!</v>
      </c>
    </row>
    <row r="190" spans="1:13">
      <c r="B190" s="35">
        <v>0.21871711292247331</v>
      </c>
      <c r="C190" s="35">
        <v>2.1363371502498802</v>
      </c>
      <c r="D190" s="35">
        <v>8.9790398854103559E-2</v>
      </c>
      <c r="F190" s="35"/>
      <c r="J190">
        <v>178</v>
      </c>
      <c r="K190" s="35" t="e">
        <f ca="1">MCond(OFFSET($B$12,(ROW(A178)-1)*4,0,3,3))</f>
        <v>#VALUE!</v>
      </c>
      <c r="M190" t="e">
        <f t="shared" ca="1" si="16"/>
        <v>#VALUE!</v>
      </c>
    </row>
    <row r="191" spans="1:13">
      <c r="B191" s="35"/>
      <c r="C191" s="35"/>
      <c r="D191" s="35"/>
      <c r="F191" s="157"/>
      <c r="J191">
        <v>179</v>
      </c>
      <c r="K191" s="35" t="e">
        <f ca="1">MCond(OFFSET($B$12,(ROW(A179)-1)*4,0,3,3))</f>
        <v>#VALUE!</v>
      </c>
      <c r="M191" t="e">
        <f t="shared" ca="1" si="16"/>
        <v>#VALUE!</v>
      </c>
    </row>
    <row r="192" spans="1:13">
      <c r="B192" s="35">
        <v>1.253875629566908</v>
      </c>
      <c r="C192" s="35">
        <v>3.2592166127769939E-2</v>
      </c>
      <c r="D192" s="35">
        <v>-0.73934661383723232</v>
      </c>
      <c r="F192" s="35"/>
      <c r="J192">
        <v>180</v>
      </c>
      <c r="K192" s="35" t="e">
        <f ca="1">MCond(OFFSET($B$12,(ROW(A180)-1)*4,0,3,3))</f>
        <v>#VALUE!</v>
      </c>
      <c r="M192" t="e">
        <f t="shared" ca="1" si="16"/>
        <v>#VALUE!</v>
      </c>
    </row>
    <row r="193" spans="1:13">
      <c r="A193" t="s">
        <v>259</v>
      </c>
      <c r="B193" s="35">
        <v>2.6959782234951333</v>
      </c>
      <c r="C193" s="35">
        <v>1.0757798809975587</v>
      </c>
      <c r="D193" s="35">
        <v>4.997772423355884E-2</v>
      </c>
      <c r="F193" s="35" t="e">
        <f ca="1">MCond(B192:D194)</f>
        <v>#VALUE!</v>
      </c>
      <c r="J193">
        <v>181</v>
      </c>
      <c r="K193" s="35" t="e">
        <f ca="1">MCond(OFFSET($B$12,(ROW(A181)-1)*4,0,3,3))</f>
        <v>#VALUE!</v>
      </c>
      <c r="M193" t="e">
        <f t="shared" ca="1" si="16"/>
        <v>#VALUE!</v>
      </c>
    </row>
    <row r="194" spans="1:13">
      <c r="B194" s="35">
        <v>1.8375474863113905</v>
      </c>
      <c r="C194" s="35">
        <v>2.1167426559988707</v>
      </c>
      <c r="D194" s="35">
        <v>1.2367606559382516E-2</v>
      </c>
      <c r="F194" s="35"/>
      <c r="J194">
        <v>182</v>
      </c>
      <c r="K194" s="35" t="e">
        <f ca="1">MCond(OFFSET($B$12,(ROW(A182)-1)*4,0,3,3))</f>
        <v>#VALUE!</v>
      </c>
      <c r="M194" t="e">
        <f t="shared" ca="1" si="16"/>
        <v>#VALUE!</v>
      </c>
    </row>
    <row r="195" spans="1:13">
      <c r="B195" s="35"/>
      <c r="C195" s="35"/>
      <c r="D195" s="35"/>
      <c r="F195" s="157"/>
      <c r="J195">
        <v>183</v>
      </c>
      <c r="K195" s="35" t="e">
        <f ca="1">MCond(OFFSET($B$12,(ROW(A183)-1)*4,0,3,3))</f>
        <v>#VALUE!</v>
      </c>
      <c r="M195" t="e">
        <f t="shared" ca="1" si="16"/>
        <v>#VALUE!</v>
      </c>
    </row>
    <row r="196" spans="1:13">
      <c r="B196" s="35">
        <v>1.253875629566908</v>
      </c>
      <c r="C196" s="35">
        <v>3.2592166127769939E-2</v>
      </c>
      <c r="D196" s="35">
        <v>-0.73934661383723232</v>
      </c>
      <c r="F196" s="35"/>
      <c r="J196">
        <v>184</v>
      </c>
      <c r="K196" s="35" t="e">
        <f ca="1">MCond(OFFSET($B$12,(ROW(A184)-1)*4,0,3,3))</f>
        <v>#VALUE!</v>
      </c>
      <c r="M196" t="e">
        <f t="shared" ca="1" si="16"/>
        <v>#VALUE!</v>
      </c>
    </row>
    <row r="197" spans="1:13">
      <c r="A197" t="s">
        <v>260</v>
      </c>
      <c r="B197" s="35">
        <v>2.6959782234951333</v>
      </c>
      <c r="C197" s="35">
        <v>1.0757798809975587</v>
      </c>
      <c r="D197" s="35">
        <v>4.997772423355884E-2</v>
      </c>
      <c r="F197" s="35" t="e">
        <f ca="1">MCond(B196:D198)</f>
        <v>#VALUE!</v>
      </c>
      <c r="J197">
        <v>185</v>
      </c>
      <c r="K197" s="35" t="e">
        <f ca="1">MCond(OFFSET($B$12,(ROW(A185)-1)*4,0,3,3))</f>
        <v>#VALUE!</v>
      </c>
      <c r="M197" t="e">
        <f t="shared" ca="1" si="16"/>
        <v>#VALUE!</v>
      </c>
    </row>
    <row r="198" spans="1:13">
      <c r="B198" s="35">
        <v>1.2284177840385118</v>
      </c>
      <c r="C198" s="35">
        <v>2.3993580133895418</v>
      </c>
      <c r="D198" s="35">
        <v>-0.6756623603325641</v>
      </c>
      <c r="F198" s="35"/>
      <c r="J198">
        <v>186</v>
      </c>
      <c r="K198" s="35" t="e">
        <f ca="1">MCond(OFFSET($B$12,(ROW(A186)-1)*4,0,3,3))</f>
        <v>#VALUE!</v>
      </c>
      <c r="M198" t="e">
        <f t="shared" ca="1" si="16"/>
        <v>#VALUE!</v>
      </c>
    </row>
    <row r="199" spans="1:13">
      <c r="B199" s="35"/>
      <c r="C199" s="35"/>
      <c r="D199" s="35"/>
      <c r="F199" s="157"/>
      <c r="J199">
        <v>187</v>
      </c>
      <c r="K199" s="35" t="e">
        <f ca="1">MCond(OFFSET($B$12,(ROW(A187)-1)*4,0,3,3))</f>
        <v>#VALUE!</v>
      </c>
      <c r="M199" t="e">
        <f t="shared" ca="1" si="16"/>
        <v>#VALUE!</v>
      </c>
    </row>
    <row r="200" spans="1:13">
      <c r="B200" s="35">
        <v>1.253875629566908</v>
      </c>
      <c r="C200" s="35">
        <v>3.2592166127769939E-2</v>
      </c>
      <c r="D200" s="35">
        <v>-0.73934661383723232</v>
      </c>
      <c r="F200" s="35"/>
      <c r="J200">
        <v>188</v>
      </c>
      <c r="K200" s="35" t="e">
        <f ca="1">MCond(OFFSET($B$12,(ROW(A188)-1)*4,0,3,3))</f>
        <v>#VALUE!</v>
      </c>
      <c r="M200" t="e">
        <f t="shared" ca="1" si="16"/>
        <v>#VALUE!</v>
      </c>
    </row>
    <row r="201" spans="1:13">
      <c r="A201" t="s">
        <v>261</v>
      </c>
      <c r="B201" s="35">
        <v>0.21871711292247331</v>
      </c>
      <c r="C201" s="35">
        <v>2.1363371502498802</v>
      </c>
      <c r="D201" s="35">
        <v>8.9790398854103559E-2</v>
      </c>
      <c r="F201" s="35" t="e">
        <f ca="1">MCond(B200:D202)</f>
        <v>#VALUE!</v>
      </c>
      <c r="J201">
        <v>189</v>
      </c>
      <c r="K201" s="35" t="e">
        <f ca="1">MCond(OFFSET($B$12,(ROW(A189)-1)*4,0,3,3))</f>
        <v>#VALUE!</v>
      </c>
      <c r="M201" t="e">
        <f t="shared" ca="1" si="16"/>
        <v>#VALUE!</v>
      </c>
    </row>
    <row r="202" spans="1:13">
      <c r="B202" s="35">
        <v>1.8375474863113905</v>
      </c>
      <c r="C202" s="35">
        <v>2.1167426559988707</v>
      </c>
      <c r="D202" s="35">
        <v>1.2367606559382516E-2</v>
      </c>
      <c r="F202" s="35"/>
      <c r="J202">
        <v>190</v>
      </c>
      <c r="K202" s="35" t="e">
        <f ca="1">MCond(OFFSET($B$12,(ROW(A190)-1)*4,0,3,3))</f>
        <v>#VALUE!</v>
      </c>
      <c r="M202" t="e">
        <f t="shared" ca="1" si="16"/>
        <v>#VALUE!</v>
      </c>
    </row>
    <row r="203" spans="1:13">
      <c r="B203" s="35"/>
      <c r="C203" s="35"/>
      <c r="D203" s="35"/>
      <c r="F203" s="157"/>
      <c r="J203">
        <v>191</v>
      </c>
      <c r="K203" s="35" t="e">
        <f ca="1">MCond(OFFSET($B$12,(ROW(A191)-1)*4,0,3,3))</f>
        <v>#VALUE!</v>
      </c>
      <c r="M203" t="e">
        <f t="shared" ca="1" si="16"/>
        <v>#VALUE!</v>
      </c>
    </row>
    <row r="204" spans="1:13">
      <c r="B204" s="35">
        <v>1.253875629566908</v>
      </c>
      <c r="C204" s="35">
        <v>3.2592166127769939E-2</v>
      </c>
      <c r="D204" s="35">
        <v>-0.73934661383723232</v>
      </c>
      <c r="F204" s="35"/>
      <c r="J204">
        <v>192</v>
      </c>
      <c r="K204" s="35" t="e">
        <f ca="1">MCond(OFFSET($B$12,(ROW(A192)-1)*4,0,3,3))</f>
        <v>#VALUE!</v>
      </c>
      <c r="M204" t="e">
        <f t="shared" ca="1" si="16"/>
        <v>#VALUE!</v>
      </c>
    </row>
    <row r="205" spans="1:13">
      <c r="A205" t="s">
        <v>262</v>
      </c>
      <c r="B205" s="35">
        <v>0.21871711292247331</v>
      </c>
      <c r="C205" s="35">
        <v>2.1363371502498802</v>
      </c>
      <c r="D205" s="35">
        <v>8.9790398854103559E-2</v>
      </c>
      <c r="F205" s="35" t="e">
        <f ca="1">MCond(B204:D206)</f>
        <v>#VALUE!</v>
      </c>
      <c r="J205">
        <v>193</v>
      </c>
      <c r="K205" s="35" t="e">
        <f ca="1">MCond(OFFSET($B$12,(ROW(A193)-1)*4,0,3,3))</f>
        <v>#VALUE!</v>
      </c>
      <c r="M205" t="e">
        <f t="shared" ca="1" si="16"/>
        <v>#VALUE!</v>
      </c>
    </row>
    <row r="206" spans="1:13">
      <c r="B206" s="35">
        <v>1.2284177840385118</v>
      </c>
      <c r="C206" s="35">
        <v>2.3993580133895418</v>
      </c>
      <c r="D206" s="35">
        <v>-0.6756623603325641</v>
      </c>
      <c r="F206" s="35"/>
      <c r="J206">
        <v>194</v>
      </c>
      <c r="K206" s="35" t="e">
        <f ca="1">MCond(OFFSET($B$12,(ROW(A194)-1)*4,0,3,3))</f>
        <v>#VALUE!</v>
      </c>
      <c r="M206" t="e">
        <f t="shared" ref="M206:M269" ca="1" si="20">K206/$L$13</f>
        <v>#VALUE!</v>
      </c>
    </row>
    <row r="207" spans="1:13">
      <c r="B207" s="35"/>
      <c r="C207" s="35"/>
      <c r="D207" s="35"/>
      <c r="F207" s="157"/>
      <c r="J207">
        <v>195</v>
      </c>
      <c r="K207" s="35" t="e">
        <f ca="1">MCond(OFFSET($B$12,(ROW(A195)-1)*4,0,3,3))</f>
        <v>#VALUE!</v>
      </c>
      <c r="M207" t="e">
        <f t="shared" ca="1" si="20"/>
        <v>#VALUE!</v>
      </c>
    </row>
    <row r="208" spans="1:13">
      <c r="B208" s="35">
        <v>1.253875629566908</v>
      </c>
      <c r="C208" s="35">
        <v>3.2592166127769939E-2</v>
      </c>
      <c r="D208" s="35">
        <v>-0.73934661383723232</v>
      </c>
      <c r="F208" s="35"/>
      <c r="J208">
        <v>196</v>
      </c>
      <c r="K208" s="35" t="e">
        <f ca="1">MCond(OFFSET($B$12,(ROW(A196)-1)*4,0,3,3))</f>
        <v>#VALUE!</v>
      </c>
      <c r="M208" t="e">
        <f t="shared" ca="1" si="20"/>
        <v>#VALUE!</v>
      </c>
    </row>
    <row r="209" spans="1:13">
      <c r="A209" t="s">
        <v>263</v>
      </c>
      <c r="B209" s="35">
        <v>1.8375474863113905</v>
      </c>
      <c r="C209" s="35">
        <v>2.1167426559988707</v>
      </c>
      <c r="D209" s="35">
        <v>1.2367606559382516E-2</v>
      </c>
      <c r="F209" s="35" t="e">
        <f ca="1">MCond(B208:D210)</f>
        <v>#VALUE!</v>
      </c>
      <c r="J209">
        <v>197</v>
      </c>
      <c r="K209" s="35" t="e">
        <f ca="1">MCond(OFFSET($B$12,(ROW(A197)-1)*4,0,3,3))</f>
        <v>#VALUE!</v>
      </c>
      <c r="M209" t="e">
        <f t="shared" ca="1" si="20"/>
        <v>#VALUE!</v>
      </c>
    </row>
    <row r="210" spans="1:13">
      <c r="B210" s="35">
        <v>1.2284177840385118</v>
      </c>
      <c r="C210" s="35">
        <v>2.3993580133895418</v>
      </c>
      <c r="D210" s="35">
        <v>-0.6756623603325641</v>
      </c>
      <c r="F210" s="35"/>
      <c r="J210">
        <v>198</v>
      </c>
      <c r="K210" s="35" t="e">
        <f ca="1">MCond(OFFSET($B$12,(ROW(A198)-1)*4,0,3,3))</f>
        <v>#VALUE!</v>
      </c>
      <c r="M210" t="e">
        <f t="shared" ca="1" si="20"/>
        <v>#VALUE!</v>
      </c>
    </row>
    <row r="211" spans="1:13">
      <c r="B211" s="35"/>
      <c r="C211" s="35"/>
      <c r="D211" s="35"/>
      <c r="F211" s="157"/>
      <c r="J211">
        <v>199</v>
      </c>
      <c r="K211" s="35" t="e">
        <f ca="1">MCond(OFFSET($B$12,(ROW(A199)-1)*4,0,3,3))</f>
        <v>#VALUE!</v>
      </c>
      <c r="M211" t="e">
        <f t="shared" ca="1" si="20"/>
        <v>#VALUE!</v>
      </c>
    </row>
    <row r="212" spans="1:13">
      <c r="B212" s="35">
        <v>2.2957880185781296</v>
      </c>
      <c r="C212" s="35">
        <v>-8.2263663034425338E-3</v>
      </c>
      <c r="D212" s="35">
        <v>3.3137218009327896E-2</v>
      </c>
      <c r="F212" s="35"/>
      <c r="J212">
        <v>200</v>
      </c>
      <c r="K212" s="35" t="e">
        <f ca="1">MCond(OFFSET($B$12,(ROW(A200)-1)*4,0,3,3))</f>
        <v>#VALUE!</v>
      </c>
      <c r="M212" t="e">
        <f t="shared" ca="1" si="20"/>
        <v>#VALUE!</v>
      </c>
    </row>
    <row r="213" spans="1:13">
      <c r="A213" t="s">
        <v>264</v>
      </c>
      <c r="B213" s="35">
        <v>-0.14897154656832046</v>
      </c>
      <c r="C213" s="35">
        <v>0.84725762547333594</v>
      </c>
      <c r="D213" s="35">
        <v>-1.9759438806851826E-2</v>
      </c>
      <c r="F213" s="35" t="e">
        <f ca="1">MCond(B212:D214)</f>
        <v>#VALUE!</v>
      </c>
      <c r="J213">
        <v>201</v>
      </c>
      <c r="K213" s="35" t="e">
        <f ca="1">MCond(OFFSET($B$12,(ROW(A201)-1)*4,0,3,3))</f>
        <v>#VALUE!</v>
      </c>
      <c r="M213" t="e">
        <f t="shared" ca="1" si="20"/>
        <v>#VALUE!</v>
      </c>
    </row>
    <row r="214" spans="1:13">
      <c r="B214" s="35">
        <v>2.6959782234951333</v>
      </c>
      <c r="C214" s="35">
        <v>1.0757798809975587</v>
      </c>
      <c r="D214" s="35">
        <v>4.997772423355884E-2</v>
      </c>
      <c r="F214" s="35"/>
      <c r="J214">
        <v>202</v>
      </c>
      <c r="K214" s="35" t="e">
        <f ca="1">MCond(OFFSET($B$12,(ROW(A202)-1)*4,0,3,3))</f>
        <v>#VALUE!</v>
      </c>
      <c r="M214" t="e">
        <f t="shared" ca="1" si="20"/>
        <v>#VALUE!</v>
      </c>
    </row>
    <row r="215" spans="1:13">
      <c r="B215" s="35"/>
      <c r="C215" s="35"/>
      <c r="D215" s="35"/>
      <c r="F215" s="157"/>
      <c r="J215">
        <v>203</v>
      </c>
      <c r="K215" s="35" t="e">
        <f ca="1">MCond(OFFSET($B$12,(ROW(A203)-1)*4,0,3,3))</f>
        <v>#VALUE!</v>
      </c>
      <c r="M215" t="e">
        <f t="shared" ca="1" si="20"/>
        <v>#VALUE!</v>
      </c>
    </row>
    <row r="216" spans="1:13">
      <c r="B216" s="35">
        <v>2.2957880185781296</v>
      </c>
      <c r="C216" s="35">
        <v>-8.2263663034425338E-3</v>
      </c>
      <c r="D216" s="35">
        <v>3.3137218009327896E-2</v>
      </c>
      <c r="F216" s="35"/>
      <c r="J216">
        <v>204</v>
      </c>
      <c r="K216" s="35" t="e">
        <f ca="1">MCond(OFFSET($B$12,(ROW(A204)-1)*4,0,3,3))</f>
        <v>#VALUE!</v>
      </c>
      <c r="M216" t="e">
        <f t="shared" ca="1" si="20"/>
        <v>#VALUE!</v>
      </c>
    </row>
    <row r="217" spans="1:13">
      <c r="A217" t="s">
        <v>265</v>
      </c>
      <c r="B217" s="35">
        <v>-0.14897154656832046</v>
      </c>
      <c r="C217" s="35">
        <v>0.84725762547333594</v>
      </c>
      <c r="D217" s="35">
        <v>-1.9759438806851826E-2</v>
      </c>
      <c r="F217" s="35" t="e">
        <f ca="1">MCond(B216:D218)</f>
        <v>#VALUE!</v>
      </c>
      <c r="J217">
        <v>205</v>
      </c>
      <c r="K217" s="35" t="e">
        <f ca="1">MCond(OFFSET($B$12,(ROW(A205)-1)*4,0,3,3))</f>
        <v>#VALUE!</v>
      </c>
      <c r="M217" t="e">
        <f t="shared" ca="1" si="20"/>
        <v>#VALUE!</v>
      </c>
    </row>
    <row r="218" spans="1:13">
      <c r="B218" s="35">
        <v>0.21871711292247331</v>
      </c>
      <c r="C218" s="35">
        <v>2.1363371502498802</v>
      </c>
      <c r="D218" s="35">
        <v>8.9790398854103559E-2</v>
      </c>
      <c r="F218" s="35"/>
      <c r="J218">
        <v>206</v>
      </c>
      <c r="K218" s="35" t="e">
        <f ca="1">MCond(OFFSET($B$12,(ROW(A206)-1)*4,0,3,3))</f>
        <v>#VALUE!</v>
      </c>
      <c r="M218" t="e">
        <f t="shared" ca="1" si="20"/>
        <v>#VALUE!</v>
      </c>
    </row>
    <row r="219" spans="1:13">
      <c r="B219" s="35"/>
      <c r="C219" s="35"/>
      <c r="D219" s="35"/>
      <c r="F219" s="157"/>
      <c r="J219">
        <v>207</v>
      </c>
      <c r="K219" s="35" t="e">
        <f ca="1">MCond(OFFSET($B$12,(ROW(A207)-1)*4,0,3,3))</f>
        <v>#VALUE!</v>
      </c>
      <c r="M219" t="e">
        <f t="shared" ca="1" si="20"/>
        <v>#VALUE!</v>
      </c>
    </row>
    <row r="220" spans="1:13">
      <c r="B220" s="35">
        <v>2.2957880185781296</v>
      </c>
      <c r="C220" s="35">
        <v>-8.2263663034425338E-3</v>
      </c>
      <c r="D220" s="35">
        <v>3.3137218009327896E-2</v>
      </c>
      <c r="F220" s="35"/>
      <c r="J220">
        <v>208</v>
      </c>
      <c r="K220" s="35" t="e">
        <f ca="1">MCond(OFFSET($B$12,(ROW(A208)-1)*4,0,3,3))</f>
        <v>#VALUE!</v>
      </c>
      <c r="M220" t="e">
        <f t="shared" ca="1" si="20"/>
        <v>#VALUE!</v>
      </c>
    </row>
    <row r="221" spans="1:13">
      <c r="A221" t="s">
        <v>266</v>
      </c>
      <c r="B221" s="35">
        <v>-0.14897154656832046</v>
      </c>
      <c r="C221" s="35">
        <v>0.84725762547333594</v>
      </c>
      <c r="D221" s="35">
        <v>-1.9759438806851826E-2</v>
      </c>
      <c r="F221" s="35" t="e">
        <f ca="1">MCond(B220:D222)</f>
        <v>#VALUE!</v>
      </c>
      <c r="J221">
        <v>209</v>
      </c>
      <c r="K221" s="35" t="e">
        <f ca="1">MCond(OFFSET($B$12,(ROW(A209)-1)*4,0,3,3))</f>
        <v>#VALUE!</v>
      </c>
      <c r="M221" t="e">
        <f t="shared" ca="1" si="20"/>
        <v>#VALUE!</v>
      </c>
    </row>
    <row r="222" spans="1:13">
      <c r="B222" s="35">
        <v>1.8375474863113905</v>
      </c>
      <c r="C222" s="35">
        <v>2.1167426559988707</v>
      </c>
      <c r="D222" s="35">
        <v>1.2367606559382516E-2</v>
      </c>
      <c r="F222" s="35"/>
      <c r="J222">
        <v>210</v>
      </c>
      <c r="K222" s="35" t="e">
        <f ca="1">MCond(OFFSET($B$12,(ROW(A210)-1)*4,0,3,3))</f>
        <v>#VALUE!</v>
      </c>
      <c r="M222" t="e">
        <f t="shared" ca="1" si="20"/>
        <v>#VALUE!</v>
      </c>
    </row>
    <row r="223" spans="1:13">
      <c r="B223" s="35"/>
      <c r="C223" s="35"/>
      <c r="D223" s="35"/>
      <c r="F223" s="157"/>
      <c r="J223">
        <v>211</v>
      </c>
      <c r="K223" s="35" t="e">
        <f ca="1">MCond(OFFSET($B$12,(ROW(A211)-1)*4,0,3,3))</f>
        <v>#VALUE!</v>
      </c>
      <c r="M223" t="e">
        <f t="shared" ca="1" si="20"/>
        <v>#VALUE!</v>
      </c>
    </row>
    <row r="224" spans="1:13">
      <c r="B224" s="35">
        <v>2.2957880185781296</v>
      </c>
      <c r="C224" s="35">
        <v>-8.2263663034425338E-3</v>
      </c>
      <c r="D224" s="35">
        <v>3.3137218009327896E-2</v>
      </c>
      <c r="F224" s="35"/>
      <c r="J224">
        <v>212</v>
      </c>
      <c r="K224" s="35" t="e">
        <f ca="1">MCond(OFFSET($B$12,(ROW(A212)-1)*4,0,3,3))</f>
        <v>#VALUE!</v>
      </c>
      <c r="M224" t="e">
        <f t="shared" ca="1" si="20"/>
        <v>#VALUE!</v>
      </c>
    </row>
    <row r="225" spans="1:13">
      <c r="A225" t="s">
        <v>267</v>
      </c>
      <c r="B225" s="35">
        <v>-0.14897154656832046</v>
      </c>
      <c r="C225" s="35">
        <v>0.84725762547333594</v>
      </c>
      <c r="D225" s="35">
        <v>-1.9759438806851826E-2</v>
      </c>
      <c r="F225" s="35" t="e">
        <f ca="1">MCond(B224:D226)</f>
        <v>#VALUE!</v>
      </c>
      <c r="J225">
        <v>213</v>
      </c>
      <c r="K225" s="35" t="e">
        <f ca="1">MCond(OFFSET($B$12,(ROW(A213)-1)*4,0,3,3))</f>
        <v>#VALUE!</v>
      </c>
      <c r="M225" t="e">
        <f t="shared" ca="1" si="20"/>
        <v>#VALUE!</v>
      </c>
    </row>
    <row r="226" spans="1:13">
      <c r="B226" s="35">
        <v>1.2284177840385118</v>
      </c>
      <c r="C226" s="35">
        <v>2.3993580133895418</v>
      </c>
      <c r="D226" s="35">
        <v>-0.6756623603325641</v>
      </c>
      <c r="F226" s="35"/>
      <c r="J226">
        <v>214</v>
      </c>
      <c r="K226" s="35" t="e">
        <f ca="1">MCond(OFFSET($B$12,(ROW(A214)-1)*4,0,3,3))</f>
        <v>#VALUE!</v>
      </c>
      <c r="M226" t="e">
        <f t="shared" ca="1" si="20"/>
        <v>#VALUE!</v>
      </c>
    </row>
    <row r="227" spans="1:13">
      <c r="B227" s="35"/>
      <c r="C227" s="35"/>
      <c r="D227" s="35"/>
      <c r="F227" s="157"/>
      <c r="J227">
        <v>215</v>
      </c>
      <c r="K227" s="35" t="e">
        <f ca="1">MCond(OFFSET($B$12,(ROW(A215)-1)*4,0,3,3))</f>
        <v>#VALUE!</v>
      </c>
      <c r="M227" t="e">
        <f t="shared" ca="1" si="20"/>
        <v>#VALUE!</v>
      </c>
    </row>
    <row r="228" spans="1:13">
      <c r="B228" s="35">
        <v>2.2957880185781296</v>
      </c>
      <c r="C228" s="35">
        <v>-8.2263663034425338E-3</v>
      </c>
      <c r="D228" s="35">
        <v>3.3137218009327896E-2</v>
      </c>
      <c r="F228" s="35"/>
      <c r="J228">
        <v>216</v>
      </c>
      <c r="K228" s="35" t="e">
        <f ca="1">MCond(OFFSET($B$12,(ROW(A216)-1)*4,0,3,3))</f>
        <v>#VALUE!</v>
      </c>
      <c r="M228" t="e">
        <f t="shared" ca="1" si="20"/>
        <v>#VALUE!</v>
      </c>
    </row>
    <row r="229" spans="1:13">
      <c r="A229" t="s">
        <v>268</v>
      </c>
      <c r="B229" s="35">
        <v>2.6959782234951333</v>
      </c>
      <c r="C229" s="35">
        <v>1.0757798809975587</v>
      </c>
      <c r="D229" s="35">
        <v>4.997772423355884E-2</v>
      </c>
      <c r="F229" s="35" t="e">
        <f ca="1">MCond(B228:D230)</f>
        <v>#VALUE!</v>
      </c>
      <c r="J229">
        <v>217</v>
      </c>
      <c r="K229" s="35" t="e">
        <f ca="1">MCond(OFFSET($B$12,(ROW(A217)-1)*4,0,3,3))</f>
        <v>#VALUE!</v>
      </c>
      <c r="M229" t="e">
        <f t="shared" ca="1" si="20"/>
        <v>#VALUE!</v>
      </c>
    </row>
    <row r="230" spans="1:13">
      <c r="B230" s="35">
        <v>0.21871711292247331</v>
      </c>
      <c r="C230" s="35">
        <v>2.1363371502498802</v>
      </c>
      <c r="D230" s="35">
        <v>8.9790398854103559E-2</v>
      </c>
      <c r="F230" s="35"/>
      <c r="J230">
        <v>218</v>
      </c>
      <c r="K230" s="35" t="e">
        <f ca="1">MCond(OFFSET($B$12,(ROW(A218)-1)*4,0,3,3))</f>
        <v>#VALUE!</v>
      </c>
      <c r="M230" t="e">
        <f t="shared" ca="1" si="20"/>
        <v>#VALUE!</v>
      </c>
    </row>
    <row r="231" spans="1:13">
      <c r="B231" s="35"/>
      <c r="C231" s="35"/>
      <c r="D231" s="35"/>
      <c r="F231" s="157"/>
      <c r="J231">
        <v>219</v>
      </c>
      <c r="K231" s="35" t="e">
        <f ca="1">MCond(OFFSET($B$12,(ROW(A219)-1)*4,0,3,3))</f>
        <v>#VALUE!</v>
      </c>
      <c r="M231" t="e">
        <f t="shared" ca="1" si="20"/>
        <v>#VALUE!</v>
      </c>
    </row>
    <row r="232" spans="1:13">
      <c r="B232" s="35">
        <v>2.2957880185781296</v>
      </c>
      <c r="C232" s="35">
        <v>-8.2263663034425338E-3</v>
      </c>
      <c r="D232" s="35">
        <v>3.3137218009327896E-2</v>
      </c>
      <c r="F232" s="35"/>
      <c r="J232">
        <v>220</v>
      </c>
      <c r="K232" s="35" t="e">
        <f ca="1">MCond(OFFSET($B$12,(ROW(A220)-1)*4,0,3,3))</f>
        <v>#VALUE!</v>
      </c>
      <c r="M232" t="e">
        <f t="shared" ca="1" si="20"/>
        <v>#VALUE!</v>
      </c>
    </row>
    <row r="233" spans="1:13">
      <c r="A233" t="s">
        <v>269</v>
      </c>
      <c r="B233" s="35">
        <v>2.6959782234951333</v>
      </c>
      <c r="C233" s="35">
        <v>1.0757798809975587</v>
      </c>
      <c r="D233" s="35">
        <v>4.997772423355884E-2</v>
      </c>
      <c r="F233" s="35" t="e">
        <f ca="1">MCond(B232:D234)</f>
        <v>#VALUE!</v>
      </c>
      <c r="J233">
        <v>221</v>
      </c>
      <c r="K233" s="35" t="e">
        <f ca="1">MCond(OFFSET($B$12,(ROW(A221)-1)*4,0,3,3))</f>
        <v>#VALUE!</v>
      </c>
      <c r="M233" t="e">
        <f t="shared" ca="1" si="20"/>
        <v>#VALUE!</v>
      </c>
    </row>
    <row r="234" spans="1:13">
      <c r="B234" s="35">
        <v>1.8375474863113905</v>
      </c>
      <c r="C234" s="35">
        <v>2.1167426559988707</v>
      </c>
      <c r="D234" s="35">
        <v>1.2367606559382516E-2</v>
      </c>
      <c r="F234" s="35"/>
      <c r="J234">
        <v>222</v>
      </c>
      <c r="K234" s="35" t="e">
        <f ca="1">MCond(OFFSET($B$12,(ROW(A222)-1)*4,0,3,3))</f>
        <v>#VALUE!</v>
      </c>
      <c r="M234" t="e">
        <f t="shared" ca="1" si="20"/>
        <v>#VALUE!</v>
      </c>
    </row>
    <row r="235" spans="1:13">
      <c r="B235" s="35"/>
      <c r="C235" s="35"/>
      <c r="D235" s="35"/>
      <c r="F235" s="157"/>
      <c r="J235">
        <v>223</v>
      </c>
      <c r="K235" s="35" t="e">
        <f ca="1">MCond(OFFSET($B$12,(ROW(A223)-1)*4,0,3,3))</f>
        <v>#VALUE!</v>
      </c>
      <c r="M235" t="e">
        <f t="shared" ca="1" si="20"/>
        <v>#VALUE!</v>
      </c>
    </row>
    <row r="236" spans="1:13">
      <c r="B236" s="35">
        <v>2.2957880185781296</v>
      </c>
      <c r="C236" s="35">
        <v>-8.2263663034425338E-3</v>
      </c>
      <c r="D236" s="35">
        <v>3.3137218009327896E-2</v>
      </c>
      <c r="F236" s="35"/>
      <c r="J236">
        <v>224</v>
      </c>
      <c r="K236" s="35" t="e">
        <f ca="1">MCond(OFFSET($B$12,(ROW(A224)-1)*4,0,3,3))</f>
        <v>#VALUE!</v>
      </c>
      <c r="M236" t="e">
        <f t="shared" ca="1" si="20"/>
        <v>#VALUE!</v>
      </c>
    </row>
    <row r="237" spans="1:13">
      <c r="A237" t="s">
        <v>270</v>
      </c>
      <c r="B237" s="35">
        <v>2.6959782234951333</v>
      </c>
      <c r="C237" s="35">
        <v>1.0757798809975587</v>
      </c>
      <c r="D237" s="35">
        <v>4.997772423355884E-2</v>
      </c>
      <c r="F237" s="35" t="e">
        <f ca="1">MCond(B236:D238)</f>
        <v>#VALUE!</v>
      </c>
      <c r="J237">
        <v>225</v>
      </c>
      <c r="K237" s="35" t="e">
        <f ca="1">MCond(OFFSET($B$12,(ROW(A225)-1)*4,0,3,3))</f>
        <v>#VALUE!</v>
      </c>
      <c r="M237" t="e">
        <f t="shared" ca="1" si="20"/>
        <v>#VALUE!</v>
      </c>
    </row>
    <row r="238" spans="1:13">
      <c r="B238" s="35">
        <v>1.2284177840385118</v>
      </c>
      <c r="C238" s="35">
        <v>2.3993580133895418</v>
      </c>
      <c r="D238" s="35">
        <v>-0.6756623603325641</v>
      </c>
      <c r="F238" s="35"/>
      <c r="J238">
        <v>226</v>
      </c>
      <c r="K238" s="35" t="e">
        <f ca="1">MCond(OFFSET($B$12,(ROW(A226)-1)*4,0,3,3))</f>
        <v>#VALUE!</v>
      </c>
      <c r="M238" t="e">
        <f t="shared" ca="1" si="20"/>
        <v>#VALUE!</v>
      </c>
    </row>
    <row r="239" spans="1:13">
      <c r="B239" s="35"/>
      <c r="C239" s="35"/>
      <c r="D239" s="35"/>
      <c r="F239" s="157"/>
      <c r="J239">
        <v>227</v>
      </c>
      <c r="K239" s="35" t="e">
        <f ca="1">MCond(OFFSET($B$12,(ROW(A227)-1)*4,0,3,3))</f>
        <v>#VALUE!</v>
      </c>
      <c r="M239" t="e">
        <f t="shared" ca="1" si="20"/>
        <v>#VALUE!</v>
      </c>
    </row>
    <row r="240" spans="1:13">
      <c r="B240" s="35">
        <v>2.2957880185781296</v>
      </c>
      <c r="C240" s="35">
        <v>-8.2263663034425338E-3</v>
      </c>
      <c r="D240" s="35">
        <v>3.3137218009327896E-2</v>
      </c>
      <c r="F240" s="35"/>
      <c r="J240">
        <v>228</v>
      </c>
      <c r="K240" s="35" t="e">
        <f ca="1">MCond(OFFSET($B$12,(ROW(A228)-1)*4,0,3,3))</f>
        <v>#VALUE!</v>
      </c>
      <c r="M240" t="e">
        <f t="shared" ca="1" si="20"/>
        <v>#VALUE!</v>
      </c>
    </row>
    <row r="241" spans="1:13">
      <c r="A241" t="s">
        <v>271</v>
      </c>
      <c r="B241" s="35">
        <v>0.21871711292247331</v>
      </c>
      <c r="C241" s="35">
        <v>2.1363371502498802</v>
      </c>
      <c r="D241" s="35">
        <v>8.9790398854103559E-2</v>
      </c>
      <c r="F241" s="35" t="e">
        <f ca="1">MCond(B240:D242)</f>
        <v>#VALUE!</v>
      </c>
      <c r="J241">
        <v>229</v>
      </c>
      <c r="K241" s="35" t="e">
        <f ca="1">MCond(OFFSET($B$12,(ROW(A229)-1)*4,0,3,3))</f>
        <v>#VALUE!</v>
      </c>
      <c r="M241" t="e">
        <f t="shared" ca="1" si="20"/>
        <v>#VALUE!</v>
      </c>
    </row>
    <row r="242" spans="1:13">
      <c r="B242" s="35">
        <v>1.8375474863113905</v>
      </c>
      <c r="C242" s="35">
        <v>2.1167426559988707</v>
      </c>
      <c r="D242" s="35">
        <v>1.2367606559382516E-2</v>
      </c>
      <c r="F242" s="35"/>
      <c r="J242">
        <v>230</v>
      </c>
      <c r="K242" s="35" t="e">
        <f ca="1">MCond(OFFSET($B$12,(ROW(A230)-1)*4,0,3,3))</f>
        <v>#VALUE!</v>
      </c>
      <c r="M242" t="e">
        <f t="shared" ca="1" si="20"/>
        <v>#VALUE!</v>
      </c>
    </row>
    <row r="243" spans="1:13">
      <c r="B243" s="35"/>
      <c r="C243" s="35"/>
      <c r="D243" s="35"/>
      <c r="F243" s="157"/>
      <c r="J243">
        <v>231</v>
      </c>
      <c r="K243" s="35" t="e">
        <f ca="1">MCond(OFFSET($B$12,(ROW(A231)-1)*4,0,3,3))</f>
        <v>#VALUE!</v>
      </c>
      <c r="M243" t="e">
        <f t="shared" ca="1" si="20"/>
        <v>#VALUE!</v>
      </c>
    </row>
    <row r="244" spans="1:13">
      <c r="B244" s="35">
        <v>2.2957880185781296</v>
      </c>
      <c r="C244" s="35">
        <v>-8.2263663034425338E-3</v>
      </c>
      <c r="D244" s="35">
        <v>3.3137218009327896E-2</v>
      </c>
      <c r="F244" s="35"/>
      <c r="J244">
        <v>232</v>
      </c>
      <c r="K244" s="35" t="e">
        <f ca="1">MCond(OFFSET($B$12,(ROW(A232)-1)*4,0,3,3))</f>
        <v>#VALUE!</v>
      </c>
      <c r="M244" t="e">
        <f t="shared" ca="1" si="20"/>
        <v>#VALUE!</v>
      </c>
    </row>
    <row r="245" spans="1:13">
      <c r="A245" t="s">
        <v>272</v>
      </c>
      <c r="B245" s="35">
        <v>0.21871711292247331</v>
      </c>
      <c r="C245" s="35">
        <v>2.1363371502498802</v>
      </c>
      <c r="D245" s="35">
        <v>8.9790398854103559E-2</v>
      </c>
      <c r="F245" s="35" t="e">
        <f ca="1">MCond(B244:D246)</f>
        <v>#VALUE!</v>
      </c>
      <c r="J245">
        <v>233</v>
      </c>
      <c r="K245" s="35" t="e">
        <f ca="1">MCond(OFFSET($B$12,(ROW(A233)-1)*4,0,3,3))</f>
        <v>#VALUE!</v>
      </c>
      <c r="M245" t="e">
        <f t="shared" ca="1" si="20"/>
        <v>#VALUE!</v>
      </c>
    </row>
    <row r="246" spans="1:13">
      <c r="B246" s="35">
        <v>1.2284177840385118</v>
      </c>
      <c r="C246" s="35">
        <v>2.3993580133895418</v>
      </c>
      <c r="D246" s="35">
        <v>-0.6756623603325641</v>
      </c>
      <c r="F246" s="35"/>
      <c r="J246">
        <v>234</v>
      </c>
      <c r="K246" s="35" t="e">
        <f ca="1">MCond(OFFSET($B$12,(ROW(A234)-1)*4,0,3,3))</f>
        <v>#VALUE!</v>
      </c>
      <c r="M246" t="e">
        <f t="shared" ca="1" si="20"/>
        <v>#VALUE!</v>
      </c>
    </row>
    <row r="247" spans="1:13">
      <c r="B247" s="35"/>
      <c r="C247" s="35"/>
      <c r="D247" s="35"/>
      <c r="F247" s="157"/>
      <c r="J247">
        <v>235</v>
      </c>
      <c r="K247" s="35" t="e">
        <f ca="1">MCond(OFFSET($B$12,(ROW(A235)-1)*4,0,3,3))</f>
        <v>#VALUE!</v>
      </c>
      <c r="M247" t="e">
        <f t="shared" ca="1" si="20"/>
        <v>#VALUE!</v>
      </c>
    </row>
    <row r="248" spans="1:13">
      <c r="B248" s="35">
        <v>2.2957880185781296</v>
      </c>
      <c r="C248" s="35">
        <v>-8.2263663034425338E-3</v>
      </c>
      <c r="D248" s="35">
        <v>3.3137218009327896E-2</v>
      </c>
      <c r="F248" s="35"/>
      <c r="J248">
        <v>236</v>
      </c>
      <c r="K248" s="35" t="e">
        <f ca="1">MCond(OFFSET($B$12,(ROW(A236)-1)*4,0,3,3))</f>
        <v>#VALUE!</v>
      </c>
      <c r="M248" t="e">
        <f t="shared" ca="1" si="20"/>
        <v>#VALUE!</v>
      </c>
    </row>
    <row r="249" spans="1:13">
      <c r="A249" t="s">
        <v>273</v>
      </c>
      <c r="B249" s="35">
        <v>1.8375474863113905</v>
      </c>
      <c r="C249" s="35">
        <v>2.1167426559988707</v>
      </c>
      <c r="D249" s="35">
        <v>1.2367606559382516E-2</v>
      </c>
      <c r="F249" s="35" t="e">
        <f ca="1">MCond(B248:D250)</f>
        <v>#VALUE!</v>
      </c>
      <c r="J249">
        <v>237</v>
      </c>
      <c r="K249" s="35" t="e">
        <f ca="1">MCond(OFFSET($B$12,(ROW(A237)-1)*4,0,3,3))</f>
        <v>#VALUE!</v>
      </c>
      <c r="M249" t="e">
        <f t="shared" ca="1" si="20"/>
        <v>#VALUE!</v>
      </c>
    </row>
    <row r="250" spans="1:13">
      <c r="B250" s="35">
        <v>1.2284177840385118</v>
      </c>
      <c r="C250" s="35">
        <v>2.3993580133895418</v>
      </c>
      <c r="D250" s="35">
        <v>-0.6756623603325641</v>
      </c>
      <c r="F250" s="35"/>
      <c r="J250">
        <v>238</v>
      </c>
      <c r="K250" s="35" t="e">
        <f ca="1">MCond(OFFSET($B$12,(ROW(A238)-1)*4,0,3,3))</f>
        <v>#VALUE!</v>
      </c>
      <c r="M250" t="e">
        <f t="shared" ca="1" si="20"/>
        <v>#VALUE!</v>
      </c>
    </row>
    <row r="251" spans="1:13">
      <c r="B251" s="35"/>
      <c r="C251" s="35"/>
      <c r="D251" s="35"/>
      <c r="F251" s="157"/>
      <c r="J251">
        <v>239</v>
      </c>
      <c r="K251" s="35" t="e">
        <f ca="1">MCond(OFFSET($B$12,(ROW(A239)-1)*4,0,3,3))</f>
        <v>#VALUE!</v>
      </c>
      <c r="M251" t="e">
        <f t="shared" ca="1" si="20"/>
        <v>#VALUE!</v>
      </c>
    </row>
    <row r="252" spans="1:13">
      <c r="B252" s="35">
        <v>-0.14897154656832046</v>
      </c>
      <c r="C252" s="35">
        <v>0.84725762547333594</v>
      </c>
      <c r="D252" s="35">
        <v>-1.9759438806851826E-2</v>
      </c>
      <c r="F252" s="35"/>
      <c r="J252">
        <v>240</v>
      </c>
      <c r="K252" s="35" t="e">
        <f ca="1">MCond(OFFSET($B$12,(ROW(A240)-1)*4,0,3,3))</f>
        <v>#VALUE!</v>
      </c>
      <c r="M252" t="e">
        <f t="shared" ca="1" si="20"/>
        <v>#VALUE!</v>
      </c>
    </row>
    <row r="253" spans="1:13">
      <c r="A253" t="s">
        <v>274</v>
      </c>
      <c r="B253" s="35">
        <v>2.6959782234951333</v>
      </c>
      <c r="C253" s="35">
        <v>1.0757798809975587</v>
      </c>
      <c r="D253" s="35">
        <v>4.997772423355884E-2</v>
      </c>
      <c r="F253" s="35" t="e">
        <f ca="1">MCond(B252:D254)</f>
        <v>#VALUE!</v>
      </c>
      <c r="J253">
        <v>241</v>
      </c>
      <c r="K253" s="35" t="e">
        <f ca="1">MCond(OFFSET($B$12,(ROW(A241)-1)*4,0,3,3))</f>
        <v>#VALUE!</v>
      </c>
      <c r="M253" t="e">
        <f t="shared" ca="1" si="20"/>
        <v>#VALUE!</v>
      </c>
    </row>
    <row r="254" spans="1:13">
      <c r="B254" s="35">
        <v>0.21871711292247331</v>
      </c>
      <c r="C254" s="35">
        <v>2.1363371502498802</v>
      </c>
      <c r="D254" s="35">
        <v>8.9790398854103559E-2</v>
      </c>
      <c r="F254" s="35"/>
      <c r="J254">
        <v>242</v>
      </c>
      <c r="K254" s="35" t="e">
        <f ca="1">MCond(OFFSET($B$12,(ROW(A242)-1)*4,0,3,3))</f>
        <v>#VALUE!</v>
      </c>
      <c r="M254" t="e">
        <f t="shared" ca="1" si="20"/>
        <v>#VALUE!</v>
      </c>
    </row>
    <row r="255" spans="1:13">
      <c r="B255" s="35"/>
      <c r="C255" s="35"/>
      <c r="D255" s="35"/>
      <c r="F255" s="157"/>
      <c r="J255">
        <v>243</v>
      </c>
      <c r="K255" s="35" t="e">
        <f ca="1">MCond(OFFSET($B$12,(ROW(A243)-1)*4,0,3,3))</f>
        <v>#VALUE!</v>
      </c>
      <c r="M255" t="e">
        <f t="shared" ca="1" si="20"/>
        <v>#VALUE!</v>
      </c>
    </row>
    <row r="256" spans="1:13">
      <c r="B256" s="35">
        <v>-0.14897154656832046</v>
      </c>
      <c r="C256" s="35">
        <v>0.84725762547333594</v>
      </c>
      <c r="D256" s="35">
        <v>-1.9759438806851826E-2</v>
      </c>
      <c r="F256" s="35"/>
      <c r="J256">
        <v>244</v>
      </c>
      <c r="K256" s="35" t="e">
        <f ca="1">MCond(OFFSET($B$12,(ROW(A244)-1)*4,0,3,3))</f>
        <v>#VALUE!</v>
      </c>
      <c r="M256" t="e">
        <f t="shared" ca="1" si="20"/>
        <v>#VALUE!</v>
      </c>
    </row>
    <row r="257" spans="1:13">
      <c r="A257" t="s">
        <v>275</v>
      </c>
      <c r="B257" s="35">
        <v>2.6959782234951333</v>
      </c>
      <c r="C257" s="35">
        <v>1.0757798809975587</v>
      </c>
      <c r="D257" s="35">
        <v>4.997772423355884E-2</v>
      </c>
      <c r="F257" s="35" t="e">
        <f ca="1">MCond(B256:D258)</f>
        <v>#VALUE!</v>
      </c>
      <c r="J257">
        <v>245</v>
      </c>
      <c r="K257" s="35" t="e">
        <f ca="1">MCond(OFFSET($B$12,(ROW(A245)-1)*4,0,3,3))</f>
        <v>#VALUE!</v>
      </c>
      <c r="M257" t="e">
        <f t="shared" ca="1" si="20"/>
        <v>#VALUE!</v>
      </c>
    </row>
    <row r="258" spans="1:13">
      <c r="B258" s="35">
        <v>1.8375474863113905</v>
      </c>
      <c r="C258" s="35">
        <v>2.1167426559988707</v>
      </c>
      <c r="D258" s="35">
        <v>1.2367606559382516E-2</v>
      </c>
      <c r="F258" s="35"/>
      <c r="J258">
        <v>246</v>
      </c>
      <c r="K258" s="35" t="e">
        <f ca="1">MCond(OFFSET($B$12,(ROW(A246)-1)*4,0,3,3))</f>
        <v>#VALUE!</v>
      </c>
      <c r="M258" t="e">
        <f t="shared" ca="1" si="20"/>
        <v>#VALUE!</v>
      </c>
    </row>
    <row r="259" spans="1:13">
      <c r="B259" s="35"/>
      <c r="C259" s="35"/>
      <c r="D259" s="35"/>
      <c r="F259" s="157"/>
      <c r="J259">
        <v>247</v>
      </c>
      <c r="K259" s="35" t="e">
        <f ca="1">MCond(OFFSET($B$12,(ROW(A247)-1)*4,0,3,3))</f>
        <v>#VALUE!</v>
      </c>
      <c r="M259" t="e">
        <f t="shared" ca="1" si="20"/>
        <v>#VALUE!</v>
      </c>
    </row>
    <row r="260" spans="1:13">
      <c r="B260" s="35">
        <v>-0.14897154656832046</v>
      </c>
      <c r="C260" s="35">
        <v>0.84725762547333594</v>
      </c>
      <c r="D260" s="35">
        <v>-1.9759438806851826E-2</v>
      </c>
      <c r="F260" s="35"/>
      <c r="J260">
        <v>248</v>
      </c>
      <c r="K260" s="35" t="e">
        <f ca="1">MCond(OFFSET($B$12,(ROW(A248)-1)*4,0,3,3))</f>
        <v>#VALUE!</v>
      </c>
      <c r="M260" t="e">
        <f t="shared" ca="1" si="20"/>
        <v>#VALUE!</v>
      </c>
    </row>
    <row r="261" spans="1:13">
      <c r="A261" t="s">
        <v>276</v>
      </c>
      <c r="B261" s="35">
        <v>2.6959782234951333</v>
      </c>
      <c r="C261" s="35">
        <v>1.0757798809975587</v>
      </c>
      <c r="D261" s="35">
        <v>4.997772423355884E-2</v>
      </c>
      <c r="F261" s="35" t="e">
        <f ca="1">MCond(B260:D262)</f>
        <v>#VALUE!</v>
      </c>
      <c r="J261">
        <v>249</v>
      </c>
      <c r="K261" s="35" t="e">
        <f ca="1">MCond(OFFSET($B$12,(ROW(A249)-1)*4,0,3,3))</f>
        <v>#VALUE!</v>
      </c>
      <c r="M261" t="e">
        <f t="shared" ca="1" si="20"/>
        <v>#VALUE!</v>
      </c>
    </row>
    <row r="262" spans="1:13">
      <c r="B262" s="35">
        <v>1.2284177840385118</v>
      </c>
      <c r="C262" s="35">
        <v>2.3993580133895418</v>
      </c>
      <c r="D262" s="35">
        <v>-0.6756623603325641</v>
      </c>
      <c r="F262" s="35"/>
      <c r="J262">
        <v>250</v>
      </c>
      <c r="K262" s="35" t="e">
        <f ca="1">MCond(OFFSET($B$12,(ROW(A250)-1)*4,0,3,3))</f>
        <v>#VALUE!</v>
      </c>
      <c r="M262" t="e">
        <f t="shared" ca="1" si="20"/>
        <v>#VALUE!</v>
      </c>
    </row>
    <row r="263" spans="1:13">
      <c r="B263" s="35"/>
      <c r="C263" s="35"/>
      <c r="D263" s="35"/>
      <c r="F263" s="157"/>
      <c r="J263">
        <v>251</v>
      </c>
      <c r="K263" s="35" t="e">
        <f ca="1">MCond(OFFSET($B$12,(ROW(A251)-1)*4,0,3,3))</f>
        <v>#VALUE!</v>
      </c>
      <c r="M263" t="e">
        <f t="shared" ca="1" si="20"/>
        <v>#VALUE!</v>
      </c>
    </row>
    <row r="264" spans="1:13">
      <c r="B264" s="35">
        <v>-0.14897154656832046</v>
      </c>
      <c r="C264" s="35">
        <v>0.84725762547333594</v>
      </c>
      <c r="D264" s="35">
        <v>-1.9759438806851826E-2</v>
      </c>
      <c r="F264" s="35"/>
      <c r="J264">
        <v>252</v>
      </c>
      <c r="K264" s="35" t="e">
        <f ca="1">MCond(OFFSET($B$12,(ROW(A252)-1)*4,0,3,3))</f>
        <v>#VALUE!</v>
      </c>
      <c r="M264" t="e">
        <f t="shared" ca="1" si="20"/>
        <v>#VALUE!</v>
      </c>
    </row>
    <row r="265" spans="1:13">
      <c r="A265" t="s">
        <v>277</v>
      </c>
      <c r="B265" s="35">
        <v>0.21871711292247331</v>
      </c>
      <c r="C265" s="35">
        <v>2.1363371502498802</v>
      </c>
      <c r="D265" s="35">
        <v>8.9790398854103559E-2</v>
      </c>
      <c r="F265" s="35" t="e">
        <f ca="1">MCond(B264:D266)</f>
        <v>#VALUE!</v>
      </c>
      <c r="J265">
        <v>253</v>
      </c>
      <c r="K265" s="35" t="e">
        <f ca="1">MCond(OFFSET($B$12,(ROW(A253)-1)*4,0,3,3))</f>
        <v>#VALUE!</v>
      </c>
      <c r="M265" t="e">
        <f t="shared" ca="1" si="20"/>
        <v>#VALUE!</v>
      </c>
    </row>
    <row r="266" spans="1:13">
      <c r="B266" s="35">
        <v>1.8375474863113905</v>
      </c>
      <c r="C266" s="35">
        <v>2.1167426559988707</v>
      </c>
      <c r="D266" s="35">
        <v>1.2367606559382516E-2</v>
      </c>
      <c r="F266" s="35"/>
      <c r="J266">
        <v>254</v>
      </c>
      <c r="K266" s="35" t="e">
        <f ca="1">MCond(OFFSET($B$12,(ROW(A254)-1)*4,0,3,3))</f>
        <v>#VALUE!</v>
      </c>
      <c r="M266" t="e">
        <f t="shared" ca="1" si="20"/>
        <v>#VALUE!</v>
      </c>
    </row>
    <row r="267" spans="1:13">
      <c r="B267" s="35"/>
      <c r="C267" s="35"/>
      <c r="D267" s="35"/>
      <c r="F267" s="157"/>
      <c r="J267">
        <v>255</v>
      </c>
      <c r="K267" s="35" t="e">
        <f ca="1">MCond(OFFSET($B$12,(ROW(A255)-1)*4,0,3,3))</f>
        <v>#VALUE!</v>
      </c>
      <c r="M267" t="e">
        <f t="shared" ca="1" si="20"/>
        <v>#VALUE!</v>
      </c>
    </row>
    <row r="268" spans="1:13">
      <c r="B268" s="35">
        <v>-0.14897154656832046</v>
      </c>
      <c r="C268" s="35">
        <v>0.84725762547333594</v>
      </c>
      <c r="D268" s="35">
        <v>-1.9759438806851826E-2</v>
      </c>
      <c r="F268" s="35"/>
      <c r="J268">
        <v>256</v>
      </c>
      <c r="K268" s="35" t="e">
        <f ca="1">MCond(OFFSET($B$12,(ROW(A256)-1)*4,0,3,3))</f>
        <v>#VALUE!</v>
      </c>
      <c r="M268" t="e">
        <f t="shared" ca="1" si="20"/>
        <v>#VALUE!</v>
      </c>
    </row>
    <row r="269" spans="1:13">
      <c r="A269" t="s">
        <v>278</v>
      </c>
      <c r="B269" s="35">
        <v>0.21871711292247331</v>
      </c>
      <c r="C269" s="35">
        <v>2.1363371502498802</v>
      </c>
      <c r="D269" s="35">
        <v>8.9790398854103559E-2</v>
      </c>
      <c r="F269" s="35" t="e">
        <f ca="1">MCond(B268:D270)</f>
        <v>#VALUE!</v>
      </c>
      <c r="J269">
        <v>257</v>
      </c>
      <c r="K269" s="35" t="e">
        <f ca="1">MCond(OFFSET($B$12,(ROW(A257)-1)*4,0,3,3))</f>
        <v>#VALUE!</v>
      </c>
      <c r="M269" t="e">
        <f t="shared" ca="1" si="20"/>
        <v>#VALUE!</v>
      </c>
    </row>
    <row r="270" spans="1:13">
      <c r="B270" s="35">
        <v>1.2284177840385118</v>
      </c>
      <c r="C270" s="35">
        <v>2.3993580133895418</v>
      </c>
      <c r="D270" s="35">
        <v>-0.6756623603325641</v>
      </c>
      <c r="F270" s="35"/>
      <c r="J270">
        <v>258</v>
      </c>
      <c r="K270" s="35" t="e">
        <f ca="1">MCond(OFFSET($B$12,(ROW(A258)-1)*4,0,3,3))</f>
        <v>#VALUE!</v>
      </c>
      <c r="M270" t="e">
        <f t="shared" ref="M270:M292" ca="1" si="21">K270/$L$13</f>
        <v>#VALUE!</v>
      </c>
    </row>
    <row r="271" spans="1:13">
      <c r="B271" s="35"/>
      <c r="C271" s="35"/>
      <c r="D271" s="35"/>
      <c r="F271" s="157"/>
      <c r="J271">
        <v>259</v>
      </c>
      <c r="K271" s="35" t="e">
        <f ca="1">MCond(OFFSET($B$12,(ROW(A259)-1)*4,0,3,3))</f>
        <v>#VALUE!</v>
      </c>
      <c r="M271" t="e">
        <f t="shared" ca="1" si="21"/>
        <v>#VALUE!</v>
      </c>
    </row>
    <row r="272" spans="1:13">
      <c r="B272" s="35">
        <v>-0.14897154656832046</v>
      </c>
      <c r="C272" s="35">
        <v>0.84725762547333594</v>
      </c>
      <c r="D272" s="35">
        <v>-1.9759438806851826E-2</v>
      </c>
      <c r="F272" s="35"/>
      <c r="J272">
        <v>260</v>
      </c>
      <c r="K272" s="35" t="e">
        <f ca="1">MCond(OFFSET($B$12,(ROW(A260)-1)*4,0,3,3))</f>
        <v>#VALUE!</v>
      </c>
      <c r="M272" t="e">
        <f t="shared" ca="1" si="21"/>
        <v>#VALUE!</v>
      </c>
    </row>
    <row r="273" spans="1:13">
      <c r="A273" t="s">
        <v>279</v>
      </c>
      <c r="B273" s="35">
        <v>1.8375474863113905</v>
      </c>
      <c r="C273" s="35">
        <v>2.1167426559988707</v>
      </c>
      <c r="D273" s="35">
        <v>1.2367606559382516E-2</v>
      </c>
      <c r="F273" s="35" t="e">
        <f ca="1">MCond(B272:D274)</f>
        <v>#VALUE!</v>
      </c>
      <c r="J273">
        <v>261</v>
      </c>
      <c r="K273" s="35" t="e">
        <f ca="1">MCond(OFFSET($B$12,(ROW(A261)-1)*4,0,3,3))</f>
        <v>#VALUE!</v>
      </c>
      <c r="M273" t="e">
        <f t="shared" ca="1" si="21"/>
        <v>#VALUE!</v>
      </c>
    </row>
    <row r="274" spans="1:13">
      <c r="B274" s="35">
        <v>1.2284177840385118</v>
      </c>
      <c r="C274" s="35">
        <v>2.3993580133895418</v>
      </c>
      <c r="D274" s="35">
        <v>-0.6756623603325641</v>
      </c>
      <c r="F274" s="35"/>
      <c r="J274">
        <v>262</v>
      </c>
      <c r="K274" s="35" t="e">
        <f ca="1">MCond(OFFSET($B$12,(ROW(A262)-1)*4,0,3,3))</f>
        <v>#VALUE!</v>
      </c>
      <c r="M274" t="e">
        <f t="shared" ca="1" si="21"/>
        <v>#VALUE!</v>
      </c>
    </row>
    <row r="275" spans="1:13">
      <c r="B275" s="35"/>
      <c r="C275" s="35"/>
      <c r="D275" s="35"/>
      <c r="F275" s="157"/>
      <c r="J275">
        <v>263</v>
      </c>
      <c r="K275" s="35" t="e">
        <f ca="1">MCond(OFFSET($B$12,(ROW(A263)-1)*4,0,3,3))</f>
        <v>#VALUE!</v>
      </c>
      <c r="M275" t="e">
        <f t="shared" ca="1" si="21"/>
        <v>#VALUE!</v>
      </c>
    </row>
    <row r="276" spans="1:13">
      <c r="B276" s="35">
        <v>2.6959782234951333</v>
      </c>
      <c r="C276" s="35">
        <v>1.0757798809975587</v>
      </c>
      <c r="D276" s="35">
        <v>4.997772423355884E-2</v>
      </c>
      <c r="F276" s="35"/>
      <c r="J276">
        <v>264</v>
      </c>
      <c r="K276" s="35" t="e">
        <f ca="1">MCond(OFFSET($B$12,(ROW(A264)-1)*4,0,3,3))</f>
        <v>#VALUE!</v>
      </c>
      <c r="M276" t="e">
        <f t="shared" ca="1" si="21"/>
        <v>#VALUE!</v>
      </c>
    </row>
    <row r="277" spans="1:13">
      <c r="A277" t="s">
        <v>280</v>
      </c>
      <c r="B277" s="35">
        <v>0.21871711292247331</v>
      </c>
      <c r="C277" s="35">
        <v>2.1363371502498802</v>
      </c>
      <c r="D277" s="35">
        <v>8.9790398854103559E-2</v>
      </c>
      <c r="F277" s="35" t="e">
        <f ca="1">MCond(B276:D278)</f>
        <v>#VALUE!</v>
      </c>
      <c r="J277">
        <v>265</v>
      </c>
      <c r="K277" s="35" t="e">
        <f ca="1">MCond(OFFSET($B$12,(ROW(A265)-1)*4,0,3,3))</f>
        <v>#VALUE!</v>
      </c>
      <c r="M277" t="e">
        <f t="shared" ca="1" si="21"/>
        <v>#VALUE!</v>
      </c>
    </row>
    <row r="278" spans="1:13">
      <c r="B278" s="35">
        <v>1.8375474863113905</v>
      </c>
      <c r="C278" s="35">
        <v>2.1167426559988707</v>
      </c>
      <c r="D278" s="35">
        <v>1.2367606559382516E-2</v>
      </c>
      <c r="F278" s="35"/>
      <c r="J278">
        <v>266</v>
      </c>
      <c r="K278" s="35" t="e">
        <f ca="1">MCond(OFFSET($B$12,(ROW(A266)-1)*4,0,3,3))</f>
        <v>#VALUE!</v>
      </c>
      <c r="M278" t="e">
        <f t="shared" ca="1" si="21"/>
        <v>#VALUE!</v>
      </c>
    </row>
    <row r="279" spans="1:13">
      <c r="B279" s="35"/>
      <c r="C279" s="35"/>
      <c r="D279" s="35"/>
      <c r="F279" s="157"/>
      <c r="J279">
        <v>267</v>
      </c>
      <c r="K279" s="35" t="e">
        <f ca="1">MCond(OFFSET($B$12,(ROW(A267)-1)*4,0,3,3))</f>
        <v>#VALUE!</v>
      </c>
      <c r="M279" t="e">
        <f t="shared" ca="1" si="21"/>
        <v>#VALUE!</v>
      </c>
    </row>
    <row r="280" spans="1:13">
      <c r="B280" s="35">
        <v>2.6959782234951333</v>
      </c>
      <c r="C280" s="35">
        <v>1.0757798809975587</v>
      </c>
      <c r="D280" s="35">
        <v>4.997772423355884E-2</v>
      </c>
      <c r="F280" s="35"/>
      <c r="J280">
        <v>268</v>
      </c>
      <c r="K280" s="35" t="e">
        <f ca="1">MCond(OFFSET($B$12,(ROW(A268)-1)*4,0,3,3))</f>
        <v>#VALUE!</v>
      </c>
      <c r="M280" t="e">
        <f t="shared" ca="1" si="21"/>
        <v>#VALUE!</v>
      </c>
    </row>
    <row r="281" spans="1:13">
      <c r="A281" t="s">
        <v>281</v>
      </c>
      <c r="B281" s="35">
        <v>0.21871711292247331</v>
      </c>
      <c r="C281" s="35">
        <v>2.1363371502498802</v>
      </c>
      <c r="D281" s="35">
        <v>8.9790398854103559E-2</v>
      </c>
      <c r="F281" s="35" t="e">
        <f ca="1">MCond(B280:D282)</f>
        <v>#VALUE!</v>
      </c>
      <c r="J281">
        <v>269</v>
      </c>
      <c r="K281" s="35" t="e">
        <f ca="1">MCond(OFFSET($B$12,(ROW(A269)-1)*4,0,3,3))</f>
        <v>#VALUE!</v>
      </c>
      <c r="M281" t="e">
        <f t="shared" ca="1" si="21"/>
        <v>#VALUE!</v>
      </c>
    </row>
    <row r="282" spans="1:13">
      <c r="B282" s="35">
        <v>1.2284177840385118</v>
      </c>
      <c r="C282" s="35">
        <v>2.3993580133895418</v>
      </c>
      <c r="D282" s="35">
        <v>-0.6756623603325641</v>
      </c>
      <c r="F282" s="35"/>
      <c r="J282">
        <v>270</v>
      </c>
      <c r="K282" s="35" t="e">
        <f ca="1">MCond(OFFSET($B$12,(ROW(A270)-1)*4,0,3,3))</f>
        <v>#VALUE!</v>
      </c>
      <c r="M282" t="e">
        <f t="shared" ca="1" si="21"/>
        <v>#VALUE!</v>
      </c>
    </row>
    <row r="283" spans="1:13">
      <c r="B283" s="35"/>
      <c r="C283" s="35"/>
      <c r="D283" s="35"/>
      <c r="F283" s="157"/>
      <c r="J283">
        <v>271</v>
      </c>
      <c r="K283" s="35" t="e">
        <f ca="1">MCond(OFFSET($B$12,(ROW(A271)-1)*4,0,3,3))</f>
        <v>#VALUE!</v>
      </c>
      <c r="M283" t="e">
        <f t="shared" ca="1" si="21"/>
        <v>#VALUE!</v>
      </c>
    </row>
    <row r="284" spans="1:13">
      <c r="B284" s="35">
        <v>2.6959782234951333</v>
      </c>
      <c r="C284" s="35">
        <v>1.0757798809975587</v>
      </c>
      <c r="D284" s="35">
        <v>4.997772423355884E-2</v>
      </c>
      <c r="F284" s="35"/>
      <c r="J284">
        <v>272</v>
      </c>
      <c r="K284" s="35" t="e">
        <f ca="1">MCond(OFFSET($B$12,(ROW(A272)-1)*4,0,3,3))</f>
        <v>#VALUE!</v>
      </c>
      <c r="M284" t="e">
        <f t="shared" ca="1" si="21"/>
        <v>#VALUE!</v>
      </c>
    </row>
    <row r="285" spans="1:13">
      <c r="A285" t="s">
        <v>282</v>
      </c>
      <c r="B285" s="35">
        <v>1.8375474863113905</v>
      </c>
      <c r="C285" s="35">
        <v>2.1167426559988707</v>
      </c>
      <c r="D285" s="35">
        <v>1.2367606559382516E-2</v>
      </c>
      <c r="F285" s="35" t="e">
        <f ca="1">MCond(B284:D286)</f>
        <v>#VALUE!</v>
      </c>
      <c r="J285">
        <v>273</v>
      </c>
      <c r="K285" s="35" t="e">
        <f ca="1">MCond(OFFSET($B$12,(ROW(A273)-1)*4,0,3,3))</f>
        <v>#VALUE!</v>
      </c>
      <c r="M285" t="e">
        <f t="shared" ca="1" si="21"/>
        <v>#VALUE!</v>
      </c>
    </row>
    <row r="286" spans="1:13">
      <c r="B286" s="35">
        <v>1.2284177840385118</v>
      </c>
      <c r="C286" s="35">
        <v>2.3993580133895418</v>
      </c>
      <c r="D286" s="35">
        <v>-0.6756623603325641</v>
      </c>
      <c r="F286" s="35"/>
      <c r="J286">
        <v>274</v>
      </c>
      <c r="K286" s="35" t="e">
        <f ca="1">MCond(OFFSET($B$12,(ROW(A274)-1)*4,0,3,3))</f>
        <v>#VALUE!</v>
      </c>
      <c r="M286" t="e">
        <f t="shared" ca="1" si="21"/>
        <v>#VALUE!</v>
      </c>
    </row>
    <row r="287" spans="1:13">
      <c r="B287" s="35"/>
      <c r="C287" s="35"/>
      <c r="D287" s="35"/>
      <c r="F287" s="157"/>
      <c r="J287">
        <v>275</v>
      </c>
      <c r="K287" s="35" t="e">
        <f ca="1">MCond(OFFSET($B$12,(ROW(A275)-1)*4,0,3,3))</f>
        <v>#VALUE!</v>
      </c>
      <c r="M287" t="e">
        <f t="shared" ca="1" si="21"/>
        <v>#VALUE!</v>
      </c>
    </row>
    <row r="288" spans="1:13">
      <c r="B288" s="35">
        <v>0.21871711292247331</v>
      </c>
      <c r="C288" s="35">
        <v>2.1363371502498802</v>
      </c>
      <c r="D288" s="35">
        <v>8.9790398854103559E-2</v>
      </c>
      <c r="F288" s="35"/>
      <c r="J288">
        <v>276</v>
      </c>
      <c r="K288" s="35" t="e">
        <f ca="1">MCond(OFFSET($B$12,(ROW(A276)-1)*4,0,3,3))</f>
        <v>#VALUE!</v>
      </c>
      <c r="M288" t="e">
        <f t="shared" ca="1" si="21"/>
        <v>#VALUE!</v>
      </c>
    </row>
    <row r="289" spans="1:13">
      <c r="A289" t="s">
        <v>283</v>
      </c>
      <c r="B289" s="35">
        <v>1.8375474863113905</v>
      </c>
      <c r="C289" s="35">
        <v>2.1167426559988707</v>
      </c>
      <c r="D289" s="35">
        <v>1.2367606559382516E-2</v>
      </c>
      <c r="F289" s="35" t="e">
        <f ca="1">MCond(B288:D290)</f>
        <v>#VALUE!</v>
      </c>
      <c r="J289">
        <v>277</v>
      </c>
      <c r="K289" s="35" t="e">
        <f ca="1">MCond(OFFSET($B$12,(ROW(A277)-1)*4,0,3,3))</f>
        <v>#VALUE!</v>
      </c>
      <c r="M289" t="e">
        <f t="shared" ca="1" si="21"/>
        <v>#VALUE!</v>
      </c>
    </row>
    <row r="290" spans="1:13">
      <c r="B290" s="35">
        <v>1.2284177840385118</v>
      </c>
      <c r="C290" s="35">
        <v>2.3993580133895418</v>
      </c>
      <c r="D290" s="35">
        <v>-0.6756623603325641</v>
      </c>
      <c r="F290" s="35"/>
      <c r="J290">
        <v>278</v>
      </c>
      <c r="K290" s="35" t="e">
        <f ca="1">MCond(OFFSET($B$12,(ROW(A278)-1)*4,0,3,3))</f>
        <v>#VALUE!</v>
      </c>
      <c r="M290" t="e">
        <f t="shared" ca="1" si="21"/>
        <v>#VALUE!</v>
      </c>
    </row>
    <row r="291" spans="1:13">
      <c r="B291" s="35"/>
      <c r="C291" s="35"/>
      <c r="D291" s="35"/>
      <c r="F291" s="157"/>
      <c r="J291">
        <v>279</v>
      </c>
      <c r="K291" s="35" t="e">
        <f ca="1">MCond(OFFSET($B$12,(ROW(A279)-1)*4,0,3,3))</f>
        <v>#VALUE!</v>
      </c>
      <c r="M291" t="e">
        <f t="shared" ca="1" si="21"/>
        <v>#VALUE!</v>
      </c>
    </row>
    <row r="292" spans="1:13">
      <c r="B292" s="35">
        <v>-1.0419123890112216</v>
      </c>
      <c r="C292" s="35">
        <v>4.0818532431212473E-2</v>
      </c>
      <c r="D292" s="35">
        <v>-0.77248383184656022</v>
      </c>
      <c r="F292" s="35"/>
      <c r="J292">
        <v>280</v>
      </c>
      <c r="K292" s="35" t="e">
        <f ca="1">MCond(OFFSET($B$12,(ROW(A280)-1)*4,0,3,3))</f>
        <v>#VALUE!</v>
      </c>
      <c r="M292" t="e">
        <f t="shared" ca="1" si="21"/>
        <v>#VALUE!</v>
      </c>
    </row>
    <row r="293" spans="1:13">
      <c r="A293" t="s">
        <v>284</v>
      </c>
      <c r="B293" s="35">
        <v>-2.2957880185781296</v>
      </c>
      <c r="C293" s="35">
        <v>8.2263663034425338E-3</v>
      </c>
      <c r="D293" s="35">
        <v>-3.3137218009327896E-2</v>
      </c>
      <c r="F293" s="35" t="e">
        <f ca="1">MCond(B292:D294)</f>
        <v>#VALUE!</v>
      </c>
      <c r="K293" s="35"/>
    </row>
    <row r="294" spans="1:13">
      <c r="B294" s="35">
        <v>-2.44475956514645</v>
      </c>
      <c r="C294" s="35">
        <v>0.85548399177677847</v>
      </c>
      <c r="D294" s="35">
        <v>-5.2896656816179721E-2</v>
      </c>
      <c r="F294" s="35"/>
      <c r="K294" s="35"/>
    </row>
    <row r="295" spans="1:13">
      <c r="B295" s="35"/>
      <c r="C295" s="35"/>
      <c r="D295" s="35"/>
      <c r="F295" s="157"/>
      <c r="K295" s="35"/>
    </row>
    <row r="296" spans="1:13">
      <c r="B296" s="35">
        <v>-1.0419123890112216</v>
      </c>
      <c r="C296" s="35">
        <v>4.0818532431212473E-2</v>
      </c>
      <c r="D296" s="35">
        <v>-0.77248383184656022</v>
      </c>
      <c r="F296" s="35"/>
      <c r="K296" s="35"/>
    </row>
    <row r="297" spans="1:13">
      <c r="A297" t="s">
        <v>285</v>
      </c>
      <c r="B297" s="35">
        <v>-2.2957880185781296</v>
      </c>
      <c r="C297" s="35">
        <v>8.2263663034425338E-3</v>
      </c>
      <c r="D297" s="35">
        <v>-3.3137218009327896E-2</v>
      </c>
      <c r="F297" s="35" t="e">
        <f ca="1">MCond(B296:D298)</f>
        <v>#VALUE!</v>
      </c>
      <c r="K297" s="35"/>
    </row>
    <row r="298" spans="1:13">
      <c r="B298" s="35">
        <v>0.40019020491700363</v>
      </c>
      <c r="C298" s="35">
        <v>1.0840062473010013</v>
      </c>
      <c r="D298" s="35">
        <v>1.6840506224230944E-2</v>
      </c>
      <c r="F298" s="35"/>
      <c r="K298" s="35"/>
    </row>
    <row r="299" spans="1:13">
      <c r="B299" s="35"/>
      <c r="C299" s="35"/>
      <c r="D299" s="35"/>
      <c r="F299" s="157"/>
      <c r="K299" s="35"/>
    </row>
    <row r="300" spans="1:13">
      <c r="B300" s="35">
        <v>-1.0419123890112216</v>
      </c>
      <c r="C300" s="35">
        <v>4.0818532431212473E-2</v>
      </c>
      <c r="D300" s="35">
        <v>-0.77248383184656022</v>
      </c>
      <c r="F300" s="35"/>
      <c r="K300" s="35"/>
    </row>
    <row r="301" spans="1:13">
      <c r="A301" t="s">
        <v>286</v>
      </c>
      <c r="B301" s="35">
        <v>-2.2957880185781296</v>
      </c>
      <c r="C301" s="35">
        <v>8.2263663034425338E-3</v>
      </c>
      <c r="D301" s="35">
        <v>-3.3137218009327896E-2</v>
      </c>
      <c r="F301" s="35" t="e">
        <f ca="1">MCond(B300:D302)</f>
        <v>#VALUE!</v>
      </c>
      <c r="K301" s="35"/>
    </row>
    <row r="302" spans="1:13">
      <c r="B302" s="35">
        <v>-2.0770709056556562</v>
      </c>
      <c r="C302" s="35">
        <v>2.1445635165533226</v>
      </c>
      <c r="D302" s="35">
        <v>5.6653180844775664E-2</v>
      </c>
      <c r="F302" s="35"/>
      <c r="K302" s="35"/>
    </row>
    <row r="303" spans="1:13">
      <c r="B303" s="35"/>
      <c r="C303" s="35"/>
      <c r="D303" s="35"/>
      <c r="F303" s="157"/>
      <c r="K303" s="35"/>
    </row>
    <row r="304" spans="1:13">
      <c r="B304" s="35">
        <v>-1.0419123890112216</v>
      </c>
      <c r="C304" s="35">
        <v>4.0818532431212473E-2</v>
      </c>
      <c r="D304" s="35">
        <v>-0.77248383184656022</v>
      </c>
      <c r="F304" s="35"/>
      <c r="K304" s="35"/>
    </row>
    <row r="305" spans="1:11">
      <c r="A305" t="s">
        <v>287</v>
      </c>
      <c r="B305" s="35">
        <v>-2.2957880185781296</v>
      </c>
      <c r="C305" s="35">
        <v>8.2263663034425338E-3</v>
      </c>
      <c r="D305" s="35">
        <v>-3.3137218009327896E-2</v>
      </c>
      <c r="F305" s="35" t="e">
        <f ca="1">MCond(B304:D306)</f>
        <v>#VALUE!</v>
      </c>
      <c r="K305" s="35"/>
    </row>
    <row r="306" spans="1:11">
      <c r="B306" s="35">
        <v>-0.45824053226673911</v>
      </c>
      <c r="C306" s="35">
        <v>2.124969022302313</v>
      </c>
      <c r="D306" s="35">
        <v>-2.076961144994538E-2</v>
      </c>
      <c r="F306" s="35"/>
      <c r="K306" s="35"/>
    </row>
    <row r="307" spans="1:11">
      <c r="B307" s="35"/>
      <c r="C307" s="35"/>
      <c r="D307" s="35"/>
      <c r="F307" s="157"/>
      <c r="K307" s="35"/>
    </row>
    <row r="308" spans="1:11">
      <c r="B308" s="35">
        <v>-1.0419123890112216</v>
      </c>
      <c r="C308" s="35">
        <v>4.0818532431212473E-2</v>
      </c>
      <c r="D308" s="35">
        <v>-0.77248383184656022</v>
      </c>
      <c r="F308" s="35"/>
      <c r="K308" s="35"/>
    </row>
    <row r="309" spans="1:11">
      <c r="A309" t="s">
        <v>288</v>
      </c>
      <c r="B309" s="35">
        <v>-2.2957880185781296</v>
      </c>
      <c r="C309" s="35">
        <v>8.2263663034425338E-3</v>
      </c>
      <c r="D309" s="35">
        <v>-3.3137218009327896E-2</v>
      </c>
      <c r="F309" s="35" t="e">
        <f ca="1">MCond(B308:D310)</f>
        <v>#VALUE!</v>
      </c>
      <c r="K309" s="35"/>
    </row>
    <row r="310" spans="1:11">
      <c r="B310" s="35">
        <v>-1.0673702345396179</v>
      </c>
      <c r="C310" s="35">
        <v>2.4075843796929846</v>
      </c>
      <c r="D310" s="35">
        <v>-0.708799578341892</v>
      </c>
      <c r="F310" s="35"/>
      <c r="K310" s="35"/>
    </row>
    <row r="311" spans="1:11">
      <c r="B311" s="35"/>
      <c r="C311" s="35"/>
      <c r="D311" s="35"/>
      <c r="F311" s="157"/>
      <c r="K311" s="35"/>
    </row>
    <row r="312" spans="1:11">
      <c r="B312" s="35">
        <v>-1.0419123890112216</v>
      </c>
      <c r="C312" s="35">
        <v>4.0818532431212473E-2</v>
      </c>
      <c r="D312" s="35">
        <v>-0.77248383184656022</v>
      </c>
      <c r="F312" s="35"/>
      <c r="K312" s="35"/>
    </row>
    <row r="313" spans="1:11">
      <c r="A313" t="s">
        <v>289</v>
      </c>
      <c r="B313" s="35">
        <v>-2.44475956514645</v>
      </c>
      <c r="C313" s="35">
        <v>0.85548399177677847</v>
      </c>
      <c r="D313" s="35">
        <v>-5.2896656816179721E-2</v>
      </c>
      <c r="F313" s="35" t="e">
        <f ca="1">MCond(B312:D314)</f>
        <v>#VALUE!</v>
      </c>
      <c r="K313" s="35"/>
    </row>
    <row r="314" spans="1:11">
      <c r="B314" s="35">
        <v>0.40019020491700363</v>
      </c>
      <c r="C314" s="35">
        <v>1.0840062473010013</v>
      </c>
      <c r="D314" s="35">
        <v>1.6840506224230944E-2</v>
      </c>
      <c r="F314" s="35"/>
      <c r="K314" s="35"/>
    </row>
    <row r="315" spans="1:11">
      <c r="B315" s="35"/>
      <c r="C315" s="35"/>
      <c r="D315" s="35"/>
      <c r="F315" s="157"/>
      <c r="K315" s="35"/>
    </row>
    <row r="316" spans="1:11">
      <c r="B316" s="35">
        <v>-1.0419123890112216</v>
      </c>
      <c r="C316" s="35">
        <v>4.0818532431212473E-2</v>
      </c>
      <c r="D316" s="35">
        <v>-0.77248383184656022</v>
      </c>
      <c r="F316" s="35"/>
      <c r="K316" s="35"/>
    </row>
    <row r="317" spans="1:11">
      <c r="A317" t="s">
        <v>290</v>
      </c>
      <c r="B317" s="35">
        <v>-2.44475956514645</v>
      </c>
      <c r="C317" s="35">
        <v>0.85548399177677847</v>
      </c>
      <c r="D317" s="35">
        <v>-5.2896656816179721E-2</v>
      </c>
      <c r="F317" s="35" t="e">
        <f ca="1">MCond(B316:D318)</f>
        <v>#VALUE!</v>
      </c>
      <c r="K317" s="35"/>
    </row>
    <row r="318" spans="1:11">
      <c r="B318" s="35">
        <v>-2.0770709056556562</v>
      </c>
      <c r="C318" s="35">
        <v>2.1445635165533226</v>
      </c>
      <c r="D318" s="35">
        <v>5.6653180844775664E-2</v>
      </c>
      <c r="F318" s="35"/>
      <c r="K318" s="35"/>
    </row>
    <row r="319" spans="1:11">
      <c r="B319" s="35"/>
      <c r="C319" s="35"/>
      <c r="D319" s="35"/>
      <c r="F319" s="157"/>
      <c r="K319" s="35"/>
    </row>
    <row r="320" spans="1:11">
      <c r="B320" s="35">
        <v>-1.0419123890112216</v>
      </c>
      <c r="C320" s="35">
        <v>4.0818532431212473E-2</v>
      </c>
      <c r="D320" s="35">
        <v>-0.77248383184656022</v>
      </c>
      <c r="F320" s="35"/>
      <c r="K320" s="35"/>
    </row>
    <row r="321" spans="1:11">
      <c r="A321" t="s">
        <v>291</v>
      </c>
      <c r="B321" s="35">
        <v>-2.44475956514645</v>
      </c>
      <c r="C321" s="35">
        <v>0.85548399177677847</v>
      </c>
      <c r="D321" s="35">
        <v>-5.2896656816179721E-2</v>
      </c>
      <c r="F321" s="35" t="e">
        <f ca="1">MCond(B320:D322)</f>
        <v>#VALUE!</v>
      </c>
      <c r="K321" s="35"/>
    </row>
    <row r="322" spans="1:11">
      <c r="B322" s="35">
        <v>-0.45824053226673911</v>
      </c>
      <c r="C322" s="35">
        <v>2.124969022302313</v>
      </c>
      <c r="D322" s="35">
        <v>-2.076961144994538E-2</v>
      </c>
      <c r="F322" s="35"/>
      <c r="K322" s="35"/>
    </row>
    <row r="323" spans="1:11">
      <c r="B323" s="35"/>
      <c r="C323" s="35"/>
      <c r="D323" s="35"/>
      <c r="F323" s="157"/>
      <c r="K323" s="35"/>
    </row>
    <row r="324" spans="1:11">
      <c r="B324" s="35">
        <v>-1.0419123890112216</v>
      </c>
      <c r="C324" s="35">
        <v>4.0818532431212473E-2</v>
      </c>
      <c r="D324" s="35">
        <v>-0.77248383184656022</v>
      </c>
      <c r="F324" s="35"/>
      <c r="K324" s="35"/>
    </row>
    <row r="325" spans="1:11">
      <c r="A325" t="s">
        <v>292</v>
      </c>
      <c r="B325" s="35">
        <v>-2.44475956514645</v>
      </c>
      <c r="C325" s="35">
        <v>0.85548399177677847</v>
      </c>
      <c r="D325" s="35">
        <v>-5.2896656816179721E-2</v>
      </c>
      <c r="F325" s="35" t="e">
        <f ca="1">MCond(B324:D326)</f>
        <v>#VALUE!</v>
      </c>
      <c r="K325" s="35"/>
    </row>
    <row r="326" spans="1:11">
      <c r="B326" s="35">
        <v>-1.0673702345396179</v>
      </c>
      <c r="C326" s="35">
        <v>2.4075843796929846</v>
      </c>
      <c r="D326" s="35">
        <v>-0.708799578341892</v>
      </c>
      <c r="F326" s="35"/>
      <c r="K326" s="35"/>
    </row>
    <row r="327" spans="1:11">
      <c r="B327" s="35"/>
      <c r="C327" s="35"/>
      <c r="D327" s="35"/>
      <c r="F327" s="157"/>
      <c r="K327" s="35"/>
    </row>
    <row r="328" spans="1:11">
      <c r="B328" s="35">
        <v>-1.0419123890112216</v>
      </c>
      <c r="C328" s="35">
        <v>4.0818532431212473E-2</v>
      </c>
      <c r="D328" s="35">
        <v>-0.77248383184656022</v>
      </c>
      <c r="F328" s="35"/>
      <c r="K328" s="35"/>
    </row>
    <row r="329" spans="1:11">
      <c r="A329" t="s">
        <v>293</v>
      </c>
      <c r="B329" s="35">
        <v>0.40019020491700363</v>
      </c>
      <c r="C329" s="35">
        <v>1.0840062473010013</v>
      </c>
      <c r="D329" s="35">
        <v>1.6840506224230944E-2</v>
      </c>
      <c r="F329" s="35" t="e">
        <f ca="1">MCond(B328:D330)</f>
        <v>#VALUE!</v>
      </c>
      <c r="K329" s="35"/>
    </row>
    <row r="330" spans="1:11">
      <c r="B330" s="35">
        <v>-2.0770709056556562</v>
      </c>
      <c r="C330" s="35">
        <v>2.1445635165533226</v>
      </c>
      <c r="D330" s="35">
        <v>5.6653180844775664E-2</v>
      </c>
      <c r="F330" s="35"/>
      <c r="K330" s="35"/>
    </row>
    <row r="331" spans="1:11">
      <c r="B331" s="35"/>
      <c r="C331" s="35"/>
      <c r="D331" s="35"/>
      <c r="F331" s="157"/>
      <c r="K331" s="35"/>
    </row>
    <row r="332" spans="1:11">
      <c r="B332" s="35">
        <v>-1.0419123890112216</v>
      </c>
      <c r="C332" s="35">
        <v>4.0818532431212473E-2</v>
      </c>
      <c r="D332" s="35">
        <v>-0.77248383184656022</v>
      </c>
      <c r="F332" s="35"/>
      <c r="K332" s="35"/>
    </row>
    <row r="333" spans="1:11">
      <c r="A333" t="s">
        <v>294</v>
      </c>
      <c r="B333" s="35">
        <v>0.40019020491700363</v>
      </c>
      <c r="C333" s="35">
        <v>1.0840062473010013</v>
      </c>
      <c r="D333" s="35">
        <v>1.6840506224230944E-2</v>
      </c>
      <c r="F333" s="35" t="e">
        <f ca="1">MCond(B332:D334)</f>
        <v>#VALUE!</v>
      </c>
      <c r="K333" s="35"/>
    </row>
    <row r="334" spans="1:11">
      <c r="B334" s="35">
        <v>-0.45824053226673911</v>
      </c>
      <c r="C334" s="35">
        <v>2.124969022302313</v>
      </c>
      <c r="D334" s="35">
        <v>-2.076961144994538E-2</v>
      </c>
      <c r="F334" s="35"/>
      <c r="K334" s="35"/>
    </row>
    <row r="335" spans="1:11">
      <c r="B335" s="35"/>
      <c r="C335" s="35"/>
      <c r="D335" s="35"/>
      <c r="F335" s="157"/>
      <c r="K335" s="35"/>
    </row>
    <row r="336" spans="1:11">
      <c r="B336" s="35">
        <v>-1.0419123890112216</v>
      </c>
      <c r="C336" s="35">
        <v>4.0818532431212473E-2</v>
      </c>
      <c r="D336" s="35">
        <v>-0.77248383184656022</v>
      </c>
      <c r="F336" s="35"/>
      <c r="K336" s="35"/>
    </row>
    <row r="337" spans="1:11">
      <c r="A337" t="s">
        <v>295</v>
      </c>
      <c r="B337" s="35">
        <v>0.40019020491700363</v>
      </c>
      <c r="C337" s="35">
        <v>1.0840062473010013</v>
      </c>
      <c r="D337" s="35">
        <v>1.6840506224230944E-2</v>
      </c>
      <c r="F337" s="35" t="e">
        <f ca="1">MCond(B336:D338)</f>
        <v>#VALUE!</v>
      </c>
      <c r="K337" s="35"/>
    </row>
    <row r="338" spans="1:11">
      <c r="B338" s="35">
        <v>-1.0673702345396179</v>
      </c>
      <c r="C338" s="35">
        <v>2.4075843796929846</v>
      </c>
      <c r="D338" s="35">
        <v>-0.708799578341892</v>
      </c>
      <c r="F338" s="35"/>
      <c r="K338" s="35"/>
    </row>
    <row r="339" spans="1:11">
      <c r="B339" s="35"/>
      <c r="C339" s="35"/>
      <c r="D339" s="35"/>
      <c r="F339" s="157"/>
      <c r="K339" s="35"/>
    </row>
    <row r="340" spans="1:11">
      <c r="B340" s="35">
        <v>-1.0419123890112216</v>
      </c>
      <c r="C340" s="35">
        <v>4.0818532431212473E-2</v>
      </c>
      <c r="D340" s="35">
        <v>-0.77248383184656022</v>
      </c>
      <c r="F340" s="35"/>
      <c r="K340" s="35"/>
    </row>
    <row r="341" spans="1:11">
      <c r="A341" t="s">
        <v>296</v>
      </c>
      <c r="B341" s="35">
        <v>-2.0770709056556562</v>
      </c>
      <c r="C341" s="35">
        <v>2.1445635165533226</v>
      </c>
      <c r="D341" s="35">
        <v>5.6653180844775664E-2</v>
      </c>
      <c r="F341" s="35" t="e">
        <f ca="1">MCond(B340:D342)</f>
        <v>#VALUE!</v>
      </c>
      <c r="K341" s="35"/>
    </row>
    <row r="342" spans="1:11">
      <c r="B342" s="35">
        <v>-0.45824053226673911</v>
      </c>
      <c r="C342" s="35">
        <v>2.124969022302313</v>
      </c>
      <c r="D342" s="35">
        <v>-2.076961144994538E-2</v>
      </c>
      <c r="F342" s="35"/>
      <c r="K342" s="35"/>
    </row>
    <row r="343" spans="1:11">
      <c r="B343" s="35"/>
      <c r="C343" s="35"/>
      <c r="D343" s="35"/>
      <c r="F343" s="157"/>
      <c r="K343" s="35"/>
    </row>
    <row r="344" spans="1:11">
      <c r="B344" s="35">
        <v>-1.0419123890112216</v>
      </c>
      <c r="C344" s="35">
        <v>4.0818532431212473E-2</v>
      </c>
      <c r="D344" s="35">
        <v>-0.77248383184656022</v>
      </c>
      <c r="F344" s="35"/>
      <c r="K344" s="35"/>
    </row>
    <row r="345" spans="1:11">
      <c r="A345" t="s">
        <v>297</v>
      </c>
      <c r="B345" s="35">
        <v>-2.0770709056556562</v>
      </c>
      <c r="C345" s="35">
        <v>2.1445635165533226</v>
      </c>
      <c r="D345" s="35">
        <v>5.6653180844775664E-2</v>
      </c>
      <c r="F345" s="35" t="e">
        <f ca="1">MCond(B344:D346)</f>
        <v>#VALUE!</v>
      </c>
      <c r="K345" s="35"/>
    </row>
    <row r="346" spans="1:11">
      <c r="B346" s="35">
        <v>-1.0673702345396179</v>
      </c>
      <c r="C346" s="35">
        <v>2.4075843796929846</v>
      </c>
      <c r="D346" s="35">
        <v>-0.708799578341892</v>
      </c>
      <c r="F346" s="35"/>
      <c r="K346" s="35"/>
    </row>
    <row r="347" spans="1:11">
      <c r="B347" s="35"/>
      <c r="C347" s="35"/>
      <c r="D347" s="35"/>
      <c r="F347" s="157"/>
      <c r="K347" s="35"/>
    </row>
    <row r="348" spans="1:11">
      <c r="B348" s="35">
        <v>-1.0419123890112216</v>
      </c>
      <c r="C348" s="35">
        <v>4.0818532431212473E-2</v>
      </c>
      <c r="D348" s="35">
        <v>-0.77248383184656022</v>
      </c>
      <c r="F348" s="35"/>
      <c r="K348" s="35"/>
    </row>
    <row r="349" spans="1:11">
      <c r="A349" t="s">
        <v>298</v>
      </c>
      <c r="B349" s="35">
        <v>-0.45824053226673911</v>
      </c>
      <c r="C349" s="35">
        <v>2.124969022302313</v>
      </c>
      <c r="D349" s="35">
        <v>-2.076961144994538E-2</v>
      </c>
      <c r="F349" s="35" t="e">
        <f ca="1">MCond(B348:D350)</f>
        <v>#VALUE!</v>
      </c>
      <c r="K349" s="35"/>
    </row>
    <row r="350" spans="1:11">
      <c r="B350" s="35">
        <v>-1.0673702345396179</v>
      </c>
      <c r="C350" s="35">
        <v>2.4075843796929846</v>
      </c>
      <c r="D350" s="35">
        <v>-0.708799578341892</v>
      </c>
      <c r="F350" s="35"/>
      <c r="K350" s="35"/>
    </row>
    <row r="351" spans="1:11">
      <c r="B351" s="35"/>
      <c r="C351" s="35"/>
      <c r="D351" s="35"/>
      <c r="F351" s="157"/>
      <c r="K351" s="35"/>
    </row>
    <row r="352" spans="1:11">
      <c r="B352" s="35">
        <v>-2.2957880185781296</v>
      </c>
      <c r="C352" s="35">
        <v>8.2263663034425338E-3</v>
      </c>
      <c r="D352" s="35">
        <v>-3.3137218009327896E-2</v>
      </c>
      <c r="F352" s="35"/>
      <c r="K352" s="35"/>
    </row>
    <row r="353" spans="1:11">
      <c r="A353" t="s">
        <v>299</v>
      </c>
      <c r="B353" s="35">
        <v>-2.44475956514645</v>
      </c>
      <c r="C353" s="35">
        <v>0.85548399177677847</v>
      </c>
      <c r="D353" s="35">
        <v>-5.2896656816179721E-2</v>
      </c>
      <c r="F353" s="35" t="e">
        <f ca="1">MCond(B352:D354)</f>
        <v>#VALUE!</v>
      </c>
      <c r="K353" s="35"/>
    </row>
    <row r="354" spans="1:11">
      <c r="B354" s="35">
        <v>0.40019020491700363</v>
      </c>
      <c r="C354" s="35">
        <v>1.0840062473010013</v>
      </c>
      <c r="D354" s="35">
        <v>1.6840506224230944E-2</v>
      </c>
      <c r="F354" s="35"/>
      <c r="K354" s="35"/>
    </row>
    <row r="355" spans="1:11">
      <c r="B355" s="35"/>
      <c r="C355" s="35"/>
      <c r="D355" s="35"/>
      <c r="F355" s="157"/>
      <c r="K355" s="35"/>
    </row>
    <row r="356" spans="1:11">
      <c r="B356" s="35">
        <v>-2.2957880185781296</v>
      </c>
      <c r="C356" s="35">
        <v>8.2263663034425338E-3</v>
      </c>
      <c r="D356" s="35">
        <v>-3.3137218009327896E-2</v>
      </c>
      <c r="F356" s="35"/>
      <c r="K356" s="35"/>
    </row>
    <row r="357" spans="1:11">
      <c r="A357" t="s">
        <v>300</v>
      </c>
      <c r="B357" s="35">
        <v>-2.44475956514645</v>
      </c>
      <c r="C357" s="35">
        <v>0.85548399177677847</v>
      </c>
      <c r="D357" s="35">
        <v>-5.2896656816179721E-2</v>
      </c>
      <c r="F357" s="35" t="e">
        <f ca="1">MCond(B356:D358)</f>
        <v>#VALUE!</v>
      </c>
      <c r="K357" s="35"/>
    </row>
    <row r="358" spans="1:11">
      <c r="B358" s="35">
        <v>-2.0770709056556562</v>
      </c>
      <c r="C358" s="35">
        <v>2.1445635165533226</v>
      </c>
      <c r="D358" s="35">
        <v>5.6653180844775664E-2</v>
      </c>
      <c r="F358" s="35"/>
      <c r="K358" s="35"/>
    </row>
    <row r="359" spans="1:11">
      <c r="B359" s="35"/>
      <c r="C359" s="35"/>
      <c r="D359" s="35"/>
      <c r="F359" s="157"/>
      <c r="K359" s="35"/>
    </row>
    <row r="360" spans="1:11">
      <c r="B360" s="35">
        <v>-2.2957880185781296</v>
      </c>
      <c r="C360" s="35">
        <v>8.2263663034425338E-3</v>
      </c>
      <c r="D360" s="35">
        <v>-3.3137218009327896E-2</v>
      </c>
      <c r="F360" s="35"/>
      <c r="K360" s="35"/>
    </row>
    <row r="361" spans="1:11">
      <c r="A361" t="s">
        <v>301</v>
      </c>
      <c r="B361" s="35">
        <v>-2.44475956514645</v>
      </c>
      <c r="C361" s="35">
        <v>0.85548399177677847</v>
      </c>
      <c r="D361" s="35">
        <v>-5.2896656816179721E-2</v>
      </c>
      <c r="F361" s="35" t="e">
        <f ca="1">MCond(B360:D362)</f>
        <v>#VALUE!</v>
      </c>
      <c r="K361" s="35"/>
    </row>
    <row r="362" spans="1:11">
      <c r="B362" s="35">
        <v>-0.45824053226673911</v>
      </c>
      <c r="C362" s="35">
        <v>2.124969022302313</v>
      </c>
      <c r="D362" s="35">
        <v>-2.076961144994538E-2</v>
      </c>
      <c r="F362" s="35"/>
      <c r="K362" s="35"/>
    </row>
    <row r="363" spans="1:11">
      <c r="B363" s="35"/>
      <c r="C363" s="35"/>
      <c r="D363" s="35"/>
      <c r="F363" s="157"/>
      <c r="K363" s="35"/>
    </row>
    <row r="364" spans="1:11">
      <c r="B364" s="35">
        <v>-2.2957880185781296</v>
      </c>
      <c r="C364" s="35">
        <v>8.2263663034425338E-3</v>
      </c>
      <c r="D364" s="35">
        <v>-3.3137218009327896E-2</v>
      </c>
      <c r="F364" s="35"/>
      <c r="K364" s="35"/>
    </row>
    <row r="365" spans="1:11">
      <c r="A365" t="s">
        <v>302</v>
      </c>
      <c r="B365" s="35">
        <v>-2.44475956514645</v>
      </c>
      <c r="C365" s="35">
        <v>0.85548399177677847</v>
      </c>
      <c r="D365" s="35">
        <v>-5.2896656816179721E-2</v>
      </c>
      <c r="F365" s="35" t="e">
        <f ca="1">MCond(B364:D366)</f>
        <v>#VALUE!</v>
      </c>
      <c r="K365" s="35"/>
    </row>
    <row r="366" spans="1:11">
      <c r="B366" s="35">
        <v>-1.0673702345396179</v>
      </c>
      <c r="C366" s="35">
        <v>2.4075843796929846</v>
      </c>
      <c r="D366" s="35">
        <v>-0.708799578341892</v>
      </c>
      <c r="F366" s="35"/>
      <c r="K366" s="35"/>
    </row>
    <row r="367" spans="1:11">
      <c r="B367" s="35"/>
      <c r="C367" s="35"/>
      <c r="D367" s="35"/>
      <c r="F367" s="157"/>
      <c r="K367" s="35"/>
    </row>
    <row r="368" spans="1:11">
      <c r="B368" s="35">
        <v>-2.2957880185781296</v>
      </c>
      <c r="C368" s="35">
        <v>8.2263663034425338E-3</v>
      </c>
      <c r="D368" s="35">
        <v>-3.3137218009327896E-2</v>
      </c>
      <c r="F368" s="35"/>
      <c r="K368" s="35"/>
    </row>
    <row r="369" spans="1:11">
      <c r="A369" t="s">
        <v>303</v>
      </c>
      <c r="B369" s="35">
        <v>0.40019020491700363</v>
      </c>
      <c r="C369" s="35">
        <v>1.0840062473010013</v>
      </c>
      <c r="D369" s="35">
        <v>1.6840506224230944E-2</v>
      </c>
      <c r="F369" s="35" t="e">
        <f ca="1">MCond(B368:D370)</f>
        <v>#VALUE!</v>
      </c>
      <c r="K369" s="35"/>
    </row>
    <row r="370" spans="1:11">
      <c r="B370" s="35">
        <v>-2.0770709056556562</v>
      </c>
      <c r="C370" s="35">
        <v>2.1445635165533226</v>
      </c>
      <c r="D370" s="35">
        <v>5.6653180844775664E-2</v>
      </c>
      <c r="F370" s="35"/>
      <c r="K370" s="35"/>
    </row>
    <row r="371" spans="1:11">
      <c r="B371" s="35"/>
      <c r="C371" s="35"/>
      <c r="D371" s="35"/>
      <c r="F371" s="157"/>
      <c r="K371" s="35"/>
    </row>
    <row r="372" spans="1:11">
      <c r="B372" s="35">
        <v>-2.2957880185781296</v>
      </c>
      <c r="C372" s="35">
        <v>8.2263663034425338E-3</v>
      </c>
      <c r="D372" s="35">
        <v>-3.3137218009327896E-2</v>
      </c>
      <c r="F372" s="35"/>
      <c r="K372" s="35"/>
    </row>
    <row r="373" spans="1:11">
      <c r="A373" t="s">
        <v>304</v>
      </c>
      <c r="B373" s="35">
        <v>0.40019020491700363</v>
      </c>
      <c r="C373" s="35">
        <v>1.0840062473010013</v>
      </c>
      <c r="D373" s="35">
        <v>1.6840506224230944E-2</v>
      </c>
      <c r="F373" s="35" t="e">
        <f ca="1">MCond(B372:D374)</f>
        <v>#VALUE!</v>
      </c>
      <c r="K373" s="35"/>
    </row>
    <row r="374" spans="1:11">
      <c r="B374" s="35">
        <v>-0.45824053226673911</v>
      </c>
      <c r="C374" s="35">
        <v>2.124969022302313</v>
      </c>
      <c r="D374" s="35">
        <v>-2.076961144994538E-2</v>
      </c>
      <c r="F374" s="35"/>
      <c r="K374" s="35"/>
    </row>
    <row r="375" spans="1:11">
      <c r="B375" s="35"/>
      <c r="C375" s="35"/>
      <c r="D375" s="35"/>
      <c r="F375" s="157"/>
      <c r="K375" s="35"/>
    </row>
    <row r="376" spans="1:11">
      <c r="B376" s="35">
        <v>-2.2957880185781296</v>
      </c>
      <c r="C376" s="35">
        <v>8.2263663034425338E-3</v>
      </c>
      <c r="D376" s="35">
        <v>-3.3137218009327896E-2</v>
      </c>
      <c r="F376" s="35"/>
      <c r="K376" s="35"/>
    </row>
    <row r="377" spans="1:11">
      <c r="A377" t="s">
        <v>305</v>
      </c>
      <c r="B377" s="35">
        <v>0.40019020491700363</v>
      </c>
      <c r="C377" s="35">
        <v>1.0840062473010013</v>
      </c>
      <c r="D377" s="35">
        <v>1.6840506224230944E-2</v>
      </c>
      <c r="F377" s="35" t="e">
        <f ca="1">MCond(B376:D378)</f>
        <v>#VALUE!</v>
      </c>
      <c r="K377" s="35"/>
    </row>
    <row r="378" spans="1:11">
      <c r="B378" s="35">
        <v>-1.0673702345396179</v>
      </c>
      <c r="C378" s="35">
        <v>2.4075843796929846</v>
      </c>
      <c r="D378" s="35">
        <v>-0.708799578341892</v>
      </c>
      <c r="F378" s="35"/>
      <c r="K378" s="35"/>
    </row>
    <row r="379" spans="1:11">
      <c r="B379" s="35"/>
      <c r="C379" s="35"/>
      <c r="D379" s="35"/>
      <c r="F379" s="157"/>
      <c r="K379" s="35"/>
    </row>
    <row r="380" spans="1:11">
      <c r="B380" s="35">
        <v>-2.2957880185781296</v>
      </c>
      <c r="C380" s="35">
        <v>8.2263663034425338E-3</v>
      </c>
      <c r="D380" s="35">
        <v>-3.3137218009327896E-2</v>
      </c>
      <c r="F380" s="35"/>
      <c r="K380" s="35"/>
    </row>
    <row r="381" spans="1:11">
      <c r="A381" t="s">
        <v>306</v>
      </c>
      <c r="B381" s="35">
        <v>-2.0770709056556562</v>
      </c>
      <c r="C381" s="35">
        <v>2.1445635165533226</v>
      </c>
      <c r="D381" s="35">
        <v>5.6653180844775664E-2</v>
      </c>
      <c r="F381" s="35" t="e">
        <f ca="1">MCond(B380:D382)</f>
        <v>#VALUE!</v>
      </c>
      <c r="K381" s="35"/>
    </row>
    <row r="382" spans="1:11">
      <c r="B382" s="35">
        <v>-0.45824053226673911</v>
      </c>
      <c r="C382" s="35">
        <v>2.124969022302313</v>
      </c>
      <c r="D382" s="35">
        <v>-2.076961144994538E-2</v>
      </c>
      <c r="F382" s="35"/>
      <c r="K382" s="35"/>
    </row>
    <row r="383" spans="1:11">
      <c r="B383" s="35"/>
      <c r="C383" s="35"/>
      <c r="D383" s="35"/>
      <c r="F383" s="157"/>
      <c r="K383" s="35"/>
    </row>
    <row r="384" spans="1:11">
      <c r="B384" s="35">
        <v>-2.2957880185781296</v>
      </c>
      <c r="C384" s="35">
        <v>8.2263663034425338E-3</v>
      </c>
      <c r="D384" s="35">
        <v>-3.3137218009327896E-2</v>
      </c>
      <c r="F384" s="35"/>
      <c r="K384" s="35"/>
    </row>
    <row r="385" spans="1:11">
      <c r="A385" t="s">
        <v>307</v>
      </c>
      <c r="B385" s="35">
        <v>-2.0770709056556562</v>
      </c>
      <c r="C385" s="35">
        <v>2.1445635165533226</v>
      </c>
      <c r="D385" s="35">
        <v>5.6653180844775664E-2</v>
      </c>
      <c r="F385" s="35" t="e">
        <f ca="1">MCond(B384:D386)</f>
        <v>#VALUE!</v>
      </c>
      <c r="K385" s="35"/>
    </row>
    <row r="386" spans="1:11">
      <c r="B386" s="35">
        <v>-1.0673702345396179</v>
      </c>
      <c r="C386" s="35">
        <v>2.4075843796929846</v>
      </c>
      <c r="D386" s="35">
        <v>-0.708799578341892</v>
      </c>
      <c r="F386" s="35"/>
      <c r="K386" s="35"/>
    </row>
    <row r="387" spans="1:11">
      <c r="B387" s="35"/>
      <c r="C387" s="35"/>
      <c r="D387" s="35"/>
      <c r="F387" s="157"/>
      <c r="K387" s="35"/>
    </row>
    <row r="388" spans="1:11">
      <c r="B388" s="35">
        <v>-2.2957880185781296</v>
      </c>
      <c r="C388" s="35">
        <v>8.2263663034425338E-3</v>
      </c>
      <c r="D388" s="35">
        <v>-3.3137218009327896E-2</v>
      </c>
      <c r="F388" s="35"/>
      <c r="K388" s="35"/>
    </row>
    <row r="389" spans="1:11">
      <c r="A389" t="s">
        <v>308</v>
      </c>
      <c r="B389" s="35">
        <v>-0.45824053226673911</v>
      </c>
      <c r="C389" s="35">
        <v>2.124969022302313</v>
      </c>
      <c r="D389" s="35">
        <v>-2.076961144994538E-2</v>
      </c>
      <c r="F389" s="35" t="e">
        <f ca="1">MCond(B388:D390)</f>
        <v>#VALUE!</v>
      </c>
      <c r="K389" s="35"/>
    </row>
    <row r="390" spans="1:11">
      <c r="B390" s="35">
        <v>-1.0673702345396179</v>
      </c>
      <c r="C390" s="35">
        <v>2.4075843796929846</v>
      </c>
      <c r="D390" s="35">
        <v>-0.708799578341892</v>
      </c>
      <c r="F390" s="35"/>
      <c r="K390" s="35"/>
    </row>
    <row r="391" spans="1:11">
      <c r="B391" s="35"/>
      <c r="C391" s="35"/>
      <c r="D391" s="35"/>
      <c r="F391" s="157"/>
      <c r="K391" s="35"/>
    </row>
    <row r="392" spans="1:11">
      <c r="B392" s="35">
        <v>-2.44475956514645</v>
      </c>
      <c r="C392" s="35">
        <v>0.85548399177677847</v>
      </c>
      <c r="D392" s="35">
        <v>-5.2896656816179721E-2</v>
      </c>
      <c r="F392" s="35"/>
      <c r="K392" s="35"/>
    </row>
    <row r="393" spans="1:11">
      <c r="A393" t="s">
        <v>309</v>
      </c>
      <c r="B393" s="35">
        <v>0.40019020491700363</v>
      </c>
      <c r="C393" s="35">
        <v>1.0840062473010013</v>
      </c>
      <c r="D393" s="35">
        <v>1.6840506224230944E-2</v>
      </c>
      <c r="F393" s="35" t="e">
        <f ca="1">MCond(B392:D394)</f>
        <v>#VALUE!</v>
      </c>
      <c r="K393" s="35"/>
    </row>
    <row r="394" spans="1:11">
      <c r="B394" s="35">
        <v>-2.0770709056556562</v>
      </c>
      <c r="C394" s="35">
        <v>2.1445635165533226</v>
      </c>
      <c r="D394" s="35">
        <v>5.6653180844775664E-2</v>
      </c>
      <c r="F394" s="35"/>
      <c r="K394" s="35"/>
    </row>
    <row r="395" spans="1:11">
      <c r="B395" s="35"/>
      <c r="C395" s="35"/>
      <c r="D395" s="35"/>
      <c r="F395" s="157"/>
      <c r="K395" s="35"/>
    </row>
    <row r="396" spans="1:11">
      <c r="B396" s="35">
        <v>-2.44475956514645</v>
      </c>
      <c r="C396" s="35">
        <v>0.85548399177677847</v>
      </c>
      <c r="D396" s="35">
        <v>-5.2896656816179721E-2</v>
      </c>
      <c r="F396" s="35"/>
      <c r="K396" s="35"/>
    </row>
    <row r="397" spans="1:11">
      <c r="A397" t="s">
        <v>310</v>
      </c>
      <c r="B397" s="35">
        <v>0.40019020491700363</v>
      </c>
      <c r="C397" s="35">
        <v>1.0840062473010013</v>
      </c>
      <c r="D397" s="35">
        <v>1.6840506224230944E-2</v>
      </c>
      <c r="F397" s="35" t="e">
        <f ca="1">MCond(B396:D398)</f>
        <v>#VALUE!</v>
      </c>
      <c r="K397" s="35"/>
    </row>
    <row r="398" spans="1:11">
      <c r="B398" s="35">
        <v>-0.45824053226673911</v>
      </c>
      <c r="C398" s="35">
        <v>2.124969022302313</v>
      </c>
      <c r="D398" s="35">
        <v>-2.076961144994538E-2</v>
      </c>
      <c r="F398" s="35"/>
      <c r="K398" s="35"/>
    </row>
    <row r="399" spans="1:11">
      <c r="B399" s="35"/>
      <c r="C399" s="35"/>
      <c r="D399" s="35"/>
      <c r="F399" s="157"/>
      <c r="K399" s="35"/>
    </row>
    <row r="400" spans="1:11">
      <c r="B400" s="35">
        <v>-2.44475956514645</v>
      </c>
      <c r="C400" s="35">
        <v>0.85548399177677847</v>
      </c>
      <c r="D400" s="35">
        <v>-5.2896656816179721E-2</v>
      </c>
      <c r="F400" s="35"/>
      <c r="K400" s="35"/>
    </row>
    <row r="401" spans="1:11">
      <c r="A401" t="s">
        <v>311</v>
      </c>
      <c r="B401" s="35">
        <v>0.40019020491700363</v>
      </c>
      <c r="C401" s="35">
        <v>1.0840062473010013</v>
      </c>
      <c r="D401" s="35">
        <v>1.6840506224230944E-2</v>
      </c>
      <c r="F401" s="35" t="e">
        <f ca="1">MCond(B400:D402)</f>
        <v>#VALUE!</v>
      </c>
      <c r="K401" s="35"/>
    </row>
    <row r="402" spans="1:11">
      <c r="B402" s="35">
        <v>-1.0673702345396179</v>
      </c>
      <c r="C402" s="35">
        <v>2.4075843796929846</v>
      </c>
      <c r="D402" s="35">
        <v>-0.708799578341892</v>
      </c>
      <c r="F402" s="35"/>
      <c r="K402" s="35"/>
    </row>
    <row r="403" spans="1:11">
      <c r="B403" s="35"/>
      <c r="C403" s="35"/>
      <c r="D403" s="35"/>
      <c r="F403" s="157"/>
      <c r="K403" s="35"/>
    </row>
    <row r="404" spans="1:11">
      <c r="B404" s="35">
        <v>-2.44475956514645</v>
      </c>
      <c r="C404" s="35">
        <v>0.85548399177677847</v>
      </c>
      <c r="D404" s="35">
        <v>-5.2896656816179721E-2</v>
      </c>
      <c r="F404" s="35"/>
      <c r="K404" s="35"/>
    </row>
    <row r="405" spans="1:11">
      <c r="A405" t="s">
        <v>312</v>
      </c>
      <c r="B405" s="35">
        <v>-2.0770709056556562</v>
      </c>
      <c r="C405" s="35">
        <v>2.1445635165533226</v>
      </c>
      <c r="D405" s="35">
        <v>5.6653180844775664E-2</v>
      </c>
      <c r="F405" s="35" t="e">
        <f ca="1">MCond(B404:D406)</f>
        <v>#VALUE!</v>
      </c>
      <c r="K405" s="35"/>
    </row>
    <row r="406" spans="1:11">
      <c r="B406" s="35">
        <v>-0.45824053226673911</v>
      </c>
      <c r="C406" s="35">
        <v>2.124969022302313</v>
      </c>
      <c r="D406" s="35">
        <v>-2.076961144994538E-2</v>
      </c>
      <c r="F406" s="35"/>
      <c r="K406" s="35"/>
    </row>
    <row r="407" spans="1:11">
      <c r="B407" s="35"/>
      <c r="C407" s="35"/>
      <c r="D407" s="35"/>
      <c r="F407" s="157"/>
      <c r="K407" s="35"/>
    </row>
    <row r="408" spans="1:11">
      <c r="B408" s="35">
        <v>-2.44475956514645</v>
      </c>
      <c r="C408" s="35">
        <v>0.85548399177677847</v>
      </c>
      <c r="D408" s="35">
        <v>-5.2896656816179721E-2</v>
      </c>
      <c r="F408" s="35"/>
      <c r="K408" s="35"/>
    </row>
    <row r="409" spans="1:11">
      <c r="A409" t="s">
        <v>313</v>
      </c>
      <c r="B409" s="35">
        <v>-2.0770709056556562</v>
      </c>
      <c r="C409" s="35">
        <v>2.1445635165533226</v>
      </c>
      <c r="D409" s="35">
        <v>5.6653180844775664E-2</v>
      </c>
      <c r="F409" s="35" t="e">
        <f ca="1">MCond(B408:D410)</f>
        <v>#VALUE!</v>
      </c>
      <c r="K409" s="35"/>
    </row>
    <row r="410" spans="1:11">
      <c r="B410" s="35">
        <v>-1.0673702345396179</v>
      </c>
      <c r="C410" s="35">
        <v>2.4075843796929846</v>
      </c>
      <c r="D410" s="35">
        <v>-0.708799578341892</v>
      </c>
      <c r="F410" s="35"/>
      <c r="K410" s="35"/>
    </row>
    <row r="411" spans="1:11">
      <c r="B411" s="35"/>
      <c r="C411" s="35"/>
      <c r="D411" s="35"/>
      <c r="F411" s="157"/>
      <c r="K411" s="35"/>
    </row>
    <row r="412" spans="1:11">
      <c r="B412" s="35">
        <v>-2.44475956514645</v>
      </c>
      <c r="C412" s="35">
        <v>0.85548399177677847</v>
      </c>
      <c r="D412" s="35">
        <v>-5.2896656816179721E-2</v>
      </c>
      <c r="F412" s="35"/>
      <c r="K412" s="35"/>
    </row>
    <row r="413" spans="1:11">
      <c r="A413" t="s">
        <v>314</v>
      </c>
      <c r="B413" s="35">
        <v>-0.45824053226673911</v>
      </c>
      <c r="C413" s="35">
        <v>2.124969022302313</v>
      </c>
      <c r="D413" s="35">
        <v>-2.076961144994538E-2</v>
      </c>
      <c r="F413" s="35" t="e">
        <f ca="1">MCond(B412:D414)</f>
        <v>#VALUE!</v>
      </c>
      <c r="K413" s="35"/>
    </row>
    <row r="414" spans="1:11">
      <c r="B414" s="35">
        <v>-1.0673702345396179</v>
      </c>
      <c r="C414" s="35">
        <v>2.4075843796929846</v>
      </c>
      <c r="D414" s="35">
        <v>-0.708799578341892</v>
      </c>
      <c r="F414" s="35"/>
      <c r="K414" s="35"/>
    </row>
    <row r="415" spans="1:11">
      <c r="B415" s="35"/>
      <c r="C415" s="35"/>
      <c r="D415" s="35"/>
      <c r="F415" s="157"/>
      <c r="K415" s="35"/>
    </row>
    <row r="416" spans="1:11">
      <c r="B416" s="35">
        <v>0.40019020491700363</v>
      </c>
      <c r="C416" s="35">
        <v>1.0840062473010013</v>
      </c>
      <c r="D416" s="35">
        <v>1.6840506224230944E-2</v>
      </c>
      <c r="F416" s="35"/>
      <c r="K416" s="35"/>
    </row>
    <row r="417" spans="1:11">
      <c r="A417" t="s">
        <v>315</v>
      </c>
      <c r="B417" s="35">
        <v>-2.0770709056556562</v>
      </c>
      <c r="C417" s="35">
        <v>2.1445635165533226</v>
      </c>
      <c r="D417" s="35">
        <v>5.6653180844775664E-2</v>
      </c>
      <c r="F417" s="35" t="e">
        <f ca="1">MCond(B416:D418)</f>
        <v>#VALUE!</v>
      </c>
      <c r="K417" s="35"/>
    </row>
    <row r="418" spans="1:11">
      <c r="B418" s="35">
        <v>-0.45824053226673911</v>
      </c>
      <c r="C418" s="35">
        <v>2.124969022302313</v>
      </c>
      <c r="D418" s="35">
        <v>-2.076961144994538E-2</v>
      </c>
      <c r="F418" s="35"/>
      <c r="K418" s="35"/>
    </row>
    <row r="419" spans="1:11">
      <c r="B419" s="35"/>
      <c r="C419" s="35"/>
      <c r="D419" s="35"/>
      <c r="F419" s="157"/>
      <c r="K419" s="35"/>
    </row>
    <row r="420" spans="1:11">
      <c r="B420" s="35">
        <v>0.40019020491700363</v>
      </c>
      <c r="C420" s="35">
        <v>1.0840062473010013</v>
      </c>
      <c r="D420" s="35">
        <v>1.6840506224230944E-2</v>
      </c>
      <c r="F420" s="35"/>
      <c r="K420" s="35"/>
    </row>
    <row r="421" spans="1:11">
      <c r="A421" t="s">
        <v>316</v>
      </c>
      <c r="B421" s="35">
        <v>-2.0770709056556562</v>
      </c>
      <c r="C421" s="35">
        <v>2.1445635165533226</v>
      </c>
      <c r="D421" s="35">
        <v>5.6653180844775664E-2</v>
      </c>
      <c r="F421" s="35" t="e">
        <f ca="1">MCond(B420:D422)</f>
        <v>#VALUE!</v>
      </c>
      <c r="K421" s="35"/>
    </row>
    <row r="422" spans="1:11">
      <c r="B422" s="35">
        <v>-1.0673702345396179</v>
      </c>
      <c r="C422" s="35">
        <v>2.4075843796929846</v>
      </c>
      <c r="D422" s="35">
        <v>-0.708799578341892</v>
      </c>
      <c r="F422" s="35"/>
      <c r="K422" s="35"/>
    </row>
    <row r="423" spans="1:11">
      <c r="B423" s="35"/>
      <c r="C423" s="35"/>
      <c r="D423" s="35"/>
      <c r="F423" s="157"/>
      <c r="K423" s="35"/>
    </row>
    <row r="424" spans="1:11">
      <c r="B424" s="35">
        <v>0.40019020491700363</v>
      </c>
      <c r="C424" s="35">
        <v>1.0840062473010013</v>
      </c>
      <c r="D424" s="35">
        <v>1.6840506224230944E-2</v>
      </c>
      <c r="F424" s="35"/>
      <c r="K424" s="35"/>
    </row>
    <row r="425" spans="1:11">
      <c r="A425" t="s">
        <v>317</v>
      </c>
      <c r="B425" s="35">
        <v>-0.45824053226673911</v>
      </c>
      <c r="C425" s="35">
        <v>2.124969022302313</v>
      </c>
      <c r="D425" s="35">
        <v>-2.076961144994538E-2</v>
      </c>
      <c r="F425" s="35" t="e">
        <f ca="1">MCond(B424:D426)</f>
        <v>#VALUE!</v>
      </c>
      <c r="K425" s="35"/>
    </row>
    <row r="426" spans="1:11">
      <c r="B426" s="35">
        <v>-1.0673702345396179</v>
      </c>
      <c r="C426" s="35">
        <v>2.4075843796929846</v>
      </c>
      <c r="D426" s="35">
        <v>-0.708799578341892</v>
      </c>
      <c r="F426" s="35"/>
      <c r="K426" s="35"/>
    </row>
    <row r="427" spans="1:11">
      <c r="B427" s="35"/>
      <c r="C427" s="35"/>
      <c r="D427" s="35"/>
      <c r="F427" s="157"/>
      <c r="K427" s="35"/>
    </row>
    <row r="428" spans="1:11">
      <c r="B428" s="35">
        <v>-2.0770709056556562</v>
      </c>
      <c r="C428" s="35">
        <v>2.1445635165533226</v>
      </c>
      <c r="D428" s="35">
        <v>5.6653180844775664E-2</v>
      </c>
      <c r="F428" s="35"/>
      <c r="K428" s="35"/>
    </row>
    <row r="429" spans="1:11">
      <c r="A429" t="s">
        <v>318</v>
      </c>
      <c r="B429" s="35">
        <v>-0.45824053226673911</v>
      </c>
      <c r="C429" s="35">
        <v>2.124969022302313</v>
      </c>
      <c r="D429" s="35">
        <v>-2.076961144994538E-2</v>
      </c>
      <c r="F429" s="35" t="e">
        <f ca="1">MCond(B428:D430)</f>
        <v>#VALUE!</v>
      </c>
      <c r="K429" s="35"/>
    </row>
    <row r="430" spans="1:11">
      <c r="B430" s="35">
        <v>-1.0673702345396179</v>
      </c>
      <c r="C430" s="35">
        <v>2.4075843796929846</v>
      </c>
      <c r="D430" s="35">
        <v>-0.708799578341892</v>
      </c>
      <c r="F430" s="35"/>
      <c r="K430" s="35"/>
    </row>
    <row r="431" spans="1:11">
      <c r="B431" s="35"/>
      <c r="C431" s="35"/>
      <c r="D431" s="35"/>
      <c r="F431" s="157"/>
      <c r="K431" s="35"/>
    </row>
    <row r="432" spans="1:11">
      <c r="B432" s="35">
        <v>1.4028471761352286</v>
      </c>
      <c r="C432" s="35">
        <v>-0.814665459345566</v>
      </c>
      <c r="D432" s="35">
        <v>-0.7195871750303805</v>
      </c>
      <c r="F432" s="35"/>
      <c r="K432" s="35"/>
    </row>
    <row r="433" spans="1:11">
      <c r="A433" t="s">
        <v>319</v>
      </c>
      <c r="B433" s="35">
        <v>0.14897154656832046</v>
      </c>
      <c r="C433" s="35">
        <v>-0.84725762547333594</v>
      </c>
      <c r="D433" s="35">
        <v>1.9759438806851826E-2</v>
      </c>
      <c r="F433" s="35" t="e">
        <f ca="1">MCond(B432:D434)</f>
        <v>#VALUE!</v>
      </c>
      <c r="K433" s="35"/>
    </row>
    <row r="434" spans="1:11">
      <c r="B434" s="35">
        <v>2.44475956514645</v>
      </c>
      <c r="C434" s="35">
        <v>-0.85548399177677847</v>
      </c>
      <c r="D434" s="35">
        <v>5.2896656816179721E-2</v>
      </c>
      <c r="F434" s="35"/>
      <c r="K434" s="35"/>
    </row>
    <row r="435" spans="1:11">
      <c r="B435" s="35"/>
      <c r="C435" s="35"/>
      <c r="D435" s="35"/>
      <c r="F435" s="157"/>
      <c r="K435" s="35"/>
    </row>
    <row r="436" spans="1:11">
      <c r="B436" s="35">
        <v>1.4028471761352286</v>
      </c>
      <c r="C436" s="35">
        <v>-0.814665459345566</v>
      </c>
      <c r="D436" s="35">
        <v>-0.7195871750303805</v>
      </c>
      <c r="F436" s="35"/>
      <c r="K436" s="35"/>
    </row>
    <row r="437" spans="1:11">
      <c r="A437" t="s">
        <v>320</v>
      </c>
      <c r="B437" s="35">
        <v>0.14897154656832046</v>
      </c>
      <c r="C437" s="35">
        <v>-0.84725762547333594</v>
      </c>
      <c r="D437" s="35">
        <v>1.9759438806851826E-2</v>
      </c>
      <c r="F437" s="35" t="e">
        <f ca="1">MCond(B436:D438)</f>
        <v>#VALUE!</v>
      </c>
      <c r="K437" s="35"/>
    </row>
    <row r="438" spans="1:11">
      <c r="B438" s="35">
        <v>2.8449497700634536</v>
      </c>
      <c r="C438" s="35">
        <v>0.22852225552422287</v>
      </c>
      <c r="D438" s="35">
        <v>6.9737163040410666E-2</v>
      </c>
      <c r="F438" s="35"/>
      <c r="K438" s="35"/>
    </row>
    <row r="439" spans="1:11">
      <c r="B439" s="35"/>
      <c r="C439" s="35"/>
      <c r="D439" s="35"/>
      <c r="F439" s="157"/>
      <c r="K439" s="35"/>
    </row>
    <row r="440" spans="1:11">
      <c r="B440" s="35">
        <v>1.4028471761352286</v>
      </c>
      <c r="C440" s="35">
        <v>-0.814665459345566</v>
      </c>
      <c r="D440" s="35">
        <v>-0.7195871750303805</v>
      </c>
      <c r="F440" s="35"/>
      <c r="K440" s="35"/>
    </row>
    <row r="441" spans="1:11">
      <c r="A441" t="s">
        <v>321</v>
      </c>
      <c r="B441" s="35">
        <v>0.14897154656832046</v>
      </c>
      <c r="C441" s="35">
        <v>-0.84725762547333594</v>
      </c>
      <c r="D441" s="35">
        <v>1.9759438806851826E-2</v>
      </c>
      <c r="F441" s="35" t="e">
        <f ca="1">MCond(B440:D442)</f>
        <v>#VALUE!</v>
      </c>
      <c r="K441" s="35"/>
    </row>
    <row r="442" spans="1:11">
      <c r="B442" s="35">
        <v>0.36768865949079377</v>
      </c>
      <c r="C442" s="35">
        <v>1.2890795247765441</v>
      </c>
      <c r="D442" s="35">
        <v>0.10954983766095538</v>
      </c>
      <c r="F442" s="35"/>
      <c r="K442" s="35"/>
    </row>
    <row r="443" spans="1:11">
      <c r="B443" s="35"/>
      <c r="C443" s="35"/>
      <c r="D443" s="35"/>
      <c r="F443" s="157"/>
      <c r="K443" s="35"/>
    </row>
    <row r="444" spans="1:11">
      <c r="B444" s="35">
        <v>1.4028471761352286</v>
      </c>
      <c r="C444" s="35">
        <v>-0.814665459345566</v>
      </c>
      <c r="D444" s="35">
        <v>-0.7195871750303805</v>
      </c>
      <c r="F444" s="35"/>
      <c r="K444" s="35"/>
    </row>
    <row r="445" spans="1:11">
      <c r="A445" t="s">
        <v>322</v>
      </c>
      <c r="B445" s="35">
        <v>0.14897154656832046</v>
      </c>
      <c r="C445" s="35">
        <v>-0.84725762547333594</v>
      </c>
      <c r="D445" s="35">
        <v>1.9759438806851826E-2</v>
      </c>
      <c r="F445" s="35" t="e">
        <f ca="1">MCond(B444:D446)</f>
        <v>#VALUE!</v>
      </c>
      <c r="K445" s="35"/>
    </row>
    <row r="446" spans="1:11">
      <c r="B446" s="35">
        <v>1.9865190328797109</v>
      </c>
      <c r="C446" s="35">
        <v>1.2694850305255347</v>
      </c>
      <c r="D446" s="35">
        <v>3.2127045366234341E-2</v>
      </c>
      <c r="F446" s="35"/>
      <c r="K446" s="35"/>
    </row>
    <row r="447" spans="1:11">
      <c r="B447" s="35"/>
      <c r="C447" s="35"/>
      <c r="D447" s="35"/>
      <c r="F447" s="157"/>
      <c r="K447" s="35"/>
    </row>
    <row r="448" spans="1:11">
      <c r="B448" s="35">
        <v>1.4028471761352286</v>
      </c>
      <c r="C448" s="35">
        <v>-0.814665459345566</v>
      </c>
      <c r="D448" s="35">
        <v>-0.7195871750303805</v>
      </c>
      <c r="F448" s="35"/>
      <c r="K448" s="35"/>
    </row>
    <row r="449" spans="1:11">
      <c r="A449" t="s">
        <v>323</v>
      </c>
      <c r="B449" s="35">
        <v>0.14897154656832046</v>
      </c>
      <c r="C449" s="35">
        <v>-0.84725762547333594</v>
      </c>
      <c r="D449" s="35">
        <v>1.9759438806851826E-2</v>
      </c>
      <c r="F449" s="35" t="e">
        <f ca="1">MCond(B448:D450)</f>
        <v>#VALUE!</v>
      </c>
      <c r="K449" s="35"/>
    </row>
    <row r="450" spans="1:11">
      <c r="B450" s="35">
        <v>1.3773893306068323</v>
      </c>
      <c r="C450" s="35">
        <v>1.5521003879162059</v>
      </c>
      <c r="D450" s="35">
        <v>-0.65590292152571228</v>
      </c>
      <c r="F450" s="35"/>
      <c r="K450" s="35"/>
    </row>
    <row r="451" spans="1:11">
      <c r="B451" s="35"/>
      <c r="C451" s="35"/>
      <c r="D451" s="35"/>
      <c r="F451" s="157"/>
      <c r="K451" s="35"/>
    </row>
    <row r="452" spans="1:11">
      <c r="B452" s="35">
        <v>1.4028471761352286</v>
      </c>
      <c r="C452" s="35">
        <v>-0.814665459345566</v>
      </c>
      <c r="D452" s="35">
        <v>-0.7195871750303805</v>
      </c>
      <c r="F452" s="35"/>
      <c r="K452" s="35"/>
    </row>
    <row r="453" spans="1:11">
      <c r="A453" t="s">
        <v>324</v>
      </c>
      <c r="B453" s="35">
        <v>2.44475956514645</v>
      </c>
      <c r="C453" s="35">
        <v>-0.85548399177677847</v>
      </c>
      <c r="D453" s="35">
        <v>5.2896656816179721E-2</v>
      </c>
      <c r="F453" s="35" t="e">
        <f ca="1">MCond(B452:D454)</f>
        <v>#VALUE!</v>
      </c>
      <c r="K453" s="35"/>
    </row>
    <row r="454" spans="1:11">
      <c r="B454" s="35">
        <v>2.8449497700634536</v>
      </c>
      <c r="C454" s="35">
        <v>0.22852225552422287</v>
      </c>
      <c r="D454" s="35">
        <v>6.9737163040410666E-2</v>
      </c>
      <c r="F454" s="35"/>
      <c r="K454" s="35"/>
    </row>
    <row r="455" spans="1:11">
      <c r="B455" s="35"/>
      <c r="C455" s="35"/>
      <c r="D455" s="35"/>
      <c r="F455" s="157"/>
      <c r="K455" s="35"/>
    </row>
    <row r="456" spans="1:11">
      <c r="B456" s="35">
        <v>1.4028471761352286</v>
      </c>
      <c r="C456" s="35">
        <v>-0.814665459345566</v>
      </c>
      <c r="D456" s="35">
        <v>-0.7195871750303805</v>
      </c>
      <c r="F456" s="35"/>
      <c r="K456" s="35"/>
    </row>
    <row r="457" spans="1:11">
      <c r="A457" t="s">
        <v>325</v>
      </c>
      <c r="B457" s="35">
        <v>2.44475956514645</v>
      </c>
      <c r="C457" s="35">
        <v>-0.85548399177677847</v>
      </c>
      <c r="D457" s="35">
        <v>5.2896656816179721E-2</v>
      </c>
      <c r="F457" s="35" t="e">
        <f ca="1">MCond(B456:D458)</f>
        <v>#VALUE!</v>
      </c>
      <c r="K457" s="35"/>
    </row>
    <row r="458" spans="1:11">
      <c r="B458" s="35">
        <v>0.36768865949079377</v>
      </c>
      <c r="C458" s="35">
        <v>1.2890795247765441</v>
      </c>
      <c r="D458" s="35">
        <v>0.10954983766095538</v>
      </c>
      <c r="F458" s="35"/>
      <c r="K458" s="35"/>
    </row>
    <row r="459" spans="1:11">
      <c r="B459" s="35"/>
      <c r="C459" s="35"/>
      <c r="D459" s="35"/>
      <c r="F459" s="157"/>
      <c r="K459" s="35"/>
    </row>
    <row r="460" spans="1:11">
      <c r="B460" s="35">
        <v>1.4028471761352286</v>
      </c>
      <c r="C460" s="35">
        <v>-0.814665459345566</v>
      </c>
      <c r="D460" s="35">
        <v>-0.7195871750303805</v>
      </c>
      <c r="F460" s="35"/>
      <c r="K460" s="35"/>
    </row>
    <row r="461" spans="1:11">
      <c r="A461" t="s">
        <v>326</v>
      </c>
      <c r="B461" s="35">
        <v>2.44475956514645</v>
      </c>
      <c r="C461" s="35">
        <v>-0.85548399177677847</v>
      </c>
      <c r="D461" s="35">
        <v>5.2896656816179721E-2</v>
      </c>
      <c r="F461" s="35" t="e">
        <f ca="1">MCond(B460:D462)</f>
        <v>#VALUE!</v>
      </c>
      <c r="K461" s="35"/>
    </row>
    <row r="462" spans="1:11">
      <c r="B462" s="35">
        <v>1.9865190328797109</v>
      </c>
      <c r="C462" s="35">
        <v>1.2694850305255347</v>
      </c>
      <c r="D462" s="35">
        <v>3.2127045366234341E-2</v>
      </c>
      <c r="F462" s="35"/>
      <c r="K462" s="35"/>
    </row>
    <row r="463" spans="1:11">
      <c r="B463" s="35"/>
      <c r="C463" s="35"/>
      <c r="D463" s="35"/>
      <c r="F463" s="157"/>
      <c r="K463" s="35"/>
    </row>
    <row r="464" spans="1:11">
      <c r="B464" s="35">
        <v>1.4028471761352286</v>
      </c>
      <c r="C464" s="35">
        <v>-0.814665459345566</v>
      </c>
      <c r="D464" s="35">
        <v>-0.7195871750303805</v>
      </c>
      <c r="F464" s="35"/>
      <c r="K464" s="35"/>
    </row>
    <row r="465" spans="1:11">
      <c r="A465" t="s">
        <v>327</v>
      </c>
      <c r="B465" s="35">
        <v>2.44475956514645</v>
      </c>
      <c r="C465" s="35">
        <v>-0.85548399177677847</v>
      </c>
      <c r="D465" s="35">
        <v>5.2896656816179721E-2</v>
      </c>
      <c r="F465" s="35" t="e">
        <f ca="1">MCond(B464:D466)</f>
        <v>#VALUE!</v>
      </c>
      <c r="K465" s="35"/>
    </row>
    <row r="466" spans="1:11">
      <c r="B466" s="35">
        <v>1.3773893306068323</v>
      </c>
      <c r="C466" s="35">
        <v>1.5521003879162059</v>
      </c>
      <c r="D466" s="35">
        <v>-0.65590292152571228</v>
      </c>
      <c r="F466" s="35"/>
      <c r="K466" s="35"/>
    </row>
    <row r="467" spans="1:11">
      <c r="B467" s="35"/>
      <c r="C467" s="35"/>
      <c r="D467" s="35"/>
      <c r="F467" s="157"/>
      <c r="K467" s="35"/>
    </row>
    <row r="468" spans="1:11">
      <c r="B468" s="35">
        <v>1.4028471761352286</v>
      </c>
      <c r="C468" s="35">
        <v>-0.814665459345566</v>
      </c>
      <c r="D468" s="35">
        <v>-0.7195871750303805</v>
      </c>
      <c r="F468" s="35"/>
      <c r="K468" s="35"/>
    </row>
    <row r="469" spans="1:11">
      <c r="A469" t="s">
        <v>328</v>
      </c>
      <c r="B469" s="35">
        <v>2.8449497700634536</v>
      </c>
      <c r="C469" s="35">
        <v>0.22852225552422287</v>
      </c>
      <c r="D469" s="35">
        <v>6.9737163040410666E-2</v>
      </c>
      <c r="F469" s="35" t="e">
        <f ca="1">MCond(B468:D470)</f>
        <v>#VALUE!</v>
      </c>
      <c r="K469" s="35"/>
    </row>
    <row r="470" spans="1:11">
      <c r="B470" s="35">
        <v>0.36768865949079377</v>
      </c>
      <c r="C470" s="35">
        <v>1.2890795247765441</v>
      </c>
      <c r="D470" s="35">
        <v>0.10954983766095538</v>
      </c>
      <c r="F470" s="35"/>
      <c r="K470" s="35"/>
    </row>
    <row r="471" spans="1:11">
      <c r="B471" s="35"/>
      <c r="C471" s="35"/>
      <c r="D471" s="35"/>
      <c r="F471" s="157"/>
      <c r="K471" s="35"/>
    </row>
    <row r="472" spans="1:11">
      <c r="B472" s="35">
        <v>1.4028471761352286</v>
      </c>
      <c r="C472" s="35">
        <v>-0.814665459345566</v>
      </c>
      <c r="D472" s="35">
        <v>-0.7195871750303805</v>
      </c>
      <c r="F472" s="35"/>
      <c r="K472" s="35"/>
    </row>
    <row r="473" spans="1:11">
      <c r="A473" t="s">
        <v>329</v>
      </c>
      <c r="B473" s="35">
        <v>2.8449497700634536</v>
      </c>
      <c r="C473" s="35">
        <v>0.22852225552422287</v>
      </c>
      <c r="D473" s="35">
        <v>6.9737163040410666E-2</v>
      </c>
      <c r="F473" s="35" t="e">
        <f ca="1">MCond(B472:D474)</f>
        <v>#VALUE!</v>
      </c>
      <c r="K473" s="35"/>
    </row>
    <row r="474" spans="1:11">
      <c r="B474" s="35">
        <v>1.9865190328797109</v>
      </c>
      <c r="C474" s="35">
        <v>1.2694850305255347</v>
      </c>
      <c r="D474" s="35">
        <v>3.2127045366234341E-2</v>
      </c>
      <c r="F474" s="35"/>
      <c r="K474" s="35"/>
    </row>
    <row r="475" spans="1:11">
      <c r="B475" s="35"/>
      <c r="C475" s="35"/>
      <c r="D475" s="35"/>
      <c r="F475" s="157"/>
      <c r="K475" s="35"/>
    </row>
    <row r="476" spans="1:11">
      <c r="B476" s="35">
        <v>1.4028471761352286</v>
      </c>
      <c r="C476" s="35">
        <v>-0.814665459345566</v>
      </c>
      <c r="D476" s="35">
        <v>-0.7195871750303805</v>
      </c>
      <c r="F476" s="35"/>
      <c r="K476" s="35"/>
    </row>
    <row r="477" spans="1:11">
      <c r="A477" t="s">
        <v>330</v>
      </c>
      <c r="B477" s="35">
        <v>2.8449497700634536</v>
      </c>
      <c r="C477" s="35">
        <v>0.22852225552422287</v>
      </c>
      <c r="D477" s="35">
        <v>6.9737163040410666E-2</v>
      </c>
      <c r="F477" s="35" t="e">
        <f ca="1">MCond(B476:D478)</f>
        <v>#VALUE!</v>
      </c>
      <c r="K477" s="35"/>
    </row>
    <row r="478" spans="1:11">
      <c r="B478" s="35">
        <v>1.3773893306068323</v>
      </c>
      <c r="C478" s="35">
        <v>1.5521003879162059</v>
      </c>
      <c r="D478" s="35">
        <v>-0.65590292152571228</v>
      </c>
      <c r="F478" s="35"/>
      <c r="K478" s="35"/>
    </row>
    <row r="479" spans="1:11">
      <c r="B479" s="35"/>
      <c r="C479" s="35"/>
      <c r="D479" s="35"/>
      <c r="F479" s="157"/>
      <c r="K479" s="35"/>
    </row>
    <row r="480" spans="1:11">
      <c r="B480" s="35">
        <v>1.4028471761352286</v>
      </c>
      <c r="C480" s="35">
        <v>-0.814665459345566</v>
      </c>
      <c r="D480" s="35">
        <v>-0.7195871750303805</v>
      </c>
      <c r="F480" s="35"/>
      <c r="K480" s="35"/>
    </row>
    <row r="481" spans="1:11">
      <c r="A481" t="s">
        <v>331</v>
      </c>
      <c r="B481" s="35">
        <v>0.36768865949079377</v>
      </c>
      <c r="C481" s="35">
        <v>1.2890795247765441</v>
      </c>
      <c r="D481" s="35">
        <v>0.10954983766095538</v>
      </c>
      <c r="F481" s="35" t="e">
        <f ca="1">MCond(B480:D482)</f>
        <v>#VALUE!</v>
      </c>
      <c r="K481" s="35"/>
    </row>
    <row r="482" spans="1:11">
      <c r="B482" s="35">
        <v>1.9865190328797109</v>
      </c>
      <c r="C482" s="35">
        <v>1.2694850305255347</v>
      </c>
      <c r="D482" s="35">
        <v>3.2127045366234341E-2</v>
      </c>
      <c r="F482" s="35"/>
      <c r="K482" s="35"/>
    </row>
    <row r="483" spans="1:11">
      <c r="B483" s="35"/>
      <c r="C483" s="35"/>
      <c r="D483" s="35"/>
      <c r="F483" s="157"/>
      <c r="K483" s="35"/>
    </row>
    <row r="484" spans="1:11">
      <c r="B484" s="35">
        <v>1.4028471761352286</v>
      </c>
      <c r="C484" s="35">
        <v>-0.814665459345566</v>
      </c>
      <c r="D484" s="35">
        <v>-0.7195871750303805</v>
      </c>
      <c r="F484" s="35"/>
      <c r="K484" s="35"/>
    </row>
    <row r="485" spans="1:11">
      <c r="A485" t="s">
        <v>332</v>
      </c>
      <c r="B485" s="35">
        <v>0.36768865949079377</v>
      </c>
      <c r="C485" s="35">
        <v>1.2890795247765441</v>
      </c>
      <c r="D485" s="35">
        <v>0.10954983766095538</v>
      </c>
      <c r="F485" s="35" t="e">
        <f ca="1">MCond(B484:D486)</f>
        <v>#VALUE!</v>
      </c>
      <c r="K485" s="35"/>
    </row>
    <row r="486" spans="1:11">
      <c r="B486" s="35">
        <v>1.3773893306068323</v>
      </c>
      <c r="C486" s="35">
        <v>1.5521003879162059</v>
      </c>
      <c r="D486" s="35">
        <v>-0.65590292152571228</v>
      </c>
      <c r="F486" s="35"/>
      <c r="K486" s="35"/>
    </row>
    <row r="487" spans="1:11">
      <c r="B487" s="35"/>
      <c r="C487" s="35"/>
      <c r="D487" s="35"/>
      <c r="F487" s="157"/>
      <c r="K487" s="35"/>
    </row>
    <row r="488" spans="1:11">
      <c r="B488" s="35">
        <v>1.4028471761352286</v>
      </c>
      <c r="C488" s="35">
        <v>-0.814665459345566</v>
      </c>
      <c r="D488" s="35">
        <v>-0.7195871750303805</v>
      </c>
      <c r="F488" s="35"/>
      <c r="K488" s="35"/>
    </row>
    <row r="489" spans="1:11">
      <c r="A489" t="s">
        <v>333</v>
      </c>
      <c r="B489" s="35">
        <v>1.9865190328797109</v>
      </c>
      <c r="C489" s="35">
        <v>1.2694850305255347</v>
      </c>
      <c r="D489" s="35">
        <v>3.2127045366234341E-2</v>
      </c>
      <c r="F489" s="35" t="e">
        <f ca="1">MCond(B488:D490)</f>
        <v>#VALUE!</v>
      </c>
      <c r="K489" s="35"/>
    </row>
    <row r="490" spans="1:11">
      <c r="B490" s="35">
        <v>1.3773893306068323</v>
      </c>
      <c r="C490" s="35">
        <v>1.5521003879162059</v>
      </c>
      <c r="D490" s="35">
        <v>-0.65590292152571228</v>
      </c>
      <c r="F490" s="35"/>
      <c r="K490" s="35"/>
    </row>
    <row r="491" spans="1:11">
      <c r="B491" s="35"/>
      <c r="C491" s="35"/>
      <c r="D491" s="35"/>
      <c r="F491" s="157"/>
      <c r="K491" s="35"/>
    </row>
    <row r="492" spans="1:11">
      <c r="B492" s="35">
        <v>0.14897154656832046</v>
      </c>
      <c r="C492" s="35">
        <v>-0.84725762547333594</v>
      </c>
      <c r="D492" s="35">
        <v>1.9759438806851826E-2</v>
      </c>
      <c r="F492" s="35"/>
      <c r="K492" s="35"/>
    </row>
    <row r="493" spans="1:11">
      <c r="A493" t="s">
        <v>334</v>
      </c>
      <c r="B493" s="35">
        <v>2.44475956514645</v>
      </c>
      <c r="C493" s="35">
        <v>-0.85548399177677847</v>
      </c>
      <c r="D493" s="35">
        <v>5.2896656816179721E-2</v>
      </c>
      <c r="F493" s="35" t="e">
        <f ca="1">MCond(B492:D494)</f>
        <v>#VALUE!</v>
      </c>
      <c r="K493" s="35"/>
    </row>
    <row r="494" spans="1:11">
      <c r="B494" s="35">
        <v>2.8449497700634536</v>
      </c>
      <c r="C494" s="35">
        <v>0.22852225552422287</v>
      </c>
      <c r="D494" s="35">
        <v>6.9737163040410666E-2</v>
      </c>
      <c r="F494" s="35"/>
      <c r="K494" s="35"/>
    </row>
    <row r="495" spans="1:11">
      <c r="B495" s="35"/>
      <c r="C495" s="35"/>
      <c r="D495" s="35"/>
      <c r="F495" s="157"/>
      <c r="K495" s="35"/>
    </row>
    <row r="496" spans="1:11">
      <c r="B496" s="35">
        <v>0.14897154656832046</v>
      </c>
      <c r="C496" s="35">
        <v>-0.84725762547333594</v>
      </c>
      <c r="D496" s="35">
        <v>1.9759438806851826E-2</v>
      </c>
      <c r="F496" s="35"/>
      <c r="K496" s="35"/>
    </row>
    <row r="497" spans="1:11">
      <c r="A497" t="s">
        <v>335</v>
      </c>
      <c r="B497" s="35">
        <v>2.44475956514645</v>
      </c>
      <c r="C497" s="35">
        <v>-0.85548399177677847</v>
      </c>
      <c r="D497" s="35">
        <v>5.2896656816179721E-2</v>
      </c>
      <c r="F497" s="35" t="e">
        <f ca="1">MCond(B496:D498)</f>
        <v>#VALUE!</v>
      </c>
      <c r="K497" s="35"/>
    </row>
    <row r="498" spans="1:11">
      <c r="B498" s="35">
        <v>0.36768865949079377</v>
      </c>
      <c r="C498" s="35">
        <v>1.2890795247765441</v>
      </c>
      <c r="D498" s="35">
        <v>0.10954983766095538</v>
      </c>
      <c r="F498" s="35"/>
      <c r="K498" s="35"/>
    </row>
    <row r="499" spans="1:11">
      <c r="B499" s="35"/>
      <c r="C499" s="35"/>
      <c r="D499" s="35"/>
      <c r="F499" s="157"/>
      <c r="K499" s="35"/>
    </row>
    <row r="500" spans="1:11">
      <c r="B500" s="35">
        <v>0.14897154656832046</v>
      </c>
      <c r="C500" s="35">
        <v>-0.84725762547333594</v>
      </c>
      <c r="D500" s="35">
        <v>1.9759438806851826E-2</v>
      </c>
      <c r="F500" s="35"/>
      <c r="K500" s="35"/>
    </row>
    <row r="501" spans="1:11">
      <c r="A501" t="s">
        <v>336</v>
      </c>
      <c r="B501" s="35">
        <v>2.44475956514645</v>
      </c>
      <c r="C501" s="35">
        <v>-0.85548399177677847</v>
      </c>
      <c r="D501" s="35">
        <v>5.2896656816179721E-2</v>
      </c>
      <c r="F501" s="35" t="e">
        <f ca="1">MCond(B500:D502)</f>
        <v>#VALUE!</v>
      </c>
      <c r="K501" s="35"/>
    </row>
    <row r="502" spans="1:11">
      <c r="B502" s="35">
        <v>1.9865190328797109</v>
      </c>
      <c r="C502" s="35">
        <v>1.2694850305255347</v>
      </c>
      <c r="D502" s="35">
        <v>3.2127045366234341E-2</v>
      </c>
      <c r="F502" s="35"/>
      <c r="K502" s="35"/>
    </row>
    <row r="503" spans="1:11">
      <c r="B503" s="35"/>
      <c r="C503" s="35"/>
      <c r="D503" s="35"/>
      <c r="F503" s="157"/>
      <c r="K503" s="35"/>
    </row>
    <row r="504" spans="1:11">
      <c r="B504" s="35">
        <v>0.14897154656832046</v>
      </c>
      <c r="C504" s="35">
        <v>-0.84725762547333594</v>
      </c>
      <c r="D504" s="35">
        <v>1.9759438806851826E-2</v>
      </c>
      <c r="F504" s="35"/>
      <c r="K504" s="35"/>
    </row>
    <row r="505" spans="1:11">
      <c r="A505" t="s">
        <v>337</v>
      </c>
      <c r="B505" s="35">
        <v>2.44475956514645</v>
      </c>
      <c r="C505" s="35">
        <v>-0.85548399177677847</v>
      </c>
      <c r="D505" s="35">
        <v>5.2896656816179721E-2</v>
      </c>
      <c r="F505" s="35" t="e">
        <f ca="1">MCond(B504:D506)</f>
        <v>#VALUE!</v>
      </c>
      <c r="K505" s="35"/>
    </row>
    <row r="506" spans="1:11">
      <c r="B506" s="35">
        <v>1.3773893306068323</v>
      </c>
      <c r="C506" s="35">
        <v>1.5521003879162059</v>
      </c>
      <c r="D506" s="35">
        <v>-0.65590292152571228</v>
      </c>
      <c r="F506" s="35"/>
      <c r="K506" s="35"/>
    </row>
    <row r="507" spans="1:11">
      <c r="B507" s="35"/>
      <c r="C507" s="35"/>
      <c r="D507" s="35"/>
      <c r="F507" s="157"/>
      <c r="K507" s="35"/>
    </row>
    <row r="508" spans="1:11">
      <c r="B508" s="35">
        <v>0.14897154656832046</v>
      </c>
      <c r="C508" s="35">
        <v>-0.84725762547333594</v>
      </c>
      <c r="D508" s="35">
        <v>1.9759438806851826E-2</v>
      </c>
      <c r="F508" s="35"/>
      <c r="K508" s="35"/>
    </row>
    <row r="509" spans="1:11">
      <c r="A509" t="s">
        <v>338</v>
      </c>
      <c r="B509" s="35">
        <v>2.8449497700634536</v>
      </c>
      <c r="C509" s="35">
        <v>0.22852225552422287</v>
      </c>
      <c r="D509" s="35">
        <v>6.9737163040410666E-2</v>
      </c>
      <c r="F509" s="35" t="e">
        <f ca="1">MCond(B508:D510)</f>
        <v>#VALUE!</v>
      </c>
      <c r="K509" s="35"/>
    </row>
    <row r="510" spans="1:11">
      <c r="B510" s="35">
        <v>0.36768865949079377</v>
      </c>
      <c r="C510" s="35">
        <v>1.2890795247765441</v>
      </c>
      <c r="D510" s="35">
        <v>0.10954983766095538</v>
      </c>
      <c r="F510" s="35"/>
      <c r="K510" s="35"/>
    </row>
    <row r="511" spans="1:11">
      <c r="B511" s="35"/>
      <c r="C511" s="35"/>
      <c r="D511" s="35"/>
      <c r="F511" s="157"/>
      <c r="K511" s="35"/>
    </row>
    <row r="512" spans="1:11">
      <c r="B512" s="35">
        <v>0.14897154656832046</v>
      </c>
      <c r="C512" s="35">
        <v>-0.84725762547333594</v>
      </c>
      <c r="D512" s="35">
        <v>1.9759438806851826E-2</v>
      </c>
      <c r="F512" s="35"/>
      <c r="K512" s="35"/>
    </row>
    <row r="513" spans="1:11">
      <c r="A513" t="s">
        <v>339</v>
      </c>
      <c r="B513" s="35">
        <v>2.8449497700634536</v>
      </c>
      <c r="C513" s="35">
        <v>0.22852225552422287</v>
      </c>
      <c r="D513" s="35">
        <v>6.9737163040410666E-2</v>
      </c>
      <c r="F513" s="35" t="e">
        <f ca="1">MCond(B512:D514)</f>
        <v>#VALUE!</v>
      </c>
      <c r="K513" s="35"/>
    </row>
    <row r="514" spans="1:11">
      <c r="B514" s="35">
        <v>1.9865190328797109</v>
      </c>
      <c r="C514" s="35">
        <v>1.2694850305255347</v>
      </c>
      <c r="D514" s="35">
        <v>3.2127045366234341E-2</v>
      </c>
      <c r="F514" s="35"/>
      <c r="K514" s="35"/>
    </row>
    <row r="515" spans="1:11">
      <c r="B515" s="35"/>
      <c r="C515" s="35"/>
      <c r="D515" s="35"/>
      <c r="F515" s="157"/>
      <c r="K515" s="35"/>
    </row>
    <row r="516" spans="1:11">
      <c r="B516" s="35">
        <v>0.14897154656832046</v>
      </c>
      <c r="C516" s="35">
        <v>-0.84725762547333594</v>
      </c>
      <c r="D516" s="35">
        <v>1.9759438806851826E-2</v>
      </c>
      <c r="F516" s="35"/>
      <c r="K516" s="35"/>
    </row>
    <row r="517" spans="1:11">
      <c r="A517" t="s">
        <v>340</v>
      </c>
      <c r="B517" s="35">
        <v>2.8449497700634536</v>
      </c>
      <c r="C517" s="35">
        <v>0.22852225552422287</v>
      </c>
      <c r="D517" s="35">
        <v>6.9737163040410666E-2</v>
      </c>
      <c r="F517" s="35" t="e">
        <f ca="1">MCond(B516:D518)</f>
        <v>#VALUE!</v>
      </c>
      <c r="K517" s="35"/>
    </row>
    <row r="518" spans="1:11">
      <c r="B518" s="35">
        <v>1.3773893306068323</v>
      </c>
      <c r="C518" s="35">
        <v>1.5521003879162059</v>
      </c>
      <c r="D518" s="35">
        <v>-0.65590292152571228</v>
      </c>
      <c r="F518" s="35"/>
      <c r="K518" s="35"/>
    </row>
    <row r="519" spans="1:11">
      <c r="B519" s="35"/>
      <c r="C519" s="35"/>
      <c r="D519" s="35"/>
      <c r="F519" s="157"/>
      <c r="K519" s="35"/>
    </row>
    <row r="520" spans="1:11">
      <c r="B520" s="35">
        <v>0.14897154656832046</v>
      </c>
      <c r="C520" s="35">
        <v>-0.84725762547333594</v>
      </c>
      <c r="D520" s="35">
        <v>1.9759438806851826E-2</v>
      </c>
      <c r="F520" s="35"/>
      <c r="K520" s="35"/>
    </row>
    <row r="521" spans="1:11">
      <c r="A521" t="s">
        <v>341</v>
      </c>
      <c r="B521" s="35">
        <v>0.36768865949079377</v>
      </c>
      <c r="C521" s="35">
        <v>1.2890795247765441</v>
      </c>
      <c r="D521" s="35">
        <v>0.10954983766095538</v>
      </c>
      <c r="F521" s="35" t="e">
        <f ca="1">MCond(B520:D522)</f>
        <v>#VALUE!</v>
      </c>
      <c r="K521" s="35"/>
    </row>
    <row r="522" spans="1:11">
      <c r="B522" s="35">
        <v>1.9865190328797109</v>
      </c>
      <c r="C522" s="35">
        <v>1.2694850305255347</v>
      </c>
      <c r="D522" s="35">
        <v>3.2127045366234341E-2</v>
      </c>
      <c r="F522" s="35"/>
      <c r="K522" s="35"/>
    </row>
    <row r="523" spans="1:11">
      <c r="B523" s="35"/>
      <c r="C523" s="35"/>
      <c r="D523" s="35"/>
      <c r="F523" s="157"/>
      <c r="K523" s="35"/>
    </row>
    <row r="524" spans="1:11">
      <c r="B524" s="35">
        <v>0.14897154656832046</v>
      </c>
      <c r="C524" s="35">
        <v>-0.84725762547333594</v>
      </c>
      <c r="D524" s="35">
        <v>1.9759438806851826E-2</v>
      </c>
      <c r="F524" s="35"/>
      <c r="K524" s="35"/>
    </row>
    <row r="525" spans="1:11">
      <c r="A525" t="s">
        <v>342</v>
      </c>
      <c r="B525" s="35">
        <v>0.36768865949079377</v>
      </c>
      <c r="C525" s="35">
        <v>1.2890795247765441</v>
      </c>
      <c r="D525" s="35">
        <v>0.10954983766095538</v>
      </c>
      <c r="F525" s="35" t="e">
        <f ca="1">MCond(B524:D526)</f>
        <v>#VALUE!</v>
      </c>
      <c r="K525" s="35"/>
    </row>
    <row r="526" spans="1:11">
      <c r="B526" s="35">
        <v>1.3773893306068323</v>
      </c>
      <c r="C526" s="35">
        <v>1.5521003879162059</v>
      </c>
      <c r="D526" s="35">
        <v>-0.65590292152571228</v>
      </c>
      <c r="F526" s="35"/>
      <c r="K526" s="35"/>
    </row>
    <row r="527" spans="1:11">
      <c r="B527" s="35"/>
      <c r="C527" s="35"/>
      <c r="D527" s="35"/>
      <c r="F527" s="157"/>
      <c r="K527" s="35"/>
    </row>
    <row r="528" spans="1:11">
      <c r="B528" s="35">
        <v>0.14897154656832046</v>
      </c>
      <c r="C528" s="35">
        <v>-0.84725762547333594</v>
      </c>
      <c r="D528" s="35">
        <v>1.9759438806851826E-2</v>
      </c>
      <c r="F528" s="35"/>
      <c r="K528" s="35"/>
    </row>
    <row r="529" spans="1:11">
      <c r="A529" t="s">
        <v>343</v>
      </c>
      <c r="B529" s="35">
        <v>1.9865190328797109</v>
      </c>
      <c r="C529" s="35">
        <v>1.2694850305255347</v>
      </c>
      <c r="D529" s="35">
        <v>3.2127045366234341E-2</v>
      </c>
      <c r="F529" s="35" t="e">
        <f ca="1">MCond(B528:D530)</f>
        <v>#VALUE!</v>
      </c>
      <c r="K529" s="35"/>
    </row>
    <row r="530" spans="1:11">
      <c r="B530" s="35">
        <v>1.3773893306068323</v>
      </c>
      <c r="C530" s="35">
        <v>1.5521003879162059</v>
      </c>
      <c r="D530" s="35">
        <v>-0.65590292152571228</v>
      </c>
      <c r="F530" s="35"/>
      <c r="K530" s="35"/>
    </row>
    <row r="531" spans="1:11">
      <c r="B531" s="35"/>
      <c r="C531" s="35"/>
      <c r="D531" s="35"/>
      <c r="F531" s="157"/>
      <c r="K531" s="35"/>
    </row>
    <row r="532" spans="1:11">
      <c r="B532" s="35">
        <v>2.44475956514645</v>
      </c>
      <c r="C532" s="35">
        <v>-0.85548399177677847</v>
      </c>
      <c r="D532" s="35">
        <v>5.2896656816179721E-2</v>
      </c>
      <c r="F532" s="35"/>
      <c r="K532" s="35"/>
    </row>
    <row r="533" spans="1:11">
      <c r="A533" t="s">
        <v>344</v>
      </c>
      <c r="B533" s="35">
        <v>2.8449497700634536</v>
      </c>
      <c r="C533" s="35">
        <v>0.22852225552422287</v>
      </c>
      <c r="D533" s="35">
        <v>6.9737163040410666E-2</v>
      </c>
      <c r="F533" s="35" t="e">
        <f ca="1">MCond(B532:D534)</f>
        <v>#VALUE!</v>
      </c>
      <c r="K533" s="35"/>
    </row>
    <row r="534" spans="1:11">
      <c r="B534" s="35">
        <v>0.36768865949079377</v>
      </c>
      <c r="C534" s="35">
        <v>1.2890795247765441</v>
      </c>
      <c r="D534" s="35">
        <v>0.10954983766095538</v>
      </c>
      <c r="F534" s="35"/>
      <c r="K534" s="35"/>
    </row>
    <row r="535" spans="1:11">
      <c r="B535" s="35"/>
      <c r="C535" s="35"/>
      <c r="D535" s="35"/>
      <c r="F535" s="157"/>
      <c r="K535" s="35"/>
    </row>
    <row r="536" spans="1:11">
      <c r="B536" s="35">
        <v>2.44475956514645</v>
      </c>
      <c r="C536" s="35">
        <v>-0.85548399177677847</v>
      </c>
      <c r="D536" s="35">
        <v>5.2896656816179721E-2</v>
      </c>
      <c r="F536" s="35"/>
      <c r="K536" s="35"/>
    </row>
    <row r="537" spans="1:11">
      <c r="A537" t="s">
        <v>345</v>
      </c>
      <c r="B537" s="35">
        <v>2.8449497700634536</v>
      </c>
      <c r="C537" s="35">
        <v>0.22852225552422287</v>
      </c>
      <c r="D537" s="35">
        <v>6.9737163040410666E-2</v>
      </c>
      <c r="F537" s="35" t="e">
        <f ca="1">MCond(B536:D538)</f>
        <v>#VALUE!</v>
      </c>
      <c r="K537" s="35"/>
    </row>
    <row r="538" spans="1:11">
      <c r="B538" s="35">
        <v>1.9865190328797109</v>
      </c>
      <c r="C538" s="35">
        <v>1.2694850305255347</v>
      </c>
      <c r="D538" s="35">
        <v>3.2127045366234341E-2</v>
      </c>
      <c r="F538" s="35"/>
      <c r="K538" s="35"/>
    </row>
    <row r="539" spans="1:11">
      <c r="B539" s="35"/>
      <c r="C539" s="35"/>
      <c r="D539" s="35"/>
      <c r="F539" s="157"/>
      <c r="K539" s="35"/>
    </row>
    <row r="540" spans="1:11">
      <c r="B540" s="35">
        <v>2.44475956514645</v>
      </c>
      <c r="C540" s="35">
        <v>-0.85548399177677847</v>
      </c>
      <c r="D540" s="35">
        <v>5.2896656816179721E-2</v>
      </c>
      <c r="F540" s="35"/>
      <c r="K540" s="35"/>
    </row>
    <row r="541" spans="1:11">
      <c r="A541" t="s">
        <v>346</v>
      </c>
      <c r="B541" s="35">
        <v>2.8449497700634536</v>
      </c>
      <c r="C541" s="35">
        <v>0.22852225552422287</v>
      </c>
      <c r="D541" s="35">
        <v>6.9737163040410666E-2</v>
      </c>
      <c r="F541" s="35" t="e">
        <f ca="1">MCond(B540:D542)</f>
        <v>#VALUE!</v>
      </c>
      <c r="K541" s="35"/>
    </row>
    <row r="542" spans="1:11">
      <c r="B542" s="35">
        <v>1.3773893306068323</v>
      </c>
      <c r="C542" s="35">
        <v>1.5521003879162059</v>
      </c>
      <c r="D542" s="35">
        <v>-0.65590292152571228</v>
      </c>
      <c r="F542" s="35"/>
      <c r="K542" s="35"/>
    </row>
    <row r="543" spans="1:11">
      <c r="B543" s="35"/>
      <c r="C543" s="35"/>
      <c r="D543" s="35"/>
      <c r="F543" s="157"/>
      <c r="K543" s="35"/>
    </row>
    <row r="544" spans="1:11">
      <c r="B544" s="35">
        <v>2.44475956514645</v>
      </c>
      <c r="C544" s="35">
        <v>-0.85548399177677847</v>
      </c>
      <c r="D544" s="35">
        <v>5.2896656816179721E-2</v>
      </c>
      <c r="F544" s="35"/>
      <c r="K544" s="35"/>
    </row>
    <row r="545" spans="1:11">
      <c r="A545" t="s">
        <v>347</v>
      </c>
      <c r="B545" s="35">
        <v>0.36768865949079377</v>
      </c>
      <c r="C545" s="35">
        <v>1.2890795247765441</v>
      </c>
      <c r="D545" s="35">
        <v>0.10954983766095538</v>
      </c>
      <c r="F545" s="35" t="e">
        <f ca="1">MCond(B544:D546)</f>
        <v>#VALUE!</v>
      </c>
      <c r="K545" s="35"/>
    </row>
    <row r="546" spans="1:11">
      <c r="B546" s="35">
        <v>1.9865190328797109</v>
      </c>
      <c r="C546" s="35">
        <v>1.2694850305255347</v>
      </c>
      <c r="D546" s="35">
        <v>3.2127045366234341E-2</v>
      </c>
      <c r="F546" s="35"/>
      <c r="K546" s="35"/>
    </row>
    <row r="547" spans="1:11">
      <c r="B547" s="35"/>
      <c r="C547" s="35"/>
      <c r="D547" s="35"/>
      <c r="F547" s="157"/>
      <c r="K547" s="35"/>
    </row>
    <row r="548" spans="1:11">
      <c r="B548" s="35">
        <v>2.44475956514645</v>
      </c>
      <c r="C548" s="35">
        <v>-0.85548399177677847</v>
      </c>
      <c r="D548" s="35">
        <v>5.2896656816179721E-2</v>
      </c>
      <c r="F548" s="35"/>
      <c r="K548" s="35"/>
    </row>
    <row r="549" spans="1:11">
      <c r="A549" t="s">
        <v>348</v>
      </c>
      <c r="B549" s="35">
        <v>0.36768865949079377</v>
      </c>
      <c r="C549" s="35">
        <v>1.2890795247765441</v>
      </c>
      <c r="D549" s="35">
        <v>0.10954983766095538</v>
      </c>
      <c r="F549" s="35" t="e">
        <f ca="1">MCond(B548:D550)</f>
        <v>#VALUE!</v>
      </c>
      <c r="K549" s="35"/>
    </row>
    <row r="550" spans="1:11">
      <c r="B550" s="35">
        <v>1.3773893306068323</v>
      </c>
      <c r="C550" s="35">
        <v>1.5521003879162059</v>
      </c>
      <c r="D550" s="35">
        <v>-0.65590292152571228</v>
      </c>
      <c r="F550" s="35"/>
      <c r="K550" s="35"/>
    </row>
    <row r="551" spans="1:11">
      <c r="B551" s="35"/>
      <c r="C551" s="35"/>
      <c r="D551" s="35"/>
      <c r="F551" s="157"/>
      <c r="K551" s="35"/>
    </row>
    <row r="552" spans="1:11">
      <c r="B552" s="35">
        <v>2.44475956514645</v>
      </c>
      <c r="C552" s="35">
        <v>-0.85548399177677847</v>
      </c>
      <c r="D552" s="35">
        <v>5.2896656816179721E-2</v>
      </c>
      <c r="F552" s="35"/>
      <c r="K552" s="35"/>
    </row>
    <row r="553" spans="1:11">
      <c r="A553" t="s">
        <v>349</v>
      </c>
      <c r="B553" s="35">
        <v>1.9865190328797109</v>
      </c>
      <c r="C553" s="35">
        <v>1.2694850305255347</v>
      </c>
      <c r="D553" s="35">
        <v>3.2127045366234341E-2</v>
      </c>
      <c r="F553" s="35" t="e">
        <f ca="1">MCond(B552:D554)</f>
        <v>#VALUE!</v>
      </c>
      <c r="K553" s="35"/>
    </row>
    <row r="554" spans="1:11">
      <c r="B554" s="35">
        <v>1.3773893306068323</v>
      </c>
      <c r="C554" s="35">
        <v>1.5521003879162059</v>
      </c>
      <c r="D554" s="35">
        <v>-0.65590292152571228</v>
      </c>
      <c r="F554" s="35"/>
      <c r="K554" s="35"/>
    </row>
    <row r="555" spans="1:11">
      <c r="B555" s="35"/>
      <c r="C555" s="35"/>
      <c r="D555" s="35"/>
      <c r="F555" s="157"/>
      <c r="K555" s="35"/>
    </row>
    <row r="556" spans="1:11">
      <c r="B556" s="35">
        <v>2.8449497700634536</v>
      </c>
      <c r="C556" s="35">
        <v>0.22852225552422287</v>
      </c>
      <c r="D556" s="35">
        <v>6.9737163040410666E-2</v>
      </c>
      <c r="F556" s="35"/>
      <c r="K556" s="35"/>
    </row>
    <row r="557" spans="1:11">
      <c r="A557" t="s">
        <v>350</v>
      </c>
      <c r="B557" s="35">
        <v>0.36768865949079377</v>
      </c>
      <c r="C557" s="35">
        <v>1.2890795247765441</v>
      </c>
      <c r="D557" s="35">
        <v>0.10954983766095538</v>
      </c>
      <c r="F557" s="35" t="e">
        <f ca="1">MCond(B556:D558)</f>
        <v>#VALUE!</v>
      </c>
      <c r="K557" s="35"/>
    </row>
    <row r="558" spans="1:11">
      <c r="B558" s="35">
        <v>1.9865190328797109</v>
      </c>
      <c r="C558" s="35">
        <v>1.2694850305255347</v>
      </c>
      <c r="D558" s="35">
        <v>3.2127045366234341E-2</v>
      </c>
      <c r="F558" s="35"/>
      <c r="K558" s="35"/>
    </row>
    <row r="559" spans="1:11">
      <c r="B559" s="35"/>
      <c r="C559" s="35"/>
      <c r="D559" s="35"/>
      <c r="F559" s="157"/>
      <c r="K559" s="35"/>
    </row>
    <row r="560" spans="1:11">
      <c r="B560" s="35">
        <v>2.8449497700634536</v>
      </c>
      <c r="C560" s="35">
        <v>0.22852225552422287</v>
      </c>
      <c r="D560" s="35">
        <v>6.9737163040410666E-2</v>
      </c>
      <c r="F560" s="35"/>
      <c r="K560" s="35"/>
    </row>
    <row r="561" spans="1:11">
      <c r="A561" t="s">
        <v>351</v>
      </c>
      <c r="B561" s="35">
        <v>0.36768865949079377</v>
      </c>
      <c r="C561" s="35">
        <v>1.2890795247765441</v>
      </c>
      <c r="D561" s="35">
        <v>0.10954983766095538</v>
      </c>
      <c r="F561" s="35" t="e">
        <f ca="1">MCond(B560:D562)</f>
        <v>#VALUE!</v>
      </c>
      <c r="K561" s="35"/>
    </row>
    <row r="562" spans="1:11">
      <c r="B562" s="35">
        <v>1.3773893306068323</v>
      </c>
      <c r="C562" s="35">
        <v>1.5521003879162059</v>
      </c>
      <c r="D562" s="35">
        <v>-0.65590292152571228</v>
      </c>
      <c r="F562" s="35"/>
      <c r="K562" s="35"/>
    </row>
    <row r="563" spans="1:11">
      <c r="B563" s="35"/>
      <c r="C563" s="35"/>
      <c r="D563" s="35"/>
      <c r="F563" s="157"/>
      <c r="K563" s="35"/>
    </row>
    <row r="564" spans="1:11">
      <c r="B564" s="35">
        <v>2.8449497700634536</v>
      </c>
      <c r="C564" s="35">
        <v>0.22852225552422287</v>
      </c>
      <c r="D564" s="35">
        <v>6.9737163040410666E-2</v>
      </c>
      <c r="F564" s="35"/>
      <c r="K564" s="35"/>
    </row>
    <row r="565" spans="1:11">
      <c r="A565" t="s">
        <v>352</v>
      </c>
      <c r="B565" s="35">
        <v>1.9865190328797109</v>
      </c>
      <c r="C565" s="35">
        <v>1.2694850305255347</v>
      </c>
      <c r="D565" s="35">
        <v>3.2127045366234341E-2</v>
      </c>
      <c r="F565" s="35" t="e">
        <f ca="1">MCond(B564:D566)</f>
        <v>#VALUE!</v>
      </c>
      <c r="K565" s="35"/>
    </row>
    <row r="566" spans="1:11">
      <c r="B566" s="35">
        <v>1.3773893306068323</v>
      </c>
      <c r="C566" s="35">
        <v>1.5521003879162059</v>
      </c>
      <c r="D566" s="35">
        <v>-0.65590292152571228</v>
      </c>
      <c r="F566" s="35"/>
      <c r="K566" s="35"/>
    </row>
    <row r="567" spans="1:11">
      <c r="B567" s="35"/>
      <c r="C567" s="35"/>
      <c r="D567" s="35"/>
      <c r="F567" s="157"/>
      <c r="K567" s="35"/>
    </row>
    <row r="568" spans="1:11">
      <c r="B568" s="35">
        <v>0.36768865949079377</v>
      </c>
      <c r="C568" s="35">
        <v>1.2890795247765441</v>
      </c>
      <c r="D568" s="35">
        <v>0.10954983766095538</v>
      </c>
      <c r="F568" s="35"/>
      <c r="K568" s="35"/>
    </row>
    <row r="569" spans="1:11">
      <c r="A569" t="s">
        <v>353</v>
      </c>
      <c r="B569" s="35">
        <v>1.9865190328797109</v>
      </c>
      <c r="C569" s="35">
        <v>1.2694850305255347</v>
      </c>
      <c r="D569" s="35">
        <v>3.2127045366234341E-2</v>
      </c>
      <c r="F569" s="35" t="e">
        <f ca="1">MCond(B568:D570)</f>
        <v>#VALUE!</v>
      </c>
      <c r="K569" s="35"/>
    </row>
    <row r="570" spans="1:11">
      <c r="B570" s="35">
        <v>1.3773893306068323</v>
      </c>
      <c r="C570" s="35">
        <v>1.5521003879162059</v>
      </c>
      <c r="D570" s="35">
        <v>-0.65590292152571228</v>
      </c>
      <c r="F570" s="35"/>
      <c r="K570" s="35"/>
    </row>
    <row r="571" spans="1:11">
      <c r="B571" s="35"/>
      <c r="C571" s="35"/>
      <c r="D571" s="35"/>
      <c r="F571" s="157"/>
      <c r="K571" s="35"/>
    </row>
    <row r="572" spans="1:11">
      <c r="B572" s="35">
        <v>-1.4421025939282253</v>
      </c>
      <c r="C572" s="35">
        <v>-1.0431877148697888</v>
      </c>
      <c r="D572" s="35">
        <v>-0.78932433807079116</v>
      </c>
      <c r="F572" s="35"/>
      <c r="K572" s="35"/>
    </row>
    <row r="573" spans="1:11">
      <c r="A573" t="s">
        <v>354</v>
      </c>
      <c r="B573" s="35">
        <v>-2.6959782234951333</v>
      </c>
      <c r="C573" s="35">
        <v>-1.0757798809975587</v>
      </c>
      <c r="D573" s="35">
        <v>-4.997772423355884E-2</v>
      </c>
      <c r="F573" s="35" t="e">
        <f ca="1">MCond(B572:D574)</f>
        <v>#VALUE!</v>
      </c>
      <c r="K573" s="35"/>
    </row>
    <row r="574" spans="1:11">
      <c r="B574" s="35">
        <v>-0.40019020491700363</v>
      </c>
      <c r="C574" s="35">
        <v>-1.0840062473010013</v>
      </c>
      <c r="D574" s="35">
        <v>-1.6840506224230944E-2</v>
      </c>
      <c r="F574" s="35"/>
      <c r="K574" s="35"/>
    </row>
    <row r="575" spans="1:11">
      <c r="B575" s="35"/>
      <c r="C575" s="35"/>
      <c r="D575" s="35"/>
      <c r="F575" s="157"/>
      <c r="K575" s="35"/>
    </row>
    <row r="576" spans="1:11">
      <c r="B576" s="35">
        <v>-1.4421025939282253</v>
      </c>
      <c r="C576" s="35">
        <v>-1.0431877148697888</v>
      </c>
      <c r="D576" s="35">
        <v>-0.78932433807079116</v>
      </c>
      <c r="F576" s="35"/>
      <c r="K576" s="35"/>
    </row>
    <row r="577" spans="1:11">
      <c r="A577" t="s">
        <v>355</v>
      </c>
      <c r="B577" s="35">
        <v>-2.6959782234951333</v>
      </c>
      <c r="C577" s="35">
        <v>-1.0757798809975587</v>
      </c>
      <c r="D577" s="35">
        <v>-4.997772423355884E-2</v>
      </c>
      <c r="F577" s="35" t="e">
        <f ca="1">MCond(B576:D578)</f>
        <v>#VALUE!</v>
      </c>
      <c r="K577" s="35"/>
    </row>
    <row r="578" spans="1:11">
      <c r="B578" s="35">
        <v>-2.8449497700634536</v>
      </c>
      <c r="C578" s="35">
        <v>-0.22852225552422287</v>
      </c>
      <c r="D578" s="35">
        <v>-6.9737163040410666E-2</v>
      </c>
      <c r="F578" s="35"/>
      <c r="K578" s="35"/>
    </row>
    <row r="579" spans="1:11">
      <c r="B579" s="35"/>
      <c r="C579" s="35"/>
      <c r="D579" s="35"/>
      <c r="F579" s="157"/>
      <c r="K579" s="35"/>
    </row>
    <row r="580" spans="1:11">
      <c r="B580" s="35">
        <v>-1.4421025939282253</v>
      </c>
      <c r="C580" s="35">
        <v>-1.0431877148697888</v>
      </c>
      <c r="D580" s="35">
        <v>-0.78932433807079116</v>
      </c>
      <c r="F580" s="35"/>
      <c r="K580" s="35"/>
    </row>
    <row r="581" spans="1:11">
      <c r="A581" t="s">
        <v>356</v>
      </c>
      <c r="B581" s="35">
        <v>-2.6959782234951333</v>
      </c>
      <c r="C581" s="35">
        <v>-1.0757798809975587</v>
      </c>
      <c r="D581" s="35">
        <v>-4.997772423355884E-2</v>
      </c>
      <c r="F581" s="35" t="e">
        <f ca="1">MCond(B580:D582)</f>
        <v>#VALUE!</v>
      </c>
      <c r="K581" s="35"/>
    </row>
    <row r="582" spans="1:11">
      <c r="B582" s="35">
        <v>-2.4772611105726599</v>
      </c>
      <c r="C582" s="35">
        <v>1.0605572692523213</v>
      </c>
      <c r="D582" s="35">
        <v>3.9812674620544719E-2</v>
      </c>
      <c r="F582" s="35"/>
      <c r="K582" s="35"/>
    </row>
    <row r="583" spans="1:11">
      <c r="B583" s="35"/>
      <c r="C583" s="35"/>
      <c r="D583" s="35"/>
      <c r="F583" s="157"/>
      <c r="K583" s="35"/>
    </row>
    <row r="584" spans="1:11">
      <c r="B584" s="35">
        <v>-1.4421025939282253</v>
      </c>
      <c r="C584" s="35">
        <v>-1.0431877148697888</v>
      </c>
      <c r="D584" s="35">
        <v>-0.78932433807079116</v>
      </c>
      <c r="F584" s="35"/>
      <c r="K584" s="35"/>
    </row>
    <row r="585" spans="1:11">
      <c r="A585" t="s">
        <v>357</v>
      </c>
      <c r="B585" s="35">
        <v>-2.6959782234951333</v>
      </c>
      <c r="C585" s="35">
        <v>-1.0757798809975587</v>
      </c>
      <c r="D585" s="35">
        <v>-4.997772423355884E-2</v>
      </c>
      <c r="F585" s="35" t="e">
        <f ca="1">MCond(B584:D586)</f>
        <v>#VALUE!</v>
      </c>
      <c r="K585" s="35"/>
    </row>
    <row r="586" spans="1:11">
      <c r="B586" s="35">
        <v>-0.85843073718374274</v>
      </c>
      <c r="C586" s="35">
        <v>1.040962775001312</v>
      </c>
      <c r="D586" s="35">
        <v>-3.7610117674176324E-2</v>
      </c>
      <c r="F586" s="35"/>
      <c r="K586" s="35"/>
    </row>
    <row r="587" spans="1:11">
      <c r="B587" s="35"/>
      <c r="C587" s="35"/>
      <c r="D587" s="35"/>
      <c r="F587" s="157"/>
      <c r="K587" s="35"/>
    </row>
    <row r="588" spans="1:11">
      <c r="B588" s="35">
        <v>-1.4421025939282253</v>
      </c>
      <c r="C588" s="35">
        <v>-1.0431877148697888</v>
      </c>
      <c r="D588" s="35">
        <v>-0.78932433807079116</v>
      </c>
      <c r="F588" s="35"/>
      <c r="K588" s="35"/>
    </row>
    <row r="589" spans="1:11">
      <c r="A589" t="s">
        <v>358</v>
      </c>
      <c r="B589" s="35">
        <v>-2.6959782234951333</v>
      </c>
      <c r="C589" s="35">
        <v>-1.0757798809975587</v>
      </c>
      <c r="D589" s="35">
        <v>-4.997772423355884E-2</v>
      </c>
      <c r="F589" s="35" t="e">
        <f ca="1">MCond(B588:D590)</f>
        <v>#VALUE!</v>
      </c>
      <c r="K589" s="35"/>
    </row>
    <row r="590" spans="1:11">
      <c r="B590" s="35">
        <v>-1.4675604394566215</v>
      </c>
      <c r="C590" s="35">
        <v>1.3235781323919831</v>
      </c>
      <c r="D590" s="35">
        <v>-0.72564008456612294</v>
      </c>
      <c r="F590" s="35"/>
      <c r="K590" s="35"/>
    </row>
    <row r="591" spans="1:11">
      <c r="B591" s="35"/>
      <c r="C591" s="35"/>
      <c r="D591" s="35"/>
      <c r="F591" s="157"/>
      <c r="K591" s="35"/>
    </row>
    <row r="592" spans="1:11">
      <c r="B592" s="35">
        <v>-1.4421025939282253</v>
      </c>
      <c r="C592" s="35">
        <v>-1.0431877148697888</v>
      </c>
      <c r="D592" s="35">
        <v>-0.78932433807079116</v>
      </c>
      <c r="F592" s="35"/>
      <c r="K592" s="35"/>
    </row>
    <row r="593" spans="1:11">
      <c r="A593" t="s">
        <v>359</v>
      </c>
      <c r="B593" s="35">
        <v>-0.40019020491700363</v>
      </c>
      <c r="C593" s="35">
        <v>-1.0840062473010013</v>
      </c>
      <c r="D593" s="35">
        <v>-1.6840506224230944E-2</v>
      </c>
      <c r="F593" s="35" t="e">
        <f ca="1">MCond(B592:D594)</f>
        <v>#VALUE!</v>
      </c>
      <c r="K593" s="35"/>
    </row>
    <row r="594" spans="1:11">
      <c r="B594" s="35">
        <v>-2.8449497700634536</v>
      </c>
      <c r="C594" s="35">
        <v>-0.22852225552422287</v>
      </c>
      <c r="D594" s="35">
        <v>-6.9737163040410666E-2</v>
      </c>
      <c r="F594" s="35"/>
      <c r="K594" s="35"/>
    </row>
    <row r="595" spans="1:11">
      <c r="B595" s="35"/>
      <c r="C595" s="35"/>
      <c r="D595" s="35"/>
      <c r="F595" s="157"/>
      <c r="K595" s="35"/>
    </row>
    <row r="596" spans="1:11">
      <c r="B596" s="35">
        <v>-1.4421025939282253</v>
      </c>
      <c r="C596" s="35">
        <v>-1.0431877148697888</v>
      </c>
      <c r="D596" s="35">
        <v>-0.78932433807079116</v>
      </c>
      <c r="F596" s="35"/>
      <c r="K596" s="35"/>
    </row>
    <row r="597" spans="1:11">
      <c r="A597" t="s">
        <v>360</v>
      </c>
      <c r="B597" s="35">
        <v>-0.40019020491700363</v>
      </c>
      <c r="C597" s="35">
        <v>-1.0840062473010013</v>
      </c>
      <c r="D597" s="35">
        <v>-1.6840506224230944E-2</v>
      </c>
      <c r="F597" s="35" t="e">
        <f ca="1">MCond(B596:D598)</f>
        <v>#VALUE!</v>
      </c>
      <c r="K597" s="35"/>
    </row>
    <row r="598" spans="1:11">
      <c r="B598" s="35">
        <v>-2.4772611105726599</v>
      </c>
      <c r="C598" s="35">
        <v>1.0605572692523213</v>
      </c>
      <c r="D598" s="35">
        <v>3.9812674620544719E-2</v>
      </c>
      <c r="F598" s="35"/>
      <c r="K598" s="35"/>
    </row>
    <row r="599" spans="1:11">
      <c r="B599" s="35"/>
      <c r="C599" s="35"/>
      <c r="D599" s="35"/>
      <c r="F599" s="157"/>
      <c r="K599" s="35"/>
    </row>
    <row r="600" spans="1:11">
      <c r="B600" s="35">
        <v>-1.4421025939282253</v>
      </c>
      <c r="C600" s="35">
        <v>-1.0431877148697888</v>
      </c>
      <c r="D600" s="35">
        <v>-0.78932433807079116</v>
      </c>
      <c r="F600" s="35"/>
      <c r="K600" s="35"/>
    </row>
    <row r="601" spans="1:11">
      <c r="A601" t="s">
        <v>361</v>
      </c>
      <c r="B601" s="35">
        <v>-0.40019020491700363</v>
      </c>
      <c r="C601" s="35">
        <v>-1.0840062473010013</v>
      </c>
      <c r="D601" s="35">
        <v>-1.6840506224230944E-2</v>
      </c>
      <c r="F601" s="35" t="e">
        <f ca="1">MCond(B600:D602)</f>
        <v>#VALUE!</v>
      </c>
      <c r="K601" s="35"/>
    </row>
    <row r="602" spans="1:11">
      <c r="B602" s="35">
        <v>-0.85843073718374274</v>
      </c>
      <c r="C602" s="35">
        <v>1.040962775001312</v>
      </c>
      <c r="D602" s="35">
        <v>-3.7610117674176324E-2</v>
      </c>
      <c r="F602" s="35"/>
      <c r="K602" s="35"/>
    </row>
    <row r="603" spans="1:11">
      <c r="B603" s="35"/>
      <c r="C603" s="35"/>
      <c r="D603" s="35"/>
      <c r="F603" s="157"/>
      <c r="K603" s="35"/>
    </row>
    <row r="604" spans="1:11">
      <c r="B604" s="35">
        <v>-1.4421025939282253</v>
      </c>
      <c r="C604" s="35">
        <v>-1.0431877148697888</v>
      </c>
      <c r="D604" s="35">
        <v>-0.78932433807079116</v>
      </c>
      <c r="F604" s="35"/>
      <c r="K604" s="35"/>
    </row>
    <row r="605" spans="1:11">
      <c r="A605" t="s">
        <v>362</v>
      </c>
      <c r="B605" s="35">
        <v>-0.40019020491700363</v>
      </c>
      <c r="C605" s="35">
        <v>-1.0840062473010013</v>
      </c>
      <c r="D605" s="35">
        <v>-1.6840506224230944E-2</v>
      </c>
      <c r="F605" s="35" t="e">
        <f ca="1">MCond(B604:D606)</f>
        <v>#VALUE!</v>
      </c>
      <c r="K605" s="35"/>
    </row>
    <row r="606" spans="1:11">
      <c r="B606" s="35">
        <v>-1.4675604394566215</v>
      </c>
      <c r="C606" s="35">
        <v>1.3235781323919831</v>
      </c>
      <c r="D606" s="35">
        <v>-0.72564008456612294</v>
      </c>
      <c r="F606" s="35"/>
      <c r="K606" s="35"/>
    </row>
    <row r="607" spans="1:11">
      <c r="B607" s="35"/>
      <c r="C607" s="35"/>
      <c r="D607" s="35"/>
      <c r="F607" s="157"/>
      <c r="K607" s="35"/>
    </row>
    <row r="608" spans="1:11">
      <c r="B608" s="35">
        <v>-1.4421025939282253</v>
      </c>
      <c r="C608" s="35">
        <v>-1.0431877148697888</v>
      </c>
      <c r="D608" s="35">
        <v>-0.78932433807079116</v>
      </c>
      <c r="F608" s="35"/>
      <c r="K608" s="35"/>
    </row>
    <row r="609" spans="1:11">
      <c r="A609" t="s">
        <v>363</v>
      </c>
      <c r="B609" s="35">
        <v>-2.8449497700634536</v>
      </c>
      <c r="C609" s="35">
        <v>-0.22852225552422287</v>
      </c>
      <c r="D609" s="35">
        <v>-6.9737163040410666E-2</v>
      </c>
      <c r="F609" s="35" t="e">
        <f ca="1">MCond(B608:D610)</f>
        <v>#VALUE!</v>
      </c>
      <c r="K609" s="35"/>
    </row>
    <row r="610" spans="1:11">
      <c r="B610" s="35">
        <v>-2.4772611105726599</v>
      </c>
      <c r="C610" s="35">
        <v>1.0605572692523213</v>
      </c>
      <c r="D610" s="35">
        <v>3.9812674620544719E-2</v>
      </c>
      <c r="F610" s="35"/>
      <c r="K610" s="35"/>
    </row>
    <row r="611" spans="1:11">
      <c r="B611" s="35"/>
      <c r="C611" s="35"/>
      <c r="D611" s="35"/>
      <c r="F611" s="157"/>
      <c r="K611" s="35"/>
    </row>
    <row r="612" spans="1:11">
      <c r="B612" s="35">
        <v>-1.4421025939282253</v>
      </c>
      <c r="C612" s="35">
        <v>-1.0431877148697888</v>
      </c>
      <c r="D612" s="35">
        <v>-0.78932433807079116</v>
      </c>
      <c r="F612" s="35"/>
      <c r="K612" s="35"/>
    </row>
    <row r="613" spans="1:11">
      <c r="A613" t="s">
        <v>364</v>
      </c>
      <c r="B613" s="35">
        <v>-2.8449497700634536</v>
      </c>
      <c r="C613" s="35">
        <v>-0.22852225552422287</v>
      </c>
      <c r="D613" s="35">
        <v>-6.9737163040410666E-2</v>
      </c>
      <c r="F613" s="35" t="e">
        <f ca="1">MCond(B612:D614)</f>
        <v>#VALUE!</v>
      </c>
      <c r="K613" s="35"/>
    </row>
    <row r="614" spans="1:11">
      <c r="B614" s="35">
        <v>-0.85843073718374274</v>
      </c>
      <c r="C614" s="35">
        <v>1.040962775001312</v>
      </c>
      <c r="D614" s="35">
        <v>-3.7610117674176324E-2</v>
      </c>
      <c r="F614" s="35"/>
      <c r="K614" s="35"/>
    </row>
    <row r="615" spans="1:11">
      <c r="B615" s="35"/>
      <c r="C615" s="35"/>
      <c r="D615" s="35"/>
      <c r="F615" s="157"/>
      <c r="K615" s="35"/>
    </row>
    <row r="616" spans="1:11">
      <c r="B616" s="35">
        <v>-1.4421025939282253</v>
      </c>
      <c r="C616" s="35">
        <v>-1.0431877148697888</v>
      </c>
      <c r="D616" s="35">
        <v>-0.78932433807079116</v>
      </c>
      <c r="F616" s="35"/>
      <c r="K616" s="35"/>
    </row>
    <row r="617" spans="1:11">
      <c r="A617" t="s">
        <v>365</v>
      </c>
      <c r="B617" s="35">
        <v>-2.8449497700634536</v>
      </c>
      <c r="C617" s="35">
        <v>-0.22852225552422287</v>
      </c>
      <c r="D617" s="35">
        <v>-6.9737163040410666E-2</v>
      </c>
      <c r="F617" s="35" t="e">
        <f ca="1">MCond(B616:D618)</f>
        <v>#VALUE!</v>
      </c>
      <c r="K617" s="35"/>
    </row>
    <row r="618" spans="1:11">
      <c r="B618" s="35">
        <v>-1.4675604394566215</v>
      </c>
      <c r="C618" s="35">
        <v>1.3235781323919831</v>
      </c>
      <c r="D618" s="35">
        <v>-0.72564008456612294</v>
      </c>
      <c r="F618" s="35"/>
      <c r="K618" s="35"/>
    </row>
    <row r="619" spans="1:11">
      <c r="B619" s="35"/>
      <c r="C619" s="35"/>
      <c r="D619" s="35"/>
      <c r="F619" s="157"/>
      <c r="K619" s="35"/>
    </row>
    <row r="620" spans="1:11">
      <c r="B620" s="35">
        <v>-1.4421025939282253</v>
      </c>
      <c r="C620" s="35">
        <v>-1.0431877148697888</v>
      </c>
      <c r="D620" s="35">
        <v>-0.78932433807079116</v>
      </c>
      <c r="F620" s="35"/>
      <c r="K620" s="35"/>
    </row>
    <row r="621" spans="1:11">
      <c r="A621" t="s">
        <v>366</v>
      </c>
      <c r="B621" s="35">
        <v>-2.4772611105726599</v>
      </c>
      <c r="C621" s="35">
        <v>1.0605572692523213</v>
      </c>
      <c r="D621" s="35">
        <v>3.9812674620544719E-2</v>
      </c>
      <c r="F621" s="35" t="e">
        <f ca="1">MCond(B620:D622)</f>
        <v>#VALUE!</v>
      </c>
      <c r="K621" s="35"/>
    </row>
    <row r="622" spans="1:11">
      <c r="B622" s="35">
        <v>-0.85843073718374274</v>
      </c>
      <c r="C622" s="35">
        <v>1.040962775001312</v>
      </c>
      <c r="D622" s="35">
        <v>-3.7610117674176324E-2</v>
      </c>
      <c r="F622" s="35"/>
      <c r="K622" s="35"/>
    </row>
    <row r="623" spans="1:11">
      <c r="B623" s="35"/>
      <c r="C623" s="35"/>
      <c r="D623" s="35"/>
      <c r="F623" s="157"/>
      <c r="K623" s="35"/>
    </row>
    <row r="624" spans="1:11">
      <c r="B624" s="35">
        <v>-1.4421025939282253</v>
      </c>
      <c r="C624" s="35">
        <v>-1.0431877148697888</v>
      </c>
      <c r="D624" s="35">
        <v>-0.78932433807079116</v>
      </c>
      <c r="F624" s="35"/>
      <c r="K624" s="35"/>
    </row>
    <row r="625" spans="1:11">
      <c r="A625" t="s">
        <v>367</v>
      </c>
      <c r="B625" s="35">
        <v>-2.4772611105726599</v>
      </c>
      <c r="C625" s="35">
        <v>1.0605572692523213</v>
      </c>
      <c r="D625" s="35">
        <v>3.9812674620544719E-2</v>
      </c>
      <c r="F625" s="35" t="e">
        <f ca="1">MCond(B624:D626)</f>
        <v>#VALUE!</v>
      </c>
      <c r="K625" s="35"/>
    </row>
    <row r="626" spans="1:11">
      <c r="B626" s="35">
        <v>-1.4675604394566215</v>
      </c>
      <c r="C626" s="35">
        <v>1.3235781323919831</v>
      </c>
      <c r="D626" s="35">
        <v>-0.72564008456612294</v>
      </c>
      <c r="F626" s="35"/>
      <c r="K626" s="35"/>
    </row>
    <row r="627" spans="1:11">
      <c r="B627" s="35"/>
      <c r="C627" s="35"/>
      <c r="D627" s="35"/>
      <c r="F627" s="157"/>
      <c r="K627" s="35"/>
    </row>
    <row r="628" spans="1:11">
      <c r="B628" s="35">
        <v>-1.4421025939282253</v>
      </c>
      <c r="C628" s="35">
        <v>-1.0431877148697888</v>
      </c>
      <c r="D628" s="35">
        <v>-0.78932433807079116</v>
      </c>
      <c r="F628" s="35"/>
      <c r="K628" s="35"/>
    </row>
    <row r="629" spans="1:11">
      <c r="A629" t="s">
        <v>368</v>
      </c>
      <c r="B629" s="35">
        <v>-0.85843073718374274</v>
      </c>
      <c r="C629" s="35">
        <v>1.040962775001312</v>
      </c>
      <c r="D629" s="35">
        <v>-3.7610117674176324E-2</v>
      </c>
      <c r="F629" s="35" t="e">
        <f ca="1">MCond(B628:D630)</f>
        <v>#VALUE!</v>
      </c>
      <c r="K629" s="35"/>
    </row>
    <row r="630" spans="1:11">
      <c r="B630" s="35">
        <v>-1.4675604394566215</v>
      </c>
      <c r="C630" s="35">
        <v>1.3235781323919831</v>
      </c>
      <c r="D630" s="35">
        <v>-0.72564008456612294</v>
      </c>
      <c r="F630" s="35"/>
    </row>
    <row r="631" spans="1:11">
      <c r="B631" s="35"/>
      <c r="C631" s="35"/>
      <c r="D631" s="35"/>
      <c r="F631" s="157"/>
    </row>
    <row r="632" spans="1:11">
      <c r="B632" s="35">
        <v>-2.6959782234951333</v>
      </c>
      <c r="C632" s="35">
        <v>-1.0757798809975587</v>
      </c>
      <c r="D632" s="35">
        <v>-4.997772423355884E-2</v>
      </c>
      <c r="F632" s="35"/>
    </row>
    <row r="633" spans="1:11">
      <c r="A633" t="s">
        <v>369</v>
      </c>
      <c r="B633" s="35">
        <v>-0.40019020491700363</v>
      </c>
      <c r="C633" s="35">
        <v>-1.0840062473010013</v>
      </c>
      <c r="D633" s="35">
        <v>-1.6840506224230944E-2</v>
      </c>
      <c r="F633" s="35" t="e">
        <f ca="1">MCond(B632:D634)</f>
        <v>#VALUE!</v>
      </c>
    </row>
    <row r="634" spans="1:11">
      <c r="B634" s="35">
        <v>-2.8449497700634536</v>
      </c>
      <c r="C634" s="35">
        <v>-0.22852225552422287</v>
      </c>
      <c r="D634" s="35">
        <v>-6.9737163040410666E-2</v>
      </c>
      <c r="F634" s="35"/>
    </row>
    <row r="635" spans="1:11">
      <c r="B635" s="35"/>
      <c r="C635" s="35"/>
      <c r="D635" s="35"/>
      <c r="F635" s="157"/>
    </row>
    <row r="636" spans="1:11">
      <c r="B636" s="35">
        <v>-2.6959782234951333</v>
      </c>
      <c r="C636" s="35">
        <v>-1.0757798809975587</v>
      </c>
      <c r="D636" s="35">
        <v>-4.997772423355884E-2</v>
      </c>
      <c r="F636" s="35"/>
    </row>
    <row r="637" spans="1:11">
      <c r="A637" t="s">
        <v>370</v>
      </c>
      <c r="B637" s="35">
        <v>-0.40019020491700363</v>
      </c>
      <c r="C637" s="35">
        <v>-1.0840062473010013</v>
      </c>
      <c r="D637" s="35">
        <v>-1.6840506224230944E-2</v>
      </c>
      <c r="F637" s="35" t="e">
        <f ca="1">MCond(B636:D638)</f>
        <v>#VALUE!</v>
      </c>
    </row>
    <row r="638" spans="1:11">
      <c r="B638" s="35">
        <v>-2.4772611105726599</v>
      </c>
      <c r="C638" s="35">
        <v>1.0605572692523213</v>
      </c>
      <c r="D638" s="35">
        <v>3.9812674620544719E-2</v>
      </c>
      <c r="F638" s="35"/>
    </row>
    <row r="639" spans="1:11">
      <c r="B639" s="35"/>
      <c r="C639" s="35"/>
      <c r="D639" s="35"/>
      <c r="F639" s="157"/>
    </row>
    <row r="640" spans="1:11">
      <c r="B640" s="35">
        <v>-2.6959782234951333</v>
      </c>
      <c r="C640" s="35">
        <v>-1.0757798809975587</v>
      </c>
      <c r="D640" s="35">
        <v>-4.997772423355884E-2</v>
      </c>
      <c r="F640" s="35"/>
    </row>
    <row r="641" spans="1:6">
      <c r="A641" t="s">
        <v>371</v>
      </c>
      <c r="B641" s="35">
        <v>-0.40019020491700363</v>
      </c>
      <c r="C641" s="35">
        <v>-1.0840062473010013</v>
      </c>
      <c r="D641" s="35">
        <v>-1.6840506224230944E-2</v>
      </c>
      <c r="F641" s="35" t="e">
        <f ca="1">MCond(B640:D642)</f>
        <v>#VALUE!</v>
      </c>
    </row>
    <row r="642" spans="1:6">
      <c r="B642" s="35">
        <v>-0.85843073718374274</v>
      </c>
      <c r="C642" s="35">
        <v>1.040962775001312</v>
      </c>
      <c r="D642" s="35">
        <v>-3.7610117674176324E-2</v>
      </c>
      <c r="F642" s="35"/>
    </row>
    <row r="643" spans="1:6">
      <c r="B643" s="35"/>
      <c r="C643" s="35"/>
      <c r="D643" s="35"/>
      <c r="F643" s="157"/>
    </row>
    <row r="644" spans="1:6">
      <c r="B644" s="35">
        <v>-2.6959782234951333</v>
      </c>
      <c r="C644" s="35">
        <v>-1.0757798809975587</v>
      </c>
      <c r="D644" s="35">
        <v>-4.997772423355884E-2</v>
      </c>
      <c r="F644" s="35"/>
    </row>
    <row r="645" spans="1:6">
      <c r="A645" t="s">
        <v>372</v>
      </c>
      <c r="B645" s="35">
        <v>-0.40019020491700363</v>
      </c>
      <c r="C645" s="35">
        <v>-1.0840062473010013</v>
      </c>
      <c r="D645" s="35">
        <v>-1.6840506224230944E-2</v>
      </c>
      <c r="F645" s="35" t="e">
        <f ca="1">MCond(B644:D646)</f>
        <v>#VALUE!</v>
      </c>
    </row>
    <row r="646" spans="1:6">
      <c r="B646" s="35">
        <v>-1.4675604394566215</v>
      </c>
      <c r="C646" s="35">
        <v>1.3235781323919831</v>
      </c>
      <c r="D646" s="35">
        <v>-0.72564008456612294</v>
      </c>
      <c r="F646" s="35"/>
    </row>
    <row r="647" spans="1:6">
      <c r="B647" s="35"/>
      <c r="C647" s="35"/>
      <c r="D647" s="35"/>
      <c r="F647" s="157"/>
    </row>
    <row r="648" spans="1:6">
      <c r="B648" s="35">
        <v>-2.6959782234951333</v>
      </c>
      <c r="C648" s="35">
        <v>-1.0757798809975587</v>
      </c>
      <c r="D648" s="35">
        <v>-4.997772423355884E-2</v>
      </c>
      <c r="F648" s="35"/>
    </row>
    <row r="649" spans="1:6">
      <c r="A649" t="s">
        <v>373</v>
      </c>
      <c r="B649" s="35">
        <v>-2.8449497700634536</v>
      </c>
      <c r="C649" s="35">
        <v>-0.22852225552422287</v>
      </c>
      <c r="D649" s="35">
        <v>-6.9737163040410666E-2</v>
      </c>
      <c r="F649" s="35" t="e">
        <f ca="1">MCond(B648:D650)</f>
        <v>#VALUE!</v>
      </c>
    </row>
    <row r="650" spans="1:6">
      <c r="B650" s="35">
        <v>-2.4772611105726599</v>
      </c>
      <c r="C650" s="35">
        <v>1.0605572692523213</v>
      </c>
      <c r="D650" s="35">
        <v>3.9812674620544719E-2</v>
      </c>
      <c r="F650" s="35"/>
    </row>
    <row r="651" spans="1:6">
      <c r="B651" s="35"/>
      <c r="C651" s="35"/>
      <c r="D651" s="35"/>
      <c r="F651" s="157"/>
    </row>
    <row r="652" spans="1:6">
      <c r="B652" s="35">
        <v>-2.6959782234951333</v>
      </c>
      <c r="C652" s="35">
        <v>-1.0757798809975587</v>
      </c>
      <c r="D652" s="35">
        <v>-4.997772423355884E-2</v>
      </c>
      <c r="F652" s="35"/>
    </row>
    <row r="653" spans="1:6">
      <c r="A653" t="s">
        <v>374</v>
      </c>
      <c r="B653" s="35">
        <v>-2.8449497700634536</v>
      </c>
      <c r="C653" s="35">
        <v>-0.22852225552422287</v>
      </c>
      <c r="D653" s="35">
        <v>-6.9737163040410666E-2</v>
      </c>
      <c r="F653" s="35" t="e">
        <f ca="1">MCond(B652:D654)</f>
        <v>#VALUE!</v>
      </c>
    </row>
    <row r="654" spans="1:6">
      <c r="B654" s="35">
        <v>-0.85843073718374274</v>
      </c>
      <c r="C654" s="35">
        <v>1.040962775001312</v>
      </c>
      <c r="D654" s="35">
        <v>-3.7610117674176324E-2</v>
      </c>
      <c r="F654" s="35"/>
    </row>
    <row r="655" spans="1:6">
      <c r="B655" s="35"/>
      <c r="C655" s="35"/>
      <c r="D655" s="35"/>
      <c r="F655" s="157"/>
    </row>
    <row r="656" spans="1:6">
      <c r="B656" s="35">
        <v>-2.6959782234951333</v>
      </c>
      <c r="C656" s="35">
        <v>-1.0757798809975587</v>
      </c>
      <c r="D656" s="35">
        <v>-4.997772423355884E-2</v>
      </c>
      <c r="F656" s="35"/>
    </row>
    <row r="657" spans="1:6">
      <c r="A657" t="s">
        <v>375</v>
      </c>
      <c r="B657" s="35">
        <v>-2.8449497700634536</v>
      </c>
      <c r="C657" s="35">
        <v>-0.22852225552422287</v>
      </c>
      <c r="D657" s="35">
        <v>-6.9737163040410666E-2</v>
      </c>
      <c r="F657" s="35" t="e">
        <f ca="1">MCond(B656:D658)</f>
        <v>#VALUE!</v>
      </c>
    </row>
    <row r="658" spans="1:6">
      <c r="B658" s="35">
        <v>-1.4675604394566215</v>
      </c>
      <c r="C658" s="35">
        <v>1.3235781323919831</v>
      </c>
      <c r="D658" s="35">
        <v>-0.72564008456612294</v>
      </c>
      <c r="F658" s="35"/>
    </row>
    <row r="659" spans="1:6">
      <c r="B659" s="35"/>
      <c r="C659" s="35"/>
      <c r="D659" s="35"/>
      <c r="F659" s="157"/>
    </row>
    <row r="660" spans="1:6">
      <c r="B660" s="35">
        <v>-2.6959782234951333</v>
      </c>
      <c r="C660" s="35">
        <v>-1.0757798809975587</v>
      </c>
      <c r="D660" s="35">
        <v>-4.997772423355884E-2</v>
      </c>
      <c r="F660" s="35"/>
    </row>
    <row r="661" spans="1:6">
      <c r="A661" t="s">
        <v>376</v>
      </c>
      <c r="B661" s="35">
        <v>-2.4772611105726599</v>
      </c>
      <c r="C661" s="35">
        <v>1.0605572692523213</v>
      </c>
      <c r="D661" s="35">
        <v>3.9812674620544719E-2</v>
      </c>
      <c r="F661" s="35" t="e">
        <f ca="1">MCond(B660:D662)</f>
        <v>#VALUE!</v>
      </c>
    </row>
    <row r="662" spans="1:6">
      <c r="B662" s="35">
        <v>-0.85843073718374274</v>
      </c>
      <c r="C662" s="35">
        <v>1.040962775001312</v>
      </c>
      <c r="D662" s="35">
        <v>-3.7610117674176324E-2</v>
      </c>
      <c r="F662" s="35"/>
    </row>
    <row r="663" spans="1:6">
      <c r="B663" s="35"/>
      <c r="C663" s="35"/>
      <c r="D663" s="35"/>
      <c r="F663" s="157"/>
    </row>
    <row r="664" spans="1:6">
      <c r="B664" s="35">
        <v>-2.6959782234951333</v>
      </c>
      <c r="C664" s="35">
        <v>-1.0757798809975587</v>
      </c>
      <c r="D664" s="35">
        <v>-4.997772423355884E-2</v>
      </c>
      <c r="F664" s="35"/>
    </row>
    <row r="665" spans="1:6">
      <c r="A665" t="s">
        <v>377</v>
      </c>
      <c r="B665" s="35">
        <v>-2.4772611105726599</v>
      </c>
      <c r="C665" s="35">
        <v>1.0605572692523213</v>
      </c>
      <c r="D665" s="35">
        <v>3.9812674620544719E-2</v>
      </c>
      <c r="F665" s="35" t="e">
        <f ca="1">MCond(B664:D666)</f>
        <v>#VALUE!</v>
      </c>
    </row>
    <row r="666" spans="1:6">
      <c r="B666" s="35">
        <v>-1.4675604394566215</v>
      </c>
      <c r="C666" s="35">
        <v>1.3235781323919831</v>
      </c>
      <c r="D666" s="35">
        <v>-0.72564008456612294</v>
      </c>
      <c r="F666" s="35"/>
    </row>
    <row r="667" spans="1:6">
      <c r="B667" s="35"/>
      <c r="C667" s="35"/>
      <c r="D667" s="35"/>
      <c r="F667" s="157"/>
    </row>
    <row r="668" spans="1:6">
      <c r="B668" s="35">
        <v>-2.6959782234951333</v>
      </c>
      <c r="C668" s="35">
        <v>-1.0757798809975587</v>
      </c>
      <c r="D668" s="35">
        <v>-4.997772423355884E-2</v>
      </c>
      <c r="F668" s="35"/>
    </row>
    <row r="669" spans="1:6">
      <c r="A669" t="s">
        <v>378</v>
      </c>
      <c r="B669" s="35">
        <v>-0.85843073718374274</v>
      </c>
      <c r="C669" s="35">
        <v>1.040962775001312</v>
      </c>
      <c r="D669" s="35">
        <v>-3.7610117674176324E-2</v>
      </c>
      <c r="F669" s="35" t="e">
        <f ca="1">MCond(B668:D670)</f>
        <v>#VALUE!</v>
      </c>
    </row>
    <row r="670" spans="1:6">
      <c r="B670" s="35">
        <v>-1.4675604394566215</v>
      </c>
      <c r="C670" s="35">
        <v>1.3235781323919831</v>
      </c>
      <c r="D670" s="35">
        <v>-0.72564008456612294</v>
      </c>
      <c r="F670" s="35"/>
    </row>
    <row r="671" spans="1:6">
      <c r="B671" s="35"/>
      <c r="C671" s="35"/>
      <c r="D671" s="35"/>
      <c r="F671" s="157"/>
    </row>
    <row r="672" spans="1:6">
      <c r="B672" s="35">
        <v>-0.40019020491700363</v>
      </c>
      <c r="C672" s="35">
        <v>-1.0840062473010013</v>
      </c>
      <c r="D672" s="35">
        <v>-1.6840506224230944E-2</v>
      </c>
      <c r="F672" s="35"/>
    </row>
    <row r="673" spans="1:6">
      <c r="A673" t="s">
        <v>379</v>
      </c>
      <c r="B673" s="35">
        <v>-2.8449497700634536</v>
      </c>
      <c r="C673" s="35">
        <v>-0.22852225552422287</v>
      </c>
      <c r="D673" s="35">
        <v>-6.9737163040410666E-2</v>
      </c>
      <c r="F673" s="35" t="e">
        <f ca="1">MCond(B672:D674)</f>
        <v>#VALUE!</v>
      </c>
    </row>
    <row r="674" spans="1:6">
      <c r="B674" s="35">
        <v>-2.4772611105726599</v>
      </c>
      <c r="C674" s="35">
        <v>1.0605572692523213</v>
      </c>
      <c r="D674" s="35">
        <v>3.9812674620544719E-2</v>
      </c>
      <c r="F674" s="35"/>
    </row>
    <row r="675" spans="1:6">
      <c r="B675" s="35"/>
      <c r="C675" s="35"/>
      <c r="D675" s="35"/>
      <c r="F675" s="157"/>
    </row>
    <row r="676" spans="1:6">
      <c r="B676" s="35">
        <v>-0.40019020491700363</v>
      </c>
      <c r="C676" s="35">
        <v>-1.0840062473010013</v>
      </c>
      <c r="D676" s="35">
        <v>-1.6840506224230944E-2</v>
      </c>
      <c r="F676" s="35"/>
    </row>
    <row r="677" spans="1:6">
      <c r="A677" t="s">
        <v>380</v>
      </c>
      <c r="B677" s="35">
        <v>-2.8449497700634536</v>
      </c>
      <c r="C677" s="35">
        <v>-0.22852225552422287</v>
      </c>
      <c r="D677" s="35">
        <v>-6.9737163040410666E-2</v>
      </c>
      <c r="F677" s="35" t="e">
        <f ca="1">MCond(B676:D678)</f>
        <v>#VALUE!</v>
      </c>
    </row>
    <row r="678" spans="1:6">
      <c r="B678" s="35">
        <v>-0.85843073718374274</v>
      </c>
      <c r="C678" s="35">
        <v>1.040962775001312</v>
      </c>
      <c r="D678" s="35">
        <v>-3.7610117674176324E-2</v>
      </c>
      <c r="F678" s="35"/>
    </row>
    <row r="679" spans="1:6">
      <c r="B679" s="35"/>
      <c r="C679" s="35"/>
      <c r="D679" s="35"/>
      <c r="F679" s="157"/>
    </row>
    <row r="680" spans="1:6">
      <c r="B680" s="35">
        <v>-0.40019020491700363</v>
      </c>
      <c r="C680" s="35">
        <v>-1.0840062473010013</v>
      </c>
      <c r="D680" s="35">
        <v>-1.6840506224230944E-2</v>
      </c>
      <c r="F680" s="35"/>
    </row>
    <row r="681" spans="1:6">
      <c r="A681" t="s">
        <v>381</v>
      </c>
      <c r="B681" s="35">
        <v>-2.8449497700634536</v>
      </c>
      <c r="C681" s="35">
        <v>-0.22852225552422287</v>
      </c>
      <c r="D681" s="35">
        <v>-6.9737163040410666E-2</v>
      </c>
      <c r="F681" s="35" t="e">
        <f ca="1">MCond(B680:D682)</f>
        <v>#VALUE!</v>
      </c>
    </row>
    <row r="682" spans="1:6">
      <c r="B682" s="35">
        <v>-1.4675604394566215</v>
      </c>
      <c r="C682" s="35">
        <v>1.3235781323919831</v>
      </c>
      <c r="D682" s="35">
        <v>-0.72564008456612294</v>
      </c>
      <c r="F682" s="35"/>
    </row>
    <row r="683" spans="1:6">
      <c r="B683" s="35"/>
      <c r="C683" s="35"/>
      <c r="D683" s="35"/>
      <c r="F683" s="157"/>
    </row>
    <row r="684" spans="1:6">
      <c r="B684" s="35">
        <v>-0.40019020491700363</v>
      </c>
      <c r="C684" s="35">
        <v>-1.0840062473010013</v>
      </c>
      <c r="D684" s="35">
        <v>-1.6840506224230944E-2</v>
      </c>
      <c r="F684" s="35"/>
    </row>
    <row r="685" spans="1:6">
      <c r="A685" t="s">
        <v>382</v>
      </c>
      <c r="B685" s="35">
        <v>-2.4772611105726599</v>
      </c>
      <c r="C685" s="35">
        <v>1.0605572692523213</v>
      </c>
      <c r="D685" s="35">
        <v>3.9812674620544719E-2</v>
      </c>
      <c r="F685" s="35" t="e">
        <f ca="1">MCond(B684:D686)</f>
        <v>#VALUE!</v>
      </c>
    </row>
    <row r="686" spans="1:6">
      <c r="B686" s="35">
        <v>-0.85843073718374274</v>
      </c>
      <c r="C686" s="35">
        <v>1.040962775001312</v>
      </c>
      <c r="D686" s="35">
        <v>-3.7610117674176324E-2</v>
      </c>
      <c r="F686" s="35"/>
    </row>
    <row r="687" spans="1:6">
      <c r="B687" s="35"/>
      <c r="C687" s="35"/>
      <c r="D687" s="35"/>
      <c r="F687" s="157"/>
    </row>
    <row r="688" spans="1:6">
      <c r="B688" s="35">
        <v>-0.40019020491700363</v>
      </c>
      <c r="C688" s="35">
        <v>-1.0840062473010013</v>
      </c>
      <c r="D688" s="35">
        <v>-1.6840506224230944E-2</v>
      </c>
      <c r="F688" s="35"/>
    </row>
    <row r="689" spans="1:6">
      <c r="A689" t="s">
        <v>383</v>
      </c>
      <c r="B689" s="35">
        <v>-2.4772611105726599</v>
      </c>
      <c r="C689" s="35">
        <v>1.0605572692523213</v>
      </c>
      <c r="D689" s="35">
        <v>3.9812674620544719E-2</v>
      </c>
      <c r="F689" s="35" t="e">
        <f ca="1">MCond(B688:D690)</f>
        <v>#VALUE!</v>
      </c>
    </row>
    <row r="690" spans="1:6">
      <c r="B690" s="35">
        <v>-1.4675604394566215</v>
      </c>
      <c r="C690" s="35">
        <v>1.3235781323919831</v>
      </c>
      <c r="D690" s="35">
        <v>-0.72564008456612294</v>
      </c>
      <c r="F690" s="35"/>
    </row>
    <row r="691" spans="1:6">
      <c r="B691" s="35"/>
      <c r="C691" s="35"/>
      <c r="D691" s="35"/>
      <c r="F691" s="157"/>
    </row>
    <row r="692" spans="1:6">
      <c r="B692" s="35">
        <v>-0.40019020491700363</v>
      </c>
      <c r="C692" s="35">
        <v>-1.0840062473010013</v>
      </c>
      <c r="D692" s="35">
        <v>-1.6840506224230944E-2</v>
      </c>
      <c r="F692" s="35"/>
    </row>
    <row r="693" spans="1:6">
      <c r="A693" t="s">
        <v>384</v>
      </c>
      <c r="B693" s="35">
        <v>-0.85843073718374274</v>
      </c>
      <c r="C693" s="35">
        <v>1.040962775001312</v>
      </c>
      <c r="D693" s="35">
        <v>-3.7610117674176324E-2</v>
      </c>
      <c r="F693" s="35" t="e">
        <f ca="1">MCond(B692:D694)</f>
        <v>#VALUE!</v>
      </c>
    </row>
    <row r="694" spans="1:6">
      <c r="B694" s="35">
        <v>-1.4675604394566215</v>
      </c>
      <c r="C694" s="35">
        <v>1.3235781323919831</v>
      </c>
      <c r="D694" s="35">
        <v>-0.72564008456612294</v>
      </c>
      <c r="F694" s="35"/>
    </row>
    <row r="695" spans="1:6">
      <c r="B695" s="35"/>
      <c r="C695" s="35"/>
      <c r="D695" s="35"/>
      <c r="F695" s="157"/>
    </row>
    <row r="696" spans="1:6">
      <c r="B696" s="35">
        <v>-2.8449497700634536</v>
      </c>
      <c r="C696" s="35">
        <v>-0.22852225552422287</v>
      </c>
      <c r="D696" s="35">
        <v>-6.9737163040410666E-2</v>
      </c>
      <c r="F696" s="35"/>
    </row>
    <row r="697" spans="1:6">
      <c r="A697" t="s">
        <v>385</v>
      </c>
      <c r="B697" s="35">
        <v>-2.4772611105726599</v>
      </c>
      <c r="C697" s="35">
        <v>1.0605572692523213</v>
      </c>
      <c r="D697" s="35">
        <v>3.9812674620544719E-2</v>
      </c>
      <c r="F697" s="35" t="e">
        <f ca="1">MCond(B696:D698)</f>
        <v>#VALUE!</v>
      </c>
    </row>
    <row r="698" spans="1:6">
      <c r="B698" s="35">
        <v>-0.85843073718374274</v>
      </c>
      <c r="C698" s="35">
        <v>1.040962775001312</v>
      </c>
      <c r="D698" s="35">
        <v>-3.7610117674176324E-2</v>
      </c>
      <c r="F698" s="35"/>
    </row>
    <row r="699" spans="1:6">
      <c r="B699" s="35"/>
      <c r="C699" s="35"/>
      <c r="D699" s="35"/>
      <c r="F699" s="157"/>
    </row>
    <row r="700" spans="1:6">
      <c r="B700" s="35">
        <v>-2.8449497700634536</v>
      </c>
      <c r="C700" s="35">
        <v>-0.22852225552422287</v>
      </c>
      <c r="D700" s="35">
        <v>-6.9737163040410666E-2</v>
      </c>
      <c r="F700" s="35"/>
    </row>
    <row r="701" spans="1:6">
      <c r="A701" t="s">
        <v>386</v>
      </c>
      <c r="B701" s="35">
        <v>-2.4772611105726599</v>
      </c>
      <c r="C701" s="35">
        <v>1.0605572692523213</v>
      </c>
      <c r="D701" s="35">
        <v>3.9812674620544719E-2</v>
      </c>
      <c r="F701" s="35" t="e">
        <f ca="1">MCond(B700:D702)</f>
        <v>#VALUE!</v>
      </c>
    </row>
    <row r="702" spans="1:6">
      <c r="B702" s="35">
        <v>-1.4675604394566215</v>
      </c>
      <c r="C702" s="35">
        <v>1.3235781323919831</v>
      </c>
      <c r="D702" s="35">
        <v>-0.72564008456612294</v>
      </c>
      <c r="F702" s="35"/>
    </row>
    <row r="703" spans="1:6">
      <c r="B703" s="35"/>
      <c r="C703" s="35"/>
      <c r="D703" s="35"/>
      <c r="F703" s="157"/>
    </row>
    <row r="704" spans="1:6">
      <c r="B704" s="35">
        <v>-2.8449497700634536</v>
      </c>
      <c r="C704" s="35">
        <v>-0.22852225552422287</v>
      </c>
      <c r="D704" s="35">
        <v>-6.9737163040410666E-2</v>
      </c>
      <c r="F704" s="35"/>
    </row>
    <row r="705" spans="1:6">
      <c r="A705" t="s">
        <v>387</v>
      </c>
      <c r="B705" s="35">
        <v>-0.85843073718374274</v>
      </c>
      <c r="C705" s="35">
        <v>1.040962775001312</v>
      </c>
      <c r="D705" s="35">
        <v>-3.7610117674176324E-2</v>
      </c>
      <c r="F705" s="35" t="e">
        <f ca="1">MCond(B704:D706)</f>
        <v>#VALUE!</v>
      </c>
    </row>
    <row r="706" spans="1:6">
      <c r="B706" s="35">
        <v>-1.4675604394566215</v>
      </c>
      <c r="C706" s="35">
        <v>1.3235781323919831</v>
      </c>
      <c r="D706" s="35">
        <v>-0.72564008456612294</v>
      </c>
      <c r="F706" s="35"/>
    </row>
    <row r="707" spans="1:6">
      <c r="B707" s="35"/>
      <c r="C707" s="35"/>
      <c r="D707" s="35"/>
      <c r="F707" s="157"/>
    </row>
    <row r="708" spans="1:6">
      <c r="B708" s="35">
        <v>-2.4772611105726599</v>
      </c>
      <c r="C708" s="35">
        <v>1.0605572692523213</v>
      </c>
      <c r="D708" s="35">
        <v>3.9812674620544719E-2</v>
      </c>
      <c r="F708" s="35"/>
    </row>
    <row r="709" spans="1:6">
      <c r="A709" t="s">
        <v>388</v>
      </c>
      <c r="B709" s="35">
        <v>-0.85843073718374274</v>
      </c>
      <c r="C709" s="35">
        <v>1.040962775001312</v>
      </c>
      <c r="D709" s="35">
        <v>-3.7610117674176324E-2</v>
      </c>
      <c r="F709" s="35" t="e">
        <f ca="1">MCond(B708:D710)</f>
        <v>#VALUE!</v>
      </c>
    </row>
    <row r="710" spans="1:6">
      <c r="B710" s="35">
        <v>-1.4675604394566215</v>
      </c>
      <c r="C710" s="35">
        <v>1.3235781323919831</v>
      </c>
      <c r="D710" s="35">
        <v>-0.72564008456612294</v>
      </c>
      <c r="F710" s="35"/>
    </row>
    <row r="711" spans="1:6">
      <c r="B711" s="35"/>
      <c r="C711" s="35"/>
      <c r="D711" s="35"/>
      <c r="F711" s="157"/>
    </row>
    <row r="712" spans="1:6">
      <c r="B712" s="35">
        <v>1.0351585166444348</v>
      </c>
      <c r="C712" s="35">
        <v>-2.1037449841221099</v>
      </c>
      <c r="D712" s="35">
        <v>-0.82913701269133588</v>
      </c>
      <c r="F712" s="35"/>
    </row>
    <row r="713" spans="1:6">
      <c r="A713" t="s">
        <v>389</v>
      </c>
      <c r="B713" s="35">
        <v>-0.21871711292247331</v>
      </c>
      <c r="C713" s="35">
        <v>-2.1363371502498802</v>
      </c>
      <c r="D713" s="35">
        <v>-8.9790398854103559E-2</v>
      </c>
      <c r="F713" s="35" t="e">
        <f ca="1">MCond(B712:D714)</f>
        <v>#VALUE!</v>
      </c>
    </row>
    <row r="714" spans="1:6">
      <c r="B714" s="35">
        <v>2.0770709056556562</v>
      </c>
      <c r="C714" s="35">
        <v>-2.1445635165533226</v>
      </c>
      <c r="D714" s="35">
        <v>-5.6653180844775664E-2</v>
      </c>
      <c r="F714" s="35"/>
    </row>
    <row r="715" spans="1:6">
      <c r="B715" s="35"/>
      <c r="C715" s="35"/>
      <c r="D715" s="35"/>
      <c r="F715" s="157"/>
    </row>
    <row r="716" spans="1:6">
      <c r="B716" s="35">
        <v>1.0351585166444348</v>
      </c>
      <c r="C716" s="35">
        <v>-2.1037449841221099</v>
      </c>
      <c r="D716" s="35">
        <v>-0.82913701269133588</v>
      </c>
      <c r="F716" s="35"/>
    </row>
    <row r="717" spans="1:6">
      <c r="A717" t="s">
        <v>390</v>
      </c>
      <c r="B717" s="35">
        <v>-0.21871711292247331</v>
      </c>
      <c r="C717" s="35">
        <v>-2.1363371502498802</v>
      </c>
      <c r="D717" s="35">
        <v>-8.9790398854103559E-2</v>
      </c>
      <c r="F717" s="35" t="e">
        <f ca="1">MCond(B716:D718)</f>
        <v>#VALUE!</v>
      </c>
    </row>
    <row r="718" spans="1:6">
      <c r="B718" s="35">
        <v>-0.36768865949079377</v>
      </c>
      <c r="C718" s="35">
        <v>-1.2890795247765441</v>
      </c>
      <c r="D718" s="35">
        <v>-0.10954983766095538</v>
      </c>
      <c r="F718" s="35"/>
    </row>
    <row r="719" spans="1:6">
      <c r="B719" s="35"/>
      <c r="C719" s="35"/>
      <c r="D719" s="35"/>
      <c r="F719" s="157"/>
    </row>
    <row r="720" spans="1:6">
      <c r="B720" s="35">
        <v>1.0351585166444348</v>
      </c>
      <c r="C720" s="35">
        <v>-2.1037449841221099</v>
      </c>
      <c r="D720" s="35">
        <v>-0.82913701269133588</v>
      </c>
      <c r="F720" s="35"/>
    </row>
    <row r="721" spans="1:6">
      <c r="A721" t="s">
        <v>391</v>
      </c>
      <c r="B721" s="35">
        <v>-0.21871711292247331</v>
      </c>
      <c r="C721" s="35">
        <v>-2.1363371502498802</v>
      </c>
      <c r="D721" s="35">
        <v>-8.9790398854103559E-2</v>
      </c>
      <c r="F721" s="35" t="e">
        <f ca="1">MCond(B720:D722)</f>
        <v>#VALUE!</v>
      </c>
    </row>
    <row r="722" spans="1:6">
      <c r="B722" s="35">
        <v>2.4772611105726599</v>
      </c>
      <c r="C722" s="35">
        <v>-1.0605572692523213</v>
      </c>
      <c r="D722" s="35">
        <v>-3.9812674620544719E-2</v>
      </c>
      <c r="F722" s="35"/>
    </row>
    <row r="723" spans="1:6">
      <c r="B723" s="35"/>
      <c r="C723" s="35"/>
      <c r="D723" s="35"/>
      <c r="F723" s="157"/>
    </row>
    <row r="724" spans="1:6">
      <c r="B724" s="35">
        <v>1.0351585166444348</v>
      </c>
      <c r="C724" s="35">
        <v>-2.1037449841221099</v>
      </c>
      <c r="D724" s="35">
        <v>-0.82913701269133588</v>
      </c>
      <c r="F724" s="35"/>
    </row>
    <row r="725" spans="1:6">
      <c r="A725" t="s">
        <v>392</v>
      </c>
      <c r="B725" s="35">
        <v>-0.21871711292247331</v>
      </c>
      <c r="C725" s="35">
        <v>-2.1363371502498802</v>
      </c>
      <c r="D725" s="35">
        <v>-8.9790398854103559E-2</v>
      </c>
      <c r="F725" s="35" t="e">
        <f ca="1">MCond(B724:D726)</f>
        <v>#VALUE!</v>
      </c>
    </row>
    <row r="726" spans="1:6">
      <c r="B726" s="35">
        <v>1.6188303733889171</v>
      </c>
      <c r="C726" s="35">
        <v>-1.9594494251009342E-2</v>
      </c>
      <c r="D726" s="35">
        <v>-7.7422792294721043E-2</v>
      </c>
      <c r="F726" s="35"/>
    </row>
    <row r="727" spans="1:6">
      <c r="B727" s="35"/>
      <c r="C727" s="35"/>
      <c r="D727" s="35"/>
      <c r="F727" s="157"/>
    </row>
    <row r="728" spans="1:6">
      <c r="B728" s="35">
        <v>1.0351585166444348</v>
      </c>
      <c r="C728" s="35">
        <v>-2.1037449841221099</v>
      </c>
      <c r="D728" s="35">
        <v>-0.82913701269133588</v>
      </c>
      <c r="F728" s="35"/>
    </row>
    <row r="729" spans="1:6">
      <c r="A729" t="s">
        <v>393</v>
      </c>
      <c r="B729" s="35">
        <v>-0.21871711292247331</v>
      </c>
      <c r="C729" s="35">
        <v>-2.1363371502498802</v>
      </c>
      <c r="D729" s="35">
        <v>-8.9790398854103559E-2</v>
      </c>
      <c r="F729" s="35" t="e">
        <f ca="1">MCond(B728:D730)</f>
        <v>#VALUE!</v>
      </c>
    </row>
    <row r="730" spans="1:6">
      <c r="B730" s="35">
        <v>1.0097006711160386</v>
      </c>
      <c r="C730" s="35">
        <v>0.26302086313966178</v>
      </c>
      <c r="D730" s="35">
        <v>-0.76545275918666766</v>
      </c>
      <c r="F730" s="35"/>
    </row>
    <row r="731" spans="1:6">
      <c r="B731" s="35"/>
      <c r="C731" s="35"/>
      <c r="D731" s="35"/>
      <c r="F731" s="157"/>
    </row>
    <row r="732" spans="1:6">
      <c r="B732" s="35">
        <v>1.0351585166444348</v>
      </c>
      <c r="C732" s="35">
        <v>-2.1037449841221099</v>
      </c>
      <c r="D732" s="35">
        <v>-0.82913701269133588</v>
      </c>
      <c r="F732" s="35"/>
    </row>
    <row r="733" spans="1:6">
      <c r="A733" t="s">
        <v>394</v>
      </c>
      <c r="B733" s="35">
        <v>2.0770709056556562</v>
      </c>
      <c r="C733" s="35">
        <v>-2.1445635165533226</v>
      </c>
      <c r="D733" s="35">
        <v>-5.6653180844775664E-2</v>
      </c>
      <c r="F733" s="35" t="e">
        <f ca="1">MCond(B732:D734)</f>
        <v>#VALUE!</v>
      </c>
    </row>
    <row r="734" spans="1:6">
      <c r="B734" s="35">
        <v>-0.36768865949079377</v>
      </c>
      <c r="C734" s="35">
        <v>-1.2890795247765441</v>
      </c>
      <c r="D734" s="35">
        <v>-0.10954983766095538</v>
      </c>
      <c r="F734" s="35"/>
    </row>
    <row r="735" spans="1:6">
      <c r="B735" s="35"/>
      <c r="C735" s="35"/>
      <c r="D735" s="35"/>
      <c r="F735" s="157"/>
    </row>
    <row r="736" spans="1:6">
      <c r="B736" s="35">
        <v>1.0351585166444348</v>
      </c>
      <c r="C736" s="35">
        <v>-2.1037449841221099</v>
      </c>
      <c r="D736" s="35">
        <v>-0.82913701269133588</v>
      </c>
      <c r="F736" s="35"/>
    </row>
    <row r="737" spans="1:6">
      <c r="A737" t="s">
        <v>395</v>
      </c>
      <c r="B737" s="35">
        <v>2.0770709056556562</v>
      </c>
      <c r="C737" s="35">
        <v>-2.1445635165533226</v>
      </c>
      <c r="D737" s="35">
        <v>-5.6653180844775664E-2</v>
      </c>
      <c r="F737" s="35" t="e">
        <f ca="1">MCond(B736:D738)</f>
        <v>#VALUE!</v>
      </c>
    </row>
    <row r="738" spans="1:6">
      <c r="B738" s="35">
        <v>2.4772611105726599</v>
      </c>
      <c r="C738" s="35">
        <v>-1.0605572692523213</v>
      </c>
      <c r="D738" s="35">
        <v>-3.9812674620544719E-2</v>
      </c>
      <c r="F738" s="35"/>
    </row>
    <row r="739" spans="1:6">
      <c r="B739" s="35"/>
      <c r="C739" s="35"/>
      <c r="D739" s="35"/>
      <c r="F739" s="157"/>
    </row>
    <row r="740" spans="1:6">
      <c r="B740" s="35">
        <v>1.0351585166444348</v>
      </c>
      <c r="C740" s="35">
        <v>-2.1037449841221099</v>
      </c>
      <c r="D740" s="35">
        <v>-0.82913701269133588</v>
      </c>
      <c r="F740" s="35"/>
    </row>
    <row r="741" spans="1:6">
      <c r="A741" t="s">
        <v>396</v>
      </c>
      <c r="B741" s="35">
        <v>2.0770709056556562</v>
      </c>
      <c r="C741" s="35">
        <v>-2.1445635165533226</v>
      </c>
      <c r="D741" s="35">
        <v>-5.6653180844775664E-2</v>
      </c>
      <c r="F741" s="35" t="e">
        <f ca="1">MCond(B740:D742)</f>
        <v>#VALUE!</v>
      </c>
    </row>
    <row r="742" spans="1:6">
      <c r="B742" s="35">
        <v>1.6188303733889171</v>
      </c>
      <c r="C742" s="35">
        <v>-1.9594494251009342E-2</v>
      </c>
      <c r="D742" s="35">
        <v>-7.7422792294721043E-2</v>
      </c>
      <c r="F742" s="35"/>
    </row>
    <row r="743" spans="1:6">
      <c r="B743" s="35"/>
      <c r="C743" s="35"/>
      <c r="D743" s="35"/>
      <c r="F743" s="157"/>
    </row>
    <row r="744" spans="1:6">
      <c r="B744" s="35">
        <v>1.0351585166444348</v>
      </c>
      <c r="C744" s="35">
        <v>-2.1037449841221099</v>
      </c>
      <c r="D744" s="35">
        <v>-0.82913701269133588</v>
      </c>
      <c r="F744" s="35"/>
    </row>
    <row r="745" spans="1:6">
      <c r="A745" t="s">
        <v>397</v>
      </c>
      <c r="B745" s="35">
        <v>2.0770709056556562</v>
      </c>
      <c r="C745" s="35">
        <v>-2.1445635165533226</v>
      </c>
      <c r="D745" s="35">
        <v>-5.6653180844775664E-2</v>
      </c>
      <c r="F745" s="35" t="e">
        <f ca="1">MCond(B744:D746)</f>
        <v>#VALUE!</v>
      </c>
    </row>
    <row r="746" spans="1:6">
      <c r="B746" s="35">
        <v>1.0097006711160386</v>
      </c>
      <c r="C746" s="35">
        <v>0.26302086313966178</v>
      </c>
      <c r="D746" s="35">
        <v>-0.76545275918666766</v>
      </c>
      <c r="F746" s="35"/>
    </row>
    <row r="747" spans="1:6">
      <c r="B747" s="35"/>
      <c r="C747" s="35"/>
      <c r="D747" s="35"/>
      <c r="F747" s="157"/>
    </row>
    <row r="748" spans="1:6">
      <c r="B748" s="35">
        <v>1.0351585166444348</v>
      </c>
      <c r="C748" s="35">
        <v>-2.1037449841221099</v>
      </c>
      <c r="D748" s="35">
        <v>-0.82913701269133588</v>
      </c>
      <c r="F748" s="35"/>
    </row>
    <row r="749" spans="1:6">
      <c r="A749" t="s">
        <v>398</v>
      </c>
      <c r="B749" s="35">
        <v>-0.36768865949079377</v>
      </c>
      <c r="C749" s="35">
        <v>-1.2890795247765441</v>
      </c>
      <c r="D749" s="35">
        <v>-0.10954983766095538</v>
      </c>
      <c r="F749" s="35" t="e">
        <f ca="1">MCond(B748:D750)</f>
        <v>#VALUE!</v>
      </c>
    </row>
    <row r="750" spans="1:6">
      <c r="B750" s="35">
        <v>2.4772611105726599</v>
      </c>
      <c r="C750" s="35">
        <v>-1.0605572692523213</v>
      </c>
      <c r="D750" s="35">
        <v>-3.9812674620544719E-2</v>
      </c>
      <c r="F750" s="35"/>
    </row>
    <row r="751" spans="1:6">
      <c r="B751" s="35"/>
      <c r="C751" s="35"/>
      <c r="D751" s="35"/>
      <c r="F751" s="157"/>
    </row>
    <row r="752" spans="1:6">
      <c r="B752" s="35">
        <v>1.0351585166444348</v>
      </c>
      <c r="C752" s="35">
        <v>-2.1037449841221099</v>
      </c>
      <c r="D752" s="35">
        <v>-0.82913701269133588</v>
      </c>
      <c r="F752" s="35"/>
    </row>
    <row r="753" spans="1:6">
      <c r="A753" t="s">
        <v>399</v>
      </c>
      <c r="B753" s="35">
        <v>-0.36768865949079377</v>
      </c>
      <c r="C753" s="35">
        <v>-1.2890795247765441</v>
      </c>
      <c r="D753" s="35">
        <v>-0.10954983766095538</v>
      </c>
      <c r="F753" s="35" t="e">
        <f ca="1">MCond(B752:D754)</f>
        <v>#VALUE!</v>
      </c>
    </row>
    <row r="754" spans="1:6">
      <c r="B754" s="35">
        <v>1.6188303733889171</v>
      </c>
      <c r="C754" s="35">
        <v>-1.9594494251009342E-2</v>
      </c>
      <c r="D754" s="35">
        <v>-7.7422792294721043E-2</v>
      </c>
      <c r="F754" s="35"/>
    </row>
    <row r="755" spans="1:6">
      <c r="B755" s="35"/>
      <c r="C755" s="35"/>
      <c r="D755" s="35"/>
      <c r="F755" s="157"/>
    </row>
    <row r="756" spans="1:6">
      <c r="B756" s="35">
        <v>1.0351585166444348</v>
      </c>
      <c r="C756" s="35">
        <v>-2.1037449841221099</v>
      </c>
      <c r="D756" s="35">
        <v>-0.82913701269133588</v>
      </c>
      <c r="F756" s="35"/>
    </row>
    <row r="757" spans="1:6">
      <c r="A757" t="s">
        <v>400</v>
      </c>
      <c r="B757" s="35">
        <v>-0.36768865949079377</v>
      </c>
      <c r="C757" s="35">
        <v>-1.2890795247765441</v>
      </c>
      <c r="D757" s="35">
        <v>-0.10954983766095538</v>
      </c>
      <c r="F757" s="35" t="e">
        <f ca="1">MCond(B756:D758)</f>
        <v>#VALUE!</v>
      </c>
    </row>
    <row r="758" spans="1:6">
      <c r="B758" s="35">
        <v>1.0097006711160386</v>
      </c>
      <c r="C758" s="35">
        <v>0.26302086313966178</v>
      </c>
      <c r="D758" s="35">
        <v>-0.76545275918666766</v>
      </c>
      <c r="F758" s="35"/>
    </row>
    <row r="759" spans="1:6">
      <c r="B759" s="35"/>
      <c r="C759" s="35"/>
      <c r="D759" s="35"/>
      <c r="F759" s="157"/>
    </row>
    <row r="760" spans="1:6">
      <c r="B760" s="35">
        <v>1.0351585166444348</v>
      </c>
      <c r="C760" s="35">
        <v>-2.1037449841221099</v>
      </c>
      <c r="D760" s="35">
        <v>-0.82913701269133588</v>
      </c>
      <c r="F760" s="35"/>
    </row>
    <row r="761" spans="1:6">
      <c r="A761" t="s">
        <v>401</v>
      </c>
      <c r="B761" s="35">
        <v>2.4772611105726599</v>
      </c>
      <c r="C761" s="35">
        <v>-1.0605572692523213</v>
      </c>
      <c r="D761" s="35">
        <v>-3.9812674620544719E-2</v>
      </c>
      <c r="F761" s="35" t="e">
        <f ca="1">MCond(B760:D762)</f>
        <v>#VALUE!</v>
      </c>
    </row>
    <row r="762" spans="1:6">
      <c r="B762" s="35">
        <v>1.6188303733889171</v>
      </c>
      <c r="C762" s="35">
        <v>-1.9594494251009342E-2</v>
      </c>
      <c r="D762" s="35">
        <v>-7.7422792294721043E-2</v>
      </c>
      <c r="F762" s="35"/>
    </row>
    <row r="763" spans="1:6">
      <c r="B763" s="35"/>
      <c r="C763" s="35"/>
      <c r="D763" s="35"/>
      <c r="F763" s="157"/>
    </row>
    <row r="764" spans="1:6">
      <c r="B764" s="35">
        <v>1.0351585166444348</v>
      </c>
      <c r="C764" s="35">
        <v>-2.1037449841221099</v>
      </c>
      <c r="D764" s="35">
        <v>-0.82913701269133588</v>
      </c>
      <c r="F764" s="35"/>
    </row>
    <row r="765" spans="1:6">
      <c r="A765" t="s">
        <v>402</v>
      </c>
      <c r="B765" s="35">
        <v>2.4772611105726599</v>
      </c>
      <c r="C765" s="35">
        <v>-1.0605572692523213</v>
      </c>
      <c r="D765" s="35">
        <v>-3.9812674620544719E-2</v>
      </c>
      <c r="F765" s="35" t="e">
        <f ca="1">MCond(B764:D766)</f>
        <v>#VALUE!</v>
      </c>
    </row>
    <row r="766" spans="1:6">
      <c r="B766" s="35">
        <v>1.0097006711160386</v>
      </c>
      <c r="C766" s="35">
        <v>0.26302086313966178</v>
      </c>
      <c r="D766" s="35">
        <v>-0.76545275918666766</v>
      </c>
      <c r="F766" s="35"/>
    </row>
    <row r="767" spans="1:6">
      <c r="B767" s="35"/>
      <c r="C767" s="35"/>
      <c r="D767" s="35"/>
      <c r="F767" s="157"/>
    </row>
    <row r="768" spans="1:6">
      <c r="B768" s="35">
        <v>1.0351585166444348</v>
      </c>
      <c r="C768" s="35">
        <v>-2.1037449841221099</v>
      </c>
      <c r="D768" s="35">
        <v>-0.82913701269133588</v>
      </c>
      <c r="F768" s="35"/>
    </row>
    <row r="769" spans="1:6">
      <c r="A769" t="s">
        <v>403</v>
      </c>
      <c r="B769" s="35">
        <v>1.6188303733889171</v>
      </c>
      <c r="C769" s="35">
        <v>-1.9594494251009342E-2</v>
      </c>
      <c r="D769" s="35">
        <v>-7.7422792294721043E-2</v>
      </c>
      <c r="F769" s="35" t="e">
        <f ca="1">MCond(B768:D770)</f>
        <v>#VALUE!</v>
      </c>
    </row>
    <row r="770" spans="1:6">
      <c r="B770" s="35">
        <v>1.0097006711160386</v>
      </c>
      <c r="C770" s="35">
        <v>0.26302086313966178</v>
      </c>
      <c r="D770" s="35">
        <v>-0.76545275918666766</v>
      </c>
      <c r="F770" s="35"/>
    </row>
    <row r="771" spans="1:6">
      <c r="B771" s="35"/>
      <c r="C771" s="35"/>
      <c r="D771" s="35"/>
      <c r="F771" s="157"/>
    </row>
    <row r="772" spans="1:6">
      <c r="B772" s="35">
        <v>-0.21871711292247331</v>
      </c>
      <c r="C772" s="35">
        <v>-2.1363371502498802</v>
      </c>
      <c r="D772" s="35">
        <v>-8.9790398854103559E-2</v>
      </c>
      <c r="F772" s="35"/>
    </row>
    <row r="773" spans="1:6">
      <c r="A773" t="s">
        <v>404</v>
      </c>
      <c r="B773" s="35">
        <v>2.0770709056556562</v>
      </c>
      <c r="C773" s="35">
        <v>-2.1445635165533226</v>
      </c>
      <c r="D773" s="35">
        <v>-5.6653180844775664E-2</v>
      </c>
      <c r="F773" s="35" t="e">
        <f ca="1">MCond(B772:D774)</f>
        <v>#VALUE!</v>
      </c>
    </row>
    <row r="774" spans="1:6">
      <c r="B774" s="35">
        <v>-0.36768865949079377</v>
      </c>
      <c r="C774" s="35">
        <v>-1.2890795247765441</v>
      </c>
      <c r="D774" s="35">
        <v>-0.10954983766095538</v>
      </c>
      <c r="F774" s="35"/>
    </row>
    <row r="775" spans="1:6">
      <c r="B775" s="35"/>
      <c r="C775" s="35"/>
      <c r="D775" s="35"/>
      <c r="F775" s="157"/>
    </row>
    <row r="776" spans="1:6">
      <c r="B776" s="35">
        <v>-0.21871711292247331</v>
      </c>
      <c r="C776" s="35">
        <v>-2.1363371502498802</v>
      </c>
      <c r="D776" s="35">
        <v>-8.9790398854103559E-2</v>
      </c>
      <c r="F776" s="35"/>
    </row>
    <row r="777" spans="1:6">
      <c r="A777" t="s">
        <v>405</v>
      </c>
      <c r="B777" s="35">
        <v>2.0770709056556562</v>
      </c>
      <c r="C777" s="35">
        <v>-2.1445635165533226</v>
      </c>
      <c r="D777" s="35">
        <v>-5.6653180844775664E-2</v>
      </c>
      <c r="F777" s="35" t="e">
        <f ca="1">MCond(B776:D778)</f>
        <v>#VALUE!</v>
      </c>
    </row>
    <row r="778" spans="1:6">
      <c r="B778" s="35">
        <v>2.4772611105726599</v>
      </c>
      <c r="C778" s="35">
        <v>-1.0605572692523213</v>
      </c>
      <c r="D778" s="35">
        <v>-3.9812674620544719E-2</v>
      </c>
      <c r="F778" s="35"/>
    </row>
    <row r="779" spans="1:6">
      <c r="B779" s="35"/>
      <c r="C779" s="35"/>
      <c r="D779" s="35"/>
      <c r="F779" s="157"/>
    </row>
    <row r="780" spans="1:6">
      <c r="B780" s="35">
        <v>-0.21871711292247331</v>
      </c>
      <c r="C780" s="35">
        <v>-2.1363371502498802</v>
      </c>
      <c r="D780" s="35">
        <v>-8.9790398854103559E-2</v>
      </c>
      <c r="F780" s="35"/>
    </row>
    <row r="781" spans="1:6">
      <c r="A781" t="s">
        <v>406</v>
      </c>
      <c r="B781" s="35">
        <v>2.0770709056556562</v>
      </c>
      <c r="C781" s="35">
        <v>-2.1445635165533226</v>
      </c>
      <c r="D781" s="35">
        <v>-5.6653180844775664E-2</v>
      </c>
      <c r="F781" s="35" t="e">
        <f ca="1">MCond(B780:D782)</f>
        <v>#VALUE!</v>
      </c>
    </row>
    <row r="782" spans="1:6">
      <c r="B782" s="35">
        <v>1.6188303733889171</v>
      </c>
      <c r="C782" s="35">
        <v>-1.9594494251009342E-2</v>
      </c>
      <c r="D782" s="35">
        <v>-7.7422792294721043E-2</v>
      </c>
      <c r="F782" s="35"/>
    </row>
    <row r="783" spans="1:6">
      <c r="B783" s="35"/>
      <c r="C783" s="35"/>
      <c r="D783" s="35"/>
      <c r="F783" s="157"/>
    </row>
    <row r="784" spans="1:6">
      <c r="B784" s="35">
        <v>-0.21871711292247331</v>
      </c>
      <c r="C784" s="35">
        <v>-2.1363371502498802</v>
      </c>
      <c r="D784" s="35">
        <v>-8.9790398854103559E-2</v>
      </c>
      <c r="F784" s="35"/>
    </row>
    <row r="785" spans="1:6">
      <c r="A785" t="s">
        <v>407</v>
      </c>
      <c r="B785" s="35">
        <v>2.0770709056556562</v>
      </c>
      <c r="C785" s="35">
        <v>-2.1445635165533226</v>
      </c>
      <c r="D785" s="35">
        <v>-5.6653180844775664E-2</v>
      </c>
      <c r="F785" s="35" t="e">
        <f ca="1">MCond(B784:D786)</f>
        <v>#VALUE!</v>
      </c>
    </row>
    <row r="786" spans="1:6">
      <c r="B786" s="35">
        <v>1.0097006711160386</v>
      </c>
      <c r="C786" s="35">
        <v>0.26302086313966178</v>
      </c>
      <c r="D786" s="35">
        <v>-0.76545275918666766</v>
      </c>
      <c r="F786" s="35"/>
    </row>
    <row r="787" spans="1:6">
      <c r="B787" s="35"/>
      <c r="C787" s="35"/>
      <c r="D787" s="35"/>
      <c r="F787" s="157"/>
    </row>
    <row r="788" spans="1:6">
      <c r="B788" s="35">
        <v>-0.21871711292247331</v>
      </c>
      <c r="C788" s="35">
        <v>-2.1363371502498802</v>
      </c>
      <c r="D788" s="35">
        <v>-8.9790398854103559E-2</v>
      </c>
      <c r="F788" s="35"/>
    </row>
    <row r="789" spans="1:6">
      <c r="A789" t="s">
        <v>408</v>
      </c>
      <c r="B789" s="35">
        <v>-0.36768865949079377</v>
      </c>
      <c r="C789" s="35">
        <v>-1.2890795247765441</v>
      </c>
      <c r="D789" s="35">
        <v>-0.10954983766095538</v>
      </c>
      <c r="F789" s="35" t="e">
        <f ca="1">MCond(B788:D790)</f>
        <v>#VALUE!</v>
      </c>
    </row>
    <row r="790" spans="1:6">
      <c r="B790" s="35">
        <v>2.4772611105726599</v>
      </c>
      <c r="C790" s="35">
        <v>-1.0605572692523213</v>
      </c>
      <c r="D790" s="35">
        <v>-3.9812674620544719E-2</v>
      </c>
      <c r="F790" s="35"/>
    </row>
    <row r="791" spans="1:6">
      <c r="B791" s="35"/>
      <c r="C791" s="35"/>
      <c r="D791" s="35"/>
      <c r="F791" s="157"/>
    </row>
    <row r="792" spans="1:6">
      <c r="B792" s="35">
        <v>-0.21871711292247331</v>
      </c>
      <c r="C792" s="35">
        <v>-2.1363371502498802</v>
      </c>
      <c r="D792" s="35">
        <v>-8.9790398854103559E-2</v>
      </c>
      <c r="F792" s="35"/>
    </row>
    <row r="793" spans="1:6">
      <c r="A793" t="s">
        <v>409</v>
      </c>
      <c r="B793" s="35">
        <v>-0.36768865949079377</v>
      </c>
      <c r="C793" s="35">
        <v>-1.2890795247765441</v>
      </c>
      <c r="D793" s="35">
        <v>-0.10954983766095538</v>
      </c>
      <c r="F793" s="35" t="e">
        <f ca="1">MCond(B792:D794)</f>
        <v>#VALUE!</v>
      </c>
    </row>
    <row r="794" spans="1:6">
      <c r="B794" s="35">
        <v>1.6188303733889171</v>
      </c>
      <c r="C794" s="35">
        <v>-1.9594494251009342E-2</v>
      </c>
      <c r="D794" s="35">
        <v>-7.7422792294721043E-2</v>
      </c>
      <c r="F794" s="35"/>
    </row>
    <row r="795" spans="1:6">
      <c r="B795" s="35"/>
      <c r="C795" s="35"/>
      <c r="D795" s="35"/>
      <c r="F795" s="157"/>
    </row>
    <row r="796" spans="1:6">
      <c r="B796" s="35">
        <v>-0.21871711292247331</v>
      </c>
      <c r="C796" s="35">
        <v>-2.1363371502498802</v>
      </c>
      <c r="D796" s="35">
        <v>-8.9790398854103559E-2</v>
      </c>
      <c r="F796" s="35"/>
    </row>
    <row r="797" spans="1:6">
      <c r="A797" t="s">
        <v>410</v>
      </c>
      <c r="B797" s="35">
        <v>-0.36768865949079377</v>
      </c>
      <c r="C797" s="35">
        <v>-1.2890795247765441</v>
      </c>
      <c r="D797" s="35">
        <v>-0.10954983766095538</v>
      </c>
      <c r="F797" s="35" t="e">
        <f ca="1">MCond(B796:D798)</f>
        <v>#VALUE!</v>
      </c>
    </row>
    <row r="798" spans="1:6">
      <c r="B798" s="35">
        <v>1.0097006711160386</v>
      </c>
      <c r="C798" s="35">
        <v>0.26302086313966178</v>
      </c>
      <c r="D798" s="35">
        <v>-0.76545275918666766</v>
      </c>
      <c r="F798" s="35"/>
    </row>
    <row r="799" spans="1:6">
      <c r="B799" s="35"/>
      <c r="C799" s="35"/>
      <c r="D799" s="35"/>
      <c r="F799" s="157"/>
    </row>
    <row r="800" spans="1:6">
      <c r="B800" s="35">
        <v>-0.21871711292247331</v>
      </c>
      <c r="C800" s="35">
        <v>-2.1363371502498802</v>
      </c>
      <c r="D800" s="35">
        <v>-8.9790398854103559E-2</v>
      </c>
      <c r="F800" s="35"/>
    </row>
    <row r="801" spans="1:6">
      <c r="A801" t="s">
        <v>411</v>
      </c>
      <c r="B801" s="35">
        <v>2.4772611105726599</v>
      </c>
      <c r="C801" s="35">
        <v>-1.0605572692523213</v>
      </c>
      <c r="D801" s="35">
        <v>-3.9812674620544719E-2</v>
      </c>
      <c r="F801" s="35" t="e">
        <f ca="1">MCond(B800:D802)</f>
        <v>#VALUE!</v>
      </c>
    </row>
    <row r="802" spans="1:6">
      <c r="B802" s="35">
        <v>1.6188303733889171</v>
      </c>
      <c r="C802" s="35">
        <v>-1.9594494251009342E-2</v>
      </c>
      <c r="D802" s="35">
        <v>-7.7422792294721043E-2</v>
      </c>
      <c r="F802" s="35"/>
    </row>
    <row r="803" spans="1:6">
      <c r="B803" s="35"/>
      <c r="C803" s="35"/>
      <c r="D803" s="35"/>
      <c r="F803" s="157"/>
    </row>
    <row r="804" spans="1:6">
      <c r="B804" s="35">
        <v>-0.21871711292247331</v>
      </c>
      <c r="C804" s="35">
        <v>-2.1363371502498802</v>
      </c>
      <c r="D804" s="35">
        <v>-8.9790398854103559E-2</v>
      </c>
      <c r="F804" s="35"/>
    </row>
    <row r="805" spans="1:6">
      <c r="A805" t="s">
        <v>412</v>
      </c>
      <c r="B805" s="35">
        <v>2.4772611105726599</v>
      </c>
      <c r="C805" s="35">
        <v>-1.0605572692523213</v>
      </c>
      <c r="D805" s="35">
        <v>-3.9812674620544719E-2</v>
      </c>
      <c r="F805" s="35" t="e">
        <f ca="1">MCond(B804:D806)</f>
        <v>#VALUE!</v>
      </c>
    </row>
    <row r="806" spans="1:6">
      <c r="B806" s="35">
        <v>1.0097006711160386</v>
      </c>
      <c r="C806" s="35">
        <v>0.26302086313966178</v>
      </c>
      <c r="D806" s="35">
        <v>-0.76545275918666766</v>
      </c>
      <c r="F806" s="35"/>
    </row>
    <row r="807" spans="1:6">
      <c r="B807" s="35"/>
      <c r="C807" s="35"/>
      <c r="D807" s="35"/>
      <c r="F807" s="157"/>
    </row>
    <row r="808" spans="1:6">
      <c r="B808" s="35">
        <v>-0.21871711292247331</v>
      </c>
      <c r="C808" s="35">
        <v>-2.1363371502498802</v>
      </c>
      <c r="D808" s="35">
        <v>-8.9790398854103559E-2</v>
      </c>
      <c r="F808" s="35"/>
    </row>
    <row r="809" spans="1:6">
      <c r="A809" t="s">
        <v>413</v>
      </c>
      <c r="B809" s="35">
        <v>1.6188303733889171</v>
      </c>
      <c r="C809" s="35">
        <v>-1.9594494251009342E-2</v>
      </c>
      <c r="D809" s="35">
        <v>-7.7422792294721043E-2</v>
      </c>
      <c r="F809" s="35" t="e">
        <f ca="1">MCond(B808:D810)</f>
        <v>#VALUE!</v>
      </c>
    </row>
    <row r="810" spans="1:6">
      <c r="B810" s="35">
        <v>1.0097006711160386</v>
      </c>
      <c r="C810" s="35">
        <v>0.26302086313966178</v>
      </c>
      <c r="D810" s="35">
        <v>-0.76545275918666766</v>
      </c>
      <c r="F810" s="35"/>
    </row>
    <row r="811" spans="1:6">
      <c r="B811" s="35"/>
      <c r="C811" s="35"/>
      <c r="D811" s="35"/>
      <c r="F811" s="157"/>
    </row>
    <row r="812" spans="1:6">
      <c r="B812" s="35">
        <v>2.0770709056556562</v>
      </c>
      <c r="C812" s="35">
        <v>-2.1445635165533226</v>
      </c>
      <c r="D812" s="35">
        <v>-5.6653180844775664E-2</v>
      </c>
      <c r="F812" s="35"/>
    </row>
    <row r="813" spans="1:6">
      <c r="A813" t="s">
        <v>414</v>
      </c>
      <c r="B813" s="35">
        <v>-0.36768865949079377</v>
      </c>
      <c r="C813" s="35">
        <v>-1.2890795247765441</v>
      </c>
      <c r="D813" s="35">
        <v>-0.10954983766095538</v>
      </c>
      <c r="F813" s="35" t="e">
        <f ca="1">MCond(B812:D814)</f>
        <v>#VALUE!</v>
      </c>
    </row>
    <row r="814" spans="1:6">
      <c r="B814" s="35">
        <v>2.4772611105726599</v>
      </c>
      <c r="C814" s="35">
        <v>-1.0605572692523213</v>
      </c>
      <c r="D814" s="35">
        <v>-3.9812674620544719E-2</v>
      </c>
      <c r="F814" s="35"/>
    </row>
    <row r="815" spans="1:6">
      <c r="B815" s="35"/>
      <c r="C815" s="35"/>
      <c r="D815" s="35"/>
      <c r="F815" s="157"/>
    </row>
    <row r="816" spans="1:6">
      <c r="B816" s="35">
        <v>2.0770709056556562</v>
      </c>
      <c r="C816" s="35">
        <v>-2.1445635165533226</v>
      </c>
      <c r="D816" s="35">
        <v>-5.6653180844775664E-2</v>
      </c>
      <c r="F816" s="35"/>
    </row>
    <row r="817" spans="1:6">
      <c r="A817" t="s">
        <v>415</v>
      </c>
      <c r="B817" s="35">
        <v>-0.36768865949079377</v>
      </c>
      <c r="C817" s="35">
        <v>-1.2890795247765441</v>
      </c>
      <c r="D817" s="35">
        <v>-0.10954983766095538</v>
      </c>
      <c r="F817" s="35" t="e">
        <f ca="1">MCond(B816:D818)</f>
        <v>#VALUE!</v>
      </c>
    </row>
    <row r="818" spans="1:6">
      <c r="B818" s="35">
        <v>1.6188303733889171</v>
      </c>
      <c r="C818" s="35">
        <v>-1.9594494251009342E-2</v>
      </c>
      <c r="D818" s="35">
        <v>-7.7422792294721043E-2</v>
      </c>
      <c r="F818" s="35"/>
    </row>
    <row r="819" spans="1:6">
      <c r="B819" s="35"/>
      <c r="C819" s="35"/>
      <c r="D819" s="35"/>
      <c r="F819" s="157"/>
    </row>
    <row r="820" spans="1:6">
      <c r="B820" s="35">
        <v>2.0770709056556562</v>
      </c>
      <c r="C820" s="35">
        <v>-2.1445635165533226</v>
      </c>
      <c r="D820" s="35">
        <v>-5.6653180844775664E-2</v>
      </c>
      <c r="F820" s="35"/>
    </row>
    <row r="821" spans="1:6">
      <c r="A821" t="s">
        <v>416</v>
      </c>
      <c r="B821" s="35">
        <v>-0.36768865949079377</v>
      </c>
      <c r="C821" s="35">
        <v>-1.2890795247765441</v>
      </c>
      <c r="D821" s="35">
        <v>-0.10954983766095538</v>
      </c>
      <c r="F821" s="35" t="e">
        <f ca="1">MCond(B820:D822)</f>
        <v>#VALUE!</v>
      </c>
    </row>
    <row r="822" spans="1:6">
      <c r="B822" s="35">
        <v>1.0097006711160386</v>
      </c>
      <c r="C822" s="35">
        <v>0.26302086313966178</v>
      </c>
      <c r="D822" s="35">
        <v>-0.76545275918666766</v>
      </c>
      <c r="F822" s="35"/>
    </row>
    <row r="823" spans="1:6">
      <c r="B823" s="35"/>
      <c r="C823" s="35"/>
      <c r="D823" s="35"/>
      <c r="F823" s="157"/>
    </row>
    <row r="824" spans="1:6">
      <c r="B824" s="35">
        <v>2.0770709056556562</v>
      </c>
      <c r="C824" s="35">
        <v>-2.1445635165533226</v>
      </c>
      <c r="D824" s="35">
        <v>-5.6653180844775664E-2</v>
      </c>
      <c r="F824" s="35"/>
    </row>
    <row r="825" spans="1:6">
      <c r="A825" t="s">
        <v>417</v>
      </c>
      <c r="B825" s="35">
        <v>2.4772611105726599</v>
      </c>
      <c r="C825" s="35">
        <v>-1.0605572692523213</v>
      </c>
      <c r="D825" s="35">
        <v>-3.9812674620544719E-2</v>
      </c>
      <c r="F825" s="35" t="e">
        <f ca="1">MCond(B824:D826)</f>
        <v>#VALUE!</v>
      </c>
    </row>
    <row r="826" spans="1:6">
      <c r="B826" s="35">
        <v>1.6188303733889171</v>
      </c>
      <c r="C826" s="35">
        <v>-1.9594494251009342E-2</v>
      </c>
      <c r="D826" s="35">
        <v>-7.7422792294721043E-2</v>
      </c>
      <c r="F826" s="35"/>
    </row>
    <row r="827" spans="1:6">
      <c r="B827" s="35"/>
      <c r="C827" s="35"/>
      <c r="D827" s="35"/>
      <c r="F827" s="157"/>
    </row>
    <row r="828" spans="1:6">
      <c r="B828" s="35">
        <v>2.0770709056556562</v>
      </c>
      <c r="C828" s="35">
        <v>-2.1445635165533226</v>
      </c>
      <c r="D828" s="35">
        <v>-5.6653180844775664E-2</v>
      </c>
      <c r="F828" s="35"/>
    </row>
    <row r="829" spans="1:6">
      <c r="A829" t="s">
        <v>418</v>
      </c>
      <c r="B829" s="35">
        <v>2.4772611105726599</v>
      </c>
      <c r="C829" s="35">
        <v>-1.0605572692523213</v>
      </c>
      <c r="D829" s="35">
        <v>-3.9812674620544719E-2</v>
      </c>
      <c r="F829" s="35" t="e">
        <f ca="1">MCond(B828:D830)</f>
        <v>#VALUE!</v>
      </c>
    </row>
    <row r="830" spans="1:6">
      <c r="B830" s="35">
        <v>1.0097006711160386</v>
      </c>
      <c r="C830" s="35">
        <v>0.26302086313966178</v>
      </c>
      <c r="D830" s="35">
        <v>-0.76545275918666766</v>
      </c>
      <c r="F830" s="35"/>
    </row>
    <row r="831" spans="1:6">
      <c r="B831" s="35"/>
      <c r="C831" s="35"/>
      <c r="D831" s="35"/>
      <c r="F831" s="157"/>
    </row>
    <row r="832" spans="1:6">
      <c r="B832" s="35">
        <v>2.0770709056556562</v>
      </c>
      <c r="C832" s="35">
        <v>-2.1445635165533226</v>
      </c>
      <c r="D832" s="35">
        <v>-5.6653180844775664E-2</v>
      </c>
      <c r="F832" s="35"/>
    </row>
    <row r="833" spans="1:6">
      <c r="A833" t="s">
        <v>419</v>
      </c>
      <c r="B833" s="35">
        <v>1.6188303733889171</v>
      </c>
      <c r="C833" s="35">
        <v>-1.9594494251009342E-2</v>
      </c>
      <c r="D833" s="35">
        <v>-7.7422792294721043E-2</v>
      </c>
      <c r="F833" s="35" t="e">
        <f ca="1">MCond(B832:D834)</f>
        <v>#VALUE!</v>
      </c>
    </row>
    <row r="834" spans="1:6">
      <c r="B834" s="35">
        <v>1.0097006711160386</v>
      </c>
      <c r="C834" s="35">
        <v>0.26302086313966178</v>
      </c>
      <c r="D834" s="35">
        <v>-0.76545275918666766</v>
      </c>
      <c r="F834" s="35"/>
    </row>
    <row r="835" spans="1:6">
      <c r="B835" s="35"/>
      <c r="C835" s="35"/>
      <c r="D835" s="35"/>
      <c r="F835" s="157"/>
    </row>
    <row r="836" spans="1:6">
      <c r="B836" s="35">
        <v>-0.36768865949079377</v>
      </c>
      <c r="C836" s="35">
        <v>-1.2890795247765441</v>
      </c>
      <c r="D836" s="35">
        <v>-0.10954983766095538</v>
      </c>
      <c r="F836" s="35"/>
    </row>
    <row r="837" spans="1:6">
      <c r="A837" t="s">
        <v>420</v>
      </c>
      <c r="B837" s="35">
        <v>2.4772611105726599</v>
      </c>
      <c r="C837" s="35">
        <v>-1.0605572692523213</v>
      </c>
      <c r="D837" s="35">
        <v>-3.9812674620544719E-2</v>
      </c>
      <c r="F837" s="35" t="e">
        <f ca="1">MCond(B836:D838)</f>
        <v>#VALUE!</v>
      </c>
    </row>
    <row r="838" spans="1:6">
      <c r="B838" s="35">
        <v>1.6188303733889171</v>
      </c>
      <c r="C838" s="35">
        <v>-1.9594494251009342E-2</v>
      </c>
      <c r="D838" s="35">
        <v>-7.7422792294721043E-2</v>
      </c>
      <c r="F838" s="35"/>
    </row>
    <row r="839" spans="1:6">
      <c r="B839" s="35"/>
      <c r="C839" s="35"/>
      <c r="D839" s="35"/>
      <c r="F839" s="157"/>
    </row>
    <row r="840" spans="1:6">
      <c r="B840" s="35">
        <v>-0.36768865949079377</v>
      </c>
      <c r="C840" s="35">
        <v>-1.2890795247765441</v>
      </c>
      <c r="D840" s="35">
        <v>-0.10954983766095538</v>
      </c>
      <c r="F840" s="35"/>
    </row>
    <row r="841" spans="1:6">
      <c r="A841" t="s">
        <v>421</v>
      </c>
      <c r="B841" s="35">
        <v>2.4772611105726599</v>
      </c>
      <c r="C841" s="35">
        <v>-1.0605572692523213</v>
      </c>
      <c r="D841" s="35">
        <v>-3.9812674620544719E-2</v>
      </c>
      <c r="F841" s="35" t="e">
        <f ca="1">MCond(B840:D842)</f>
        <v>#VALUE!</v>
      </c>
    </row>
    <row r="842" spans="1:6">
      <c r="B842" s="35">
        <v>1.0097006711160386</v>
      </c>
      <c r="C842" s="35">
        <v>0.26302086313966178</v>
      </c>
      <c r="D842" s="35">
        <v>-0.76545275918666766</v>
      </c>
      <c r="F842" s="35"/>
    </row>
    <row r="843" spans="1:6">
      <c r="B843" s="35"/>
      <c r="C843" s="35"/>
      <c r="D843" s="35"/>
      <c r="F843" s="157"/>
    </row>
    <row r="844" spans="1:6">
      <c r="B844" s="35">
        <v>-0.36768865949079377</v>
      </c>
      <c r="C844" s="35">
        <v>-1.2890795247765441</v>
      </c>
      <c r="D844" s="35">
        <v>-0.10954983766095538</v>
      </c>
      <c r="F844" s="35"/>
    </row>
    <row r="845" spans="1:6">
      <c r="A845" t="s">
        <v>422</v>
      </c>
      <c r="B845" s="35">
        <v>1.6188303733889171</v>
      </c>
      <c r="C845" s="35">
        <v>-1.9594494251009342E-2</v>
      </c>
      <c r="D845" s="35">
        <v>-7.7422792294721043E-2</v>
      </c>
      <c r="F845" s="35" t="e">
        <f ca="1">MCond(B844:D846)</f>
        <v>#VALUE!</v>
      </c>
    </row>
    <row r="846" spans="1:6">
      <c r="B846" s="35">
        <v>1.0097006711160386</v>
      </c>
      <c r="C846" s="35">
        <v>0.26302086313966178</v>
      </c>
      <c r="D846" s="35">
        <v>-0.76545275918666766</v>
      </c>
      <c r="F846" s="35"/>
    </row>
    <row r="847" spans="1:6">
      <c r="B847" s="35"/>
      <c r="C847" s="35"/>
      <c r="D847" s="35"/>
      <c r="F847" s="157"/>
    </row>
    <row r="848" spans="1:6">
      <c r="B848" s="35">
        <v>2.4772611105726599</v>
      </c>
      <c r="C848" s="35">
        <v>-1.0605572692523213</v>
      </c>
      <c r="D848" s="35">
        <v>-3.9812674620544719E-2</v>
      </c>
      <c r="F848" s="35"/>
    </row>
    <row r="849" spans="1:6">
      <c r="A849" t="s">
        <v>423</v>
      </c>
      <c r="B849" s="35">
        <v>1.6188303733889171</v>
      </c>
      <c r="C849" s="35">
        <v>-1.9594494251009342E-2</v>
      </c>
      <c r="D849" s="35">
        <v>-7.7422792294721043E-2</v>
      </c>
      <c r="F849" s="35" t="e">
        <f ca="1">MCond(B848:D850)</f>
        <v>#VALUE!</v>
      </c>
    </row>
    <row r="850" spans="1:6">
      <c r="B850" s="35">
        <v>1.0097006711160386</v>
      </c>
      <c r="C850" s="35">
        <v>0.26302086313966178</v>
      </c>
      <c r="D850" s="35">
        <v>-0.76545275918666766</v>
      </c>
      <c r="F850" s="35"/>
    </row>
    <row r="851" spans="1:6">
      <c r="B851" s="35"/>
      <c r="C851" s="35"/>
      <c r="D851" s="35"/>
      <c r="F851" s="157"/>
    </row>
    <row r="852" spans="1:6">
      <c r="B852" s="35">
        <v>-0.58367185674448252</v>
      </c>
      <c r="C852" s="35">
        <v>-2.0841504898711007</v>
      </c>
      <c r="D852" s="35">
        <v>-0.75171422039661484</v>
      </c>
      <c r="F852" s="35"/>
    </row>
    <row r="853" spans="1:6">
      <c r="A853" t="s">
        <v>424</v>
      </c>
      <c r="B853" s="35">
        <v>-1.8375474863113905</v>
      </c>
      <c r="C853" s="35">
        <v>-2.1167426559988707</v>
      </c>
      <c r="D853" s="35">
        <v>-1.2367606559382516E-2</v>
      </c>
      <c r="F853" s="35" t="e">
        <f ca="1">MCond(B852:D854)</f>
        <v>#VALUE!</v>
      </c>
    </row>
    <row r="854" spans="1:6">
      <c r="B854" s="35">
        <v>0.45824053226673911</v>
      </c>
      <c r="C854" s="35">
        <v>-2.124969022302313</v>
      </c>
      <c r="D854" s="35">
        <v>2.076961144994538E-2</v>
      </c>
      <c r="F854" s="35"/>
    </row>
    <row r="855" spans="1:6">
      <c r="B855" s="35"/>
      <c r="C855" s="35"/>
      <c r="D855" s="35"/>
      <c r="F855" s="157"/>
    </row>
    <row r="856" spans="1:6">
      <c r="B856" s="35">
        <v>-0.58367185674448252</v>
      </c>
      <c r="C856" s="35">
        <v>-2.0841504898711007</v>
      </c>
      <c r="D856" s="35">
        <v>-0.75171422039661484</v>
      </c>
      <c r="F856" s="35"/>
    </row>
    <row r="857" spans="1:6">
      <c r="A857" t="s">
        <v>425</v>
      </c>
      <c r="B857" s="35">
        <v>-1.8375474863113905</v>
      </c>
      <c r="C857" s="35">
        <v>-2.1167426559988707</v>
      </c>
      <c r="D857" s="35">
        <v>-1.2367606559382516E-2</v>
      </c>
      <c r="F857" s="35" t="e">
        <f ca="1">MCond(B856:D858)</f>
        <v>#VALUE!</v>
      </c>
    </row>
    <row r="858" spans="1:6">
      <c r="B858" s="35">
        <v>-1.9865190328797109</v>
      </c>
      <c r="C858" s="35">
        <v>-1.2694850305255347</v>
      </c>
      <c r="D858" s="35">
        <v>-3.2127045366234341E-2</v>
      </c>
      <c r="F858" s="35"/>
    </row>
    <row r="859" spans="1:6">
      <c r="B859" s="35"/>
      <c r="C859" s="35"/>
      <c r="D859" s="35"/>
      <c r="F859" s="157"/>
    </row>
    <row r="860" spans="1:6">
      <c r="B860" s="35">
        <v>-0.58367185674448252</v>
      </c>
      <c r="C860" s="35">
        <v>-2.0841504898711007</v>
      </c>
      <c r="D860" s="35">
        <v>-0.75171422039661484</v>
      </c>
      <c r="F860" s="35"/>
    </row>
    <row r="861" spans="1:6">
      <c r="A861" t="s">
        <v>426</v>
      </c>
      <c r="B861" s="35">
        <v>-1.8375474863113905</v>
      </c>
      <c r="C861" s="35">
        <v>-2.1167426559988707</v>
      </c>
      <c r="D861" s="35">
        <v>-1.2367606559382516E-2</v>
      </c>
      <c r="F861" s="35" t="e">
        <f ca="1">MCond(B860:D862)</f>
        <v>#VALUE!</v>
      </c>
    </row>
    <row r="862" spans="1:6">
      <c r="B862" s="35">
        <v>0.85843073718374274</v>
      </c>
      <c r="C862" s="35">
        <v>-1.040962775001312</v>
      </c>
      <c r="D862" s="35">
        <v>3.7610117674176324E-2</v>
      </c>
      <c r="F862" s="35"/>
    </row>
    <row r="863" spans="1:6">
      <c r="B863" s="35"/>
      <c r="C863" s="35"/>
      <c r="D863" s="35"/>
      <c r="F863" s="157"/>
    </row>
    <row r="864" spans="1:6">
      <c r="B864" s="35">
        <v>-0.58367185674448252</v>
      </c>
      <c r="C864" s="35">
        <v>-2.0841504898711007</v>
      </c>
      <c r="D864" s="35">
        <v>-0.75171422039661484</v>
      </c>
      <c r="F864" s="35"/>
    </row>
    <row r="865" spans="1:6">
      <c r="A865" t="s">
        <v>427</v>
      </c>
      <c r="B865" s="35">
        <v>-1.8375474863113905</v>
      </c>
      <c r="C865" s="35">
        <v>-2.1167426559988707</v>
      </c>
      <c r="D865" s="35">
        <v>-1.2367606559382516E-2</v>
      </c>
      <c r="F865" s="35" t="e">
        <f ca="1">MCond(B864:D866)</f>
        <v>#VALUE!</v>
      </c>
    </row>
    <row r="866" spans="1:6">
      <c r="B866" s="35">
        <v>-1.6188303733889171</v>
      </c>
      <c r="C866" s="35">
        <v>1.9594494251009342E-2</v>
      </c>
      <c r="D866" s="35">
        <v>7.7422792294721043E-2</v>
      </c>
      <c r="F866" s="35"/>
    </row>
    <row r="867" spans="1:6">
      <c r="B867" s="35"/>
      <c r="C867" s="35"/>
      <c r="D867" s="35"/>
      <c r="F867" s="157"/>
    </row>
    <row r="868" spans="1:6">
      <c r="B868" s="35">
        <v>-0.58367185674448252</v>
      </c>
      <c r="C868" s="35">
        <v>-2.0841504898711007</v>
      </c>
      <c r="D868" s="35">
        <v>-0.75171422039661484</v>
      </c>
      <c r="F868" s="35"/>
    </row>
    <row r="869" spans="1:6">
      <c r="A869" t="s">
        <v>428</v>
      </c>
      <c r="B869" s="35">
        <v>-1.8375474863113905</v>
      </c>
      <c r="C869" s="35">
        <v>-2.1167426559988707</v>
      </c>
      <c r="D869" s="35">
        <v>-1.2367606559382516E-2</v>
      </c>
      <c r="F869" s="35" t="e">
        <f ca="1">MCond(B868:D870)</f>
        <v>#VALUE!</v>
      </c>
    </row>
    <row r="870" spans="1:6">
      <c r="B870" s="35">
        <v>-0.60912970227287866</v>
      </c>
      <c r="C870" s="35">
        <v>0.28261535739067112</v>
      </c>
      <c r="D870" s="35">
        <v>-0.68802996689194662</v>
      </c>
      <c r="F870" s="35"/>
    </row>
    <row r="871" spans="1:6">
      <c r="B871" s="35"/>
      <c r="C871" s="35"/>
      <c r="D871" s="35"/>
      <c r="F871" s="157"/>
    </row>
    <row r="872" spans="1:6">
      <c r="B872" s="35">
        <v>-0.58367185674448252</v>
      </c>
      <c r="C872" s="35">
        <v>-2.0841504898711007</v>
      </c>
      <c r="D872" s="35">
        <v>-0.75171422039661484</v>
      </c>
      <c r="F872" s="35"/>
    </row>
    <row r="873" spans="1:6">
      <c r="A873" t="s">
        <v>429</v>
      </c>
      <c r="B873" s="35">
        <v>0.45824053226673911</v>
      </c>
      <c r="C873" s="35">
        <v>-2.124969022302313</v>
      </c>
      <c r="D873" s="35">
        <v>2.076961144994538E-2</v>
      </c>
      <c r="F873" s="35" t="e">
        <f ca="1">MCond(B872:D874)</f>
        <v>#VALUE!</v>
      </c>
    </row>
    <row r="874" spans="1:6">
      <c r="B874" s="35">
        <v>-1.9865190328797109</v>
      </c>
      <c r="C874" s="35">
        <v>-1.2694850305255347</v>
      </c>
      <c r="D874" s="35">
        <v>-3.2127045366234341E-2</v>
      </c>
      <c r="F874" s="35"/>
    </row>
    <row r="875" spans="1:6">
      <c r="B875" s="35"/>
      <c r="C875" s="35"/>
      <c r="D875" s="35"/>
      <c r="F875" s="157"/>
    </row>
    <row r="876" spans="1:6">
      <c r="B876" s="35">
        <v>-0.58367185674448252</v>
      </c>
      <c r="C876" s="35">
        <v>-2.0841504898711007</v>
      </c>
      <c r="D876" s="35">
        <v>-0.75171422039661484</v>
      </c>
      <c r="F876" s="35"/>
    </row>
    <row r="877" spans="1:6">
      <c r="A877" t="s">
        <v>430</v>
      </c>
      <c r="B877" s="35">
        <v>0.45824053226673911</v>
      </c>
      <c r="C877" s="35">
        <v>-2.124969022302313</v>
      </c>
      <c r="D877" s="35">
        <v>2.076961144994538E-2</v>
      </c>
      <c r="F877" s="35" t="e">
        <f ca="1">MCond(B876:D878)</f>
        <v>#VALUE!</v>
      </c>
    </row>
    <row r="878" spans="1:6">
      <c r="B878" s="35">
        <v>0.85843073718374274</v>
      </c>
      <c r="C878" s="35">
        <v>-1.040962775001312</v>
      </c>
      <c r="D878" s="35">
        <v>3.7610117674176324E-2</v>
      </c>
      <c r="F878" s="35"/>
    </row>
    <row r="879" spans="1:6">
      <c r="B879" s="35"/>
      <c r="C879" s="35"/>
      <c r="D879" s="35"/>
      <c r="F879" s="157"/>
    </row>
    <row r="880" spans="1:6">
      <c r="B880" s="35">
        <v>-0.58367185674448252</v>
      </c>
      <c r="C880" s="35">
        <v>-2.0841504898711007</v>
      </c>
      <c r="D880" s="35">
        <v>-0.75171422039661484</v>
      </c>
      <c r="F880" s="35"/>
    </row>
    <row r="881" spans="1:6">
      <c r="A881" t="s">
        <v>431</v>
      </c>
      <c r="B881" s="35">
        <v>0.45824053226673911</v>
      </c>
      <c r="C881" s="35">
        <v>-2.124969022302313</v>
      </c>
      <c r="D881" s="35">
        <v>2.076961144994538E-2</v>
      </c>
      <c r="F881" s="35" t="e">
        <f ca="1">MCond(B880:D882)</f>
        <v>#VALUE!</v>
      </c>
    </row>
    <row r="882" spans="1:6">
      <c r="B882" s="35">
        <v>-1.6188303733889171</v>
      </c>
      <c r="C882" s="35">
        <v>1.9594494251009342E-2</v>
      </c>
      <c r="D882" s="35">
        <v>7.7422792294721043E-2</v>
      </c>
      <c r="F882" s="35"/>
    </row>
    <row r="883" spans="1:6">
      <c r="B883" s="35"/>
      <c r="C883" s="35"/>
      <c r="D883" s="35"/>
      <c r="F883" s="157"/>
    </row>
    <row r="884" spans="1:6">
      <c r="B884" s="35">
        <v>-0.58367185674448252</v>
      </c>
      <c r="C884" s="35">
        <v>-2.0841504898711007</v>
      </c>
      <c r="D884" s="35">
        <v>-0.75171422039661484</v>
      </c>
      <c r="F884" s="35"/>
    </row>
    <row r="885" spans="1:6">
      <c r="A885" t="s">
        <v>432</v>
      </c>
      <c r="B885" s="35">
        <v>0.45824053226673911</v>
      </c>
      <c r="C885" s="35">
        <v>-2.124969022302313</v>
      </c>
      <c r="D885" s="35">
        <v>2.076961144994538E-2</v>
      </c>
      <c r="F885" s="35" t="e">
        <f ca="1">MCond(B884:D886)</f>
        <v>#VALUE!</v>
      </c>
    </row>
    <row r="886" spans="1:6">
      <c r="B886" s="35">
        <v>-0.60912970227287866</v>
      </c>
      <c r="C886" s="35">
        <v>0.28261535739067112</v>
      </c>
      <c r="D886" s="35">
        <v>-0.68802996689194662</v>
      </c>
      <c r="F886" s="35"/>
    </row>
    <row r="887" spans="1:6">
      <c r="B887" s="35"/>
      <c r="C887" s="35"/>
      <c r="D887" s="35"/>
      <c r="F887" s="157"/>
    </row>
    <row r="888" spans="1:6">
      <c r="B888" s="35">
        <v>-0.58367185674448252</v>
      </c>
      <c r="C888" s="35">
        <v>-2.0841504898711007</v>
      </c>
      <c r="D888" s="35">
        <v>-0.75171422039661484</v>
      </c>
      <c r="F888" s="35"/>
    </row>
    <row r="889" spans="1:6">
      <c r="A889" t="s">
        <v>433</v>
      </c>
      <c r="B889" s="35">
        <v>-1.9865190328797109</v>
      </c>
      <c r="C889" s="35">
        <v>-1.2694850305255347</v>
      </c>
      <c r="D889" s="35">
        <v>-3.2127045366234341E-2</v>
      </c>
      <c r="F889" s="35" t="e">
        <f ca="1">MCond(B888:D890)</f>
        <v>#VALUE!</v>
      </c>
    </row>
    <row r="890" spans="1:6">
      <c r="B890" s="35">
        <v>0.85843073718374274</v>
      </c>
      <c r="C890" s="35">
        <v>-1.040962775001312</v>
      </c>
      <c r="D890" s="35">
        <v>3.7610117674176324E-2</v>
      </c>
      <c r="F890" s="35"/>
    </row>
    <row r="891" spans="1:6">
      <c r="B891" s="35"/>
      <c r="C891" s="35"/>
      <c r="D891" s="35"/>
      <c r="F891" s="157"/>
    </row>
    <row r="892" spans="1:6">
      <c r="B892" s="35">
        <v>-0.58367185674448252</v>
      </c>
      <c r="C892" s="35">
        <v>-2.0841504898711007</v>
      </c>
      <c r="D892" s="35">
        <v>-0.75171422039661484</v>
      </c>
      <c r="F892" s="35"/>
    </row>
    <row r="893" spans="1:6">
      <c r="A893" t="s">
        <v>434</v>
      </c>
      <c r="B893" s="35">
        <v>-1.9865190328797109</v>
      </c>
      <c r="C893" s="35">
        <v>-1.2694850305255347</v>
      </c>
      <c r="D893" s="35">
        <v>-3.2127045366234341E-2</v>
      </c>
      <c r="F893" s="35" t="e">
        <f ca="1">MCond(B892:D894)</f>
        <v>#VALUE!</v>
      </c>
    </row>
    <row r="894" spans="1:6">
      <c r="B894" s="35">
        <v>-1.6188303733889171</v>
      </c>
      <c r="C894" s="35">
        <v>1.9594494251009342E-2</v>
      </c>
      <c r="D894" s="35">
        <v>7.7422792294721043E-2</v>
      </c>
      <c r="F894" s="35"/>
    </row>
    <row r="895" spans="1:6">
      <c r="B895" s="35"/>
      <c r="C895" s="35"/>
      <c r="D895" s="35"/>
      <c r="F895" s="157"/>
    </row>
    <row r="896" spans="1:6">
      <c r="B896" s="35">
        <v>-0.58367185674448252</v>
      </c>
      <c r="C896" s="35">
        <v>-2.0841504898711007</v>
      </c>
      <c r="D896" s="35">
        <v>-0.75171422039661484</v>
      </c>
      <c r="F896" s="35"/>
    </row>
    <row r="897" spans="1:6">
      <c r="A897" t="s">
        <v>435</v>
      </c>
      <c r="B897" s="35">
        <v>-1.9865190328797109</v>
      </c>
      <c r="C897" s="35">
        <v>-1.2694850305255347</v>
      </c>
      <c r="D897" s="35">
        <v>-3.2127045366234341E-2</v>
      </c>
      <c r="F897" s="35" t="e">
        <f ca="1">MCond(B896:D898)</f>
        <v>#VALUE!</v>
      </c>
    </row>
    <row r="898" spans="1:6">
      <c r="B898" s="35">
        <v>-0.60912970227287866</v>
      </c>
      <c r="C898" s="35">
        <v>0.28261535739067112</v>
      </c>
      <c r="D898" s="35">
        <v>-0.68802996689194662</v>
      </c>
      <c r="F898" s="35"/>
    </row>
    <row r="899" spans="1:6">
      <c r="B899" s="35"/>
      <c r="C899" s="35"/>
      <c r="D899" s="35"/>
      <c r="F899" s="157"/>
    </row>
    <row r="900" spans="1:6">
      <c r="B900" s="35">
        <v>-0.58367185674448252</v>
      </c>
      <c r="C900" s="35">
        <v>-2.0841504898711007</v>
      </c>
      <c r="D900" s="35">
        <v>-0.75171422039661484</v>
      </c>
      <c r="F900" s="35"/>
    </row>
    <row r="901" spans="1:6">
      <c r="A901" t="s">
        <v>436</v>
      </c>
      <c r="B901" s="35">
        <v>0.85843073718374274</v>
      </c>
      <c r="C901" s="35">
        <v>-1.040962775001312</v>
      </c>
      <c r="D901" s="35">
        <v>3.7610117674176324E-2</v>
      </c>
      <c r="F901" s="35" t="e">
        <f ca="1">MCond(B900:D902)</f>
        <v>#VALUE!</v>
      </c>
    </row>
    <row r="902" spans="1:6">
      <c r="B902" s="35">
        <v>-1.6188303733889171</v>
      </c>
      <c r="C902" s="35">
        <v>1.9594494251009342E-2</v>
      </c>
      <c r="D902" s="35">
        <v>7.7422792294721043E-2</v>
      </c>
      <c r="F902" s="35"/>
    </row>
    <row r="903" spans="1:6">
      <c r="B903" s="35"/>
      <c r="C903" s="35"/>
      <c r="D903" s="35"/>
      <c r="F903" s="157"/>
    </row>
    <row r="904" spans="1:6">
      <c r="B904" s="35">
        <v>-0.58367185674448252</v>
      </c>
      <c r="C904" s="35">
        <v>-2.0841504898711007</v>
      </c>
      <c r="D904" s="35">
        <v>-0.75171422039661484</v>
      </c>
      <c r="F904" s="35"/>
    </row>
    <row r="905" spans="1:6">
      <c r="A905" t="s">
        <v>437</v>
      </c>
      <c r="B905" s="35">
        <v>0.85843073718374274</v>
      </c>
      <c r="C905" s="35">
        <v>-1.040962775001312</v>
      </c>
      <c r="D905" s="35">
        <v>3.7610117674176324E-2</v>
      </c>
      <c r="F905" s="35" t="e">
        <f ca="1">MCond(B904:D906)</f>
        <v>#VALUE!</v>
      </c>
    </row>
    <row r="906" spans="1:6">
      <c r="B906" s="35">
        <v>-0.60912970227287866</v>
      </c>
      <c r="C906" s="35">
        <v>0.28261535739067112</v>
      </c>
      <c r="D906" s="35">
        <v>-0.68802996689194662</v>
      </c>
      <c r="F906" s="35"/>
    </row>
    <row r="907" spans="1:6">
      <c r="B907" s="35"/>
      <c r="C907" s="35"/>
      <c r="D907" s="35"/>
      <c r="F907" s="157"/>
    </row>
    <row r="908" spans="1:6">
      <c r="B908" s="35">
        <v>-0.58367185674448252</v>
      </c>
      <c r="C908" s="35">
        <v>-2.0841504898711007</v>
      </c>
      <c r="D908" s="35">
        <v>-0.75171422039661484</v>
      </c>
      <c r="F908" s="35"/>
    </row>
    <row r="909" spans="1:6">
      <c r="A909" t="s">
        <v>438</v>
      </c>
      <c r="B909" s="35">
        <v>-1.6188303733889171</v>
      </c>
      <c r="C909" s="35">
        <v>1.9594494251009342E-2</v>
      </c>
      <c r="D909" s="35">
        <v>7.7422792294721043E-2</v>
      </c>
      <c r="F909" s="35" t="e">
        <f ca="1">MCond(B908:D910)</f>
        <v>#VALUE!</v>
      </c>
    </row>
    <row r="910" spans="1:6">
      <c r="B910" s="35">
        <v>-0.60912970227287866</v>
      </c>
      <c r="C910" s="35">
        <v>0.28261535739067112</v>
      </c>
      <c r="D910" s="35">
        <v>-0.68802996689194662</v>
      </c>
      <c r="F910" s="35"/>
    </row>
    <row r="911" spans="1:6">
      <c r="B911" s="35"/>
      <c r="C911" s="35"/>
      <c r="D911" s="35"/>
      <c r="F911" s="157"/>
    </row>
    <row r="912" spans="1:6">
      <c r="B912" s="35">
        <v>-1.8375474863113905</v>
      </c>
      <c r="C912" s="35">
        <v>-2.1167426559988707</v>
      </c>
      <c r="D912" s="35">
        <v>-1.2367606559382516E-2</v>
      </c>
      <c r="F912" s="35"/>
    </row>
    <row r="913" spans="1:6">
      <c r="A913" t="s">
        <v>439</v>
      </c>
      <c r="B913" s="35">
        <v>0.45824053226673911</v>
      </c>
      <c r="C913" s="35">
        <v>-2.124969022302313</v>
      </c>
      <c r="D913" s="35">
        <v>2.076961144994538E-2</v>
      </c>
      <c r="F913" s="35" t="e">
        <f ca="1">MCond(B912:D914)</f>
        <v>#VALUE!</v>
      </c>
    </row>
    <row r="914" spans="1:6">
      <c r="B914" s="35">
        <v>-1.9865190328797109</v>
      </c>
      <c r="C914" s="35">
        <v>-1.2694850305255347</v>
      </c>
      <c r="D914" s="35">
        <v>-3.2127045366234341E-2</v>
      </c>
      <c r="F914" s="35"/>
    </row>
    <row r="915" spans="1:6">
      <c r="B915" s="35"/>
      <c r="C915" s="35"/>
      <c r="D915" s="35"/>
      <c r="F915" s="157"/>
    </row>
    <row r="916" spans="1:6">
      <c r="B916" s="35">
        <v>-1.8375474863113905</v>
      </c>
      <c r="C916" s="35">
        <v>-2.1167426559988707</v>
      </c>
      <c r="D916" s="35">
        <v>-1.2367606559382516E-2</v>
      </c>
      <c r="F916" s="35"/>
    </row>
    <row r="917" spans="1:6">
      <c r="A917" t="s">
        <v>440</v>
      </c>
      <c r="B917" s="35">
        <v>0.45824053226673911</v>
      </c>
      <c r="C917" s="35">
        <v>-2.124969022302313</v>
      </c>
      <c r="D917" s="35">
        <v>2.076961144994538E-2</v>
      </c>
      <c r="F917" s="35" t="e">
        <f ca="1">MCond(B916:D918)</f>
        <v>#VALUE!</v>
      </c>
    </row>
    <row r="918" spans="1:6">
      <c r="B918" s="35">
        <v>0.85843073718374274</v>
      </c>
      <c r="C918" s="35">
        <v>-1.040962775001312</v>
      </c>
      <c r="D918" s="35">
        <v>3.7610117674176324E-2</v>
      </c>
      <c r="F918" s="35"/>
    </row>
    <row r="919" spans="1:6">
      <c r="B919" s="35"/>
      <c r="C919" s="35"/>
      <c r="D919" s="35"/>
      <c r="F919" s="157"/>
    </row>
    <row r="920" spans="1:6">
      <c r="B920" s="35">
        <v>-1.8375474863113905</v>
      </c>
      <c r="C920" s="35">
        <v>-2.1167426559988707</v>
      </c>
      <c r="D920" s="35">
        <v>-1.2367606559382516E-2</v>
      </c>
      <c r="F920" s="35"/>
    </row>
    <row r="921" spans="1:6">
      <c r="A921" t="s">
        <v>441</v>
      </c>
      <c r="B921" s="35">
        <v>0.45824053226673911</v>
      </c>
      <c r="C921" s="35">
        <v>-2.124969022302313</v>
      </c>
      <c r="D921" s="35">
        <v>2.076961144994538E-2</v>
      </c>
      <c r="F921" s="35" t="e">
        <f ca="1">MCond(B920:D922)</f>
        <v>#VALUE!</v>
      </c>
    </row>
    <row r="922" spans="1:6">
      <c r="B922" s="35">
        <v>-1.6188303733889171</v>
      </c>
      <c r="C922" s="35">
        <v>1.9594494251009342E-2</v>
      </c>
      <c r="D922" s="35">
        <v>7.7422792294721043E-2</v>
      </c>
      <c r="F922" s="35"/>
    </row>
    <row r="923" spans="1:6">
      <c r="B923" s="35"/>
      <c r="C923" s="35"/>
      <c r="D923" s="35"/>
      <c r="F923" s="157"/>
    </row>
    <row r="924" spans="1:6">
      <c r="B924" s="35">
        <v>-1.8375474863113905</v>
      </c>
      <c r="C924" s="35">
        <v>-2.1167426559988707</v>
      </c>
      <c r="D924" s="35">
        <v>-1.2367606559382516E-2</v>
      </c>
      <c r="F924" s="35"/>
    </row>
    <row r="925" spans="1:6">
      <c r="A925" t="s">
        <v>442</v>
      </c>
      <c r="B925" s="35">
        <v>0.45824053226673911</v>
      </c>
      <c r="C925" s="35">
        <v>-2.124969022302313</v>
      </c>
      <c r="D925" s="35">
        <v>2.076961144994538E-2</v>
      </c>
      <c r="F925" s="35" t="e">
        <f ca="1">MCond(B924:D926)</f>
        <v>#VALUE!</v>
      </c>
    </row>
    <row r="926" spans="1:6">
      <c r="B926" s="35">
        <v>-0.60912970227287866</v>
      </c>
      <c r="C926" s="35">
        <v>0.28261535739067112</v>
      </c>
      <c r="D926" s="35">
        <v>-0.68802996689194662</v>
      </c>
      <c r="F926" s="35"/>
    </row>
    <row r="927" spans="1:6">
      <c r="B927" s="35"/>
      <c r="C927" s="35"/>
      <c r="D927" s="35"/>
      <c r="F927" s="157"/>
    </row>
    <row r="928" spans="1:6">
      <c r="B928" s="35">
        <v>-1.8375474863113905</v>
      </c>
      <c r="C928" s="35">
        <v>-2.1167426559988707</v>
      </c>
      <c r="D928" s="35">
        <v>-1.2367606559382516E-2</v>
      </c>
      <c r="F928" s="35"/>
    </row>
    <row r="929" spans="1:6">
      <c r="A929" t="s">
        <v>443</v>
      </c>
      <c r="B929" s="35">
        <v>-1.9865190328797109</v>
      </c>
      <c r="C929" s="35">
        <v>-1.2694850305255347</v>
      </c>
      <c r="D929" s="35">
        <v>-3.2127045366234341E-2</v>
      </c>
      <c r="F929" s="35" t="e">
        <f ca="1">MCond(B928:D930)</f>
        <v>#VALUE!</v>
      </c>
    </row>
    <row r="930" spans="1:6">
      <c r="B930" s="35">
        <v>0.85843073718374274</v>
      </c>
      <c r="C930" s="35">
        <v>-1.040962775001312</v>
      </c>
      <c r="D930" s="35">
        <v>3.7610117674176324E-2</v>
      </c>
      <c r="F930" s="35"/>
    </row>
    <row r="931" spans="1:6">
      <c r="B931" s="35"/>
      <c r="C931" s="35"/>
      <c r="D931" s="35"/>
      <c r="F931" s="157"/>
    </row>
    <row r="932" spans="1:6">
      <c r="B932" s="35">
        <v>-1.8375474863113905</v>
      </c>
      <c r="C932" s="35">
        <v>-2.1167426559988707</v>
      </c>
      <c r="D932" s="35">
        <v>-1.2367606559382516E-2</v>
      </c>
      <c r="F932" s="35"/>
    </row>
    <row r="933" spans="1:6">
      <c r="A933" t="s">
        <v>444</v>
      </c>
      <c r="B933" s="35">
        <v>-1.9865190328797109</v>
      </c>
      <c r="C933" s="35">
        <v>-1.2694850305255347</v>
      </c>
      <c r="D933" s="35">
        <v>-3.2127045366234341E-2</v>
      </c>
      <c r="F933" s="35" t="e">
        <f ca="1">MCond(B932:D934)</f>
        <v>#VALUE!</v>
      </c>
    </row>
    <row r="934" spans="1:6">
      <c r="B934" s="35">
        <v>-1.6188303733889171</v>
      </c>
      <c r="C934" s="35">
        <v>1.9594494251009342E-2</v>
      </c>
      <c r="D934" s="35">
        <v>7.7422792294721043E-2</v>
      </c>
      <c r="F934" s="35"/>
    </row>
    <row r="935" spans="1:6">
      <c r="B935" s="35"/>
      <c r="C935" s="35"/>
      <c r="D935" s="35"/>
      <c r="F935" s="157"/>
    </row>
    <row r="936" spans="1:6">
      <c r="B936" s="35">
        <v>-1.8375474863113905</v>
      </c>
      <c r="C936" s="35">
        <v>-2.1167426559988707</v>
      </c>
      <c r="D936" s="35">
        <v>-1.2367606559382516E-2</v>
      </c>
      <c r="F936" s="35"/>
    </row>
    <row r="937" spans="1:6">
      <c r="A937" t="s">
        <v>445</v>
      </c>
      <c r="B937" s="35">
        <v>-1.9865190328797109</v>
      </c>
      <c r="C937" s="35">
        <v>-1.2694850305255347</v>
      </c>
      <c r="D937" s="35">
        <v>-3.2127045366234341E-2</v>
      </c>
      <c r="F937" s="35" t="e">
        <f ca="1">MCond(B936:D938)</f>
        <v>#VALUE!</v>
      </c>
    </row>
    <row r="938" spans="1:6">
      <c r="B938" s="35">
        <v>-0.60912970227287866</v>
      </c>
      <c r="C938" s="35">
        <v>0.28261535739067112</v>
      </c>
      <c r="D938" s="35">
        <v>-0.68802996689194662</v>
      </c>
      <c r="F938" s="35"/>
    </row>
    <row r="939" spans="1:6">
      <c r="B939" s="35"/>
      <c r="C939" s="35"/>
      <c r="D939" s="35"/>
      <c r="F939" s="157"/>
    </row>
    <row r="940" spans="1:6">
      <c r="B940" s="35">
        <v>-1.8375474863113905</v>
      </c>
      <c r="C940" s="35">
        <v>-2.1167426559988707</v>
      </c>
      <c r="D940" s="35">
        <v>-1.2367606559382516E-2</v>
      </c>
      <c r="F940" s="35"/>
    </row>
    <row r="941" spans="1:6">
      <c r="A941" t="s">
        <v>446</v>
      </c>
      <c r="B941" s="35">
        <v>0.85843073718374274</v>
      </c>
      <c r="C941" s="35">
        <v>-1.040962775001312</v>
      </c>
      <c r="D941" s="35">
        <v>3.7610117674176324E-2</v>
      </c>
      <c r="F941" s="35" t="e">
        <f ca="1">MCond(B940:D942)</f>
        <v>#VALUE!</v>
      </c>
    </row>
    <row r="942" spans="1:6">
      <c r="B942" s="35">
        <v>-1.6188303733889171</v>
      </c>
      <c r="C942" s="35">
        <v>1.9594494251009342E-2</v>
      </c>
      <c r="D942" s="35">
        <v>7.7422792294721043E-2</v>
      </c>
      <c r="F942" s="35"/>
    </row>
    <row r="943" spans="1:6">
      <c r="B943" s="35"/>
      <c r="C943" s="35"/>
      <c r="D943" s="35"/>
      <c r="F943" s="157"/>
    </row>
    <row r="944" spans="1:6">
      <c r="B944" s="35">
        <v>-1.8375474863113905</v>
      </c>
      <c r="C944" s="35">
        <v>-2.1167426559988707</v>
      </c>
      <c r="D944" s="35">
        <v>-1.2367606559382516E-2</v>
      </c>
      <c r="F944" s="35"/>
    </row>
    <row r="945" spans="1:6">
      <c r="A945" t="s">
        <v>447</v>
      </c>
      <c r="B945" s="35">
        <v>0.85843073718374274</v>
      </c>
      <c r="C945" s="35">
        <v>-1.040962775001312</v>
      </c>
      <c r="D945" s="35">
        <v>3.7610117674176324E-2</v>
      </c>
      <c r="F945" s="35" t="e">
        <f ca="1">MCond(B944:D946)</f>
        <v>#VALUE!</v>
      </c>
    </row>
    <row r="946" spans="1:6">
      <c r="B946" s="35">
        <v>-0.60912970227287866</v>
      </c>
      <c r="C946" s="35">
        <v>0.28261535739067112</v>
      </c>
      <c r="D946" s="35">
        <v>-0.68802996689194662</v>
      </c>
      <c r="F946" s="35"/>
    </row>
    <row r="947" spans="1:6">
      <c r="B947" s="35"/>
      <c r="C947" s="35"/>
      <c r="D947" s="35"/>
      <c r="F947" s="157"/>
    </row>
    <row r="948" spans="1:6">
      <c r="B948" s="35">
        <v>-1.8375474863113905</v>
      </c>
      <c r="C948" s="35">
        <v>-2.1167426559988707</v>
      </c>
      <c r="D948" s="35">
        <v>-1.2367606559382516E-2</v>
      </c>
      <c r="F948" s="35"/>
    </row>
    <row r="949" spans="1:6">
      <c r="A949" t="s">
        <v>448</v>
      </c>
      <c r="B949" s="35">
        <v>-1.6188303733889171</v>
      </c>
      <c r="C949" s="35">
        <v>1.9594494251009342E-2</v>
      </c>
      <c r="D949" s="35">
        <v>7.7422792294721043E-2</v>
      </c>
      <c r="F949" s="35" t="e">
        <f ca="1">MCond(B948:D950)</f>
        <v>#VALUE!</v>
      </c>
    </row>
    <row r="950" spans="1:6">
      <c r="B950" s="35">
        <v>-0.60912970227287866</v>
      </c>
      <c r="C950" s="35">
        <v>0.28261535739067112</v>
      </c>
      <c r="D950" s="35">
        <v>-0.68802996689194662</v>
      </c>
      <c r="F950" s="35"/>
    </row>
    <row r="951" spans="1:6">
      <c r="B951" s="35"/>
      <c r="C951" s="35"/>
      <c r="D951" s="35"/>
      <c r="F951" s="157"/>
    </row>
    <row r="952" spans="1:6">
      <c r="B952" s="35">
        <v>0.45824053226673911</v>
      </c>
      <c r="C952" s="35">
        <v>-2.124969022302313</v>
      </c>
      <c r="D952" s="35">
        <v>2.076961144994538E-2</v>
      </c>
      <c r="F952" s="35"/>
    </row>
    <row r="953" spans="1:6">
      <c r="A953" t="s">
        <v>449</v>
      </c>
      <c r="B953" s="35">
        <v>-1.9865190328797109</v>
      </c>
      <c r="C953" s="35">
        <v>-1.2694850305255347</v>
      </c>
      <c r="D953" s="35">
        <v>-3.2127045366234341E-2</v>
      </c>
      <c r="F953" s="35" t="e">
        <f ca="1">MCond(B952:D954)</f>
        <v>#VALUE!</v>
      </c>
    </row>
    <row r="954" spans="1:6">
      <c r="B954" s="35">
        <v>0.85843073718374274</v>
      </c>
      <c r="C954" s="35">
        <v>-1.040962775001312</v>
      </c>
      <c r="D954" s="35">
        <v>3.7610117674176324E-2</v>
      </c>
      <c r="F954" s="35"/>
    </row>
    <row r="955" spans="1:6">
      <c r="B955" s="35"/>
      <c r="C955" s="35"/>
      <c r="D955" s="35"/>
      <c r="F955" s="157"/>
    </row>
    <row r="956" spans="1:6">
      <c r="B956" s="35">
        <v>0.45824053226673911</v>
      </c>
      <c r="C956" s="35">
        <v>-2.124969022302313</v>
      </c>
      <c r="D956" s="35">
        <v>2.076961144994538E-2</v>
      </c>
      <c r="F956" s="35"/>
    </row>
    <row r="957" spans="1:6">
      <c r="A957" t="s">
        <v>450</v>
      </c>
      <c r="B957" s="35">
        <v>-1.9865190328797109</v>
      </c>
      <c r="C957" s="35">
        <v>-1.2694850305255347</v>
      </c>
      <c r="D957" s="35">
        <v>-3.2127045366234341E-2</v>
      </c>
      <c r="F957" s="35" t="e">
        <f ca="1">MCond(B956:D958)</f>
        <v>#VALUE!</v>
      </c>
    </row>
    <row r="958" spans="1:6">
      <c r="B958" s="35">
        <v>-1.6188303733889171</v>
      </c>
      <c r="C958" s="35">
        <v>1.9594494251009342E-2</v>
      </c>
      <c r="D958" s="35">
        <v>7.7422792294721043E-2</v>
      </c>
      <c r="F958" s="35"/>
    </row>
    <row r="959" spans="1:6">
      <c r="B959" s="35"/>
      <c r="C959" s="35"/>
      <c r="D959" s="35"/>
      <c r="F959" s="157"/>
    </row>
    <row r="960" spans="1:6">
      <c r="B960" s="35">
        <v>0.45824053226673911</v>
      </c>
      <c r="C960" s="35">
        <v>-2.124969022302313</v>
      </c>
      <c r="D960" s="35">
        <v>2.076961144994538E-2</v>
      </c>
      <c r="F960" s="35"/>
    </row>
    <row r="961" spans="1:6">
      <c r="A961" t="s">
        <v>451</v>
      </c>
      <c r="B961" s="35">
        <v>-1.9865190328797109</v>
      </c>
      <c r="C961" s="35">
        <v>-1.2694850305255347</v>
      </c>
      <c r="D961" s="35">
        <v>-3.2127045366234341E-2</v>
      </c>
      <c r="F961" s="35" t="e">
        <f ca="1">MCond(B960:D962)</f>
        <v>#VALUE!</v>
      </c>
    </row>
    <row r="962" spans="1:6">
      <c r="B962" s="35">
        <v>-0.60912970227287866</v>
      </c>
      <c r="C962" s="35">
        <v>0.28261535739067112</v>
      </c>
      <c r="D962" s="35">
        <v>-0.68802996689194662</v>
      </c>
      <c r="F962" s="35"/>
    </row>
    <row r="963" spans="1:6">
      <c r="B963" s="35"/>
      <c r="C963" s="35"/>
      <c r="D963" s="35"/>
      <c r="F963" s="157"/>
    </row>
    <row r="964" spans="1:6">
      <c r="B964" s="35">
        <v>0.45824053226673911</v>
      </c>
      <c r="C964" s="35">
        <v>-2.124969022302313</v>
      </c>
      <c r="D964" s="35">
        <v>2.076961144994538E-2</v>
      </c>
      <c r="F964" s="35"/>
    </row>
    <row r="965" spans="1:6">
      <c r="A965" t="s">
        <v>452</v>
      </c>
      <c r="B965" s="35">
        <v>0.85843073718374274</v>
      </c>
      <c r="C965" s="35">
        <v>-1.040962775001312</v>
      </c>
      <c r="D965" s="35">
        <v>3.7610117674176324E-2</v>
      </c>
      <c r="F965" s="35" t="e">
        <f ca="1">MCond(B964:D966)</f>
        <v>#VALUE!</v>
      </c>
    </row>
    <row r="966" spans="1:6">
      <c r="B966" s="35">
        <v>-1.6188303733889171</v>
      </c>
      <c r="C966" s="35">
        <v>1.9594494251009342E-2</v>
      </c>
      <c r="D966" s="35">
        <v>7.7422792294721043E-2</v>
      </c>
      <c r="F966" s="35"/>
    </row>
    <row r="967" spans="1:6">
      <c r="B967" s="35"/>
      <c r="C967" s="35"/>
      <c r="D967" s="35"/>
      <c r="F967" s="157"/>
    </row>
    <row r="968" spans="1:6">
      <c r="B968" s="35">
        <v>0.45824053226673911</v>
      </c>
      <c r="C968" s="35">
        <v>-2.124969022302313</v>
      </c>
      <c r="D968" s="35">
        <v>2.076961144994538E-2</v>
      </c>
      <c r="F968" s="35"/>
    </row>
    <row r="969" spans="1:6">
      <c r="A969" t="s">
        <v>453</v>
      </c>
      <c r="B969" s="35">
        <v>0.85843073718374274</v>
      </c>
      <c r="C969" s="35">
        <v>-1.040962775001312</v>
      </c>
      <c r="D969" s="35">
        <v>3.7610117674176324E-2</v>
      </c>
      <c r="F969" s="35" t="e">
        <f ca="1">MCond(B968:D970)</f>
        <v>#VALUE!</v>
      </c>
    </row>
    <row r="970" spans="1:6">
      <c r="B970" s="35">
        <v>-0.60912970227287866</v>
      </c>
      <c r="C970" s="35">
        <v>0.28261535739067112</v>
      </c>
      <c r="D970" s="35">
        <v>-0.68802996689194662</v>
      </c>
      <c r="F970" s="35"/>
    </row>
    <row r="971" spans="1:6">
      <c r="B971" s="35"/>
      <c r="C971" s="35"/>
      <c r="D971" s="35"/>
      <c r="F971" s="157"/>
    </row>
    <row r="972" spans="1:6">
      <c r="B972" s="35">
        <v>0.45824053226673911</v>
      </c>
      <c r="C972" s="35">
        <v>-2.124969022302313</v>
      </c>
      <c r="D972" s="35">
        <v>2.076961144994538E-2</v>
      </c>
      <c r="F972" s="35"/>
    </row>
    <row r="973" spans="1:6">
      <c r="A973" t="s">
        <v>454</v>
      </c>
      <c r="B973" s="35">
        <v>-1.6188303733889171</v>
      </c>
      <c r="C973" s="35">
        <v>1.9594494251009342E-2</v>
      </c>
      <c r="D973" s="35">
        <v>7.7422792294721043E-2</v>
      </c>
      <c r="F973" s="35" t="e">
        <f ca="1">MCond(B972:D974)</f>
        <v>#VALUE!</v>
      </c>
    </row>
    <row r="974" spans="1:6">
      <c r="B974" s="35">
        <v>-0.60912970227287866</v>
      </c>
      <c r="C974" s="35">
        <v>0.28261535739067112</v>
      </c>
      <c r="D974" s="35">
        <v>-0.68802996689194662</v>
      </c>
      <c r="F974" s="35"/>
    </row>
    <row r="975" spans="1:6">
      <c r="B975" s="35"/>
      <c r="C975" s="35"/>
      <c r="D975" s="35"/>
      <c r="F975" s="157"/>
    </row>
    <row r="976" spans="1:6">
      <c r="B976" s="35">
        <v>-1.9865190328797109</v>
      </c>
      <c r="C976" s="35">
        <v>-1.2694850305255347</v>
      </c>
      <c r="D976" s="35">
        <v>-3.2127045366234341E-2</v>
      </c>
      <c r="F976" s="35"/>
    </row>
    <row r="977" spans="1:6">
      <c r="A977" t="s">
        <v>455</v>
      </c>
      <c r="B977" s="35">
        <v>0.85843073718374274</v>
      </c>
      <c r="C977" s="35">
        <v>-1.040962775001312</v>
      </c>
      <c r="D977" s="35">
        <v>3.7610117674176324E-2</v>
      </c>
      <c r="F977" s="35" t="e">
        <f ca="1">MCond(B976:D978)</f>
        <v>#VALUE!</v>
      </c>
    </row>
    <row r="978" spans="1:6">
      <c r="B978" s="35">
        <v>-1.6188303733889171</v>
      </c>
      <c r="C978" s="35">
        <v>1.9594494251009342E-2</v>
      </c>
      <c r="D978" s="35">
        <v>7.7422792294721043E-2</v>
      </c>
      <c r="F978" s="35"/>
    </row>
    <row r="979" spans="1:6">
      <c r="B979" s="35"/>
      <c r="C979" s="35"/>
      <c r="D979" s="35"/>
      <c r="F979" s="157"/>
    </row>
    <row r="980" spans="1:6">
      <c r="B980" s="35">
        <v>-1.9865190328797109</v>
      </c>
      <c r="C980" s="35">
        <v>-1.2694850305255347</v>
      </c>
      <c r="D980" s="35">
        <v>-3.2127045366234341E-2</v>
      </c>
      <c r="F980" s="35"/>
    </row>
    <row r="981" spans="1:6">
      <c r="A981" t="s">
        <v>456</v>
      </c>
      <c r="B981" s="35">
        <v>0.85843073718374274</v>
      </c>
      <c r="C981" s="35">
        <v>-1.040962775001312</v>
      </c>
      <c r="D981" s="35">
        <v>3.7610117674176324E-2</v>
      </c>
      <c r="F981" s="35" t="e">
        <f ca="1">MCond(B980:D982)</f>
        <v>#VALUE!</v>
      </c>
    </row>
    <row r="982" spans="1:6">
      <c r="B982" s="35">
        <v>-0.60912970227287866</v>
      </c>
      <c r="C982" s="35">
        <v>0.28261535739067112</v>
      </c>
      <c r="D982" s="35">
        <v>-0.68802996689194662</v>
      </c>
      <c r="F982" s="35"/>
    </row>
    <row r="983" spans="1:6">
      <c r="B983" s="35"/>
      <c r="C983" s="35"/>
      <c r="D983" s="35"/>
      <c r="F983" s="157"/>
    </row>
    <row r="984" spans="1:6">
      <c r="B984" s="35">
        <v>-1.9865190328797109</v>
      </c>
      <c r="C984" s="35">
        <v>-1.2694850305255347</v>
      </c>
      <c r="D984" s="35">
        <v>-3.2127045366234341E-2</v>
      </c>
      <c r="F984" s="35"/>
    </row>
    <row r="985" spans="1:6">
      <c r="A985" t="s">
        <v>457</v>
      </c>
      <c r="B985" s="35">
        <v>-1.6188303733889171</v>
      </c>
      <c r="C985" s="35">
        <v>1.9594494251009342E-2</v>
      </c>
      <c r="D985" s="35">
        <v>7.7422792294721043E-2</v>
      </c>
      <c r="F985" s="35" t="e">
        <f ca="1">MCond(B984:D986)</f>
        <v>#VALUE!</v>
      </c>
    </row>
    <row r="986" spans="1:6">
      <c r="B986" s="35">
        <v>-0.60912970227287866</v>
      </c>
      <c r="C986" s="35">
        <v>0.28261535739067112</v>
      </c>
      <c r="D986" s="35">
        <v>-0.68802996689194662</v>
      </c>
      <c r="F986" s="35"/>
    </row>
    <row r="987" spans="1:6">
      <c r="B987" s="35"/>
      <c r="C987" s="35"/>
      <c r="D987" s="35"/>
      <c r="F987" s="157"/>
    </row>
    <row r="988" spans="1:6">
      <c r="B988" s="35">
        <v>0.85843073718374274</v>
      </c>
      <c r="C988" s="35">
        <v>-1.040962775001312</v>
      </c>
      <c r="D988" s="35">
        <v>3.7610117674176324E-2</v>
      </c>
      <c r="F988" s="35"/>
    </row>
    <row r="989" spans="1:6">
      <c r="A989" t="s">
        <v>458</v>
      </c>
      <c r="B989" s="35">
        <v>-1.6188303733889171</v>
      </c>
      <c r="C989" s="35">
        <v>1.9594494251009342E-2</v>
      </c>
      <c r="D989" s="35">
        <v>7.7422792294721043E-2</v>
      </c>
      <c r="F989" s="35" t="e">
        <f ca="1">MCond(B988:D990)</f>
        <v>#VALUE!</v>
      </c>
    </row>
    <row r="990" spans="1:6">
      <c r="B990" s="35">
        <v>-0.60912970227287866</v>
      </c>
      <c r="C990" s="35">
        <v>0.28261535739067112</v>
      </c>
      <c r="D990" s="35">
        <v>-0.68802996689194662</v>
      </c>
      <c r="F990" s="35"/>
    </row>
    <row r="991" spans="1:6">
      <c r="B991" s="35"/>
      <c r="C991" s="35"/>
      <c r="D991" s="35"/>
      <c r="F991" s="157"/>
    </row>
    <row r="992" spans="1:6">
      <c r="B992" s="35">
        <v>2.5457845528396139E-2</v>
      </c>
      <c r="C992" s="35">
        <v>-2.3667658472617719</v>
      </c>
      <c r="D992" s="35">
        <v>-6.368425350466822E-2</v>
      </c>
      <c r="F992" s="35"/>
    </row>
    <row r="993" spans="1:6">
      <c r="A993" t="s">
        <v>459</v>
      </c>
      <c r="B993" s="35">
        <v>-1.2284177840385118</v>
      </c>
      <c r="C993" s="35">
        <v>-2.3993580133895418</v>
      </c>
      <c r="D993" s="35">
        <v>0.6756623603325641</v>
      </c>
      <c r="F993" s="35" t="e">
        <f ca="1">MCond(B992:D994)</f>
        <v>#VALUE!</v>
      </c>
    </row>
    <row r="994" spans="1:6">
      <c r="B994" s="35">
        <v>1.0673702345396179</v>
      </c>
      <c r="C994" s="35">
        <v>-2.4075843796929846</v>
      </c>
      <c r="D994" s="35">
        <v>0.708799578341892</v>
      </c>
      <c r="F994" s="35"/>
    </row>
    <row r="995" spans="1:6">
      <c r="B995" s="35"/>
      <c r="C995" s="35"/>
      <c r="D995" s="35"/>
      <c r="F995" s="157"/>
    </row>
    <row r="996" spans="1:6">
      <c r="B996" s="35">
        <v>2.5457845528396139E-2</v>
      </c>
      <c r="C996" s="35">
        <v>-2.3667658472617719</v>
      </c>
      <c r="D996" s="35">
        <v>-6.368425350466822E-2</v>
      </c>
      <c r="F996" s="35"/>
    </row>
    <row r="997" spans="1:6">
      <c r="A997" t="s">
        <v>460</v>
      </c>
      <c r="B997" s="35">
        <v>-1.2284177840385118</v>
      </c>
      <c r="C997" s="35">
        <v>-2.3993580133895418</v>
      </c>
      <c r="D997" s="35">
        <v>0.6756623603325641</v>
      </c>
      <c r="F997" s="35" t="e">
        <f ca="1">MCond(B996:D998)</f>
        <v>#VALUE!</v>
      </c>
    </row>
    <row r="998" spans="1:6">
      <c r="B998" s="35">
        <v>-1.3773893306068323</v>
      </c>
      <c r="C998" s="35">
        <v>-1.5521003879162059</v>
      </c>
      <c r="D998" s="35">
        <v>0.65590292152571228</v>
      </c>
      <c r="F998" s="35"/>
    </row>
    <row r="999" spans="1:6">
      <c r="B999" s="35"/>
      <c r="C999" s="35"/>
      <c r="D999" s="35"/>
      <c r="F999" s="157"/>
    </row>
    <row r="1000" spans="1:6">
      <c r="B1000" s="35">
        <v>2.5457845528396139E-2</v>
      </c>
      <c r="C1000" s="35">
        <v>-2.3667658472617719</v>
      </c>
      <c r="D1000" s="35">
        <v>-6.368425350466822E-2</v>
      </c>
      <c r="F1000" s="35"/>
    </row>
    <row r="1001" spans="1:6">
      <c r="A1001" t="s">
        <v>461</v>
      </c>
      <c r="B1001" s="35">
        <v>-1.2284177840385118</v>
      </c>
      <c r="C1001" s="35">
        <v>-2.3993580133895418</v>
      </c>
      <c r="D1001" s="35">
        <v>0.6756623603325641</v>
      </c>
      <c r="F1001" s="35" t="e">
        <f ca="1">MCond(B1000:D1002)</f>
        <v>#VALUE!</v>
      </c>
    </row>
    <row r="1002" spans="1:6">
      <c r="B1002" s="35">
        <v>1.4675604394566215</v>
      </c>
      <c r="C1002" s="35">
        <v>-1.3235781323919831</v>
      </c>
      <c r="D1002" s="35">
        <v>0.72564008456612294</v>
      </c>
      <c r="F1002" s="35"/>
    </row>
    <row r="1003" spans="1:6">
      <c r="B1003" s="35"/>
      <c r="C1003" s="35"/>
      <c r="D1003" s="35"/>
      <c r="F1003" s="157"/>
    </row>
    <row r="1004" spans="1:6">
      <c r="B1004" s="35">
        <v>2.5457845528396139E-2</v>
      </c>
      <c r="C1004" s="35">
        <v>-2.3667658472617719</v>
      </c>
      <c r="D1004" s="35">
        <v>-6.368425350466822E-2</v>
      </c>
      <c r="F1004" s="35"/>
    </row>
    <row r="1005" spans="1:6">
      <c r="A1005" t="s">
        <v>462</v>
      </c>
      <c r="B1005" s="35">
        <v>-1.2284177840385118</v>
      </c>
      <c r="C1005" s="35">
        <v>-2.3993580133895418</v>
      </c>
      <c r="D1005" s="35">
        <v>0.6756623603325641</v>
      </c>
      <c r="F1005" s="35" t="e">
        <f ca="1">MCond(B1004:D1006)</f>
        <v>#VALUE!</v>
      </c>
    </row>
    <row r="1006" spans="1:6">
      <c r="B1006" s="35">
        <v>-1.0097006711160386</v>
      </c>
      <c r="C1006" s="35">
        <v>-0.26302086313966178</v>
      </c>
      <c r="D1006" s="35">
        <v>0.76545275918666766</v>
      </c>
      <c r="F1006" s="35"/>
    </row>
    <row r="1007" spans="1:6">
      <c r="B1007" s="35"/>
      <c r="C1007" s="35"/>
      <c r="D1007" s="35"/>
      <c r="F1007" s="157"/>
    </row>
    <row r="1008" spans="1:6">
      <c r="B1008" s="35">
        <v>2.5457845528396139E-2</v>
      </c>
      <c r="C1008" s="35">
        <v>-2.3667658472617719</v>
      </c>
      <c r="D1008" s="35">
        <v>-6.368425350466822E-2</v>
      </c>
      <c r="F1008" s="35"/>
    </row>
    <row r="1009" spans="1:6">
      <c r="A1009" t="s">
        <v>463</v>
      </c>
      <c r="B1009" s="35">
        <v>-1.2284177840385118</v>
      </c>
      <c r="C1009" s="35">
        <v>-2.3993580133895418</v>
      </c>
      <c r="D1009" s="35">
        <v>0.6756623603325641</v>
      </c>
      <c r="F1009" s="35" t="e">
        <f ca="1">MCond(B1008:D1010)</f>
        <v>#VALUE!</v>
      </c>
    </row>
    <row r="1010" spans="1:6">
      <c r="B1010" s="35">
        <v>0.60912970227287866</v>
      </c>
      <c r="C1010" s="35">
        <v>-0.28261535739067112</v>
      </c>
      <c r="D1010" s="35">
        <v>0.68802996689194662</v>
      </c>
      <c r="F1010" s="35"/>
    </row>
    <row r="1011" spans="1:6">
      <c r="B1011" s="35"/>
      <c r="C1011" s="35"/>
      <c r="D1011" s="35"/>
      <c r="F1011" s="157"/>
    </row>
    <row r="1012" spans="1:6">
      <c r="B1012" s="35">
        <v>2.5457845528396139E-2</v>
      </c>
      <c r="C1012" s="35">
        <v>-2.3667658472617719</v>
      </c>
      <c r="D1012" s="35">
        <v>-6.368425350466822E-2</v>
      </c>
      <c r="F1012" s="35"/>
    </row>
    <row r="1013" spans="1:6">
      <c r="A1013" t="s">
        <v>464</v>
      </c>
      <c r="B1013" s="35">
        <v>1.0673702345396179</v>
      </c>
      <c r="C1013" s="35">
        <v>-2.4075843796929846</v>
      </c>
      <c r="D1013" s="35">
        <v>0.708799578341892</v>
      </c>
      <c r="F1013" s="35" t="e">
        <f ca="1">MCond(B1012:D1014)</f>
        <v>#VALUE!</v>
      </c>
    </row>
    <row r="1014" spans="1:6">
      <c r="B1014" s="35">
        <v>-1.3773893306068323</v>
      </c>
      <c r="C1014" s="35">
        <v>-1.5521003879162059</v>
      </c>
      <c r="D1014" s="35">
        <v>0.65590292152571228</v>
      </c>
      <c r="F1014" s="35"/>
    </row>
    <row r="1015" spans="1:6">
      <c r="B1015" s="35"/>
      <c r="C1015" s="35"/>
      <c r="D1015" s="35"/>
      <c r="F1015" s="157"/>
    </row>
    <row r="1016" spans="1:6">
      <c r="B1016" s="35">
        <v>2.5457845528396139E-2</v>
      </c>
      <c r="C1016" s="35">
        <v>-2.3667658472617719</v>
      </c>
      <c r="D1016" s="35">
        <v>-6.368425350466822E-2</v>
      </c>
      <c r="F1016" s="35"/>
    </row>
    <row r="1017" spans="1:6">
      <c r="A1017" t="s">
        <v>465</v>
      </c>
      <c r="B1017" s="35">
        <v>1.0673702345396179</v>
      </c>
      <c r="C1017" s="35">
        <v>-2.4075843796929846</v>
      </c>
      <c r="D1017" s="35">
        <v>0.708799578341892</v>
      </c>
      <c r="F1017" s="35" t="e">
        <f ca="1">MCond(B1016:D1018)</f>
        <v>#VALUE!</v>
      </c>
    </row>
    <row r="1018" spans="1:6">
      <c r="B1018" s="35">
        <v>1.4675604394566215</v>
      </c>
      <c r="C1018" s="35">
        <v>-1.3235781323919831</v>
      </c>
      <c r="D1018" s="35">
        <v>0.72564008456612294</v>
      </c>
      <c r="F1018" s="35"/>
    </row>
    <row r="1019" spans="1:6">
      <c r="B1019" s="35"/>
      <c r="C1019" s="35"/>
      <c r="D1019" s="35"/>
      <c r="F1019" s="157"/>
    </row>
    <row r="1020" spans="1:6">
      <c r="B1020" s="35">
        <v>2.5457845528396139E-2</v>
      </c>
      <c r="C1020" s="35">
        <v>-2.3667658472617719</v>
      </c>
      <c r="D1020" s="35">
        <v>-6.368425350466822E-2</v>
      </c>
      <c r="F1020" s="35"/>
    </row>
    <row r="1021" spans="1:6">
      <c r="A1021" t="s">
        <v>466</v>
      </c>
      <c r="B1021" s="35">
        <v>1.0673702345396179</v>
      </c>
      <c r="C1021" s="35">
        <v>-2.4075843796929846</v>
      </c>
      <c r="D1021" s="35">
        <v>0.708799578341892</v>
      </c>
      <c r="F1021" s="35" t="e">
        <f ca="1">MCond(B1020:D1022)</f>
        <v>#VALUE!</v>
      </c>
    </row>
    <row r="1022" spans="1:6">
      <c r="B1022" s="35">
        <v>-1.0097006711160386</v>
      </c>
      <c r="C1022" s="35">
        <v>-0.26302086313966178</v>
      </c>
      <c r="D1022" s="35">
        <v>0.76545275918666766</v>
      </c>
      <c r="F1022" s="35"/>
    </row>
    <row r="1023" spans="1:6">
      <c r="B1023" s="35"/>
      <c r="C1023" s="35"/>
      <c r="D1023" s="35"/>
      <c r="F1023" s="157"/>
    </row>
    <row r="1024" spans="1:6">
      <c r="B1024" s="35">
        <v>2.5457845528396139E-2</v>
      </c>
      <c r="C1024" s="35">
        <v>-2.3667658472617719</v>
      </c>
      <c r="D1024" s="35">
        <v>-6.368425350466822E-2</v>
      </c>
      <c r="F1024" s="35"/>
    </row>
    <row r="1025" spans="1:6">
      <c r="A1025" t="s">
        <v>467</v>
      </c>
      <c r="B1025" s="35">
        <v>1.0673702345396179</v>
      </c>
      <c r="C1025" s="35">
        <v>-2.4075843796929846</v>
      </c>
      <c r="D1025" s="35">
        <v>0.708799578341892</v>
      </c>
      <c r="F1025" s="35" t="e">
        <f ca="1">MCond(B1024:D1026)</f>
        <v>#VALUE!</v>
      </c>
    </row>
    <row r="1026" spans="1:6">
      <c r="B1026" s="35">
        <v>0.60912970227287866</v>
      </c>
      <c r="C1026" s="35">
        <v>-0.28261535739067112</v>
      </c>
      <c r="D1026" s="35">
        <v>0.68802996689194662</v>
      </c>
      <c r="F1026" s="35"/>
    </row>
    <row r="1027" spans="1:6">
      <c r="B1027" s="35"/>
      <c r="C1027" s="35"/>
      <c r="D1027" s="35"/>
      <c r="F1027" s="157"/>
    </row>
    <row r="1028" spans="1:6">
      <c r="B1028" s="35">
        <v>2.5457845528396139E-2</v>
      </c>
      <c r="C1028" s="35">
        <v>-2.3667658472617719</v>
      </c>
      <c r="D1028" s="35">
        <v>-6.368425350466822E-2</v>
      </c>
      <c r="F1028" s="35"/>
    </row>
    <row r="1029" spans="1:6">
      <c r="A1029" t="s">
        <v>468</v>
      </c>
      <c r="B1029" s="35">
        <v>-1.3773893306068323</v>
      </c>
      <c r="C1029" s="35">
        <v>-1.5521003879162059</v>
      </c>
      <c r="D1029" s="35">
        <v>0.65590292152571228</v>
      </c>
      <c r="F1029" s="35" t="e">
        <f ca="1">MCond(B1028:D1030)</f>
        <v>#VALUE!</v>
      </c>
    </row>
    <row r="1030" spans="1:6">
      <c r="B1030" s="35">
        <v>1.4675604394566215</v>
      </c>
      <c r="C1030" s="35">
        <v>-1.3235781323919831</v>
      </c>
      <c r="D1030" s="35">
        <v>0.72564008456612294</v>
      </c>
      <c r="F1030" s="35"/>
    </row>
    <row r="1031" spans="1:6">
      <c r="B1031" s="35"/>
      <c r="C1031" s="35"/>
      <c r="D1031" s="35"/>
      <c r="F1031" s="157"/>
    </row>
    <row r="1032" spans="1:6">
      <c r="B1032" s="35">
        <v>2.5457845528396139E-2</v>
      </c>
      <c r="C1032" s="35">
        <v>-2.3667658472617719</v>
      </c>
      <c r="D1032" s="35">
        <v>-6.368425350466822E-2</v>
      </c>
      <c r="F1032" s="35"/>
    </row>
    <row r="1033" spans="1:6">
      <c r="A1033" t="s">
        <v>469</v>
      </c>
      <c r="B1033" s="35">
        <v>-1.3773893306068323</v>
      </c>
      <c r="C1033" s="35">
        <v>-1.5521003879162059</v>
      </c>
      <c r="D1033" s="35">
        <v>0.65590292152571228</v>
      </c>
      <c r="F1033" s="35" t="e">
        <f ca="1">MCond(B1032:D1034)</f>
        <v>#VALUE!</v>
      </c>
    </row>
    <row r="1034" spans="1:6">
      <c r="B1034" s="35">
        <v>-1.0097006711160386</v>
      </c>
      <c r="C1034" s="35">
        <v>-0.26302086313966178</v>
      </c>
      <c r="D1034" s="35">
        <v>0.76545275918666766</v>
      </c>
      <c r="F1034" s="35"/>
    </row>
    <row r="1035" spans="1:6">
      <c r="B1035" s="35"/>
      <c r="C1035" s="35"/>
      <c r="D1035" s="35"/>
      <c r="F1035" s="157"/>
    </row>
    <row r="1036" spans="1:6">
      <c r="B1036" s="35">
        <v>2.5457845528396139E-2</v>
      </c>
      <c r="C1036" s="35">
        <v>-2.3667658472617719</v>
      </c>
      <c r="D1036" s="35">
        <v>-6.368425350466822E-2</v>
      </c>
      <c r="F1036" s="35"/>
    </row>
    <row r="1037" spans="1:6">
      <c r="A1037" t="s">
        <v>470</v>
      </c>
      <c r="B1037" s="35">
        <v>-1.3773893306068323</v>
      </c>
      <c r="C1037" s="35">
        <v>-1.5521003879162059</v>
      </c>
      <c r="D1037" s="35">
        <v>0.65590292152571228</v>
      </c>
      <c r="F1037" s="35" t="e">
        <f ca="1">MCond(B1036:D1038)</f>
        <v>#VALUE!</v>
      </c>
    </row>
    <row r="1038" spans="1:6">
      <c r="B1038" s="35">
        <v>0.60912970227287866</v>
      </c>
      <c r="C1038" s="35">
        <v>-0.28261535739067112</v>
      </c>
      <c r="D1038" s="35">
        <v>0.68802996689194662</v>
      </c>
      <c r="F1038" s="35"/>
    </row>
    <row r="1039" spans="1:6">
      <c r="B1039" s="35"/>
      <c r="C1039" s="35"/>
      <c r="D1039" s="35"/>
      <c r="F1039" s="157"/>
    </row>
    <row r="1040" spans="1:6">
      <c r="B1040" s="35">
        <v>2.5457845528396139E-2</v>
      </c>
      <c r="C1040" s="35">
        <v>-2.3667658472617719</v>
      </c>
      <c r="D1040" s="35">
        <v>-6.368425350466822E-2</v>
      </c>
      <c r="F1040" s="35"/>
    </row>
    <row r="1041" spans="1:6">
      <c r="A1041" t="s">
        <v>471</v>
      </c>
      <c r="B1041" s="35">
        <v>1.4675604394566215</v>
      </c>
      <c r="C1041" s="35">
        <v>-1.3235781323919831</v>
      </c>
      <c r="D1041" s="35">
        <v>0.72564008456612294</v>
      </c>
      <c r="F1041" s="35" t="e">
        <f ca="1">MCond(B1040:D1042)</f>
        <v>#VALUE!</v>
      </c>
    </row>
    <row r="1042" spans="1:6">
      <c r="B1042" s="35">
        <v>-1.0097006711160386</v>
      </c>
      <c r="C1042" s="35">
        <v>-0.26302086313966178</v>
      </c>
      <c r="D1042" s="35">
        <v>0.76545275918666766</v>
      </c>
      <c r="F1042" s="35"/>
    </row>
    <row r="1043" spans="1:6">
      <c r="B1043" s="35"/>
      <c r="C1043" s="35"/>
      <c r="D1043" s="35"/>
      <c r="F1043" s="157"/>
    </row>
    <row r="1044" spans="1:6">
      <c r="B1044" s="35">
        <v>2.5457845528396139E-2</v>
      </c>
      <c r="C1044" s="35">
        <v>-2.3667658472617719</v>
      </c>
      <c r="D1044" s="35">
        <v>-6.368425350466822E-2</v>
      </c>
      <c r="F1044" s="35"/>
    </row>
    <row r="1045" spans="1:6">
      <c r="A1045" t="s">
        <v>472</v>
      </c>
      <c r="B1045" s="35">
        <v>1.4675604394566215</v>
      </c>
      <c r="C1045" s="35">
        <v>-1.3235781323919831</v>
      </c>
      <c r="D1045" s="35">
        <v>0.72564008456612294</v>
      </c>
      <c r="F1045" s="35" t="e">
        <f ca="1">MCond(B1044:D1046)</f>
        <v>#VALUE!</v>
      </c>
    </row>
    <row r="1046" spans="1:6">
      <c r="B1046" s="35">
        <v>0.60912970227287866</v>
      </c>
      <c r="C1046" s="35">
        <v>-0.28261535739067112</v>
      </c>
      <c r="D1046" s="35">
        <v>0.68802996689194662</v>
      </c>
      <c r="F1046" s="35"/>
    </row>
    <row r="1047" spans="1:6">
      <c r="B1047" s="35"/>
      <c r="C1047" s="35"/>
      <c r="D1047" s="35"/>
      <c r="F1047" s="157"/>
    </row>
    <row r="1048" spans="1:6">
      <c r="B1048" s="35">
        <v>2.5457845528396139E-2</v>
      </c>
      <c r="C1048" s="35">
        <v>-2.3667658472617719</v>
      </c>
      <c r="D1048" s="35">
        <v>-6.368425350466822E-2</v>
      </c>
      <c r="F1048" s="35"/>
    </row>
    <row r="1049" spans="1:6">
      <c r="A1049" t="s">
        <v>473</v>
      </c>
      <c r="B1049" s="35">
        <v>-1.0097006711160386</v>
      </c>
      <c r="C1049" s="35">
        <v>-0.26302086313966178</v>
      </c>
      <c r="D1049" s="35">
        <v>0.76545275918666766</v>
      </c>
      <c r="F1049" s="35" t="e">
        <f ca="1">MCond(B1048:D1050)</f>
        <v>#VALUE!</v>
      </c>
    </row>
    <row r="1050" spans="1:6">
      <c r="B1050" s="35">
        <v>0.60912970227287866</v>
      </c>
      <c r="C1050" s="35">
        <v>-0.28261535739067112</v>
      </c>
      <c r="D1050" s="35">
        <v>0.68802996689194662</v>
      </c>
      <c r="F1050" s="35"/>
    </row>
    <row r="1051" spans="1:6">
      <c r="B1051" s="35"/>
      <c r="C1051" s="35"/>
      <c r="D1051" s="35"/>
      <c r="F1051" s="157"/>
    </row>
    <row r="1052" spans="1:6">
      <c r="B1052" s="35">
        <v>-1.2284177840385118</v>
      </c>
      <c r="C1052" s="35">
        <v>-2.3993580133895418</v>
      </c>
      <c r="D1052" s="35">
        <v>0.6756623603325641</v>
      </c>
      <c r="F1052" s="35"/>
    </row>
    <row r="1053" spans="1:6">
      <c r="A1053" t="s">
        <v>474</v>
      </c>
      <c r="B1053" s="35">
        <v>1.0673702345396179</v>
      </c>
      <c r="C1053" s="35">
        <v>-2.4075843796929846</v>
      </c>
      <c r="D1053" s="35">
        <v>0.708799578341892</v>
      </c>
      <c r="F1053" s="35" t="e">
        <f ca="1">MCond(B1052:D1054)</f>
        <v>#VALUE!</v>
      </c>
    </row>
    <row r="1054" spans="1:6">
      <c r="B1054" s="35">
        <v>-1.3773893306068323</v>
      </c>
      <c r="C1054" s="35">
        <v>-1.5521003879162059</v>
      </c>
      <c r="D1054" s="35">
        <v>0.65590292152571228</v>
      </c>
      <c r="F1054" s="35"/>
    </row>
    <row r="1055" spans="1:6">
      <c r="B1055" s="35"/>
      <c r="C1055" s="35"/>
      <c r="D1055" s="35"/>
      <c r="F1055" s="157"/>
    </row>
    <row r="1056" spans="1:6">
      <c r="B1056" s="35">
        <v>-1.2284177840385118</v>
      </c>
      <c r="C1056" s="35">
        <v>-2.3993580133895418</v>
      </c>
      <c r="D1056" s="35">
        <v>0.6756623603325641</v>
      </c>
      <c r="F1056" s="35"/>
    </row>
    <row r="1057" spans="1:6">
      <c r="A1057" t="s">
        <v>475</v>
      </c>
      <c r="B1057" s="35">
        <v>1.0673702345396179</v>
      </c>
      <c r="C1057" s="35">
        <v>-2.4075843796929846</v>
      </c>
      <c r="D1057" s="35">
        <v>0.708799578341892</v>
      </c>
      <c r="F1057" s="35" t="e">
        <f ca="1">MCond(B1056:D1058)</f>
        <v>#VALUE!</v>
      </c>
    </row>
    <row r="1058" spans="1:6">
      <c r="B1058" s="35">
        <v>1.4675604394566215</v>
      </c>
      <c r="C1058" s="35">
        <v>-1.3235781323919831</v>
      </c>
      <c r="D1058" s="35">
        <v>0.72564008456612294</v>
      </c>
      <c r="F1058" s="35"/>
    </row>
    <row r="1059" spans="1:6">
      <c r="B1059" s="35"/>
      <c r="C1059" s="35"/>
      <c r="D1059" s="35"/>
      <c r="F1059" s="157"/>
    </row>
    <row r="1060" spans="1:6">
      <c r="B1060" s="35">
        <v>-1.2284177840385118</v>
      </c>
      <c r="C1060" s="35">
        <v>-2.3993580133895418</v>
      </c>
      <c r="D1060" s="35">
        <v>0.6756623603325641</v>
      </c>
      <c r="F1060" s="35"/>
    </row>
    <row r="1061" spans="1:6">
      <c r="A1061" t="s">
        <v>476</v>
      </c>
      <c r="B1061" s="35">
        <v>1.0673702345396179</v>
      </c>
      <c r="C1061" s="35">
        <v>-2.4075843796929846</v>
      </c>
      <c r="D1061" s="35">
        <v>0.708799578341892</v>
      </c>
      <c r="F1061" s="35" t="e">
        <f ca="1">MCond(B1060:D1062)</f>
        <v>#VALUE!</v>
      </c>
    </row>
    <row r="1062" spans="1:6">
      <c r="B1062" s="35">
        <v>-1.0097006711160386</v>
      </c>
      <c r="C1062" s="35">
        <v>-0.26302086313966178</v>
      </c>
      <c r="D1062" s="35">
        <v>0.76545275918666766</v>
      </c>
      <c r="F1062" s="35"/>
    </row>
    <row r="1063" spans="1:6">
      <c r="B1063" s="35"/>
      <c r="C1063" s="35"/>
      <c r="D1063" s="35"/>
      <c r="F1063" s="157"/>
    </row>
    <row r="1064" spans="1:6">
      <c r="B1064" s="35">
        <v>-1.2284177840385118</v>
      </c>
      <c r="C1064" s="35">
        <v>-2.3993580133895418</v>
      </c>
      <c r="D1064" s="35">
        <v>0.6756623603325641</v>
      </c>
      <c r="F1064" s="35"/>
    </row>
    <row r="1065" spans="1:6">
      <c r="A1065" t="s">
        <v>477</v>
      </c>
      <c r="B1065" s="35">
        <v>1.0673702345396179</v>
      </c>
      <c r="C1065" s="35">
        <v>-2.4075843796929846</v>
      </c>
      <c r="D1065" s="35">
        <v>0.708799578341892</v>
      </c>
      <c r="F1065" s="35" t="e">
        <f ca="1">MCond(B1064:D1066)</f>
        <v>#VALUE!</v>
      </c>
    </row>
    <row r="1066" spans="1:6">
      <c r="B1066" s="35">
        <v>0.60912970227287866</v>
      </c>
      <c r="C1066" s="35">
        <v>-0.28261535739067112</v>
      </c>
      <c r="D1066" s="35">
        <v>0.68802996689194662</v>
      </c>
      <c r="F1066" s="35"/>
    </row>
    <row r="1067" spans="1:6">
      <c r="B1067" s="35"/>
      <c r="C1067" s="35"/>
      <c r="D1067" s="35"/>
      <c r="F1067" s="157"/>
    </row>
    <row r="1068" spans="1:6">
      <c r="B1068" s="35">
        <v>-1.2284177840385118</v>
      </c>
      <c r="C1068" s="35">
        <v>-2.3993580133895418</v>
      </c>
      <c r="D1068" s="35">
        <v>0.6756623603325641</v>
      </c>
      <c r="F1068" s="35"/>
    </row>
    <row r="1069" spans="1:6">
      <c r="A1069" t="s">
        <v>478</v>
      </c>
      <c r="B1069" s="35">
        <v>-1.3773893306068323</v>
      </c>
      <c r="C1069" s="35">
        <v>-1.5521003879162059</v>
      </c>
      <c r="D1069" s="35">
        <v>0.65590292152571228</v>
      </c>
      <c r="F1069" s="35" t="e">
        <f ca="1">MCond(B1068:D1070)</f>
        <v>#VALUE!</v>
      </c>
    </row>
    <row r="1070" spans="1:6">
      <c r="B1070" s="35">
        <v>1.4675604394566215</v>
      </c>
      <c r="C1070" s="35">
        <v>-1.3235781323919831</v>
      </c>
      <c r="D1070" s="35">
        <v>0.72564008456612294</v>
      </c>
      <c r="F1070" s="35"/>
    </row>
    <row r="1071" spans="1:6">
      <c r="B1071" s="35"/>
      <c r="C1071" s="35"/>
      <c r="D1071" s="35"/>
      <c r="F1071" s="157"/>
    </row>
    <row r="1072" spans="1:6">
      <c r="B1072" s="35">
        <v>-1.2284177840385118</v>
      </c>
      <c r="C1072" s="35">
        <v>-2.3993580133895418</v>
      </c>
      <c r="D1072" s="35">
        <v>0.6756623603325641</v>
      </c>
      <c r="F1072" s="35"/>
    </row>
    <row r="1073" spans="1:6">
      <c r="A1073" t="s">
        <v>479</v>
      </c>
      <c r="B1073" s="35">
        <v>-1.3773893306068323</v>
      </c>
      <c r="C1073" s="35">
        <v>-1.5521003879162059</v>
      </c>
      <c r="D1073" s="35">
        <v>0.65590292152571228</v>
      </c>
      <c r="F1073" s="35" t="e">
        <f ca="1">MCond(B1072:D1074)</f>
        <v>#VALUE!</v>
      </c>
    </row>
    <row r="1074" spans="1:6">
      <c r="B1074" s="35">
        <v>-1.0097006711160386</v>
      </c>
      <c r="C1074" s="35">
        <v>-0.26302086313966178</v>
      </c>
      <c r="D1074" s="35">
        <v>0.76545275918666766</v>
      </c>
      <c r="F1074" s="35"/>
    </row>
    <row r="1075" spans="1:6">
      <c r="B1075" s="35"/>
      <c r="C1075" s="35"/>
      <c r="D1075" s="35"/>
      <c r="F1075" s="157"/>
    </row>
    <row r="1076" spans="1:6">
      <c r="B1076" s="35">
        <v>-1.2284177840385118</v>
      </c>
      <c r="C1076" s="35">
        <v>-2.3993580133895418</v>
      </c>
      <c r="D1076" s="35">
        <v>0.6756623603325641</v>
      </c>
      <c r="F1076" s="35"/>
    </row>
    <row r="1077" spans="1:6">
      <c r="A1077" t="s">
        <v>480</v>
      </c>
      <c r="B1077" s="35">
        <v>-1.3773893306068323</v>
      </c>
      <c r="C1077" s="35">
        <v>-1.5521003879162059</v>
      </c>
      <c r="D1077" s="35">
        <v>0.65590292152571228</v>
      </c>
      <c r="F1077" s="35" t="e">
        <f ca="1">MCond(B1076:D1078)</f>
        <v>#VALUE!</v>
      </c>
    </row>
    <row r="1078" spans="1:6">
      <c r="B1078" s="35">
        <v>0.60912970227287866</v>
      </c>
      <c r="C1078" s="35">
        <v>-0.28261535739067112</v>
      </c>
      <c r="D1078" s="35">
        <v>0.68802996689194662</v>
      </c>
      <c r="F1078" s="35"/>
    </row>
    <row r="1079" spans="1:6">
      <c r="B1079" s="35"/>
      <c r="C1079" s="35"/>
      <c r="D1079" s="35"/>
      <c r="F1079" s="157"/>
    </row>
    <row r="1080" spans="1:6">
      <c r="B1080" s="35">
        <v>-1.2284177840385118</v>
      </c>
      <c r="C1080" s="35">
        <v>-2.3993580133895418</v>
      </c>
      <c r="D1080" s="35">
        <v>0.6756623603325641</v>
      </c>
      <c r="F1080" s="35"/>
    </row>
    <row r="1081" spans="1:6">
      <c r="A1081" t="s">
        <v>481</v>
      </c>
      <c r="B1081" s="35">
        <v>1.4675604394566215</v>
      </c>
      <c r="C1081" s="35">
        <v>-1.3235781323919831</v>
      </c>
      <c r="D1081" s="35">
        <v>0.72564008456612294</v>
      </c>
      <c r="F1081" s="35" t="e">
        <f ca="1">MCond(B1080:D1082)</f>
        <v>#VALUE!</v>
      </c>
    </row>
    <row r="1082" spans="1:6">
      <c r="B1082" s="35">
        <v>-1.0097006711160386</v>
      </c>
      <c r="C1082" s="35">
        <v>-0.26302086313966178</v>
      </c>
      <c r="D1082" s="35">
        <v>0.76545275918666766</v>
      </c>
      <c r="F1082" s="35"/>
    </row>
    <row r="1083" spans="1:6">
      <c r="B1083" s="35"/>
      <c r="C1083" s="35"/>
      <c r="D1083" s="35"/>
      <c r="F1083" s="157"/>
    </row>
    <row r="1084" spans="1:6">
      <c r="B1084" s="35">
        <v>-1.2284177840385118</v>
      </c>
      <c r="C1084" s="35">
        <v>-2.3993580133895418</v>
      </c>
      <c r="D1084" s="35">
        <v>0.6756623603325641</v>
      </c>
      <c r="F1084" s="35"/>
    </row>
    <row r="1085" spans="1:6">
      <c r="A1085" t="s">
        <v>482</v>
      </c>
      <c r="B1085" s="35">
        <v>1.4675604394566215</v>
      </c>
      <c r="C1085" s="35">
        <v>-1.3235781323919831</v>
      </c>
      <c r="D1085" s="35">
        <v>0.72564008456612294</v>
      </c>
      <c r="F1085" s="35" t="e">
        <f ca="1">MCond(B1084:D1086)</f>
        <v>#VALUE!</v>
      </c>
    </row>
    <row r="1086" spans="1:6">
      <c r="B1086" s="35">
        <v>0.60912970227287866</v>
      </c>
      <c r="C1086" s="35">
        <v>-0.28261535739067112</v>
      </c>
      <c r="D1086" s="35">
        <v>0.68802996689194662</v>
      </c>
      <c r="F1086" s="35"/>
    </row>
    <row r="1087" spans="1:6">
      <c r="B1087" s="35"/>
      <c r="C1087" s="35"/>
      <c r="D1087" s="35"/>
      <c r="F1087" s="157"/>
    </row>
    <row r="1088" spans="1:6">
      <c r="B1088" s="35">
        <v>-1.2284177840385118</v>
      </c>
      <c r="C1088" s="35">
        <v>-2.3993580133895418</v>
      </c>
      <c r="D1088" s="35">
        <v>0.6756623603325641</v>
      </c>
      <c r="F1088" s="35"/>
    </row>
    <row r="1089" spans="1:6">
      <c r="A1089" t="s">
        <v>483</v>
      </c>
      <c r="B1089" s="35">
        <v>-1.0097006711160386</v>
      </c>
      <c r="C1089" s="35">
        <v>-0.26302086313966178</v>
      </c>
      <c r="D1089" s="35">
        <v>0.76545275918666766</v>
      </c>
      <c r="F1089" s="35" t="e">
        <f ca="1">MCond(B1088:D1090)</f>
        <v>#VALUE!</v>
      </c>
    </row>
    <row r="1090" spans="1:6">
      <c r="B1090" s="35">
        <v>0.60912970227287866</v>
      </c>
      <c r="C1090" s="35">
        <v>-0.28261535739067112</v>
      </c>
      <c r="D1090" s="35">
        <v>0.68802996689194662</v>
      </c>
      <c r="F1090" s="35"/>
    </row>
    <row r="1091" spans="1:6">
      <c r="B1091" s="35"/>
      <c r="C1091" s="35"/>
      <c r="D1091" s="35"/>
      <c r="F1091" s="157"/>
    </row>
    <row r="1092" spans="1:6">
      <c r="B1092" s="35">
        <v>1.0673702345396179</v>
      </c>
      <c r="C1092" s="35">
        <v>-2.4075843796929846</v>
      </c>
      <c r="D1092" s="35">
        <v>0.708799578341892</v>
      </c>
      <c r="F1092" s="35"/>
    </row>
    <row r="1093" spans="1:6">
      <c r="A1093" t="s">
        <v>484</v>
      </c>
      <c r="B1093" s="35">
        <v>-1.3773893306068323</v>
      </c>
      <c r="C1093" s="35">
        <v>-1.5521003879162059</v>
      </c>
      <c r="D1093" s="35">
        <v>0.65590292152571228</v>
      </c>
      <c r="F1093" s="35" t="e">
        <f ca="1">MCond(B1092:D1094)</f>
        <v>#VALUE!</v>
      </c>
    </row>
    <row r="1094" spans="1:6">
      <c r="B1094" s="35">
        <v>1.4675604394566215</v>
      </c>
      <c r="C1094" s="35">
        <v>-1.3235781323919831</v>
      </c>
      <c r="D1094" s="35">
        <v>0.72564008456612294</v>
      </c>
      <c r="F1094" s="35"/>
    </row>
    <row r="1095" spans="1:6">
      <c r="B1095" s="35"/>
      <c r="C1095" s="35"/>
      <c r="D1095" s="35"/>
      <c r="F1095" s="157"/>
    </row>
    <row r="1096" spans="1:6">
      <c r="B1096" s="35">
        <v>1.0673702345396179</v>
      </c>
      <c r="C1096" s="35">
        <v>-2.4075843796929846</v>
      </c>
      <c r="D1096" s="35">
        <v>0.708799578341892</v>
      </c>
      <c r="F1096" s="35"/>
    </row>
    <row r="1097" spans="1:6">
      <c r="A1097" t="s">
        <v>485</v>
      </c>
      <c r="B1097" s="35">
        <v>-1.3773893306068323</v>
      </c>
      <c r="C1097" s="35">
        <v>-1.5521003879162059</v>
      </c>
      <c r="D1097" s="35">
        <v>0.65590292152571228</v>
      </c>
      <c r="F1097" s="35" t="e">
        <f ca="1">MCond(B1096:D1098)</f>
        <v>#VALUE!</v>
      </c>
    </row>
    <row r="1098" spans="1:6">
      <c r="B1098" s="35">
        <v>-1.0097006711160386</v>
      </c>
      <c r="C1098" s="35">
        <v>-0.26302086313966178</v>
      </c>
      <c r="D1098" s="35">
        <v>0.76545275918666766</v>
      </c>
      <c r="F1098" s="35"/>
    </row>
    <row r="1099" spans="1:6">
      <c r="B1099" s="35"/>
      <c r="C1099" s="35"/>
      <c r="D1099" s="35"/>
      <c r="F1099" s="157"/>
    </row>
    <row r="1100" spans="1:6">
      <c r="B1100" s="35">
        <v>1.0673702345396179</v>
      </c>
      <c r="C1100" s="35">
        <v>-2.4075843796929846</v>
      </c>
      <c r="D1100" s="35">
        <v>0.708799578341892</v>
      </c>
      <c r="F1100" s="35"/>
    </row>
    <row r="1101" spans="1:6">
      <c r="A1101" t="s">
        <v>486</v>
      </c>
      <c r="B1101" s="35">
        <v>-1.3773893306068323</v>
      </c>
      <c r="C1101" s="35">
        <v>-1.5521003879162059</v>
      </c>
      <c r="D1101" s="35">
        <v>0.65590292152571228</v>
      </c>
      <c r="F1101" s="35" t="e">
        <f ca="1">MCond(B1100:D1102)</f>
        <v>#VALUE!</v>
      </c>
    </row>
    <row r="1102" spans="1:6">
      <c r="B1102" s="35">
        <v>0.60912970227287866</v>
      </c>
      <c r="C1102" s="35">
        <v>-0.28261535739067112</v>
      </c>
      <c r="D1102" s="35">
        <v>0.68802996689194662</v>
      </c>
      <c r="F1102" s="35"/>
    </row>
    <row r="1103" spans="1:6">
      <c r="B1103" s="35"/>
      <c r="C1103" s="35"/>
      <c r="D1103" s="35"/>
      <c r="F1103" s="157"/>
    </row>
    <row r="1104" spans="1:6">
      <c r="B1104" s="35">
        <v>1.0673702345396179</v>
      </c>
      <c r="C1104" s="35">
        <v>-2.4075843796929846</v>
      </c>
      <c r="D1104" s="35">
        <v>0.708799578341892</v>
      </c>
      <c r="F1104" s="35"/>
    </row>
    <row r="1105" spans="1:6">
      <c r="A1105" t="s">
        <v>487</v>
      </c>
      <c r="B1105" s="35">
        <v>1.4675604394566215</v>
      </c>
      <c r="C1105" s="35">
        <v>-1.3235781323919831</v>
      </c>
      <c r="D1105" s="35">
        <v>0.72564008456612294</v>
      </c>
      <c r="F1105" s="35" t="e">
        <f ca="1">MCond(B1104:D1106)</f>
        <v>#VALUE!</v>
      </c>
    </row>
    <row r="1106" spans="1:6">
      <c r="B1106" s="35">
        <v>-1.0097006711160386</v>
      </c>
      <c r="C1106" s="35">
        <v>-0.26302086313966178</v>
      </c>
      <c r="D1106" s="35">
        <v>0.76545275918666766</v>
      </c>
      <c r="F1106" s="35"/>
    </row>
    <row r="1107" spans="1:6">
      <c r="B1107" s="35"/>
      <c r="C1107" s="35"/>
      <c r="D1107" s="35"/>
      <c r="F1107" s="157"/>
    </row>
    <row r="1108" spans="1:6">
      <c r="B1108" s="35">
        <v>1.0673702345396179</v>
      </c>
      <c r="C1108" s="35">
        <v>-2.4075843796929846</v>
      </c>
      <c r="D1108" s="35">
        <v>0.708799578341892</v>
      </c>
      <c r="F1108" s="35"/>
    </row>
    <row r="1109" spans="1:6">
      <c r="A1109" t="s">
        <v>488</v>
      </c>
      <c r="B1109" s="35">
        <v>1.4675604394566215</v>
      </c>
      <c r="C1109" s="35">
        <v>-1.3235781323919831</v>
      </c>
      <c r="D1109" s="35">
        <v>0.72564008456612294</v>
      </c>
      <c r="F1109" s="35" t="e">
        <f ca="1">MCond(B1108:D1110)</f>
        <v>#VALUE!</v>
      </c>
    </row>
    <row r="1110" spans="1:6">
      <c r="B1110" s="35">
        <v>0.60912970227287866</v>
      </c>
      <c r="C1110" s="35">
        <v>-0.28261535739067112</v>
      </c>
      <c r="D1110" s="35">
        <v>0.68802996689194662</v>
      </c>
      <c r="F1110" s="35"/>
    </row>
    <row r="1111" spans="1:6">
      <c r="B1111" s="35"/>
      <c r="C1111" s="35"/>
      <c r="D1111" s="35"/>
      <c r="F1111" s="157"/>
    </row>
    <row r="1112" spans="1:6">
      <c r="B1112" s="35">
        <v>1.0673702345396179</v>
      </c>
      <c r="C1112" s="35">
        <v>-2.4075843796929846</v>
      </c>
      <c r="D1112" s="35">
        <v>0.708799578341892</v>
      </c>
      <c r="F1112" s="35"/>
    </row>
    <row r="1113" spans="1:6">
      <c r="A1113" t="s">
        <v>489</v>
      </c>
      <c r="B1113" s="35">
        <v>-1.0097006711160386</v>
      </c>
      <c r="C1113" s="35">
        <v>-0.26302086313966178</v>
      </c>
      <c r="D1113" s="35">
        <v>0.76545275918666766</v>
      </c>
      <c r="F1113" s="35" t="e">
        <f ca="1">MCond(B1112:D1114)</f>
        <v>#VALUE!</v>
      </c>
    </row>
    <row r="1114" spans="1:6">
      <c r="B1114" s="35">
        <v>0.60912970227287866</v>
      </c>
      <c r="C1114" s="35">
        <v>-0.28261535739067112</v>
      </c>
      <c r="D1114" s="35">
        <v>0.68802996689194662</v>
      </c>
      <c r="F1114" s="35"/>
    </row>
    <row r="1115" spans="1:6">
      <c r="B1115" s="35"/>
      <c r="C1115" s="35"/>
      <c r="D1115" s="35"/>
      <c r="F1115" s="157"/>
    </row>
    <row r="1116" spans="1:6">
      <c r="B1116" s="35">
        <v>-1.3773893306068323</v>
      </c>
      <c r="C1116" s="35">
        <v>-1.5521003879162059</v>
      </c>
      <c r="D1116" s="35">
        <v>0.65590292152571228</v>
      </c>
      <c r="F1116" s="35"/>
    </row>
    <row r="1117" spans="1:6">
      <c r="A1117" t="s">
        <v>490</v>
      </c>
      <c r="B1117" s="35">
        <v>1.4675604394566215</v>
      </c>
      <c r="C1117" s="35">
        <v>-1.3235781323919831</v>
      </c>
      <c r="D1117" s="35">
        <v>0.72564008456612294</v>
      </c>
      <c r="F1117" s="35" t="e">
        <f ca="1">MCond(B1116:D1118)</f>
        <v>#VALUE!</v>
      </c>
    </row>
    <row r="1118" spans="1:6">
      <c r="B1118" s="35">
        <v>-1.0097006711160386</v>
      </c>
      <c r="C1118" s="35">
        <v>-0.26302086313966178</v>
      </c>
      <c r="D1118" s="35">
        <v>0.76545275918666766</v>
      </c>
      <c r="F1118" s="35"/>
    </row>
    <row r="1119" spans="1:6">
      <c r="B1119" s="35"/>
      <c r="C1119" s="35"/>
      <c r="D1119" s="35"/>
      <c r="F1119" s="157"/>
    </row>
    <row r="1120" spans="1:6">
      <c r="B1120" s="35">
        <v>-1.3773893306068323</v>
      </c>
      <c r="C1120" s="35">
        <v>-1.5521003879162059</v>
      </c>
      <c r="D1120" s="35">
        <v>0.65590292152571228</v>
      </c>
      <c r="F1120" s="35"/>
    </row>
    <row r="1121" spans="1:8">
      <c r="A1121" t="s">
        <v>491</v>
      </c>
      <c r="B1121" s="35">
        <v>1.4675604394566215</v>
      </c>
      <c r="C1121" s="35">
        <v>-1.3235781323919831</v>
      </c>
      <c r="D1121" s="35">
        <v>0.72564008456612294</v>
      </c>
      <c r="F1121" s="35" t="e">
        <f ca="1">MCond(B1120:D1122)</f>
        <v>#VALUE!</v>
      </c>
    </row>
    <row r="1122" spans="1:8">
      <c r="B1122" s="35">
        <v>0.60912970227287866</v>
      </c>
      <c r="C1122" s="35">
        <v>-0.28261535739067112</v>
      </c>
      <c r="D1122" s="35">
        <v>0.68802996689194662</v>
      </c>
      <c r="F1122" s="35"/>
    </row>
    <row r="1123" spans="1:8">
      <c r="B1123" s="35"/>
      <c r="C1123" s="35"/>
      <c r="D1123" s="35"/>
      <c r="F1123" s="157"/>
    </row>
    <row r="1124" spans="1:8">
      <c r="B1124" s="35">
        <v>-1.3773893306068323</v>
      </c>
      <c r="C1124" s="35">
        <v>-1.5521003879162059</v>
      </c>
      <c r="D1124" s="35">
        <v>0.65590292152571228</v>
      </c>
      <c r="F1124" s="35"/>
    </row>
    <row r="1125" spans="1:8">
      <c r="A1125" t="s">
        <v>492</v>
      </c>
      <c r="B1125" s="35">
        <v>-1.0097006711160386</v>
      </c>
      <c r="C1125" s="35">
        <v>-0.26302086313966178</v>
      </c>
      <c r="D1125" s="35">
        <v>0.76545275918666766</v>
      </c>
      <c r="F1125" s="35" t="e">
        <f ca="1">MCond(B1124:D1126)</f>
        <v>#VALUE!</v>
      </c>
    </row>
    <row r="1126" spans="1:8">
      <c r="B1126" s="35">
        <v>0.60912970227287866</v>
      </c>
      <c r="C1126" s="35">
        <v>-0.28261535739067112</v>
      </c>
      <c r="D1126" s="35">
        <v>0.68802996689194662</v>
      </c>
      <c r="F1126" s="35"/>
    </row>
    <row r="1127" spans="1:8">
      <c r="B1127" s="35"/>
      <c r="C1127" s="35"/>
      <c r="D1127" s="35"/>
      <c r="F1127" s="157"/>
    </row>
    <row r="1128" spans="1:8">
      <c r="B1128" s="35">
        <v>1.4675604394566215</v>
      </c>
      <c r="C1128" s="35">
        <v>-1.3235781323919831</v>
      </c>
      <c r="D1128" s="35">
        <v>0.72564008456612294</v>
      </c>
      <c r="F1128" s="35"/>
      <c r="G1128" s="35"/>
      <c r="H1128" s="35"/>
    </row>
    <row r="1129" spans="1:8">
      <c r="A1129" t="s">
        <v>493</v>
      </c>
      <c r="B1129" s="35">
        <v>-1.0097006711160386</v>
      </c>
      <c r="C1129" s="35">
        <v>-0.26302086313966178</v>
      </c>
      <c r="D1129" s="35">
        <v>0.76545275918666766</v>
      </c>
      <c r="F1129" s="35" t="e">
        <f ca="1">MCond(B1128:D1130)</f>
        <v>#VALUE!</v>
      </c>
      <c r="G1129" s="35"/>
      <c r="H1129" s="35"/>
    </row>
    <row r="1130" spans="1:8">
      <c r="B1130" s="35">
        <v>0.60912970227287866</v>
      </c>
      <c r="C1130" s="35">
        <v>-0.28261535739067112</v>
      </c>
      <c r="D1130" s="35">
        <v>0.68802996689194662</v>
      </c>
      <c r="F1130" s="35"/>
      <c r="G1130" s="35"/>
      <c r="H1130" s="35"/>
    </row>
  </sheetData>
  <conditionalFormatting sqref="G144:H146">
    <cfRule type="cellIs" dxfId="1" priority="2" operator="equal">
      <formula>"0$B$148:$D$150"</formula>
    </cfRule>
  </conditionalFormatting>
  <conditionalFormatting sqref="G140:H142">
    <cfRule type="cellIs" dxfId="0" priority="1" operator="equal">
      <formula>"0$B$148:$D$150"</formula>
    </cfRule>
  </conditionalFormatting>
  <pageMargins left="0.7" right="0.7" top="0.78740157499999996" bottom="0.78740157499999996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Tabelle10"/>
  <dimension ref="B2:B1039"/>
  <sheetViews>
    <sheetView zoomScale="85" zoomScaleNormal="85" workbookViewId="0">
      <selection activeCell="D19" sqref="D19"/>
    </sheetView>
  </sheetViews>
  <sheetFormatPr baseColWidth="10" defaultRowHeight="15"/>
  <sheetData>
    <row r="2" spans="2:2">
      <c r="B2" s="35"/>
    </row>
    <row r="3" spans="2:2">
      <c r="B3" s="35"/>
    </row>
    <row r="4" spans="2:2">
      <c r="B4" s="35"/>
    </row>
    <row r="5" spans="2:2">
      <c r="B5" s="35"/>
    </row>
    <row r="6" spans="2:2">
      <c r="B6" s="35"/>
    </row>
    <row r="7" spans="2:2">
      <c r="B7" s="35"/>
    </row>
    <row r="8" spans="2:2">
      <c r="B8" s="35"/>
    </row>
    <row r="9" spans="2:2">
      <c r="B9" s="35"/>
    </row>
    <row r="10" spans="2:2">
      <c r="B10" s="35"/>
    </row>
    <row r="11" spans="2:2">
      <c r="B11" s="35"/>
    </row>
    <row r="12" spans="2:2">
      <c r="B12" s="35"/>
    </row>
    <row r="13" spans="2:2">
      <c r="B13" s="35"/>
    </row>
    <row r="14" spans="2:2">
      <c r="B14" s="35"/>
    </row>
    <row r="15" spans="2:2">
      <c r="B15" s="35"/>
    </row>
    <row r="16" spans="2:2">
      <c r="B16" s="35"/>
    </row>
    <row r="17" spans="2:2">
      <c r="B17" s="35"/>
    </row>
    <row r="18" spans="2:2">
      <c r="B18" s="35"/>
    </row>
    <row r="19" spans="2:2">
      <c r="B19" s="35"/>
    </row>
    <row r="20" spans="2:2">
      <c r="B20" s="35"/>
    </row>
    <row r="21" spans="2:2">
      <c r="B21" s="35"/>
    </row>
    <row r="22" spans="2:2">
      <c r="B22" s="35"/>
    </row>
    <row r="23" spans="2:2">
      <c r="B23" s="35"/>
    </row>
    <row r="24" spans="2:2">
      <c r="B24" s="35"/>
    </row>
    <row r="25" spans="2:2">
      <c r="B25" s="35"/>
    </row>
    <row r="26" spans="2:2">
      <c r="B26" s="35"/>
    </row>
    <row r="27" spans="2:2">
      <c r="B27" s="35"/>
    </row>
    <row r="28" spans="2:2">
      <c r="B28" s="35"/>
    </row>
    <row r="29" spans="2:2">
      <c r="B29" s="35"/>
    </row>
    <row r="30" spans="2:2">
      <c r="B30" s="35"/>
    </row>
    <row r="31" spans="2:2">
      <c r="B31" s="35"/>
    </row>
    <row r="32" spans="2:2">
      <c r="B32" s="157"/>
    </row>
    <row r="33" spans="2:2">
      <c r="B33" s="35"/>
    </row>
    <row r="34" spans="2:2">
      <c r="B34" s="35"/>
    </row>
    <row r="35" spans="2:2">
      <c r="B35" s="35"/>
    </row>
    <row r="36" spans="2:2">
      <c r="B36" s="157"/>
    </row>
    <row r="37" spans="2:2">
      <c r="B37" s="35"/>
    </row>
    <row r="38" spans="2:2">
      <c r="B38" s="35"/>
    </row>
    <row r="39" spans="2:2">
      <c r="B39" s="35"/>
    </row>
    <row r="40" spans="2:2">
      <c r="B40" s="157"/>
    </row>
    <row r="41" spans="2:2">
      <c r="B41" s="35"/>
    </row>
    <row r="42" spans="2:2">
      <c r="B42" s="35"/>
    </row>
    <row r="43" spans="2:2">
      <c r="B43" s="35"/>
    </row>
    <row r="44" spans="2:2" ht="19.5" customHeight="1">
      <c r="B44" s="157"/>
    </row>
    <row r="45" spans="2:2">
      <c r="B45" s="35"/>
    </row>
    <row r="46" spans="2:2">
      <c r="B46" s="35"/>
    </row>
    <row r="47" spans="2:2">
      <c r="B47" s="35"/>
    </row>
    <row r="48" spans="2:2">
      <c r="B48" s="157"/>
    </row>
    <row r="49" spans="2:2">
      <c r="B49" s="35"/>
    </row>
    <row r="50" spans="2:2">
      <c r="B50" s="35"/>
    </row>
    <row r="51" spans="2:2">
      <c r="B51" s="35"/>
    </row>
    <row r="52" spans="2:2">
      <c r="B52" s="157"/>
    </row>
    <row r="53" spans="2:2">
      <c r="B53" s="35"/>
    </row>
    <row r="54" spans="2:2">
      <c r="B54" s="35"/>
    </row>
    <row r="55" spans="2:2">
      <c r="B55" s="35"/>
    </row>
    <row r="56" spans="2:2">
      <c r="B56" s="157"/>
    </row>
    <row r="57" spans="2:2">
      <c r="B57" s="35"/>
    </row>
    <row r="58" spans="2:2">
      <c r="B58" s="35"/>
    </row>
    <row r="59" spans="2:2">
      <c r="B59" s="35"/>
    </row>
    <row r="60" spans="2:2">
      <c r="B60" s="157"/>
    </row>
    <row r="61" spans="2:2">
      <c r="B61" s="35"/>
    </row>
    <row r="62" spans="2:2">
      <c r="B62" s="35"/>
    </row>
    <row r="63" spans="2:2">
      <c r="B63" s="35"/>
    </row>
    <row r="64" spans="2:2">
      <c r="B64" s="157"/>
    </row>
    <row r="65" spans="2:2">
      <c r="B65" s="35"/>
    </row>
    <row r="66" spans="2:2">
      <c r="B66" s="35"/>
    </row>
    <row r="67" spans="2:2">
      <c r="B67" s="35"/>
    </row>
    <row r="68" spans="2:2">
      <c r="B68" s="157"/>
    </row>
    <row r="69" spans="2:2">
      <c r="B69" s="35"/>
    </row>
    <row r="70" spans="2:2">
      <c r="B70" s="35"/>
    </row>
    <row r="71" spans="2:2">
      <c r="B71" s="35"/>
    </row>
    <row r="72" spans="2:2">
      <c r="B72" s="157"/>
    </row>
    <row r="73" spans="2:2">
      <c r="B73" s="35"/>
    </row>
    <row r="74" spans="2:2">
      <c r="B74" s="35"/>
    </row>
    <row r="75" spans="2:2">
      <c r="B75" s="35"/>
    </row>
    <row r="76" spans="2:2">
      <c r="B76" s="157"/>
    </row>
    <row r="77" spans="2:2">
      <c r="B77" s="35"/>
    </row>
    <row r="78" spans="2:2">
      <c r="B78" s="35"/>
    </row>
    <row r="79" spans="2:2">
      <c r="B79" s="35"/>
    </row>
    <row r="80" spans="2:2">
      <c r="B80" s="157"/>
    </row>
    <row r="81" spans="2:2">
      <c r="B81" s="35"/>
    </row>
    <row r="82" spans="2:2">
      <c r="B82" s="35"/>
    </row>
    <row r="83" spans="2:2">
      <c r="B83" s="35"/>
    </row>
    <row r="84" spans="2:2">
      <c r="B84" s="157"/>
    </row>
    <row r="85" spans="2:2">
      <c r="B85" s="35"/>
    </row>
    <row r="86" spans="2:2">
      <c r="B86" s="35"/>
    </row>
    <row r="87" spans="2:2">
      <c r="B87" s="35"/>
    </row>
    <row r="88" spans="2:2">
      <c r="B88" s="157"/>
    </row>
    <row r="89" spans="2:2">
      <c r="B89" s="35"/>
    </row>
    <row r="90" spans="2:2">
      <c r="B90" s="35"/>
    </row>
    <row r="91" spans="2:2">
      <c r="B91" s="35"/>
    </row>
    <row r="92" spans="2:2">
      <c r="B92" s="157"/>
    </row>
    <row r="93" spans="2:2">
      <c r="B93" s="35"/>
    </row>
    <row r="94" spans="2:2">
      <c r="B94" s="35"/>
    </row>
    <row r="95" spans="2:2">
      <c r="B95" s="35"/>
    </row>
    <row r="96" spans="2:2">
      <c r="B96" s="157"/>
    </row>
    <row r="97" spans="2:2">
      <c r="B97" s="35"/>
    </row>
    <row r="98" spans="2:2">
      <c r="B98" s="35"/>
    </row>
    <row r="99" spans="2:2">
      <c r="B99" s="35"/>
    </row>
    <row r="100" spans="2:2">
      <c r="B100" s="157"/>
    </row>
    <row r="101" spans="2:2">
      <c r="B101" s="35"/>
    </row>
    <row r="102" spans="2:2">
      <c r="B102" s="35"/>
    </row>
    <row r="103" spans="2:2">
      <c r="B103" s="35"/>
    </row>
    <row r="104" spans="2:2">
      <c r="B104" s="157"/>
    </row>
    <row r="105" spans="2:2">
      <c r="B105" s="35"/>
    </row>
    <row r="106" spans="2:2">
      <c r="B106" s="35"/>
    </row>
    <row r="107" spans="2:2">
      <c r="B107" s="35"/>
    </row>
    <row r="108" spans="2:2">
      <c r="B108" s="157"/>
    </row>
    <row r="109" spans="2:2">
      <c r="B109" s="35"/>
    </row>
    <row r="110" spans="2:2">
      <c r="B110" s="35"/>
    </row>
    <row r="111" spans="2:2">
      <c r="B111" s="35"/>
    </row>
    <row r="112" spans="2:2">
      <c r="B112" s="157"/>
    </row>
    <row r="113" spans="2:2">
      <c r="B113" s="35"/>
    </row>
    <row r="114" spans="2:2">
      <c r="B114" s="35"/>
    </row>
    <row r="115" spans="2:2">
      <c r="B115" s="35"/>
    </row>
    <row r="116" spans="2:2">
      <c r="B116" s="157"/>
    </row>
    <row r="117" spans="2:2">
      <c r="B117" s="35"/>
    </row>
    <row r="118" spans="2:2">
      <c r="B118" s="35"/>
    </row>
    <row r="119" spans="2:2">
      <c r="B119" s="35"/>
    </row>
    <row r="120" spans="2:2">
      <c r="B120" s="157"/>
    </row>
    <row r="121" spans="2:2">
      <c r="B121" s="35"/>
    </row>
    <row r="122" spans="2:2">
      <c r="B122" s="35"/>
    </row>
    <row r="123" spans="2:2">
      <c r="B123" s="35"/>
    </row>
    <row r="124" spans="2:2">
      <c r="B124" s="157"/>
    </row>
    <row r="125" spans="2:2">
      <c r="B125" s="35"/>
    </row>
    <row r="126" spans="2:2">
      <c r="B126" s="35"/>
    </row>
    <row r="127" spans="2:2">
      <c r="B127" s="35"/>
    </row>
    <row r="128" spans="2:2">
      <c r="B128" s="157"/>
    </row>
    <row r="129" spans="2:2">
      <c r="B129" s="35"/>
    </row>
    <row r="130" spans="2:2">
      <c r="B130" s="35"/>
    </row>
    <row r="131" spans="2:2">
      <c r="B131" s="35"/>
    </row>
    <row r="132" spans="2:2">
      <c r="B132" s="157"/>
    </row>
    <row r="133" spans="2:2">
      <c r="B133" s="35"/>
    </row>
    <row r="134" spans="2:2">
      <c r="B134" s="35"/>
    </row>
    <row r="135" spans="2:2">
      <c r="B135" s="35"/>
    </row>
    <row r="136" spans="2:2">
      <c r="B136" s="157"/>
    </row>
    <row r="137" spans="2:2">
      <c r="B137" s="35"/>
    </row>
    <row r="138" spans="2:2">
      <c r="B138" s="35"/>
    </row>
    <row r="139" spans="2:2">
      <c r="B139" s="35"/>
    </row>
    <row r="140" spans="2:2">
      <c r="B140" s="157"/>
    </row>
    <row r="141" spans="2:2">
      <c r="B141" s="35"/>
    </row>
    <row r="142" spans="2:2">
      <c r="B142" s="35"/>
    </row>
    <row r="143" spans="2:2">
      <c r="B143" s="35"/>
    </row>
    <row r="144" spans="2:2">
      <c r="B144" s="157"/>
    </row>
    <row r="145" spans="2:2">
      <c r="B145" s="35"/>
    </row>
    <row r="146" spans="2:2">
      <c r="B146" s="35"/>
    </row>
    <row r="147" spans="2:2">
      <c r="B147" s="35"/>
    </row>
    <row r="148" spans="2:2">
      <c r="B148" s="157"/>
    </row>
    <row r="149" spans="2:2">
      <c r="B149" s="35"/>
    </row>
    <row r="150" spans="2:2">
      <c r="B150" s="35"/>
    </row>
    <row r="151" spans="2:2">
      <c r="B151" s="35"/>
    </row>
    <row r="152" spans="2:2">
      <c r="B152" s="157"/>
    </row>
    <row r="153" spans="2:2">
      <c r="B153" s="35"/>
    </row>
    <row r="154" spans="2:2">
      <c r="B154" s="35"/>
    </row>
    <row r="155" spans="2:2">
      <c r="B155" s="35"/>
    </row>
    <row r="156" spans="2:2">
      <c r="B156" s="157"/>
    </row>
    <row r="157" spans="2:2">
      <c r="B157" s="35"/>
    </row>
    <row r="158" spans="2:2">
      <c r="B158" s="35"/>
    </row>
    <row r="159" spans="2:2">
      <c r="B159" s="35"/>
    </row>
    <row r="160" spans="2:2">
      <c r="B160" s="157"/>
    </row>
    <row r="161" spans="2:2">
      <c r="B161" s="35"/>
    </row>
    <row r="162" spans="2:2">
      <c r="B162" s="35"/>
    </row>
    <row r="163" spans="2:2">
      <c r="B163" s="35"/>
    </row>
    <row r="164" spans="2:2">
      <c r="B164" s="157"/>
    </row>
    <row r="165" spans="2:2">
      <c r="B165" s="35"/>
    </row>
    <row r="166" spans="2:2">
      <c r="B166" s="35"/>
    </row>
    <row r="167" spans="2:2">
      <c r="B167" s="35"/>
    </row>
    <row r="168" spans="2:2">
      <c r="B168" s="157"/>
    </row>
    <row r="169" spans="2:2">
      <c r="B169" s="35"/>
    </row>
    <row r="170" spans="2:2">
      <c r="B170" s="35"/>
    </row>
    <row r="171" spans="2:2">
      <c r="B171" s="35"/>
    </row>
    <row r="172" spans="2:2">
      <c r="B172" s="157"/>
    </row>
    <row r="173" spans="2:2">
      <c r="B173" s="35"/>
    </row>
    <row r="174" spans="2:2">
      <c r="B174" s="35"/>
    </row>
    <row r="175" spans="2:2">
      <c r="B175" s="35"/>
    </row>
    <row r="176" spans="2:2">
      <c r="B176" s="157"/>
    </row>
    <row r="177" spans="2:2">
      <c r="B177" s="35"/>
    </row>
    <row r="178" spans="2:2">
      <c r="B178" s="35"/>
    </row>
    <row r="179" spans="2:2">
      <c r="B179" s="35"/>
    </row>
    <row r="180" spans="2:2">
      <c r="B180" s="157"/>
    </row>
    <row r="181" spans="2:2">
      <c r="B181" s="35"/>
    </row>
    <row r="182" spans="2:2">
      <c r="B182" s="35"/>
    </row>
    <row r="183" spans="2:2">
      <c r="B183" s="35"/>
    </row>
    <row r="184" spans="2:2">
      <c r="B184" s="157"/>
    </row>
    <row r="185" spans="2:2">
      <c r="B185" s="35"/>
    </row>
    <row r="186" spans="2:2">
      <c r="B186" s="35"/>
    </row>
    <row r="187" spans="2:2">
      <c r="B187" s="35"/>
    </row>
    <row r="188" spans="2:2">
      <c r="B188" s="157"/>
    </row>
    <row r="189" spans="2:2">
      <c r="B189" s="35"/>
    </row>
    <row r="190" spans="2:2">
      <c r="B190" s="35"/>
    </row>
    <row r="191" spans="2:2">
      <c r="B191" s="35"/>
    </row>
    <row r="192" spans="2:2">
      <c r="B192" s="157"/>
    </row>
    <row r="193" spans="2:2">
      <c r="B193" s="35"/>
    </row>
    <row r="194" spans="2:2">
      <c r="B194" s="35"/>
    </row>
    <row r="195" spans="2:2">
      <c r="B195" s="35"/>
    </row>
    <row r="196" spans="2:2">
      <c r="B196" s="157"/>
    </row>
    <row r="197" spans="2:2">
      <c r="B197" s="35"/>
    </row>
    <row r="198" spans="2:2">
      <c r="B198" s="35"/>
    </row>
    <row r="199" spans="2:2">
      <c r="B199" s="35"/>
    </row>
    <row r="200" spans="2:2">
      <c r="B200" s="157"/>
    </row>
    <row r="201" spans="2:2">
      <c r="B201" s="35"/>
    </row>
    <row r="202" spans="2:2">
      <c r="B202" s="35"/>
    </row>
    <row r="203" spans="2:2">
      <c r="B203" s="35"/>
    </row>
    <row r="204" spans="2:2">
      <c r="B204" s="157"/>
    </row>
    <row r="205" spans="2:2">
      <c r="B205" s="35"/>
    </row>
    <row r="206" spans="2:2">
      <c r="B206" s="35"/>
    </row>
    <row r="207" spans="2:2">
      <c r="B207" s="35"/>
    </row>
    <row r="208" spans="2:2">
      <c r="B208" s="157"/>
    </row>
    <row r="209" spans="2:2">
      <c r="B209" s="35"/>
    </row>
    <row r="210" spans="2:2">
      <c r="B210" s="35"/>
    </row>
    <row r="211" spans="2:2">
      <c r="B211" s="35"/>
    </row>
    <row r="212" spans="2:2">
      <c r="B212" s="157"/>
    </row>
    <row r="213" spans="2:2">
      <c r="B213" s="35"/>
    </row>
    <row r="214" spans="2:2">
      <c r="B214" s="35"/>
    </row>
    <row r="215" spans="2:2">
      <c r="B215" s="35"/>
    </row>
    <row r="216" spans="2:2">
      <c r="B216" s="157"/>
    </row>
    <row r="217" spans="2:2">
      <c r="B217" s="35"/>
    </row>
    <row r="218" spans="2:2">
      <c r="B218" s="35"/>
    </row>
    <row r="219" spans="2:2">
      <c r="B219" s="35"/>
    </row>
    <row r="220" spans="2:2">
      <c r="B220" s="157"/>
    </row>
    <row r="221" spans="2:2">
      <c r="B221" s="35"/>
    </row>
    <row r="222" spans="2:2">
      <c r="B222" s="35"/>
    </row>
    <row r="223" spans="2:2">
      <c r="B223" s="35"/>
    </row>
    <row r="224" spans="2:2">
      <c r="B224" s="157"/>
    </row>
    <row r="225" spans="2:2">
      <c r="B225" s="35"/>
    </row>
    <row r="226" spans="2:2">
      <c r="B226" s="35"/>
    </row>
    <row r="227" spans="2:2">
      <c r="B227" s="35"/>
    </row>
    <row r="228" spans="2:2">
      <c r="B228" s="157"/>
    </row>
    <row r="229" spans="2:2">
      <c r="B229" s="35"/>
    </row>
    <row r="230" spans="2:2">
      <c r="B230" s="35"/>
    </row>
    <row r="231" spans="2:2">
      <c r="B231" s="35"/>
    </row>
    <row r="232" spans="2:2">
      <c r="B232" s="157"/>
    </row>
    <row r="233" spans="2:2">
      <c r="B233" s="35"/>
    </row>
    <row r="234" spans="2:2">
      <c r="B234" s="35"/>
    </row>
    <row r="235" spans="2:2">
      <c r="B235" s="35"/>
    </row>
    <row r="236" spans="2:2">
      <c r="B236" s="157"/>
    </row>
    <row r="237" spans="2:2">
      <c r="B237" s="35"/>
    </row>
    <row r="238" spans="2:2">
      <c r="B238" s="35"/>
    </row>
    <row r="239" spans="2:2">
      <c r="B239" s="35"/>
    </row>
    <row r="240" spans="2:2">
      <c r="B240" s="157"/>
    </row>
    <row r="241" spans="2:2">
      <c r="B241" s="35"/>
    </row>
    <row r="242" spans="2:2">
      <c r="B242" s="35"/>
    </row>
    <row r="243" spans="2:2">
      <c r="B243" s="35"/>
    </row>
    <row r="244" spans="2:2">
      <c r="B244" s="157"/>
    </row>
    <row r="245" spans="2:2">
      <c r="B245" s="35"/>
    </row>
    <row r="246" spans="2:2">
      <c r="B246" s="35"/>
    </row>
    <row r="247" spans="2:2">
      <c r="B247" s="35"/>
    </row>
    <row r="248" spans="2:2">
      <c r="B248" s="157"/>
    </row>
    <row r="249" spans="2:2">
      <c r="B249" s="35"/>
    </row>
    <row r="250" spans="2:2">
      <c r="B250" s="35"/>
    </row>
    <row r="251" spans="2:2">
      <c r="B251" s="35"/>
    </row>
    <row r="252" spans="2:2">
      <c r="B252" s="157"/>
    </row>
    <row r="253" spans="2:2">
      <c r="B253" s="35"/>
    </row>
    <row r="254" spans="2:2">
      <c r="B254" s="35"/>
    </row>
    <row r="255" spans="2:2">
      <c r="B255" s="35"/>
    </row>
    <row r="256" spans="2:2">
      <c r="B256" s="157"/>
    </row>
    <row r="257" spans="2:2">
      <c r="B257" s="35"/>
    </row>
    <row r="258" spans="2:2">
      <c r="B258" s="35"/>
    </row>
    <row r="259" spans="2:2">
      <c r="B259" s="35"/>
    </row>
    <row r="260" spans="2:2">
      <c r="B260" s="157"/>
    </row>
    <row r="261" spans="2:2">
      <c r="B261" s="35"/>
    </row>
    <row r="262" spans="2:2">
      <c r="B262" s="35"/>
    </row>
    <row r="263" spans="2:2">
      <c r="B263" s="35"/>
    </row>
    <row r="264" spans="2:2">
      <c r="B264" s="157"/>
    </row>
    <row r="265" spans="2:2">
      <c r="B265" s="35"/>
    </row>
    <row r="266" spans="2:2">
      <c r="B266" s="35"/>
    </row>
    <row r="267" spans="2:2">
      <c r="B267" s="35"/>
    </row>
    <row r="268" spans="2:2">
      <c r="B268" s="157"/>
    </row>
    <row r="269" spans="2:2">
      <c r="B269" s="35"/>
    </row>
    <row r="270" spans="2:2">
      <c r="B270" s="35"/>
    </row>
    <row r="271" spans="2:2">
      <c r="B271" s="35"/>
    </row>
    <row r="272" spans="2:2">
      <c r="B272" s="157"/>
    </row>
    <row r="273" spans="2:2">
      <c r="B273" s="35"/>
    </row>
    <row r="274" spans="2:2">
      <c r="B274" s="35"/>
    </row>
    <row r="275" spans="2:2">
      <c r="B275" s="35"/>
    </row>
    <row r="276" spans="2:2">
      <c r="B276" s="157"/>
    </row>
    <row r="277" spans="2:2">
      <c r="B277" s="35"/>
    </row>
    <row r="278" spans="2:2">
      <c r="B278" s="35"/>
    </row>
    <row r="279" spans="2:2">
      <c r="B279" s="35"/>
    </row>
    <row r="280" spans="2:2">
      <c r="B280" s="157"/>
    </row>
    <row r="281" spans="2:2">
      <c r="B281" s="35"/>
    </row>
    <row r="282" spans="2:2">
      <c r="B282" s="35"/>
    </row>
    <row r="283" spans="2:2">
      <c r="B283" s="35"/>
    </row>
    <row r="284" spans="2:2">
      <c r="B284" s="157"/>
    </row>
    <row r="285" spans="2:2">
      <c r="B285" s="35"/>
    </row>
    <row r="286" spans="2:2">
      <c r="B286" s="35"/>
    </row>
    <row r="287" spans="2:2">
      <c r="B287" s="35"/>
    </row>
    <row r="288" spans="2:2">
      <c r="B288" s="157"/>
    </row>
    <row r="289" spans="2:2">
      <c r="B289" s="35"/>
    </row>
    <row r="290" spans="2:2">
      <c r="B290" s="35"/>
    </row>
    <row r="291" spans="2:2">
      <c r="B291" s="35"/>
    </row>
    <row r="292" spans="2:2">
      <c r="B292" s="157"/>
    </row>
    <row r="293" spans="2:2">
      <c r="B293" s="35"/>
    </row>
    <row r="294" spans="2:2">
      <c r="B294" s="35"/>
    </row>
    <row r="295" spans="2:2">
      <c r="B295" s="35"/>
    </row>
    <row r="296" spans="2:2">
      <c r="B296" s="157"/>
    </row>
    <row r="297" spans="2:2">
      <c r="B297" s="35"/>
    </row>
    <row r="298" spans="2:2">
      <c r="B298" s="35"/>
    </row>
    <row r="299" spans="2:2">
      <c r="B299" s="35"/>
    </row>
    <row r="300" spans="2:2">
      <c r="B300" s="157"/>
    </row>
    <row r="301" spans="2:2">
      <c r="B301" s="35"/>
    </row>
    <row r="302" spans="2:2">
      <c r="B302" s="35"/>
    </row>
    <row r="303" spans="2:2">
      <c r="B303" s="35"/>
    </row>
    <row r="304" spans="2:2">
      <c r="B304" s="157"/>
    </row>
    <row r="305" spans="2:2">
      <c r="B305" s="35"/>
    </row>
    <row r="306" spans="2:2">
      <c r="B306" s="35"/>
    </row>
    <row r="307" spans="2:2">
      <c r="B307" s="35"/>
    </row>
    <row r="308" spans="2:2">
      <c r="B308" s="157"/>
    </row>
    <row r="309" spans="2:2">
      <c r="B309" s="35"/>
    </row>
    <row r="310" spans="2:2">
      <c r="B310" s="35"/>
    </row>
    <row r="311" spans="2:2">
      <c r="B311" s="35"/>
    </row>
    <row r="312" spans="2:2">
      <c r="B312" s="157"/>
    </row>
    <row r="313" spans="2:2">
      <c r="B313" s="35"/>
    </row>
    <row r="314" spans="2:2">
      <c r="B314" s="35"/>
    </row>
    <row r="315" spans="2:2">
      <c r="B315" s="35"/>
    </row>
    <row r="316" spans="2:2">
      <c r="B316" s="157"/>
    </row>
    <row r="317" spans="2:2">
      <c r="B317" s="35"/>
    </row>
    <row r="318" spans="2:2">
      <c r="B318" s="35"/>
    </row>
    <row r="319" spans="2:2">
      <c r="B319" s="35"/>
    </row>
    <row r="320" spans="2:2">
      <c r="B320" s="157"/>
    </row>
    <row r="321" spans="2:2">
      <c r="B321" s="35"/>
    </row>
    <row r="322" spans="2:2">
      <c r="B322" s="35"/>
    </row>
    <row r="323" spans="2:2">
      <c r="B323" s="35"/>
    </row>
    <row r="324" spans="2:2">
      <c r="B324" s="157"/>
    </row>
    <row r="325" spans="2:2">
      <c r="B325" s="35"/>
    </row>
    <row r="326" spans="2:2">
      <c r="B326" s="35"/>
    </row>
    <row r="327" spans="2:2">
      <c r="B327" s="35"/>
    </row>
    <row r="328" spans="2:2">
      <c r="B328" s="157"/>
    </row>
    <row r="329" spans="2:2">
      <c r="B329" s="35"/>
    </row>
    <row r="330" spans="2:2">
      <c r="B330" s="35"/>
    </row>
    <row r="331" spans="2:2">
      <c r="B331" s="35"/>
    </row>
    <row r="332" spans="2:2">
      <c r="B332" s="157"/>
    </row>
    <row r="333" spans="2:2">
      <c r="B333" s="35"/>
    </row>
    <row r="334" spans="2:2">
      <c r="B334" s="35"/>
    </row>
    <row r="335" spans="2:2">
      <c r="B335" s="35"/>
    </row>
    <row r="336" spans="2:2">
      <c r="B336" s="157"/>
    </row>
    <row r="337" spans="2:2">
      <c r="B337" s="35"/>
    </row>
    <row r="338" spans="2:2">
      <c r="B338" s="35"/>
    </row>
    <row r="339" spans="2:2">
      <c r="B339" s="35"/>
    </row>
    <row r="340" spans="2:2">
      <c r="B340" s="157"/>
    </row>
    <row r="341" spans="2:2">
      <c r="B341" s="35"/>
    </row>
    <row r="342" spans="2:2">
      <c r="B342" s="35"/>
    </row>
    <row r="343" spans="2:2">
      <c r="B343" s="35"/>
    </row>
    <row r="344" spans="2:2">
      <c r="B344" s="157"/>
    </row>
    <row r="345" spans="2:2">
      <c r="B345" s="35"/>
    </row>
    <row r="346" spans="2:2">
      <c r="B346" s="35"/>
    </row>
    <row r="347" spans="2:2">
      <c r="B347" s="35"/>
    </row>
    <row r="348" spans="2:2">
      <c r="B348" s="157"/>
    </row>
    <row r="349" spans="2:2">
      <c r="B349" s="35"/>
    </row>
    <row r="350" spans="2:2">
      <c r="B350" s="35"/>
    </row>
    <row r="351" spans="2:2">
      <c r="B351" s="35"/>
    </row>
    <row r="352" spans="2:2">
      <c r="B352" s="157"/>
    </row>
    <row r="353" spans="2:2">
      <c r="B353" s="35"/>
    </row>
    <row r="354" spans="2:2">
      <c r="B354" s="35"/>
    </row>
    <row r="355" spans="2:2">
      <c r="B355" s="35"/>
    </row>
    <row r="356" spans="2:2">
      <c r="B356" s="157"/>
    </row>
    <row r="357" spans="2:2">
      <c r="B357" s="35"/>
    </row>
    <row r="358" spans="2:2">
      <c r="B358" s="35"/>
    </row>
    <row r="359" spans="2:2">
      <c r="B359" s="35"/>
    </row>
    <row r="360" spans="2:2">
      <c r="B360" s="157"/>
    </row>
    <row r="361" spans="2:2">
      <c r="B361" s="35"/>
    </row>
    <row r="362" spans="2:2">
      <c r="B362" s="35"/>
    </row>
    <row r="363" spans="2:2">
      <c r="B363" s="35"/>
    </row>
    <row r="364" spans="2:2">
      <c r="B364" s="157"/>
    </row>
    <row r="365" spans="2:2">
      <c r="B365" s="35"/>
    </row>
    <row r="366" spans="2:2">
      <c r="B366" s="35"/>
    </row>
    <row r="367" spans="2:2">
      <c r="B367" s="35"/>
    </row>
    <row r="368" spans="2:2">
      <c r="B368" s="157"/>
    </row>
    <row r="369" spans="2:2">
      <c r="B369" s="35"/>
    </row>
    <row r="370" spans="2:2">
      <c r="B370" s="35"/>
    </row>
    <row r="371" spans="2:2">
      <c r="B371" s="35"/>
    </row>
    <row r="372" spans="2:2">
      <c r="B372" s="157"/>
    </row>
    <row r="373" spans="2:2">
      <c r="B373" s="35"/>
    </row>
    <row r="374" spans="2:2">
      <c r="B374" s="35"/>
    </row>
    <row r="375" spans="2:2">
      <c r="B375" s="35"/>
    </row>
    <row r="376" spans="2:2">
      <c r="B376" s="157"/>
    </row>
    <row r="377" spans="2:2">
      <c r="B377" s="35"/>
    </row>
    <row r="378" spans="2:2">
      <c r="B378" s="35"/>
    </row>
    <row r="379" spans="2:2">
      <c r="B379" s="35"/>
    </row>
    <row r="380" spans="2:2">
      <c r="B380" s="157"/>
    </row>
    <row r="381" spans="2:2">
      <c r="B381" s="35"/>
    </row>
    <row r="382" spans="2:2">
      <c r="B382" s="35"/>
    </row>
    <row r="383" spans="2:2">
      <c r="B383" s="35"/>
    </row>
    <row r="384" spans="2:2">
      <c r="B384" s="157"/>
    </row>
    <row r="385" spans="2:2">
      <c r="B385" s="35"/>
    </row>
    <row r="386" spans="2:2">
      <c r="B386" s="35"/>
    </row>
    <row r="387" spans="2:2">
      <c r="B387" s="35"/>
    </row>
    <row r="388" spans="2:2">
      <c r="B388" s="157"/>
    </row>
    <row r="389" spans="2:2">
      <c r="B389" s="35"/>
    </row>
    <row r="390" spans="2:2">
      <c r="B390" s="35"/>
    </row>
    <row r="391" spans="2:2">
      <c r="B391" s="35"/>
    </row>
    <row r="392" spans="2:2">
      <c r="B392" s="157"/>
    </row>
    <row r="393" spans="2:2">
      <c r="B393" s="35"/>
    </row>
    <row r="394" spans="2:2">
      <c r="B394" s="35"/>
    </row>
    <row r="395" spans="2:2">
      <c r="B395" s="35"/>
    </row>
    <row r="396" spans="2:2">
      <c r="B396" s="157"/>
    </row>
    <row r="397" spans="2:2">
      <c r="B397" s="35"/>
    </row>
    <row r="398" spans="2:2">
      <c r="B398" s="35"/>
    </row>
    <row r="399" spans="2:2">
      <c r="B399" s="35"/>
    </row>
    <row r="400" spans="2:2">
      <c r="B400" s="157"/>
    </row>
    <row r="401" spans="2:2">
      <c r="B401" s="35"/>
    </row>
    <row r="402" spans="2:2">
      <c r="B402" s="35"/>
    </row>
    <row r="403" spans="2:2">
      <c r="B403" s="35"/>
    </row>
    <row r="404" spans="2:2">
      <c r="B404" s="157"/>
    </row>
    <row r="405" spans="2:2">
      <c r="B405" s="35"/>
    </row>
    <row r="406" spans="2:2">
      <c r="B406" s="35"/>
    </row>
    <row r="407" spans="2:2">
      <c r="B407" s="35"/>
    </row>
    <row r="408" spans="2:2">
      <c r="B408" s="157"/>
    </row>
    <row r="409" spans="2:2">
      <c r="B409" s="35"/>
    </row>
    <row r="410" spans="2:2">
      <c r="B410" s="35"/>
    </row>
    <row r="411" spans="2:2">
      <c r="B411" s="35"/>
    </row>
    <row r="412" spans="2:2">
      <c r="B412" s="157"/>
    </row>
    <row r="413" spans="2:2">
      <c r="B413" s="35"/>
    </row>
    <row r="414" spans="2:2">
      <c r="B414" s="35"/>
    </row>
    <row r="415" spans="2:2">
      <c r="B415" s="35"/>
    </row>
    <row r="416" spans="2:2">
      <c r="B416" s="157"/>
    </row>
    <row r="417" spans="2:2">
      <c r="B417" s="35"/>
    </row>
    <row r="418" spans="2:2">
      <c r="B418" s="35"/>
    </row>
    <row r="419" spans="2:2">
      <c r="B419" s="35"/>
    </row>
    <row r="420" spans="2:2">
      <c r="B420" s="157"/>
    </row>
    <row r="421" spans="2:2">
      <c r="B421" s="35"/>
    </row>
    <row r="422" spans="2:2">
      <c r="B422" s="35"/>
    </row>
    <row r="423" spans="2:2">
      <c r="B423" s="35"/>
    </row>
    <row r="424" spans="2:2">
      <c r="B424" s="157"/>
    </row>
    <row r="425" spans="2:2">
      <c r="B425" s="35"/>
    </row>
    <row r="426" spans="2:2">
      <c r="B426" s="35"/>
    </row>
    <row r="427" spans="2:2">
      <c r="B427" s="35"/>
    </row>
    <row r="428" spans="2:2">
      <c r="B428" s="157"/>
    </row>
    <row r="429" spans="2:2">
      <c r="B429" s="35"/>
    </row>
    <row r="430" spans="2:2">
      <c r="B430" s="35"/>
    </row>
    <row r="431" spans="2:2">
      <c r="B431" s="35"/>
    </row>
    <row r="432" spans="2:2">
      <c r="B432" s="157"/>
    </row>
    <row r="433" spans="2:2">
      <c r="B433" s="35"/>
    </row>
    <row r="434" spans="2:2">
      <c r="B434" s="35"/>
    </row>
    <row r="435" spans="2:2">
      <c r="B435" s="35"/>
    </row>
    <row r="436" spans="2:2">
      <c r="B436" s="157"/>
    </row>
    <row r="437" spans="2:2">
      <c r="B437" s="35"/>
    </row>
    <row r="438" spans="2:2">
      <c r="B438" s="35"/>
    </row>
    <row r="439" spans="2:2">
      <c r="B439" s="35"/>
    </row>
    <row r="440" spans="2:2">
      <c r="B440" s="157"/>
    </row>
    <row r="441" spans="2:2">
      <c r="B441" s="35"/>
    </row>
    <row r="442" spans="2:2">
      <c r="B442" s="35"/>
    </row>
    <row r="443" spans="2:2">
      <c r="B443" s="35"/>
    </row>
    <row r="444" spans="2:2">
      <c r="B444" s="157"/>
    </row>
    <row r="445" spans="2:2">
      <c r="B445" s="35"/>
    </row>
    <row r="446" spans="2:2">
      <c r="B446" s="35"/>
    </row>
    <row r="447" spans="2:2">
      <c r="B447" s="35"/>
    </row>
    <row r="448" spans="2:2">
      <c r="B448" s="157"/>
    </row>
    <row r="449" spans="2:2">
      <c r="B449" s="35"/>
    </row>
    <row r="450" spans="2:2">
      <c r="B450" s="35"/>
    </row>
    <row r="451" spans="2:2">
      <c r="B451" s="35"/>
    </row>
    <row r="452" spans="2:2">
      <c r="B452" s="157"/>
    </row>
    <row r="453" spans="2:2">
      <c r="B453" s="35"/>
    </row>
    <row r="454" spans="2:2">
      <c r="B454" s="35"/>
    </row>
    <row r="455" spans="2:2">
      <c r="B455" s="35"/>
    </row>
    <row r="456" spans="2:2">
      <c r="B456" s="157"/>
    </row>
    <row r="457" spans="2:2">
      <c r="B457" s="35"/>
    </row>
    <row r="458" spans="2:2">
      <c r="B458" s="35"/>
    </row>
    <row r="459" spans="2:2">
      <c r="B459" s="35"/>
    </row>
    <row r="460" spans="2:2">
      <c r="B460" s="157"/>
    </row>
    <row r="461" spans="2:2">
      <c r="B461" s="35"/>
    </row>
    <row r="462" spans="2:2">
      <c r="B462" s="35"/>
    </row>
    <row r="463" spans="2:2">
      <c r="B463" s="35"/>
    </row>
    <row r="464" spans="2:2">
      <c r="B464" s="157"/>
    </row>
    <row r="465" spans="2:2">
      <c r="B465" s="35"/>
    </row>
    <row r="466" spans="2:2">
      <c r="B466" s="35"/>
    </row>
    <row r="467" spans="2:2">
      <c r="B467" s="35"/>
    </row>
    <row r="468" spans="2:2">
      <c r="B468" s="157"/>
    </row>
    <row r="469" spans="2:2">
      <c r="B469" s="35"/>
    </row>
    <row r="470" spans="2:2">
      <c r="B470" s="35"/>
    </row>
    <row r="471" spans="2:2">
      <c r="B471" s="35"/>
    </row>
    <row r="472" spans="2:2">
      <c r="B472" s="157"/>
    </row>
    <row r="473" spans="2:2">
      <c r="B473" s="35"/>
    </row>
    <row r="474" spans="2:2">
      <c r="B474" s="35"/>
    </row>
    <row r="475" spans="2:2">
      <c r="B475" s="35"/>
    </row>
    <row r="476" spans="2:2">
      <c r="B476" s="157"/>
    </row>
    <row r="477" spans="2:2">
      <c r="B477" s="35"/>
    </row>
    <row r="478" spans="2:2">
      <c r="B478" s="35"/>
    </row>
    <row r="479" spans="2:2">
      <c r="B479" s="35"/>
    </row>
    <row r="480" spans="2:2">
      <c r="B480" s="157"/>
    </row>
    <row r="481" spans="2:2">
      <c r="B481" s="35"/>
    </row>
    <row r="482" spans="2:2">
      <c r="B482" s="35"/>
    </row>
    <row r="483" spans="2:2">
      <c r="B483" s="35"/>
    </row>
    <row r="484" spans="2:2">
      <c r="B484" s="157"/>
    </row>
    <row r="485" spans="2:2">
      <c r="B485" s="35"/>
    </row>
    <row r="486" spans="2:2">
      <c r="B486" s="35"/>
    </row>
    <row r="487" spans="2:2">
      <c r="B487" s="35"/>
    </row>
    <row r="488" spans="2:2">
      <c r="B488" s="157"/>
    </row>
    <row r="489" spans="2:2">
      <c r="B489" s="35"/>
    </row>
    <row r="490" spans="2:2">
      <c r="B490" s="35"/>
    </row>
    <row r="491" spans="2:2">
      <c r="B491" s="35"/>
    </row>
    <row r="492" spans="2:2">
      <c r="B492" s="157"/>
    </row>
    <row r="493" spans="2:2">
      <c r="B493" s="35"/>
    </row>
    <row r="494" spans="2:2">
      <c r="B494" s="35"/>
    </row>
    <row r="495" spans="2:2">
      <c r="B495" s="35"/>
    </row>
    <row r="496" spans="2:2">
      <c r="B496" s="157"/>
    </row>
    <row r="497" spans="2:2">
      <c r="B497" s="35"/>
    </row>
    <row r="498" spans="2:2">
      <c r="B498" s="35"/>
    </row>
    <row r="499" spans="2:2">
      <c r="B499" s="35"/>
    </row>
    <row r="500" spans="2:2">
      <c r="B500" s="157"/>
    </row>
    <row r="501" spans="2:2">
      <c r="B501" s="35"/>
    </row>
    <row r="502" spans="2:2">
      <c r="B502" s="35"/>
    </row>
    <row r="503" spans="2:2">
      <c r="B503" s="35"/>
    </row>
    <row r="504" spans="2:2">
      <c r="B504" s="157"/>
    </row>
    <row r="505" spans="2:2">
      <c r="B505" s="35"/>
    </row>
    <row r="506" spans="2:2">
      <c r="B506" s="35"/>
    </row>
    <row r="507" spans="2:2">
      <c r="B507" s="35"/>
    </row>
    <row r="508" spans="2:2">
      <c r="B508" s="157"/>
    </row>
    <row r="509" spans="2:2">
      <c r="B509" s="35"/>
    </row>
    <row r="510" spans="2:2">
      <c r="B510" s="35"/>
    </row>
    <row r="511" spans="2:2">
      <c r="B511" s="35"/>
    </row>
    <row r="512" spans="2:2">
      <c r="B512" s="157"/>
    </row>
    <row r="513" spans="2:2">
      <c r="B513" s="35"/>
    </row>
    <row r="514" spans="2:2">
      <c r="B514" s="35"/>
    </row>
    <row r="515" spans="2:2">
      <c r="B515" s="35"/>
    </row>
    <row r="516" spans="2:2">
      <c r="B516" s="157"/>
    </row>
    <row r="517" spans="2:2">
      <c r="B517" s="35"/>
    </row>
    <row r="518" spans="2:2">
      <c r="B518" s="35"/>
    </row>
    <row r="519" spans="2:2">
      <c r="B519" s="35"/>
    </row>
    <row r="520" spans="2:2">
      <c r="B520" s="157"/>
    </row>
    <row r="521" spans="2:2">
      <c r="B521" s="35"/>
    </row>
    <row r="522" spans="2:2">
      <c r="B522" s="35"/>
    </row>
    <row r="523" spans="2:2">
      <c r="B523" s="35"/>
    </row>
    <row r="524" spans="2:2">
      <c r="B524" s="157"/>
    </row>
    <row r="525" spans="2:2">
      <c r="B525" s="35"/>
    </row>
    <row r="526" spans="2:2">
      <c r="B526" s="35"/>
    </row>
    <row r="527" spans="2:2">
      <c r="B527" s="35"/>
    </row>
    <row r="528" spans="2:2">
      <c r="B528" s="157"/>
    </row>
    <row r="529" spans="2:2">
      <c r="B529" s="35"/>
    </row>
    <row r="530" spans="2:2">
      <c r="B530" s="35"/>
    </row>
    <row r="531" spans="2:2">
      <c r="B531" s="35"/>
    </row>
    <row r="532" spans="2:2">
      <c r="B532" s="157"/>
    </row>
    <row r="533" spans="2:2">
      <c r="B533" s="35"/>
    </row>
    <row r="534" spans="2:2">
      <c r="B534" s="35"/>
    </row>
    <row r="535" spans="2:2">
      <c r="B535" s="35"/>
    </row>
    <row r="536" spans="2:2">
      <c r="B536" s="157"/>
    </row>
    <row r="537" spans="2:2">
      <c r="B537" s="35"/>
    </row>
    <row r="538" spans="2:2">
      <c r="B538" s="35"/>
    </row>
    <row r="539" spans="2:2">
      <c r="B539" s="35"/>
    </row>
    <row r="540" spans="2:2">
      <c r="B540" s="157"/>
    </row>
    <row r="541" spans="2:2">
      <c r="B541" s="35"/>
    </row>
    <row r="542" spans="2:2">
      <c r="B542" s="35"/>
    </row>
    <row r="543" spans="2:2">
      <c r="B543" s="35"/>
    </row>
    <row r="544" spans="2:2">
      <c r="B544" s="157"/>
    </row>
    <row r="545" spans="2:2">
      <c r="B545" s="35"/>
    </row>
    <row r="546" spans="2:2">
      <c r="B546" s="35"/>
    </row>
    <row r="547" spans="2:2">
      <c r="B547" s="35"/>
    </row>
    <row r="548" spans="2:2">
      <c r="B548" s="157"/>
    </row>
    <row r="549" spans="2:2">
      <c r="B549" s="35"/>
    </row>
    <row r="550" spans="2:2">
      <c r="B550" s="35"/>
    </row>
    <row r="551" spans="2:2">
      <c r="B551" s="35"/>
    </row>
    <row r="552" spans="2:2">
      <c r="B552" s="157"/>
    </row>
    <row r="553" spans="2:2">
      <c r="B553" s="35"/>
    </row>
    <row r="554" spans="2:2">
      <c r="B554" s="35"/>
    </row>
    <row r="555" spans="2:2">
      <c r="B555" s="35"/>
    </row>
    <row r="556" spans="2:2">
      <c r="B556" s="157"/>
    </row>
    <row r="557" spans="2:2">
      <c r="B557" s="35"/>
    </row>
    <row r="558" spans="2:2">
      <c r="B558" s="35"/>
    </row>
    <row r="559" spans="2:2">
      <c r="B559" s="35"/>
    </row>
    <row r="560" spans="2:2">
      <c r="B560" s="157"/>
    </row>
    <row r="561" spans="2:2">
      <c r="B561" s="35"/>
    </row>
    <row r="562" spans="2:2">
      <c r="B562" s="35"/>
    </row>
    <row r="563" spans="2:2">
      <c r="B563" s="35"/>
    </row>
    <row r="564" spans="2:2">
      <c r="B564" s="157"/>
    </row>
    <row r="565" spans="2:2">
      <c r="B565" s="35"/>
    </row>
    <row r="566" spans="2:2">
      <c r="B566" s="35"/>
    </row>
    <row r="567" spans="2:2">
      <c r="B567" s="35"/>
    </row>
    <row r="568" spans="2:2">
      <c r="B568" s="157"/>
    </row>
    <row r="569" spans="2:2">
      <c r="B569" s="35"/>
    </row>
    <row r="570" spans="2:2">
      <c r="B570" s="35"/>
    </row>
    <row r="571" spans="2:2">
      <c r="B571" s="35"/>
    </row>
    <row r="572" spans="2:2">
      <c r="B572" s="157"/>
    </row>
    <row r="573" spans="2:2">
      <c r="B573" s="35"/>
    </row>
    <row r="574" spans="2:2">
      <c r="B574" s="35"/>
    </row>
    <row r="575" spans="2:2">
      <c r="B575" s="35"/>
    </row>
    <row r="576" spans="2:2">
      <c r="B576" s="157"/>
    </row>
    <row r="577" spans="2:2">
      <c r="B577" s="35"/>
    </row>
    <row r="578" spans="2:2">
      <c r="B578" s="35"/>
    </row>
    <row r="579" spans="2:2">
      <c r="B579" s="35"/>
    </row>
    <row r="580" spans="2:2">
      <c r="B580" s="157"/>
    </row>
    <row r="581" spans="2:2">
      <c r="B581" s="35"/>
    </row>
    <row r="582" spans="2:2">
      <c r="B582" s="35"/>
    </row>
    <row r="583" spans="2:2">
      <c r="B583" s="35"/>
    </row>
    <row r="584" spans="2:2">
      <c r="B584" s="157"/>
    </row>
    <row r="585" spans="2:2">
      <c r="B585" s="35"/>
    </row>
    <row r="586" spans="2:2">
      <c r="B586" s="35"/>
    </row>
    <row r="587" spans="2:2">
      <c r="B587" s="35"/>
    </row>
    <row r="588" spans="2:2">
      <c r="B588" s="157"/>
    </row>
    <row r="589" spans="2:2">
      <c r="B589" s="35"/>
    </row>
    <row r="590" spans="2:2">
      <c r="B590" s="35"/>
    </row>
    <row r="591" spans="2:2">
      <c r="B591" s="35"/>
    </row>
    <row r="592" spans="2:2">
      <c r="B592" s="157"/>
    </row>
    <row r="593" spans="2:2">
      <c r="B593" s="35"/>
    </row>
    <row r="594" spans="2:2">
      <c r="B594" s="35"/>
    </row>
    <row r="595" spans="2:2">
      <c r="B595" s="35"/>
    </row>
    <row r="596" spans="2:2">
      <c r="B596" s="157"/>
    </row>
    <row r="597" spans="2:2">
      <c r="B597" s="35"/>
    </row>
    <row r="598" spans="2:2">
      <c r="B598" s="35"/>
    </row>
    <row r="599" spans="2:2">
      <c r="B599" s="35"/>
    </row>
    <row r="600" spans="2:2">
      <c r="B600" s="157"/>
    </row>
    <row r="601" spans="2:2">
      <c r="B601" s="35"/>
    </row>
    <row r="602" spans="2:2">
      <c r="B602" s="35"/>
    </row>
    <row r="603" spans="2:2">
      <c r="B603" s="35"/>
    </row>
    <row r="604" spans="2:2">
      <c r="B604" s="157"/>
    </row>
    <row r="605" spans="2:2">
      <c r="B605" s="35"/>
    </row>
    <row r="606" spans="2:2">
      <c r="B606" s="35"/>
    </row>
    <row r="607" spans="2:2">
      <c r="B607" s="35"/>
    </row>
    <row r="608" spans="2:2">
      <c r="B608" s="157"/>
    </row>
    <row r="609" spans="2:2">
      <c r="B609" s="35"/>
    </row>
    <row r="610" spans="2:2">
      <c r="B610" s="35"/>
    </row>
    <row r="611" spans="2:2">
      <c r="B611" s="35"/>
    </row>
    <row r="612" spans="2:2">
      <c r="B612" s="157"/>
    </row>
    <row r="613" spans="2:2">
      <c r="B613" s="35"/>
    </row>
    <row r="614" spans="2:2">
      <c r="B614" s="35"/>
    </row>
    <row r="615" spans="2:2">
      <c r="B615" s="35"/>
    </row>
    <row r="616" spans="2:2">
      <c r="B616" s="157"/>
    </row>
    <row r="617" spans="2:2">
      <c r="B617" s="35"/>
    </row>
    <row r="618" spans="2:2">
      <c r="B618" s="35"/>
    </row>
    <row r="619" spans="2:2">
      <c r="B619" s="35"/>
    </row>
    <row r="620" spans="2:2">
      <c r="B620" s="157"/>
    </row>
    <row r="621" spans="2:2">
      <c r="B621" s="35"/>
    </row>
    <row r="622" spans="2:2">
      <c r="B622" s="35"/>
    </row>
    <row r="623" spans="2:2">
      <c r="B623" s="35"/>
    </row>
    <row r="624" spans="2:2">
      <c r="B624" s="157"/>
    </row>
    <row r="625" spans="2:2">
      <c r="B625" s="35"/>
    </row>
    <row r="626" spans="2:2">
      <c r="B626" s="35"/>
    </row>
    <row r="627" spans="2:2">
      <c r="B627" s="35"/>
    </row>
    <row r="628" spans="2:2">
      <c r="B628" s="157"/>
    </row>
    <row r="629" spans="2:2">
      <c r="B629" s="35"/>
    </row>
    <row r="630" spans="2:2">
      <c r="B630" s="35"/>
    </row>
    <row r="631" spans="2:2">
      <c r="B631" s="35"/>
    </row>
    <row r="632" spans="2:2">
      <c r="B632" s="157"/>
    </row>
    <row r="633" spans="2:2">
      <c r="B633" s="35"/>
    </row>
    <row r="634" spans="2:2">
      <c r="B634" s="35"/>
    </row>
    <row r="635" spans="2:2">
      <c r="B635" s="35"/>
    </row>
    <row r="636" spans="2:2">
      <c r="B636" s="157"/>
    </row>
    <row r="637" spans="2:2">
      <c r="B637" s="35"/>
    </row>
    <row r="638" spans="2:2">
      <c r="B638" s="35"/>
    </row>
    <row r="639" spans="2:2">
      <c r="B639" s="35"/>
    </row>
    <row r="640" spans="2:2">
      <c r="B640" s="157"/>
    </row>
    <row r="641" spans="2:2">
      <c r="B641" s="35"/>
    </row>
    <row r="642" spans="2:2">
      <c r="B642" s="35"/>
    </row>
    <row r="643" spans="2:2">
      <c r="B643" s="35"/>
    </row>
    <row r="644" spans="2:2">
      <c r="B644" s="157"/>
    </row>
    <row r="645" spans="2:2">
      <c r="B645" s="35"/>
    </row>
    <row r="646" spans="2:2">
      <c r="B646" s="35"/>
    </row>
    <row r="647" spans="2:2">
      <c r="B647" s="35"/>
    </row>
    <row r="648" spans="2:2">
      <c r="B648" s="157"/>
    </row>
    <row r="649" spans="2:2">
      <c r="B649" s="35"/>
    </row>
    <row r="650" spans="2:2">
      <c r="B650" s="35"/>
    </row>
    <row r="651" spans="2:2">
      <c r="B651" s="35"/>
    </row>
    <row r="652" spans="2:2">
      <c r="B652" s="157"/>
    </row>
    <row r="653" spans="2:2">
      <c r="B653" s="35"/>
    </row>
    <row r="654" spans="2:2">
      <c r="B654" s="35"/>
    </row>
    <row r="655" spans="2:2">
      <c r="B655" s="35"/>
    </row>
    <row r="656" spans="2:2">
      <c r="B656" s="157"/>
    </row>
    <row r="657" spans="2:2">
      <c r="B657" s="35"/>
    </row>
    <row r="658" spans="2:2">
      <c r="B658" s="35"/>
    </row>
    <row r="659" spans="2:2">
      <c r="B659" s="35"/>
    </row>
    <row r="660" spans="2:2">
      <c r="B660" s="157"/>
    </row>
    <row r="661" spans="2:2">
      <c r="B661" s="35"/>
    </row>
    <row r="662" spans="2:2">
      <c r="B662" s="35"/>
    </row>
    <row r="663" spans="2:2">
      <c r="B663" s="35"/>
    </row>
    <row r="664" spans="2:2">
      <c r="B664" s="157"/>
    </row>
    <row r="665" spans="2:2">
      <c r="B665" s="35"/>
    </row>
    <row r="666" spans="2:2">
      <c r="B666" s="35"/>
    </row>
    <row r="667" spans="2:2">
      <c r="B667" s="35"/>
    </row>
    <row r="668" spans="2:2">
      <c r="B668" s="157"/>
    </row>
    <row r="669" spans="2:2">
      <c r="B669" s="35"/>
    </row>
    <row r="670" spans="2:2">
      <c r="B670" s="35"/>
    </row>
    <row r="671" spans="2:2">
      <c r="B671" s="35"/>
    </row>
    <row r="672" spans="2:2">
      <c r="B672" s="157"/>
    </row>
    <row r="673" spans="2:2">
      <c r="B673" s="35"/>
    </row>
    <row r="674" spans="2:2">
      <c r="B674" s="35"/>
    </row>
    <row r="675" spans="2:2">
      <c r="B675" s="35"/>
    </row>
    <row r="676" spans="2:2">
      <c r="B676" s="157"/>
    </row>
    <row r="677" spans="2:2">
      <c r="B677" s="35"/>
    </row>
    <row r="678" spans="2:2">
      <c r="B678" s="35"/>
    </row>
    <row r="679" spans="2:2">
      <c r="B679" s="35"/>
    </row>
    <row r="680" spans="2:2">
      <c r="B680" s="157"/>
    </row>
    <row r="681" spans="2:2">
      <c r="B681" s="35"/>
    </row>
    <row r="682" spans="2:2">
      <c r="B682" s="35"/>
    </row>
    <row r="683" spans="2:2">
      <c r="B683" s="35"/>
    </row>
    <row r="684" spans="2:2">
      <c r="B684" s="157"/>
    </row>
    <row r="685" spans="2:2">
      <c r="B685" s="35"/>
    </row>
    <row r="686" spans="2:2">
      <c r="B686" s="35"/>
    </row>
    <row r="687" spans="2:2">
      <c r="B687" s="35"/>
    </row>
    <row r="688" spans="2:2">
      <c r="B688" s="157"/>
    </row>
    <row r="689" spans="2:2">
      <c r="B689" s="35"/>
    </row>
    <row r="690" spans="2:2">
      <c r="B690" s="35"/>
    </row>
    <row r="691" spans="2:2">
      <c r="B691" s="35"/>
    </row>
    <row r="692" spans="2:2">
      <c r="B692" s="157"/>
    </row>
    <row r="693" spans="2:2">
      <c r="B693" s="35"/>
    </row>
    <row r="694" spans="2:2">
      <c r="B694" s="35"/>
    </row>
    <row r="695" spans="2:2">
      <c r="B695" s="35"/>
    </row>
    <row r="696" spans="2:2">
      <c r="B696" s="157"/>
    </row>
    <row r="697" spans="2:2">
      <c r="B697" s="35"/>
    </row>
    <row r="698" spans="2:2">
      <c r="B698" s="35"/>
    </row>
    <row r="699" spans="2:2">
      <c r="B699" s="35"/>
    </row>
    <row r="700" spans="2:2">
      <c r="B700" s="157"/>
    </row>
    <row r="701" spans="2:2">
      <c r="B701" s="35"/>
    </row>
    <row r="702" spans="2:2">
      <c r="B702" s="35"/>
    </row>
    <row r="703" spans="2:2">
      <c r="B703" s="35"/>
    </row>
    <row r="704" spans="2:2">
      <c r="B704" s="157"/>
    </row>
    <row r="705" spans="2:2">
      <c r="B705" s="35"/>
    </row>
    <row r="706" spans="2:2">
      <c r="B706" s="35"/>
    </row>
    <row r="707" spans="2:2">
      <c r="B707" s="35"/>
    </row>
    <row r="708" spans="2:2">
      <c r="B708" s="157"/>
    </row>
    <row r="709" spans="2:2">
      <c r="B709" s="35"/>
    </row>
    <row r="710" spans="2:2">
      <c r="B710" s="35"/>
    </row>
    <row r="711" spans="2:2">
      <c r="B711" s="35"/>
    </row>
    <row r="712" spans="2:2">
      <c r="B712" s="157"/>
    </row>
    <row r="713" spans="2:2">
      <c r="B713" s="35"/>
    </row>
    <row r="714" spans="2:2">
      <c r="B714" s="35"/>
    </row>
    <row r="715" spans="2:2">
      <c r="B715" s="35"/>
    </row>
    <row r="716" spans="2:2">
      <c r="B716" s="157"/>
    </row>
    <row r="717" spans="2:2">
      <c r="B717" s="35"/>
    </row>
    <row r="718" spans="2:2">
      <c r="B718" s="35"/>
    </row>
    <row r="719" spans="2:2">
      <c r="B719" s="35"/>
    </row>
    <row r="720" spans="2:2">
      <c r="B720" s="157"/>
    </row>
    <row r="721" spans="2:2">
      <c r="B721" s="35"/>
    </row>
    <row r="722" spans="2:2">
      <c r="B722" s="35"/>
    </row>
    <row r="723" spans="2:2">
      <c r="B723" s="35"/>
    </row>
    <row r="724" spans="2:2">
      <c r="B724" s="157"/>
    </row>
    <row r="725" spans="2:2">
      <c r="B725" s="35"/>
    </row>
    <row r="726" spans="2:2">
      <c r="B726" s="35"/>
    </row>
    <row r="727" spans="2:2">
      <c r="B727" s="35"/>
    </row>
    <row r="728" spans="2:2">
      <c r="B728" s="157"/>
    </row>
    <row r="729" spans="2:2">
      <c r="B729" s="35"/>
    </row>
    <row r="730" spans="2:2">
      <c r="B730" s="35"/>
    </row>
    <row r="731" spans="2:2">
      <c r="B731" s="35"/>
    </row>
    <row r="732" spans="2:2">
      <c r="B732" s="157"/>
    </row>
    <row r="733" spans="2:2">
      <c r="B733" s="35"/>
    </row>
    <row r="734" spans="2:2">
      <c r="B734" s="35"/>
    </row>
    <row r="735" spans="2:2">
      <c r="B735" s="35"/>
    </row>
    <row r="736" spans="2:2">
      <c r="B736" s="157"/>
    </row>
    <row r="737" spans="2:2">
      <c r="B737" s="35"/>
    </row>
    <row r="738" spans="2:2">
      <c r="B738" s="35"/>
    </row>
    <row r="739" spans="2:2">
      <c r="B739" s="35"/>
    </row>
    <row r="740" spans="2:2">
      <c r="B740" s="157"/>
    </row>
    <row r="741" spans="2:2">
      <c r="B741" s="35"/>
    </row>
    <row r="742" spans="2:2">
      <c r="B742" s="35"/>
    </row>
    <row r="743" spans="2:2">
      <c r="B743" s="35"/>
    </row>
    <row r="744" spans="2:2">
      <c r="B744" s="157"/>
    </row>
    <row r="745" spans="2:2">
      <c r="B745" s="35"/>
    </row>
    <row r="746" spans="2:2">
      <c r="B746" s="35"/>
    </row>
    <row r="747" spans="2:2">
      <c r="B747" s="35"/>
    </row>
    <row r="748" spans="2:2">
      <c r="B748" s="157"/>
    </row>
    <row r="749" spans="2:2">
      <c r="B749" s="35"/>
    </row>
    <row r="750" spans="2:2">
      <c r="B750" s="35"/>
    </row>
    <row r="751" spans="2:2">
      <c r="B751" s="35"/>
    </row>
    <row r="752" spans="2:2">
      <c r="B752" s="157"/>
    </row>
    <row r="753" spans="2:2">
      <c r="B753" s="35"/>
    </row>
    <row r="754" spans="2:2">
      <c r="B754" s="35"/>
    </row>
    <row r="755" spans="2:2">
      <c r="B755" s="35"/>
    </row>
    <row r="756" spans="2:2">
      <c r="B756" s="157"/>
    </row>
    <row r="757" spans="2:2">
      <c r="B757" s="35"/>
    </row>
    <row r="758" spans="2:2">
      <c r="B758" s="35"/>
    </row>
    <row r="759" spans="2:2">
      <c r="B759" s="35"/>
    </row>
    <row r="760" spans="2:2">
      <c r="B760" s="157"/>
    </row>
    <row r="761" spans="2:2">
      <c r="B761" s="35"/>
    </row>
    <row r="762" spans="2:2">
      <c r="B762" s="35"/>
    </row>
    <row r="763" spans="2:2">
      <c r="B763" s="35"/>
    </row>
    <row r="764" spans="2:2">
      <c r="B764" s="157"/>
    </row>
    <row r="765" spans="2:2">
      <c r="B765" s="35"/>
    </row>
    <row r="766" spans="2:2">
      <c r="B766" s="35"/>
    </row>
    <row r="767" spans="2:2">
      <c r="B767" s="35"/>
    </row>
    <row r="768" spans="2:2">
      <c r="B768" s="157"/>
    </row>
    <row r="769" spans="2:2">
      <c r="B769" s="35"/>
    </row>
    <row r="770" spans="2:2">
      <c r="B770" s="35"/>
    </row>
    <row r="771" spans="2:2">
      <c r="B771" s="35"/>
    </row>
    <row r="772" spans="2:2">
      <c r="B772" s="157"/>
    </row>
    <row r="773" spans="2:2">
      <c r="B773" s="35"/>
    </row>
    <row r="774" spans="2:2">
      <c r="B774" s="35"/>
    </row>
    <row r="775" spans="2:2">
      <c r="B775" s="35"/>
    </row>
    <row r="776" spans="2:2">
      <c r="B776" s="157"/>
    </row>
    <row r="777" spans="2:2">
      <c r="B777" s="35"/>
    </row>
    <row r="778" spans="2:2">
      <c r="B778" s="35"/>
    </row>
    <row r="779" spans="2:2">
      <c r="B779" s="35"/>
    </row>
    <row r="780" spans="2:2">
      <c r="B780" s="157"/>
    </row>
    <row r="781" spans="2:2">
      <c r="B781" s="35"/>
    </row>
    <row r="782" spans="2:2">
      <c r="B782" s="35"/>
    </row>
    <row r="783" spans="2:2">
      <c r="B783" s="35"/>
    </row>
    <row r="784" spans="2:2">
      <c r="B784" s="157"/>
    </row>
    <row r="785" spans="2:2">
      <c r="B785" s="35"/>
    </row>
    <row r="786" spans="2:2">
      <c r="B786" s="35"/>
    </row>
    <row r="787" spans="2:2">
      <c r="B787" s="35"/>
    </row>
    <row r="788" spans="2:2">
      <c r="B788" s="157"/>
    </row>
    <row r="789" spans="2:2">
      <c r="B789" s="35"/>
    </row>
    <row r="790" spans="2:2">
      <c r="B790" s="35"/>
    </row>
    <row r="791" spans="2:2">
      <c r="B791" s="35"/>
    </row>
    <row r="792" spans="2:2">
      <c r="B792" s="157"/>
    </row>
    <row r="793" spans="2:2">
      <c r="B793" s="35"/>
    </row>
    <row r="794" spans="2:2">
      <c r="B794" s="35"/>
    </row>
    <row r="795" spans="2:2">
      <c r="B795" s="35"/>
    </row>
    <row r="796" spans="2:2">
      <c r="B796" s="157"/>
    </row>
    <row r="797" spans="2:2">
      <c r="B797" s="35"/>
    </row>
    <row r="798" spans="2:2">
      <c r="B798" s="35"/>
    </row>
    <row r="799" spans="2:2">
      <c r="B799" s="35"/>
    </row>
    <row r="800" spans="2:2">
      <c r="B800" s="157"/>
    </row>
    <row r="801" spans="2:2">
      <c r="B801" s="35"/>
    </row>
    <row r="802" spans="2:2">
      <c r="B802" s="35"/>
    </row>
    <row r="803" spans="2:2">
      <c r="B803" s="35"/>
    </row>
    <row r="804" spans="2:2">
      <c r="B804" s="157"/>
    </row>
    <row r="805" spans="2:2">
      <c r="B805" s="35"/>
    </row>
    <row r="806" spans="2:2">
      <c r="B806" s="35"/>
    </row>
    <row r="807" spans="2:2">
      <c r="B807" s="35"/>
    </row>
    <row r="808" spans="2:2">
      <c r="B808" s="157"/>
    </row>
    <row r="809" spans="2:2">
      <c r="B809" s="35"/>
    </row>
    <row r="810" spans="2:2">
      <c r="B810" s="35"/>
    </row>
    <row r="811" spans="2:2">
      <c r="B811" s="35"/>
    </row>
    <row r="812" spans="2:2">
      <c r="B812" s="157"/>
    </row>
    <row r="813" spans="2:2">
      <c r="B813" s="35"/>
    </row>
    <row r="814" spans="2:2">
      <c r="B814" s="35"/>
    </row>
    <row r="815" spans="2:2">
      <c r="B815" s="35"/>
    </row>
    <row r="816" spans="2:2">
      <c r="B816" s="157"/>
    </row>
    <row r="817" spans="2:2">
      <c r="B817" s="35"/>
    </row>
    <row r="818" spans="2:2">
      <c r="B818" s="35"/>
    </row>
    <row r="819" spans="2:2">
      <c r="B819" s="35"/>
    </row>
    <row r="820" spans="2:2">
      <c r="B820" s="157"/>
    </row>
    <row r="821" spans="2:2">
      <c r="B821" s="35"/>
    </row>
    <row r="822" spans="2:2">
      <c r="B822" s="35"/>
    </row>
    <row r="823" spans="2:2">
      <c r="B823" s="35"/>
    </row>
    <row r="824" spans="2:2">
      <c r="B824" s="157"/>
    </row>
    <row r="825" spans="2:2">
      <c r="B825" s="35"/>
    </row>
    <row r="826" spans="2:2">
      <c r="B826" s="35"/>
    </row>
    <row r="827" spans="2:2">
      <c r="B827" s="35"/>
    </row>
    <row r="828" spans="2:2">
      <c r="B828" s="157"/>
    </row>
    <row r="829" spans="2:2">
      <c r="B829" s="35"/>
    </row>
    <row r="830" spans="2:2">
      <c r="B830" s="35"/>
    </row>
    <row r="831" spans="2:2">
      <c r="B831" s="35"/>
    </row>
    <row r="832" spans="2:2">
      <c r="B832" s="157"/>
    </row>
    <row r="833" spans="2:2">
      <c r="B833" s="35"/>
    </row>
    <row r="834" spans="2:2">
      <c r="B834" s="35"/>
    </row>
    <row r="835" spans="2:2">
      <c r="B835" s="35"/>
    </row>
    <row r="836" spans="2:2">
      <c r="B836" s="157"/>
    </row>
    <row r="837" spans="2:2">
      <c r="B837" s="35"/>
    </row>
    <row r="838" spans="2:2">
      <c r="B838" s="35"/>
    </row>
    <row r="839" spans="2:2">
      <c r="B839" s="35"/>
    </row>
    <row r="840" spans="2:2">
      <c r="B840" s="157"/>
    </row>
    <row r="841" spans="2:2">
      <c r="B841" s="35"/>
    </row>
    <row r="842" spans="2:2">
      <c r="B842" s="35"/>
    </row>
    <row r="843" spans="2:2">
      <c r="B843" s="35"/>
    </row>
    <row r="844" spans="2:2">
      <c r="B844" s="157"/>
    </row>
    <row r="845" spans="2:2">
      <c r="B845" s="35"/>
    </row>
    <row r="846" spans="2:2">
      <c r="B846" s="35"/>
    </row>
    <row r="847" spans="2:2">
      <c r="B847" s="35"/>
    </row>
    <row r="848" spans="2:2">
      <c r="B848" s="157"/>
    </row>
    <row r="849" spans="2:2">
      <c r="B849" s="35"/>
    </row>
    <row r="850" spans="2:2">
      <c r="B850" s="35"/>
    </row>
    <row r="851" spans="2:2">
      <c r="B851" s="35"/>
    </row>
    <row r="852" spans="2:2">
      <c r="B852" s="157"/>
    </row>
    <row r="853" spans="2:2">
      <c r="B853" s="35"/>
    </row>
    <row r="854" spans="2:2">
      <c r="B854" s="35"/>
    </row>
    <row r="855" spans="2:2">
      <c r="B855" s="35"/>
    </row>
    <row r="856" spans="2:2">
      <c r="B856" s="157"/>
    </row>
    <row r="857" spans="2:2">
      <c r="B857" s="35"/>
    </row>
    <row r="858" spans="2:2">
      <c r="B858" s="35"/>
    </row>
    <row r="859" spans="2:2">
      <c r="B859" s="35"/>
    </row>
    <row r="860" spans="2:2">
      <c r="B860" s="157"/>
    </row>
    <row r="861" spans="2:2">
      <c r="B861" s="35"/>
    </row>
    <row r="862" spans="2:2">
      <c r="B862" s="35"/>
    </row>
    <row r="863" spans="2:2">
      <c r="B863" s="35"/>
    </row>
    <row r="864" spans="2:2">
      <c r="B864" s="157"/>
    </row>
    <row r="865" spans="2:2">
      <c r="B865" s="35"/>
    </row>
    <row r="866" spans="2:2">
      <c r="B866" s="35"/>
    </row>
    <row r="867" spans="2:2">
      <c r="B867" s="35"/>
    </row>
    <row r="868" spans="2:2">
      <c r="B868" s="157"/>
    </row>
    <row r="869" spans="2:2">
      <c r="B869" s="35"/>
    </row>
    <row r="870" spans="2:2">
      <c r="B870" s="35"/>
    </row>
    <row r="871" spans="2:2">
      <c r="B871" s="35"/>
    </row>
    <row r="872" spans="2:2">
      <c r="B872" s="157"/>
    </row>
    <row r="873" spans="2:2">
      <c r="B873" s="35"/>
    </row>
    <row r="874" spans="2:2">
      <c r="B874" s="35"/>
    </row>
    <row r="875" spans="2:2">
      <c r="B875" s="35"/>
    </row>
    <row r="876" spans="2:2">
      <c r="B876" s="157"/>
    </row>
    <row r="877" spans="2:2">
      <c r="B877" s="35"/>
    </row>
    <row r="878" spans="2:2">
      <c r="B878" s="35"/>
    </row>
    <row r="879" spans="2:2">
      <c r="B879" s="35"/>
    </row>
    <row r="880" spans="2:2">
      <c r="B880" s="157"/>
    </row>
    <row r="881" spans="2:2">
      <c r="B881" s="35"/>
    </row>
    <row r="882" spans="2:2">
      <c r="B882" s="35"/>
    </row>
    <row r="883" spans="2:2">
      <c r="B883" s="35"/>
    </row>
    <row r="884" spans="2:2">
      <c r="B884" s="157"/>
    </row>
    <row r="885" spans="2:2">
      <c r="B885" s="35"/>
    </row>
    <row r="886" spans="2:2">
      <c r="B886" s="35"/>
    </row>
    <row r="887" spans="2:2">
      <c r="B887" s="35"/>
    </row>
    <row r="888" spans="2:2">
      <c r="B888" s="157"/>
    </row>
    <row r="889" spans="2:2">
      <c r="B889" s="35"/>
    </row>
    <row r="890" spans="2:2">
      <c r="B890" s="35"/>
    </row>
    <row r="891" spans="2:2">
      <c r="B891" s="35"/>
    </row>
    <row r="892" spans="2:2">
      <c r="B892" s="157"/>
    </row>
    <row r="893" spans="2:2">
      <c r="B893" s="35"/>
    </row>
    <row r="894" spans="2:2">
      <c r="B894" s="35"/>
    </row>
    <row r="895" spans="2:2">
      <c r="B895" s="35"/>
    </row>
    <row r="896" spans="2:2">
      <c r="B896" s="157"/>
    </row>
    <row r="897" spans="2:2">
      <c r="B897" s="35"/>
    </row>
    <row r="898" spans="2:2">
      <c r="B898" s="35"/>
    </row>
    <row r="899" spans="2:2">
      <c r="B899" s="35"/>
    </row>
    <row r="900" spans="2:2">
      <c r="B900" s="157"/>
    </row>
    <row r="901" spans="2:2">
      <c r="B901" s="35"/>
    </row>
    <row r="902" spans="2:2">
      <c r="B902" s="35"/>
    </row>
    <row r="903" spans="2:2">
      <c r="B903" s="35"/>
    </row>
    <row r="904" spans="2:2">
      <c r="B904" s="157"/>
    </row>
    <row r="905" spans="2:2">
      <c r="B905" s="35"/>
    </row>
    <row r="906" spans="2:2">
      <c r="B906" s="35"/>
    </row>
    <row r="907" spans="2:2">
      <c r="B907" s="35"/>
    </row>
    <row r="908" spans="2:2">
      <c r="B908" s="157"/>
    </row>
    <row r="909" spans="2:2">
      <c r="B909" s="35"/>
    </row>
    <row r="910" spans="2:2">
      <c r="B910" s="35"/>
    </row>
    <row r="911" spans="2:2">
      <c r="B911" s="35"/>
    </row>
    <row r="912" spans="2:2">
      <c r="B912" s="157"/>
    </row>
    <row r="913" spans="2:2">
      <c r="B913" s="35"/>
    </row>
    <row r="914" spans="2:2">
      <c r="B914" s="35"/>
    </row>
    <row r="915" spans="2:2">
      <c r="B915" s="35"/>
    </row>
    <row r="916" spans="2:2">
      <c r="B916" s="157"/>
    </row>
    <row r="917" spans="2:2">
      <c r="B917" s="35"/>
    </row>
    <row r="918" spans="2:2">
      <c r="B918" s="35"/>
    </row>
    <row r="919" spans="2:2">
      <c r="B919" s="35"/>
    </row>
    <row r="920" spans="2:2">
      <c r="B920" s="157"/>
    </row>
    <row r="921" spans="2:2">
      <c r="B921" s="35"/>
    </row>
    <row r="922" spans="2:2">
      <c r="B922" s="35"/>
    </row>
    <row r="923" spans="2:2">
      <c r="B923" s="35"/>
    </row>
    <row r="924" spans="2:2">
      <c r="B924" s="157"/>
    </row>
    <row r="925" spans="2:2">
      <c r="B925" s="35"/>
    </row>
    <row r="926" spans="2:2">
      <c r="B926" s="35"/>
    </row>
    <row r="927" spans="2:2">
      <c r="B927" s="35"/>
    </row>
    <row r="928" spans="2:2">
      <c r="B928" s="157"/>
    </row>
    <row r="929" spans="2:2">
      <c r="B929" s="35"/>
    </row>
    <row r="930" spans="2:2">
      <c r="B930" s="35"/>
    </row>
    <row r="931" spans="2:2">
      <c r="B931" s="35"/>
    </row>
    <row r="932" spans="2:2">
      <c r="B932" s="157"/>
    </row>
    <row r="933" spans="2:2">
      <c r="B933" s="35"/>
    </row>
    <row r="934" spans="2:2">
      <c r="B934" s="35"/>
    </row>
    <row r="935" spans="2:2">
      <c r="B935" s="35"/>
    </row>
    <row r="936" spans="2:2">
      <c r="B936" s="157"/>
    </row>
    <row r="937" spans="2:2">
      <c r="B937" s="35"/>
    </row>
    <row r="938" spans="2:2">
      <c r="B938" s="35"/>
    </row>
    <row r="939" spans="2:2">
      <c r="B939" s="35"/>
    </row>
    <row r="940" spans="2:2">
      <c r="B940" s="157"/>
    </row>
    <row r="941" spans="2:2">
      <c r="B941" s="35"/>
    </row>
    <row r="942" spans="2:2">
      <c r="B942" s="35"/>
    </row>
    <row r="943" spans="2:2">
      <c r="B943" s="35"/>
    </row>
    <row r="944" spans="2:2">
      <c r="B944" s="157"/>
    </row>
    <row r="945" spans="2:2">
      <c r="B945" s="35"/>
    </row>
    <row r="946" spans="2:2">
      <c r="B946" s="35"/>
    </row>
    <row r="947" spans="2:2">
      <c r="B947" s="35"/>
    </row>
    <row r="948" spans="2:2">
      <c r="B948" s="157"/>
    </row>
    <row r="949" spans="2:2">
      <c r="B949" s="35"/>
    </row>
    <row r="950" spans="2:2">
      <c r="B950" s="35"/>
    </row>
    <row r="951" spans="2:2">
      <c r="B951" s="35"/>
    </row>
    <row r="952" spans="2:2">
      <c r="B952" s="157"/>
    </row>
    <row r="953" spans="2:2">
      <c r="B953" s="35"/>
    </row>
    <row r="954" spans="2:2">
      <c r="B954" s="35"/>
    </row>
    <row r="955" spans="2:2">
      <c r="B955" s="35"/>
    </row>
    <row r="956" spans="2:2">
      <c r="B956" s="157"/>
    </row>
    <row r="957" spans="2:2">
      <c r="B957" s="35"/>
    </row>
    <row r="958" spans="2:2">
      <c r="B958" s="35"/>
    </row>
    <row r="959" spans="2:2">
      <c r="B959" s="35"/>
    </row>
    <row r="960" spans="2:2">
      <c r="B960" s="157"/>
    </row>
    <row r="961" spans="2:2">
      <c r="B961" s="35"/>
    </row>
    <row r="962" spans="2:2">
      <c r="B962" s="35"/>
    </row>
    <row r="963" spans="2:2">
      <c r="B963" s="35"/>
    </row>
    <row r="964" spans="2:2">
      <c r="B964" s="157"/>
    </row>
    <row r="965" spans="2:2">
      <c r="B965" s="35"/>
    </row>
    <row r="966" spans="2:2">
      <c r="B966" s="35"/>
    </row>
    <row r="967" spans="2:2">
      <c r="B967" s="35"/>
    </row>
    <row r="968" spans="2:2">
      <c r="B968" s="157"/>
    </row>
    <row r="969" spans="2:2">
      <c r="B969" s="35"/>
    </row>
    <row r="970" spans="2:2">
      <c r="B970" s="35"/>
    </row>
    <row r="971" spans="2:2">
      <c r="B971" s="35"/>
    </row>
    <row r="972" spans="2:2">
      <c r="B972" s="157"/>
    </row>
    <row r="973" spans="2:2">
      <c r="B973" s="35"/>
    </row>
    <row r="974" spans="2:2">
      <c r="B974" s="35"/>
    </row>
    <row r="975" spans="2:2">
      <c r="B975" s="35"/>
    </row>
    <row r="976" spans="2:2">
      <c r="B976" s="157"/>
    </row>
    <row r="977" spans="2:2">
      <c r="B977" s="35"/>
    </row>
    <row r="978" spans="2:2">
      <c r="B978" s="35"/>
    </row>
    <row r="979" spans="2:2">
      <c r="B979" s="35"/>
    </row>
    <row r="980" spans="2:2">
      <c r="B980" s="157"/>
    </row>
    <row r="981" spans="2:2">
      <c r="B981" s="35"/>
    </row>
    <row r="982" spans="2:2">
      <c r="B982" s="35"/>
    </row>
    <row r="983" spans="2:2">
      <c r="B983" s="35"/>
    </row>
    <row r="984" spans="2:2">
      <c r="B984" s="157"/>
    </row>
    <row r="985" spans="2:2">
      <c r="B985" s="35"/>
    </row>
    <row r="986" spans="2:2">
      <c r="B986" s="35"/>
    </row>
    <row r="987" spans="2:2">
      <c r="B987" s="35"/>
    </row>
    <row r="988" spans="2:2">
      <c r="B988" s="157"/>
    </row>
    <row r="989" spans="2:2">
      <c r="B989" s="35"/>
    </row>
    <row r="990" spans="2:2">
      <c r="B990" s="35"/>
    </row>
    <row r="991" spans="2:2">
      <c r="B991" s="35"/>
    </row>
    <row r="992" spans="2:2">
      <c r="B992" s="157"/>
    </row>
    <row r="993" spans="2:2">
      <c r="B993" s="35"/>
    </row>
    <row r="994" spans="2:2">
      <c r="B994" s="35"/>
    </row>
    <row r="995" spans="2:2">
      <c r="B995" s="35"/>
    </row>
    <row r="996" spans="2:2">
      <c r="B996" s="157"/>
    </row>
    <row r="997" spans="2:2">
      <c r="B997" s="35"/>
    </row>
    <row r="998" spans="2:2">
      <c r="B998" s="35"/>
    </row>
    <row r="999" spans="2:2">
      <c r="B999" s="35"/>
    </row>
    <row r="1000" spans="2:2">
      <c r="B1000" s="157"/>
    </row>
    <row r="1001" spans="2:2">
      <c r="B1001" s="35"/>
    </row>
    <row r="1002" spans="2:2">
      <c r="B1002" s="35"/>
    </row>
    <row r="1003" spans="2:2">
      <c r="B1003" s="35"/>
    </row>
    <row r="1004" spans="2:2">
      <c r="B1004" s="157"/>
    </row>
    <row r="1005" spans="2:2">
      <c r="B1005" s="35"/>
    </row>
    <row r="1006" spans="2:2">
      <c r="B1006" s="35"/>
    </row>
    <row r="1007" spans="2:2">
      <c r="B1007" s="35"/>
    </row>
    <row r="1008" spans="2:2">
      <c r="B1008" s="157"/>
    </row>
    <row r="1009" spans="2:2">
      <c r="B1009" s="35"/>
    </row>
    <row r="1010" spans="2:2">
      <c r="B1010" s="35"/>
    </row>
    <row r="1011" spans="2:2">
      <c r="B1011" s="35"/>
    </row>
    <row r="1012" spans="2:2">
      <c r="B1012" s="157"/>
    </row>
    <row r="1013" spans="2:2">
      <c r="B1013" s="35"/>
    </row>
    <row r="1014" spans="2:2">
      <c r="B1014" s="35"/>
    </row>
    <row r="1015" spans="2:2">
      <c r="B1015" s="35"/>
    </row>
    <row r="1016" spans="2:2">
      <c r="B1016" s="157"/>
    </row>
    <row r="1017" spans="2:2">
      <c r="B1017" s="35"/>
    </row>
    <row r="1018" spans="2:2">
      <c r="B1018" s="35"/>
    </row>
    <row r="1019" spans="2:2">
      <c r="B1019" s="35"/>
    </row>
    <row r="1020" spans="2:2">
      <c r="B1020" s="157"/>
    </row>
    <row r="1021" spans="2:2">
      <c r="B1021" s="35"/>
    </row>
    <row r="1022" spans="2:2">
      <c r="B1022" s="35"/>
    </row>
    <row r="1023" spans="2:2">
      <c r="B1023" s="35"/>
    </row>
    <row r="1024" spans="2:2">
      <c r="B1024" s="157"/>
    </row>
    <row r="1025" spans="2:2">
      <c r="B1025" s="35"/>
    </row>
    <row r="1026" spans="2:2">
      <c r="B1026" s="35"/>
    </row>
    <row r="1027" spans="2:2">
      <c r="B1027" s="35"/>
    </row>
    <row r="1028" spans="2:2">
      <c r="B1028" s="157"/>
    </row>
    <row r="1029" spans="2:2">
      <c r="B1029" s="35"/>
    </row>
    <row r="1030" spans="2:2">
      <c r="B1030" s="35"/>
    </row>
    <row r="1031" spans="2:2">
      <c r="B1031" s="35"/>
    </row>
    <row r="1032" spans="2:2">
      <c r="B1032" s="157"/>
    </row>
    <row r="1033" spans="2:2">
      <c r="B1033" s="35"/>
    </row>
    <row r="1034" spans="2:2">
      <c r="B1034" s="35"/>
    </row>
    <row r="1035" spans="2:2">
      <c r="B1035" s="35"/>
    </row>
    <row r="1036" spans="2:2">
      <c r="B1036" s="157"/>
    </row>
    <row r="1037" spans="2:2">
      <c r="B1037" s="35"/>
    </row>
    <row r="1038" spans="2:2">
      <c r="B1038" s="35"/>
    </row>
    <row r="1039" spans="2:2">
      <c r="B1039" s="35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45</vt:i4>
      </vt:variant>
    </vt:vector>
  </HeadingPairs>
  <TitlesOfParts>
    <vt:vector size="55" baseType="lpstr">
      <vt:lpstr>Messaufbau_Messdaten</vt:lpstr>
      <vt:lpstr>num.-Neues-Modell</vt:lpstr>
      <vt:lpstr>Ref0_Alle-Kombinationen</vt:lpstr>
      <vt:lpstr>ConditionEstimation</vt:lpstr>
      <vt:lpstr>numerisch</vt:lpstr>
      <vt:lpstr>analytisch</vt:lpstr>
      <vt:lpstr>Modell+Rechnung</vt:lpstr>
      <vt:lpstr>AntennenPermutation</vt:lpstr>
      <vt:lpstr>Matrix_Konfiguration</vt:lpstr>
      <vt:lpstr>Tabelle2</vt:lpstr>
      <vt:lpstr>'Ref0_Alle-Kombinationen'!A_1</vt:lpstr>
      <vt:lpstr>A_1</vt:lpstr>
      <vt:lpstr>'Ref0_Alle-Kombinationen'!A_2</vt:lpstr>
      <vt:lpstr>A_2</vt:lpstr>
      <vt:lpstr>d_10</vt:lpstr>
      <vt:lpstr>d_20</vt:lpstr>
      <vt:lpstr>d_30</vt:lpstr>
      <vt:lpstr>OFFSET</vt:lpstr>
      <vt:lpstr>SCALING</vt:lpstr>
      <vt:lpstr>'Ref0_Alle-Kombinationen'!T_0</vt:lpstr>
      <vt:lpstr>T_0</vt:lpstr>
      <vt:lpstr>'Ref0_Alle-Kombinationen'!T_1</vt:lpstr>
      <vt:lpstr>T_1</vt:lpstr>
      <vt:lpstr>'Ref0_Alle-Kombinationen'!T_2</vt:lpstr>
      <vt:lpstr>T_2</vt:lpstr>
      <vt:lpstr>'Ref0_Alle-Kombinationen'!T_3</vt:lpstr>
      <vt:lpstr>T_3</vt:lpstr>
      <vt:lpstr>'Ref0_Alle-Kombinationen'!T_4</vt:lpstr>
      <vt:lpstr>T_4</vt:lpstr>
      <vt:lpstr>'Ref0_Alle-Kombinationen'!T_5</vt:lpstr>
      <vt:lpstr>T_5</vt:lpstr>
      <vt:lpstr>'Ref0_Alle-Kombinationen'!T_6</vt:lpstr>
      <vt:lpstr>T_6</vt:lpstr>
      <vt:lpstr>'Ref0_Alle-Kombinationen'!T_7</vt:lpstr>
      <vt:lpstr>T_7</vt:lpstr>
      <vt:lpstr>'Ref0_Alle-Kombinationen'!THETA_0</vt:lpstr>
      <vt:lpstr>THETA_0</vt:lpstr>
      <vt:lpstr>'Ref0_Alle-Kombinationen'!THETA_1</vt:lpstr>
      <vt:lpstr>THETA_1</vt:lpstr>
      <vt:lpstr>'Ref0_Alle-Kombinationen'!THETA_1_alt</vt:lpstr>
      <vt:lpstr>THETA_1_alt</vt:lpstr>
      <vt:lpstr>'Ref0_Alle-Kombinationen'!THETA_1dasd</vt:lpstr>
      <vt:lpstr>THETA_1dasd</vt:lpstr>
      <vt:lpstr>'Ref0_Alle-Kombinationen'!THETA_2</vt:lpstr>
      <vt:lpstr>THETA_2</vt:lpstr>
      <vt:lpstr>'Ref0_Alle-Kombinationen'!THETA_3</vt:lpstr>
      <vt:lpstr>THETA_3</vt:lpstr>
      <vt:lpstr>Theta_A0</vt:lpstr>
      <vt:lpstr>Theta_A1</vt:lpstr>
      <vt:lpstr>Theta_A2</vt:lpstr>
      <vt:lpstr>Theta_A3</vt:lpstr>
      <vt:lpstr>Theta_A4</vt:lpstr>
      <vt:lpstr>Theta_A5</vt:lpstr>
      <vt:lpstr>Theta_A6</vt:lpstr>
      <vt:lpstr>Theta_A7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cg</dc:creator>
  <cp:lastModifiedBy>cg</cp:lastModifiedBy>
  <cp:lastPrinted>2013-05-29T07:02:31Z</cp:lastPrinted>
  <dcterms:created xsi:type="dcterms:W3CDTF">2013-05-15T11:03:42Z</dcterms:created>
  <dcterms:modified xsi:type="dcterms:W3CDTF">2013-06-10T12:55:11Z</dcterms:modified>
</cp:coreProperties>
</file>