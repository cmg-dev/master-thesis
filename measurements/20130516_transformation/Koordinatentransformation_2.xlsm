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4245" yWindow="15" windowWidth="24615" windowHeight="1234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  <sheet name="Tabelle1" sheetId="19" r:id="rId6"/>
  </sheets>
  <definedNames>
    <definedName name="A_1">'num.-Neues-Modell'!$E$7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'num.-Neues-Modell'!$H$22:$H$28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'num.-Neues-Modell'!$G$22:$G$25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1" hidden="1">'num.-Neues-Modell'!$D$22:$D$25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1" hidden="1">'num.-Neues-Modell'!$D$28</definedName>
    <definedName name="solver_lhs3" localSheetId="2" hidden="1">numerisch!$F$18</definedName>
    <definedName name="solver_lhs4" localSheetId="1" hidden="1">'num.-Neues-Modell'!$D$25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'num.-Neues-Modell'!$H$57</definedName>
    <definedName name="solver_opt" localSheetId="2" hidden="1">numerisch!$K$14</definedName>
    <definedName name="solver_pre" localSheetId="1" hidden="1">0.001</definedName>
    <definedName name="solver_pre" localSheetId="2" hidden="1">0.000001</definedName>
    <definedName name="solver_rel1" localSheetId="1" hidden="1">3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1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1" hidden="1">1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1" hidden="1">0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1" hidden="1">0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_0">'num.-Neues-Modell'!$B$149</definedName>
    <definedName name="T_1">'num.-Neues-Modell'!$B$150</definedName>
    <definedName name="T_2">'num.-Neues-Modell'!$B$151</definedName>
    <definedName name="T_3">'num.-Neues-Modell'!$B$152</definedName>
    <definedName name="T_4">'num.-Neues-Modell'!$B$153</definedName>
    <definedName name="T_5">'num.-Neues-Modell'!$B$154</definedName>
    <definedName name="T_6">'num.-Neues-Modell'!$B$155</definedName>
    <definedName name="T_7">'num.-Neues-Modell'!$B$156</definedName>
    <definedName name="THETA_0">'num.-Neues-Modell'!$H$10</definedName>
    <definedName name="THETA_1">'num.-Neues-Modell'!$H$7</definedName>
    <definedName name="THETA_1_alt">'num.-Neues-Modell'!$H$7</definedName>
    <definedName name="THETA_1dasd">'num.-Neues-Modell'!$H$7</definedName>
    <definedName name="THETA_2">'num.-Neues-Modell'!$H$8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N14" i="18"/>
  <c r="N13"/>
  <c r="N12"/>
  <c r="H14"/>
  <c r="H13"/>
  <c r="H12"/>
  <c r="G12"/>
  <c r="H54" a="1"/>
  <c r="H56" s="1"/>
  <c r="H65"/>
  <c r="H64"/>
  <c r="H63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G54" a="1"/>
  <c r="G56" s="1"/>
  <c r="F54" a="1"/>
  <c r="F56" s="1"/>
  <c r="C99"/>
  <c r="C95"/>
  <c r="G63"/>
  <c r="G14"/>
  <c r="G13"/>
  <c r="F14"/>
  <c r="F13"/>
  <c r="F12"/>
  <c r="E14"/>
  <c r="E13"/>
  <c r="E12"/>
  <c r="D14"/>
  <c r="D13"/>
  <c r="D12"/>
  <c r="A16" i="19"/>
  <c r="B16"/>
  <c r="A17"/>
  <c r="B17"/>
  <c r="A15"/>
  <c r="A12"/>
  <c r="B12"/>
  <c r="A13"/>
  <c r="B13"/>
  <c r="A11"/>
  <c r="A8"/>
  <c r="B8"/>
  <c r="A9"/>
  <c r="B9"/>
  <c r="A7"/>
  <c r="C12"/>
  <c r="D12"/>
  <c r="C13"/>
  <c r="D13"/>
  <c r="C11"/>
  <c r="D11"/>
  <c r="B11"/>
  <c r="C16"/>
  <c r="D16"/>
  <c r="C17"/>
  <c r="D17"/>
  <c r="C15"/>
  <c r="D15"/>
  <c r="B15"/>
  <c r="C7"/>
  <c r="D7"/>
  <c r="C8"/>
  <c r="D8"/>
  <c r="C9"/>
  <c r="D9"/>
  <c r="B7"/>
  <c r="E101" i="18"/>
  <c r="D37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E107"/>
  <c r="E105"/>
  <c r="E104"/>
  <c r="E103"/>
  <c r="D101"/>
  <c r="C37" s="1"/>
  <c r="D100"/>
  <c r="C36" s="1"/>
  <c r="D99"/>
  <c r="C35" s="1"/>
  <c r="C140"/>
  <c r="C144" s="1"/>
  <c r="D140"/>
  <c r="D144" s="1"/>
  <c r="E140"/>
  <c r="E144" s="1"/>
  <c r="F140"/>
  <c r="F144" s="1"/>
  <c r="G140"/>
  <c r="G144" s="1"/>
  <c r="H140"/>
  <c r="H144" s="1"/>
  <c r="I140"/>
  <c r="I144" s="1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44" s="1"/>
  <c r="B133"/>
  <c r="B137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D137" s="1"/>
  <c r="E133"/>
  <c r="E137" s="1"/>
  <c r="F133"/>
  <c r="F137" s="1"/>
  <c r="G133"/>
  <c r="G137" s="1"/>
  <c r="H133"/>
  <c r="H137" s="1"/>
  <c r="I133"/>
  <c r="I137" s="1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F126"/>
  <c r="F130" s="1"/>
  <c r="G126"/>
  <c r="G130" s="1"/>
  <c r="H126"/>
  <c r="H130" s="1"/>
  <c r="I126"/>
  <c r="I130" s="1"/>
  <c r="B126"/>
  <c r="B130" s="1"/>
  <c r="C126"/>
  <c r="C130" s="1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E119"/>
  <c r="E123" s="1"/>
  <c r="F119"/>
  <c r="F123" s="1"/>
  <c r="G119"/>
  <c r="G123" s="1"/>
  <c r="H119"/>
  <c r="H123" s="1"/>
  <c r="I119"/>
  <c r="I123" s="1"/>
  <c r="C119"/>
  <c r="C123" s="1"/>
  <c r="D112"/>
  <c r="D113"/>
  <c r="D114"/>
  <c r="D115"/>
  <c r="D111"/>
  <c r="C45"/>
  <c r="B45"/>
  <c r="D44"/>
  <c r="D108"/>
  <c r="C44" s="1"/>
  <c r="B44"/>
  <c r="D107"/>
  <c r="C43" s="1"/>
  <c r="D43"/>
  <c r="D104"/>
  <c r="C40" s="1"/>
  <c r="D40"/>
  <c r="D41"/>
  <c r="D105"/>
  <c r="C41" s="1"/>
  <c r="B41"/>
  <c r="D103"/>
  <c r="D39"/>
  <c r="B39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7" s="1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H54" i="18" l="1"/>
  <c r="H55"/>
  <c r="G54"/>
  <c r="G55"/>
  <c r="F54"/>
  <c r="F55"/>
  <c r="E54" a="1"/>
  <c r="E56" s="1"/>
  <c r="G60"/>
  <c r="F61"/>
  <c r="D60"/>
  <c r="E62"/>
  <c r="K13"/>
  <c r="E60"/>
  <c r="G61"/>
  <c r="D61"/>
  <c r="J12"/>
  <c r="K12"/>
  <c r="F62"/>
  <c r="D62"/>
  <c r="F60"/>
  <c r="G62"/>
  <c r="E61"/>
  <c r="C154"/>
  <c r="C150"/>
  <c r="C155"/>
  <c r="C151"/>
  <c r="C156"/>
  <c r="J62"/>
  <c r="I61"/>
  <c r="H60"/>
  <c r="H66" s="1"/>
  <c r="K62"/>
  <c r="J61"/>
  <c r="I60"/>
  <c r="H62"/>
  <c r="K61"/>
  <c r="J60"/>
  <c r="I62"/>
  <c r="H6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K11" s="1"/>
  <c r="K28" s="1"/>
  <c r="G16"/>
  <c r="J15"/>
  <c r="F15"/>
  <c r="J32"/>
  <c r="F32"/>
  <c r="F22" i="15"/>
  <c r="J22"/>
  <c r="F23"/>
  <c r="J23"/>
  <c r="F24"/>
  <c r="J24"/>
  <c r="F39"/>
  <c r="J39"/>
  <c r="D16" i="14"/>
  <c r="I17"/>
  <c r="I10" s="1"/>
  <c r="I27" s="1"/>
  <c r="E17"/>
  <c r="H16"/>
  <c r="H10" s="1"/>
  <c r="H27" s="1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E63" i="18" l="1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H33" s="1"/>
  <c r="H34" s="1"/>
  <c r="E11"/>
  <c r="E28" s="1"/>
  <c r="H67" i="18"/>
  <c r="H68"/>
  <c r="J63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G33" s="1"/>
  <c r="G34" s="1"/>
  <c r="F11"/>
  <c r="F28" s="1"/>
  <c r="I11"/>
  <c r="I28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F33"/>
  <c r="F35" s="1"/>
  <c r="I33"/>
  <c r="I35" s="1"/>
  <c r="D17" i="4"/>
  <c r="D36" s="1"/>
  <c r="D16"/>
  <c r="D35" s="1"/>
  <c r="D15"/>
  <c r="D56" i="18" l="1"/>
  <c r="D55"/>
  <c r="D54"/>
  <c r="D33" i="14"/>
  <c r="D35" s="1"/>
  <c r="G35"/>
  <c r="H35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F34"/>
  <c r="E34"/>
  <c r="J34"/>
  <c r="J18" i="4"/>
  <c r="D34"/>
  <c r="J19"/>
  <c r="J20"/>
  <c r="D34" i="14" l="1"/>
  <c r="J41" i="15"/>
  <c r="J43" s="1"/>
  <c r="J42"/>
  <c r="F41"/>
  <c r="F43" s="1"/>
  <c r="F42"/>
  <c r="J57" i="18"/>
  <c r="H57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F57" l="1"/>
  <c r="G57"/>
  <c r="E57"/>
</calcChain>
</file>

<file path=xl/sharedStrings.xml><?xml version="1.0" encoding="utf-8"?>
<sst xmlns="http://schemas.openxmlformats.org/spreadsheetml/2006/main" count="315" uniqueCount="166">
  <si>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</si>
  <si>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</si>
  <si>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</si>
  <si>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</si>
  <si>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</si>
  <si>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</si>
  <si>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</si>
  <si>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</si>
  <si>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</si>
  <si>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</si>
  <si>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</si>
  <si>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</si>
  <si>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</si>
  <si>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</si>
  <si>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</si>
  <si>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</si>
  <si>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</si>
  <si>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</si>
  <si>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</si>
  <si>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</si>
  <si>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</si>
  <si>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</si>
  <si>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</si>
  <si>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</si>
  <si>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</si>
  <si>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</si>
  <si>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</si>
  <si>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</si>
  <si>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</si>
  <si>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</si>
  <si>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</si>
  <si>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</si>
  <si>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</si>
  <si>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</si>
  <si>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</si>
  <si>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</si>
  <si>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</si>
  <si>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</si>
  <si>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</si>
  <si>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</si>
  <si>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</si>
  <si>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</si>
  <si>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</si>
  <si>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</si>
  <si>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</si>
  <si>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</si>
  <si>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</si>
  <si>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</si>
  <si>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</si>
  <si>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</si>
  <si>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</si>
  <si>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</si>
  <si>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</si>
  <si>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</si>
  <si>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</si>
  <si>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</si>
  <si>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</si>
  <si>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</si>
  <si>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</si>
  <si>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</si>
  <si>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</si>
  <si>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</si>
  <si>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</si>
  <si>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</si>
  <si>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</si>
  <si>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</si>
  <si>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</si>
  <si>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</si>
  <si>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</si>
  <si>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</si>
  <si>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</si>
  <si>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</si>
  <si>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</si>
  <si>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</si>
  <si>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</si>
  <si>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</si>
  <si>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</si>
  <si>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</si>
  <si>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</si>
  <si>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</si>
  <si>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</si>
  <si>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</si>
  <si>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</si>
  <si>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</si>
  <si>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</si>
  <si>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</si>
  <si>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</si>
  <si>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</si>
  <si>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</si>
  <si>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</si>
  <si>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</si>
  <si>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</si>
  <si>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</si>
  <si>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</si>
  <si>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</si>
  <si>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</si>
  <si>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</si>
  <si>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</si>
  <si>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</si>
  <si>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</si>
  <si>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</si>
  <si>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</si>
  <si>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</si>
  <si>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</si>
  <si>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</si>
  <si>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</si>
  <si>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</si>
  <si>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</si>
  <si>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</si>
  <si>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</si>
  <si>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</si>
  <si>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</si>
  <si>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</si>
  <si>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</si>
  <si>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</si>
  <si>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</si>
  <si>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</si>
  <si>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</si>
  <si>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</si>
  <si>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</si>
  <si>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</si>
  <si>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</si>
  <si>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</si>
  <si>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</si>
  <si>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</si>
  <si>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</si>
  <si>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</si>
  <si>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</si>
  <si>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</si>
  <si>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</si>
  <si>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</si>
  <si>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</si>
  <si>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</si>
  <si>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</si>
  <si>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</si>
  <si>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</si>
  <si>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</si>
  <si>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</si>
  <si>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</si>
  <si>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</si>
  <si>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</si>
  <si>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</si>
  <si>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</si>
  <si>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</si>
  <si>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</si>
  <si>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</si>
  <si>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</si>
  <si>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</si>
  <si>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</si>
  <si>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</si>
  <si>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</si>
  <si>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</si>
  <si>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</si>
  <si>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</si>
  <si>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</si>
  <si>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</si>
  <si>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</si>
  <si>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</si>
  <si>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</si>
  <si>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</si>
  <si>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P1</t>
  </si>
  <si>
    <t>P2</t>
  </si>
  <si>
    <t>P3</t>
  </si>
  <si>
    <t>P0</t>
  </si>
  <si>
    <t>a_0423</t>
  </si>
  <si>
    <t>0423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</si>
</sst>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E+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0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7" fillId="6" borderId="0" xfId="0" applyNumberFormat="1" applyFon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7" zoomScale="85" zoomScaleNormal="85" workbookViewId="0">
      <selection activeCell="E51" sqref="E51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26" t="s">
        <v>6</v>
      </c>
      <c r="C1" s="126"/>
      <c r="D1" s="126"/>
      <c r="E1" s="126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25" t="s">
        <v>5</v>
      </c>
      <c r="I6" s="125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26" t="s">
        <v>9</v>
      </c>
      <c r="C19" s="126"/>
      <c r="D19" s="126"/>
      <c r="E19" s="126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</row>
    <row r="52" spans="8:24">
      <c r="H52" t="s">
        <v>121</v>
      </c>
      <c r="I52" t="e">
        <v>#DIV/0!</v>
      </c>
    </row>
    <row r="53" spans="8:24">
      <c r="H53" t="s">
        <v>122</v>
      </c>
      <c r="I53">
        <v>-12.232758620689655</v>
      </c>
    </row>
    <row r="54" spans="8:24">
      <c r="H54" t="s">
        <v>123</v>
      </c>
      <c r="I54">
        <v>-4.4375</v>
      </c>
    </row>
    <row r="55" spans="8:24">
      <c r="H55" t="s">
        <v>127</v>
      </c>
      <c r="I55">
        <v>14.42443729903537</v>
      </c>
    </row>
    <row r="56" spans="8:24">
      <c r="H56" t="s">
        <v>126</v>
      </c>
      <c r="I56">
        <v>38.125</v>
      </c>
    </row>
    <row r="57" spans="8:24">
      <c r="H57" t="s">
        <v>125</v>
      </c>
      <c r="I57" t="e">
        <v>#DIV/0!</v>
      </c>
    </row>
    <row r="58" spans="8:24">
      <c r="H58" t="s">
        <v>124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abSelected="1" topLeftCell="A82" workbookViewId="0">
      <selection activeCell="J90" sqref="C90:J93"/>
    </sheetView>
  </sheetViews>
  <sheetFormatPr baseColWidth="10" defaultRowHeight="15"/>
  <sheetData>
    <row r="1" spans="1:15">
      <c r="A1" s="129">
        <v>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42">
        <v>1</v>
      </c>
      <c r="J12" s="2">
        <f>A_1*(1/(2*PI())^2)*(T_0^2-T_2^2)</f>
        <v>0.29506271563788528</v>
      </c>
      <c r="K12" s="2">
        <f>A_1*(1/(2*PI())^2)*(T_2^2-T_0^2)</f>
        <v>-0.29506271563788528</v>
      </c>
      <c r="L12" s="2">
        <f>A_1*(1/(2*PI())^2)*(T_3^2-T_2^2)</f>
        <v>-4.934339448225919E-2</v>
      </c>
      <c r="M12" s="2">
        <f>A_1*(1/(2*PI())^2)*(T_4^2-T_2^2)</f>
        <v>2.2184390610409613E-2</v>
      </c>
      <c r="N12" s="2">
        <f>A_1*(1/(2*PI())^2)*(T_0^2-T_4^2)</f>
        <v>0.27287832502747572</v>
      </c>
      <c r="O12" s="2"/>
    </row>
    <row r="13" spans="1:15">
      <c r="A13" s="2"/>
      <c r="B13" s="102"/>
      <c r="C13" s="143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0.34440611012014449</v>
      </c>
      <c r="K13" s="2">
        <f>A_1*(1/(2*PI())^2)*(T_2^2-T_3^2)</f>
        <v>4.934339448225919E-2</v>
      </c>
      <c r="L13" s="2">
        <f>A_1*(1/(2*PI())^2)*(T_3^2-T_0^2)</f>
        <v>-0.34440611012014449</v>
      </c>
      <c r="M13" s="2">
        <f>A_1*(1/(2*PI())^2)*(T_4^2-T_3^2)</f>
        <v>7.15277850926688E-2</v>
      </c>
      <c r="N13" s="2">
        <f>A_1*(1/(2*PI())^2)*(T_0^2-T_2^2)</f>
        <v>0.29506271563788528</v>
      </c>
      <c r="O13" s="2"/>
    </row>
    <row r="14" spans="1:15">
      <c r="A14" s="2"/>
      <c r="B14" s="102"/>
      <c r="C14" s="143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0.27287832502747572</v>
      </c>
      <c r="K14" s="2">
        <f>A_1*(1/(2*PI())^2)*(T_2^2-T_4^2)</f>
        <v>-2.2184390610409613E-2</v>
      </c>
      <c r="L14" s="2">
        <f>A_1*(1/(2*PI())^2)*(T_3^2-T_4^2)</f>
        <v>-7.15277850926688E-2</v>
      </c>
      <c r="M14" s="2">
        <f>A_1*(1/(2*PI())^2)*(T_4^2-T_0^2)</f>
        <v>-0.27287832502747572</v>
      </c>
      <c r="N14" s="2">
        <f>A_1*(1/(2*PI())^2)*(T_0^2-T_3^2)</f>
        <v>0.34440611012014449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37">
        <v>0.56032053025575435</v>
      </c>
      <c r="E22" s="138">
        <v>0.39115580333770905</v>
      </c>
      <c r="F22" s="138">
        <v>-1.2346543331791792E-2</v>
      </c>
      <c r="G22" s="138">
        <v>-8.8876505432305519E-2</v>
      </c>
      <c r="H22" s="138">
        <v>-0.17278618412284308</v>
      </c>
      <c r="I22" s="70">
        <v>-0.15855509315995797</v>
      </c>
      <c r="J22" s="70">
        <v>-0.85603789680002773</v>
      </c>
      <c r="K22" s="70">
        <v>0.65342120690916317</v>
      </c>
      <c r="L22" s="130" t="s">
        <v>150</v>
      </c>
      <c r="M22" s="78">
        <f ca="1">RAND()-RAND()</f>
        <v>-5.0980731701923299E-2</v>
      </c>
    </row>
    <row r="23" spans="1:20">
      <c r="B23" s="2" t="s">
        <v>82</v>
      </c>
      <c r="C23" s="2"/>
      <c r="D23" s="137">
        <v>0.38403940542505927</v>
      </c>
      <c r="E23" s="138">
        <v>0.63701122944347821</v>
      </c>
      <c r="F23" s="138">
        <v>0.33107964811293844</v>
      </c>
      <c r="G23" s="138">
        <v>0.74755387220842051</v>
      </c>
      <c r="H23" s="138">
        <v>5.2137864573207134E-2</v>
      </c>
      <c r="I23" s="70">
        <v>-0.3582528703161334</v>
      </c>
      <c r="J23" s="70">
        <v>0.54958182007341416</v>
      </c>
      <c r="K23" s="70">
        <v>-0.40737763775813596</v>
      </c>
      <c r="L23" s="130"/>
      <c r="M23" s="78">
        <f t="shared" ref="M23:M28" ca="1" si="0">RAND()-RAND()</f>
        <v>0.84521741738775513</v>
      </c>
    </row>
    <row r="24" spans="1:20">
      <c r="B24" s="2" t="s">
        <v>83</v>
      </c>
      <c r="C24" s="2"/>
      <c r="D24" s="137">
        <v>-1.8782644265892542E-2</v>
      </c>
      <c r="E24" s="138">
        <v>0.80402248365963647</v>
      </c>
      <c r="F24" s="138">
        <v>-8.2512841492848113E-2</v>
      </c>
      <c r="G24" s="138">
        <v>-0.21738991751065395</v>
      </c>
      <c r="H24" s="138">
        <v>-0.11560102918739257</v>
      </c>
      <c r="I24" s="70">
        <v>-2.4909669184959959E-2</v>
      </c>
      <c r="J24" s="70">
        <v>-0.36477405011057273</v>
      </c>
      <c r="K24" s="70">
        <v>0.20797765241452781</v>
      </c>
      <c r="L24" s="130"/>
      <c r="M24" s="78">
        <f t="shared" ca="1" si="0"/>
        <v>-0.25622139687273315</v>
      </c>
    </row>
    <row r="25" spans="1:20">
      <c r="B25" s="50" t="s">
        <v>84</v>
      </c>
      <c r="C25" s="2" t="s">
        <v>27</v>
      </c>
      <c r="D25" s="137">
        <v>0.68786694918004565</v>
      </c>
      <c r="E25" s="138">
        <v>0.19004586930106684</v>
      </c>
      <c r="F25" s="138">
        <v>-0.18697301168497055</v>
      </c>
      <c r="G25" s="138">
        <v>-0.15198321566951339</v>
      </c>
      <c r="H25" s="138">
        <v>0.42617777673052243</v>
      </c>
      <c r="I25" s="70">
        <v>-0.60127917735887881</v>
      </c>
      <c r="J25" s="70">
        <v>7.3809363778690518E-2</v>
      </c>
      <c r="K25" s="70">
        <v>0.45904960287541474</v>
      </c>
      <c r="L25" s="130"/>
      <c r="M25" s="78">
        <f t="shared" ca="1" si="0"/>
        <v>-7.972121375631791E-2</v>
      </c>
      <c r="P25" s="113">
        <f>D86</f>
        <v>-4.3172647510923312E-2</v>
      </c>
      <c r="Q25" s="113">
        <f>E86</f>
        <v>-0.33742172806030069</v>
      </c>
      <c r="R25" s="113">
        <f t="shared" ref="Q25:T25" si="1">F86</f>
        <v>-0.44438226734493314</v>
      </c>
      <c r="S25" s="113">
        <f t="shared" si="1"/>
        <v>-0.29135660821674492</v>
      </c>
      <c r="T25" s="113">
        <f t="shared" si="1"/>
        <v>0.20631559795488563</v>
      </c>
    </row>
    <row r="26" spans="1:20">
      <c r="B26" s="2" t="s">
        <v>48</v>
      </c>
      <c r="C26" s="2"/>
      <c r="D26" s="137">
        <v>3.0705037053647039E-2</v>
      </c>
      <c r="E26" s="138">
        <v>-1.0017623900053874</v>
      </c>
      <c r="F26" s="138">
        <v>1.4501893479591794</v>
      </c>
      <c r="G26" s="138">
        <v>-1.3942231744276226</v>
      </c>
      <c r="H26" s="137">
        <v>-7.6228185290984241E-2</v>
      </c>
      <c r="I26" s="70">
        <v>-0.64147819789622496</v>
      </c>
      <c r="J26" s="70">
        <v>-2.6436636559469484E-2</v>
      </c>
      <c r="K26" s="70">
        <v>-1.0305960682470916E-2</v>
      </c>
      <c r="L26" s="130"/>
      <c r="M26" s="78">
        <f t="shared" ca="1" si="0"/>
        <v>-0.62130013532139761</v>
      </c>
      <c r="P26" s="35">
        <f>D77</f>
        <v>3.0705037053647039E-2</v>
      </c>
      <c r="Q26" s="35">
        <f t="shared" ref="Q26:T28" si="2">E77</f>
        <v>-1.0017623900053874</v>
      </c>
      <c r="R26" s="35">
        <f t="shared" si="2"/>
        <v>1.4501893479591794</v>
      </c>
      <c r="S26" s="35">
        <f t="shared" si="2"/>
        <v>-1.3942231744276226</v>
      </c>
      <c r="T26" s="35">
        <f t="shared" si="2"/>
        <v>-7.6228185290984241E-2</v>
      </c>
    </row>
    <row r="27" spans="1:20">
      <c r="B27" t="s">
        <v>47</v>
      </c>
      <c r="D27" s="137">
        <v>0.90214716031384157</v>
      </c>
      <c r="E27" s="138">
        <v>0.97718289106443024</v>
      </c>
      <c r="F27" s="138">
        <v>0.14384091180519129</v>
      </c>
      <c r="G27" s="138">
        <v>-0.10747777325339705</v>
      </c>
      <c r="H27" s="137">
        <v>0.73180416814661586</v>
      </c>
      <c r="I27" s="70">
        <v>4.8639647915487139E-2</v>
      </c>
      <c r="J27" s="70">
        <v>-0.42478485919807984</v>
      </c>
      <c r="K27" s="70">
        <v>5.2954891334215048E-2</v>
      </c>
      <c r="L27" s="130"/>
      <c r="M27" s="78">
        <f t="shared" ca="1" si="0"/>
        <v>0.13641917542060167</v>
      </c>
      <c r="P27" s="35">
        <f t="shared" ref="P27:P28" si="3">D78</f>
        <v>0.90214716031384157</v>
      </c>
      <c r="Q27" s="35">
        <f t="shared" si="2"/>
        <v>0.97718289106443024</v>
      </c>
      <c r="R27" s="35">
        <f t="shared" si="2"/>
        <v>0.14384091180519129</v>
      </c>
      <c r="S27" s="35">
        <f t="shared" si="2"/>
        <v>-0.10747777325339705</v>
      </c>
      <c r="T27" s="35">
        <f t="shared" si="2"/>
        <v>0.73180416814661586</v>
      </c>
    </row>
    <row r="28" spans="1:20">
      <c r="B28" t="s">
        <v>52</v>
      </c>
      <c r="C28" s="2"/>
      <c r="D28" s="137">
        <v>0.64115359974790653</v>
      </c>
      <c r="E28" s="138">
        <v>-0.15446893722496133</v>
      </c>
      <c r="F28" s="138">
        <v>1.375518799337261E-2</v>
      </c>
      <c r="G28" s="138">
        <v>-2.177970548219826E-2</v>
      </c>
      <c r="H28" s="137">
        <v>1.2555360023412545</v>
      </c>
      <c r="I28" s="70">
        <v>-0.12219530665103107</v>
      </c>
      <c r="J28" s="70">
        <v>-0.2246402934383831</v>
      </c>
      <c r="K28" s="70">
        <v>-9.8948905880472005E-2</v>
      </c>
      <c r="L28" s="130"/>
      <c r="M28" s="78">
        <f t="shared" ca="1" si="0"/>
        <v>-0.59297385161108718</v>
      </c>
      <c r="P28" s="35">
        <f t="shared" si="3"/>
        <v>0.64115359974790653</v>
      </c>
      <c r="Q28" s="35">
        <f t="shared" si="2"/>
        <v>-0.15446893722496133</v>
      </c>
      <c r="R28" s="35">
        <f t="shared" si="2"/>
        <v>1.375518799337261E-2</v>
      </c>
      <c r="S28" s="35">
        <f t="shared" si="2"/>
        <v>-2.177970548219826E-2</v>
      </c>
      <c r="T28" s="35">
        <f t="shared" si="2"/>
        <v>1.2555360023412545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29" t="s">
        <v>152</v>
      </c>
      <c r="B30" s="129"/>
      <c r="C30" s="129"/>
      <c r="D30" s="129"/>
      <c r="E30" s="129"/>
      <c r="F30" s="129"/>
      <c r="G30" s="129"/>
      <c r="H30" s="129"/>
      <c r="I30" s="129"/>
      <c r="J30" s="129"/>
      <c r="K30" s="129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50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51"/>
      <c r="F36" s="68"/>
      <c r="G36" s="152"/>
      <c r="H36" s="66"/>
      <c r="I36" s="152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50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50"/>
      <c r="F39" s="68"/>
      <c r="G39" s="2"/>
      <c r="H39" s="66"/>
      <c r="I39" s="2"/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51"/>
      <c r="F40" s="68"/>
      <c r="G40" s="152"/>
      <c r="H40" s="66"/>
      <c r="I40" s="152"/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50"/>
      <c r="F41" s="68"/>
      <c r="G41" s="2"/>
      <c r="H41" s="66"/>
      <c r="I41" s="2"/>
    </row>
    <row r="42" spans="1:13">
      <c r="A42" s="2"/>
      <c r="B42" s="79"/>
      <c r="C42" s="79"/>
      <c r="D42" s="79"/>
      <c r="E42" s="2"/>
      <c r="F42" s="68"/>
      <c r="G42" s="2"/>
      <c r="H42" s="66"/>
      <c r="I42" s="2"/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50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51"/>
      <c r="F44" s="68"/>
      <c r="G44" s="152"/>
      <c r="H44" s="66"/>
      <c r="I44" s="152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50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58">
        <v>1.4421025939282253</v>
      </c>
      <c r="C47" s="158">
        <v>1.0431877148697888</v>
      </c>
      <c r="D47" s="158">
        <v>0.78932433807079116</v>
      </c>
      <c r="H47" s="66"/>
      <c r="I47" s="2"/>
    </row>
    <row r="48" spans="1:13" ht="14.25" customHeight="1">
      <c r="A48" s="5"/>
      <c r="B48" s="156">
        <v>1.0419123890112216</v>
      </c>
      <c r="C48" s="157">
        <v>-4.0818532431212473E-2</v>
      </c>
      <c r="D48" s="157">
        <v>0.77248383184656022</v>
      </c>
      <c r="E48" s="151"/>
      <c r="F48" s="68"/>
      <c r="G48" s="152"/>
      <c r="H48" s="66"/>
      <c r="I48" s="152"/>
    </row>
    <row r="49" spans="1:16">
      <c r="A49" s="5" t="s">
        <v>164</v>
      </c>
      <c r="B49" s="156">
        <v>-1.4028471761352286</v>
      </c>
      <c r="C49" s="157">
        <v>0.814665459345566</v>
      </c>
      <c r="D49" s="157">
        <v>0.7195871750303805</v>
      </c>
      <c r="E49" s="151"/>
      <c r="F49" s="68"/>
      <c r="G49" s="153"/>
      <c r="H49" s="66"/>
      <c r="I49" s="153"/>
      <c r="O49" s="35"/>
      <c r="P49" s="35"/>
    </row>
    <row r="50" spans="1:16">
      <c r="A50" s="5"/>
      <c r="B50" s="79"/>
      <c r="C50" s="79"/>
      <c r="D50" s="85"/>
      <c r="E50" s="150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54" t="s">
        <v>165</v>
      </c>
      <c r="I53" s="144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0.49044842492572527</v>
      </c>
      <c r="E54" s="109">
        <f t="array" ref="E54:E56">MMULT($B$35:$D$37,E$26:E$28)</f>
        <v>1.2029605730510475</v>
      </c>
      <c r="F54" s="109">
        <f t="array" ref="F54:F56">MMULT($B$39:$D$41,F$26:F$28)</f>
        <v>3.4230382857435084</v>
      </c>
      <c r="G54" s="109">
        <f t="array" ref="G54:G56">MMULT($B$43:$D$45,G$26:G$28)</f>
        <v>0.67482781679264336</v>
      </c>
      <c r="H54" s="109">
        <f t="array" ref="H54:H56">MMULT($B$47:$D$49,H$26:H$28)</f>
        <v>1.6445053781345431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1.1532395638336927</v>
      </c>
      <c r="E55" s="109">
        <v>3.2932033956745594</v>
      </c>
      <c r="F55" s="109">
        <v>1.9073137522872996</v>
      </c>
      <c r="G55" s="109">
        <v>3.9925748175397748</v>
      </c>
      <c r="H55" s="109">
        <v>0.86058699929257554</v>
      </c>
      <c r="I55" s="71">
        <f>INDEX(MMULT($B$31:$D$33,I$26:I$28),ROW($A1))</f>
        <v>-0.76474337943000381</v>
      </c>
      <c r="J55" s="71">
        <f>INDEX(MMULT($B$31:$D$33,J$26:J$28),ROW($A1))</f>
        <v>-0.18373655926605126</v>
      </c>
      <c r="K55" s="71">
        <f>INDEX(MMULT($B$31:$D$33,K$26:K$28),ROW($A1))</f>
        <v>-8.9335879036617633E-2</v>
      </c>
      <c r="O55" s="35"/>
    </row>
    <row r="56" spans="1:16">
      <c r="B56" t="s">
        <v>94</v>
      </c>
      <c r="D56" s="37">
        <v>1.4914667889485134</v>
      </c>
      <c r="E56" s="109">
        <v>0.65577552743630541</v>
      </c>
      <c r="F56" s="109">
        <v>4.1595459494150653</v>
      </c>
      <c r="G56" s="109">
        <v>2.1399236006495364</v>
      </c>
      <c r="H56" s="109">
        <v>1.6065796783452133</v>
      </c>
      <c r="I56" s="71">
        <f>INDEX(MMULT($B$31:$D$33,I$26:I$28),ROW($A2))</f>
        <v>0.85159074406752489</v>
      </c>
      <c r="J56" s="71">
        <f>INDEX(MMULT($B$31:$D$33,J$26:J$28),ROW($A2))</f>
        <v>-0.47061926565100198</v>
      </c>
      <c r="K56" s="71">
        <f>INDEX(MMULT($B$31:$D$33,K$26:K$28),ROW($A2))</f>
        <v>-1.3604154940728003E-2</v>
      </c>
      <c r="O56" s="35"/>
    </row>
    <row r="57" spans="1:16">
      <c r="B57" t="s">
        <v>95</v>
      </c>
      <c r="D57" s="139">
        <f>(D$66-D$54)^2+(D$67-D$55)^2+(D$68-D$56)^2</f>
        <v>1.0206971878626158E-13</v>
      </c>
      <c r="E57" s="140">
        <f t="shared" ref="E57:K57" si="16">(E$54-E$66)^2+(E$55-E$67)^2+(E$56-E$68)^2</f>
        <v>3.9299311384122807E-12</v>
      </c>
      <c r="F57" s="140">
        <f t="shared" si="16"/>
        <v>1.101535723866436E-11</v>
      </c>
      <c r="G57" s="140">
        <f t="shared" si="16"/>
        <v>7.8873052383748016E-13</v>
      </c>
      <c r="H57" s="140">
        <f t="shared" si="16"/>
        <v>4.130737848406741E-13</v>
      </c>
      <c r="I57" s="141" t="e">
        <f t="shared" si="16"/>
        <v>#REF!</v>
      </c>
      <c r="J57" s="141" t="e">
        <f t="shared" si="16"/>
        <v>#REF!</v>
      </c>
      <c r="K57" s="141" t="e">
        <f t="shared" si="16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2.4955096902634353E-3</v>
      </c>
      <c r="E60" s="80">
        <f>A_1*($E$22^2-E23^2)</f>
        <v>-3.7893032810478317E-3</v>
      </c>
      <c r="F60" s="80">
        <f t="shared" ref="D60:K62" si="17">A_1*(F$22^2-F23^2)</f>
        <v>-1.6408787111430118E-3</v>
      </c>
      <c r="G60" s="80">
        <f t="shared" si="17"/>
        <v>-8.2588281902300914E-3</v>
      </c>
      <c r="H60" s="80">
        <f t="shared" si="17"/>
        <v>4.0679261794827502E-4</v>
      </c>
      <c r="I60" s="80">
        <f t="shared" si="17"/>
        <v>-1.5470997696558767E-3</v>
      </c>
      <c r="J60" s="80">
        <f t="shared" si="17"/>
        <v>6.4573149834864655E-3</v>
      </c>
      <c r="K60" s="80">
        <f t="shared" si="17"/>
        <v>3.9125594545225302E-3</v>
      </c>
      <c r="L60" s="130" t="s">
        <v>96</v>
      </c>
    </row>
    <row r="61" spans="1:16" ht="18.75">
      <c r="B61" s="56" t="s">
        <v>88</v>
      </c>
      <c r="C61" s="57"/>
      <c r="D61" s="80">
        <f>A_1*($D$22^2-D24^2)</f>
        <v>4.701112936956419E-3</v>
      </c>
      <c r="E61" s="80">
        <f>A_1*($E$22^2-E24^2)</f>
        <v>-7.3970477739741594E-3</v>
      </c>
      <c r="F61" s="80">
        <f t="shared" si="17"/>
        <v>-9.9775695117487062E-5</v>
      </c>
      <c r="G61" s="80">
        <f t="shared" si="17"/>
        <v>-5.9001592569386341E-4</v>
      </c>
      <c r="H61" s="80">
        <f t="shared" si="17"/>
        <v>2.4721521504403722E-4</v>
      </c>
      <c r="I61" s="80">
        <f t="shared" si="17"/>
        <v>3.6755526606819416E-4</v>
      </c>
      <c r="J61" s="80">
        <f t="shared" si="17"/>
        <v>8.9904093997263575E-3</v>
      </c>
      <c r="K61" s="80">
        <f t="shared" si="17"/>
        <v>5.7519203713529404E-3</v>
      </c>
      <c r="L61" s="130"/>
    </row>
    <row r="62" spans="1:16" ht="18.75">
      <c r="B62" s="56" t="s">
        <v>89</v>
      </c>
      <c r="C62" s="57"/>
      <c r="D62" s="80">
        <f>A_1*($D$22^2-D25^2)</f>
        <v>-2.386513992767647E-3</v>
      </c>
      <c r="E62" s="80">
        <f>A_1*($E$22^2-E25^2)</f>
        <v>1.7521701309494333E-3</v>
      </c>
      <c r="F62" s="80">
        <f t="shared" si="17"/>
        <v>-5.217661175952596E-4</v>
      </c>
      <c r="G62" s="80">
        <f t="shared" si="17"/>
        <v>-2.2785345259898545E-4</v>
      </c>
      <c r="H62" s="80">
        <f t="shared" si="17"/>
        <v>-2.2751434620039823E-3</v>
      </c>
      <c r="I62" s="80">
        <f t="shared" si="17"/>
        <v>-5.0427555888347027E-3</v>
      </c>
      <c r="J62" s="80">
        <f t="shared" si="17"/>
        <v>1.0903380373299632E-2</v>
      </c>
      <c r="K62" s="80">
        <f t="shared" si="17"/>
        <v>3.2414351450327505E-3</v>
      </c>
      <c r="L62" s="130"/>
    </row>
    <row r="63" spans="1:16">
      <c r="B63" s="56" t="s">
        <v>86</v>
      </c>
      <c r="C63" s="58"/>
      <c r="D63" s="80">
        <f>A_2*(T_0*$D$22-T_2*D23)</f>
        <v>-5.8974087810114748E-2</v>
      </c>
      <c r="E63" s="80">
        <f>A_2*(T_2*$E$22-T_0*E23)</f>
        <v>6.9698567483840568E-2</v>
      </c>
      <c r="F63" s="80">
        <f>A_2*(T_3*F$22-T_2*F23)</f>
        <v>1.9586578314544034E-2</v>
      </c>
      <c r="G63" s="80">
        <f>A_2*(T_4*G$22-T_2*G23)</f>
        <v>3.7517604644659454E-2</v>
      </c>
      <c r="H63" s="80">
        <f>A_2*(T_0*H$22-T_4*H23)</f>
        <v>2.1509868038838496E-2</v>
      </c>
      <c r="I63" s="80">
        <f t="shared" ref="H63:K65" si="18">A_2*(THETA_0*I$22-THETA_1*I23)</f>
        <v>0</v>
      </c>
      <c r="J63" s="80">
        <f t="shared" si="18"/>
        <v>0</v>
      </c>
      <c r="K63" s="80">
        <f t="shared" si="18"/>
        <v>0</v>
      </c>
      <c r="L63" s="130"/>
    </row>
    <row r="64" spans="1:16">
      <c r="B64" s="56" t="s">
        <v>91</v>
      </c>
      <c r="C64" s="58" t="s">
        <v>27</v>
      </c>
      <c r="D64" s="80">
        <f>A_2*(T_0*$D$22-T_3*D24)</f>
        <v>-8.1788210847668658E-2</v>
      </c>
      <c r="E64" s="80">
        <f>A_2*(T_2*$E$22-T_3*E24)</f>
        <v>-5.8073728046476028E-3</v>
      </c>
      <c r="F64" s="80">
        <f>A_2*(T_3*F$22-T_0*F24)</f>
        <v>-1.1724145123831875E-2</v>
      </c>
      <c r="G64" s="80">
        <f>A_2*(T_4*G$22-T_3*G24)</f>
        <v>-1.0720218392024172E-2</v>
      </c>
      <c r="H64" s="80">
        <f>A_2*(T_0*H$22-T_2*H24)</f>
        <v>1.8350767449485703E-2</v>
      </c>
      <c r="I64" s="80">
        <f t="shared" si="18"/>
        <v>0</v>
      </c>
      <c r="J64" s="80">
        <f t="shared" si="18"/>
        <v>0</v>
      </c>
      <c r="K64" s="80">
        <f t="shared" si="18"/>
        <v>0</v>
      </c>
      <c r="L64" s="130"/>
    </row>
    <row r="65" spans="1:12">
      <c r="B65" s="56" t="s">
        <v>90</v>
      </c>
      <c r="C65" s="58"/>
      <c r="D65" s="80">
        <f>A_2*(T_0*$D$22-T_4*D25)</f>
        <v>-0.12873498503322592</v>
      </c>
      <c r="E65" s="80">
        <f>A_2*(T_2*$E$22-T_4*E25)</f>
        <v>-3.5912272419144978E-2</v>
      </c>
      <c r="F65" s="80">
        <f>A_2*(T_3*F$22-T_4*F25)</f>
        <v>1.3130397672477093E-2</v>
      </c>
      <c r="G65" s="80">
        <f>A_2*(T_4*G$22-T_0*G25)</f>
        <v>-2.8193821762764242E-2</v>
      </c>
      <c r="H65" s="80">
        <f>A_2*(T_0*H$22-T_3*H25)</f>
        <v>3.4122329885924549E-2</v>
      </c>
      <c r="I65" s="80">
        <f t="shared" si="18"/>
        <v>0</v>
      </c>
      <c r="J65" s="80">
        <f t="shared" si="18"/>
        <v>0</v>
      </c>
      <c r="K65" s="80">
        <f t="shared" si="18"/>
        <v>0</v>
      </c>
      <c r="L65" s="130"/>
    </row>
    <row r="66" spans="1:12">
      <c r="B66" t="s">
        <v>45</v>
      </c>
      <c r="C66" s="2"/>
      <c r="D66" s="55">
        <f>D12+D60+D63-J12</f>
        <v>0.49044813095689027</v>
      </c>
      <c r="E66" s="55">
        <f>E12+E60+E63-K12</f>
        <v>1.2029614045553048</v>
      </c>
      <c r="F66" s="55">
        <f>F12+F60+F63-L12</f>
        <v>3.4230392180175193</v>
      </c>
      <c r="G66" s="55">
        <f>G12+G60+G63-M12</f>
        <v>0.67482705931852049</v>
      </c>
      <c r="H66" s="155">
        <f>H12+H60+H63-$N$12</f>
        <v>1.6445050408996416</v>
      </c>
      <c r="I66" s="72">
        <f t="shared" ref="I66:K66" si="19">$D$7+$G$7+I60+I63</f>
        <v>-1.5470997696558767E-3</v>
      </c>
      <c r="J66" s="72">
        <f t="shared" si="19"/>
        <v>6.4573149834864655E-3</v>
      </c>
      <c r="K66" s="72">
        <f t="shared" si="19"/>
        <v>3.9125594545225302E-3</v>
      </c>
      <c r="L66" s="130"/>
    </row>
    <row r="67" spans="1:12">
      <c r="B67" t="s">
        <v>43</v>
      </c>
      <c r="D67" s="55">
        <f>D13+D61+D64-J13</f>
        <v>1.1532396483238985</v>
      </c>
      <c r="E67" s="55">
        <f>E13+E61+E64-K13</f>
        <v>3.2932023088709781</v>
      </c>
      <c r="F67" s="55">
        <f>F13+F61+F64-L13</f>
        <v>1.9073150456559502</v>
      </c>
      <c r="G67" s="55">
        <f>G13+G61+G64-M13</f>
        <v>3.992574424271063</v>
      </c>
      <c r="H67" s="155">
        <f>H13+H61+H64-$G$7</f>
        <v>0.86058740737915651</v>
      </c>
      <c r="I67" s="72">
        <f t="shared" ref="I67:K68" si="20">$D$7+$G$7+I61+I64</f>
        <v>3.6755526606819416E-4</v>
      </c>
      <c r="J67" s="72">
        <f t="shared" si="20"/>
        <v>8.9904093997263575E-3</v>
      </c>
      <c r="K67" s="72">
        <f t="shared" si="20"/>
        <v>5.7519203713529404E-3</v>
      </c>
      <c r="L67" s="130"/>
    </row>
    <row r="68" spans="1:12">
      <c r="B68" t="s">
        <v>42</v>
      </c>
      <c r="C68" s="2"/>
      <c r="D68" s="55">
        <f t="shared" ref="D68" si="21">D14+D62+D65-J14</f>
        <v>1.491466881216861</v>
      </c>
      <c r="E68" s="55">
        <f>E14+E62+E65-K14</f>
        <v>0.65577696179671485</v>
      </c>
      <c r="F68" s="55">
        <f>F14+F62+F65-L14</f>
        <v>4.159548860329001</v>
      </c>
      <c r="G68" s="55">
        <f>G14+G62+G65-M14</f>
        <v>2.139923355082443</v>
      </c>
      <c r="H68" s="155">
        <f>H14+H62+H65-$G$7</f>
        <v>1.6065800427786756</v>
      </c>
      <c r="I68" s="72">
        <f t="shared" si="20"/>
        <v>-5.0427555888347027E-3</v>
      </c>
      <c r="J68" s="72">
        <f t="shared" si="20"/>
        <v>1.0903380373299632E-2</v>
      </c>
      <c r="K68" s="72">
        <f t="shared" si="20"/>
        <v>3.2414351450327505E-3</v>
      </c>
      <c r="L68" s="130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29" t="s">
        <v>62</v>
      </c>
      <c r="B70" s="129"/>
      <c r="C70" s="129"/>
      <c r="D70" s="129"/>
      <c r="E70" s="129"/>
      <c r="F70" s="129"/>
      <c r="G70" s="129"/>
      <c r="H70" s="129"/>
      <c r="I70" s="129"/>
      <c r="J70" s="129"/>
      <c r="K70" s="129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29" t="s">
        <v>64</v>
      </c>
      <c r="B75" s="129"/>
      <c r="C75" s="129"/>
      <c r="D75" s="129"/>
      <c r="E75" s="129"/>
      <c r="F75" s="129"/>
      <c r="G75" s="129"/>
      <c r="H75" s="129"/>
      <c r="I75" s="129"/>
      <c r="J75" s="129"/>
      <c r="K75" s="129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3.0705037053647039E-2</v>
      </c>
      <c r="E77" s="32">
        <f t="shared" ref="E77:G77" si="22">E26+E71</f>
        <v>-1.0017623900053874</v>
      </c>
      <c r="F77" s="32">
        <f t="shared" si="22"/>
        <v>1.4501893479591794</v>
      </c>
      <c r="G77" s="32">
        <f t="shared" si="22"/>
        <v>-1.3942231744276226</v>
      </c>
      <c r="H77" s="104">
        <f>H26+$D$71</f>
        <v>-7.6228185290984241E-2</v>
      </c>
      <c r="I77" s="73">
        <f t="shared" ref="E77:K79" si="23">I26+$D$71</f>
        <v>-0.64147819789622496</v>
      </c>
      <c r="J77" s="73">
        <f t="shared" si="23"/>
        <v>-2.6436636559469484E-2</v>
      </c>
      <c r="K77" s="73">
        <f t="shared" si="23"/>
        <v>-1.0305960682470916E-2</v>
      </c>
    </row>
    <row r="78" spans="1:12">
      <c r="B78" s="26" t="s">
        <v>60</v>
      </c>
      <c r="C78" s="26" t="s">
        <v>27</v>
      </c>
      <c r="D78" s="32">
        <f t="shared" ref="D78:G79" si="24">D27+D72</f>
        <v>0.90214716031384157</v>
      </c>
      <c r="E78" s="32">
        <f t="shared" ref="E78:G78" si="25">E27+E72</f>
        <v>0.97718289106443024</v>
      </c>
      <c r="F78" s="32">
        <f t="shared" si="25"/>
        <v>0.14384091180519129</v>
      </c>
      <c r="G78" s="32">
        <f t="shared" si="25"/>
        <v>-0.10747777325339705</v>
      </c>
      <c r="H78" s="104">
        <f t="shared" si="23"/>
        <v>0.73180416814661586</v>
      </c>
      <c r="I78" s="73">
        <f t="shared" si="23"/>
        <v>4.8639647915487139E-2</v>
      </c>
      <c r="J78" s="73">
        <f t="shared" si="23"/>
        <v>-0.42478485919807984</v>
      </c>
      <c r="K78" s="73">
        <f t="shared" si="23"/>
        <v>5.2954891334215048E-2</v>
      </c>
    </row>
    <row r="79" spans="1:12">
      <c r="B79" s="26" t="s">
        <v>61</v>
      </c>
      <c r="C79" s="26"/>
      <c r="D79" s="32">
        <f t="shared" si="24"/>
        <v>0.64115359974790653</v>
      </c>
      <c r="E79" s="32">
        <f t="shared" ref="E79:G79" si="26">E28+E73</f>
        <v>-0.15446893722496133</v>
      </c>
      <c r="F79" s="32">
        <f t="shared" si="26"/>
        <v>1.375518799337261E-2</v>
      </c>
      <c r="G79" s="32">
        <f t="shared" si="26"/>
        <v>-2.177970548219826E-2</v>
      </c>
      <c r="H79" s="104">
        <f t="shared" si="23"/>
        <v>1.2555360023412545</v>
      </c>
      <c r="I79" s="73">
        <f t="shared" si="23"/>
        <v>-0.12219530665103107</v>
      </c>
      <c r="J79" s="73">
        <f t="shared" si="23"/>
        <v>-0.2246402934383831</v>
      </c>
      <c r="K79" s="73">
        <f t="shared" si="23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29" t="s">
        <v>67</v>
      </c>
      <c r="B81" s="129"/>
      <c r="C81" s="129"/>
      <c r="D81" s="129"/>
      <c r="E81" s="129"/>
      <c r="F81" s="129"/>
      <c r="G81" s="129"/>
      <c r="H81" s="129"/>
      <c r="I81" s="129"/>
      <c r="J81" s="129"/>
      <c r="K81" s="129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31" t="s">
        <v>71</v>
      </c>
      <c r="C83" s="131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27" t="s">
        <v>70</v>
      </c>
      <c r="C84" s="127"/>
      <c r="D84" s="36">
        <f>SQRT(D77^2+D78^2+D79^2)</f>
        <v>1.1071992759356795</v>
      </c>
      <c r="E84" s="106">
        <f t="shared" ref="E84:K84" si="27">SQRT(E77^2+E78^2+E79^2)</f>
        <v>1.4079328610362614</v>
      </c>
      <c r="F84" s="106">
        <f t="shared" si="27"/>
        <v>1.4573704258149167</v>
      </c>
      <c r="G84" s="106">
        <f t="shared" si="27"/>
        <v>1.3985292586948035</v>
      </c>
      <c r="H84" s="106">
        <f t="shared" si="27"/>
        <v>1.4552383756362997</v>
      </c>
      <c r="I84" s="75">
        <f t="shared" si="27"/>
        <v>0.65482195037511559</v>
      </c>
      <c r="J84" s="75">
        <f t="shared" si="27"/>
        <v>0.48125287925641846</v>
      </c>
      <c r="K84" s="75">
        <f t="shared" si="27"/>
        <v>0.1127001300653627</v>
      </c>
    </row>
    <row r="85" spans="1:19">
      <c r="B85" s="127" t="s">
        <v>69</v>
      </c>
      <c r="C85" s="127"/>
      <c r="D85" s="36">
        <f>D84-D83</f>
        <v>-4.7800724064320566E-2</v>
      </c>
      <c r="E85" s="106">
        <f t="shared" ref="E85:K85" si="28">E84-E83</f>
        <v>-0.47506713896373864</v>
      </c>
      <c r="F85" s="106">
        <f t="shared" si="28"/>
        <v>-0.64762957418508327</v>
      </c>
      <c r="G85" s="106">
        <f t="shared" si="28"/>
        <v>-0.40747074130519656</v>
      </c>
      <c r="H85" s="106">
        <f t="shared" si="28"/>
        <v>0.30023837563629963</v>
      </c>
      <c r="I85" s="75">
        <f t="shared" si="28"/>
        <v>-1.1961780496248844</v>
      </c>
      <c r="J85" s="75">
        <f t="shared" si="28"/>
        <v>-1.5737471207435818</v>
      </c>
      <c r="K85" s="75">
        <f t="shared" si="28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28" t="s">
        <v>68</v>
      </c>
      <c r="C86" s="128"/>
      <c r="D86" s="39">
        <f>1-D83/D84</f>
        <v>-4.3172647510923312E-2</v>
      </c>
      <c r="E86" s="107">
        <f t="shared" ref="E86:K86" si="29">1-E83/E84</f>
        <v>-0.33742172806030069</v>
      </c>
      <c r="F86" s="107">
        <f t="shared" si="29"/>
        <v>-0.44438226734493314</v>
      </c>
      <c r="G86" s="107">
        <f t="shared" si="29"/>
        <v>-0.29135660821674492</v>
      </c>
      <c r="H86" s="107">
        <f t="shared" si="29"/>
        <v>0.20631559795488563</v>
      </c>
      <c r="I86" s="76">
        <f t="shared" si="29"/>
        <v>-1.8267225906823255</v>
      </c>
      <c r="J86" s="76">
        <f t="shared" si="29"/>
        <v>-3.2701043226487725</v>
      </c>
      <c r="K86" s="76">
        <f t="shared" si="29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2.2849092210733154E-3</v>
      </c>
      <c r="E87" s="108">
        <f t="shared" ref="E87:K87" si="30">E85*E85</f>
        <v>0.22568878652319216</v>
      </c>
      <c r="F87" s="108">
        <f t="shared" si="30"/>
        <v>0.41942406535915228</v>
      </c>
      <c r="G87" s="108">
        <f t="shared" si="30"/>
        <v>0.16603240501980643</v>
      </c>
      <c r="H87" s="108">
        <f t="shared" si="30"/>
        <v>9.0143082204723751E-2</v>
      </c>
      <c r="I87" s="77">
        <f t="shared" si="30"/>
        <v>1.4308419264043923</v>
      </c>
      <c r="J87" s="77">
        <f t="shared" si="30"/>
        <v>2.4766800000487139</v>
      </c>
      <c r="K87" s="77">
        <f t="shared" si="30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1">D91-$C91</f>
        <v>-1.253875629566908</v>
      </c>
      <c r="N91" s="35">
        <f t="shared" si="31"/>
        <v>1.0419123890112216</v>
      </c>
      <c r="O91" s="35">
        <f t="shared" si="31"/>
        <v>-1.4028471761352286</v>
      </c>
      <c r="P91" s="35">
        <f t="shared" si="31"/>
        <v>1.4421025939282253</v>
      </c>
      <c r="Q91" s="35">
        <f t="shared" si="31"/>
        <v>-1.0351585166444344</v>
      </c>
      <c r="R91" s="35">
        <f t="shared" si="31"/>
        <v>0.58367185674448252</v>
      </c>
      <c r="S91" s="35">
        <f t="shared" si="31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1"/>
        <v>-3.2592166127769939E-2</v>
      </c>
      <c r="N92" s="35">
        <f t="shared" si="31"/>
        <v>-4.0818532431212473E-2</v>
      </c>
      <c r="O92" s="35">
        <f t="shared" si="31"/>
        <v>0.814665459345566</v>
      </c>
      <c r="P92" s="35">
        <f t="shared" si="31"/>
        <v>1.0431877148697888</v>
      </c>
      <c r="Q92" s="35">
        <f t="shared" si="31"/>
        <v>2.1037449841221099</v>
      </c>
      <c r="R92" s="35">
        <f t="shared" si="31"/>
        <v>2.0841504898711007</v>
      </c>
      <c r="S92" s="35">
        <f t="shared" si="31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1"/>
        <v>0.73934661383723232</v>
      </c>
      <c r="N93" s="35">
        <f t="shared" si="31"/>
        <v>0.77248383184656022</v>
      </c>
      <c r="O93" s="35">
        <f t="shared" si="31"/>
        <v>0.7195871750303805</v>
      </c>
      <c r="P93" s="35">
        <f t="shared" si="31"/>
        <v>0.78932433807079116</v>
      </c>
      <c r="Q93" s="35">
        <f t="shared" si="31"/>
        <v>0.82913701269133588</v>
      </c>
      <c r="R93" s="35">
        <f t="shared" si="31"/>
        <v>0.75171422039661484</v>
      </c>
      <c r="S93" s="35">
        <f t="shared" si="31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2">M$101-M$99</f>
        <v>-4.0818532431212473E-2</v>
      </c>
      <c r="E95" s="85">
        <f t="shared" si="32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3">SQRT(N91^2+N92^2+N93^2)</f>
        <v>1.2976821064610753</v>
      </c>
      <c r="O95" s="35">
        <f t="shared" si="33"/>
        <v>1.7746734101545305</v>
      </c>
      <c r="P95" s="35">
        <f t="shared" si="33"/>
        <v>1.9470319490292554</v>
      </c>
      <c r="Q95" s="35">
        <f t="shared" si="33"/>
        <v>2.4869186353025614</v>
      </c>
      <c r="R95" s="35">
        <f t="shared" si="33"/>
        <v>2.2911635406343196</v>
      </c>
      <c r="S95" s="35">
        <f t="shared" si="33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48">
        <v>5</v>
      </c>
      <c r="H118" s="120">
        <v>6</v>
      </c>
      <c r="I118" s="145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49">
        <f t="shared" si="44"/>
        <v>-1.0351585166444344</v>
      </c>
      <c r="H119" s="118">
        <f t="shared" si="44"/>
        <v>0.58367185674448252</v>
      </c>
      <c r="I119" s="146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49">
        <f t="shared" si="46"/>
        <v>2.1037449841221099</v>
      </c>
      <c r="H120" s="121">
        <f t="shared" si="46"/>
        <v>2.0841504898711007</v>
      </c>
      <c r="I120" s="146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49">
        <f t="shared" si="48"/>
        <v>0.82913701269133588</v>
      </c>
      <c r="H121" s="118">
        <f t="shared" si="48"/>
        <v>0.75171422039661484</v>
      </c>
      <c r="I121" s="146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47">
        <f t="shared" si="49"/>
        <v>2.4869186353025614</v>
      </c>
      <c r="H123" s="97">
        <f t="shared" si="49"/>
        <v>2.2911635406343196</v>
      </c>
      <c r="I123" s="147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47">
        <f t="shared" si="53"/>
        <v>2.9860652716497325</v>
      </c>
      <c r="H130" s="97">
        <f t="shared" si="53"/>
        <v>2.1739156165583644</v>
      </c>
      <c r="I130" s="147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47">
        <f t="shared" si="60"/>
        <v>1.3449617609611804</v>
      </c>
      <c r="H137" s="97">
        <f t="shared" si="60"/>
        <v>2.3577281984498817</v>
      </c>
      <c r="I137" s="147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47">
        <f t="shared" si="63"/>
        <v>2.6950304971150265</v>
      </c>
      <c r="H144" s="97">
        <f t="shared" si="63"/>
        <v>1.3497856683309841</v>
      </c>
      <c r="I144" s="147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59"/>
      <c r="C150" s="159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 s="35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59"/>
      <c r="C155" s="159" t="e">
        <f t="shared" si="64"/>
        <v>#DIV/0!</v>
      </c>
      <c r="D155" s="112"/>
    </row>
    <row r="156" spans="1:9">
      <c r="A156" t="s">
        <v>124</v>
      </c>
      <c r="B156" s="35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9" zoomScale="115" zoomScaleNormal="115" workbookViewId="0">
      <selection activeCell="D51" sqref="D51"/>
    </sheetView>
  </sheetViews>
  <sheetFormatPr baseColWidth="10" defaultRowHeight="15"/>
  <sheetData>
    <row r="2" spans="1:14">
      <c r="A2" s="129" t="s">
        <v>108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26" t="s">
        <v>107</v>
      </c>
      <c r="C7" s="126"/>
      <c r="D7" s="126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33"/>
      <c r="B8" s="133"/>
      <c r="C8" s="133"/>
      <c r="D8" s="133"/>
      <c r="E8" s="133"/>
      <c r="F8" s="133"/>
      <c r="G8" s="133"/>
      <c r="H8" s="133"/>
      <c r="I8" s="133"/>
      <c r="J8" s="133"/>
      <c r="K8" s="133"/>
    </row>
    <row r="9" spans="1:14">
      <c r="A9" s="129" t="s">
        <v>112</v>
      </c>
      <c r="B9" s="129"/>
      <c r="C9" s="129"/>
      <c r="D9" s="129"/>
      <c r="E9" s="129"/>
      <c r="F9" s="129"/>
      <c r="G9" s="129"/>
      <c r="H9" s="129"/>
      <c r="I9" s="129"/>
      <c r="J9" s="129"/>
      <c r="K9" s="129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0.36899024303035577</v>
      </c>
      <c r="E11" s="37">
        <f t="shared" si="0"/>
        <v>-0.59649384130796668</v>
      </c>
      <c r="F11" s="37">
        <f t="shared" si="0"/>
        <v>1.1712628708665425</v>
      </c>
      <c r="G11" s="37">
        <f t="shared" si="0"/>
        <v>-0.71120190357825341</v>
      </c>
      <c r="H11" s="37">
        <f t="shared" si="0"/>
        <v>1.4794093974992033</v>
      </c>
      <c r="I11" s="37">
        <f t="shared" si="0"/>
        <v>-0.42808167375333339</v>
      </c>
      <c r="J11" s="37">
        <f t="shared" si="0"/>
        <v>0.81841772972524474</v>
      </c>
      <c r="K11" s="37">
        <f t="shared" si="0"/>
        <v>0.34938787111529562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-0.77925421915625526</v>
      </c>
      <c r="E12" s="37">
        <f t="shared" si="0"/>
        <v>-0.8043500489760308</v>
      </c>
      <c r="F12" s="37">
        <f t="shared" si="0"/>
        <v>-0.81068431890966974</v>
      </c>
      <c r="G12" s="37">
        <f t="shared" si="0"/>
        <v>-0.15196156988652987</v>
      </c>
      <c r="H12" s="37">
        <f t="shared" si="0"/>
        <v>2.4000416015487816E-2</v>
      </c>
      <c r="I12" s="37">
        <f t="shared" si="0"/>
        <v>0.84062952967097482</v>
      </c>
      <c r="J12" s="37">
        <f t="shared" si="0"/>
        <v>0.8255417089917213</v>
      </c>
      <c r="K12" s="37">
        <f t="shared" si="0"/>
        <v>1.0431556052456747</v>
      </c>
      <c r="M12" s="31"/>
    </row>
    <row r="13" spans="1:14">
      <c r="B13" t="s">
        <v>111</v>
      </c>
      <c r="D13" s="37">
        <f t="shared" si="0"/>
        <v>0.48534053578965186</v>
      </c>
      <c r="E13" s="37">
        <f t="shared" si="0"/>
        <v>1.076817821311042</v>
      </c>
      <c r="F13" s="37">
        <f t="shared" si="0"/>
        <v>1.1033277056576982</v>
      </c>
      <c r="G13" s="37">
        <f t="shared" si="0"/>
        <v>1.0610103865425209</v>
      </c>
      <c r="H13" s="37">
        <f t="shared" si="0"/>
        <v>1.1168000278114449</v>
      </c>
      <c r="I13" s="37">
        <f t="shared" si="0"/>
        <v>1.1486502583401645</v>
      </c>
      <c r="J13" s="37">
        <f t="shared" si="0"/>
        <v>1.0867119932282054</v>
      </c>
      <c r="K13" s="37">
        <f t="shared" si="0"/>
        <v>0.53628774701977511</v>
      </c>
      <c r="M13" s="31"/>
    </row>
    <row r="14" spans="1:14">
      <c r="B14" t="s">
        <v>74</v>
      </c>
      <c r="D14" s="40">
        <f t="shared" ref="D14:K14" si="1">(D$11-D$22)^2+(D$12-D$23)^2+(D$13-D$24)^2</f>
        <v>1.1534376144074458E-13</v>
      </c>
      <c r="E14" s="40">
        <f t="shared" si="1"/>
        <v>5.9511556808419898E-14</v>
      </c>
      <c r="F14" s="40">
        <f t="shared" si="1"/>
        <v>5.8414967575823685E-13</v>
      </c>
      <c r="G14" s="40">
        <f t="shared" si="1"/>
        <v>2.7053879790262381E-14</v>
      </c>
      <c r="H14" s="40">
        <f t="shared" si="1"/>
        <v>5.9302264018418538E-13</v>
      </c>
      <c r="I14" s="40">
        <f t="shared" si="1"/>
        <v>3.0979908843458508E-13</v>
      </c>
      <c r="J14" s="40">
        <f t="shared" si="1"/>
        <v>4.1455191361086043E-13</v>
      </c>
      <c r="K14" s="40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129" t="s">
        <v>66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0.47920810783163087</v>
      </c>
      <c r="E18" s="62">
        <v>-0.77466732637398272</v>
      </c>
      <c r="F18" s="62">
        <v>1.5211206115149902</v>
      </c>
      <c r="G18" s="62">
        <v>-0.92363883581591344</v>
      </c>
      <c r="H18" s="62">
        <v>1.9213109058431213</v>
      </c>
      <c r="I18" s="62">
        <v>-0.55595022565367969</v>
      </c>
      <c r="J18" s="62">
        <v>1.0628801684743439</v>
      </c>
      <c r="K18" s="62">
        <v>0.4537504819679164</v>
      </c>
      <c r="M18" s="63">
        <f ca="1">RAND()-RAND()</f>
        <v>-0.26324011511483225</v>
      </c>
      <c r="ID18">
        <v>0</v>
      </c>
    </row>
    <row r="19" spans="1:238">
      <c r="B19" s="16" t="s">
        <v>113</v>
      </c>
      <c r="C19" s="2" t="s">
        <v>27</v>
      </c>
      <c r="D19" s="62">
        <v>-1.0120184664366951</v>
      </c>
      <c r="E19" s="62">
        <v>-1.0446104532156244</v>
      </c>
      <c r="F19" s="62">
        <v>-1.0528367778047658</v>
      </c>
      <c r="G19" s="62">
        <v>-0.1973526881643245</v>
      </c>
      <c r="H19" s="62">
        <v>3.1169371448685475E-2</v>
      </c>
      <c r="I19" s="62">
        <v>1.0917266619103569</v>
      </c>
      <c r="J19" s="62">
        <v>1.072132089599638</v>
      </c>
      <c r="K19" s="62">
        <v>1.3547475392800972</v>
      </c>
      <c r="M19" s="63">
        <f t="shared" ref="M19" ca="1" si="2">RAND()-RAND()</f>
        <v>-0.7812217729754023</v>
      </c>
    </row>
    <row r="20" spans="1:238">
      <c r="C20" s="2"/>
      <c r="D20" s="62">
        <v>0.60667566973706477</v>
      </c>
      <c r="E20" s="62">
        <v>1.3460222766388024</v>
      </c>
      <c r="F20" s="62">
        <v>1.3791596320721227</v>
      </c>
      <c r="G20" s="62">
        <v>1.3262629831781512</v>
      </c>
      <c r="H20" s="62">
        <v>1.3960000347643062</v>
      </c>
      <c r="I20" s="62">
        <v>1.4358128229252056</v>
      </c>
      <c r="J20" s="62">
        <v>1.3583899915352569</v>
      </c>
      <c r="K20" s="62">
        <v>0.67035968377471888</v>
      </c>
      <c r="M20" s="63">
        <f ca="1">IF(RAND()-RAND()&lt;0,-1*RAND()-RAND(),RAND()-RAND())</f>
        <v>-1.6913083730828333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29" t="s">
        <v>62</v>
      </c>
      <c r="B26" s="134"/>
      <c r="C26" s="134"/>
      <c r="D26" s="134"/>
      <c r="E26" s="134"/>
      <c r="F26" s="134"/>
      <c r="G26" s="134"/>
      <c r="H26" s="134"/>
      <c r="I26" s="134"/>
      <c r="J26" s="134"/>
      <c r="K26" s="134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29" t="s">
        <v>64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116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29" t="s">
        <v>67</v>
      </c>
      <c r="B37" s="129"/>
      <c r="C37" s="129"/>
      <c r="D37" s="129"/>
      <c r="E37" s="129"/>
      <c r="F37" s="129"/>
      <c r="G37" s="129"/>
      <c r="H37" s="129"/>
      <c r="I37" s="129"/>
      <c r="J37" s="129"/>
      <c r="K37" s="129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31" t="s">
        <v>71</v>
      </c>
      <c r="C39" s="131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27" t="s">
        <v>70</v>
      </c>
      <c r="C40" s="127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127" t="s">
        <v>69</v>
      </c>
      <c r="C41" s="127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128" t="s">
        <v>68</v>
      </c>
      <c r="C42" s="128"/>
      <c r="D42" s="39">
        <f>ABS(1-D39/D40)</f>
        <v>1.1408773738925349E-2</v>
      </c>
      <c r="E42" s="39">
        <f t="shared" ref="E42:K42" si="9">ABS(1-E39/E40)</f>
        <v>1.1938054733699355E-2</v>
      </c>
      <c r="F42" s="39">
        <f t="shared" si="9"/>
        <v>1.1503455025259735E-2</v>
      </c>
      <c r="G42" s="39">
        <f t="shared" si="9"/>
        <v>2.0145899071841056E-2</v>
      </c>
      <c r="H42" s="39">
        <f t="shared" si="9"/>
        <v>1.0051703416080082E-2</v>
      </c>
      <c r="I42" s="39">
        <f t="shared" si="9"/>
        <v>1.931709897609335E-2</v>
      </c>
      <c r="J42" s="39">
        <f t="shared" si="9"/>
        <v>1.1885056584151954E-2</v>
      </c>
      <c r="K42" s="39">
        <f t="shared" si="9"/>
        <v>2.6406894567404526E-3</v>
      </c>
    </row>
    <row r="43" spans="1:11">
      <c r="B43" s="132" t="s">
        <v>105</v>
      </c>
      <c r="C43" s="132"/>
      <c r="D43" s="41">
        <f>D41*D41</f>
        <v>2.1110372227815973E-4</v>
      </c>
      <c r="E43" s="41">
        <f t="shared" ref="E43:K43" si="10">E41*E41</f>
        <v>4.9925132294176169E-4</v>
      </c>
      <c r="F43" s="41">
        <f t="shared" si="10"/>
        <v>7.0456904728190631E-4</v>
      </c>
      <c r="G43" s="41">
        <f t="shared" si="10"/>
        <v>1.0759398588096941E-3</v>
      </c>
      <c r="H43" s="41">
        <f t="shared" si="10"/>
        <v>5.6997081296152573E-4</v>
      </c>
      <c r="I43" s="41">
        <f t="shared" si="10"/>
        <v>1.3293503106080124E-3</v>
      </c>
      <c r="J43" s="41">
        <f t="shared" si="10"/>
        <v>5.8259103210051174E-4</v>
      </c>
      <c r="K43" s="41">
        <f t="shared" si="10"/>
        <v>1.7367640724170797E-5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13" zoomScale="115" zoomScaleNormal="115" workbookViewId="0">
      <selection activeCell="E59" sqref="E59"/>
    </sheetView>
  </sheetViews>
  <sheetFormatPr baseColWidth="10" defaultRowHeight="15"/>
  <sheetData>
    <row r="2" spans="1:11">
      <c r="A2" s="129" t="s">
        <v>65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29" t="s">
        <v>66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35" t="s">
        <v>73</v>
      </c>
      <c r="E13" s="136"/>
      <c r="F13" s="136"/>
      <c r="G13" s="136"/>
      <c r="H13" s="136"/>
      <c r="I13" s="136"/>
      <c r="J13" s="136"/>
      <c r="K13" s="136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29" t="s">
        <v>62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29" t="s">
        <v>64</v>
      </c>
      <c r="B24" s="134"/>
      <c r="C24" s="134"/>
      <c r="D24" s="134"/>
      <c r="E24" s="134"/>
      <c r="F24" s="134"/>
      <c r="G24" s="134"/>
      <c r="H24" s="134"/>
      <c r="I24" s="134"/>
      <c r="J24" s="134"/>
      <c r="K24" s="134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29" t="s">
        <v>67</v>
      </c>
      <c r="B30" s="129"/>
      <c r="C30" s="129"/>
      <c r="D30" s="129"/>
      <c r="E30" s="129"/>
      <c r="F30" s="129"/>
      <c r="G30" s="129"/>
      <c r="H30" s="129"/>
      <c r="I30" s="129"/>
      <c r="J30" s="129"/>
      <c r="K30" s="129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31" t="s">
        <v>71</v>
      </c>
      <c r="C32" s="131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27" t="s">
        <v>70</v>
      </c>
      <c r="C33" s="127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27" t="s">
        <v>69</v>
      </c>
      <c r="C34" s="127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28" t="s">
        <v>68</v>
      </c>
      <c r="C35" s="128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5"/>
  <dimension ref="A2:D17"/>
  <sheetViews>
    <sheetView workbookViewId="0">
      <selection activeCell="B5" sqref="B5"/>
    </sheetView>
  </sheetViews>
  <sheetFormatPr baseColWidth="10" defaultRowHeight="15"/>
  <sheetData>
    <row r="2" spans="1:4">
      <c r="A2" t="s">
        <v>163</v>
      </c>
      <c r="B2" t="s">
        <v>160</v>
      </c>
      <c r="C2" t="s">
        <v>161</v>
      </c>
      <c r="D2" t="s">
        <v>162</v>
      </c>
    </row>
    <row r="3" spans="1:4">
      <c r="A3">
        <v>0</v>
      </c>
      <c r="B3">
        <v>-3</v>
      </c>
      <c r="C3">
        <v>3</v>
      </c>
      <c r="D3">
        <v>7</v>
      </c>
    </row>
    <row r="4" spans="1:4">
      <c r="A4">
        <v>0</v>
      </c>
      <c r="B4">
        <v>1</v>
      </c>
      <c r="C4">
        <v>6</v>
      </c>
      <c r="D4">
        <v>-1</v>
      </c>
    </row>
    <row r="5" spans="1:4">
      <c r="A5">
        <v>0</v>
      </c>
      <c r="B5">
        <v>0</v>
      </c>
      <c r="C5">
        <v>0</v>
      </c>
      <c r="D5">
        <v>0</v>
      </c>
    </row>
    <row r="7" spans="1:4">
      <c r="A7">
        <f>A3-$B3</f>
        <v>3</v>
      </c>
      <c r="B7">
        <f>B3-$B3</f>
        <v>0</v>
      </c>
      <c r="C7">
        <f t="shared" ref="C7:D7" si="0">C3-$B3</f>
        <v>6</v>
      </c>
      <c r="D7">
        <f t="shared" si="0"/>
        <v>10</v>
      </c>
    </row>
    <row r="8" spans="1:4">
      <c r="A8">
        <f t="shared" ref="A8:B8" si="1">A4-$B4</f>
        <v>-1</v>
      </c>
      <c r="B8">
        <f t="shared" si="1"/>
        <v>0</v>
      </c>
      <c r="C8">
        <f t="shared" ref="B8:D9" si="2">C4-$B4</f>
        <v>5</v>
      </c>
      <c r="D8">
        <f t="shared" si="2"/>
        <v>-2</v>
      </c>
    </row>
    <row r="9" spans="1:4">
      <c r="A9">
        <f t="shared" ref="A9:B9" si="3">A5-$B5</f>
        <v>0</v>
      </c>
      <c r="B9">
        <f t="shared" si="3"/>
        <v>0</v>
      </c>
      <c r="C9">
        <f t="shared" si="2"/>
        <v>0</v>
      </c>
      <c r="D9">
        <f t="shared" si="2"/>
        <v>0</v>
      </c>
    </row>
    <row r="11" spans="1:4">
      <c r="A11">
        <f>A3-$C3</f>
        <v>-3</v>
      </c>
      <c r="B11">
        <f>B3-$C3</f>
        <v>-6</v>
      </c>
      <c r="C11">
        <f t="shared" ref="C11:D11" si="4">C3-$C3</f>
        <v>0</v>
      </c>
      <c r="D11">
        <f t="shared" si="4"/>
        <v>4</v>
      </c>
    </row>
    <row r="12" spans="1:4">
      <c r="A12">
        <f t="shared" ref="A12:B12" si="5">A4-$C4</f>
        <v>-6</v>
      </c>
      <c r="B12">
        <f t="shared" si="5"/>
        <v>-5</v>
      </c>
      <c r="C12">
        <f t="shared" ref="B12:D12" si="6">C4-$C4</f>
        <v>0</v>
      </c>
      <c r="D12">
        <f t="shared" si="6"/>
        <v>-7</v>
      </c>
    </row>
    <row r="13" spans="1:4">
      <c r="A13">
        <f t="shared" ref="A13:B13" si="7">A5-$C5</f>
        <v>0</v>
      </c>
      <c r="B13">
        <f t="shared" si="7"/>
        <v>0</v>
      </c>
      <c r="C13">
        <f t="shared" ref="B13:D13" si="8">C5-$C5</f>
        <v>0</v>
      </c>
      <c r="D13">
        <f t="shared" si="8"/>
        <v>0</v>
      </c>
    </row>
    <row r="15" spans="1:4">
      <c r="A15">
        <f>A3-$D3</f>
        <v>-7</v>
      </c>
      <c r="B15">
        <f>B3-$D3</f>
        <v>-10</v>
      </c>
      <c r="C15">
        <f t="shared" ref="C15:D15" si="9">C3-$D3</f>
        <v>-4</v>
      </c>
      <c r="D15">
        <f t="shared" si="9"/>
        <v>0</v>
      </c>
    </row>
    <row r="16" spans="1:4">
      <c r="A16">
        <f t="shared" ref="A16:B16" si="10">A4-$D4</f>
        <v>1</v>
      </c>
      <c r="B16">
        <f t="shared" si="10"/>
        <v>2</v>
      </c>
      <c r="C16">
        <f t="shared" ref="B16:D16" si="11">C4-$D4</f>
        <v>7</v>
      </c>
      <c r="D16">
        <f t="shared" si="11"/>
        <v>0</v>
      </c>
    </row>
    <row r="17" spans="1:4">
      <c r="A17">
        <f t="shared" ref="A17:B17" si="12">A5-$D5</f>
        <v>0</v>
      </c>
      <c r="B17">
        <f t="shared" si="12"/>
        <v>0</v>
      </c>
      <c r="C17">
        <f t="shared" ref="B17:D17" si="13">C5-$D5</f>
        <v>0</v>
      </c>
      <c r="D17">
        <f t="shared" si="13"/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Messaufbau_Messdaten</vt:lpstr>
      <vt:lpstr>num.-Neues-Modell</vt:lpstr>
      <vt:lpstr>numerisch</vt:lpstr>
      <vt:lpstr>analytisch</vt:lpstr>
      <vt:lpstr>Modell+Rechnung</vt:lpstr>
      <vt:lpstr>Tabelle1</vt:lpstr>
      <vt:lpstr>A_1</vt:lpstr>
      <vt:lpstr>A_2</vt:lpstr>
      <vt:lpstr>d_10</vt:lpstr>
      <vt:lpstr>d_20</vt:lpstr>
      <vt:lpstr>d_30</vt:lpstr>
      <vt:lpstr>OFFSET</vt:lpstr>
      <vt:lpstr>T_0</vt:lpstr>
      <vt:lpstr>T_1</vt:lpstr>
      <vt:lpstr>T_2</vt:lpstr>
      <vt:lpstr>T_3</vt:lpstr>
      <vt:lpstr>T_4</vt:lpstr>
      <vt:lpstr>T_5</vt:lpstr>
      <vt:lpstr>T_6</vt:lpstr>
      <vt:lpstr>T_7</vt:lpstr>
      <vt:lpstr>THETA_0</vt:lpstr>
      <vt:lpstr>THETA_1</vt:lpstr>
      <vt:lpstr>THETA_1_alt</vt:lpstr>
      <vt:lpstr>THETA_1dasd</vt:lpstr>
      <vt:lpstr>THETA_2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2013-05-29T12:16:59Z</dcterms:modified>
</cp:coreProperties>
</file>