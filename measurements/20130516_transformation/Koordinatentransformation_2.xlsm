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7605" yWindow="975" windowWidth="18255" windowHeight="11325" tabRatio="599" activeTab="1"/>
  </bookViews>
  <sheets>
    <sheet name="Messaufbau_Messdaten" sheetId="1" r:id="rId1"/>
    <sheet name="analytisch" sheetId="14" r:id="rId2"/>
    <sheet name="num.-Neues-Modell" sheetId="18" r:id="rId3"/>
    <sheet name="Matrix_Konfiguration" sheetId="22" r:id="rId4"/>
    <sheet name="Ref0_Alle-Kombinationen" sheetId="20" r:id="rId5"/>
    <sheet name="Modell+Rechnung" sheetId="4" r:id="rId6"/>
    <sheet name="ConditionAnalysis" sheetId="21" r:id="rId7"/>
    <sheet name="numerisch" sheetId="15" r:id="rId8"/>
    <sheet name="AntennenPermutation" sheetId="19" r:id="rId9"/>
    <sheet name="Analyse der Kondition" sheetId="23" r:id="rId10"/>
  </sheets>
  <definedNames>
    <definedName name="_xlnm._FilterDatabase" localSheetId="3" hidden="1">Matrix_Konfiguration!$S$294:$T$573</definedName>
    <definedName name="A_1" localSheetId="4">'Ref0_Alle-Kombinationen'!$E$7</definedName>
    <definedName name="A_1">'num.-Neues-Modell'!$E$7</definedName>
    <definedName name="A_2" localSheetId="4">'Ref0_Alle-Kombinationen'!$F$7</definedName>
    <definedName name="A_2">'num.-Neues-Modell'!$F$7</definedName>
    <definedName name="d_10">Messaufbau_Messdaten!$I$9</definedName>
    <definedName name="d_20">Messaufbau_Messdaten!$I$10</definedName>
    <definedName name="d_30">Messaufbau_Messdaten!$I$11</definedName>
    <definedName name="_xlnm.Print_Area" localSheetId="3">Matrix_Konfiguration!$11:$11</definedName>
    <definedName name="OFFSET">Messaufbau_Messdaten!$I$4</definedName>
    <definedName name="SCALING">Messaufbau_Messdaten!$K$62</definedName>
    <definedName name="solver_adj" localSheetId="2" hidden="1">'num.-Neues-Modell'!$H$22:$H$28</definedName>
    <definedName name="solver_adj" localSheetId="7" hidden="1">numerisch!$K$18:$K$20</definedName>
    <definedName name="solver_adj" localSheetId="4" hidden="1">'Ref0_Alle-Kombinationen'!$H$22:$H$28</definedName>
    <definedName name="solver_cvg" localSheetId="2" hidden="1">0.0001</definedName>
    <definedName name="solver_cvg" localSheetId="7" hidden="1">0.0001</definedName>
    <definedName name="solver_cvg" localSheetId="4" hidden="1">0.0001</definedName>
    <definedName name="solver_drv" localSheetId="2" hidden="1">1</definedName>
    <definedName name="solver_drv" localSheetId="7" hidden="1">1</definedName>
    <definedName name="solver_drv" localSheetId="4" hidden="1">1</definedName>
    <definedName name="solver_est" localSheetId="2" hidden="1">1</definedName>
    <definedName name="solver_est" localSheetId="7" hidden="1">1</definedName>
    <definedName name="solver_est" localSheetId="4" hidden="1">1</definedName>
    <definedName name="solver_itr" localSheetId="2" hidden="1">100</definedName>
    <definedName name="solver_itr" localSheetId="7" hidden="1">100</definedName>
    <definedName name="solver_itr" localSheetId="4" hidden="1">100</definedName>
    <definedName name="solver_lhs1" localSheetId="2" hidden="1">'num.-Neues-Modell'!$H$22:$H$25</definedName>
    <definedName name="solver_lhs1" localSheetId="7" hidden="1">numerisch!$K$20</definedName>
    <definedName name="solver_lhs1" localSheetId="4" hidden="1">'Ref0_Alle-Kombinationen'!$H$22:$H$25</definedName>
    <definedName name="solver_lhs10" localSheetId="7" hidden="1">numerisch!$E$18</definedName>
    <definedName name="solver_lhs11" localSheetId="7" hidden="1">numerisch!$F$18</definedName>
    <definedName name="solver_lhs12" localSheetId="7" hidden="1">numerisch!$G$18</definedName>
    <definedName name="solver_lhs13" localSheetId="7" hidden="1">numerisch!$H$18</definedName>
    <definedName name="solver_lhs14" localSheetId="7" hidden="1">numerisch!$ID$18</definedName>
    <definedName name="solver_lhs15" localSheetId="7" hidden="1">numerisch!$J$18</definedName>
    <definedName name="solver_lhs16" localSheetId="7" hidden="1">numerisch!$K$18</definedName>
    <definedName name="solver_lhs17" localSheetId="7" hidden="1">numerisch!$D$18</definedName>
    <definedName name="solver_lhs18" localSheetId="7" hidden="1">numerisch!$E$18</definedName>
    <definedName name="solver_lhs19" localSheetId="7" hidden="1">numerisch!$F$18</definedName>
    <definedName name="solver_lhs2" localSheetId="2" hidden="1">'num.-Neues-Modell'!$D$22:$D$25</definedName>
    <definedName name="solver_lhs2" localSheetId="7" hidden="1">numerisch!$E$18</definedName>
    <definedName name="solver_lhs2" localSheetId="4" hidden="1">'Ref0_Alle-Kombinationen'!$D$22:$D$25</definedName>
    <definedName name="solver_lhs20" localSheetId="7" hidden="1">numerisch!$G$18</definedName>
    <definedName name="solver_lhs21" localSheetId="7" hidden="1">numerisch!$H$18</definedName>
    <definedName name="solver_lhs22" localSheetId="7" hidden="1">numerisch!$ID$18</definedName>
    <definedName name="solver_lhs23" localSheetId="7" hidden="1">numerisch!$J$18</definedName>
    <definedName name="solver_lhs24" localSheetId="7" hidden="1">numerisch!$K$18</definedName>
    <definedName name="solver_lhs3" localSheetId="2" hidden="1">'num.-Neues-Modell'!$D$28</definedName>
    <definedName name="solver_lhs3" localSheetId="7" hidden="1">numerisch!$F$18</definedName>
    <definedName name="solver_lhs3" localSheetId="4" hidden="1">'Ref0_Alle-Kombinationen'!$D$28</definedName>
    <definedName name="solver_lhs4" localSheetId="2" hidden="1">'num.-Neues-Modell'!$D$25</definedName>
    <definedName name="solver_lhs4" localSheetId="7" hidden="1">numerisch!$G$18</definedName>
    <definedName name="solver_lhs4" localSheetId="4" hidden="1">'Ref0_Alle-Kombinationen'!$D$25</definedName>
    <definedName name="solver_lhs5" localSheetId="7" hidden="1">numerisch!$H$18</definedName>
    <definedName name="solver_lhs6" localSheetId="7" hidden="1">numerisch!$ID$18</definedName>
    <definedName name="solver_lhs7" localSheetId="7" hidden="1">numerisch!$J$18</definedName>
    <definedName name="solver_lhs8" localSheetId="7" hidden="1">numerisch!$K$18</definedName>
    <definedName name="solver_lhs9" localSheetId="7" hidden="1">numerisch!$D$18</definedName>
    <definedName name="solver_lin" localSheetId="2" hidden="1">2</definedName>
    <definedName name="solver_lin" localSheetId="7" hidden="1">2</definedName>
    <definedName name="solver_lin" localSheetId="4" hidden="1">2</definedName>
    <definedName name="solver_neg" localSheetId="2" hidden="1">2</definedName>
    <definedName name="solver_neg" localSheetId="7" hidden="1">2</definedName>
    <definedName name="solver_neg" localSheetId="4" hidden="1">2</definedName>
    <definedName name="solver_num" localSheetId="2" hidden="1">1</definedName>
    <definedName name="solver_num" localSheetId="7" hidden="1">1</definedName>
    <definedName name="solver_num" localSheetId="4" hidden="1">1</definedName>
    <definedName name="solver_nwt" localSheetId="2" hidden="1">1</definedName>
    <definedName name="solver_nwt" localSheetId="7" hidden="1">1</definedName>
    <definedName name="solver_nwt" localSheetId="4" hidden="1">1</definedName>
    <definedName name="solver_opt" localSheetId="2" hidden="1">'num.-Neues-Modell'!$H$57</definedName>
    <definedName name="solver_opt" localSheetId="7" hidden="1">numerisch!$K$14</definedName>
    <definedName name="solver_opt" localSheetId="4" hidden="1">'Ref0_Alle-Kombinationen'!$H$57</definedName>
    <definedName name="solver_pre" localSheetId="2" hidden="1">0.00000001</definedName>
    <definedName name="solver_pre" localSheetId="7" hidden="1">0.000001</definedName>
    <definedName name="solver_pre" localSheetId="4" hidden="1">0.00000001</definedName>
    <definedName name="solver_rel1" localSheetId="2" hidden="1">3</definedName>
    <definedName name="solver_rel1" localSheetId="7" hidden="1">3</definedName>
    <definedName name="solver_rel1" localSheetId="4" hidden="1">3</definedName>
    <definedName name="solver_rel10" localSheetId="7" hidden="1">3</definedName>
    <definedName name="solver_rel11" localSheetId="7" hidden="1">3</definedName>
    <definedName name="solver_rel12" localSheetId="7" hidden="1">3</definedName>
    <definedName name="solver_rel13" localSheetId="7" hidden="1">3</definedName>
    <definedName name="solver_rel14" localSheetId="7" hidden="1">3</definedName>
    <definedName name="solver_rel15" localSheetId="7" hidden="1">3</definedName>
    <definedName name="solver_rel16" localSheetId="7" hidden="1">3</definedName>
    <definedName name="solver_rel17" localSheetId="7" hidden="1">3</definedName>
    <definedName name="solver_rel18" localSheetId="7" hidden="1">3</definedName>
    <definedName name="solver_rel19" localSheetId="7" hidden="1">3</definedName>
    <definedName name="solver_rel2" localSheetId="2" hidden="1">3</definedName>
    <definedName name="solver_rel2" localSheetId="7" hidden="1">3</definedName>
    <definedName name="solver_rel2" localSheetId="4" hidden="1">3</definedName>
    <definedName name="solver_rel20" localSheetId="7" hidden="1">3</definedName>
    <definedName name="solver_rel21" localSheetId="7" hidden="1">3</definedName>
    <definedName name="solver_rel22" localSheetId="7" hidden="1">3</definedName>
    <definedName name="solver_rel23" localSheetId="7" hidden="1">3</definedName>
    <definedName name="solver_rel24" localSheetId="7" hidden="1">3</definedName>
    <definedName name="solver_rel3" localSheetId="2" hidden="1">1</definedName>
    <definedName name="solver_rel3" localSheetId="7" hidden="1">3</definedName>
    <definedName name="solver_rel3" localSheetId="4" hidden="1">1</definedName>
    <definedName name="solver_rel4" localSheetId="2" hidden="1">3</definedName>
    <definedName name="solver_rel4" localSheetId="7" hidden="1">3</definedName>
    <definedName name="solver_rel4" localSheetId="4" hidden="1">3</definedName>
    <definedName name="solver_rel5" localSheetId="7" hidden="1">3</definedName>
    <definedName name="solver_rel6" localSheetId="7" hidden="1">3</definedName>
    <definedName name="solver_rel7" localSheetId="7" hidden="1">3</definedName>
    <definedName name="solver_rel8" localSheetId="7" hidden="1">3</definedName>
    <definedName name="solver_rel9" localSheetId="7" hidden="1">3</definedName>
    <definedName name="solver_rhs1" localSheetId="2" hidden="1">0</definedName>
    <definedName name="solver_rhs1" localSheetId="7" hidden="1">0</definedName>
    <definedName name="solver_rhs1" localSheetId="4" hidden="1">0</definedName>
    <definedName name="solver_rhs10" localSheetId="7" hidden="1">0</definedName>
    <definedName name="solver_rhs11" localSheetId="7" hidden="1">0</definedName>
    <definedName name="solver_rhs12" localSheetId="7" hidden="1">0</definedName>
    <definedName name="solver_rhs13" localSheetId="7" hidden="1">0</definedName>
    <definedName name="solver_rhs14" localSheetId="7" hidden="1">0</definedName>
    <definedName name="solver_rhs15" localSheetId="7" hidden="1">0</definedName>
    <definedName name="solver_rhs16" localSheetId="7" hidden="1">0</definedName>
    <definedName name="solver_rhs17" localSheetId="7" hidden="1">0</definedName>
    <definedName name="solver_rhs18" localSheetId="7" hidden="1">0</definedName>
    <definedName name="solver_rhs19" localSheetId="7" hidden="1">0</definedName>
    <definedName name="solver_rhs2" localSheetId="2" hidden="1">0</definedName>
    <definedName name="solver_rhs2" localSheetId="7" hidden="1">0</definedName>
    <definedName name="solver_rhs2" localSheetId="4" hidden="1">3</definedName>
    <definedName name="solver_rhs20" localSheetId="7" hidden="1">0</definedName>
    <definedName name="solver_rhs21" localSheetId="7" hidden="1">0</definedName>
    <definedName name="solver_rhs22" localSheetId="7" hidden="1">0</definedName>
    <definedName name="solver_rhs23" localSheetId="7" hidden="1">0</definedName>
    <definedName name="solver_rhs24" localSheetId="7" hidden="1">0</definedName>
    <definedName name="solver_rhs3" localSheetId="2" hidden="1">0</definedName>
    <definedName name="solver_rhs3" localSheetId="7" hidden="1">0</definedName>
    <definedName name="solver_rhs3" localSheetId="4" hidden="1">0</definedName>
    <definedName name="solver_rhs4" localSheetId="2" hidden="1">0</definedName>
    <definedName name="solver_rhs4" localSheetId="7" hidden="1">0</definedName>
    <definedName name="solver_rhs4" localSheetId="4" hidden="1">0</definedName>
    <definedName name="solver_rhs5" localSheetId="7" hidden="1">0</definedName>
    <definedName name="solver_rhs6" localSheetId="7" hidden="1">0</definedName>
    <definedName name="solver_rhs7" localSheetId="7" hidden="1">0</definedName>
    <definedName name="solver_rhs8" localSheetId="7" hidden="1">0</definedName>
    <definedName name="solver_rhs9" localSheetId="7" hidden="1">0</definedName>
    <definedName name="solver_scl" localSheetId="2" hidden="1">2</definedName>
    <definedName name="solver_scl" localSheetId="7" hidden="1">2</definedName>
    <definedName name="solver_scl" localSheetId="4" hidden="1">2</definedName>
    <definedName name="solver_sho" localSheetId="2" hidden="1">2</definedName>
    <definedName name="solver_sho" localSheetId="7" hidden="1">2</definedName>
    <definedName name="solver_sho" localSheetId="4" hidden="1">2</definedName>
    <definedName name="solver_tim" localSheetId="2" hidden="1">100</definedName>
    <definedName name="solver_tim" localSheetId="7" hidden="1">100</definedName>
    <definedName name="solver_tim" localSheetId="4" hidden="1">100</definedName>
    <definedName name="solver_tol" localSheetId="2" hidden="1">0.05</definedName>
    <definedName name="solver_tol" localSheetId="7" hidden="1">0.05</definedName>
    <definedName name="solver_tol" localSheetId="4" hidden="1">0.05</definedName>
    <definedName name="solver_typ" localSheetId="2" hidden="1">2</definedName>
    <definedName name="solver_typ" localSheetId="7" hidden="1">2</definedName>
    <definedName name="solver_typ" localSheetId="4" hidden="1">2</definedName>
    <definedName name="solver_val" localSheetId="2" hidden="1">0</definedName>
    <definedName name="solver_val" localSheetId="7" hidden="1">0</definedName>
    <definedName name="solver_val" localSheetId="4" hidden="1">0</definedName>
    <definedName name="T_0" localSheetId="4">'Ref0_Alle-Kombinationen'!$B$149</definedName>
    <definedName name="T_0">'num.-Neues-Modell'!$B$149</definedName>
    <definedName name="T_1" localSheetId="4">'Ref0_Alle-Kombinationen'!$B$150</definedName>
    <definedName name="T_2" localSheetId="4">'Ref0_Alle-Kombinationen'!$B$151</definedName>
    <definedName name="T_2">'num.-Neues-Modell'!$B$151</definedName>
    <definedName name="T_3" localSheetId="4">'Ref0_Alle-Kombinationen'!$B$152</definedName>
    <definedName name="T_3">'num.-Neues-Modell'!$B$152</definedName>
    <definedName name="T_4" localSheetId="4">'Ref0_Alle-Kombinationen'!$B$153</definedName>
    <definedName name="T_4">'num.-Neues-Modell'!$B$153</definedName>
    <definedName name="T_5" localSheetId="4">'Ref0_Alle-Kombinationen'!$B$154</definedName>
    <definedName name="T_6" localSheetId="4">'Ref0_Alle-Kombinationen'!$B$155</definedName>
    <definedName name="T_7" localSheetId="4">'Ref0_Alle-Kombinationen'!$B$156</definedName>
    <definedName name="THETA_0" localSheetId="4">'Ref0_Alle-Kombinationen'!$H$10</definedName>
    <definedName name="THETA_0">'num.-Neues-Modell'!$H$10</definedName>
    <definedName name="THETA_1" localSheetId="4">'Ref0_Alle-Kombinationen'!$H$7</definedName>
    <definedName name="THETA_1">'num.-Neues-Modell'!$H$7</definedName>
    <definedName name="THETA_1_alt" localSheetId="4">'Ref0_Alle-Kombinationen'!$H$7</definedName>
    <definedName name="THETA_1dasd" localSheetId="4">'Ref0_Alle-Kombinationen'!$H$7</definedName>
    <definedName name="THETA_2" localSheetId="4">'Ref0_Alle-Kombinationen'!$H$8</definedName>
    <definedName name="THETA_3" localSheetId="4">'Ref0_Alle-Kombinationen'!$H$9</definedName>
    <definedName name="Theta_A0">Messaufbau_Messdaten!$I$51</definedName>
    <definedName name="Theta_A1">Messaufbau_Messdaten!$I$52</definedName>
    <definedName name="Theta_A2">Messaufbau_Messdaten!$I$53</definedName>
    <definedName name="Theta_A3">Messaufbau_Messdaten!$I$54</definedName>
    <definedName name="Theta_A4">Messaufbau_Messdaten!$I$55</definedName>
    <definedName name="Theta_A5">Messaufbau_Messdaten!$I$56</definedName>
    <definedName name="Theta_A6">Messaufbau_Messdaten!$I$57</definedName>
    <definedName name="Theta_A7">Messaufbau_Messdaten!$I$58</definedName>
  </definedNames>
  <calcPr calcId="124519"/>
</workbook>
</file>

<file path=xl/calcChain.xml><?xml version="1.0" encoding="utf-8"?>
<calcChain xmlns="http://schemas.openxmlformats.org/spreadsheetml/2006/main">
  <c r="J27" i="1"/>
  <c r="D12" i="20" l="1"/>
  <c r="L11" i="23" a="1"/>
  <c r="L19" a="1"/>
  <c r="L27" a="1"/>
  <c r="L35" a="1"/>
  <c r="L43" a="1"/>
  <c r="L51" a="1"/>
  <c r="L59" a="1"/>
  <c r="L67" a="1"/>
  <c r="L75" a="1"/>
  <c r="L83" a="1"/>
  <c r="L91" a="1"/>
  <c r="L99" a="1"/>
  <c r="L107" a="1"/>
  <c r="L115" a="1"/>
  <c r="L123" a="1"/>
  <c r="L131" a="1"/>
  <c r="L139" a="1"/>
  <c r="L147" a="1"/>
  <c r="L155" a="1"/>
  <c r="L163" a="1"/>
  <c r="L171" a="1"/>
  <c r="L179" a="1"/>
  <c r="L187" a="1"/>
  <c r="L195" a="1"/>
  <c r="L203" a="1"/>
  <c r="L211" a="1"/>
  <c r="L219" a="1"/>
  <c r="L227" a="1"/>
  <c r="L235" a="1"/>
  <c r="L243" a="1"/>
  <c r="L251" a="1"/>
  <c r="L259" a="1"/>
  <c r="L267" a="1"/>
  <c r="L275" a="1"/>
  <c r="L283" a="1"/>
  <c r="L7" a="1"/>
  <c r="L15" a="1"/>
  <c r="L23" a="1"/>
  <c r="L31" a="1"/>
  <c r="L39" a="1"/>
  <c r="L47" a="1"/>
  <c r="L55" a="1"/>
  <c r="L63" a="1"/>
  <c r="L71" a="1"/>
  <c r="L79" a="1"/>
  <c r="L87" a="1"/>
  <c r="L95" a="1"/>
  <c r="L103" a="1"/>
  <c r="L111" a="1"/>
  <c r="L119" a="1"/>
  <c r="L127" a="1"/>
  <c r="L135" a="1"/>
  <c r="L143" a="1"/>
  <c r="L151" a="1"/>
  <c r="L159" a="1"/>
  <c r="L167" a="1"/>
  <c r="L175" a="1"/>
  <c r="L183" a="1"/>
  <c r="L191" a="1"/>
  <c r="L199" a="1"/>
  <c r="L207" a="1"/>
  <c r="L215" a="1"/>
  <c r="L223" a="1"/>
  <c r="L231" a="1"/>
  <c r="L239" a="1"/>
  <c r="L247" a="1"/>
  <c r="L255" a="1"/>
  <c r="L263" a="1"/>
  <c r="L271" a="1"/>
  <c r="L279" a="1"/>
  <c r="L287" a="1"/>
  <c r="L291" a="1"/>
  <c r="L307" a="1"/>
  <c r="L323" a="1"/>
  <c r="L339" a="1"/>
  <c r="L355" a="1"/>
  <c r="L371" a="1"/>
  <c r="L387" a="1"/>
  <c r="L403" a="1"/>
  <c r="L303" a="1"/>
  <c r="L319" a="1"/>
  <c r="L335" a="1"/>
  <c r="L351" a="1"/>
  <c r="L367" a="1"/>
  <c r="L383" a="1"/>
  <c r="L399" a="1"/>
  <c r="L415" a="1"/>
  <c r="L419" a="1"/>
  <c r="L427" a="1"/>
  <c r="L435" a="1"/>
  <c r="L443" a="1"/>
  <c r="L451" a="1"/>
  <c r="L459" a="1"/>
  <c r="L467" a="1"/>
  <c r="L475" a="1"/>
  <c r="L483" a="1"/>
  <c r="L491" a="1"/>
  <c r="L499" a="1"/>
  <c r="L507" a="1"/>
  <c r="L515" a="1"/>
  <c r="L523" a="1"/>
  <c r="L531" a="1"/>
  <c r="L539" a="1"/>
  <c r="L547" a="1"/>
  <c r="L555" a="1"/>
  <c r="L563" a="1"/>
  <c r="L571" a="1"/>
  <c r="L579" a="1"/>
  <c r="L587" a="1"/>
  <c r="L595" a="1"/>
  <c r="L603" a="1"/>
  <c r="L611" a="1"/>
  <c r="L619" a="1"/>
  <c r="L627" a="1"/>
  <c r="L635" a="1"/>
  <c r="L643" a="1"/>
  <c r="L651" a="1"/>
  <c r="L659" a="1"/>
  <c r="L667" a="1"/>
  <c r="L675" a="1"/>
  <c r="L683" a="1"/>
  <c r="L691" a="1"/>
  <c r="L699" a="1"/>
  <c r="L707" a="1"/>
  <c r="L715" a="1"/>
  <c r="L723" a="1"/>
  <c r="L731" a="1"/>
  <c r="L739" a="1"/>
  <c r="L747" a="1"/>
  <c r="L755" a="1"/>
  <c r="L763" a="1"/>
  <c r="L771" a="1"/>
  <c r="L779" a="1"/>
  <c r="L787" a="1"/>
  <c r="L795" a="1"/>
  <c r="L803" a="1"/>
  <c r="L811" a="1"/>
  <c r="L819" a="1"/>
  <c r="L827" a="1"/>
  <c r="L835" a="1"/>
  <c r="L843" a="1"/>
  <c r="L851" a="1"/>
  <c r="L859" a="1"/>
  <c r="L299" a="1"/>
  <c r="L315" a="1"/>
  <c r="L331" a="1"/>
  <c r="L347" a="1"/>
  <c r="L363" a="1"/>
  <c r="L379" a="1"/>
  <c r="L395" a="1"/>
  <c r="L411" a="1"/>
  <c r="L295" a="1"/>
  <c r="L311" a="1"/>
  <c r="L327" a="1"/>
  <c r="L343" a="1"/>
  <c r="L359" a="1"/>
  <c r="L375" a="1"/>
  <c r="L391" a="1"/>
  <c r="L407" a="1"/>
  <c r="L423" a="1"/>
  <c r="L431" a="1"/>
  <c r="L439" a="1"/>
  <c r="L447" a="1"/>
  <c r="L455" a="1"/>
  <c r="L463" a="1"/>
  <c r="L471" a="1"/>
  <c r="L479" a="1"/>
  <c r="L487" a="1"/>
  <c r="L495" a="1"/>
  <c r="L503" a="1"/>
  <c r="L511" a="1"/>
  <c r="L519" a="1"/>
  <c r="L527" a="1"/>
  <c r="L535" a="1"/>
  <c r="L543" a="1"/>
  <c r="L551" a="1"/>
  <c r="L559" a="1"/>
  <c r="L567" a="1"/>
  <c r="L575" a="1"/>
  <c r="L583" a="1"/>
  <c r="L591" a="1"/>
  <c r="L599" a="1"/>
  <c r="L607" a="1"/>
  <c r="L615" a="1"/>
  <c r="L623" a="1"/>
  <c r="L631" a="1"/>
  <c r="L639" a="1"/>
  <c r="L647" a="1"/>
  <c r="L655" a="1"/>
  <c r="L663" a="1"/>
  <c r="L671" a="1"/>
  <c r="L679" a="1"/>
  <c r="L687" a="1"/>
  <c r="L695" a="1"/>
  <c r="L703" a="1"/>
  <c r="L711" a="1"/>
  <c r="L719" a="1"/>
  <c r="L727" a="1"/>
  <c r="L735" a="1"/>
  <c r="L743" a="1"/>
  <c r="L751" a="1"/>
  <c r="L759" a="1"/>
  <c r="L767" a="1"/>
  <c r="L775" a="1"/>
  <c r="L783" a="1"/>
  <c r="L791" a="1"/>
  <c r="L799" a="1"/>
  <c r="L807" a="1"/>
  <c r="L815" a="1"/>
  <c r="L823" a="1"/>
  <c r="L831" a="1"/>
  <c r="L839" a="1"/>
  <c r="L847" a="1"/>
  <c r="L855" a="1"/>
  <c r="L871" a="1"/>
  <c r="L887" a="1"/>
  <c r="L903" a="1"/>
  <c r="L919" a="1"/>
  <c r="L935" a="1"/>
  <c r="L943" a="1"/>
  <c r="L951" a="1"/>
  <c r="L959" a="1"/>
  <c r="L967" a="1"/>
  <c r="L975" a="1"/>
  <c r="L983" a="1"/>
  <c r="L991" a="1"/>
  <c r="L999" a="1"/>
  <c r="L1007" a="1"/>
  <c r="L1015" a="1"/>
  <c r="L1023" a="1"/>
  <c r="L1031" a="1"/>
  <c r="L1039" a="1"/>
  <c r="L1047" a="1"/>
  <c r="L1071" a="1"/>
  <c r="L1095" a="1"/>
  <c r="L1111" a="1"/>
  <c r="L867" a="1"/>
  <c r="L883" a="1"/>
  <c r="L899" a="1"/>
  <c r="L915" a="1"/>
  <c r="L1051" a="1"/>
  <c r="L1067" a="1"/>
  <c r="L1083" a="1"/>
  <c r="L1099" a="1"/>
  <c r="L1107" a="1"/>
  <c r="L863" a="1"/>
  <c r="L879" a="1"/>
  <c r="L895" a="1"/>
  <c r="L911" a="1"/>
  <c r="L927" a="1"/>
  <c r="L931" a="1"/>
  <c r="L939" a="1"/>
  <c r="L947" a="1"/>
  <c r="L955" a="1"/>
  <c r="L963" a="1"/>
  <c r="L971" a="1"/>
  <c r="L979" a="1"/>
  <c r="L987" a="1"/>
  <c r="L995" a="1"/>
  <c r="L1003" a="1"/>
  <c r="L1011" a="1"/>
  <c r="L1019" a="1"/>
  <c r="L1027" a="1"/>
  <c r="L1035" a="1"/>
  <c r="L1043" a="1"/>
  <c r="L1059" a="1"/>
  <c r="L1075" a="1"/>
  <c r="L1091" a="1"/>
  <c r="L1115" a="1"/>
  <c r="L875" a="1"/>
  <c r="L891" a="1"/>
  <c r="L907" a="1"/>
  <c r="L923" a="1"/>
  <c r="L1055" a="1"/>
  <c r="L1063" a="1"/>
  <c r="L1079" a="1"/>
  <c r="L1087" a="1"/>
  <c r="L1103" a="1"/>
  <c r="L1119" a="1"/>
  <c r="L3" a="1"/>
  <c r="L1120" l="1"/>
  <c r="N1119"/>
  <c r="L1121"/>
  <c r="M1119"/>
  <c r="N1120"/>
  <c r="L1119"/>
  <c r="M1120"/>
  <c r="N1121"/>
  <c r="M1121"/>
  <c r="L1104"/>
  <c r="N1103"/>
  <c r="L1105"/>
  <c r="M1103"/>
  <c r="N1104"/>
  <c r="L1103"/>
  <c r="M1104"/>
  <c r="N1105"/>
  <c r="M1105"/>
  <c r="L1088"/>
  <c r="N1087"/>
  <c r="L1089"/>
  <c r="M1087"/>
  <c r="N1088"/>
  <c r="L1087"/>
  <c r="M1088"/>
  <c r="N1089"/>
  <c r="M1089"/>
  <c r="L1080"/>
  <c r="N1079"/>
  <c r="L1081"/>
  <c r="M1079"/>
  <c r="N1080"/>
  <c r="L1079"/>
  <c r="M1080"/>
  <c r="N1081"/>
  <c r="M1081"/>
  <c r="L1064"/>
  <c r="M1065"/>
  <c r="N1063"/>
  <c r="L1065"/>
  <c r="M1063"/>
  <c r="N1064"/>
  <c r="L1063"/>
  <c r="M1064"/>
  <c r="N1065"/>
  <c r="L1056"/>
  <c r="N1055"/>
  <c r="L1057"/>
  <c r="M1055"/>
  <c r="N1056"/>
  <c r="L1055"/>
  <c r="M1056"/>
  <c r="N1057"/>
  <c r="M1057"/>
  <c r="L923"/>
  <c r="M924"/>
  <c r="N925"/>
  <c r="N923"/>
  <c r="L925"/>
  <c r="N924"/>
  <c r="L924"/>
  <c r="M923"/>
  <c r="M925"/>
  <c r="L907"/>
  <c r="M908"/>
  <c r="N909"/>
  <c r="N907"/>
  <c r="L909"/>
  <c r="N908"/>
  <c r="L908"/>
  <c r="M907"/>
  <c r="M909"/>
  <c r="L891"/>
  <c r="M892"/>
  <c r="N893"/>
  <c r="N891"/>
  <c r="L893"/>
  <c r="N892"/>
  <c r="L892"/>
  <c r="M891"/>
  <c r="M893"/>
  <c r="L875"/>
  <c r="M876"/>
  <c r="N877"/>
  <c r="N875"/>
  <c r="L877"/>
  <c r="N876"/>
  <c r="L876"/>
  <c r="M875"/>
  <c r="M877"/>
  <c r="L1115"/>
  <c r="M1116"/>
  <c r="N1117"/>
  <c r="L1116"/>
  <c r="M1117"/>
  <c r="N1115"/>
  <c r="L1117"/>
  <c r="M1115"/>
  <c r="N1116"/>
  <c r="L1091"/>
  <c r="M1092"/>
  <c r="N1093"/>
  <c r="L1092"/>
  <c r="M1093"/>
  <c r="N1091"/>
  <c r="L1093"/>
  <c r="M1091"/>
  <c r="N1092"/>
  <c r="N1076"/>
  <c r="L1075"/>
  <c r="M1076"/>
  <c r="N1077"/>
  <c r="L1076"/>
  <c r="M1077"/>
  <c r="N1075"/>
  <c r="L1077"/>
  <c r="M1075"/>
  <c r="N1060"/>
  <c r="L1059"/>
  <c r="M1060"/>
  <c r="N1061"/>
  <c r="L1060"/>
  <c r="M1061"/>
  <c r="N1059"/>
  <c r="L1061"/>
  <c r="M1059"/>
  <c r="M1043"/>
  <c r="L1043"/>
  <c r="M1044"/>
  <c r="N1045"/>
  <c r="L1044"/>
  <c r="M1045"/>
  <c r="N1043"/>
  <c r="L1045"/>
  <c r="N1044"/>
  <c r="M1035"/>
  <c r="N1036"/>
  <c r="L1035"/>
  <c r="M1036"/>
  <c r="N1037"/>
  <c r="L1036"/>
  <c r="M1037"/>
  <c r="N1035"/>
  <c r="L1037"/>
  <c r="M1027"/>
  <c r="N1028"/>
  <c r="L1027"/>
  <c r="M1028"/>
  <c r="N1029"/>
  <c r="L1028"/>
  <c r="M1029"/>
  <c r="N1027"/>
  <c r="L1029"/>
  <c r="M1019"/>
  <c r="N1020"/>
  <c r="L1019"/>
  <c r="M1020"/>
  <c r="N1021"/>
  <c r="L1020"/>
  <c r="M1021"/>
  <c r="N1019"/>
  <c r="L1021"/>
  <c r="M1011"/>
  <c r="N1012"/>
  <c r="L1011"/>
  <c r="M1012"/>
  <c r="N1013"/>
  <c r="L1012"/>
  <c r="M1013"/>
  <c r="N1011"/>
  <c r="L1013"/>
  <c r="M1003"/>
  <c r="N1004"/>
  <c r="L1003"/>
  <c r="M1004"/>
  <c r="N1005"/>
  <c r="L1004"/>
  <c r="M1005"/>
  <c r="N1003"/>
  <c r="L1005"/>
  <c r="M995"/>
  <c r="N996"/>
  <c r="L995"/>
  <c r="M996"/>
  <c r="N997"/>
  <c r="L996"/>
  <c r="M997"/>
  <c r="N995"/>
  <c r="L997"/>
  <c r="M987"/>
  <c r="N988"/>
  <c r="L987"/>
  <c r="M988"/>
  <c r="N989"/>
  <c r="L988"/>
  <c r="M989"/>
  <c r="N987"/>
  <c r="L989"/>
  <c r="M979"/>
  <c r="N980"/>
  <c r="L979"/>
  <c r="M980"/>
  <c r="N981"/>
  <c r="L980"/>
  <c r="M981"/>
  <c r="N979"/>
  <c r="L981"/>
  <c r="M971"/>
  <c r="N972"/>
  <c r="L971"/>
  <c r="M972"/>
  <c r="N973"/>
  <c r="L972"/>
  <c r="M973"/>
  <c r="N971"/>
  <c r="L973"/>
  <c r="M963"/>
  <c r="N964"/>
  <c r="L963"/>
  <c r="M964"/>
  <c r="N965"/>
  <c r="L964"/>
  <c r="M965"/>
  <c r="N963"/>
  <c r="L965"/>
  <c r="M955"/>
  <c r="N956"/>
  <c r="L955"/>
  <c r="M956"/>
  <c r="N957"/>
  <c r="L956"/>
  <c r="M957"/>
  <c r="N955"/>
  <c r="L957"/>
  <c r="M947"/>
  <c r="N948"/>
  <c r="L947"/>
  <c r="M948"/>
  <c r="N949"/>
  <c r="L948"/>
  <c r="M949"/>
  <c r="N947"/>
  <c r="L949"/>
  <c r="M939"/>
  <c r="N940"/>
  <c r="L939"/>
  <c r="M940"/>
  <c r="N941"/>
  <c r="L940"/>
  <c r="M941"/>
  <c r="N939"/>
  <c r="L941"/>
  <c r="M931"/>
  <c r="N932"/>
  <c r="L931"/>
  <c r="M932"/>
  <c r="N933"/>
  <c r="L932"/>
  <c r="M933"/>
  <c r="N931"/>
  <c r="L933"/>
  <c r="N927"/>
  <c r="L927"/>
  <c r="L928"/>
  <c r="M929"/>
  <c r="M927"/>
  <c r="L929"/>
  <c r="N928"/>
  <c r="M928"/>
  <c r="N929"/>
  <c r="N911"/>
  <c r="L913"/>
  <c r="L911"/>
  <c r="M912"/>
  <c r="N913"/>
  <c r="L912"/>
  <c r="M911"/>
  <c r="M913"/>
  <c r="N912"/>
  <c r="N895"/>
  <c r="L897"/>
  <c r="L895"/>
  <c r="M896"/>
  <c r="N897"/>
  <c r="L896"/>
  <c r="M895"/>
  <c r="M897"/>
  <c r="N896"/>
  <c r="N879"/>
  <c r="L881"/>
  <c r="L879"/>
  <c r="M880"/>
  <c r="N881"/>
  <c r="L880"/>
  <c r="M879"/>
  <c r="M881"/>
  <c r="N880"/>
  <c r="N863"/>
  <c r="L865"/>
  <c r="L863"/>
  <c r="M864"/>
  <c r="N865"/>
  <c r="L864"/>
  <c r="M863"/>
  <c r="M865"/>
  <c r="N864"/>
  <c r="L1107"/>
  <c r="M1108"/>
  <c r="N1109"/>
  <c r="M1109"/>
  <c r="L1108"/>
  <c r="N1107"/>
  <c r="L1109"/>
  <c r="M1107"/>
  <c r="N1108"/>
  <c r="L1099"/>
  <c r="M1100"/>
  <c r="N1101"/>
  <c r="L1100"/>
  <c r="M1101"/>
  <c r="N1099"/>
  <c r="L1101"/>
  <c r="M1099"/>
  <c r="N1100"/>
  <c r="N1084"/>
  <c r="L1083"/>
  <c r="M1084"/>
  <c r="N1085"/>
  <c r="L1084"/>
  <c r="M1085"/>
  <c r="N1083"/>
  <c r="L1085"/>
  <c r="M1083"/>
  <c r="L1067"/>
  <c r="M1068"/>
  <c r="N1069"/>
  <c r="M1069"/>
  <c r="L1068"/>
  <c r="N1067"/>
  <c r="L1069"/>
  <c r="M1067"/>
  <c r="N1068"/>
  <c r="L1051"/>
  <c r="M1052"/>
  <c r="N1053"/>
  <c r="L1052"/>
  <c r="M1053"/>
  <c r="N1051"/>
  <c r="L1053"/>
  <c r="M1051"/>
  <c r="N1052"/>
  <c r="L915"/>
  <c r="M916"/>
  <c r="N917"/>
  <c r="N915"/>
  <c r="L917"/>
  <c r="M915"/>
  <c r="M917"/>
  <c r="N916"/>
  <c r="L916"/>
  <c r="L899"/>
  <c r="M900"/>
  <c r="N901"/>
  <c r="N899"/>
  <c r="L901"/>
  <c r="M899"/>
  <c r="M901"/>
  <c r="N900"/>
  <c r="L900"/>
  <c r="L883"/>
  <c r="M884"/>
  <c r="N885"/>
  <c r="N883"/>
  <c r="L885"/>
  <c r="M883"/>
  <c r="M885"/>
  <c r="N884"/>
  <c r="L884"/>
  <c r="L867"/>
  <c r="M868"/>
  <c r="N869"/>
  <c r="N867"/>
  <c r="L869"/>
  <c r="M867"/>
  <c r="M869"/>
  <c r="N868"/>
  <c r="L868"/>
  <c r="N1111"/>
  <c r="L1113"/>
  <c r="M1111"/>
  <c r="N1112"/>
  <c r="L1111"/>
  <c r="M1112"/>
  <c r="N1113"/>
  <c r="L1112"/>
  <c r="M1113"/>
  <c r="N1095"/>
  <c r="L1097"/>
  <c r="M1095"/>
  <c r="N1096"/>
  <c r="L1095"/>
  <c r="M1096"/>
  <c r="N1097"/>
  <c r="L1096"/>
  <c r="M1097"/>
  <c r="N1071"/>
  <c r="L1073"/>
  <c r="M1071"/>
  <c r="N1072"/>
  <c r="L1071"/>
  <c r="M1072"/>
  <c r="N1073"/>
  <c r="L1072"/>
  <c r="M1073"/>
  <c r="N1047"/>
  <c r="L1049"/>
  <c r="M1047"/>
  <c r="N1048"/>
  <c r="L1047"/>
  <c r="M1048"/>
  <c r="N1049"/>
  <c r="L1048"/>
  <c r="M1049"/>
  <c r="M1041"/>
  <c r="N1039"/>
  <c r="L1041"/>
  <c r="M1039"/>
  <c r="N1040"/>
  <c r="L1039"/>
  <c r="M1040"/>
  <c r="N1041"/>
  <c r="L1040"/>
  <c r="L1032"/>
  <c r="M1033"/>
  <c r="N1031"/>
  <c r="L1033"/>
  <c r="M1031"/>
  <c r="N1032"/>
  <c r="L1031"/>
  <c r="M1032"/>
  <c r="N1033"/>
  <c r="L1024"/>
  <c r="M1025"/>
  <c r="N1023"/>
  <c r="L1025"/>
  <c r="M1023"/>
  <c r="N1024"/>
  <c r="L1023"/>
  <c r="M1024"/>
  <c r="N1025"/>
  <c r="L1016"/>
  <c r="M1017"/>
  <c r="N1015"/>
  <c r="L1017"/>
  <c r="M1015"/>
  <c r="N1016"/>
  <c r="L1015"/>
  <c r="M1016"/>
  <c r="N1017"/>
  <c r="L1008"/>
  <c r="M1009"/>
  <c r="N1007"/>
  <c r="L1009"/>
  <c r="M1007"/>
  <c r="N1008"/>
  <c r="L1007"/>
  <c r="M1008"/>
  <c r="N1009"/>
  <c r="L1000"/>
  <c r="M1001"/>
  <c r="N999"/>
  <c r="L1001"/>
  <c r="M999"/>
  <c r="N1000"/>
  <c r="L999"/>
  <c r="M1000"/>
  <c r="N1001"/>
  <c r="L992"/>
  <c r="M993"/>
  <c r="N991"/>
  <c r="L993"/>
  <c r="M991"/>
  <c r="N992"/>
  <c r="L991"/>
  <c r="M992"/>
  <c r="N993"/>
  <c r="L984"/>
  <c r="M985"/>
  <c r="N983"/>
  <c r="L985"/>
  <c r="M983"/>
  <c r="N984"/>
  <c r="L983"/>
  <c r="M984"/>
  <c r="N985"/>
  <c r="L976"/>
  <c r="M977"/>
  <c r="N975"/>
  <c r="L977"/>
  <c r="M975"/>
  <c r="N976"/>
  <c r="L975"/>
  <c r="M976"/>
  <c r="N977"/>
  <c r="L968"/>
  <c r="M969"/>
  <c r="N967"/>
  <c r="L969"/>
  <c r="M967"/>
  <c r="N968"/>
  <c r="L967"/>
  <c r="M968"/>
  <c r="N969"/>
  <c r="L960"/>
  <c r="M961"/>
  <c r="N959"/>
  <c r="L961"/>
  <c r="M959"/>
  <c r="N960"/>
  <c r="L959"/>
  <c r="M960"/>
  <c r="N961"/>
  <c r="L952"/>
  <c r="M953"/>
  <c r="N951"/>
  <c r="L953"/>
  <c r="M951"/>
  <c r="N952"/>
  <c r="L951"/>
  <c r="M952"/>
  <c r="N953"/>
  <c r="L944"/>
  <c r="M945"/>
  <c r="N943"/>
  <c r="L945"/>
  <c r="M943"/>
  <c r="N944"/>
  <c r="L943"/>
  <c r="M944"/>
  <c r="N945"/>
  <c r="L936"/>
  <c r="M937"/>
  <c r="N935"/>
  <c r="L937"/>
  <c r="M935"/>
  <c r="N936"/>
  <c r="L935"/>
  <c r="M936"/>
  <c r="N937"/>
  <c r="N919"/>
  <c r="L921"/>
  <c r="L919"/>
  <c r="M920"/>
  <c r="N921"/>
  <c r="M921"/>
  <c r="N920"/>
  <c r="L920"/>
  <c r="M919"/>
  <c r="N903"/>
  <c r="L905"/>
  <c r="L903"/>
  <c r="M904"/>
  <c r="N905"/>
  <c r="M905"/>
  <c r="N904"/>
  <c r="L904"/>
  <c r="M903"/>
  <c r="N887"/>
  <c r="L889"/>
  <c r="L887"/>
  <c r="M888"/>
  <c r="N889"/>
  <c r="M889"/>
  <c r="N888"/>
  <c r="L888"/>
  <c r="M887"/>
  <c r="N871"/>
  <c r="L873"/>
  <c r="L871"/>
  <c r="M872"/>
  <c r="N873"/>
  <c r="M873"/>
  <c r="N872"/>
  <c r="L872"/>
  <c r="M871"/>
  <c r="N855"/>
  <c r="L857"/>
  <c r="M855"/>
  <c r="N856"/>
  <c r="L855"/>
  <c r="M856"/>
  <c r="N857"/>
  <c r="L856"/>
  <c r="M857"/>
  <c r="N847"/>
  <c r="L849"/>
  <c r="M847"/>
  <c r="N848"/>
  <c r="L847"/>
  <c r="M848"/>
  <c r="N849"/>
  <c r="L848"/>
  <c r="M849"/>
  <c r="N839"/>
  <c r="L841"/>
  <c r="M839"/>
  <c r="N840"/>
  <c r="L839"/>
  <c r="M840"/>
  <c r="N841"/>
  <c r="L840"/>
  <c r="M841"/>
  <c r="N831"/>
  <c r="L833"/>
  <c r="M831"/>
  <c r="N832"/>
  <c r="L831"/>
  <c r="M832"/>
  <c r="N833"/>
  <c r="L832"/>
  <c r="M833"/>
  <c r="N823"/>
  <c r="L825"/>
  <c r="M823"/>
  <c r="N824"/>
  <c r="L823"/>
  <c r="M824"/>
  <c r="N825"/>
  <c r="L824"/>
  <c r="M825"/>
  <c r="N815"/>
  <c r="L817"/>
  <c r="M815"/>
  <c r="N816"/>
  <c r="L815"/>
  <c r="M816"/>
  <c r="N817"/>
  <c r="L816"/>
  <c r="M817"/>
  <c r="N807"/>
  <c r="L809"/>
  <c r="M807"/>
  <c r="N808"/>
  <c r="L807"/>
  <c r="M808"/>
  <c r="N809"/>
  <c r="L808"/>
  <c r="M809"/>
  <c r="N799"/>
  <c r="L801"/>
  <c r="M799"/>
  <c r="N800"/>
  <c r="L799"/>
  <c r="M800"/>
  <c r="N801"/>
  <c r="L800"/>
  <c r="M801"/>
  <c r="N791"/>
  <c r="L793"/>
  <c r="M791"/>
  <c r="N792"/>
  <c r="L791"/>
  <c r="M792"/>
  <c r="N793"/>
  <c r="L792"/>
  <c r="M793"/>
  <c r="N783"/>
  <c r="L785"/>
  <c r="M783"/>
  <c r="N784"/>
  <c r="L783"/>
  <c r="M784"/>
  <c r="N785"/>
  <c r="L784"/>
  <c r="M785"/>
  <c r="N775"/>
  <c r="L777"/>
  <c r="M775"/>
  <c r="N776"/>
  <c r="L775"/>
  <c r="M776"/>
  <c r="N777"/>
  <c r="L776"/>
  <c r="M777"/>
  <c r="N767"/>
  <c r="L769"/>
  <c r="M767"/>
  <c r="N768"/>
  <c r="L767"/>
  <c r="M768"/>
  <c r="N769"/>
  <c r="L768"/>
  <c r="M769"/>
  <c r="N759"/>
  <c r="L761"/>
  <c r="M759"/>
  <c r="N760"/>
  <c r="L759"/>
  <c r="M760"/>
  <c r="N761"/>
  <c r="L760"/>
  <c r="M761"/>
  <c r="N751"/>
  <c r="L753"/>
  <c r="M751"/>
  <c r="N752"/>
  <c r="L751"/>
  <c r="M752"/>
  <c r="N753"/>
  <c r="L752"/>
  <c r="M753"/>
  <c r="N743"/>
  <c r="L745"/>
  <c r="M743"/>
  <c r="N744"/>
  <c r="L743"/>
  <c r="M744"/>
  <c r="N745"/>
  <c r="L744"/>
  <c r="M745"/>
  <c r="N735"/>
  <c r="L737"/>
  <c r="M735"/>
  <c r="N736"/>
  <c r="L735"/>
  <c r="M736"/>
  <c r="N737"/>
  <c r="L736"/>
  <c r="M737"/>
  <c r="N727"/>
  <c r="L729"/>
  <c r="M727"/>
  <c r="N728"/>
  <c r="L727"/>
  <c r="M728"/>
  <c r="N729"/>
  <c r="L728"/>
  <c r="M729"/>
  <c r="N719"/>
  <c r="L721"/>
  <c r="M719"/>
  <c r="N720"/>
  <c r="L719"/>
  <c r="M720"/>
  <c r="N721"/>
  <c r="L720"/>
  <c r="M721"/>
  <c r="N711"/>
  <c r="L713"/>
  <c r="M711"/>
  <c r="N712"/>
  <c r="L711"/>
  <c r="M712"/>
  <c r="N713"/>
  <c r="L712"/>
  <c r="M713"/>
  <c r="N703"/>
  <c r="L705"/>
  <c r="M703"/>
  <c r="N704"/>
  <c r="L703"/>
  <c r="M704"/>
  <c r="N705"/>
  <c r="L704"/>
  <c r="M705"/>
  <c r="N695"/>
  <c r="L697"/>
  <c r="M695"/>
  <c r="N696"/>
  <c r="L695"/>
  <c r="M696"/>
  <c r="N697"/>
  <c r="L696"/>
  <c r="M697"/>
  <c r="N687"/>
  <c r="L689"/>
  <c r="M687"/>
  <c r="N688"/>
  <c r="L687"/>
  <c r="M688"/>
  <c r="N689"/>
  <c r="L688"/>
  <c r="M689"/>
  <c r="N679"/>
  <c r="L681"/>
  <c r="M679"/>
  <c r="N680"/>
  <c r="L679"/>
  <c r="M680"/>
  <c r="N681"/>
  <c r="L680"/>
  <c r="M681"/>
  <c r="N671"/>
  <c r="L673"/>
  <c r="M671"/>
  <c r="N672"/>
  <c r="L671"/>
  <c r="M672"/>
  <c r="N673"/>
  <c r="L672"/>
  <c r="M673"/>
  <c r="N663"/>
  <c r="L665"/>
  <c r="M663"/>
  <c r="N664"/>
  <c r="L663"/>
  <c r="M664"/>
  <c r="N665"/>
  <c r="L664"/>
  <c r="M665"/>
  <c r="N655"/>
  <c r="L657"/>
  <c r="M655"/>
  <c r="N656"/>
  <c r="L655"/>
  <c r="M656"/>
  <c r="N657"/>
  <c r="L656"/>
  <c r="M657"/>
  <c r="N647"/>
  <c r="L649"/>
  <c r="M647"/>
  <c r="N648"/>
  <c r="L647"/>
  <c r="M648"/>
  <c r="N649"/>
  <c r="L648"/>
  <c r="M649"/>
  <c r="N639"/>
  <c r="L641"/>
  <c r="M639"/>
  <c r="N640"/>
  <c r="L639"/>
  <c r="M640"/>
  <c r="N641"/>
  <c r="L640"/>
  <c r="M641"/>
  <c r="N631"/>
  <c r="L633"/>
  <c r="M631"/>
  <c r="N632"/>
  <c r="L631"/>
  <c r="M632"/>
  <c r="N633"/>
  <c r="L632"/>
  <c r="M633"/>
  <c r="N623"/>
  <c r="L625"/>
  <c r="M623"/>
  <c r="N624"/>
  <c r="L623"/>
  <c r="M624"/>
  <c r="N625"/>
  <c r="L624"/>
  <c r="M625"/>
  <c r="N615"/>
  <c r="L617"/>
  <c r="M615"/>
  <c r="N616"/>
  <c r="L615"/>
  <c r="M616"/>
  <c r="N617"/>
  <c r="L616"/>
  <c r="M617"/>
  <c r="N607"/>
  <c r="L609"/>
  <c r="M607"/>
  <c r="N608"/>
  <c r="L607"/>
  <c r="M608"/>
  <c r="N609"/>
  <c r="L608"/>
  <c r="M609"/>
  <c r="N599"/>
  <c r="L601"/>
  <c r="M599"/>
  <c r="N600"/>
  <c r="L599"/>
  <c r="M600"/>
  <c r="N601"/>
  <c r="L600"/>
  <c r="M601"/>
  <c r="N591"/>
  <c r="L593"/>
  <c r="M591"/>
  <c r="N592"/>
  <c r="L591"/>
  <c r="M592"/>
  <c r="N593"/>
  <c r="L592"/>
  <c r="M593"/>
  <c r="N583"/>
  <c r="L585"/>
  <c r="M583"/>
  <c r="N584"/>
  <c r="L583"/>
  <c r="M584"/>
  <c r="N585"/>
  <c r="L584"/>
  <c r="M585"/>
  <c r="N575"/>
  <c r="L577"/>
  <c r="M575"/>
  <c r="N576"/>
  <c r="L575"/>
  <c r="M576"/>
  <c r="N577"/>
  <c r="L576"/>
  <c r="M577"/>
  <c r="N567"/>
  <c r="L569"/>
  <c r="M567"/>
  <c r="N568"/>
  <c r="L567"/>
  <c r="M568"/>
  <c r="N569"/>
  <c r="L568"/>
  <c r="M569"/>
  <c r="N559"/>
  <c r="L561"/>
  <c r="M559"/>
  <c r="N560"/>
  <c r="L559"/>
  <c r="M560"/>
  <c r="N561"/>
  <c r="L560"/>
  <c r="M561"/>
  <c r="N551"/>
  <c r="L553"/>
  <c r="M551"/>
  <c r="N552"/>
  <c r="L551"/>
  <c r="M552"/>
  <c r="N553"/>
  <c r="L552"/>
  <c r="M553"/>
  <c r="N543"/>
  <c r="L545"/>
  <c r="M543"/>
  <c r="N544"/>
  <c r="L543"/>
  <c r="M544"/>
  <c r="N545"/>
  <c r="L544"/>
  <c r="M545"/>
  <c r="N535"/>
  <c r="L537"/>
  <c r="M535"/>
  <c r="N536"/>
  <c r="L535"/>
  <c r="M536"/>
  <c r="N537"/>
  <c r="L536"/>
  <c r="M537"/>
  <c r="N527"/>
  <c r="L529"/>
  <c r="M527"/>
  <c r="N528"/>
  <c r="L527"/>
  <c r="M528"/>
  <c r="N529"/>
  <c r="L528"/>
  <c r="M529"/>
  <c r="N519"/>
  <c r="L521"/>
  <c r="M519"/>
  <c r="N520"/>
  <c r="L519"/>
  <c r="M520"/>
  <c r="N521"/>
  <c r="L520"/>
  <c r="M521"/>
  <c r="N511"/>
  <c r="L513"/>
  <c r="M511"/>
  <c r="N512"/>
  <c r="L511"/>
  <c r="M512"/>
  <c r="N513"/>
  <c r="L512"/>
  <c r="M513"/>
  <c r="N503"/>
  <c r="L505"/>
  <c r="M503"/>
  <c r="N504"/>
  <c r="L503"/>
  <c r="M504"/>
  <c r="N505"/>
  <c r="L504"/>
  <c r="M505"/>
  <c r="N495"/>
  <c r="L497"/>
  <c r="M495"/>
  <c r="N496"/>
  <c r="L495"/>
  <c r="M496"/>
  <c r="N497"/>
  <c r="L496"/>
  <c r="M497"/>
  <c r="N487"/>
  <c r="L489"/>
  <c r="M487"/>
  <c r="N488"/>
  <c r="L487"/>
  <c r="M488"/>
  <c r="N489"/>
  <c r="L488"/>
  <c r="M489"/>
  <c r="N479"/>
  <c r="L481"/>
  <c r="M479"/>
  <c r="N480"/>
  <c r="L479"/>
  <c r="M480"/>
  <c r="N481"/>
  <c r="L480"/>
  <c r="M481"/>
  <c r="N471"/>
  <c r="L473"/>
  <c r="M471"/>
  <c r="N472"/>
  <c r="L471"/>
  <c r="M472"/>
  <c r="N473"/>
  <c r="L472"/>
  <c r="M473"/>
  <c r="N463"/>
  <c r="L465"/>
  <c r="M463"/>
  <c r="N464"/>
  <c r="L463"/>
  <c r="M464"/>
  <c r="N465"/>
  <c r="L464"/>
  <c r="M465"/>
  <c r="N455"/>
  <c r="L457"/>
  <c r="M455"/>
  <c r="N456"/>
  <c r="L455"/>
  <c r="M456"/>
  <c r="N457"/>
  <c r="L456"/>
  <c r="M457"/>
  <c r="N447"/>
  <c r="L449"/>
  <c r="M447"/>
  <c r="N448"/>
  <c r="L447"/>
  <c r="M448"/>
  <c r="N449"/>
  <c r="L448"/>
  <c r="M449"/>
  <c r="N439"/>
  <c r="L441"/>
  <c r="M439"/>
  <c r="N440"/>
  <c r="L439"/>
  <c r="M440"/>
  <c r="N441"/>
  <c r="L440"/>
  <c r="M441"/>
  <c r="N431"/>
  <c r="L433"/>
  <c r="M431"/>
  <c r="N432"/>
  <c r="L431"/>
  <c r="M432"/>
  <c r="N433"/>
  <c r="L432"/>
  <c r="M433"/>
  <c r="N423"/>
  <c r="L425"/>
  <c r="M423"/>
  <c r="N424"/>
  <c r="L423"/>
  <c r="M424"/>
  <c r="N425"/>
  <c r="L424"/>
  <c r="M425"/>
  <c r="N407"/>
  <c r="L409"/>
  <c r="L407"/>
  <c r="M408"/>
  <c r="N409"/>
  <c r="N408"/>
  <c r="L408"/>
  <c r="M407"/>
  <c r="M409"/>
  <c r="N391"/>
  <c r="L393"/>
  <c r="L391"/>
  <c r="M392"/>
  <c r="N393"/>
  <c r="N392"/>
  <c r="L392"/>
  <c r="M391"/>
  <c r="M393"/>
  <c r="N375"/>
  <c r="L377"/>
  <c r="L375"/>
  <c r="M376"/>
  <c r="N377"/>
  <c r="N376"/>
  <c r="L376"/>
  <c r="M375"/>
  <c r="M377"/>
  <c r="N359"/>
  <c r="L361"/>
  <c r="L359"/>
  <c r="M360"/>
  <c r="N361"/>
  <c r="N360"/>
  <c r="L360"/>
  <c r="M359"/>
  <c r="M361"/>
  <c r="N343"/>
  <c r="L345"/>
  <c r="L343"/>
  <c r="M344"/>
  <c r="N345"/>
  <c r="N344"/>
  <c r="L344"/>
  <c r="M343"/>
  <c r="M345"/>
  <c r="N327"/>
  <c r="L329"/>
  <c r="L327"/>
  <c r="M328"/>
  <c r="N329"/>
  <c r="N328"/>
  <c r="L328"/>
  <c r="M327"/>
  <c r="M329"/>
  <c r="N311"/>
  <c r="L313"/>
  <c r="L311"/>
  <c r="M312"/>
  <c r="N313"/>
  <c r="N312"/>
  <c r="L312"/>
  <c r="M311"/>
  <c r="M313"/>
  <c r="N295"/>
  <c r="L297"/>
  <c r="L295"/>
  <c r="M296"/>
  <c r="N297"/>
  <c r="N296"/>
  <c r="L296"/>
  <c r="M295"/>
  <c r="M297"/>
  <c r="L411"/>
  <c r="M412"/>
  <c r="N413"/>
  <c r="N411"/>
  <c r="L413"/>
  <c r="L412"/>
  <c r="M411"/>
  <c r="M413"/>
  <c r="N412"/>
  <c r="L395"/>
  <c r="M396"/>
  <c r="N397"/>
  <c r="N395"/>
  <c r="L397"/>
  <c r="L396"/>
  <c r="M395"/>
  <c r="M397"/>
  <c r="N396"/>
  <c r="L379"/>
  <c r="M380"/>
  <c r="N381"/>
  <c r="N379"/>
  <c r="L381"/>
  <c r="L380"/>
  <c r="M379"/>
  <c r="M381"/>
  <c r="N380"/>
  <c r="L363"/>
  <c r="M364"/>
  <c r="N365"/>
  <c r="N363"/>
  <c r="L365"/>
  <c r="L364"/>
  <c r="M363"/>
  <c r="M365"/>
  <c r="N364"/>
  <c r="L347"/>
  <c r="M348"/>
  <c r="N349"/>
  <c r="N347"/>
  <c r="L349"/>
  <c r="L348"/>
  <c r="M347"/>
  <c r="M349"/>
  <c r="N348"/>
  <c r="L331"/>
  <c r="M332"/>
  <c r="N333"/>
  <c r="N331"/>
  <c r="L333"/>
  <c r="L332"/>
  <c r="M331"/>
  <c r="M333"/>
  <c r="N332"/>
  <c r="L315"/>
  <c r="M316"/>
  <c r="N317"/>
  <c r="N315"/>
  <c r="L317"/>
  <c r="L316"/>
  <c r="M315"/>
  <c r="M317"/>
  <c r="N316"/>
  <c r="L299"/>
  <c r="M300"/>
  <c r="N301"/>
  <c r="N299"/>
  <c r="L301"/>
  <c r="L300"/>
  <c r="M299"/>
  <c r="M301"/>
  <c r="N300"/>
  <c r="L859"/>
  <c r="M860"/>
  <c r="N861"/>
  <c r="L860"/>
  <c r="N859"/>
  <c r="L861"/>
  <c r="M859"/>
  <c r="N860"/>
  <c r="M861"/>
  <c r="L851"/>
  <c r="M852"/>
  <c r="N853"/>
  <c r="L852"/>
  <c r="M853"/>
  <c r="N851"/>
  <c r="L853"/>
  <c r="M851"/>
  <c r="N852"/>
  <c r="L843"/>
  <c r="M844"/>
  <c r="N845"/>
  <c r="L844"/>
  <c r="M845"/>
  <c r="N843"/>
  <c r="L845"/>
  <c r="M843"/>
  <c r="N844"/>
  <c r="L835"/>
  <c r="M836"/>
  <c r="N837"/>
  <c r="L836"/>
  <c r="M837"/>
  <c r="N835"/>
  <c r="L837"/>
  <c r="M835"/>
  <c r="N836"/>
  <c r="L827"/>
  <c r="M828"/>
  <c r="N829"/>
  <c r="L828"/>
  <c r="M829"/>
  <c r="N827"/>
  <c r="L829"/>
  <c r="M827"/>
  <c r="N828"/>
  <c r="L819"/>
  <c r="M820"/>
  <c r="N821"/>
  <c r="L820"/>
  <c r="M821"/>
  <c r="N819"/>
  <c r="L821"/>
  <c r="M819"/>
  <c r="N820"/>
  <c r="L811"/>
  <c r="M812"/>
  <c r="N813"/>
  <c r="L812"/>
  <c r="M813"/>
  <c r="N811"/>
  <c r="L813"/>
  <c r="M811"/>
  <c r="N812"/>
  <c r="L803"/>
  <c r="M804"/>
  <c r="N805"/>
  <c r="L804"/>
  <c r="M805"/>
  <c r="N803"/>
  <c r="L805"/>
  <c r="M803"/>
  <c r="N804"/>
  <c r="L795"/>
  <c r="M796"/>
  <c r="N797"/>
  <c r="L796"/>
  <c r="M797"/>
  <c r="N795"/>
  <c r="L797"/>
  <c r="M795"/>
  <c r="N796"/>
  <c r="L787"/>
  <c r="M788"/>
  <c r="N789"/>
  <c r="L788"/>
  <c r="M789"/>
  <c r="N787"/>
  <c r="L789"/>
  <c r="M787"/>
  <c r="N788"/>
  <c r="L779"/>
  <c r="M780"/>
  <c r="N781"/>
  <c r="L780"/>
  <c r="M781"/>
  <c r="N779"/>
  <c r="L781"/>
  <c r="M779"/>
  <c r="N780"/>
  <c r="L771"/>
  <c r="M772"/>
  <c r="N773"/>
  <c r="L772"/>
  <c r="M773"/>
  <c r="N771"/>
  <c r="L773"/>
  <c r="M771"/>
  <c r="N772"/>
  <c r="L763"/>
  <c r="M764"/>
  <c r="N765"/>
  <c r="L764"/>
  <c r="M765"/>
  <c r="N763"/>
  <c r="L765"/>
  <c r="M763"/>
  <c r="N764"/>
  <c r="L755"/>
  <c r="M756"/>
  <c r="N757"/>
  <c r="L756"/>
  <c r="M757"/>
  <c r="N755"/>
  <c r="L757"/>
  <c r="M755"/>
  <c r="N756"/>
  <c r="L747"/>
  <c r="M748"/>
  <c r="N749"/>
  <c r="L748"/>
  <c r="M749"/>
  <c r="N747"/>
  <c r="L749"/>
  <c r="M747"/>
  <c r="N748"/>
  <c r="L739"/>
  <c r="M740"/>
  <c r="N741"/>
  <c r="L740"/>
  <c r="M741"/>
  <c r="N739"/>
  <c r="L741"/>
  <c r="M739"/>
  <c r="N740"/>
  <c r="L731"/>
  <c r="M732"/>
  <c r="N733"/>
  <c r="L732"/>
  <c r="M733"/>
  <c r="N731"/>
  <c r="L733"/>
  <c r="M731"/>
  <c r="N732"/>
  <c r="L723"/>
  <c r="M724"/>
  <c r="N725"/>
  <c r="L724"/>
  <c r="M725"/>
  <c r="N723"/>
  <c r="L725"/>
  <c r="M723"/>
  <c r="N724"/>
  <c r="L715"/>
  <c r="M716"/>
  <c r="N717"/>
  <c r="L716"/>
  <c r="M717"/>
  <c r="N715"/>
  <c r="L717"/>
  <c r="M715"/>
  <c r="N716"/>
  <c r="L707"/>
  <c r="M708"/>
  <c r="N709"/>
  <c r="L708"/>
  <c r="M709"/>
  <c r="N707"/>
  <c r="L709"/>
  <c r="M707"/>
  <c r="N708"/>
  <c r="L699"/>
  <c r="M700"/>
  <c r="N701"/>
  <c r="L700"/>
  <c r="M701"/>
  <c r="N699"/>
  <c r="L701"/>
  <c r="M699"/>
  <c r="N700"/>
  <c r="L691"/>
  <c r="M692"/>
  <c r="N693"/>
  <c r="L692"/>
  <c r="M693"/>
  <c r="N691"/>
  <c r="L693"/>
  <c r="M691"/>
  <c r="N692"/>
  <c r="L683"/>
  <c r="M684"/>
  <c r="N685"/>
  <c r="L684"/>
  <c r="M685"/>
  <c r="N683"/>
  <c r="L685"/>
  <c r="M683"/>
  <c r="N684"/>
  <c r="L675"/>
  <c r="M676"/>
  <c r="N677"/>
  <c r="L676"/>
  <c r="M677"/>
  <c r="N675"/>
  <c r="L677"/>
  <c r="M675"/>
  <c r="N676"/>
  <c r="L667"/>
  <c r="M668"/>
  <c r="N669"/>
  <c r="L668"/>
  <c r="M669"/>
  <c r="N667"/>
  <c r="L669"/>
  <c r="M667"/>
  <c r="N668"/>
  <c r="L659"/>
  <c r="M660"/>
  <c r="N661"/>
  <c r="L660"/>
  <c r="M661"/>
  <c r="N659"/>
  <c r="L661"/>
  <c r="M659"/>
  <c r="N660"/>
  <c r="L651"/>
  <c r="M652"/>
  <c r="N653"/>
  <c r="L652"/>
  <c r="M653"/>
  <c r="N651"/>
  <c r="L653"/>
  <c r="M651"/>
  <c r="N652"/>
  <c r="L643"/>
  <c r="M644"/>
  <c r="N645"/>
  <c r="L644"/>
  <c r="M645"/>
  <c r="N643"/>
  <c r="L645"/>
  <c r="M643"/>
  <c r="N644"/>
  <c r="L635"/>
  <c r="M636"/>
  <c r="N637"/>
  <c r="L636"/>
  <c r="M637"/>
  <c r="N635"/>
  <c r="L637"/>
  <c r="M635"/>
  <c r="N636"/>
  <c r="L627"/>
  <c r="M628"/>
  <c r="N629"/>
  <c r="L628"/>
  <c r="M629"/>
  <c r="N627"/>
  <c r="L629"/>
  <c r="M627"/>
  <c r="N628"/>
  <c r="L619"/>
  <c r="M620"/>
  <c r="N621"/>
  <c r="L620"/>
  <c r="M621"/>
  <c r="N619"/>
  <c r="L621"/>
  <c r="M619"/>
  <c r="N620"/>
  <c r="L611"/>
  <c r="M612"/>
  <c r="N613"/>
  <c r="L612"/>
  <c r="M613"/>
  <c r="N611"/>
  <c r="L613"/>
  <c r="M611"/>
  <c r="N612"/>
  <c r="L603"/>
  <c r="M604"/>
  <c r="N605"/>
  <c r="L604"/>
  <c r="M605"/>
  <c r="N603"/>
  <c r="L605"/>
  <c r="M603"/>
  <c r="N604"/>
  <c r="L595"/>
  <c r="M596"/>
  <c r="N597"/>
  <c r="L596"/>
  <c r="M597"/>
  <c r="N595"/>
  <c r="L597"/>
  <c r="M595"/>
  <c r="N596"/>
  <c r="L587"/>
  <c r="M588"/>
  <c r="N589"/>
  <c r="L588"/>
  <c r="M589"/>
  <c r="N587"/>
  <c r="L589"/>
  <c r="M587"/>
  <c r="N588"/>
  <c r="L579"/>
  <c r="M580"/>
  <c r="N581"/>
  <c r="L580"/>
  <c r="M581"/>
  <c r="N579"/>
  <c r="L581"/>
  <c r="M579"/>
  <c r="N580"/>
  <c r="L571"/>
  <c r="M572"/>
  <c r="N573"/>
  <c r="L572"/>
  <c r="M573"/>
  <c r="N571"/>
  <c r="L573"/>
  <c r="M571"/>
  <c r="N572"/>
  <c r="L563"/>
  <c r="M564"/>
  <c r="N565"/>
  <c r="L564"/>
  <c r="M565"/>
  <c r="N563"/>
  <c r="L565"/>
  <c r="M563"/>
  <c r="N564"/>
  <c r="L555"/>
  <c r="M556"/>
  <c r="N557"/>
  <c r="L556"/>
  <c r="M557"/>
  <c r="N555"/>
  <c r="L557"/>
  <c r="M555"/>
  <c r="N556"/>
  <c r="L547"/>
  <c r="M548"/>
  <c r="N549"/>
  <c r="L548"/>
  <c r="M549"/>
  <c r="N547"/>
  <c r="L549"/>
  <c r="M547"/>
  <c r="N548"/>
  <c r="L539"/>
  <c r="M540"/>
  <c r="N541"/>
  <c r="L540"/>
  <c r="M541"/>
  <c r="N539"/>
  <c r="L541"/>
  <c r="M539"/>
  <c r="N540"/>
  <c r="L531"/>
  <c r="M532"/>
  <c r="N533"/>
  <c r="L532"/>
  <c r="M533"/>
  <c r="N531"/>
  <c r="L533"/>
  <c r="M531"/>
  <c r="N532"/>
  <c r="L523"/>
  <c r="M524"/>
  <c r="N525"/>
  <c r="L524"/>
  <c r="M525"/>
  <c r="N523"/>
  <c r="L525"/>
  <c r="M523"/>
  <c r="N524"/>
  <c r="L515"/>
  <c r="M516"/>
  <c r="N517"/>
  <c r="L516"/>
  <c r="M517"/>
  <c r="N515"/>
  <c r="L517"/>
  <c r="M515"/>
  <c r="N516"/>
  <c r="L507"/>
  <c r="M508"/>
  <c r="N509"/>
  <c r="L508"/>
  <c r="M509"/>
  <c r="N507"/>
  <c r="L509"/>
  <c r="M507"/>
  <c r="N508"/>
  <c r="L499"/>
  <c r="M500"/>
  <c r="N501"/>
  <c r="L500"/>
  <c r="M501"/>
  <c r="N499"/>
  <c r="L501"/>
  <c r="M499"/>
  <c r="N500"/>
  <c r="L491"/>
  <c r="M492"/>
  <c r="N493"/>
  <c r="L492"/>
  <c r="M493"/>
  <c r="N491"/>
  <c r="L493"/>
  <c r="M491"/>
  <c r="N492"/>
  <c r="L483"/>
  <c r="M484"/>
  <c r="N485"/>
  <c r="L484"/>
  <c r="M485"/>
  <c r="N483"/>
  <c r="L485"/>
  <c r="M483"/>
  <c r="N484"/>
  <c r="L475"/>
  <c r="M476"/>
  <c r="N477"/>
  <c r="L476"/>
  <c r="M477"/>
  <c r="N475"/>
  <c r="L477"/>
  <c r="M475"/>
  <c r="N476"/>
  <c r="L467"/>
  <c r="M468"/>
  <c r="N469"/>
  <c r="L468"/>
  <c r="M469"/>
  <c r="N467"/>
  <c r="L469"/>
  <c r="M467"/>
  <c r="N468"/>
  <c r="L459"/>
  <c r="M460"/>
  <c r="N461"/>
  <c r="L460"/>
  <c r="M461"/>
  <c r="N459"/>
  <c r="L461"/>
  <c r="M459"/>
  <c r="N460"/>
  <c r="L451"/>
  <c r="M452"/>
  <c r="N453"/>
  <c r="L452"/>
  <c r="M453"/>
  <c r="N451"/>
  <c r="L453"/>
  <c r="M451"/>
  <c r="N452"/>
  <c r="L443"/>
  <c r="M444"/>
  <c r="N445"/>
  <c r="L444"/>
  <c r="M445"/>
  <c r="N443"/>
  <c r="L445"/>
  <c r="M443"/>
  <c r="N444"/>
  <c r="L435"/>
  <c r="M436"/>
  <c r="N437"/>
  <c r="L436"/>
  <c r="M437"/>
  <c r="N435"/>
  <c r="L437"/>
  <c r="M435"/>
  <c r="N436"/>
  <c r="L427"/>
  <c r="M428"/>
  <c r="N429"/>
  <c r="L428"/>
  <c r="M429"/>
  <c r="N427"/>
  <c r="L429"/>
  <c r="M427"/>
  <c r="N428"/>
  <c r="L419"/>
  <c r="M420"/>
  <c r="N421"/>
  <c r="L420"/>
  <c r="M421"/>
  <c r="N419"/>
  <c r="L421"/>
  <c r="M419"/>
  <c r="N420"/>
  <c r="N415"/>
  <c r="L415"/>
  <c r="M415"/>
  <c r="L417"/>
  <c r="N416"/>
  <c r="M416"/>
  <c r="N417"/>
  <c r="L416"/>
  <c r="M417"/>
  <c r="N399"/>
  <c r="L401"/>
  <c r="L399"/>
  <c r="M400"/>
  <c r="N401"/>
  <c r="M399"/>
  <c r="M401"/>
  <c r="N400"/>
  <c r="L400"/>
  <c r="N383"/>
  <c r="L385"/>
  <c r="L383"/>
  <c r="M384"/>
  <c r="N385"/>
  <c r="M383"/>
  <c r="M385"/>
  <c r="N384"/>
  <c r="L384"/>
  <c r="N367"/>
  <c r="L369"/>
  <c r="L367"/>
  <c r="M368"/>
  <c r="N369"/>
  <c r="M367"/>
  <c r="M369"/>
  <c r="N368"/>
  <c r="L368"/>
  <c r="N351"/>
  <c r="L353"/>
  <c r="L351"/>
  <c r="M352"/>
  <c r="N353"/>
  <c r="M351"/>
  <c r="M353"/>
  <c r="N352"/>
  <c r="L352"/>
  <c r="N335"/>
  <c r="L337"/>
  <c r="L335"/>
  <c r="M336"/>
  <c r="N337"/>
  <c r="M335"/>
  <c r="M337"/>
  <c r="N336"/>
  <c r="L336"/>
  <c r="N319"/>
  <c r="L321"/>
  <c r="L319"/>
  <c r="M320"/>
  <c r="N321"/>
  <c r="M319"/>
  <c r="M321"/>
  <c r="N320"/>
  <c r="L320"/>
  <c r="N303"/>
  <c r="L305"/>
  <c r="L303"/>
  <c r="M304"/>
  <c r="N305"/>
  <c r="M303"/>
  <c r="M305"/>
  <c r="N304"/>
  <c r="L304"/>
  <c r="L403"/>
  <c r="M404"/>
  <c r="N405"/>
  <c r="N403"/>
  <c r="L405"/>
  <c r="M405"/>
  <c r="N404"/>
  <c r="L404"/>
  <c r="M403"/>
  <c r="L387"/>
  <c r="M388"/>
  <c r="N389"/>
  <c r="N387"/>
  <c r="L389"/>
  <c r="M389"/>
  <c r="N388"/>
  <c r="L388"/>
  <c r="M387"/>
  <c r="L371"/>
  <c r="M372"/>
  <c r="N373"/>
  <c r="N371"/>
  <c r="L373"/>
  <c r="M373"/>
  <c r="N372"/>
  <c r="L372"/>
  <c r="M371"/>
  <c r="L355"/>
  <c r="M356"/>
  <c r="N357"/>
  <c r="N355"/>
  <c r="L357"/>
  <c r="M357"/>
  <c r="N356"/>
  <c r="L356"/>
  <c r="M355"/>
  <c r="L339"/>
  <c r="M340"/>
  <c r="N341"/>
  <c r="N339"/>
  <c r="L341"/>
  <c r="M341"/>
  <c r="N340"/>
  <c r="L340"/>
  <c r="M339"/>
  <c r="L323"/>
  <c r="M324"/>
  <c r="N325"/>
  <c r="N323"/>
  <c r="L325"/>
  <c r="M325"/>
  <c r="N324"/>
  <c r="L324"/>
  <c r="M323"/>
  <c r="L307"/>
  <c r="M308"/>
  <c r="N309"/>
  <c r="N307"/>
  <c r="L309"/>
  <c r="M309"/>
  <c r="N308"/>
  <c r="L308"/>
  <c r="M307"/>
  <c r="L291"/>
  <c r="M292"/>
  <c r="N293"/>
  <c r="N291"/>
  <c r="L293"/>
  <c r="M293"/>
  <c r="N292"/>
  <c r="L292"/>
  <c r="M291"/>
  <c r="N287"/>
  <c r="L289"/>
  <c r="M287"/>
  <c r="L287"/>
  <c r="M288"/>
  <c r="N289"/>
  <c r="M289"/>
  <c r="N288"/>
  <c r="L288"/>
  <c r="N279"/>
  <c r="L281"/>
  <c r="M279"/>
  <c r="N280"/>
  <c r="L279"/>
  <c r="M280"/>
  <c r="N281"/>
  <c r="L280"/>
  <c r="M281"/>
  <c r="N271"/>
  <c r="L273"/>
  <c r="M271"/>
  <c r="N272"/>
  <c r="L271"/>
  <c r="M272"/>
  <c r="N273"/>
  <c r="L272"/>
  <c r="M273"/>
  <c r="N263"/>
  <c r="L265"/>
  <c r="M263"/>
  <c r="N264"/>
  <c r="L263"/>
  <c r="M264"/>
  <c r="N265"/>
  <c r="L264"/>
  <c r="M265"/>
  <c r="N255"/>
  <c r="L257"/>
  <c r="M255"/>
  <c r="N256"/>
  <c r="L255"/>
  <c r="M256"/>
  <c r="N257"/>
  <c r="L256"/>
  <c r="M257"/>
  <c r="N247"/>
  <c r="L249"/>
  <c r="M247"/>
  <c r="N248"/>
  <c r="L247"/>
  <c r="M248"/>
  <c r="N249"/>
  <c r="L248"/>
  <c r="M249"/>
  <c r="N239"/>
  <c r="L241"/>
  <c r="M239"/>
  <c r="N240"/>
  <c r="L239"/>
  <c r="M240"/>
  <c r="N241"/>
  <c r="L240"/>
  <c r="M241"/>
  <c r="N231"/>
  <c r="L233"/>
  <c r="M231"/>
  <c r="N232"/>
  <c r="L231"/>
  <c r="M232"/>
  <c r="N233"/>
  <c r="L232"/>
  <c r="M233"/>
  <c r="N223"/>
  <c r="L225"/>
  <c r="M223"/>
  <c r="N224"/>
  <c r="L223"/>
  <c r="M224"/>
  <c r="N225"/>
  <c r="L224"/>
  <c r="M225"/>
  <c r="N215"/>
  <c r="L217"/>
  <c r="M215"/>
  <c r="N216"/>
  <c r="L215"/>
  <c r="M216"/>
  <c r="N217"/>
  <c r="L216"/>
  <c r="M217"/>
  <c r="N207"/>
  <c r="L209"/>
  <c r="M207"/>
  <c r="N208"/>
  <c r="L207"/>
  <c r="M208"/>
  <c r="N209"/>
  <c r="L208"/>
  <c r="M209"/>
  <c r="N199"/>
  <c r="L201"/>
  <c r="M199"/>
  <c r="N200"/>
  <c r="L199"/>
  <c r="M200"/>
  <c r="N201"/>
  <c r="L200"/>
  <c r="M201"/>
  <c r="N191"/>
  <c r="L193"/>
  <c r="M191"/>
  <c r="N192"/>
  <c r="L191"/>
  <c r="M192"/>
  <c r="N193"/>
  <c r="L192"/>
  <c r="M193"/>
  <c r="N183"/>
  <c r="L185"/>
  <c r="M183"/>
  <c r="N184"/>
  <c r="L183"/>
  <c r="M184"/>
  <c r="N185"/>
  <c r="L184"/>
  <c r="M185"/>
  <c r="N175"/>
  <c r="L177"/>
  <c r="M175"/>
  <c r="N176"/>
  <c r="L175"/>
  <c r="M176"/>
  <c r="N177"/>
  <c r="L176"/>
  <c r="M177"/>
  <c r="N167"/>
  <c r="L169"/>
  <c r="M167"/>
  <c r="N168"/>
  <c r="L167"/>
  <c r="M168"/>
  <c r="N169"/>
  <c r="L168"/>
  <c r="M169"/>
  <c r="N159"/>
  <c r="L161"/>
  <c r="M159"/>
  <c r="N160"/>
  <c r="L159"/>
  <c r="M160"/>
  <c r="N161"/>
  <c r="L160"/>
  <c r="M161"/>
  <c r="N151"/>
  <c r="L153"/>
  <c r="M151"/>
  <c r="N152"/>
  <c r="L151"/>
  <c r="M152"/>
  <c r="N153"/>
  <c r="L152"/>
  <c r="M153"/>
  <c r="N143"/>
  <c r="L145"/>
  <c r="M143"/>
  <c r="N144"/>
  <c r="L143"/>
  <c r="M144"/>
  <c r="N145"/>
  <c r="L144"/>
  <c r="M145"/>
  <c r="N135"/>
  <c r="L137"/>
  <c r="M135"/>
  <c r="N136"/>
  <c r="L135"/>
  <c r="M136"/>
  <c r="N137"/>
  <c r="L136"/>
  <c r="M137"/>
  <c r="N127"/>
  <c r="L129"/>
  <c r="M127"/>
  <c r="N128"/>
  <c r="L127"/>
  <c r="M128"/>
  <c r="N129"/>
  <c r="L128"/>
  <c r="M129"/>
  <c r="N119"/>
  <c r="L121"/>
  <c r="M119"/>
  <c r="N120"/>
  <c r="L119"/>
  <c r="M120"/>
  <c r="N121"/>
  <c r="L120"/>
  <c r="M121"/>
  <c r="N111"/>
  <c r="L113"/>
  <c r="M111"/>
  <c r="N112"/>
  <c r="L111"/>
  <c r="M112"/>
  <c r="N113"/>
  <c r="L112"/>
  <c r="M113"/>
  <c r="N103"/>
  <c r="L105"/>
  <c r="M103"/>
  <c r="N104"/>
  <c r="L103"/>
  <c r="M104"/>
  <c r="N105"/>
  <c r="L104"/>
  <c r="M105"/>
  <c r="N95"/>
  <c r="L97"/>
  <c r="M95"/>
  <c r="N96"/>
  <c r="L95"/>
  <c r="M96"/>
  <c r="N97"/>
  <c r="L96"/>
  <c r="M97"/>
  <c r="N87"/>
  <c r="L89"/>
  <c r="M87"/>
  <c r="N88"/>
  <c r="L87"/>
  <c r="M88"/>
  <c r="N89"/>
  <c r="L88"/>
  <c r="M89"/>
  <c r="N79"/>
  <c r="L81"/>
  <c r="M79"/>
  <c r="N80"/>
  <c r="L79"/>
  <c r="M80"/>
  <c r="N81"/>
  <c r="L80"/>
  <c r="M81"/>
  <c r="N71"/>
  <c r="L73"/>
  <c r="M71"/>
  <c r="N72"/>
  <c r="L71"/>
  <c r="M72"/>
  <c r="N73"/>
  <c r="L72"/>
  <c r="M73"/>
  <c r="N63"/>
  <c r="L65"/>
  <c r="M63"/>
  <c r="N64"/>
  <c r="L63"/>
  <c r="M64"/>
  <c r="N65"/>
  <c r="L64"/>
  <c r="M65"/>
  <c r="N55"/>
  <c r="L57"/>
  <c r="M55"/>
  <c r="N56"/>
  <c r="L55"/>
  <c r="M56"/>
  <c r="N57"/>
  <c r="L56"/>
  <c r="M57"/>
  <c r="N47"/>
  <c r="L49"/>
  <c r="M47"/>
  <c r="N48"/>
  <c r="L47"/>
  <c r="M48"/>
  <c r="N49"/>
  <c r="L48"/>
  <c r="M49"/>
  <c r="N39"/>
  <c r="L41"/>
  <c r="M39"/>
  <c r="N40"/>
  <c r="L39"/>
  <c r="M40"/>
  <c r="N41"/>
  <c r="L40"/>
  <c r="M41"/>
  <c r="N31"/>
  <c r="L33"/>
  <c r="M31"/>
  <c r="N32"/>
  <c r="L31"/>
  <c r="M32"/>
  <c r="N33"/>
  <c r="L32"/>
  <c r="M33"/>
  <c r="N23"/>
  <c r="L25"/>
  <c r="M23"/>
  <c r="N24"/>
  <c r="L23"/>
  <c r="M24"/>
  <c r="N25"/>
  <c r="L24"/>
  <c r="M25"/>
  <c r="N15"/>
  <c r="L17"/>
  <c r="M15"/>
  <c r="N16"/>
  <c r="L15"/>
  <c r="M16"/>
  <c r="N17"/>
  <c r="L16"/>
  <c r="M17"/>
  <c r="N7"/>
  <c r="L9"/>
  <c r="M7"/>
  <c r="N8"/>
  <c r="L7"/>
  <c r="M8"/>
  <c r="N9"/>
  <c r="L8"/>
  <c r="M9"/>
  <c r="L283"/>
  <c r="M284"/>
  <c r="N285"/>
  <c r="L284"/>
  <c r="M285"/>
  <c r="N283"/>
  <c r="L285"/>
  <c r="M283"/>
  <c r="N284"/>
  <c r="L275"/>
  <c r="M276"/>
  <c r="N277"/>
  <c r="L276"/>
  <c r="M277"/>
  <c r="N275"/>
  <c r="L277"/>
  <c r="M275"/>
  <c r="N276"/>
  <c r="L267"/>
  <c r="M268"/>
  <c r="N269"/>
  <c r="L268"/>
  <c r="M269"/>
  <c r="N267"/>
  <c r="L269"/>
  <c r="M267"/>
  <c r="N268"/>
  <c r="L259"/>
  <c r="M260"/>
  <c r="N261"/>
  <c r="L260"/>
  <c r="M261"/>
  <c r="N259"/>
  <c r="L261"/>
  <c r="M259"/>
  <c r="N260"/>
  <c r="L251"/>
  <c r="M252"/>
  <c r="N253"/>
  <c r="L252"/>
  <c r="M253"/>
  <c r="N251"/>
  <c r="L253"/>
  <c r="M251"/>
  <c r="N252"/>
  <c r="L243"/>
  <c r="M244"/>
  <c r="N245"/>
  <c r="L244"/>
  <c r="M245"/>
  <c r="N243"/>
  <c r="L245"/>
  <c r="M243"/>
  <c r="N244"/>
  <c r="L235"/>
  <c r="M236"/>
  <c r="N237"/>
  <c r="L236"/>
  <c r="M237"/>
  <c r="N235"/>
  <c r="L237"/>
  <c r="M235"/>
  <c r="N236"/>
  <c r="L227"/>
  <c r="M228"/>
  <c r="N229"/>
  <c r="L228"/>
  <c r="M229"/>
  <c r="N227"/>
  <c r="L229"/>
  <c r="M227"/>
  <c r="N228"/>
  <c r="L219"/>
  <c r="M220"/>
  <c r="N221"/>
  <c r="L220"/>
  <c r="M221"/>
  <c r="N219"/>
  <c r="L221"/>
  <c r="M219"/>
  <c r="N220"/>
  <c r="L211"/>
  <c r="M212"/>
  <c r="N213"/>
  <c r="L212"/>
  <c r="M213"/>
  <c r="N211"/>
  <c r="L213"/>
  <c r="M211"/>
  <c r="N212"/>
  <c r="L203"/>
  <c r="M204"/>
  <c r="N205"/>
  <c r="L204"/>
  <c r="M205"/>
  <c r="N203"/>
  <c r="L205"/>
  <c r="M203"/>
  <c r="N204"/>
  <c r="L195"/>
  <c r="M196"/>
  <c r="N197"/>
  <c r="L196"/>
  <c r="M197"/>
  <c r="N195"/>
  <c r="L197"/>
  <c r="M195"/>
  <c r="N196"/>
  <c r="L187"/>
  <c r="M188"/>
  <c r="N189"/>
  <c r="L188"/>
  <c r="M189"/>
  <c r="N187"/>
  <c r="L189"/>
  <c r="M187"/>
  <c r="N188"/>
  <c r="L179"/>
  <c r="M180"/>
  <c r="N181"/>
  <c r="L180"/>
  <c r="M181"/>
  <c r="N179"/>
  <c r="L181"/>
  <c r="M179"/>
  <c r="N180"/>
  <c r="L171"/>
  <c r="M172"/>
  <c r="N173"/>
  <c r="L172"/>
  <c r="M173"/>
  <c r="N171"/>
  <c r="L173"/>
  <c r="M171"/>
  <c r="N172"/>
  <c r="L163"/>
  <c r="M164"/>
  <c r="N165"/>
  <c r="L164"/>
  <c r="M165"/>
  <c r="N163"/>
  <c r="L165"/>
  <c r="M163"/>
  <c r="N164"/>
  <c r="L155"/>
  <c r="M156"/>
  <c r="N157"/>
  <c r="L156"/>
  <c r="M157"/>
  <c r="N155"/>
  <c r="L157"/>
  <c r="M155"/>
  <c r="N156"/>
  <c r="L147"/>
  <c r="M148"/>
  <c r="N149"/>
  <c r="L148"/>
  <c r="M149"/>
  <c r="N147"/>
  <c r="L149"/>
  <c r="M147"/>
  <c r="N148"/>
  <c r="L139"/>
  <c r="M140"/>
  <c r="N141"/>
  <c r="L140"/>
  <c r="M141"/>
  <c r="N139"/>
  <c r="L141"/>
  <c r="M139"/>
  <c r="N140"/>
  <c r="L131"/>
  <c r="M132"/>
  <c r="N133"/>
  <c r="L132"/>
  <c r="M133"/>
  <c r="N131"/>
  <c r="L133"/>
  <c r="M131"/>
  <c r="N132"/>
  <c r="L123"/>
  <c r="M124"/>
  <c r="N125"/>
  <c r="L124"/>
  <c r="M125"/>
  <c r="N123"/>
  <c r="L125"/>
  <c r="M123"/>
  <c r="N124"/>
  <c r="L115"/>
  <c r="M116"/>
  <c r="N117"/>
  <c r="L116"/>
  <c r="M117"/>
  <c r="N115"/>
  <c r="L117"/>
  <c r="M115"/>
  <c r="N116"/>
  <c r="L107"/>
  <c r="M108"/>
  <c r="N109"/>
  <c r="L108"/>
  <c r="M109"/>
  <c r="N107"/>
  <c r="L109"/>
  <c r="M107"/>
  <c r="N108"/>
  <c r="L99"/>
  <c r="M100"/>
  <c r="N101"/>
  <c r="L100"/>
  <c r="M101"/>
  <c r="N99"/>
  <c r="L101"/>
  <c r="M99"/>
  <c r="N100"/>
  <c r="L91"/>
  <c r="M92"/>
  <c r="N93"/>
  <c r="L92"/>
  <c r="M93"/>
  <c r="N91"/>
  <c r="L93"/>
  <c r="M91"/>
  <c r="N92"/>
  <c r="L83"/>
  <c r="M84"/>
  <c r="N85"/>
  <c r="L84"/>
  <c r="M85"/>
  <c r="N83"/>
  <c r="L85"/>
  <c r="M83"/>
  <c r="N84"/>
  <c r="L75"/>
  <c r="M76"/>
  <c r="N77"/>
  <c r="L76"/>
  <c r="M77"/>
  <c r="N75"/>
  <c r="L77"/>
  <c r="M75"/>
  <c r="N76"/>
  <c r="L67"/>
  <c r="M68"/>
  <c r="N69"/>
  <c r="L68"/>
  <c r="M69"/>
  <c r="N67"/>
  <c r="L69"/>
  <c r="M67"/>
  <c r="N68"/>
  <c r="L59"/>
  <c r="M60"/>
  <c r="N61"/>
  <c r="L60"/>
  <c r="M61"/>
  <c r="N59"/>
  <c r="L61"/>
  <c r="M59"/>
  <c r="N60"/>
  <c r="L51"/>
  <c r="M52"/>
  <c r="N53"/>
  <c r="L52"/>
  <c r="M53"/>
  <c r="N51"/>
  <c r="L53"/>
  <c r="M51"/>
  <c r="N52"/>
  <c r="L43"/>
  <c r="M44"/>
  <c r="N45"/>
  <c r="L44"/>
  <c r="M45"/>
  <c r="N43"/>
  <c r="L45"/>
  <c r="M43"/>
  <c r="N44"/>
  <c r="L35"/>
  <c r="M36"/>
  <c r="N37"/>
  <c r="L36"/>
  <c r="M37"/>
  <c r="N35"/>
  <c r="L37"/>
  <c r="M35"/>
  <c r="N36"/>
  <c r="L27"/>
  <c r="M28"/>
  <c r="N29"/>
  <c r="L28"/>
  <c r="M29"/>
  <c r="N27"/>
  <c r="L29"/>
  <c r="M27"/>
  <c r="N28"/>
  <c r="L19"/>
  <c r="M20"/>
  <c r="N21"/>
  <c r="L20"/>
  <c r="M21"/>
  <c r="N19"/>
  <c r="L21"/>
  <c r="M19"/>
  <c r="N20"/>
  <c r="L11"/>
  <c r="M12"/>
  <c r="N13"/>
  <c r="L12"/>
  <c r="M13"/>
  <c r="N11"/>
  <c r="L13"/>
  <c r="M11"/>
  <c r="N12"/>
  <c r="N3"/>
  <c r="L5"/>
  <c r="M3"/>
  <c r="N4"/>
  <c r="M4"/>
  <c r="L4"/>
  <c r="M5"/>
  <c r="L3"/>
  <c r="N5"/>
  <c r="E12" i="20" l="1"/>
  <c r="E14"/>
  <c r="E13"/>
  <c r="E15"/>
  <c r="E16"/>
  <c r="E17"/>
  <c r="E18"/>
  <c r="D18"/>
  <c r="D17"/>
  <c r="D16"/>
  <c r="D15"/>
  <c r="D14"/>
  <c r="D13"/>
  <c r="C123"/>
  <c r="D123"/>
  <c r="E123"/>
  <c r="F123"/>
  <c r="G123"/>
  <c r="H123"/>
  <c r="I123"/>
  <c r="J5" i="23"/>
  <c r="I4"/>
  <c r="H3"/>
  <c r="F4"/>
  <c r="G5"/>
  <c r="E3"/>
  <c r="E23"/>
  <c r="H23"/>
  <c r="F24"/>
  <c r="I24"/>
  <c r="G25"/>
  <c r="J25"/>
  <c r="E27"/>
  <c r="H27"/>
  <c r="F28"/>
  <c r="I28"/>
  <c r="G29"/>
  <c r="J29"/>
  <c r="E31"/>
  <c r="H31"/>
  <c r="F32"/>
  <c r="I32"/>
  <c r="G33"/>
  <c r="J33"/>
  <c r="E35"/>
  <c r="H35"/>
  <c r="F36"/>
  <c r="I36"/>
  <c r="G37"/>
  <c r="J37"/>
  <c r="E39"/>
  <c r="H39"/>
  <c r="F40"/>
  <c r="I40"/>
  <c r="G41"/>
  <c r="J41"/>
  <c r="E43"/>
  <c r="H43"/>
  <c r="F44"/>
  <c r="I44"/>
  <c r="G45"/>
  <c r="J45"/>
  <c r="E47"/>
  <c r="H47"/>
  <c r="F48"/>
  <c r="I48"/>
  <c r="G49"/>
  <c r="J49"/>
  <c r="E51"/>
  <c r="H51"/>
  <c r="F52"/>
  <c r="I52"/>
  <c r="G53"/>
  <c r="J53"/>
  <c r="E55"/>
  <c r="H55"/>
  <c r="F56"/>
  <c r="I56"/>
  <c r="G57"/>
  <c r="J57"/>
  <c r="E59"/>
  <c r="H59"/>
  <c r="F60"/>
  <c r="I60"/>
  <c r="G61"/>
  <c r="J61"/>
  <c r="E63"/>
  <c r="H63"/>
  <c r="F64"/>
  <c r="I64"/>
  <c r="G65"/>
  <c r="J65"/>
  <c r="E67"/>
  <c r="H67"/>
  <c r="F68"/>
  <c r="I68"/>
  <c r="G69"/>
  <c r="J69"/>
  <c r="E71"/>
  <c r="H71"/>
  <c r="F72"/>
  <c r="I72"/>
  <c r="G73"/>
  <c r="J73"/>
  <c r="E75"/>
  <c r="H75"/>
  <c r="F76"/>
  <c r="I76"/>
  <c r="G77"/>
  <c r="J77"/>
  <c r="E79"/>
  <c r="H79"/>
  <c r="F80"/>
  <c r="I80"/>
  <c r="G81"/>
  <c r="J81"/>
  <c r="E83"/>
  <c r="H83"/>
  <c r="F84"/>
  <c r="I84"/>
  <c r="G85"/>
  <c r="J85"/>
  <c r="E87"/>
  <c r="H87"/>
  <c r="F88"/>
  <c r="I88"/>
  <c r="G89"/>
  <c r="J89"/>
  <c r="E91"/>
  <c r="H91"/>
  <c r="F92"/>
  <c r="I92"/>
  <c r="G93"/>
  <c r="J93"/>
  <c r="E95"/>
  <c r="H95"/>
  <c r="F96"/>
  <c r="I96"/>
  <c r="G97"/>
  <c r="J97"/>
  <c r="E99"/>
  <c r="H99"/>
  <c r="F100"/>
  <c r="I100"/>
  <c r="G101"/>
  <c r="J101"/>
  <c r="E103"/>
  <c r="H103"/>
  <c r="F104"/>
  <c r="I104"/>
  <c r="G105"/>
  <c r="J105"/>
  <c r="E107"/>
  <c r="H107"/>
  <c r="F108"/>
  <c r="I108"/>
  <c r="G109"/>
  <c r="J109"/>
  <c r="E111"/>
  <c r="H111"/>
  <c r="F112"/>
  <c r="I112"/>
  <c r="G113"/>
  <c r="J113"/>
  <c r="E115"/>
  <c r="H115"/>
  <c r="F116"/>
  <c r="I116"/>
  <c r="G117"/>
  <c r="J117"/>
  <c r="E119"/>
  <c r="H119"/>
  <c r="F120"/>
  <c r="I120"/>
  <c r="G121"/>
  <c r="J121"/>
  <c r="E123"/>
  <c r="H123"/>
  <c r="F124"/>
  <c r="I124"/>
  <c r="G125"/>
  <c r="J125"/>
  <c r="E127"/>
  <c r="H127"/>
  <c r="F128"/>
  <c r="I128"/>
  <c r="G129"/>
  <c r="J129"/>
  <c r="E131"/>
  <c r="H131"/>
  <c r="F132"/>
  <c r="I132"/>
  <c r="G133"/>
  <c r="J133"/>
  <c r="E135"/>
  <c r="H135"/>
  <c r="F136"/>
  <c r="I136"/>
  <c r="G137"/>
  <c r="J137"/>
  <c r="E139"/>
  <c r="H139"/>
  <c r="F140"/>
  <c r="I140"/>
  <c r="G141"/>
  <c r="J141"/>
  <c r="E143"/>
  <c r="H143"/>
  <c r="F144"/>
  <c r="I144"/>
  <c r="G145"/>
  <c r="J145"/>
  <c r="E147"/>
  <c r="H147"/>
  <c r="F148"/>
  <c r="I148"/>
  <c r="G149"/>
  <c r="J149"/>
  <c r="E151"/>
  <c r="H151"/>
  <c r="F152"/>
  <c r="I152"/>
  <c r="G153"/>
  <c r="J153"/>
  <c r="E155"/>
  <c r="H155"/>
  <c r="F156"/>
  <c r="I156"/>
  <c r="G157"/>
  <c r="J157"/>
  <c r="E159"/>
  <c r="H159"/>
  <c r="F160"/>
  <c r="I160"/>
  <c r="G161"/>
  <c r="J161"/>
  <c r="E163"/>
  <c r="H163"/>
  <c r="F164"/>
  <c r="I164"/>
  <c r="G165"/>
  <c r="J165"/>
  <c r="E167"/>
  <c r="H167"/>
  <c r="F168"/>
  <c r="I168"/>
  <c r="G169"/>
  <c r="J169"/>
  <c r="E171"/>
  <c r="H171"/>
  <c r="F172"/>
  <c r="I172"/>
  <c r="G173"/>
  <c r="J173"/>
  <c r="E175"/>
  <c r="H175"/>
  <c r="F176"/>
  <c r="I176"/>
  <c r="G177"/>
  <c r="J177"/>
  <c r="E179"/>
  <c r="H179"/>
  <c r="F180"/>
  <c r="I180"/>
  <c r="G181"/>
  <c r="J181"/>
  <c r="E183"/>
  <c r="H183"/>
  <c r="F184"/>
  <c r="I184"/>
  <c r="G185"/>
  <c r="J185"/>
  <c r="E187"/>
  <c r="H187"/>
  <c r="F188"/>
  <c r="I188"/>
  <c r="G189"/>
  <c r="J189"/>
  <c r="E191"/>
  <c r="H191"/>
  <c r="F192"/>
  <c r="I192"/>
  <c r="G193"/>
  <c r="J193"/>
  <c r="E195"/>
  <c r="H195"/>
  <c r="F196"/>
  <c r="I196"/>
  <c r="G197"/>
  <c r="J197"/>
  <c r="E199"/>
  <c r="H199"/>
  <c r="F200"/>
  <c r="I200"/>
  <c r="G201"/>
  <c r="J201"/>
  <c r="E203"/>
  <c r="H203"/>
  <c r="F204"/>
  <c r="I204"/>
  <c r="G205"/>
  <c r="J205"/>
  <c r="E207"/>
  <c r="H207"/>
  <c r="F208"/>
  <c r="I208"/>
  <c r="G209"/>
  <c r="J209"/>
  <c r="E211"/>
  <c r="H211"/>
  <c r="F212"/>
  <c r="I212"/>
  <c r="G213"/>
  <c r="J213"/>
  <c r="E215"/>
  <c r="H215"/>
  <c r="F216"/>
  <c r="I216"/>
  <c r="G217"/>
  <c r="J217"/>
  <c r="E219"/>
  <c r="H219"/>
  <c r="F220"/>
  <c r="I220"/>
  <c r="G221"/>
  <c r="J221"/>
  <c r="E223"/>
  <c r="H223"/>
  <c r="F224"/>
  <c r="I224"/>
  <c r="G225"/>
  <c r="J225"/>
  <c r="E227"/>
  <c r="H227"/>
  <c r="F228"/>
  <c r="I228"/>
  <c r="G229"/>
  <c r="J229"/>
  <c r="E231"/>
  <c r="H231"/>
  <c r="F232"/>
  <c r="I232"/>
  <c r="G233"/>
  <c r="J233"/>
  <c r="E235"/>
  <c r="H235"/>
  <c r="F236"/>
  <c r="I236"/>
  <c r="G237"/>
  <c r="J237"/>
  <c r="E239"/>
  <c r="H239"/>
  <c r="F240"/>
  <c r="I240"/>
  <c r="G241"/>
  <c r="J241"/>
  <c r="E243"/>
  <c r="H243"/>
  <c r="F244"/>
  <c r="I244"/>
  <c r="G245"/>
  <c r="J245"/>
  <c r="E247"/>
  <c r="H247"/>
  <c r="F248"/>
  <c r="I248"/>
  <c r="G249"/>
  <c r="J249"/>
  <c r="E251"/>
  <c r="H251"/>
  <c r="F252"/>
  <c r="I252"/>
  <c r="G253"/>
  <c r="J253"/>
  <c r="E255"/>
  <c r="H255"/>
  <c r="F256"/>
  <c r="I256"/>
  <c r="G257"/>
  <c r="J257"/>
  <c r="E259"/>
  <c r="H259"/>
  <c r="F260"/>
  <c r="I260"/>
  <c r="G261"/>
  <c r="J261"/>
  <c r="E263"/>
  <c r="H263"/>
  <c r="F264"/>
  <c r="I264"/>
  <c r="G265"/>
  <c r="J265"/>
  <c r="E267"/>
  <c r="H267"/>
  <c r="F268"/>
  <c r="I268"/>
  <c r="G269"/>
  <c r="J269"/>
  <c r="E271"/>
  <c r="H271"/>
  <c r="F272"/>
  <c r="I272"/>
  <c r="G273"/>
  <c r="J273"/>
  <c r="E275"/>
  <c r="H275"/>
  <c r="F276"/>
  <c r="I276"/>
  <c r="G277"/>
  <c r="J277"/>
  <c r="E279"/>
  <c r="H279"/>
  <c r="F280"/>
  <c r="I280"/>
  <c r="G281"/>
  <c r="J281"/>
  <c r="E283"/>
  <c r="H283"/>
  <c r="F284"/>
  <c r="I284"/>
  <c r="G285"/>
  <c r="J285"/>
  <c r="E287"/>
  <c r="H287"/>
  <c r="F288"/>
  <c r="I288"/>
  <c r="G289"/>
  <c r="J289"/>
  <c r="E291"/>
  <c r="H291"/>
  <c r="F292"/>
  <c r="I292"/>
  <c r="G293"/>
  <c r="J293"/>
  <c r="E295"/>
  <c r="H295"/>
  <c r="F296"/>
  <c r="I296"/>
  <c r="G297"/>
  <c r="J297"/>
  <c r="E299"/>
  <c r="H299"/>
  <c r="F300"/>
  <c r="I300"/>
  <c r="G301"/>
  <c r="J301"/>
  <c r="E303"/>
  <c r="H303"/>
  <c r="F304"/>
  <c r="I304"/>
  <c r="G305"/>
  <c r="J305"/>
  <c r="E307"/>
  <c r="H307"/>
  <c r="F308"/>
  <c r="I308"/>
  <c r="G309"/>
  <c r="J309"/>
  <c r="E311"/>
  <c r="H311"/>
  <c r="F312"/>
  <c r="I312"/>
  <c r="G313"/>
  <c r="J313"/>
  <c r="E315"/>
  <c r="H315"/>
  <c r="F316"/>
  <c r="I316"/>
  <c r="G317"/>
  <c r="J317"/>
  <c r="E319"/>
  <c r="H319"/>
  <c r="F320"/>
  <c r="I320"/>
  <c r="G321"/>
  <c r="J321"/>
  <c r="E323"/>
  <c r="H323"/>
  <c r="F324"/>
  <c r="I324"/>
  <c r="G325"/>
  <c r="J325"/>
  <c r="E327"/>
  <c r="H327"/>
  <c r="F328"/>
  <c r="I328"/>
  <c r="G329"/>
  <c r="J329"/>
  <c r="E331"/>
  <c r="H331"/>
  <c r="F332"/>
  <c r="I332"/>
  <c r="G333"/>
  <c r="J333"/>
  <c r="E335"/>
  <c r="H335"/>
  <c r="F336"/>
  <c r="I336"/>
  <c r="G337"/>
  <c r="J337"/>
  <c r="E339"/>
  <c r="H339"/>
  <c r="F340"/>
  <c r="I340"/>
  <c r="G341"/>
  <c r="J341"/>
  <c r="E343"/>
  <c r="H343"/>
  <c r="F344"/>
  <c r="I344"/>
  <c r="G345"/>
  <c r="J345"/>
  <c r="E347"/>
  <c r="H347"/>
  <c r="F348"/>
  <c r="I348"/>
  <c r="G349"/>
  <c r="J349"/>
  <c r="E351"/>
  <c r="H351"/>
  <c r="F352"/>
  <c r="I352"/>
  <c r="G353"/>
  <c r="J353"/>
  <c r="E355"/>
  <c r="H355"/>
  <c r="F356"/>
  <c r="I356"/>
  <c r="G357"/>
  <c r="J357"/>
  <c r="E359"/>
  <c r="H359"/>
  <c r="F360"/>
  <c r="I360"/>
  <c r="G361"/>
  <c r="J361"/>
  <c r="E363"/>
  <c r="H363"/>
  <c r="F364"/>
  <c r="I364"/>
  <c r="G365"/>
  <c r="J365"/>
  <c r="E367"/>
  <c r="H367"/>
  <c r="F368"/>
  <c r="I368"/>
  <c r="G369"/>
  <c r="J369"/>
  <c r="E371"/>
  <c r="H371"/>
  <c r="F372"/>
  <c r="I372"/>
  <c r="G373"/>
  <c r="J373"/>
  <c r="E375"/>
  <c r="H375"/>
  <c r="F376"/>
  <c r="I376"/>
  <c r="G377"/>
  <c r="J377"/>
  <c r="E379"/>
  <c r="H379"/>
  <c r="F380"/>
  <c r="I380"/>
  <c r="G381"/>
  <c r="J381"/>
  <c r="E383"/>
  <c r="H383"/>
  <c r="F384"/>
  <c r="I384"/>
  <c r="G385"/>
  <c r="J385"/>
  <c r="E387"/>
  <c r="H387"/>
  <c r="F388"/>
  <c r="I388"/>
  <c r="G389"/>
  <c r="J389"/>
  <c r="E391"/>
  <c r="H391"/>
  <c r="F392"/>
  <c r="I392"/>
  <c r="G393"/>
  <c r="J393"/>
  <c r="E395"/>
  <c r="H395"/>
  <c r="F396"/>
  <c r="I396"/>
  <c r="G397"/>
  <c r="J397"/>
  <c r="E399"/>
  <c r="H399"/>
  <c r="F400"/>
  <c r="I400"/>
  <c r="G401"/>
  <c r="J401"/>
  <c r="E403"/>
  <c r="H403"/>
  <c r="F404"/>
  <c r="I404"/>
  <c r="G405"/>
  <c r="J405"/>
  <c r="E407"/>
  <c r="H407"/>
  <c r="F408"/>
  <c r="I408"/>
  <c r="G409"/>
  <c r="J409"/>
  <c r="E411"/>
  <c r="H411"/>
  <c r="F412"/>
  <c r="I412"/>
  <c r="G413"/>
  <c r="J413"/>
  <c r="E415"/>
  <c r="H415"/>
  <c r="F416"/>
  <c r="I416"/>
  <c r="G417"/>
  <c r="J417"/>
  <c r="E419"/>
  <c r="H419"/>
  <c r="F420"/>
  <c r="I420"/>
  <c r="G421"/>
  <c r="J421"/>
  <c r="E423"/>
  <c r="H423"/>
  <c r="F424"/>
  <c r="I424"/>
  <c r="G425"/>
  <c r="J425"/>
  <c r="E427"/>
  <c r="H427"/>
  <c r="F428"/>
  <c r="I428"/>
  <c r="G429"/>
  <c r="J429"/>
  <c r="E431"/>
  <c r="H431"/>
  <c r="F432"/>
  <c r="I432"/>
  <c r="G433"/>
  <c r="J433"/>
  <c r="E435"/>
  <c r="H435"/>
  <c r="F436"/>
  <c r="I436"/>
  <c r="G437"/>
  <c r="J437"/>
  <c r="E439"/>
  <c r="H439"/>
  <c r="F440"/>
  <c r="I440"/>
  <c r="G441"/>
  <c r="J441"/>
  <c r="E443"/>
  <c r="H443"/>
  <c r="F444"/>
  <c r="I444"/>
  <c r="G445"/>
  <c r="J445"/>
  <c r="E447"/>
  <c r="H447"/>
  <c r="F448"/>
  <c r="I448"/>
  <c r="G449"/>
  <c r="J449"/>
  <c r="E451"/>
  <c r="H451"/>
  <c r="F452"/>
  <c r="I452"/>
  <c r="G453"/>
  <c r="J453"/>
  <c r="E455"/>
  <c r="H455"/>
  <c r="F456"/>
  <c r="I456"/>
  <c r="G457"/>
  <c r="J457"/>
  <c r="E459"/>
  <c r="H459"/>
  <c r="F460"/>
  <c r="I460"/>
  <c r="G461"/>
  <c r="J461"/>
  <c r="E463"/>
  <c r="H463"/>
  <c r="F464"/>
  <c r="I464"/>
  <c r="G465"/>
  <c r="J465"/>
  <c r="E467"/>
  <c r="H467"/>
  <c r="F468"/>
  <c r="I468"/>
  <c r="G469"/>
  <c r="J469"/>
  <c r="E471"/>
  <c r="H471"/>
  <c r="F472"/>
  <c r="I472"/>
  <c r="G473"/>
  <c r="J473"/>
  <c r="E475"/>
  <c r="H475"/>
  <c r="F476"/>
  <c r="I476"/>
  <c r="G477"/>
  <c r="J477"/>
  <c r="E479"/>
  <c r="H479"/>
  <c r="F480"/>
  <c r="I480"/>
  <c r="G481"/>
  <c r="J481"/>
  <c r="E483"/>
  <c r="H483"/>
  <c r="F484"/>
  <c r="I484"/>
  <c r="G485"/>
  <c r="J485"/>
  <c r="E487"/>
  <c r="H487"/>
  <c r="F488"/>
  <c r="I488"/>
  <c r="G489"/>
  <c r="J489"/>
  <c r="E491"/>
  <c r="H491"/>
  <c r="F492"/>
  <c r="I492"/>
  <c r="G493"/>
  <c r="J493"/>
  <c r="E495"/>
  <c r="H495"/>
  <c r="F496"/>
  <c r="I496"/>
  <c r="G497"/>
  <c r="J497"/>
  <c r="E499"/>
  <c r="H499"/>
  <c r="F500"/>
  <c r="I500"/>
  <c r="G501"/>
  <c r="J501"/>
  <c r="E503"/>
  <c r="H503"/>
  <c r="F504"/>
  <c r="I504"/>
  <c r="G505"/>
  <c r="J505"/>
  <c r="E507"/>
  <c r="H507"/>
  <c r="F508"/>
  <c r="I508"/>
  <c r="G509"/>
  <c r="J509"/>
  <c r="E511"/>
  <c r="H511"/>
  <c r="F512"/>
  <c r="I512"/>
  <c r="G513"/>
  <c r="J513"/>
  <c r="E515"/>
  <c r="H515"/>
  <c r="F516"/>
  <c r="I516"/>
  <c r="G517"/>
  <c r="J517"/>
  <c r="E519"/>
  <c r="H519"/>
  <c r="F520"/>
  <c r="I520"/>
  <c r="G521"/>
  <c r="J521"/>
  <c r="E523"/>
  <c r="H523"/>
  <c r="F524"/>
  <c r="I524"/>
  <c r="G525"/>
  <c r="J525"/>
  <c r="E527"/>
  <c r="H527"/>
  <c r="F528"/>
  <c r="I528"/>
  <c r="G529"/>
  <c r="J529"/>
  <c r="E531"/>
  <c r="H531"/>
  <c r="F532"/>
  <c r="I532"/>
  <c r="G533"/>
  <c r="J533"/>
  <c r="E535"/>
  <c r="H535"/>
  <c r="F536"/>
  <c r="I536"/>
  <c r="G537"/>
  <c r="J537"/>
  <c r="E539"/>
  <c r="H539"/>
  <c r="F540"/>
  <c r="I540"/>
  <c r="G541"/>
  <c r="J541"/>
  <c r="E543"/>
  <c r="H543"/>
  <c r="F544"/>
  <c r="I544"/>
  <c r="G545"/>
  <c r="J545"/>
  <c r="E547"/>
  <c r="H547"/>
  <c r="F548"/>
  <c r="I548"/>
  <c r="G549"/>
  <c r="J549"/>
  <c r="E551"/>
  <c r="H551"/>
  <c r="F552"/>
  <c r="I552"/>
  <c r="G553"/>
  <c r="J553"/>
  <c r="E555"/>
  <c r="H555"/>
  <c r="F556"/>
  <c r="I556"/>
  <c r="G557"/>
  <c r="J557"/>
  <c r="E559"/>
  <c r="H559"/>
  <c r="F560"/>
  <c r="I560"/>
  <c r="G561"/>
  <c r="J561"/>
  <c r="E563"/>
  <c r="H563"/>
  <c r="F564"/>
  <c r="I564"/>
  <c r="G565"/>
  <c r="J565"/>
  <c r="E567"/>
  <c r="H567"/>
  <c r="F568"/>
  <c r="I568"/>
  <c r="G569"/>
  <c r="J569"/>
  <c r="E571"/>
  <c r="H571"/>
  <c r="F572"/>
  <c r="I572"/>
  <c r="G573"/>
  <c r="J573"/>
  <c r="E575"/>
  <c r="H575"/>
  <c r="F576"/>
  <c r="I576"/>
  <c r="G577"/>
  <c r="J577"/>
  <c r="E579"/>
  <c r="H579"/>
  <c r="F580"/>
  <c r="I580"/>
  <c r="G581"/>
  <c r="J581"/>
  <c r="E583"/>
  <c r="H583"/>
  <c r="F584"/>
  <c r="I584"/>
  <c r="G585"/>
  <c r="J585"/>
  <c r="E587"/>
  <c r="H587"/>
  <c r="F588"/>
  <c r="I588"/>
  <c r="G589"/>
  <c r="J589"/>
  <c r="E591"/>
  <c r="H591"/>
  <c r="F592"/>
  <c r="I592"/>
  <c r="G593"/>
  <c r="J593"/>
  <c r="E595"/>
  <c r="H595"/>
  <c r="F596"/>
  <c r="I596"/>
  <c r="G597"/>
  <c r="J597"/>
  <c r="E599"/>
  <c r="H599"/>
  <c r="F600"/>
  <c r="I600"/>
  <c r="G601"/>
  <c r="J601"/>
  <c r="E603"/>
  <c r="H603"/>
  <c r="F604"/>
  <c r="I604"/>
  <c r="G605"/>
  <c r="J605"/>
  <c r="E607"/>
  <c r="H607"/>
  <c r="F608"/>
  <c r="I608"/>
  <c r="G609"/>
  <c r="J609"/>
  <c r="E611"/>
  <c r="H611"/>
  <c r="F612"/>
  <c r="I612"/>
  <c r="G613"/>
  <c r="J613"/>
  <c r="E615"/>
  <c r="H615"/>
  <c r="F616"/>
  <c r="I616"/>
  <c r="G617"/>
  <c r="J617"/>
  <c r="E619"/>
  <c r="H619"/>
  <c r="F620"/>
  <c r="I620"/>
  <c r="G621"/>
  <c r="J621"/>
  <c r="E623"/>
  <c r="H623"/>
  <c r="F624"/>
  <c r="I624"/>
  <c r="G625"/>
  <c r="J625"/>
  <c r="E627"/>
  <c r="H627"/>
  <c r="F628"/>
  <c r="I628"/>
  <c r="G629"/>
  <c r="J629"/>
  <c r="E631"/>
  <c r="H631"/>
  <c r="F632"/>
  <c r="I632"/>
  <c r="G633"/>
  <c r="J633"/>
  <c r="E635"/>
  <c r="H635"/>
  <c r="F636"/>
  <c r="I636"/>
  <c r="G637"/>
  <c r="J637"/>
  <c r="E639"/>
  <c r="H639"/>
  <c r="F640"/>
  <c r="I640"/>
  <c r="G641"/>
  <c r="J641"/>
  <c r="E643"/>
  <c r="H643"/>
  <c r="F644"/>
  <c r="I644"/>
  <c r="G645"/>
  <c r="J645"/>
  <c r="E647"/>
  <c r="H647"/>
  <c r="F648"/>
  <c r="I648"/>
  <c r="G649"/>
  <c r="J649"/>
  <c r="E651"/>
  <c r="H651"/>
  <c r="F652"/>
  <c r="I652"/>
  <c r="G653"/>
  <c r="J653"/>
  <c r="E655"/>
  <c r="H655"/>
  <c r="F656"/>
  <c r="I656"/>
  <c r="G657"/>
  <c r="J657"/>
  <c r="E659"/>
  <c r="H659"/>
  <c r="F660"/>
  <c r="I660"/>
  <c r="G661"/>
  <c r="J661"/>
  <c r="E663"/>
  <c r="H663"/>
  <c r="F664"/>
  <c r="I664"/>
  <c r="G665"/>
  <c r="J665"/>
  <c r="E667"/>
  <c r="H667"/>
  <c r="F668"/>
  <c r="I668"/>
  <c r="G669"/>
  <c r="J669"/>
  <c r="E671"/>
  <c r="H671"/>
  <c r="F672"/>
  <c r="I672"/>
  <c r="G673"/>
  <c r="J673"/>
  <c r="E675"/>
  <c r="H675"/>
  <c r="F676"/>
  <c r="I676"/>
  <c r="G677"/>
  <c r="J677"/>
  <c r="E679"/>
  <c r="H679"/>
  <c r="F680"/>
  <c r="I680"/>
  <c r="G681"/>
  <c r="J681"/>
  <c r="E683"/>
  <c r="H683"/>
  <c r="F684"/>
  <c r="I684"/>
  <c r="G685"/>
  <c r="J685"/>
  <c r="E687"/>
  <c r="H687"/>
  <c r="F688"/>
  <c r="I688"/>
  <c r="G689"/>
  <c r="J689"/>
  <c r="E691"/>
  <c r="H691"/>
  <c r="F692"/>
  <c r="I692"/>
  <c r="G693"/>
  <c r="J693"/>
  <c r="E695"/>
  <c r="H695"/>
  <c r="F696"/>
  <c r="I696"/>
  <c r="G697"/>
  <c r="J697"/>
  <c r="E699"/>
  <c r="H699"/>
  <c r="F700"/>
  <c r="I700"/>
  <c r="G701"/>
  <c r="J701"/>
  <c r="E703"/>
  <c r="H703"/>
  <c r="F704"/>
  <c r="I704"/>
  <c r="G705"/>
  <c r="J705"/>
  <c r="E707"/>
  <c r="H707"/>
  <c r="F708"/>
  <c r="I708"/>
  <c r="G709"/>
  <c r="J709"/>
  <c r="E711"/>
  <c r="H711"/>
  <c r="F712"/>
  <c r="I712"/>
  <c r="G713"/>
  <c r="J713"/>
  <c r="E715"/>
  <c r="H715"/>
  <c r="F716"/>
  <c r="I716"/>
  <c r="G717"/>
  <c r="J717"/>
  <c r="E719"/>
  <c r="H719"/>
  <c r="F720"/>
  <c r="I720"/>
  <c r="G721"/>
  <c r="J721"/>
  <c r="E723"/>
  <c r="H723"/>
  <c r="F724"/>
  <c r="I724"/>
  <c r="G725"/>
  <c r="J725"/>
  <c r="E727"/>
  <c r="H727"/>
  <c r="F728"/>
  <c r="I728"/>
  <c r="G729"/>
  <c r="J729"/>
  <c r="E731"/>
  <c r="H731"/>
  <c r="F732"/>
  <c r="I732"/>
  <c r="G733"/>
  <c r="J733"/>
  <c r="E735"/>
  <c r="H735"/>
  <c r="F736"/>
  <c r="I736"/>
  <c r="G737"/>
  <c r="J737"/>
  <c r="E739"/>
  <c r="H739"/>
  <c r="F740"/>
  <c r="I740"/>
  <c r="G741"/>
  <c r="J741"/>
  <c r="E743"/>
  <c r="H743"/>
  <c r="F744"/>
  <c r="I744"/>
  <c r="G745"/>
  <c r="J745"/>
  <c r="E747"/>
  <c r="H747"/>
  <c r="F748"/>
  <c r="I748"/>
  <c r="G749"/>
  <c r="J749"/>
  <c r="E751"/>
  <c r="H751"/>
  <c r="F752"/>
  <c r="I752"/>
  <c r="G753"/>
  <c r="J753"/>
  <c r="E755"/>
  <c r="H755"/>
  <c r="F756"/>
  <c r="I756"/>
  <c r="G757"/>
  <c r="J757"/>
  <c r="E759"/>
  <c r="H759"/>
  <c r="F760"/>
  <c r="I760"/>
  <c r="G761"/>
  <c r="J761"/>
  <c r="E763"/>
  <c r="H763"/>
  <c r="F764"/>
  <c r="I764"/>
  <c r="G765"/>
  <c r="J765"/>
  <c r="E767"/>
  <c r="H767"/>
  <c r="F768"/>
  <c r="I768"/>
  <c r="G769"/>
  <c r="J769"/>
  <c r="E771"/>
  <c r="H771"/>
  <c r="F772"/>
  <c r="I772"/>
  <c r="G773"/>
  <c r="J773"/>
  <c r="E775"/>
  <c r="H775"/>
  <c r="F776"/>
  <c r="I776"/>
  <c r="G777"/>
  <c r="J777"/>
  <c r="E779"/>
  <c r="H779"/>
  <c r="F780"/>
  <c r="I780"/>
  <c r="G781"/>
  <c r="J781"/>
  <c r="E783"/>
  <c r="H783"/>
  <c r="F784"/>
  <c r="I784"/>
  <c r="G785"/>
  <c r="J785"/>
  <c r="E787"/>
  <c r="H787"/>
  <c r="F788"/>
  <c r="I788"/>
  <c r="G789"/>
  <c r="J789"/>
  <c r="E791"/>
  <c r="H791"/>
  <c r="F792"/>
  <c r="I792"/>
  <c r="G793"/>
  <c r="J793"/>
  <c r="E795"/>
  <c r="H795"/>
  <c r="F796"/>
  <c r="I796"/>
  <c r="G797"/>
  <c r="J797"/>
  <c r="E799"/>
  <c r="H799"/>
  <c r="F800"/>
  <c r="I800"/>
  <c r="G801"/>
  <c r="J801"/>
  <c r="E803"/>
  <c r="H803"/>
  <c r="F804"/>
  <c r="I804"/>
  <c r="G805"/>
  <c r="J805"/>
  <c r="E807"/>
  <c r="H807"/>
  <c r="F808"/>
  <c r="I808"/>
  <c r="G809"/>
  <c r="J809"/>
  <c r="E811"/>
  <c r="H811"/>
  <c r="F812"/>
  <c r="I812"/>
  <c r="G813"/>
  <c r="J813"/>
  <c r="E815"/>
  <c r="H815"/>
  <c r="F816"/>
  <c r="I816"/>
  <c r="G817"/>
  <c r="J817"/>
  <c r="E819"/>
  <c r="H819"/>
  <c r="F820"/>
  <c r="I820"/>
  <c r="G821"/>
  <c r="J821"/>
  <c r="E823"/>
  <c r="H823"/>
  <c r="F824"/>
  <c r="I824"/>
  <c r="G825"/>
  <c r="J825"/>
  <c r="E827"/>
  <c r="H827"/>
  <c r="F828"/>
  <c r="I828"/>
  <c r="G829"/>
  <c r="J829"/>
  <c r="E831"/>
  <c r="H831"/>
  <c r="F832"/>
  <c r="I832"/>
  <c r="G833"/>
  <c r="J833"/>
  <c r="E835"/>
  <c r="H835"/>
  <c r="F836"/>
  <c r="I836"/>
  <c r="G837"/>
  <c r="J837"/>
  <c r="E839"/>
  <c r="H839"/>
  <c r="F840"/>
  <c r="I840"/>
  <c r="G841"/>
  <c r="J841"/>
  <c r="E843"/>
  <c r="H843"/>
  <c r="F844"/>
  <c r="I844"/>
  <c r="G845"/>
  <c r="J845"/>
  <c r="E847"/>
  <c r="H847"/>
  <c r="F848"/>
  <c r="I848"/>
  <c r="G849"/>
  <c r="J849"/>
  <c r="E851"/>
  <c r="H851"/>
  <c r="F852"/>
  <c r="I852"/>
  <c r="G853"/>
  <c r="J853"/>
  <c r="E855"/>
  <c r="H855"/>
  <c r="F856"/>
  <c r="I856"/>
  <c r="G857"/>
  <c r="J857"/>
  <c r="E859"/>
  <c r="H859"/>
  <c r="F860"/>
  <c r="I860"/>
  <c r="G861"/>
  <c r="J861"/>
  <c r="E863"/>
  <c r="H863"/>
  <c r="F864"/>
  <c r="I864"/>
  <c r="G865"/>
  <c r="J865"/>
  <c r="E867"/>
  <c r="H867"/>
  <c r="F868"/>
  <c r="I868"/>
  <c r="G869"/>
  <c r="J869"/>
  <c r="E871"/>
  <c r="H871"/>
  <c r="F872"/>
  <c r="I872"/>
  <c r="G873"/>
  <c r="J873"/>
  <c r="E875"/>
  <c r="H875"/>
  <c r="F876"/>
  <c r="I876"/>
  <c r="G877"/>
  <c r="J877"/>
  <c r="E879"/>
  <c r="H879"/>
  <c r="F880"/>
  <c r="I880"/>
  <c r="G881"/>
  <c r="J881"/>
  <c r="E883"/>
  <c r="H883"/>
  <c r="F884"/>
  <c r="I884"/>
  <c r="G885"/>
  <c r="J885"/>
  <c r="E887"/>
  <c r="H887"/>
  <c r="F888"/>
  <c r="I888"/>
  <c r="G889"/>
  <c r="J889"/>
  <c r="E891"/>
  <c r="H891"/>
  <c r="F892"/>
  <c r="I892"/>
  <c r="G893"/>
  <c r="J893"/>
  <c r="E895"/>
  <c r="H895"/>
  <c r="F896"/>
  <c r="I896"/>
  <c r="G897"/>
  <c r="J897"/>
  <c r="E899"/>
  <c r="H899"/>
  <c r="F900"/>
  <c r="I900"/>
  <c r="G901"/>
  <c r="J901"/>
  <c r="E903"/>
  <c r="H903"/>
  <c r="F904"/>
  <c r="I904"/>
  <c r="G905"/>
  <c r="J905"/>
  <c r="E907"/>
  <c r="H907"/>
  <c r="F908"/>
  <c r="I908"/>
  <c r="G909"/>
  <c r="J909"/>
  <c r="E911"/>
  <c r="H911"/>
  <c r="F912"/>
  <c r="I912"/>
  <c r="G913"/>
  <c r="J913"/>
  <c r="E915"/>
  <c r="H915"/>
  <c r="F916"/>
  <c r="I916"/>
  <c r="G917"/>
  <c r="J917"/>
  <c r="E919"/>
  <c r="H919"/>
  <c r="F920"/>
  <c r="I920"/>
  <c r="G921"/>
  <c r="J921"/>
  <c r="E923"/>
  <c r="H923"/>
  <c r="F924"/>
  <c r="I924"/>
  <c r="G925"/>
  <c r="J925"/>
  <c r="E927"/>
  <c r="H927"/>
  <c r="F928"/>
  <c r="I928"/>
  <c r="G929"/>
  <c r="J929"/>
  <c r="E931"/>
  <c r="H931"/>
  <c r="F932"/>
  <c r="I932"/>
  <c r="G933"/>
  <c r="J933"/>
  <c r="E935"/>
  <c r="H935"/>
  <c r="F936"/>
  <c r="I936"/>
  <c r="G937"/>
  <c r="J937"/>
  <c r="E939"/>
  <c r="H939"/>
  <c r="F940"/>
  <c r="I940"/>
  <c r="G941"/>
  <c r="J941"/>
  <c r="E943"/>
  <c r="H943"/>
  <c r="F944"/>
  <c r="I944"/>
  <c r="G945"/>
  <c r="J945"/>
  <c r="E947"/>
  <c r="H947"/>
  <c r="F948"/>
  <c r="I948"/>
  <c r="G949"/>
  <c r="J949"/>
  <c r="E951"/>
  <c r="H951"/>
  <c r="F952"/>
  <c r="I952"/>
  <c r="G953"/>
  <c r="J953"/>
  <c r="E955"/>
  <c r="H955"/>
  <c r="F956"/>
  <c r="I956"/>
  <c r="G957"/>
  <c r="J957"/>
  <c r="E959"/>
  <c r="H959"/>
  <c r="F960"/>
  <c r="I960"/>
  <c r="G961"/>
  <c r="J961"/>
  <c r="E963"/>
  <c r="H963"/>
  <c r="F964"/>
  <c r="I964"/>
  <c r="G965"/>
  <c r="J965"/>
  <c r="E967"/>
  <c r="H967"/>
  <c r="F968"/>
  <c r="I968"/>
  <c r="G969"/>
  <c r="J969"/>
  <c r="E971"/>
  <c r="H971"/>
  <c r="F972"/>
  <c r="I972"/>
  <c r="G973"/>
  <c r="J973"/>
  <c r="E975"/>
  <c r="H975"/>
  <c r="F976"/>
  <c r="I976"/>
  <c r="G977"/>
  <c r="J977"/>
  <c r="E979"/>
  <c r="H979"/>
  <c r="F980"/>
  <c r="I980"/>
  <c r="G981"/>
  <c r="J981"/>
  <c r="E983"/>
  <c r="H983"/>
  <c r="F984"/>
  <c r="I984"/>
  <c r="G985"/>
  <c r="J985"/>
  <c r="E987"/>
  <c r="H987"/>
  <c r="F988"/>
  <c r="I988"/>
  <c r="G989"/>
  <c r="J989"/>
  <c r="E991"/>
  <c r="H991"/>
  <c r="F992"/>
  <c r="I992"/>
  <c r="G993"/>
  <c r="J993"/>
  <c r="E995"/>
  <c r="H995"/>
  <c r="F996"/>
  <c r="I996"/>
  <c r="G997"/>
  <c r="J997"/>
  <c r="E999"/>
  <c r="H999"/>
  <c r="F1000"/>
  <c r="I1000"/>
  <c r="G1001"/>
  <c r="J1001"/>
  <c r="E1003"/>
  <c r="H1003"/>
  <c r="F1004"/>
  <c r="I1004"/>
  <c r="G1005"/>
  <c r="J1005"/>
  <c r="E1007"/>
  <c r="H1007"/>
  <c r="F1008"/>
  <c r="I1008"/>
  <c r="G1009"/>
  <c r="J1009"/>
  <c r="E1011"/>
  <c r="H1011"/>
  <c r="F1012"/>
  <c r="I1012"/>
  <c r="G1013"/>
  <c r="J1013"/>
  <c r="E1015"/>
  <c r="H1015"/>
  <c r="F1016"/>
  <c r="I1016"/>
  <c r="G1017"/>
  <c r="J1017"/>
  <c r="E1019"/>
  <c r="H1019"/>
  <c r="F1020"/>
  <c r="I1020"/>
  <c r="G1021"/>
  <c r="J1021"/>
  <c r="E1023"/>
  <c r="H1023"/>
  <c r="F1024"/>
  <c r="I1024"/>
  <c r="G1025"/>
  <c r="J1025"/>
  <c r="E1027"/>
  <c r="H1027"/>
  <c r="F1028"/>
  <c r="I1028"/>
  <c r="G1029"/>
  <c r="J1029"/>
  <c r="E1031"/>
  <c r="H1031"/>
  <c r="F1032"/>
  <c r="I1032"/>
  <c r="G1033"/>
  <c r="J1033"/>
  <c r="E1035"/>
  <c r="H1035"/>
  <c r="F1036"/>
  <c r="I1036"/>
  <c r="G1037"/>
  <c r="J1037"/>
  <c r="E1039"/>
  <c r="H1039"/>
  <c r="F1040"/>
  <c r="I1040"/>
  <c r="G1041"/>
  <c r="J1041"/>
  <c r="E1043"/>
  <c r="H1043"/>
  <c r="F1044"/>
  <c r="I1044"/>
  <c r="G1045"/>
  <c r="J1045"/>
  <c r="E1047"/>
  <c r="H1047"/>
  <c r="F1048"/>
  <c r="I1048"/>
  <c r="G1049"/>
  <c r="J1049"/>
  <c r="E1051"/>
  <c r="H1051"/>
  <c r="F1052"/>
  <c r="I1052"/>
  <c r="G1053"/>
  <c r="J1053"/>
  <c r="E1055"/>
  <c r="H1055"/>
  <c r="F1056"/>
  <c r="I1056"/>
  <c r="G1057"/>
  <c r="J1057"/>
  <c r="E1059"/>
  <c r="H1059"/>
  <c r="F1060"/>
  <c r="I1060"/>
  <c r="G1061"/>
  <c r="J1061"/>
  <c r="E1063"/>
  <c r="H1063"/>
  <c r="F1064"/>
  <c r="I1064"/>
  <c r="G1065"/>
  <c r="J1065"/>
  <c r="E1067"/>
  <c r="H1067"/>
  <c r="F1068"/>
  <c r="I1068"/>
  <c r="G1069"/>
  <c r="J1069"/>
  <c r="E1071"/>
  <c r="H1071"/>
  <c r="F1072"/>
  <c r="I1072"/>
  <c r="G1073"/>
  <c r="J1073"/>
  <c r="E1075"/>
  <c r="H1075"/>
  <c r="F1076"/>
  <c r="I1076"/>
  <c r="G1077"/>
  <c r="J1077"/>
  <c r="E1079"/>
  <c r="H1079"/>
  <c r="F1080"/>
  <c r="I1080"/>
  <c r="G1081"/>
  <c r="J1081"/>
  <c r="E1083"/>
  <c r="H1083"/>
  <c r="F1084"/>
  <c r="I1084"/>
  <c r="G1085"/>
  <c r="J1085"/>
  <c r="E1087"/>
  <c r="H1087"/>
  <c r="F1088"/>
  <c r="I1088"/>
  <c r="G1089"/>
  <c r="J1089"/>
  <c r="E1091"/>
  <c r="H1091"/>
  <c r="F1092"/>
  <c r="I1092"/>
  <c r="G1093"/>
  <c r="J1093"/>
  <c r="E1095"/>
  <c r="H1095"/>
  <c r="F1096"/>
  <c r="I1096"/>
  <c r="G1097"/>
  <c r="J1097"/>
  <c r="E1099"/>
  <c r="H1099"/>
  <c r="F1100"/>
  <c r="I1100"/>
  <c r="G1101"/>
  <c r="J1101"/>
  <c r="E1103"/>
  <c r="H1103"/>
  <c r="F1104"/>
  <c r="I1104"/>
  <c r="G1105"/>
  <c r="J1105"/>
  <c r="E1107"/>
  <c r="H1107"/>
  <c r="F1108"/>
  <c r="I1108"/>
  <c r="G1109"/>
  <c r="J1109"/>
  <c r="E1111"/>
  <c r="H1111"/>
  <c r="F1112"/>
  <c r="I1112"/>
  <c r="G1113"/>
  <c r="J1113"/>
  <c r="E1115"/>
  <c r="H1115"/>
  <c r="F1116"/>
  <c r="I1116"/>
  <c r="G1117"/>
  <c r="J1117"/>
  <c r="E1119"/>
  <c r="H1119"/>
  <c r="F1120"/>
  <c r="I1120"/>
  <c r="G1121"/>
  <c r="J1121"/>
  <c r="E11"/>
  <c r="H11"/>
  <c r="F12"/>
  <c r="I12"/>
  <c r="G13"/>
  <c r="J13"/>
  <c r="E15"/>
  <c r="H15"/>
  <c r="F16"/>
  <c r="I16"/>
  <c r="G17"/>
  <c r="J17"/>
  <c r="E19"/>
  <c r="H19"/>
  <c r="F20"/>
  <c r="I20"/>
  <c r="G21"/>
  <c r="J21"/>
  <c r="E7"/>
  <c r="H7"/>
  <c r="F8"/>
  <c r="I8"/>
  <c r="G9"/>
  <c r="J9"/>
  <c r="N13" i="22"/>
  <c r="N17"/>
  <c r="P275" i="23" l="1"/>
  <c r="R71" s="1"/>
  <c r="P211"/>
  <c r="R55" s="1"/>
  <c r="P115"/>
  <c r="R31" s="1"/>
  <c r="P1051"/>
  <c r="R265" s="1"/>
  <c r="P1003"/>
  <c r="R253" s="1"/>
  <c r="P939"/>
  <c r="R237" s="1"/>
  <c r="P875"/>
  <c r="R221" s="1"/>
  <c r="P811"/>
  <c r="R205" s="1"/>
  <c r="P743"/>
  <c r="R188" s="1"/>
  <c r="P1015"/>
  <c r="R256" s="1"/>
  <c r="P951"/>
  <c r="R240" s="1"/>
  <c r="P887"/>
  <c r="R224" s="1"/>
  <c r="P823"/>
  <c r="R208" s="1"/>
  <c r="P707"/>
  <c r="R179" s="1"/>
  <c r="P611"/>
  <c r="R155" s="1"/>
  <c r="P507"/>
  <c r="R129" s="1"/>
  <c r="P407"/>
  <c r="R104" s="1"/>
  <c r="P339"/>
  <c r="R87" s="1"/>
  <c r="P671"/>
  <c r="R170" s="1"/>
  <c r="P631"/>
  <c r="R160" s="1"/>
  <c r="P599"/>
  <c r="R152" s="1"/>
  <c r="P535"/>
  <c r="R136" s="1"/>
  <c r="P455"/>
  <c r="R116" s="1"/>
  <c r="P343"/>
  <c r="R88" s="1"/>
  <c r="P279"/>
  <c r="R72" s="1"/>
  <c r="P247"/>
  <c r="R64" s="1"/>
  <c r="P215"/>
  <c r="R56" s="1"/>
  <c r="P183"/>
  <c r="R48" s="1"/>
  <c r="P151"/>
  <c r="R40" s="1"/>
  <c r="P119"/>
  <c r="R32" s="1"/>
  <c r="P87"/>
  <c r="R24" s="1"/>
  <c r="P23"/>
  <c r="R8" s="1"/>
  <c r="P243"/>
  <c r="R63" s="1"/>
  <c r="P179"/>
  <c r="R47" s="1"/>
  <c r="P147"/>
  <c r="R39" s="1"/>
  <c r="P51"/>
  <c r="R15" s="1"/>
  <c r="P19"/>
  <c r="R7" s="1"/>
  <c r="P1115"/>
  <c r="R281" s="1"/>
  <c r="P1083"/>
  <c r="R273" s="1"/>
  <c r="P1055"/>
  <c r="R266" s="1"/>
  <c r="P1063"/>
  <c r="R268" s="1"/>
  <c r="P1019"/>
  <c r="R257" s="1"/>
  <c r="P971"/>
  <c r="R245" s="1"/>
  <c r="P907"/>
  <c r="R229" s="1"/>
  <c r="P843"/>
  <c r="R213" s="1"/>
  <c r="P779"/>
  <c r="R197" s="1"/>
  <c r="P675"/>
  <c r="R171" s="1"/>
  <c r="P771"/>
  <c r="R195" s="1"/>
  <c r="P663"/>
  <c r="R168" s="1"/>
  <c r="P523"/>
  <c r="R133" s="1"/>
  <c r="P983"/>
  <c r="R248" s="1"/>
  <c r="P919"/>
  <c r="R232" s="1"/>
  <c r="P855"/>
  <c r="R216" s="1"/>
  <c r="P791"/>
  <c r="R200" s="1"/>
  <c r="P651"/>
  <c r="R165" s="1"/>
  <c r="P595"/>
  <c r="R151" s="1"/>
  <c r="P571"/>
  <c r="R145" s="1"/>
  <c r="P567"/>
  <c r="R144" s="1"/>
  <c r="P487"/>
  <c r="R124" s="1"/>
  <c r="P423"/>
  <c r="R108" s="1"/>
  <c r="P491"/>
  <c r="R125" s="1"/>
  <c r="P459"/>
  <c r="R117" s="1"/>
  <c r="P427"/>
  <c r="R109" s="1"/>
  <c r="P375"/>
  <c r="R96" s="1"/>
  <c r="P311"/>
  <c r="R80" s="1"/>
  <c r="P55"/>
  <c r="R16" s="1"/>
  <c r="P83"/>
  <c r="R23" s="1"/>
  <c r="P403" l="1"/>
  <c r="R103" s="1"/>
  <c r="P347"/>
  <c r="R89" s="1"/>
  <c r="P27"/>
  <c r="R9" s="1"/>
  <c r="P59"/>
  <c r="R17" s="1"/>
  <c r="P91"/>
  <c r="R25" s="1"/>
  <c r="P123"/>
  <c r="R33" s="1"/>
  <c r="P155"/>
  <c r="R41" s="1"/>
  <c r="P187"/>
  <c r="R49" s="1"/>
  <c r="P219"/>
  <c r="R57" s="1"/>
  <c r="P251"/>
  <c r="R65" s="1"/>
  <c r="P283"/>
  <c r="R73" s="1"/>
  <c r="P31"/>
  <c r="R10" s="1"/>
  <c r="P63"/>
  <c r="R18" s="1"/>
  <c r="P95"/>
  <c r="R26" s="1"/>
  <c r="P127"/>
  <c r="R34" s="1"/>
  <c r="P159"/>
  <c r="R42" s="1"/>
  <c r="P191"/>
  <c r="R50" s="1"/>
  <c r="P223"/>
  <c r="R58" s="1"/>
  <c r="P255"/>
  <c r="R66" s="1"/>
  <c r="P287"/>
  <c r="R74" s="1"/>
  <c r="P319"/>
  <c r="R82" s="1"/>
  <c r="P351"/>
  <c r="R90" s="1"/>
  <c r="P383"/>
  <c r="R98" s="1"/>
  <c r="P435"/>
  <c r="R111" s="1"/>
  <c r="P467"/>
  <c r="R119" s="1"/>
  <c r="P499"/>
  <c r="R127" s="1"/>
  <c r="P299"/>
  <c r="R77" s="1"/>
  <c r="P363"/>
  <c r="R93" s="1"/>
  <c r="P415"/>
  <c r="R106" s="1"/>
  <c r="P431"/>
  <c r="R110" s="1"/>
  <c r="P463"/>
  <c r="R118" s="1"/>
  <c r="P495"/>
  <c r="R126" s="1"/>
  <c r="P511"/>
  <c r="R130" s="1"/>
  <c r="P543"/>
  <c r="R138" s="1"/>
  <c r="P575"/>
  <c r="R146" s="1"/>
  <c r="P607"/>
  <c r="R154" s="1"/>
  <c r="P639"/>
  <c r="R162" s="1"/>
  <c r="P291"/>
  <c r="R75" s="1"/>
  <c r="P355"/>
  <c r="R91" s="1"/>
  <c r="P603"/>
  <c r="R153" s="1"/>
  <c r="P687"/>
  <c r="R174" s="1"/>
  <c r="P751"/>
  <c r="R190" s="1"/>
  <c r="P755"/>
  <c r="R191" s="1"/>
  <c r="P627"/>
  <c r="R159" s="1"/>
  <c r="P667"/>
  <c r="R169" s="1"/>
  <c r="P699"/>
  <c r="R177" s="1"/>
  <c r="P763"/>
  <c r="R193" s="1"/>
  <c r="P799"/>
  <c r="R202" s="1"/>
  <c r="P831"/>
  <c r="R210" s="1"/>
  <c r="P863"/>
  <c r="R218" s="1"/>
  <c r="P895"/>
  <c r="R226" s="1"/>
  <c r="P927"/>
  <c r="R234" s="1"/>
  <c r="P959"/>
  <c r="R242" s="1"/>
  <c r="P991"/>
  <c r="R250" s="1"/>
  <c r="P555"/>
  <c r="R141" s="1"/>
  <c r="P679"/>
  <c r="R172" s="1"/>
  <c r="P735"/>
  <c r="R186" s="1"/>
  <c r="P515"/>
  <c r="R131" s="1"/>
  <c r="P691"/>
  <c r="R175" s="1"/>
  <c r="P715"/>
  <c r="R181" s="1"/>
  <c r="P787"/>
  <c r="R199" s="1"/>
  <c r="P819"/>
  <c r="R207" s="1"/>
  <c r="P851"/>
  <c r="R215" s="1"/>
  <c r="P883"/>
  <c r="R223" s="1"/>
  <c r="P915"/>
  <c r="R231" s="1"/>
  <c r="P947"/>
  <c r="R239" s="1"/>
  <c r="P979"/>
  <c r="R247" s="1"/>
  <c r="P1027"/>
  <c r="R259" s="1"/>
  <c r="P1059"/>
  <c r="R267" s="1"/>
  <c r="P1087"/>
  <c r="R274" s="1"/>
  <c r="P1091"/>
  <c r="R275" s="1"/>
  <c r="P1047"/>
  <c r="R264" s="1"/>
  <c r="P1111"/>
  <c r="R280" s="1"/>
  <c r="P727"/>
  <c r="R184" s="1"/>
  <c r="P11"/>
  <c r="R5" s="1"/>
  <c r="P43"/>
  <c r="R13" s="1"/>
  <c r="P75"/>
  <c r="R21" s="1"/>
  <c r="P107"/>
  <c r="R29" s="1"/>
  <c r="P139"/>
  <c r="R37" s="1"/>
  <c r="P171"/>
  <c r="R45" s="1"/>
  <c r="P203"/>
  <c r="R53" s="1"/>
  <c r="P235"/>
  <c r="R61" s="1"/>
  <c r="P267"/>
  <c r="R69" s="1"/>
  <c r="P15"/>
  <c r="R6" s="1"/>
  <c r="P47"/>
  <c r="R14" s="1"/>
  <c r="P79"/>
  <c r="R22" s="1"/>
  <c r="P111"/>
  <c r="R30" s="1"/>
  <c r="P143"/>
  <c r="R38" s="1"/>
  <c r="P175"/>
  <c r="R46" s="1"/>
  <c r="P207"/>
  <c r="R54" s="1"/>
  <c r="P239"/>
  <c r="R62" s="1"/>
  <c r="P271"/>
  <c r="R70" s="1"/>
  <c r="P303"/>
  <c r="R78" s="1"/>
  <c r="P335"/>
  <c r="R86" s="1"/>
  <c r="P367"/>
  <c r="R94" s="1"/>
  <c r="P399"/>
  <c r="R102" s="1"/>
  <c r="P419"/>
  <c r="R107" s="1"/>
  <c r="P451"/>
  <c r="R115" s="1"/>
  <c r="P483"/>
  <c r="R123" s="1"/>
  <c r="P331"/>
  <c r="R85" s="1"/>
  <c r="P395"/>
  <c r="R101" s="1"/>
  <c r="P447"/>
  <c r="R114" s="1"/>
  <c r="P479"/>
  <c r="R122" s="1"/>
  <c r="P527"/>
  <c r="R134" s="1"/>
  <c r="P559"/>
  <c r="R142" s="1"/>
  <c r="P591"/>
  <c r="R150" s="1"/>
  <c r="P623"/>
  <c r="R158" s="1"/>
  <c r="P323"/>
  <c r="R83" s="1"/>
  <c r="P387"/>
  <c r="R99" s="1"/>
  <c r="P539"/>
  <c r="R137" s="1"/>
  <c r="P655"/>
  <c r="R166" s="1"/>
  <c r="P719"/>
  <c r="R182" s="1"/>
  <c r="P723"/>
  <c r="R183" s="1"/>
  <c r="P563"/>
  <c r="R143" s="1"/>
  <c r="P731"/>
  <c r="R185" s="1"/>
  <c r="P783"/>
  <c r="R198" s="1"/>
  <c r="P815"/>
  <c r="R206" s="1"/>
  <c r="P847"/>
  <c r="R214" s="1"/>
  <c r="P879"/>
  <c r="R222" s="1"/>
  <c r="P911"/>
  <c r="R230" s="1"/>
  <c r="P943"/>
  <c r="R238" s="1"/>
  <c r="P975"/>
  <c r="R246" s="1"/>
  <c r="P1007"/>
  <c r="R254" s="1"/>
  <c r="P619"/>
  <c r="R157" s="1"/>
  <c r="P703"/>
  <c r="R178" s="1"/>
  <c r="P767"/>
  <c r="R194" s="1"/>
  <c r="P579"/>
  <c r="R147" s="1"/>
  <c r="P659"/>
  <c r="R167" s="1"/>
  <c r="P747"/>
  <c r="R189" s="1"/>
  <c r="P803"/>
  <c r="R203" s="1"/>
  <c r="P835"/>
  <c r="R211" s="1"/>
  <c r="P867"/>
  <c r="R219" s="1"/>
  <c r="P899"/>
  <c r="R227" s="1"/>
  <c r="P931"/>
  <c r="R235" s="1"/>
  <c r="P963"/>
  <c r="R243" s="1"/>
  <c r="P995"/>
  <c r="R251" s="1"/>
  <c r="P1011"/>
  <c r="R255" s="1"/>
  <c r="P1043"/>
  <c r="R263" s="1"/>
  <c r="P1075"/>
  <c r="R271" s="1"/>
  <c r="P1071"/>
  <c r="R270" s="1"/>
  <c r="P1119"/>
  <c r="R282" s="1"/>
  <c r="P1031"/>
  <c r="R260" s="1"/>
  <c r="P1095"/>
  <c r="R276" s="1"/>
  <c r="P1023"/>
  <c r="R258" s="1"/>
  <c r="P1107"/>
  <c r="R279" s="1"/>
  <c r="P35"/>
  <c r="R11" s="1"/>
  <c r="P67"/>
  <c r="R19" s="1"/>
  <c r="P99"/>
  <c r="R27" s="1"/>
  <c r="P131"/>
  <c r="R35" s="1"/>
  <c r="P163"/>
  <c r="R43" s="1"/>
  <c r="P195"/>
  <c r="R51" s="1"/>
  <c r="P227"/>
  <c r="R59" s="1"/>
  <c r="P259"/>
  <c r="R67" s="1"/>
  <c r="P7"/>
  <c r="R4" s="1"/>
  <c r="P39"/>
  <c r="R12" s="1"/>
  <c r="P71"/>
  <c r="R20" s="1"/>
  <c r="P103"/>
  <c r="R28" s="1"/>
  <c r="P135"/>
  <c r="R36" s="1"/>
  <c r="P167"/>
  <c r="R44" s="1"/>
  <c r="P199"/>
  <c r="R52" s="1"/>
  <c r="P231"/>
  <c r="R60" s="1"/>
  <c r="P263"/>
  <c r="R68" s="1"/>
  <c r="P295"/>
  <c r="R76" s="1"/>
  <c r="P327"/>
  <c r="R84" s="1"/>
  <c r="P359"/>
  <c r="R92" s="1"/>
  <c r="P391"/>
  <c r="R100" s="1"/>
  <c r="P443"/>
  <c r="R113" s="1"/>
  <c r="P475"/>
  <c r="R121" s="1"/>
  <c r="P315"/>
  <c r="R81" s="1"/>
  <c r="P379"/>
  <c r="R97" s="1"/>
  <c r="P411"/>
  <c r="R105" s="1"/>
  <c r="P439"/>
  <c r="R112" s="1"/>
  <c r="P471"/>
  <c r="R120" s="1"/>
  <c r="P503"/>
  <c r="R128" s="1"/>
  <c r="P519"/>
  <c r="R132" s="1"/>
  <c r="P551"/>
  <c r="R140" s="1"/>
  <c r="P583"/>
  <c r="R148" s="1"/>
  <c r="P615"/>
  <c r="R156" s="1"/>
  <c r="P647"/>
  <c r="R164" s="1"/>
  <c r="P307"/>
  <c r="R79" s="1"/>
  <c r="P371"/>
  <c r="R95" s="1"/>
  <c r="P635"/>
  <c r="R161" s="1"/>
  <c r="P531"/>
  <c r="R135" s="1"/>
  <c r="P683"/>
  <c r="R173" s="1"/>
  <c r="P759"/>
  <c r="R192" s="1"/>
  <c r="P775"/>
  <c r="R196" s="1"/>
  <c r="P807"/>
  <c r="R204" s="1"/>
  <c r="P839"/>
  <c r="R212" s="1"/>
  <c r="P871"/>
  <c r="R220" s="1"/>
  <c r="P903"/>
  <c r="R228" s="1"/>
  <c r="P935"/>
  <c r="R236" s="1"/>
  <c r="P967"/>
  <c r="R244" s="1"/>
  <c r="P999"/>
  <c r="R252" s="1"/>
  <c r="P587"/>
  <c r="R149" s="1"/>
  <c r="P695"/>
  <c r="R176" s="1"/>
  <c r="P739"/>
  <c r="R187" s="1"/>
  <c r="P547"/>
  <c r="R139" s="1"/>
  <c r="P711"/>
  <c r="R180" s="1"/>
  <c r="P795"/>
  <c r="R201" s="1"/>
  <c r="P827"/>
  <c r="R209" s="1"/>
  <c r="P859"/>
  <c r="R217" s="1"/>
  <c r="P891"/>
  <c r="R225" s="1"/>
  <c r="P923"/>
  <c r="R233" s="1"/>
  <c r="P955"/>
  <c r="R241" s="1"/>
  <c r="P987"/>
  <c r="R249" s="1"/>
  <c r="P1035"/>
  <c r="R261" s="1"/>
  <c r="P1067"/>
  <c r="R269" s="1"/>
  <c r="P1039"/>
  <c r="R262" s="1"/>
  <c r="P1099"/>
  <c r="R277" s="1"/>
  <c r="P1103"/>
  <c r="R278" s="1"/>
  <c r="P1079"/>
  <c r="R272" s="1"/>
  <c r="P643"/>
  <c r="R163" s="1"/>
  <c r="L90" i="1"/>
  <c r="L91"/>
  <c r="L92"/>
  <c r="L93"/>
  <c r="L94"/>
  <c r="L95"/>
  <c r="L96"/>
  <c r="L89"/>
  <c r="K90"/>
  <c r="K91"/>
  <c r="K92"/>
  <c r="K93"/>
  <c r="K94"/>
  <c r="K95"/>
  <c r="K96"/>
  <c r="K89"/>
  <c r="J90"/>
  <c r="J91"/>
  <c r="J92"/>
  <c r="J93"/>
  <c r="J94"/>
  <c r="J95"/>
  <c r="J96"/>
  <c r="J89"/>
  <c r="I90"/>
  <c r="I91"/>
  <c r="I92"/>
  <c r="I93"/>
  <c r="I94"/>
  <c r="I95"/>
  <c r="I96"/>
  <c r="I89"/>
  <c r="I72"/>
  <c r="I73"/>
  <c r="I74"/>
  <c r="I75"/>
  <c r="I76"/>
  <c r="I77"/>
  <c r="I78"/>
  <c r="I71"/>
  <c r="J80" s="1"/>
  <c r="K80" s="1"/>
  <c r="M63"/>
  <c r="M64"/>
  <c r="M65"/>
  <c r="M66"/>
  <c r="M67"/>
  <c r="M68"/>
  <c r="M69"/>
  <c r="M62"/>
  <c r="M58"/>
  <c r="M57"/>
  <c r="M56"/>
  <c r="M55"/>
  <c r="M54"/>
  <c r="M53"/>
  <c r="M52"/>
  <c r="M51"/>
  <c r="M74"/>
  <c r="M73"/>
  <c r="M72"/>
  <c r="M71"/>
  <c r="J81"/>
  <c r="K81" s="1"/>
  <c r="J82"/>
  <c r="K82" s="1"/>
  <c r="J83"/>
  <c r="K83" s="1"/>
  <c r="J84"/>
  <c r="K84" s="1"/>
  <c r="J85"/>
  <c r="K85" s="1"/>
  <c r="J86"/>
  <c r="K86" s="1"/>
  <c r="J87"/>
  <c r="K87" s="1"/>
  <c r="J18" i="21" a="1"/>
  <c r="F21" a="1"/>
  <c r="B21" a="1"/>
  <c r="N1125" i="22"/>
  <c r="N1109"/>
  <c r="N1093"/>
  <c r="N1077"/>
  <c r="N1061"/>
  <c r="N1045"/>
  <c r="N1029"/>
  <c r="N1013"/>
  <c r="N997"/>
  <c r="N981"/>
  <c r="N965"/>
  <c r="N949"/>
  <c r="N933"/>
  <c r="N917"/>
  <c r="N901"/>
  <c r="N885"/>
  <c r="N869"/>
  <c r="N853"/>
  <c r="N837"/>
  <c r="N821"/>
  <c r="N805"/>
  <c r="N789"/>
  <c r="N773"/>
  <c r="N757"/>
  <c r="N741"/>
  <c r="N725"/>
  <c r="N709"/>
  <c r="N693"/>
  <c r="N677"/>
  <c r="N661"/>
  <c r="N645"/>
  <c r="N629"/>
  <c r="N613"/>
  <c r="N597"/>
  <c r="N581"/>
  <c r="N565"/>
  <c r="N549"/>
  <c r="N533"/>
  <c r="N517"/>
  <c r="N501"/>
  <c r="N485"/>
  <c r="N469"/>
  <c r="N453"/>
  <c r="N437"/>
  <c r="N421"/>
  <c r="N405"/>
  <c r="N389"/>
  <c r="N373"/>
  <c r="N357"/>
  <c r="N341"/>
  <c r="N325"/>
  <c r="N309"/>
  <c r="N293"/>
  <c r="N277"/>
  <c r="N261"/>
  <c r="N245"/>
  <c r="N229"/>
  <c r="N213"/>
  <c r="N197"/>
  <c r="N181"/>
  <c r="N165"/>
  <c r="N149"/>
  <c r="N133"/>
  <c r="N117"/>
  <c r="N101"/>
  <c r="N85"/>
  <c r="N69"/>
  <c r="N53"/>
  <c r="N37"/>
  <c r="N21"/>
  <c r="N557"/>
  <c r="N509"/>
  <c r="N461"/>
  <c r="N397"/>
  <c r="N333"/>
  <c r="N301"/>
  <c r="N253"/>
  <c r="N221"/>
  <c r="N189"/>
  <c r="N141"/>
  <c r="N109"/>
  <c r="N61"/>
  <c r="N305"/>
  <c r="N241"/>
  <c r="N193"/>
  <c r="N145"/>
  <c r="N113"/>
  <c r="N65"/>
  <c r="N1129"/>
  <c r="N1113"/>
  <c r="N1097"/>
  <c r="N1081"/>
  <c r="N1065"/>
  <c r="N1049"/>
  <c r="N1033"/>
  <c r="N1017"/>
  <c r="N1001"/>
  <c r="N985"/>
  <c r="N969"/>
  <c r="N953"/>
  <c r="N937"/>
  <c r="N921"/>
  <c r="N905"/>
  <c r="N889"/>
  <c r="N873"/>
  <c r="N857"/>
  <c r="N841"/>
  <c r="N825"/>
  <c r="N809"/>
  <c r="N793"/>
  <c r="N777"/>
  <c r="N761"/>
  <c r="N745"/>
  <c r="N729"/>
  <c r="N713"/>
  <c r="N697"/>
  <c r="N681"/>
  <c r="N665"/>
  <c r="N649"/>
  <c r="N633"/>
  <c r="N617"/>
  <c r="N601"/>
  <c r="N585"/>
  <c r="N569"/>
  <c r="N553"/>
  <c r="N537"/>
  <c r="N521"/>
  <c r="N505"/>
  <c r="N489"/>
  <c r="N473"/>
  <c r="N457"/>
  <c r="N441"/>
  <c r="N425"/>
  <c r="N409"/>
  <c r="N393"/>
  <c r="N377"/>
  <c r="N361"/>
  <c r="N345"/>
  <c r="N329"/>
  <c r="N313"/>
  <c r="N297"/>
  <c r="N281"/>
  <c r="N265"/>
  <c r="N249"/>
  <c r="N233"/>
  <c r="N217"/>
  <c r="N201"/>
  <c r="N185"/>
  <c r="N169"/>
  <c r="N153"/>
  <c r="N137"/>
  <c r="N121"/>
  <c r="N105"/>
  <c r="N89"/>
  <c r="N73"/>
  <c r="N57"/>
  <c r="N41"/>
  <c r="N25"/>
  <c r="N589"/>
  <c r="N525"/>
  <c r="N477"/>
  <c r="N445"/>
  <c r="N413"/>
  <c r="N381"/>
  <c r="N365"/>
  <c r="N317"/>
  <c r="N285"/>
  <c r="N237"/>
  <c r="N205"/>
  <c r="N173"/>
  <c r="N125"/>
  <c r="N93"/>
  <c r="N77"/>
  <c r="N29"/>
  <c r="N289"/>
  <c r="N225"/>
  <c r="N161"/>
  <c r="N81"/>
  <c r="N1117"/>
  <c r="N1101"/>
  <c r="N1085"/>
  <c r="N1069"/>
  <c r="N1053"/>
  <c r="N1037"/>
  <c r="N1021"/>
  <c r="N1005"/>
  <c r="N989"/>
  <c r="N973"/>
  <c r="N957"/>
  <c r="N941"/>
  <c r="N925"/>
  <c r="N909"/>
  <c r="N893"/>
  <c r="N877"/>
  <c r="N861"/>
  <c r="N845"/>
  <c r="N829"/>
  <c r="N813"/>
  <c r="N797"/>
  <c r="N781"/>
  <c r="N765"/>
  <c r="N749"/>
  <c r="N733"/>
  <c r="N717"/>
  <c r="N701"/>
  <c r="N685"/>
  <c r="N669"/>
  <c r="N653"/>
  <c r="N637"/>
  <c r="N621"/>
  <c r="N605"/>
  <c r="N573"/>
  <c r="N541"/>
  <c r="N493"/>
  <c r="N429"/>
  <c r="N349"/>
  <c r="N269"/>
  <c r="N157"/>
  <c r="N45"/>
  <c r="N209"/>
  <c r="N129"/>
  <c r="N49"/>
  <c r="N1121"/>
  <c r="N1105"/>
  <c r="N1089"/>
  <c r="N1073"/>
  <c r="N1057"/>
  <c r="N1041"/>
  <c r="N1025"/>
  <c r="N1009"/>
  <c r="N993"/>
  <c r="N977"/>
  <c r="N961"/>
  <c r="N945"/>
  <c r="N929"/>
  <c r="N913"/>
  <c r="N897"/>
  <c r="N881"/>
  <c r="N865"/>
  <c r="N849"/>
  <c r="N833"/>
  <c r="N817"/>
  <c r="N801"/>
  <c r="N785"/>
  <c r="N769"/>
  <c r="N753"/>
  <c r="N737"/>
  <c r="N721"/>
  <c r="N705"/>
  <c r="N689"/>
  <c r="N673"/>
  <c r="N657"/>
  <c r="N641"/>
  <c r="N625"/>
  <c r="N609"/>
  <c r="N593"/>
  <c r="N577"/>
  <c r="N561"/>
  <c r="N545"/>
  <c r="N529"/>
  <c r="N513"/>
  <c r="N497"/>
  <c r="N481"/>
  <c r="N465"/>
  <c r="N449"/>
  <c r="N433"/>
  <c r="N417"/>
  <c r="N401"/>
  <c r="N385"/>
  <c r="N369"/>
  <c r="N353"/>
  <c r="N337"/>
  <c r="N321"/>
  <c r="N273"/>
  <c r="N257"/>
  <c r="N177"/>
  <c r="N97"/>
  <c r="N33"/>
  <c r="P3" i="23" l="1"/>
  <c r="S4"/>
  <c r="L18" i="21"/>
  <c r="J20"/>
  <c r="K21"/>
  <c r="L22"/>
  <c r="J24"/>
  <c r="K25"/>
  <c r="L26"/>
  <c r="J25"/>
  <c r="J19"/>
  <c r="L21"/>
  <c r="J23"/>
  <c r="K24"/>
  <c r="L25"/>
  <c r="K18"/>
  <c r="L19"/>
  <c r="J21"/>
  <c r="K22"/>
  <c r="L23"/>
  <c r="K26"/>
  <c r="J18"/>
  <c r="K19"/>
  <c r="L20"/>
  <c r="J22"/>
  <c r="K23"/>
  <c r="L24"/>
  <c r="J26"/>
  <c r="K20"/>
  <c r="H21"/>
  <c r="F23"/>
  <c r="H22"/>
  <c r="F22"/>
  <c r="G23"/>
  <c r="G21"/>
  <c r="F21"/>
  <c r="H31" s="1"/>
  <c r="G22"/>
  <c r="H23"/>
  <c r="D21"/>
  <c r="B23"/>
  <c r="B21"/>
  <c r="C22"/>
  <c r="D23"/>
  <c r="B22"/>
  <c r="C23"/>
  <c r="C21"/>
  <c r="D22"/>
  <c r="K52" i="1"/>
  <c r="K53"/>
  <c r="K54"/>
  <c r="K55"/>
  <c r="K56"/>
  <c r="K57"/>
  <c r="K58"/>
  <c r="K51"/>
  <c r="J58"/>
  <c r="J57"/>
  <c r="J56"/>
  <c r="J55"/>
  <c r="J54"/>
  <c r="J53"/>
  <c r="J52"/>
  <c r="J51"/>
  <c r="J40" i="18"/>
  <c r="J38"/>
  <c r="J42"/>
  <c r="J41"/>
  <c r="J39"/>
  <c r="R3" i="23" l="1"/>
  <c r="S3" s="1"/>
  <c r="B34" i="21" a="1"/>
  <c r="M25" i="20"/>
  <c r="M24"/>
  <c r="M23"/>
  <c r="M22"/>
  <c r="AI30" i="22" l="1"/>
  <c r="AI13"/>
  <c r="AI33"/>
  <c r="AI22"/>
  <c r="AI37"/>
  <c r="AI43"/>
  <c r="AI23"/>
  <c r="AI26"/>
  <c r="AI38"/>
  <c r="AK16"/>
  <c r="AK31"/>
  <c r="AI31"/>
  <c r="AK27"/>
  <c r="AI16"/>
  <c r="AK18"/>
  <c r="AK36"/>
  <c r="AK15"/>
  <c r="AK46"/>
  <c r="AI40"/>
  <c r="AK13"/>
  <c r="AI19"/>
  <c r="AI20"/>
  <c r="AI25"/>
  <c r="AA30" i="23"/>
  <c r="AB8"/>
  <c r="AB21"/>
  <c r="AB36"/>
  <c r="AA14"/>
  <c r="AA27"/>
  <c r="AA19"/>
  <c r="AB12"/>
  <c r="AB28"/>
  <c r="AA11"/>
  <c r="AA22"/>
  <c r="AB23"/>
  <c r="AA35"/>
  <c r="AB11"/>
  <c r="AB20"/>
  <c r="AA6"/>
  <c r="AB13"/>
  <c r="AA20"/>
  <c r="AA24"/>
  <c r="AB7"/>
  <c r="AB10"/>
  <c r="AB22"/>
  <c r="AB16"/>
  <c r="AB18"/>
  <c r="AB29"/>
  <c r="AB27"/>
  <c r="AB31"/>
  <c r="AA12"/>
  <c r="AA16"/>
  <c r="AB25"/>
  <c r="AA10"/>
  <c r="AA21"/>
  <c r="AA25"/>
  <c r="AB24"/>
  <c r="AB30"/>
  <c r="AA34"/>
  <c r="AA9"/>
  <c r="AA13"/>
  <c r="AA7"/>
  <c r="AB37"/>
  <c r="AB35"/>
  <c r="AB33"/>
  <c r="AB15"/>
  <c r="AA4"/>
  <c r="AA8"/>
  <c r="AA26"/>
  <c r="AB9"/>
  <c r="AA5"/>
  <c r="AA31"/>
  <c r="AB6"/>
  <c r="AB14"/>
  <c r="AB4"/>
  <c r="AB34"/>
  <c r="AA28"/>
  <c r="AA32"/>
  <c r="AA18"/>
  <c r="AA36"/>
  <c r="AB5"/>
  <c r="AA23"/>
  <c r="AA33"/>
  <c r="AA37"/>
  <c r="AB17"/>
  <c r="AB19"/>
  <c r="AB32"/>
  <c r="AA17"/>
  <c r="AA15"/>
  <c r="AA29"/>
  <c r="AB26"/>
  <c r="Z7"/>
  <c r="U11"/>
  <c r="Z23"/>
  <c r="V31"/>
  <c r="U31"/>
  <c r="Y26"/>
  <c r="X6"/>
  <c r="Y13"/>
  <c r="V32"/>
  <c r="V20"/>
  <c r="X17"/>
  <c r="X4"/>
  <c r="X5"/>
  <c r="AB3"/>
  <c r="X23"/>
  <c r="U29"/>
  <c r="Z22"/>
  <c r="V23"/>
  <c r="W31"/>
  <c r="Y16"/>
  <c r="Z33"/>
  <c r="V6"/>
  <c r="Z18"/>
  <c r="V26"/>
  <c r="Z26"/>
  <c r="V11"/>
  <c r="W19"/>
  <c r="AA3"/>
  <c r="W16"/>
  <c r="X27"/>
  <c r="Z25"/>
  <c r="U33"/>
  <c r="W18"/>
  <c r="X34"/>
  <c r="Z20"/>
  <c r="V25"/>
  <c r="Y27"/>
  <c r="X31"/>
  <c r="Z13"/>
  <c r="U21"/>
  <c r="Y3"/>
  <c r="Y24"/>
  <c r="V29"/>
  <c r="X26"/>
  <c r="Z12"/>
  <c r="U24"/>
  <c r="W5"/>
  <c r="X25"/>
  <c r="Y34"/>
  <c r="U34"/>
  <c r="V33"/>
  <c r="X14"/>
  <c r="Y35"/>
  <c r="Y23"/>
  <c r="V3"/>
  <c r="X3"/>
  <c r="W22"/>
  <c r="Z34"/>
  <c r="X22"/>
  <c r="V19"/>
  <c r="Z8"/>
  <c r="Y5"/>
  <c r="V13"/>
  <c r="X11"/>
  <c r="Z6"/>
  <c r="V16"/>
  <c r="X10"/>
  <c r="Z9"/>
  <c r="V7"/>
  <c r="W36"/>
  <c r="Y31"/>
  <c r="U17"/>
  <c r="W15"/>
  <c r="Y9"/>
  <c r="U8"/>
  <c r="V37"/>
  <c r="X35"/>
  <c r="Z30"/>
  <c r="V24"/>
  <c r="X18"/>
  <c r="Z17"/>
  <c r="V15"/>
  <c r="X9"/>
  <c r="Z4"/>
  <c r="U25"/>
  <c r="W23"/>
  <c r="Y17"/>
  <c r="U28"/>
  <c r="Y20"/>
  <c r="W9"/>
  <c r="Z37"/>
  <c r="X29"/>
  <c r="V10"/>
  <c r="Y21"/>
  <c r="V17"/>
  <c r="X15"/>
  <c r="Z10"/>
  <c r="V4"/>
  <c r="W33"/>
  <c r="Y32"/>
  <c r="U26"/>
  <c r="W24"/>
  <c r="Y18"/>
  <c r="U5"/>
  <c r="V34"/>
  <c r="X32"/>
  <c r="Z31"/>
  <c r="W3"/>
  <c r="V9"/>
  <c r="Y37"/>
  <c r="W25"/>
  <c r="U18"/>
  <c r="Y10"/>
  <c r="X8"/>
  <c r="U32"/>
  <c r="W26"/>
  <c r="Y25"/>
  <c r="U35"/>
  <c r="W29"/>
  <c r="Y28"/>
  <c r="U22"/>
  <c r="W20"/>
  <c r="Y14"/>
  <c r="U4"/>
  <c r="V30"/>
  <c r="X28"/>
  <c r="Z27"/>
  <c r="V21"/>
  <c r="X19"/>
  <c r="Z14"/>
  <c r="V8"/>
  <c r="W37"/>
  <c r="Y36"/>
  <c r="U30"/>
  <c r="W28"/>
  <c r="Y22"/>
  <c r="U9"/>
  <c r="W7"/>
  <c r="X36"/>
  <c r="Z35"/>
  <c r="X7"/>
  <c r="V12"/>
  <c r="Z5"/>
  <c r="W32"/>
  <c r="U13"/>
  <c r="X24"/>
  <c r="U36"/>
  <c r="W30"/>
  <c r="Y29"/>
  <c r="U23"/>
  <c r="W17"/>
  <c r="Y15"/>
  <c r="U10"/>
  <c r="W8"/>
  <c r="X37"/>
  <c r="Z32"/>
  <c r="V18"/>
  <c r="X16"/>
  <c r="Z15"/>
  <c r="U3"/>
  <c r="Z3"/>
  <c r="U12"/>
  <c r="Y4"/>
  <c r="V28"/>
  <c r="Z21"/>
  <c r="X13"/>
  <c r="W11"/>
  <c r="U16"/>
  <c r="W10"/>
  <c r="Y8"/>
  <c r="U19"/>
  <c r="W13"/>
  <c r="Y11"/>
  <c r="U6"/>
  <c r="W4"/>
  <c r="X33"/>
  <c r="Z28"/>
  <c r="V14"/>
  <c r="X12"/>
  <c r="Z11"/>
  <c r="V5"/>
  <c r="W34"/>
  <c r="Y33"/>
  <c r="U27"/>
  <c r="W21"/>
  <c r="Y19"/>
  <c r="U14"/>
  <c r="W12"/>
  <c r="Y6"/>
  <c r="Z36"/>
  <c r="V22"/>
  <c r="X20"/>
  <c r="Z19"/>
  <c r="W6"/>
  <c r="U15"/>
  <c r="Y7"/>
  <c r="V35"/>
  <c r="Z24"/>
  <c r="W27"/>
  <c r="U20"/>
  <c r="W14"/>
  <c r="Y12"/>
  <c r="U7"/>
  <c r="V36"/>
  <c r="X30"/>
  <c r="Z29"/>
  <c r="V27"/>
  <c r="X21"/>
  <c r="Z16"/>
  <c r="U37"/>
  <c r="W35"/>
  <c r="Y30"/>
  <c r="AI44" i="22"/>
  <c r="AM43"/>
  <c r="AM24"/>
  <c r="AI35"/>
  <c r="AK26"/>
  <c r="AI36"/>
  <c r="AK32"/>
  <c r="AK42"/>
  <c r="AI32"/>
  <c r="AM46"/>
  <c r="AM36"/>
  <c r="AK24"/>
  <c r="AK38"/>
  <c r="AM18"/>
  <c r="AK34"/>
  <c r="AI28"/>
  <c r="AM37"/>
  <c r="AM27"/>
  <c r="AI29"/>
  <c r="AK29"/>
  <c r="AM21"/>
  <c r="AM19"/>
  <c r="AI15"/>
  <c r="AK43"/>
  <c r="AI45"/>
  <c r="AM26"/>
  <c r="AK39"/>
  <c r="AI41"/>
  <c r="AK33"/>
  <c r="AK40"/>
  <c r="AM17"/>
  <c r="AM20"/>
  <c r="AI27"/>
  <c r="AK22"/>
  <c r="AK45"/>
  <c r="AI46"/>
  <c r="AK37"/>
  <c r="AI42"/>
  <c r="AM41"/>
  <c r="AM31"/>
  <c r="AI34"/>
  <c r="AM28"/>
  <c r="AK23"/>
  <c r="AK21"/>
  <c r="AI14"/>
  <c r="AM39"/>
  <c r="AK17"/>
  <c r="AM35"/>
  <c r="AI47"/>
  <c r="AI24"/>
  <c r="AM42"/>
  <c r="D34" i="21"/>
  <c r="I35"/>
  <c r="E36"/>
  <c r="G34"/>
  <c r="I34"/>
  <c r="F34"/>
  <c r="G35"/>
  <c r="E34"/>
  <c r="I36"/>
  <c r="B35"/>
  <c r="H35"/>
  <c r="E35"/>
  <c r="B36"/>
  <c r="D35"/>
  <c r="B34"/>
  <c r="F35"/>
  <c r="G36"/>
  <c r="D36"/>
  <c r="F36"/>
  <c r="H34"/>
  <c r="C36"/>
  <c r="J34"/>
  <c r="J35"/>
  <c r="C34"/>
  <c r="H36"/>
  <c r="J36"/>
  <c r="C35"/>
  <c r="E79" i="20"/>
  <c r="Q28" s="1"/>
  <c r="E78"/>
  <c r="Q27" s="1"/>
  <c r="E77"/>
  <c r="Q26" s="1"/>
  <c r="C45"/>
  <c r="C47"/>
  <c r="C49"/>
  <c r="B44"/>
  <c r="B49"/>
  <c r="D108"/>
  <c r="C44" s="1"/>
  <c r="E108"/>
  <c r="D44" s="1"/>
  <c r="D109"/>
  <c r="E109"/>
  <c r="D45" s="1"/>
  <c r="C108"/>
  <c r="C109"/>
  <c r="B45" s="1"/>
  <c r="D104"/>
  <c r="E104"/>
  <c r="D105"/>
  <c r="E105"/>
  <c r="C105"/>
  <c r="C104"/>
  <c r="D112"/>
  <c r="C48" s="1"/>
  <c r="E112"/>
  <c r="D48" s="1"/>
  <c r="D113"/>
  <c r="E113"/>
  <c r="D49" s="1"/>
  <c r="C113"/>
  <c r="C112"/>
  <c r="B48" s="1"/>
  <c r="D111"/>
  <c r="E111"/>
  <c r="D47" s="1"/>
  <c r="D107"/>
  <c r="C43" s="1"/>
  <c r="E107"/>
  <c r="D43" s="1"/>
  <c r="D103"/>
  <c r="E103"/>
  <c r="C111"/>
  <c r="B47" s="1"/>
  <c r="C107"/>
  <c r="C103"/>
  <c r="D101"/>
  <c r="E101"/>
  <c r="C101"/>
  <c r="D100"/>
  <c r="E100"/>
  <c r="C100"/>
  <c r="D99"/>
  <c r="E99"/>
  <c r="C99"/>
  <c r="C156"/>
  <c r="C155"/>
  <c r="C154"/>
  <c r="C153"/>
  <c r="C152"/>
  <c r="C151"/>
  <c r="C150"/>
  <c r="C149"/>
  <c r="H144"/>
  <c r="I142"/>
  <c r="H142"/>
  <c r="G142"/>
  <c r="F142"/>
  <c r="E142"/>
  <c r="D142"/>
  <c r="C142"/>
  <c r="B142"/>
  <c r="I141"/>
  <c r="H141"/>
  <c r="G141"/>
  <c r="F141"/>
  <c r="E141"/>
  <c r="D141"/>
  <c r="C141"/>
  <c r="B141"/>
  <c r="I140"/>
  <c r="I144" s="1"/>
  <c r="H140"/>
  <c r="G140"/>
  <c r="G144" s="1"/>
  <c r="F140"/>
  <c r="F144" s="1"/>
  <c r="E140"/>
  <c r="E144" s="1"/>
  <c r="D140"/>
  <c r="D144" s="1"/>
  <c r="C140"/>
  <c r="C144" s="1"/>
  <c r="B140"/>
  <c r="B144" s="1"/>
  <c r="I135"/>
  <c r="H135"/>
  <c r="G135"/>
  <c r="F135"/>
  <c r="E135"/>
  <c r="D135"/>
  <c r="C135"/>
  <c r="B135"/>
  <c r="I134"/>
  <c r="H134"/>
  <c r="G134"/>
  <c r="F134"/>
  <c r="E134"/>
  <c r="D134"/>
  <c r="C134"/>
  <c r="B134"/>
  <c r="I133"/>
  <c r="I137" s="1"/>
  <c r="H133"/>
  <c r="H137" s="1"/>
  <c r="G133"/>
  <c r="G137" s="1"/>
  <c r="F133"/>
  <c r="F137" s="1"/>
  <c r="E133"/>
  <c r="E137" s="1"/>
  <c r="D133"/>
  <c r="D137" s="1"/>
  <c r="C133"/>
  <c r="C137" s="1"/>
  <c r="B133"/>
  <c r="B137" s="1"/>
  <c r="I128"/>
  <c r="H128"/>
  <c r="G128"/>
  <c r="F128"/>
  <c r="E128"/>
  <c r="D128"/>
  <c r="C128"/>
  <c r="B128"/>
  <c r="I127"/>
  <c r="H127"/>
  <c r="G127"/>
  <c r="F127"/>
  <c r="E127"/>
  <c r="D127"/>
  <c r="C127"/>
  <c r="B127"/>
  <c r="I126"/>
  <c r="I130" s="1"/>
  <c r="H126"/>
  <c r="H130" s="1"/>
  <c r="G126"/>
  <c r="G130" s="1"/>
  <c r="F126"/>
  <c r="F130" s="1"/>
  <c r="E126"/>
  <c r="E130" s="1"/>
  <c r="D126"/>
  <c r="D130" s="1"/>
  <c r="C126"/>
  <c r="C130" s="1"/>
  <c r="B126"/>
  <c r="B130" s="1"/>
  <c r="I121"/>
  <c r="H121"/>
  <c r="G121"/>
  <c r="F121"/>
  <c r="E121"/>
  <c r="D121"/>
  <c r="C121"/>
  <c r="B121"/>
  <c r="I120"/>
  <c r="H120"/>
  <c r="G120"/>
  <c r="F120"/>
  <c r="E120"/>
  <c r="D120"/>
  <c r="C120"/>
  <c r="B120"/>
  <c r="I119"/>
  <c r="H119"/>
  <c r="G119"/>
  <c r="F119"/>
  <c r="E119"/>
  <c r="D119"/>
  <c r="C119"/>
  <c r="B119"/>
  <c r="B123" s="1"/>
  <c r="C41"/>
  <c r="B40"/>
  <c r="D37"/>
  <c r="C36"/>
  <c r="B35"/>
  <c r="E54" s="1" a="1"/>
  <c r="E56" s="1"/>
  <c r="E97"/>
  <c r="D97"/>
  <c r="C97"/>
  <c r="E96"/>
  <c r="D32" s="1"/>
  <c r="D96"/>
  <c r="C96"/>
  <c r="L95"/>
  <c r="E95"/>
  <c r="D95"/>
  <c r="C31" s="1"/>
  <c r="C95"/>
  <c r="S93"/>
  <c r="R93"/>
  <c r="Q93"/>
  <c r="P93"/>
  <c r="O93"/>
  <c r="N93"/>
  <c r="M93"/>
  <c r="S92"/>
  <c r="R92"/>
  <c r="Q92"/>
  <c r="P92"/>
  <c r="O92"/>
  <c r="N92"/>
  <c r="M92"/>
  <c r="S91"/>
  <c r="S95" s="1"/>
  <c r="R91"/>
  <c r="R95" s="1"/>
  <c r="Q91"/>
  <c r="P91"/>
  <c r="O91"/>
  <c r="O95" s="1"/>
  <c r="N91"/>
  <c r="N95" s="1"/>
  <c r="M91"/>
  <c r="K79"/>
  <c r="J79"/>
  <c r="I79"/>
  <c r="H79"/>
  <c r="T28" s="1"/>
  <c r="G79"/>
  <c r="S28" s="1"/>
  <c r="F79"/>
  <c r="R28" s="1"/>
  <c r="D79"/>
  <c r="P28" s="1"/>
  <c r="K78"/>
  <c r="J78"/>
  <c r="I78"/>
  <c r="H78"/>
  <c r="T27" s="1"/>
  <c r="G78"/>
  <c r="S27" s="1"/>
  <c r="F78"/>
  <c r="R27" s="1"/>
  <c r="D78"/>
  <c r="P27" s="1"/>
  <c r="K77"/>
  <c r="J77"/>
  <c r="J84" s="1"/>
  <c r="I77"/>
  <c r="I84" s="1"/>
  <c r="H77"/>
  <c r="G77"/>
  <c r="F77"/>
  <c r="R26" s="1"/>
  <c r="D77"/>
  <c r="B43"/>
  <c r="D41"/>
  <c r="B41"/>
  <c r="D40"/>
  <c r="C40"/>
  <c r="D39"/>
  <c r="C39"/>
  <c r="B39"/>
  <c r="C37"/>
  <c r="B37"/>
  <c r="D36"/>
  <c r="B36"/>
  <c r="D35"/>
  <c r="C35"/>
  <c r="D33"/>
  <c r="C33"/>
  <c r="B33"/>
  <c r="C32"/>
  <c r="B32"/>
  <c r="D31"/>
  <c r="B31"/>
  <c r="M28"/>
  <c r="M27"/>
  <c r="M26"/>
  <c r="C4"/>
  <c r="E7" s="1"/>
  <c r="J14" s="1"/>
  <c r="H54" i="18" a="1"/>
  <c r="H56" s="1"/>
  <c r="H77"/>
  <c r="T26" s="1"/>
  <c r="E78"/>
  <c r="Q27" s="1"/>
  <c r="F78"/>
  <c r="R27" s="1"/>
  <c r="G78"/>
  <c r="S27" s="1"/>
  <c r="E79"/>
  <c r="Q28" s="1"/>
  <c r="F79"/>
  <c r="R28" s="1"/>
  <c r="G79"/>
  <c r="S28" s="1"/>
  <c r="D79"/>
  <c r="P28" s="1"/>
  <c r="E77"/>
  <c r="Q26" s="1"/>
  <c r="F77"/>
  <c r="R26" s="1"/>
  <c r="G77"/>
  <c r="S26" s="1"/>
  <c r="D78"/>
  <c r="P27" s="1"/>
  <c r="D77"/>
  <c r="P26" s="1"/>
  <c r="C99"/>
  <c r="C95"/>
  <c r="E101"/>
  <c r="D37" s="1"/>
  <c r="B35"/>
  <c r="C104"/>
  <c r="C152"/>
  <c r="C153"/>
  <c r="C149"/>
  <c r="C107"/>
  <c r="C115"/>
  <c r="C114"/>
  <c r="C113"/>
  <c r="C112"/>
  <c r="C111"/>
  <c r="C109"/>
  <c r="C108"/>
  <c r="C105"/>
  <c r="C103"/>
  <c r="C101"/>
  <c r="B37" s="1"/>
  <c r="C100"/>
  <c r="B36" s="1"/>
  <c r="B43"/>
  <c r="D109"/>
  <c r="D96"/>
  <c r="E96"/>
  <c r="D97"/>
  <c r="E97"/>
  <c r="C97"/>
  <c r="C96"/>
  <c r="D95"/>
  <c r="E95"/>
  <c r="E115"/>
  <c r="E114"/>
  <c r="E113"/>
  <c r="E112"/>
  <c r="E111"/>
  <c r="E109"/>
  <c r="E108"/>
  <c r="D44" s="1"/>
  <c r="E107"/>
  <c r="D43" s="1"/>
  <c r="E105"/>
  <c r="E104"/>
  <c r="E103"/>
  <c r="D39" s="1"/>
  <c r="D101"/>
  <c r="C37" s="1"/>
  <c r="D100"/>
  <c r="C36" s="1"/>
  <c r="D99"/>
  <c r="C35" s="1"/>
  <c r="C140"/>
  <c r="C144" s="1"/>
  <c r="D140"/>
  <c r="E140"/>
  <c r="F140"/>
  <c r="G140"/>
  <c r="G144" s="1"/>
  <c r="H140"/>
  <c r="I140"/>
  <c r="C141"/>
  <c r="D141"/>
  <c r="E141"/>
  <c r="F141"/>
  <c r="G141"/>
  <c r="H141"/>
  <c r="I141"/>
  <c r="C142"/>
  <c r="D142"/>
  <c r="E142"/>
  <c r="F142"/>
  <c r="G142"/>
  <c r="H142"/>
  <c r="I142"/>
  <c r="B141"/>
  <c r="B142"/>
  <c r="B140"/>
  <c r="B133"/>
  <c r="B137" s="1"/>
  <c r="F13" s="1"/>
  <c r="B134"/>
  <c r="B135"/>
  <c r="C134"/>
  <c r="D134"/>
  <c r="E134"/>
  <c r="F134"/>
  <c r="G134"/>
  <c r="H134"/>
  <c r="I134"/>
  <c r="C135"/>
  <c r="D135"/>
  <c r="E135"/>
  <c r="F135"/>
  <c r="G135"/>
  <c r="H135"/>
  <c r="I135"/>
  <c r="D133"/>
  <c r="E133"/>
  <c r="F133"/>
  <c r="G133"/>
  <c r="G137" s="1"/>
  <c r="H133"/>
  <c r="I133"/>
  <c r="C133"/>
  <c r="C137" s="1"/>
  <c r="B127"/>
  <c r="C127"/>
  <c r="D127"/>
  <c r="E127"/>
  <c r="F127"/>
  <c r="G127"/>
  <c r="H127"/>
  <c r="I127"/>
  <c r="B128"/>
  <c r="C128"/>
  <c r="D128"/>
  <c r="E128"/>
  <c r="F128"/>
  <c r="G128"/>
  <c r="H128"/>
  <c r="I128"/>
  <c r="D126"/>
  <c r="D130" s="1"/>
  <c r="E126"/>
  <c r="E130" s="1"/>
  <c r="E13" s="1"/>
  <c r="F126"/>
  <c r="G126"/>
  <c r="H126"/>
  <c r="H130" s="1"/>
  <c r="I126"/>
  <c r="I130" s="1"/>
  <c r="B126"/>
  <c r="C126"/>
  <c r="B120"/>
  <c r="C120"/>
  <c r="B121"/>
  <c r="C121"/>
  <c r="B119"/>
  <c r="B123" s="1"/>
  <c r="D120"/>
  <c r="E120"/>
  <c r="F120"/>
  <c r="G120"/>
  <c r="H120"/>
  <c r="I120"/>
  <c r="D121"/>
  <c r="E121"/>
  <c r="F121"/>
  <c r="G121"/>
  <c r="H121"/>
  <c r="I121"/>
  <c r="D119"/>
  <c r="D123" s="1"/>
  <c r="H13" s="1"/>
  <c r="E119"/>
  <c r="F119"/>
  <c r="G119"/>
  <c r="G123" s="1"/>
  <c r="H119"/>
  <c r="H123" s="1"/>
  <c r="I119"/>
  <c r="C119"/>
  <c r="D112"/>
  <c r="D113"/>
  <c r="D114"/>
  <c r="D115"/>
  <c r="D111"/>
  <c r="C45"/>
  <c r="B45"/>
  <c r="D108"/>
  <c r="C44" s="1"/>
  <c r="B44"/>
  <c r="D107"/>
  <c r="C43" s="1"/>
  <c r="D104"/>
  <c r="C40" s="1"/>
  <c r="D40"/>
  <c r="D41"/>
  <c r="D105"/>
  <c r="C41" s="1"/>
  <c r="B41"/>
  <c r="D103"/>
  <c r="B39"/>
  <c r="F54" s="1" a="1"/>
  <c r="F56" s="1"/>
  <c r="E100"/>
  <c r="D36" s="1"/>
  <c r="E99"/>
  <c r="D35" s="1"/>
  <c r="B31"/>
  <c r="B40"/>
  <c r="D45"/>
  <c r="C39"/>
  <c r="C33"/>
  <c r="B33"/>
  <c r="D32"/>
  <c r="C32"/>
  <c r="B32"/>
  <c r="D31"/>
  <c r="C31"/>
  <c r="M23"/>
  <c r="M24"/>
  <c r="M25"/>
  <c r="M26"/>
  <c r="M27"/>
  <c r="M28"/>
  <c r="M22"/>
  <c r="N11" i="15"/>
  <c r="M20"/>
  <c r="M19"/>
  <c r="M18"/>
  <c r="I77" i="18"/>
  <c r="J77"/>
  <c r="K77"/>
  <c r="H78"/>
  <c r="T27" s="1"/>
  <c r="I78"/>
  <c r="J78"/>
  <c r="K78"/>
  <c r="H79"/>
  <c r="T28" s="1"/>
  <c r="I79"/>
  <c r="J79"/>
  <c r="K79"/>
  <c r="C4"/>
  <c r="E11" i="15"/>
  <c r="F11"/>
  <c r="G11"/>
  <c r="H11"/>
  <c r="I11"/>
  <c r="J11"/>
  <c r="K11"/>
  <c r="E12"/>
  <c r="F12"/>
  <c r="G12"/>
  <c r="H12"/>
  <c r="I12"/>
  <c r="J12"/>
  <c r="K12"/>
  <c r="E13"/>
  <c r="F13"/>
  <c r="G13"/>
  <c r="H13"/>
  <c r="I13"/>
  <c r="J13"/>
  <c r="K13"/>
  <c r="D34"/>
  <c r="E34"/>
  <c r="D35"/>
  <c r="E35"/>
  <c r="D33"/>
  <c r="D12"/>
  <c r="D13"/>
  <c r="D11"/>
  <c r="K27" i="1"/>
  <c r="L27"/>
  <c r="M27"/>
  <c r="N27"/>
  <c r="O27"/>
  <c r="P27"/>
  <c r="Q27"/>
  <c r="K28"/>
  <c r="L28"/>
  <c r="M28"/>
  <c r="N28"/>
  <c r="O28"/>
  <c r="P28"/>
  <c r="Q28"/>
  <c r="I45"/>
  <c r="I39"/>
  <c r="I37"/>
  <c r="J28"/>
  <c r="J29"/>
  <c r="K29"/>
  <c r="L29"/>
  <c r="M29"/>
  <c r="N29"/>
  <c r="O29"/>
  <c r="P29"/>
  <c r="Q29"/>
  <c r="J30"/>
  <c r="K30"/>
  <c r="K31" s="1"/>
  <c r="L30"/>
  <c r="M30"/>
  <c r="M31" s="1"/>
  <c r="N30"/>
  <c r="N31" s="1"/>
  <c r="O30"/>
  <c r="O31" s="1"/>
  <c r="P30"/>
  <c r="P31" s="1"/>
  <c r="Q30"/>
  <c r="K83" i="20" s="1"/>
  <c r="J15" i="4"/>
  <c r="L31" i="1" l="1"/>
  <c r="F17" i="14"/>
  <c r="J31" i="1"/>
  <c r="D15" i="14"/>
  <c r="E7" i="18"/>
  <c r="N13" s="1"/>
  <c r="H54" i="20" a="1"/>
  <c r="H54" s="1"/>
  <c r="G54" i="18" a="1"/>
  <c r="G56" s="1"/>
  <c r="C123"/>
  <c r="F123"/>
  <c r="C130"/>
  <c r="G130"/>
  <c r="F137"/>
  <c r="F14" s="1"/>
  <c r="B144"/>
  <c r="G14" s="1"/>
  <c r="F144"/>
  <c r="K84" i="20"/>
  <c r="P95"/>
  <c r="K12"/>
  <c r="N14"/>
  <c r="J13"/>
  <c r="K86"/>
  <c r="D12" i="18"/>
  <c r="J83" i="20"/>
  <c r="J86" s="1"/>
  <c r="L12"/>
  <c r="L13"/>
  <c r="N13"/>
  <c r="H137" i="18"/>
  <c r="D137"/>
  <c r="F12" s="1"/>
  <c r="H144"/>
  <c r="D144"/>
  <c r="G12" s="1"/>
  <c r="M12" i="20"/>
  <c r="K14"/>
  <c r="M13"/>
  <c r="I123" i="18"/>
  <c r="E123"/>
  <c r="B130"/>
  <c r="E12" s="1"/>
  <c r="F130"/>
  <c r="E14" s="1"/>
  <c r="I137"/>
  <c r="E137"/>
  <c r="I144"/>
  <c r="E144"/>
  <c r="G13" s="1"/>
  <c r="N14"/>
  <c r="F54" i="20" a="1"/>
  <c r="F56" s="1"/>
  <c r="M95"/>
  <c r="Q95"/>
  <c r="N12"/>
  <c r="K13"/>
  <c r="M14"/>
  <c r="H84"/>
  <c r="H85" s="1"/>
  <c r="H87" s="1"/>
  <c r="G84"/>
  <c r="G86" s="1"/>
  <c r="S25" s="1"/>
  <c r="E54"/>
  <c r="E55"/>
  <c r="T26"/>
  <c r="S26"/>
  <c r="D84"/>
  <c r="D86" s="1"/>
  <c r="P25" s="1"/>
  <c r="P26"/>
  <c r="F84"/>
  <c r="F86" s="1"/>
  <c r="R25" s="1"/>
  <c r="G54" a="1"/>
  <c r="G54" s="1"/>
  <c r="K62"/>
  <c r="G62"/>
  <c r="K61"/>
  <c r="G61"/>
  <c r="K60"/>
  <c r="G60"/>
  <c r="J12"/>
  <c r="I62"/>
  <c r="E61"/>
  <c r="H62"/>
  <c r="D62"/>
  <c r="H61"/>
  <c r="D61"/>
  <c r="H60"/>
  <c r="D60"/>
  <c r="E62"/>
  <c r="I61"/>
  <c r="E60"/>
  <c r="F7"/>
  <c r="J62"/>
  <c r="F62"/>
  <c r="J61"/>
  <c r="F61"/>
  <c r="J60"/>
  <c r="F60"/>
  <c r="I60"/>
  <c r="K54"/>
  <c r="I56"/>
  <c r="K56"/>
  <c r="K85"/>
  <c r="K87" s="1"/>
  <c r="I55"/>
  <c r="J56"/>
  <c r="J54"/>
  <c r="K55"/>
  <c r="I83"/>
  <c r="I86" s="1"/>
  <c r="E84"/>
  <c r="D54" a="1"/>
  <c r="I54"/>
  <c r="J55"/>
  <c r="H54" i="18"/>
  <c r="H55"/>
  <c r="F54"/>
  <c r="F55"/>
  <c r="E54" a="1"/>
  <c r="E56" s="1"/>
  <c r="G60"/>
  <c r="F61"/>
  <c r="D60"/>
  <c r="E62"/>
  <c r="K13"/>
  <c r="E60"/>
  <c r="G61"/>
  <c r="J12"/>
  <c r="K12"/>
  <c r="F62"/>
  <c r="D62"/>
  <c r="F60"/>
  <c r="G62"/>
  <c r="E61"/>
  <c r="C154"/>
  <c r="C150"/>
  <c r="C155"/>
  <c r="C151"/>
  <c r="C156"/>
  <c r="J62"/>
  <c r="I61"/>
  <c r="H60"/>
  <c r="K62"/>
  <c r="J61"/>
  <c r="I60"/>
  <c r="H62"/>
  <c r="K61"/>
  <c r="J60"/>
  <c r="I62"/>
  <c r="H61"/>
  <c r="K60"/>
  <c r="F7"/>
  <c r="K84"/>
  <c r="D33"/>
  <c r="I55" s="1"/>
  <c r="J84"/>
  <c r="I84"/>
  <c r="F84"/>
  <c r="G84"/>
  <c r="E84"/>
  <c r="H84"/>
  <c r="D84"/>
  <c r="D22" i="15"/>
  <c r="E14"/>
  <c r="K83" i="18"/>
  <c r="J83"/>
  <c r="I83"/>
  <c r="K17" i="14"/>
  <c r="G17"/>
  <c r="J16"/>
  <c r="F16"/>
  <c r="I15"/>
  <c r="E15"/>
  <c r="I32"/>
  <c r="E32"/>
  <c r="G22" i="15"/>
  <c r="K22"/>
  <c r="G23"/>
  <c r="K23"/>
  <c r="G24"/>
  <c r="K24"/>
  <c r="G39"/>
  <c r="K39"/>
  <c r="D17" i="14"/>
  <c r="H17"/>
  <c r="K16"/>
  <c r="K9" s="1"/>
  <c r="K26" s="1"/>
  <c r="G16"/>
  <c r="J15"/>
  <c r="F15"/>
  <c r="J32"/>
  <c r="F32"/>
  <c r="F22" i="15"/>
  <c r="J22"/>
  <c r="F23"/>
  <c r="J23"/>
  <c r="F24"/>
  <c r="J24"/>
  <c r="F39"/>
  <c r="J39"/>
  <c r="D16" i="14"/>
  <c r="I17"/>
  <c r="E17"/>
  <c r="H16"/>
  <c r="K15"/>
  <c r="G15"/>
  <c r="K32"/>
  <c r="G32"/>
  <c r="I22" i="15"/>
  <c r="I23"/>
  <c r="I24"/>
  <c r="E39"/>
  <c r="I39"/>
  <c r="D11" i="14"/>
  <c r="D28" s="1"/>
  <c r="J17"/>
  <c r="J11" s="1"/>
  <c r="J28" s="1"/>
  <c r="I16"/>
  <c r="E16"/>
  <c r="H15"/>
  <c r="D32"/>
  <c r="H32"/>
  <c r="H22" i="15"/>
  <c r="D23"/>
  <c r="H23"/>
  <c r="D24"/>
  <c r="H24"/>
  <c r="D39"/>
  <c r="H39"/>
  <c r="Q31" i="1"/>
  <c r="G24" i="4"/>
  <c r="H10" s="1"/>
  <c r="G23"/>
  <c r="H9" s="1"/>
  <c r="G25"/>
  <c r="H11" s="1"/>
  <c r="J10" i="14" l="1"/>
  <c r="J27" s="1"/>
  <c r="K10"/>
  <c r="K27" s="1"/>
  <c r="E10"/>
  <c r="E27" s="1"/>
  <c r="D61" i="18"/>
  <c r="K14"/>
  <c r="N12"/>
  <c r="K11" i="14"/>
  <c r="K28" s="1"/>
  <c r="G54" i="18"/>
  <c r="G55"/>
  <c r="H56" i="20"/>
  <c r="H55"/>
  <c r="F54"/>
  <c r="F55"/>
  <c r="G65"/>
  <c r="G68" s="1"/>
  <c r="F64"/>
  <c r="F67" s="1"/>
  <c r="E63"/>
  <c r="E66" s="1"/>
  <c r="H63"/>
  <c r="H66" s="1"/>
  <c r="F65"/>
  <c r="F68" s="1"/>
  <c r="E64"/>
  <c r="E67" s="1"/>
  <c r="D63"/>
  <c r="D66" s="1"/>
  <c r="H64"/>
  <c r="H67" s="1"/>
  <c r="G63"/>
  <c r="G66" s="1"/>
  <c r="E65"/>
  <c r="E68" s="1"/>
  <c r="D64"/>
  <c r="D67" s="1"/>
  <c r="H65"/>
  <c r="H68" s="1"/>
  <c r="G64"/>
  <c r="G67" s="1"/>
  <c r="F63"/>
  <c r="F66" s="1"/>
  <c r="D65"/>
  <c r="D68" s="1"/>
  <c r="D14" i="18"/>
  <c r="H12"/>
  <c r="J85" i="20"/>
  <c r="J87" s="1"/>
  <c r="H14" i="18"/>
  <c r="D13"/>
  <c r="H64"/>
  <c r="H67" s="1"/>
  <c r="H65"/>
  <c r="H68" s="1"/>
  <c r="G63"/>
  <c r="H63"/>
  <c r="I10" i="14"/>
  <c r="I27" s="1"/>
  <c r="H86" i="20"/>
  <c r="T25" s="1"/>
  <c r="G85"/>
  <c r="G87" s="1"/>
  <c r="F85"/>
  <c r="F87" s="1"/>
  <c r="D85"/>
  <c r="D87" s="1"/>
  <c r="G55"/>
  <c r="G56"/>
  <c r="K65"/>
  <c r="K68" s="1"/>
  <c r="K64"/>
  <c r="K67" s="1"/>
  <c r="K63"/>
  <c r="K66" s="1"/>
  <c r="I63"/>
  <c r="I66" s="1"/>
  <c r="I65"/>
  <c r="I68" s="1"/>
  <c r="I64"/>
  <c r="I67" s="1"/>
  <c r="J65"/>
  <c r="J68" s="1"/>
  <c r="J64"/>
  <c r="J67" s="1"/>
  <c r="J63"/>
  <c r="J66" s="1"/>
  <c r="E86"/>
  <c r="Q25" s="1"/>
  <c r="E85"/>
  <c r="E87" s="1"/>
  <c r="H10" i="14"/>
  <c r="H27" s="1"/>
  <c r="I85" i="20"/>
  <c r="I87" s="1"/>
  <c r="D54"/>
  <c r="D55"/>
  <c r="D56"/>
  <c r="E63" i="18"/>
  <c r="E66" s="1"/>
  <c r="F63"/>
  <c r="E64"/>
  <c r="E65"/>
  <c r="E54"/>
  <c r="E55"/>
  <c r="D54" a="1"/>
  <c r="H11" i="14"/>
  <c r="H28" s="1"/>
  <c r="J9"/>
  <c r="J26" s="1"/>
  <c r="J33" s="1"/>
  <c r="J35" s="1"/>
  <c r="I9"/>
  <c r="I26" s="1"/>
  <c r="G11"/>
  <c r="G28" s="1"/>
  <c r="F9"/>
  <c r="F26" s="1"/>
  <c r="H9"/>
  <c r="H26" s="1"/>
  <c r="E11"/>
  <c r="E28" s="1"/>
  <c r="J63" i="18"/>
  <c r="K65"/>
  <c r="K64"/>
  <c r="I63"/>
  <c r="J64"/>
  <c r="J65"/>
  <c r="I64"/>
  <c r="I65"/>
  <c r="K63"/>
  <c r="K54"/>
  <c r="I54"/>
  <c r="K55"/>
  <c r="J55"/>
  <c r="J54"/>
  <c r="F10" i="14"/>
  <c r="F27" s="1"/>
  <c r="G10"/>
  <c r="G27" s="1"/>
  <c r="E9"/>
  <c r="E26" s="1"/>
  <c r="G9"/>
  <c r="G26" s="1"/>
  <c r="F11"/>
  <c r="F28" s="1"/>
  <c r="I11"/>
  <c r="I28" s="1"/>
  <c r="I33" s="1"/>
  <c r="I35" s="1"/>
  <c r="K86" i="18"/>
  <c r="J56"/>
  <c r="I56"/>
  <c r="K56"/>
  <c r="J86"/>
  <c r="H86"/>
  <c r="T25" s="1"/>
  <c r="I86"/>
  <c r="F86"/>
  <c r="R25" s="1"/>
  <c r="G86"/>
  <c r="S25" s="1"/>
  <c r="E86"/>
  <c r="Q25" s="1"/>
  <c r="D86"/>
  <c r="P25" s="1"/>
  <c r="D14" i="15"/>
  <c r="I85" i="18"/>
  <c r="I87" s="1"/>
  <c r="I14" i="15"/>
  <c r="F14"/>
  <c r="G14"/>
  <c r="D85" i="18"/>
  <c r="D87" s="1"/>
  <c r="G85"/>
  <c r="G87" s="1"/>
  <c r="D10" i="14"/>
  <c r="D27" s="1"/>
  <c r="D9"/>
  <c r="D26" s="1"/>
  <c r="J14" i="15"/>
  <c r="K14"/>
  <c r="H85" i="18"/>
  <c r="H87" s="1"/>
  <c r="E85"/>
  <c r="E87" s="1"/>
  <c r="F85"/>
  <c r="F87" s="1"/>
  <c r="K85"/>
  <c r="K87" s="1"/>
  <c r="H14" i="15"/>
  <c r="J85" i="18"/>
  <c r="J87" s="1"/>
  <c r="E33" i="15"/>
  <c r="F35"/>
  <c r="F34"/>
  <c r="F33"/>
  <c r="G35"/>
  <c r="G34"/>
  <c r="G33"/>
  <c r="H35"/>
  <c r="H34"/>
  <c r="H33"/>
  <c r="I35"/>
  <c r="I34"/>
  <c r="I33"/>
  <c r="J35"/>
  <c r="J34"/>
  <c r="J33"/>
  <c r="K35"/>
  <c r="K34"/>
  <c r="K33"/>
  <c r="D17" i="4"/>
  <c r="D36" s="1"/>
  <c r="D16"/>
  <c r="D35" s="1"/>
  <c r="D15"/>
  <c r="K33" i="14" l="1"/>
  <c r="K35" s="1"/>
  <c r="E33"/>
  <c r="E35" s="1"/>
  <c r="H66" i="18"/>
  <c r="H57" s="1"/>
  <c r="J57" i="20"/>
  <c r="F33" i="14"/>
  <c r="F35" s="1"/>
  <c r="E57" i="20"/>
  <c r="H57"/>
  <c r="K57"/>
  <c r="I57"/>
  <c r="G33" i="14"/>
  <c r="G34" s="1"/>
  <c r="D57" i="20"/>
  <c r="G57"/>
  <c r="H33" i="14"/>
  <c r="H34" s="1"/>
  <c r="F57" i="20"/>
  <c r="D56" i="18"/>
  <c r="D55"/>
  <c r="D54"/>
  <c r="D33" i="14"/>
  <c r="D35" s="1"/>
  <c r="I66" i="18"/>
  <c r="K68"/>
  <c r="K67"/>
  <c r="J67"/>
  <c r="J68"/>
  <c r="K66"/>
  <c r="I68"/>
  <c r="J66"/>
  <c r="I67"/>
  <c r="F40" i="15"/>
  <c r="J40"/>
  <c r="I40"/>
  <c r="I42" s="1"/>
  <c r="E40"/>
  <c r="E42" s="1"/>
  <c r="H40"/>
  <c r="H42" s="1"/>
  <c r="D40"/>
  <c r="D42" s="1"/>
  <c r="K40"/>
  <c r="K42" s="1"/>
  <c r="G40"/>
  <c r="G42" s="1"/>
  <c r="I34" i="14"/>
  <c r="E34"/>
  <c r="J34"/>
  <c r="J18" i="4"/>
  <c r="D34"/>
  <c r="J19"/>
  <c r="J20"/>
  <c r="K34" i="14" l="1"/>
  <c r="F34"/>
  <c r="H35"/>
  <c r="G35"/>
  <c r="D34"/>
  <c r="J41" i="15"/>
  <c r="J43" s="1"/>
  <c r="J42"/>
  <c r="F41"/>
  <c r="F43" s="1"/>
  <c r="F42"/>
  <c r="J57" i="18"/>
  <c r="I57"/>
  <c r="K57"/>
  <c r="I41" i="15"/>
  <c r="I43" s="1"/>
  <c r="E41"/>
  <c r="E43" s="1"/>
  <c r="K41"/>
  <c r="K43" s="1"/>
  <c r="H41"/>
  <c r="H43" s="1"/>
  <c r="G41"/>
  <c r="G43" s="1"/>
  <c r="D41"/>
  <c r="D43" s="1"/>
  <c r="D64" i="18" l="1"/>
  <c r="L14"/>
  <c r="O133" i="22"/>
  <c r="O263"/>
  <c r="O107"/>
  <c r="Q124"/>
  <c r="Q288"/>
  <c r="R145"/>
  <c r="O131"/>
  <c r="R144"/>
  <c r="T193"/>
  <c r="P229"/>
  <c r="R138"/>
  <c r="R90"/>
  <c r="R142"/>
  <c r="R256"/>
  <c r="T126"/>
  <c r="O278"/>
  <c r="R286"/>
  <c r="O198"/>
  <c r="R255"/>
  <c r="Q239"/>
  <c r="O173"/>
  <c r="R69"/>
  <c r="R196"/>
  <c r="O54"/>
  <c r="T118"/>
  <c r="O138"/>
  <c r="O202"/>
  <c r="O154"/>
  <c r="R102"/>
  <c r="T190"/>
  <c r="O235"/>
  <c r="R208"/>
  <c r="P150"/>
  <c r="Q223"/>
  <c r="O116"/>
  <c r="O240"/>
  <c r="R193"/>
  <c r="Q188"/>
  <c r="O128"/>
  <c r="Q169"/>
  <c r="T192"/>
  <c r="P66"/>
  <c r="P205"/>
  <c r="O279"/>
  <c r="Q129"/>
  <c r="P145"/>
  <c r="Q41"/>
  <c r="R72"/>
  <c r="R45"/>
  <c r="R179"/>
  <c r="R131"/>
  <c r="R148"/>
  <c r="O87"/>
  <c r="Q108"/>
  <c r="P20"/>
  <c r="O227"/>
  <c r="O44"/>
  <c r="R97"/>
  <c r="Q225"/>
  <c r="R109"/>
  <c r="T150"/>
  <c r="T266"/>
  <c r="P268"/>
  <c r="R64"/>
  <c r="Q144"/>
  <c r="T183"/>
  <c r="O93"/>
  <c r="O110"/>
  <c r="Q19"/>
  <c r="O163"/>
  <c r="T268"/>
  <c r="P261"/>
  <c r="P114"/>
  <c r="T110"/>
  <c r="T207"/>
  <c r="Q232"/>
  <c r="R215"/>
  <c r="T182"/>
  <c r="Q174"/>
  <c r="R217"/>
  <c r="P38"/>
  <c r="P186"/>
  <c r="Q283"/>
  <c r="P275"/>
  <c r="T19"/>
  <c r="P89"/>
  <c r="T194"/>
  <c r="P75"/>
  <c r="P128"/>
  <c r="R181"/>
  <c r="O73"/>
  <c r="Q268"/>
  <c r="R285"/>
  <c r="T158"/>
  <c r="R171"/>
  <c r="P181"/>
  <c r="O222"/>
  <c r="T265"/>
  <c r="Q22"/>
  <c r="P267"/>
  <c r="P285"/>
  <c r="T250"/>
  <c r="T112"/>
  <c r="Q211"/>
  <c r="P168"/>
  <c r="O12"/>
  <c r="O141"/>
  <c r="Q39"/>
  <c r="T260"/>
  <c r="T82"/>
  <c r="T16"/>
  <c r="O221"/>
  <c r="R233"/>
  <c r="T208"/>
  <c r="P172"/>
  <c r="P140"/>
  <c r="O267"/>
  <c r="P174"/>
  <c r="P40"/>
  <c r="T43"/>
  <c r="O160"/>
  <c r="Q18"/>
  <c r="O277"/>
  <c r="Q259"/>
  <c r="P208"/>
  <c r="T181"/>
  <c r="O127"/>
  <c r="R248"/>
  <c r="R13"/>
  <c r="R258"/>
  <c r="P129"/>
  <c r="O56"/>
  <c r="P192"/>
  <c r="T219"/>
  <c r="T177"/>
  <c r="P104"/>
  <c r="Q198"/>
  <c r="R104"/>
  <c r="R219"/>
  <c r="P212"/>
  <c r="T49"/>
  <c r="T210"/>
  <c r="O14"/>
  <c r="P196"/>
  <c r="O272"/>
  <c r="R129"/>
  <c r="T232"/>
  <c r="P180"/>
  <c r="T175"/>
  <c r="Q72"/>
  <c r="T142"/>
  <c r="R207"/>
  <c r="T113"/>
  <c r="R254"/>
  <c r="O212"/>
  <c r="P195"/>
  <c r="R279"/>
  <c r="T284"/>
  <c r="T32"/>
  <c r="P13"/>
  <c r="P254"/>
  <c r="T241"/>
  <c r="R84"/>
  <c r="R89"/>
  <c r="T84"/>
  <c r="Q234"/>
  <c r="T280"/>
  <c r="Q275"/>
  <c r="Q227"/>
  <c r="T20"/>
  <c r="T213"/>
  <c r="P265"/>
  <c r="O206"/>
  <c r="R283"/>
  <c r="T75"/>
  <c r="O287"/>
  <c r="T200"/>
  <c r="O20"/>
  <c r="O72"/>
  <c r="T206"/>
  <c r="R183"/>
  <c r="P130"/>
  <c r="Q24"/>
  <c r="R182"/>
  <c r="Q151"/>
  <c r="T62"/>
  <c r="T214"/>
  <c r="Q209"/>
  <c r="R154"/>
  <c r="P53"/>
  <c r="P60"/>
  <c r="O246"/>
  <c r="O152"/>
  <c r="P201"/>
  <c r="T271"/>
  <c r="P252"/>
  <c r="Q88"/>
  <c r="Q99"/>
  <c r="P176"/>
  <c r="R146"/>
  <c r="P184"/>
  <c r="O260"/>
  <c r="T65"/>
  <c r="P115"/>
  <c r="Q165"/>
  <c r="Q264"/>
  <c r="O224"/>
  <c r="Q153"/>
  <c r="O48"/>
  <c r="P29"/>
  <c r="R216"/>
  <c r="Q230"/>
  <c r="T92"/>
  <c r="Q202"/>
  <c r="P71"/>
  <c r="Q193"/>
  <c r="Q246"/>
  <c r="Q47"/>
  <c r="T80"/>
  <c r="P231"/>
  <c r="O31"/>
  <c r="O262"/>
  <c r="T227"/>
  <c r="R173"/>
  <c r="R40"/>
  <c r="P144"/>
  <c r="Q121"/>
  <c r="Q178"/>
  <c r="T127"/>
  <c r="T109"/>
  <c r="Q220"/>
  <c r="R266"/>
  <c r="T217"/>
  <c r="T291"/>
  <c r="P127"/>
  <c r="T35"/>
  <c r="R22"/>
  <c r="O177"/>
  <c r="P171"/>
  <c r="P69"/>
  <c r="Q90"/>
  <c r="Q109"/>
  <c r="R12"/>
  <c r="P79"/>
  <c r="O23"/>
  <c r="P30"/>
  <c r="P92"/>
  <c r="T73"/>
  <c r="R291"/>
  <c r="R92"/>
  <c r="O68"/>
  <c r="O118"/>
  <c r="R115"/>
  <c r="T184"/>
  <c r="O192"/>
  <c r="Q135"/>
  <c r="P98"/>
  <c r="Q258"/>
  <c r="O223"/>
  <c r="O85"/>
  <c r="Q42"/>
  <c r="T157"/>
  <c r="T244"/>
  <c r="R243"/>
  <c r="Q14"/>
  <c r="R149"/>
  <c r="Q190"/>
  <c r="P112"/>
  <c r="Q95"/>
  <c r="R271"/>
  <c r="O170"/>
  <c r="R156"/>
  <c r="P164"/>
  <c r="Q43"/>
  <c r="T60"/>
  <c r="P84"/>
  <c r="P96"/>
  <c r="P88"/>
  <c r="T254"/>
  <c r="Q59"/>
  <c r="Q170"/>
  <c r="O229"/>
  <c r="P260"/>
  <c r="R197"/>
  <c r="O96"/>
  <c r="Q130"/>
  <c r="Q92"/>
  <c r="T141"/>
  <c r="O200"/>
  <c r="P131"/>
  <c r="R127"/>
  <c r="O156"/>
  <c r="R58"/>
  <c r="P82"/>
  <c r="T163"/>
  <c r="T167"/>
  <c r="P97"/>
  <c r="P14"/>
  <c r="Q187"/>
  <c r="R200"/>
  <c r="R172"/>
  <c r="P274"/>
  <c r="O134"/>
  <c r="R222"/>
  <c r="O88"/>
  <c r="R284"/>
  <c r="T97"/>
  <c r="Q32"/>
  <c r="T262"/>
  <c r="O24"/>
  <c r="T289"/>
  <c r="O53"/>
  <c r="P27"/>
  <c r="P273"/>
  <c r="O230"/>
  <c r="Q57"/>
  <c r="O43"/>
  <c r="R56"/>
  <c r="T37"/>
  <c r="Q156"/>
  <c r="Q186"/>
  <c r="Q34"/>
  <c r="O55"/>
  <c r="O29"/>
  <c r="P251"/>
  <c r="P42"/>
  <c r="R235"/>
  <c r="O32"/>
  <c r="O182"/>
  <c r="Q60"/>
  <c r="Q82"/>
  <c r="O109"/>
  <c r="R85"/>
  <c r="T172"/>
  <c r="T45"/>
  <c r="P17"/>
  <c r="O184"/>
  <c r="P21"/>
  <c r="P210"/>
  <c r="R80"/>
  <c r="T226"/>
  <c r="P54"/>
  <c r="O183"/>
  <c r="P123"/>
  <c r="T279"/>
  <c r="O245"/>
  <c r="Q83"/>
  <c r="R227"/>
  <c r="T286"/>
  <c r="T173"/>
  <c r="O77"/>
  <c r="O234"/>
  <c r="Q184"/>
  <c r="T223"/>
  <c r="O225"/>
  <c r="R105"/>
  <c r="T228"/>
  <c r="T135"/>
  <c r="O97"/>
  <c r="O13"/>
  <c r="T186"/>
  <c r="O171"/>
  <c r="O161"/>
  <c r="O155"/>
  <c r="P102"/>
  <c r="T224"/>
  <c r="T215"/>
  <c r="T89"/>
  <c r="P35"/>
  <c r="P179"/>
  <c r="Q112"/>
  <c r="T147"/>
  <c r="T140"/>
  <c r="O174"/>
  <c r="P249"/>
  <c r="Q86"/>
  <c r="P272"/>
  <c r="O209"/>
  <c r="T69"/>
  <c r="T251"/>
  <c r="R39"/>
  <c r="T59"/>
  <c r="Q107"/>
  <c r="R61"/>
  <c r="Q15"/>
  <c r="Q133"/>
  <c r="O47"/>
  <c r="R221"/>
  <c r="P225"/>
  <c r="O204"/>
  <c r="R160"/>
  <c r="R167"/>
  <c r="R191"/>
  <c r="Q53"/>
  <c r="P49"/>
  <c r="Q194"/>
  <c r="P80"/>
  <c r="O207"/>
  <c r="O186"/>
  <c r="T26"/>
  <c r="R265"/>
  <c r="Q119"/>
  <c r="R21"/>
  <c r="Q67"/>
  <c r="T245"/>
  <c r="Q128"/>
  <c r="Q189"/>
  <c r="R175"/>
  <c r="Q26"/>
  <c r="O233"/>
  <c r="Q266"/>
  <c r="O259"/>
  <c r="Q145"/>
  <c r="T252"/>
  <c r="R202"/>
  <c r="Q171"/>
  <c r="T178"/>
  <c r="R177"/>
  <c r="R26"/>
  <c r="P198"/>
  <c r="R212"/>
  <c r="P280"/>
  <c r="T136"/>
  <c r="R238"/>
  <c r="T176"/>
  <c r="Q56"/>
  <c r="T198"/>
  <c r="T22"/>
  <c r="O165"/>
  <c r="O51"/>
  <c r="O49"/>
  <c r="O255"/>
  <c r="T240"/>
  <c r="P286"/>
  <c r="Q20"/>
  <c r="P264"/>
  <c r="T66"/>
  <c r="Q265"/>
  <c r="T145"/>
  <c r="T195"/>
  <c r="O113"/>
  <c r="T220"/>
  <c r="Q240"/>
  <c r="T236"/>
  <c r="P239"/>
  <c r="T264"/>
  <c r="P221"/>
  <c r="Q93"/>
  <c r="P81"/>
  <c r="P282"/>
  <c r="O241"/>
  <c r="P246"/>
  <c r="Q154"/>
  <c r="O159"/>
  <c r="Q276"/>
  <c r="R246"/>
  <c r="R96"/>
  <c r="P113"/>
  <c r="R174"/>
  <c r="R62"/>
  <c r="O146"/>
  <c r="T54"/>
  <c r="T204"/>
  <c r="O135"/>
  <c r="T151"/>
  <c r="Q262"/>
  <c r="P204"/>
  <c r="Q236"/>
  <c r="Q68"/>
  <c r="O220"/>
  <c r="Q29"/>
  <c r="R53"/>
  <c r="O203"/>
  <c r="Q51"/>
  <c r="R206"/>
  <c r="R68"/>
  <c r="R52"/>
  <c r="T47"/>
  <c r="O236"/>
  <c r="T197"/>
  <c r="P217"/>
  <c r="O270"/>
  <c r="R178"/>
  <c r="P32"/>
  <c r="P283"/>
  <c r="T161"/>
  <c r="P162"/>
  <c r="T122"/>
  <c r="T18"/>
  <c r="R273"/>
  <c r="R132"/>
  <c r="T90"/>
  <c r="Q25"/>
  <c r="T42"/>
  <c r="P76"/>
  <c r="T106"/>
  <c r="T168"/>
  <c r="T95"/>
  <c r="R189"/>
  <c r="Q102"/>
  <c r="T238"/>
  <c r="Q36"/>
  <c r="R124"/>
  <c r="T188"/>
  <c r="T257"/>
  <c r="P206"/>
  <c r="P143"/>
  <c r="O58"/>
  <c r="O120"/>
  <c r="Q199"/>
  <c r="O188"/>
  <c r="R99"/>
  <c r="R15"/>
  <c r="T17"/>
  <c r="Q241"/>
  <c r="Q54"/>
  <c r="P142"/>
  <c r="P189"/>
  <c r="T258"/>
  <c r="T24"/>
  <c r="O59"/>
  <c r="O69"/>
  <c r="T274"/>
  <c r="O288"/>
  <c r="T134"/>
  <c r="Q282"/>
  <c r="T282"/>
  <c r="Q85"/>
  <c r="O117"/>
  <c r="T72"/>
  <c r="R59"/>
  <c r="Q45"/>
  <c r="R107"/>
  <c r="T25"/>
  <c r="T225"/>
  <c r="Q182"/>
  <c r="P218"/>
  <c r="T218"/>
  <c r="T119"/>
  <c r="Q272"/>
  <c r="T33"/>
  <c r="P132"/>
  <c r="R259"/>
  <c r="O80"/>
  <c r="O40"/>
  <c r="T91"/>
  <c r="T189"/>
  <c r="Q134"/>
  <c r="R234"/>
  <c r="O249"/>
  <c r="O199"/>
  <c r="R199"/>
  <c r="P68"/>
  <c r="O57"/>
  <c r="O217"/>
  <c r="R101"/>
  <c r="P125"/>
  <c r="O271"/>
  <c r="Q243"/>
  <c r="R247"/>
  <c r="Q195"/>
  <c r="O66"/>
  <c r="Q271"/>
  <c r="O205"/>
  <c r="R218"/>
  <c r="O84"/>
  <c r="O65"/>
  <c r="P138"/>
  <c r="R270"/>
  <c r="T79"/>
  <c r="Q180"/>
  <c r="R231"/>
  <c r="Q97"/>
  <c r="R263"/>
  <c r="O70"/>
  <c r="T149"/>
  <c r="P86"/>
  <c r="R35"/>
  <c r="T111"/>
  <c r="O164"/>
  <c r="O81"/>
  <c r="Q110"/>
  <c r="R118"/>
  <c r="R126"/>
  <c r="R78"/>
  <c r="R41"/>
  <c r="T202"/>
  <c r="P36"/>
  <c r="O201"/>
  <c r="R281"/>
  <c r="Q185"/>
  <c r="O238"/>
  <c r="Q46"/>
  <c r="Q98"/>
  <c r="R188"/>
  <c r="O228"/>
  <c r="O145"/>
  <c r="R163"/>
  <c r="T203"/>
  <c r="O190"/>
  <c r="O142"/>
  <c r="R289"/>
  <c r="T292"/>
  <c r="P106"/>
  <c r="R38"/>
  <c r="Q139"/>
  <c r="O150"/>
  <c r="O33"/>
  <c r="O282"/>
  <c r="R133"/>
  <c r="P133"/>
  <c r="P65"/>
  <c r="Q157"/>
  <c r="P241"/>
  <c r="Q140"/>
  <c r="P101"/>
  <c r="R103"/>
  <c r="Q31"/>
  <c r="O167"/>
  <c r="O83"/>
  <c r="Q16"/>
  <c r="Q191"/>
  <c r="P103"/>
  <c r="O36"/>
  <c r="R86"/>
  <c r="Q63"/>
  <c r="P91"/>
  <c r="P170"/>
  <c r="O261"/>
  <c r="R253"/>
  <c r="Q70"/>
  <c r="O187"/>
  <c r="P139"/>
  <c r="Q118"/>
  <c r="T114"/>
  <c r="O281"/>
  <c r="R136"/>
  <c r="O119"/>
  <c r="R282"/>
  <c r="O21"/>
  <c r="P263"/>
  <c r="P230"/>
  <c r="P182"/>
  <c r="O181"/>
  <c r="Q137"/>
  <c r="P163"/>
  <c r="T77"/>
  <c r="R71"/>
  <c r="T78"/>
  <c r="Q146"/>
  <c r="T229"/>
  <c r="P194"/>
  <c r="R112"/>
  <c r="R180"/>
  <c r="T53"/>
  <c r="O264"/>
  <c r="O129"/>
  <c r="Q64"/>
  <c r="T15"/>
  <c r="P226"/>
  <c r="P188"/>
  <c r="R81"/>
  <c r="P270"/>
  <c r="P276"/>
  <c r="P156"/>
  <c r="O30"/>
  <c r="P266"/>
  <c r="P136"/>
  <c r="Q28"/>
  <c r="T155"/>
  <c r="P197"/>
  <c r="T153"/>
  <c r="P233"/>
  <c r="T93"/>
  <c r="R16"/>
  <c r="Q253"/>
  <c r="P232"/>
  <c r="P57"/>
  <c r="P15"/>
  <c r="R30"/>
  <c r="O75"/>
  <c r="T115"/>
  <c r="O124"/>
  <c r="T259"/>
  <c r="P110"/>
  <c r="T246"/>
  <c r="P177"/>
  <c r="Q77"/>
  <c r="T46"/>
  <c r="O132"/>
  <c r="P247"/>
  <c r="Q254"/>
  <c r="O35"/>
  <c r="Q167"/>
  <c r="O144"/>
  <c r="R44"/>
  <c r="O121"/>
  <c r="O252"/>
  <c r="P290"/>
  <c r="T130"/>
  <c r="Q55"/>
  <c r="O126"/>
  <c r="R83"/>
  <c r="Q58"/>
  <c r="T76"/>
  <c r="P45"/>
  <c r="P107"/>
  <c r="T211"/>
  <c r="P87"/>
  <c r="R57"/>
  <c r="O108"/>
  <c r="P240"/>
  <c r="R169"/>
  <c r="P211"/>
  <c r="R176"/>
  <c r="T44"/>
  <c r="Q132"/>
  <c r="Q201"/>
  <c r="R139"/>
  <c r="P77"/>
  <c r="R165"/>
  <c r="R24"/>
  <c r="O130"/>
  <c r="O274"/>
  <c r="O243"/>
  <c r="P108"/>
  <c r="P183"/>
  <c r="T86"/>
  <c r="Q116"/>
  <c r="R73"/>
  <c r="P175"/>
  <c r="R159"/>
  <c r="O232"/>
  <c r="T187"/>
  <c r="T71"/>
  <c r="R267"/>
  <c r="Q289"/>
  <c r="P215"/>
  <c r="P51"/>
  <c r="T67"/>
  <c r="T102"/>
  <c r="R157"/>
  <c r="O38"/>
  <c r="P52"/>
  <c r="Q269"/>
  <c r="T222"/>
  <c r="Q94"/>
  <c r="P190"/>
  <c r="R262"/>
  <c r="R23"/>
  <c r="T205"/>
  <c r="O71"/>
  <c r="O28"/>
  <c r="R98"/>
  <c r="P250"/>
  <c r="R76"/>
  <c r="R224"/>
  <c r="O196"/>
  <c r="P147"/>
  <c r="Q76"/>
  <c r="R63"/>
  <c r="Q273"/>
  <c r="O95"/>
  <c r="R119"/>
  <c r="O269"/>
  <c r="T99"/>
  <c r="T50"/>
  <c r="P242"/>
  <c r="P259"/>
  <c r="Q84"/>
  <c r="Q142"/>
  <c r="O140"/>
  <c r="Q286"/>
  <c r="O254"/>
  <c r="P278"/>
  <c r="O52"/>
  <c r="T249"/>
  <c r="Q238"/>
  <c r="R241"/>
  <c r="P228"/>
  <c r="T256"/>
  <c r="R152"/>
  <c r="T235"/>
  <c r="P116"/>
  <c r="T166"/>
  <c r="T96"/>
  <c r="Q213"/>
  <c r="Q101"/>
  <c r="R18"/>
  <c r="R194"/>
  <c r="R290"/>
  <c r="R113"/>
  <c r="Q40"/>
  <c r="R213"/>
  <c r="P173"/>
  <c r="T146"/>
  <c r="Q117"/>
  <c r="Q105"/>
  <c r="O208"/>
  <c r="Q162"/>
  <c r="O82"/>
  <c r="Q192"/>
  <c r="Q291"/>
  <c r="P284"/>
  <c r="P34"/>
  <c r="R50"/>
  <c r="R245"/>
  <c r="P94"/>
  <c r="T138"/>
  <c r="T152"/>
  <c r="T180"/>
  <c r="P153"/>
  <c r="P238"/>
  <c r="O284"/>
  <c r="P28"/>
  <c r="P58"/>
  <c r="T58"/>
  <c r="T23"/>
  <c r="P219"/>
  <c r="O158"/>
  <c r="P213"/>
  <c r="P159"/>
  <c r="Q206"/>
  <c r="Q158"/>
  <c r="P25"/>
  <c r="R205"/>
  <c r="O197"/>
  <c r="R34"/>
  <c r="T28"/>
  <c r="R190"/>
  <c r="Q216"/>
  <c r="R277"/>
  <c r="Q177"/>
  <c r="P83"/>
  <c r="Q163"/>
  <c r="Q80"/>
  <c r="P223"/>
  <c r="O265"/>
  <c r="Q168"/>
  <c r="O147"/>
  <c r="P78"/>
  <c r="Q285"/>
  <c r="R230"/>
  <c r="T174"/>
  <c r="T169"/>
  <c r="Q278"/>
  <c r="Q245"/>
  <c r="P46"/>
  <c r="R140"/>
  <c r="Q161"/>
  <c r="R19"/>
  <c r="R287"/>
  <c r="Q120"/>
  <c r="O210"/>
  <c r="R47"/>
  <c r="Q125"/>
  <c r="R185"/>
  <c r="T201"/>
  <c r="R209"/>
  <c r="O42"/>
  <c r="Q251"/>
  <c r="R210"/>
  <c r="P157"/>
  <c r="O166"/>
  <c r="T277"/>
  <c r="O45"/>
  <c r="P161"/>
  <c r="T61"/>
  <c r="O27"/>
  <c r="O104"/>
  <c r="O78"/>
  <c r="O92"/>
  <c r="P105"/>
  <c r="O291"/>
  <c r="Q172"/>
  <c r="O286"/>
  <c r="O136"/>
  <c r="P24"/>
  <c r="P256"/>
  <c r="O273"/>
  <c r="T13"/>
  <c r="Q242"/>
  <c r="R66"/>
  <c r="Q270"/>
  <c r="P271"/>
  <c r="Q160"/>
  <c r="O99"/>
  <c r="P167"/>
  <c r="Q226"/>
  <c r="O247"/>
  <c r="O250"/>
  <c r="Q287"/>
  <c r="P70"/>
  <c r="Q141"/>
  <c r="P18"/>
  <c r="Q89"/>
  <c r="P61"/>
  <c r="Q218"/>
  <c r="R27"/>
  <c r="O189"/>
  <c r="P95"/>
  <c r="T196"/>
  <c r="R77"/>
  <c r="T247"/>
  <c r="P56"/>
  <c r="O19"/>
  <c r="O112"/>
  <c r="P85"/>
  <c r="O86"/>
  <c r="O194"/>
  <c r="O60"/>
  <c r="R278"/>
  <c r="P193"/>
  <c r="Q100"/>
  <c r="P243"/>
  <c r="P253"/>
  <c r="T253"/>
  <c r="P39"/>
  <c r="Q200"/>
  <c r="R150"/>
  <c r="O63"/>
  <c r="T87"/>
  <c r="P235"/>
  <c r="R37"/>
  <c r="Q49"/>
  <c r="T154"/>
  <c r="Q233"/>
  <c r="O149"/>
  <c r="R33"/>
  <c r="R43"/>
  <c r="Q115"/>
  <c r="O253"/>
  <c r="Q228"/>
  <c r="P90"/>
  <c r="Q224"/>
  <c r="Q106"/>
  <c r="O106"/>
  <c r="O137"/>
  <c r="P124"/>
  <c r="O114"/>
  <c r="R60"/>
  <c r="P47"/>
  <c r="O46"/>
  <c r="T276"/>
  <c r="Q173"/>
  <c r="T287"/>
  <c r="Q237"/>
  <c r="P55"/>
  <c r="P155"/>
  <c r="R65"/>
  <c r="O168"/>
  <c r="P207"/>
  <c r="O244"/>
  <c r="T209"/>
  <c r="T125"/>
  <c r="P135"/>
  <c r="T124"/>
  <c r="P134"/>
  <c r="R274"/>
  <c r="P158"/>
  <c r="T36"/>
  <c r="T120"/>
  <c r="T103"/>
  <c r="Q78"/>
  <c r="T160"/>
  <c r="O214"/>
  <c r="T39"/>
  <c r="Q12"/>
  <c r="Q159"/>
  <c r="P227"/>
  <c r="P224"/>
  <c r="R168"/>
  <c r="R228"/>
  <c r="O153"/>
  <c r="O280"/>
  <c r="T31"/>
  <c r="P200"/>
  <c r="R257"/>
  <c r="T100"/>
  <c r="O178"/>
  <c r="Q123"/>
  <c r="Q208"/>
  <c r="O176"/>
  <c r="T273"/>
  <c r="O102"/>
  <c r="R229"/>
  <c r="R82"/>
  <c r="O215"/>
  <c r="O213"/>
  <c r="P216"/>
  <c r="R70"/>
  <c r="P262"/>
  <c r="O37"/>
  <c r="R46"/>
  <c r="O98"/>
  <c r="Q52"/>
  <c r="R95"/>
  <c r="Q197"/>
  <c r="R261"/>
  <c r="R28"/>
  <c r="P121"/>
  <c r="R232"/>
  <c r="T148"/>
  <c r="P258"/>
  <c r="Q203"/>
  <c r="O257"/>
  <c r="R55"/>
  <c r="Q17"/>
  <c r="P93"/>
  <c r="T255"/>
  <c r="R31"/>
  <c r="T117"/>
  <c r="T123"/>
  <c r="R239"/>
  <c r="P111"/>
  <c r="P16"/>
  <c r="T64"/>
  <c r="R120"/>
  <c r="T221"/>
  <c r="T283"/>
  <c r="P99"/>
  <c r="R192"/>
  <c r="T288"/>
  <c r="Q148"/>
  <c r="T83"/>
  <c r="Q74"/>
  <c r="T212"/>
  <c r="Q164"/>
  <c r="Q104"/>
  <c r="P48"/>
  <c r="T94"/>
  <c r="Q290"/>
  <c r="R130"/>
  <c r="P118"/>
  <c r="Q284"/>
  <c r="T234"/>
  <c r="O62"/>
  <c r="O231"/>
  <c r="T74"/>
  <c r="P146"/>
  <c r="P209"/>
  <c r="O169"/>
  <c r="P245"/>
  <c r="T143"/>
  <c r="Q114"/>
  <c r="O105"/>
  <c r="T269"/>
  <c r="R276"/>
  <c r="Q62"/>
  <c r="P187"/>
  <c r="Q260"/>
  <c r="R280"/>
  <c r="R237"/>
  <c r="O191"/>
  <c r="Q44"/>
  <c r="R252"/>
  <c r="O237"/>
  <c r="R25"/>
  <c r="R32"/>
  <c r="R106"/>
  <c r="O90"/>
  <c r="P165"/>
  <c r="O175"/>
  <c r="Q217"/>
  <c r="R75"/>
  <c r="P148"/>
  <c r="T237"/>
  <c r="R51"/>
  <c r="O216"/>
  <c r="R264"/>
  <c r="O125"/>
  <c r="P23"/>
  <c r="R114"/>
  <c r="O219"/>
  <c r="T52"/>
  <c r="Q277"/>
  <c r="O79"/>
  <c r="P100"/>
  <c r="O41"/>
  <c r="R260"/>
  <c r="Q255"/>
  <c r="R48"/>
  <c r="T270"/>
  <c r="T128"/>
  <c r="T281"/>
  <c r="Q65"/>
  <c r="Q274"/>
  <c r="O218"/>
  <c r="R88"/>
  <c r="O111"/>
  <c r="T267"/>
  <c r="Q87"/>
  <c r="R158"/>
  <c r="Q33"/>
  <c r="Q13"/>
  <c r="T63"/>
  <c r="P149"/>
  <c r="P199"/>
  <c r="R223"/>
  <c r="Q219"/>
  <c r="P220"/>
  <c r="Q152"/>
  <c r="R170"/>
  <c r="R74"/>
  <c r="R42"/>
  <c r="P234"/>
  <c r="P62"/>
  <c r="O50"/>
  <c r="R93"/>
  <c r="T104"/>
  <c r="P288"/>
  <c r="Q214"/>
  <c r="O172"/>
  <c r="T159"/>
  <c r="O18"/>
  <c r="T156"/>
  <c r="Q281"/>
  <c r="Q61"/>
  <c r="R14"/>
  <c r="R244"/>
  <c r="O16"/>
  <c r="Q229"/>
  <c r="R161"/>
  <c r="P64"/>
  <c r="Q231"/>
  <c r="P169"/>
  <c r="O74"/>
  <c r="Q244"/>
  <c r="T57"/>
  <c r="T98"/>
  <c r="R137"/>
  <c r="T285"/>
  <c r="T88"/>
  <c r="P31"/>
  <c r="Q181"/>
  <c r="R108"/>
  <c r="O242"/>
  <c r="R87"/>
  <c r="O34"/>
  <c r="R275"/>
  <c r="O64"/>
  <c r="R187"/>
  <c r="R147"/>
  <c r="P255"/>
  <c r="R110"/>
  <c r="O123"/>
  <c r="Q149"/>
  <c r="R155"/>
  <c r="O101"/>
  <c r="R49"/>
  <c r="Q210"/>
  <c r="Q250"/>
  <c r="Q166"/>
  <c r="T56"/>
  <c r="R128"/>
  <c r="Q113"/>
  <c r="Q204"/>
  <c r="T55"/>
  <c r="R186"/>
  <c r="T40"/>
  <c r="R79"/>
  <c r="Q37"/>
  <c r="O266"/>
  <c r="O275"/>
  <c r="Q35"/>
  <c r="T129"/>
  <c r="O285"/>
  <c r="P244"/>
  <c r="T51"/>
  <c r="P214"/>
  <c r="Q50"/>
  <c r="Q138"/>
  <c r="T243"/>
  <c r="R162"/>
  <c r="O17"/>
  <c r="Q71"/>
  <c r="P63"/>
  <c r="O103"/>
  <c r="R29"/>
  <c r="R211"/>
  <c r="T278"/>
  <c r="T191"/>
  <c r="R251"/>
  <c r="O195"/>
  <c r="T144"/>
  <c r="R134"/>
  <c r="T30"/>
  <c r="R135"/>
  <c r="Q131"/>
  <c r="P117"/>
  <c r="R117"/>
  <c r="T216"/>
  <c r="T116"/>
  <c r="O22"/>
  <c r="T132"/>
  <c r="Q30"/>
  <c r="P44"/>
  <c r="R121"/>
  <c r="R198"/>
  <c r="T14"/>
  <c r="T185"/>
  <c r="Q257"/>
  <c r="P141"/>
  <c r="R226"/>
  <c r="O193"/>
  <c r="O258"/>
  <c r="T261"/>
  <c r="T107"/>
  <c r="T231"/>
  <c r="P12"/>
  <c r="R225"/>
  <c r="Q91"/>
  <c r="T108"/>
  <c r="O26"/>
  <c r="O143"/>
  <c r="R242"/>
  <c r="R67"/>
  <c r="R143"/>
  <c r="R166"/>
  <c r="P126"/>
  <c r="Q48"/>
  <c r="Q69"/>
  <c r="Q103"/>
  <c r="T248"/>
  <c r="R236"/>
  <c r="P119"/>
  <c r="Q23"/>
  <c r="Q279"/>
  <c r="O61"/>
  <c r="T70"/>
  <c r="O67"/>
  <c r="Q175"/>
  <c r="T139"/>
  <c r="P19"/>
  <c r="R272"/>
  <c r="R204"/>
  <c r="R195"/>
  <c r="R100"/>
  <c r="P222"/>
  <c r="P287"/>
  <c r="Q66"/>
  <c r="T165"/>
  <c r="Q21"/>
  <c r="T164"/>
  <c r="T85"/>
  <c r="P73"/>
  <c r="O115"/>
  <c r="O25"/>
  <c r="T101"/>
  <c r="R153"/>
  <c r="P202"/>
  <c r="Q222"/>
  <c r="Q221"/>
  <c r="P185"/>
  <c r="P257"/>
  <c r="R201"/>
  <c r="R250"/>
  <c r="Q280"/>
  <c r="P154"/>
  <c r="R94"/>
  <c r="R249"/>
  <c r="R164"/>
  <c r="O94"/>
  <c r="Q179"/>
  <c r="Q252"/>
  <c r="O185"/>
  <c r="P137"/>
  <c r="P152"/>
  <c r="O15"/>
  <c r="Q27"/>
  <c r="P191"/>
  <c r="T121"/>
  <c r="P178"/>
  <c r="Q207"/>
  <c r="Q212"/>
  <c r="Q38"/>
  <c r="T242"/>
  <c r="P59"/>
  <c r="P41"/>
  <c r="Q263"/>
  <c r="Q127"/>
  <c r="P289"/>
  <c r="Q136"/>
  <c r="O248"/>
  <c r="P160"/>
  <c r="T230"/>
  <c r="Q122"/>
  <c r="O139"/>
  <c r="T290"/>
  <c r="T199"/>
  <c r="Q196"/>
  <c r="P33"/>
  <c r="Q111"/>
  <c r="P237"/>
  <c r="Q248"/>
  <c r="T133"/>
  <c r="P166"/>
  <c r="P37"/>
  <c r="Q126"/>
  <c r="T68"/>
  <c r="Q147"/>
  <c r="Q247"/>
  <c r="T105"/>
  <c r="O226"/>
  <c r="O268"/>
  <c r="R184"/>
  <c r="O89"/>
  <c r="P122"/>
  <c r="R288"/>
  <c r="R116"/>
  <c r="T41"/>
  <c r="P236"/>
  <c r="Q155"/>
  <c r="O179"/>
  <c r="P72"/>
  <c r="P50"/>
  <c r="R54"/>
  <c r="R141"/>
  <c r="Q81"/>
  <c r="R269"/>
  <c r="P120"/>
  <c r="R220"/>
  <c r="T272"/>
  <c r="T233"/>
  <c r="O276"/>
  <c r="P43"/>
  <c r="P279"/>
  <c r="T170"/>
  <c r="Q79"/>
  <c r="O251"/>
  <c r="Q176"/>
  <c r="Q205"/>
  <c r="Q183"/>
  <c r="P248"/>
  <c r="T263"/>
  <c r="Q256"/>
  <c r="O39"/>
  <c r="R122"/>
  <c r="O91"/>
  <c r="Q267"/>
  <c r="T29"/>
  <c r="T275"/>
  <c r="O256"/>
  <c r="Q73"/>
  <c r="R125"/>
  <c r="T38"/>
  <c r="P291"/>
  <c r="T137"/>
  <c r="Q261"/>
  <c r="T131"/>
  <c r="R240"/>
  <c r="T34"/>
  <c r="Q75"/>
  <c r="T179"/>
  <c r="R20"/>
  <c r="P22"/>
  <c r="T171"/>
  <c r="T21"/>
  <c r="P151"/>
  <c r="O157"/>
  <c r="O76"/>
  <c r="R203"/>
  <c r="P67"/>
  <c r="R151"/>
  <c r="O289"/>
  <c r="O100"/>
  <c r="R214"/>
  <c r="T239"/>
  <c r="P281"/>
  <c r="R36"/>
  <c r="P277"/>
  <c r="P74"/>
  <c r="T81"/>
  <c r="P109"/>
  <c r="Q249"/>
  <c r="R268"/>
  <c r="P203"/>
  <c r="O162"/>
  <c r="O180"/>
  <c r="O239"/>
  <c r="O211"/>
  <c r="Q215"/>
  <c r="P26"/>
  <c r="R17"/>
  <c r="R91"/>
  <c r="R111"/>
  <c r="T27"/>
  <c r="O122"/>
  <c r="Q96"/>
  <c r="O148"/>
  <c r="R123"/>
  <c r="O290"/>
  <c r="Q235"/>
  <c r="T48"/>
  <c r="P269"/>
  <c r="O283"/>
  <c r="T162"/>
  <c r="Q150"/>
  <c r="Q143"/>
  <c r="O151"/>
  <c r="U14" l="1"/>
  <c r="U13"/>
  <c r="V206" s="1"/>
  <c r="D65" i="18"/>
  <c r="F64"/>
  <c r="F65"/>
  <c r="F68" s="1"/>
  <c r="L13"/>
  <c r="M13"/>
  <c r="J14"/>
  <c r="J13"/>
  <c r="D67" s="1"/>
  <c r="L12"/>
  <c r="M12"/>
  <c r="G66" s="1"/>
  <c r="G64"/>
  <c r="G65"/>
  <c r="D63"/>
  <c r="D66" s="1"/>
  <c r="M14"/>
  <c r="V13" i="22" l="1"/>
  <c r="Y13" s="1"/>
  <c r="V278"/>
  <c r="AM33" s="1"/>
  <c r="V219"/>
  <c r="V115"/>
  <c r="AC45" s="1"/>
  <c r="V292"/>
  <c r="AM47" s="1"/>
  <c r="V98"/>
  <c r="AC28" s="1"/>
  <c r="V243"/>
  <c r="V190"/>
  <c r="V191"/>
  <c r="V257"/>
  <c r="AK47" s="1"/>
  <c r="V20"/>
  <c r="Y20" s="1"/>
  <c r="V66"/>
  <c r="AA31" s="1"/>
  <c r="V106"/>
  <c r="AC36" s="1"/>
  <c r="V110"/>
  <c r="AC40" s="1"/>
  <c r="V51"/>
  <c r="AA16" s="1"/>
  <c r="V145"/>
  <c r="AE40" s="1"/>
  <c r="V144"/>
  <c r="AE39" s="1"/>
  <c r="V80"/>
  <c r="AA45" s="1"/>
  <c r="V217"/>
  <c r="V63"/>
  <c r="AA28" s="1"/>
  <c r="V175"/>
  <c r="AG35" s="1"/>
  <c r="V97"/>
  <c r="AC27" s="1"/>
  <c r="V260"/>
  <c r="AM15" s="1"/>
  <c r="V147"/>
  <c r="AE42" s="1"/>
  <c r="V105"/>
  <c r="AC35" s="1"/>
  <c r="V155"/>
  <c r="AG15" s="1"/>
  <c r="V150"/>
  <c r="AE45" s="1"/>
  <c r="V177"/>
  <c r="AG37" s="1"/>
  <c r="V239"/>
  <c r="V32"/>
  <c r="Y32" s="1"/>
  <c r="V131"/>
  <c r="AE26" s="1"/>
  <c r="V274"/>
  <c r="AM29" s="1"/>
  <c r="V67"/>
  <c r="AA32" s="1"/>
  <c r="V157"/>
  <c r="AG17" s="1"/>
  <c r="V89"/>
  <c r="AC19" s="1"/>
  <c r="V236"/>
  <c r="V280"/>
  <c r="V71"/>
  <c r="AA36" s="1"/>
  <c r="V180"/>
  <c r="AG40" s="1"/>
  <c r="V24"/>
  <c r="Y24" s="1"/>
  <c r="V226"/>
  <c r="V270"/>
  <c r="AM25" s="1"/>
  <c r="V49"/>
  <c r="AA14" s="1"/>
  <c r="V192"/>
  <c r="AI17" s="1"/>
  <c r="V159"/>
  <c r="AG19" s="1"/>
  <c r="V60"/>
  <c r="AA25" s="1"/>
  <c r="V182"/>
  <c r="AG42" s="1"/>
  <c r="V200"/>
  <c r="V25"/>
  <c r="Y25" s="1"/>
  <c r="V277"/>
  <c r="AM32" s="1"/>
  <c r="V213"/>
  <c r="V289"/>
  <c r="AM44" s="1"/>
  <c r="V231"/>
  <c r="V222"/>
  <c r="V38"/>
  <c r="Y38" s="1"/>
  <c r="V148"/>
  <c r="AE43" s="1"/>
  <c r="V279"/>
  <c r="AM34" s="1"/>
  <c r="V158"/>
  <c r="AG18" s="1"/>
  <c r="V117"/>
  <c r="AC47" s="1"/>
  <c r="V53"/>
  <c r="V58"/>
  <c r="AA23" s="1"/>
  <c r="V223"/>
  <c r="V77"/>
  <c r="AA42" s="1"/>
  <c r="V228"/>
  <c r="V282"/>
  <c r="V199"/>
  <c r="V90"/>
  <c r="AC20" s="1"/>
  <c r="V205"/>
  <c r="V201"/>
  <c r="V37"/>
  <c r="Y37" s="1"/>
  <c r="V99"/>
  <c r="AC29" s="1"/>
  <c r="V72"/>
  <c r="AA37" s="1"/>
  <c r="V36"/>
  <c r="Y36" s="1"/>
  <c r="V17"/>
  <c r="Y17" s="1"/>
  <c r="V173"/>
  <c r="AG33" s="1"/>
  <c r="V141"/>
  <c r="AE36" s="1"/>
  <c r="V241"/>
  <c r="V202"/>
  <c r="V275"/>
  <c r="AM30" s="1"/>
  <c r="V14"/>
  <c r="Y14" s="1"/>
  <c r="V30"/>
  <c r="Y30" s="1"/>
  <c r="V254"/>
  <c r="AK44" s="1"/>
  <c r="V276"/>
  <c r="V107"/>
  <c r="AC37" s="1"/>
  <c r="V45"/>
  <c r="Y45" s="1"/>
  <c r="V197"/>
  <c r="V96"/>
  <c r="AC26" s="1"/>
  <c r="V284"/>
  <c r="V220"/>
  <c r="V62"/>
  <c r="AA27" s="1"/>
  <c r="V23"/>
  <c r="Y23" s="1"/>
  <c r="V229"/>
  <c r="AK19" s="1"/>
  <c r="V281"/>
  <c r="V112"/>
  <c r="AC42" s="1"/>
  <c r="V69"/>
  <c r="AA34" s="1"/>
  <c r="V93"/>
  <c r="AC23" s="1"/>
  <c r="V244"/>
  <c r="V149"/>
  <c r="AE44" s="1"/>
  <c r="V109"/>
  <c r="AC39" s="1"/>
  <c r="V195"/>
  <c r="V207"/>
  <c r="V19"/>
  <c r="Y19" s="1"/>
  <c r="V238"/>
  <c r="AK28" s="1"/>
  <c r="V103"/>
  <c r="AC33" s="1"/>
  <c r="V258"/>
  <c r="AM13" s="1"/>
  <c r="V87"/>
  <c r="AC17" s="1"/>
  <c r="V70"/>
  <c r="AA35" s="1"/>
  <c r="V143"/>
  <c r="AE38" s="1"/>
  <c r="V57"/>
  <c r="AA22" s="1"/>
  <c r="V232"/>
  <c r="V224"/>
  <c r="AK14" s="1"/>
  <c r="V165"/>
  <c r="AG25" s="1"/>
  <c r="V262"/>
  <c r="V186"/>
  <c r="AG46" s="1"/>
  <c r="V246"/>
  <c r="V121"/>
  <c r="AE16" s="1"/>
  <c r="V102"/>
  <c r="AC32" s="1"/>
  <c r="V47"/>
  <c r="Y47" s="1"/>
  <c r="V28"/>
  <c r="Y28" s="1"/>
  <c r="V116"/>
  <c r="AC46" s="1"/>
  <c r="V288"/>
  <c r="V16"/>
  <c r="Y16" s="1"/>
  <c r="V208"/>
  <c r="V210"/>
  <c r="V154"/>
  <c r="AG14" s="1"/>
  <c r="V55"/>
  <c r="V261"/>
  <c r="AM16" s="1"/>
  <c r="V237"/>
  <c r="V26"/>
  <c r="Y26" s="1"/>
  <c r="V146"/>
  <c r="AE41" s="1"/>
  <c r="V44"/>
  <c r="Y44" s="1"/>
  <c r="V94"/>
  <c r="AC24" s="1"/>
  <c r="V240"/>
  <c r="AK30" s="1"/>
  <c r="V259"/>
  <c r="AM14" s="1"/>
  <c r="V65"/>
  <c r="AA30" s="1"/>
  <c r="V75"/>
  <c r="AA40" s="1"/>
  <c r="V142"/>
  <c r="AE37" s="1"/>
  <c r="V166"/>
  <c r="AG26" s="1"/>
  <c r="V130"/>
  <c r="AE25" s="1"/>
  <c r="V52"/>
  <c r="AA17" s="1"/>
  <c r="V160"/>
  <c r="AG20" s="1"/>
  <c r="V139"/>
  <c r="AE34" s="1"/>
  <c r="V127"/>
  <c r="AE22" s="1"/>
  <c r="V27"/>
  <c r="Y27" s="1"/>
  <c r="V250"/>
  <c r="V271"/>
  <c r="V176"/>
  <c r="AG36" s="1"/>
  <c r="V174"/>
  <c r="AG34" s="1"/>
  <c r="V221"/>
  <c r="V104"/>
  <c r="AC34" s="1"/>
  <c r="V111"/>
  <c r="AC41" s="1"/>
  <c r="V114"/>
  <c r="AC44" s="1"/>
  <c r="V54"/>
  <c r="V170"/>
  <c r="AG30" s="1"/>
  <c r="V290"/>
  <c r="AM45" s="1"/>
  <c r="V56"/>
  <c r="AA21" s="1"/>
  <c r="V248"/>
  <c r="V126"/>
  <c r="AE21" s="1"/>
  <c r="V263"/>
  <c r="V162"/>
  <c r="AG22" s="1"/>
  <c r="V76"/>
  <c r="AA41" s="1"/>
  <c r="V138"/>
  <c r="AE33" s="1"/>
  <c r="V245"/>
  <c r="AK35" s="1"/>
  <c r="V84"/>
  <c r="AC14" s="1"/>
  <c r="V46"/>
  <c r="Y46" s="1"/>
  <c r="V187"/>
  <c r="AG47" s="1"/>
  <c r="V204"/>
  <c r="V82"/>
  <c r="AA47" s="1"/>
  <c r="V253"/>
  <c r="V189"/>
  <c r="V85"/>
  <c r="AC15" s="1"/>
  <c r="V194"/>
  <c r="V283"/>
  <c r="AM38" s="1"/>
  <c r="V68"/>
  <c r="AA33" s="1"/>
  <c r="V34"/>
  <c r="Y34" s="1"/>
  <c r="V193"/>
  <c r="AI18" s="1"/>
  <c r="V181"/>
  <c r="AG41" s="1"/>
  <c r="V227"/>
  <c r="V287"/>
  <c r="V153"/>
  <c r="AG13" s="1"/>
  <c r="V29"/>
  <c r="Y29" s="1"/>
  <c r="V83"/>
  <c r="AC13" s="1"/>
  <c r="V233"/>
  <c r="V211"/>
  <c r="V95"/>
  <c r="AC25" s="1"/>
  <c r="V74"/>
  <c r="AA39" s="1"/>
  <c r="V285"/>
  <c r="AM40" s="1"/>
  <c r="V286"/>
  <c r="V183"/>
  <c r="AG43" s="1"/>
  <c r="V79"/>
  <c r="AA44" s="1"/>
  <c r="V179"/>
  <c r="AG39" s="1"/>
  <c r="V91"/>
  <c r="AC21" s="1"/>
  <c r="V43"/>
  <c r="Y43" s="1"/>
  <c r="V108"/>
  <c r="AC38" s="1"/>
  <c r="V120"/>
  <c r="AE15" s="1"/>
  <c r="V128"/>
  <c r="AE23" s="1"/>
  <c r="V151"/>
  <c r="AE46" s="1"/>
  <c r="V255"/>
  <c r="V291"/>
  <c r="V265"/>
  <c r="V152"/>
  <c r="AE47" s="1"/>
  <c r="V215"/>
  <c r="V86"/>
  <c r="AC16" s="1"/>
  <c r="V185"/>
  <c r="AG45" s="1"/>
  <c r="V92"/>
  <c r="AC22" s="1"/>
  <c r="V252"/>
  <c r="V256"/>
  <c r="V122"/>
  <c r="AE17" s="1"/>
  <c r="V156"/>
  <c r="AG16" s="1"/>
  <c r="V212"/>
  <c r="V163"/>
  <c r="AG23" s="1"/>
  <c r="V22"/>
  <c r="Y22" s="1"/>
  <c r="V242"/>
  <c r="V119"/>
  <c r="AE14" s="1"/>
  <c r="V273"/>
  <c r="V64"/>
  <c r="AA29" s="1"/>
  <c r="V234"/>
  <c r="V137"/>
  <c r="AE32" s="1"/>
  <c r="V81"/>
  <c r="AA46" s="1"/>
  <c r="V168"/>
  <c r="AG28" s="1"/>
  <c r="V61"/>
  <c r="AA26" s="1"/>
  <c r="V135"/>
  <c r="AE30" s="1"/>
  <c r="V15"/>
  <c r="Y15" s="1"/>
  <c r="V136"/>
  <c r="AE31" s="1"/>
  <c r="V198"/>
  <c r="V230"/>
  <c r="AK20" s="1"/>
  <c r="V214"/>
  <c r="AI39" s="1"/>
  <c r="V196"/>
  <c r="AI21" s="1"/>
  <c r="V48"/>
  <c r="AA13" s="1"/>
  <c r="V164"/>
  <c r="AG24" s="1"/>
  <c r="V272"/>
  <c r="V235"/>
  <c r="AK25" s="1"/>
  <c r="V100"/>
  <c r="AC30" s="1"/>
  <c r="V33"/>
  <c r="Y33" s="1"/>
  <c r="V267"/>
  <c r="AM22" s="1"/>
  <c r="V88"/>
  <c r="AC18" s="1"/>
  <c r="V41"/>
  <c r="Y41" s="1"/>
  <c r="V184"/>
  <c r="AG44" s="1"/>
  <c r="V39"/>
  <c r="Y39" s="1"/>
  <c r="V209"/>
  <c r="V247"/>
  <c r="V132"/>
  <c r="AE27" s="1"/>
  <c r="V134"/>
  <c r="AE29" s="1"/>
  <c r="V188"/>
  <c r="V264"/>
  <c r="V18"/>
  <c r="Y18" s="1"/>
  <c r="V124"/>
  <c r="AE19" s="1"/>
  <c r="V40"/>
  <c r="Y40" s="1"/>
  <c r="V73"/>
  <c r="AA38" s="1"/>
  <c r="V123"/>
  <c r="AE18" s="1"/>
  <c r="V169"/>
  <c r="AG29" s="1"/>
  <c r="V216"/>
  <c r="V251"/>
  <c r="AK41" s="1"/>
  <c r="V118"/>
  <c r="AE13" s="1"/>
  <c r="V218"/>
  <c r="V171"/>
  <c r="AG31" s="1"/>
  <c r="V140"/>
  <c r="AE35" s="1"/>
  <c r="V167"/>
  <c r="AG27" s="1"/>
  <c r="V133"/>
  <c r="AE28" s="1"/>
  <c r="V269"/>
  <c r="V161"/>
  <c r="AG21" s="1"/>
  <c r="V59"/>
  <c r="AA24" s="1"/>
  <c r="V172"/>
  <c r="AG32" s="1"/>
  <c r="V268"/>
  <c r="AM23" s="1"/>
  <c r="V129"/>
  <c r="AE24" s="1"/>
  <c r="V35"/>
  <c r="Y35" s="1"/>
  <c r="V125"/>
  <c r="AE20" s="1"/>
  <c r="V50"/>
  <c r="AA15" s="1"/>
  <c r="V225"/>
  <c r="V113"/>
  <c r="AC43" s="1"/>
  <c r="V42"/>
  <c r="Y42" s="1"/>
  <c r="V101"/>
  <c r="AC31" s="1"/>
  <c r="V78"/>
  <c r="AA43" s="1"/>
  <c r="V203"/>
  <c r="V178"/>
  <c r="AG38" s="1"/>
  <c r="V266"/>
  <c r="V31"/>
  <c r="Y31" s="1"/>
  <c r="V249"/>
  <c r="V21"/>
  <c r="Y21" s="1"/>
  <c r="G67" i="18"/>
  <c r="G68"/>
  <c r="F66"/>
  <c r="D68"/>
  <c r="D57" s="1"/>
  <c r="E68"/>
  <c r="E67"/>
  <c r="F67"/>
  <c r="G57" l="1"/>
  <c r="F57"/>
  <c r="E57"/>
</calcChain>
</file>

<file path=xl/comments1.xml><?xml version="1.0" encoding="utf-8"?>
<comments xmlns="http://schemas.openxmlformats.org/spreadsheetml/2006/main">
  <authors>
    <author>cg</author>
  </authors>
  <commentList>
    <comment ref="M22" authorId="0">
      <text>
        <r>
          <rPr>
            <b/>
            <sz val="9"/>
            <color indexed="81"/>
            <rFont val="Tahoma"/>
            <family val="2"/>
          </rPr>
          <t>cg:</t>
        </r>
        <r>
          <rPr>
            <sz val="9"/>
            <color indexed="81"/>
            <rFont val="Tahoma"/>
            <family val="2"/>
          </rPr>
          <t xml:space="preserve">
nie &lt; 0
</t>
        </r>
      </text>
    </comment>
    <comment ref="M26" authorId="0">
      <text>
        <r>
          <rPr>
            <b/>
            <sz val="9"/>
            <color indexed="81"/>
            <rFont val="Tahoma"/>
            <family val="2"/>
          </rPr>
          <t>cg:</t>
        </r>
        <r>
          <rPr>
            <sz val="9"/>
            <color indexed="81"/>
            <rFont val="Tahoma"/>
            <family val="2"/>
          </rPr>
          <t xml:space="preserve">
darf &lt; 0 sein</t>
        </r>
      </text>
    </comment>
  </commentList>
</comments>
</file>

<file path=xl/sharedStrings.xml><?xml version="1.0" encoding="utf-8"?>
<sst xmlns="http://schemas.openxmlformats.org/spreadsheetml/2006/main" count="1093" uniqueCount="503">
  <si>
    <t>(0,0)</t>
  </si>
  <si>
    <t>(1,0)</t>
  </si>
  <si>
    <t>(0,1)</t>
  </si>
  <si>
    <t>(x_0,y_0,z_0)</t>
  </si>
  <si>
    <t>R_0</t>
  </si>
  <si>
    <t>Referenzpunkt</t>
  </si>
  <si>
    <t>Reproduzierbare Aufstellung</t>
  </si>
  <si>
    <t>A_j</t>
  </si>
  <si>
    <t>P_i</t>
  </si>
  <si>
    <t>Antennen Anordnung</t>
  </si>
  <si>
    <t>Modell</t>
  </si>
  <si>
    <t>y-y_j</t>
  </si>
  <si>
    <t>z-z_j</t>
  </si>
  <si>
    <t>x-x_j</t>
  </si>
  <si>
    <t>c_1j</t>
  </si>
  <si>
    <t>c_3j</t>
  </si>
  <si>
    <t>c_2j</t>
  </si>
  <si>
    <t>x_1-x_0</t>
  </si>
  <si>
    <t>x_2-x_0</t>
  </si>
  <si>
    <t>x_3-x_0</t>
  </si>
  <si>
    <t>y_1-y_0</t>
  </si>
  <si>
    <t>z_1-z_0</t>
  </si>
  <si>
    <t>y_2-y_0</t>
  </si>
  <si>
    <t>y_3-y_0</t>
  </si>
  <si>
    <t>z_3-z_0</t>
  </si>
  <si>
    <t>z_2-z_0</t>
  </si>
  <si>
    <t>c_bj</t>
  </si>
  <si>
    <t>=</t>
  </si>
  <si>
    <t>1/2[-r_j^2-r_ab^2+d_bj^2]</t>
  </si>
  <si>
    <t>d_10</t>
  </si>
  <si>
    <t>d_20</t>
  </si>
  <si>
    <t>d_30</t>
  </si>
  <si>
    <t>Offset</t>
  </si>
  <si>
    <t>m</t>
  </si>
  <si>
    <t>Originaldaten</t>
  </si>
  <si>
    <t>Daten + Offset</t>
  </si>
  <si>
    <t>d_10=d_01</t>
  </si>
  <si>
    <t>d_12=d_21</t>
  </si>
  <si>
    <t>d_13=d_31</t>
  </si>
  <si>
    <t>d_20=d_02</t>
  </si>
  <si>
    <t>d_30=d_03</t>
  </si>
  <si>
    <t>d_23=d_32</t>
  </si>
  <si>
    <t>c_30</t>
  </si>
  <si>
    <t>c_20</t>
  </si>
  <si>
    <t>1/2[-r_0^2-r_1^2+d_10^2]</t>
  </si>
  <si>
    <t>c_10</t>
  </si>
  <si>
    <t>z-z_</t>
  </si>
  <si>
    <t>y-y_0</t>
  </si>
  <si>
    <t>x-x_0</t>
  </si>
  <si>
    <t>1/2[-r_0^2-r_2^2+d_20^2]</t>
  </si>
  <si>
    <t>1/2[-r_0^2-r_3^2+d_30^2]</t>
  </si>
  <si>
    <t>LSG</t>
  </si>
  <si>
    <t>z-z_0</t>
  </si>
  <si>
    <t>x_0</t>
  </si>
  <si>
    <t>y_0</t>
  </si>
  <si>
    <t>z_0</t>
  </si>
  <si>
    <t>x</t>
  </si>
  <si>
    <t>y</t>
  </si>
  <si>
    <t>z</t>
  </si>
  <si>
    <t>x_i</t>
  </si>
  <si>
    <t>y_i</t>
  </si>
  <si>
    <t>z_i</t>
  </si>
  <si>
    <t>Inertialkoordinaten von x_0</t>
  </si>
  <si>
    <t>*</t>
  </si>
  <si>
    <t>Ermittelte Koordinaten</t>
  </si>
  <si>
    <t>Lineare Modell für die Koordinatenberechnung</t>
  </si>
  <si>
    <t>Lösung des Modells</t>
  </si>
  <si>
    <t>Fehlerbetrachtung</t>
  </si>
  <si>
    <t>Fehler %</t>
  </si>
  <si>
    <t>Fehler ABS [m]</t>
  </si>
  <si>
    <t>berechnet [m]</t>
  </si>
  <si>
    <t>gemessen [m]</t>
  </si>
  <si>
    <t>c_k0</t>
  </si>
  <si>
    <t>1/2[r_0^2-r_k^2+d_k0^2]</t>
  </si>
  <si>
    <t>error</t>
  </si>
  <si>
    <t>a_1</t>
  </si>
  <si>
    <t>a_2</t>
  </si>
  <si>
    <t>a_0k</t>
  </si>
  <si>
    <t>k</t>
  </si>
  <si>
    <t>a_3k0</t>
  </si>
  <si>
    <t>Theta_k</t>
  </si>
  <si>
    <t>n_0</t>
  </si>
  <si>
    <t>n_1</t>
  </si>
  <si>
    <t>n_2</t>
  </si>
  <si>
    <t>n_3</t>
  </si>
  <si>
    <t>Variabel</t>
  </si>
  <si>
    <t>TermB_1</t>
  </si>
  <si>
    <t>TermA_1</t>
  </si>
  <si>
    <t>TermA_2</t>
  </si>
  <si>
    <t>TermA_3</t>
  </si>
  <si>
    <t>TermB_3</t>
  </si>
  <si>
    <t>TermB_2</t>
  </si>
  <si>
    <t>predicted_c_10</t>
  </si>
  <si>
    <t>predicted_c_20</t>
  </si>
  <si>
    <t>predicted_c_30</t>
  </si>
  <si>
    <t>error^2</t>
  </si>
  <si>
    <t>For Debugging only</t>
  </si>
  <si>
    <t xml:space="preserve">c_0 </t>
  </si>
  <si>
    <t>[m/s]</t>
  </si>
  <si>
    <t xml:space="preserve">f_mess </t>
  </si>
  <si>
    <t>[1/s]</t>
  </si>
  <si>
    <t xml:space="preserve">lambda </t>
  </si>
  <si>
    <t>[m]</t>
  </si>
  <si>
    <t>-</t>
  </si>
  <si>
    <t>xxx</t>
  </si>
  <si>
    <t>Fehler^2</t>
  </si>
  <si>
    <t>b</t>
  </si>
  <si>
    <t>A</t>
  </si>
  <si>
    <t>Lineares Modell für die Koordinatenberechnung</t>
  </si>
  <si>
    <t>c_10'</t>
  </si>
  <si>
    <t>c_20'</t>
  </si>
  <si>
    <t>c_30'</t>
  </si>
  <si>
    <t>Vorhersage vom Solver</t>
  </si>
  <si>
    <t>x_k</t>
  </si>
  <si>
    <t>b_k</t>
  </si>
  <si>
    <t>y_k</t>
  </si>
  <si>
    <t>z_k</t>
  </si>
  <si>
    <t>Messung vom 22.5.2013</t>
  </si>
  <si>
    <t>Messung vom 15.5.2013</t>
  </si>
  <si>
    <t>Alte Messungen</t>
  </si>
  <si>
    <t>A0</t>
  </si>
  <si>
    <t>A1</t>
  </si>
  <si>
    <t>A2</t>
  </si>
  <si>
    <t>A3</t>
  </si>
  <si>
    <t>A7</t>
  </si>
  <si>
    <t>A6</t>
  </si>
  <si>
    <t>A5</t>
  </si>
  <si>
    <t>A4</t>
  </si>
  <si>
    <t>d_k0</t>
  </si>
  <si>
    <t>a_0234</t>
  </si>
  <si>
    <t>a_2034</t>
  </si>
  <si>
    <t>a_3204</t>
  </si>
  <si>
    <t>a_4230</t>
  </si>
  <si>
    <t>A_0234</t>
  </si>
  <si>
    <t>A_023457</t>
  </si>
  <si>
    <t>0243</t>
  </si>
  <si>
    <t>2043</t>
  </si>
  <si>
    <t>3204</t>
  </si>
  <si>
    <t>4230</t>
  </si>
  <si>
    <t>…</t>
  </si>
  <si>
    <t>A_2034</t>
  </si>
  <si>
    <t>A_3204</t>
  </si>
  <si>
    <t>A_4230</t>
  </si>
  <si>
    <t>Koordinaten bezogen auf (0,0,0) des Kalibrieraufbaus</t>
  </si>
  <si>
    <t>d_k2</t>
  </si>
  <si>
    <t>d_k3</t>
  </si>
  <si>
    <t>d_k4</t>
  </si>
  <si>
    <t>Referenz</t>
  </si>
  <si>
    <t>Verwendet</t>
  </si>
  <si>
    <t>Keine Daten</t>
  </si>
  <si>
    <t>Der Solver solves hier</t>
  </si>
  <si>
    <t>d_Referenz</t>
  </si>
  <si>
    <t>Lineare Modelel für die Koordinatenberechnung</t>
  </si>
  <si>
    <t>Theta_mess</t>
  </si>
  <si>
    <t>a_3k2</t>
  </si>
  <si>
    <t>a_3k3</t>
  </si>
  <si>
    <t>a_3k4</t>
  </si>
  <si>
    <t>a_2k</t>
  </si>
  <si>
    <t>a_3k</t>
  </si>
  <si>
    <t>a_4k</t>
  </si>
  <si>
    <t>a_0423</t>
  </si>
  <si>
    <t>0423</t>
  </si>
  <si>
    <t>a_0257</t>
  </si>
  <si>
    <t>a_0245</t>
  </si>
  <si>
    <t>a_0237</t>
  </si>
  <si>
    <t>a_0235</t>
  </si>
  <si>
    <t>n_0^2-n_1^2</t>
  </si>
  <si>
    <t>ϴ_0n_0-ϴ_1n_1</t>
  </si>
  <si>
    <t>ϴ_0n_0-ϴ_3n_3</t>
  </si>
  <si>
    <t>ϴ_0n_0-ϴ_2n_2</t>
  </si>
  <si>
    <t>n_0^2-n_3^2</t>
  </si>
  <si>
    <t>n_0^2-n_2^2</t>
  </si>
  <si>
    <t>Condition Number over SVD</t>
  </si>
  <si>
    <t>Linear Equation</t>
  </si>
  <si>
    <t>U</t>
  </si>
  <si>
    <t>D</t>
  </si>
  <si>
    <t>V</t>
  </si>
  <si>
    <t>Kontrolle</t>
  </si>
  <si>
    <t>3aus7</t>
  </si>
  <si>
    <t>0123</t>
  </si>
  <si>
    <t>0124</t>
  </si>
  <si>
    <t>0125</t>
  </si>
  <si>
    <t>0126</t>
  </si>
  <si>
    <t>0127</t>
  </si>
  <si>
    <t>0134</t>
  </si>
  <si>
    <t>0135</t>
  </si>
  <si>
    <t>0136</t>
  </si>
  <si>
    <t>0137</t>
  </si>
  <si>
    <t>0145</t>
  </si>
  <si>
    <t>0146</t>
  </si>
  <si>
    <t>0147</t>
  </si>
  <si>
    <t>0157</t>
  </si>
  <si>
    <t>0156</t>
  </si>
  <si>
    <t>0167</t>
  </si>
  <si>
    <t>0234</t>
  </si>
  <si>
    <t>0235</t>
  </si>
  <si>
    <t>0236</t>
  </si>
  <si>
    <t>0237</t>
  </si>
  <si>
    <t>0245</t>
  </si>
  <si>
    <t>0246</t>
  </si>
  <si>
    <t>0247</t>
  </si>
  <si>
    <t>0256</t>
  </si>
  <si>
    <t>0257</t>
  </si>
  <si>
    <t>0267</t>
  </si>
  <si>
    <t>0345</t>
  </si>
  <si>
    <t>0346</t>
  </si>
  <si>
    <t>0347</t>
  </si>
  <si>
    <t>0356</t>
  </si>
  <si>
    <t>0357</t>
  </si>
  <si>
    <t>0367</t>
  </si>
  <si>
    <t>0456</t>
  </si>
  <si>
    <t>0457</t>
  </si>
  <si>
    <t>0465</t>
  </si>
  <si>
    <t>0567</t>
  </si>
  <si>
    <t>1-0_123</t>
  </si>
  <si>
    <t>2-0_124</t>
  </si>
  <si>
    <t>3-0_125</t>
  </si>
  <si>
    <t>4-0_126</t>
  </si>
  <si>
    <t>5-0_127</t>
  </si>
  <si>
    <t>6-0_134</t>
  </si>
  <si>
    <t>7-0_135</t>
  </si>
  <si>
    <t>8-0_136</t>
  </si>
  <si>
    <t>9-0_137</t>
  </si>
  <si>
    <t>10-0_145</t>
  </si>
  <si>
    <t>11-0_146</t>
  </si>
  <si>
    <t>12-0_147</t>
  </si>
  <si>
    <t>13-0_156</t>
  </si>
  <si>
    <t>14-0_157</t>
  </si>
  <si>
    <t>15-0_167</t>
  </si>
  <si>
    <t>16-0_234</t>
  </si>
  <si>
    <t>17-0_235</t>
  </si>
  <si>
    <t>18-0_236</t>
  </si>
  <si>
    <t>19-0_237</t>
  </si>
  <si>
    <t>20-0_245</t>
  </si>
  <si>
    <t>21-0_246</t>
  </si>
  <si>
    <t>22-0_247</t>
  </si>
  <si>
    <t>23-0_256</t>
  </si>
  <si>
    <t>24-0_257</t>
  </si>
  <si>
    <t>25-0_267</t>
  </si>
  <si>
    <t>26-0_345</t>
  </si>
  <si>
    <t>27-0_346</t>
  </si>
  <si>
    <t>28-0_347</t>
  </si>
  <si>
    <t>29-0_356</t>
  </si>
  <si>
    <t>30-0_357</t>
  </si>
  <si>
    <t>31-0_367</t>
  </si>
  <si>
    <t>32-0_456</t>
  </si>
  <si>
    <t>33-0_457</t>
  </si>
  <si>
    <t>34-0_467</t>
  </si>
  <si>
    <t>35-0_567</t>
  </si>
  <si>
    <t>36-1_023</t>
  </si>
  <si>
    <t>37-1_024</t>
  </si>
  <si>
    <t>38-1_025</t>
  </si>
  <si>
    <t>39-1_026</t>
  </si>
  <si>
    <t>40-1_027</t>
  </si>
  <si>
    <t>41-1_034</t>
  </si>
  <si>
    <t>42-1_035</t>
  </si>
  <si>
    <t>43-1_036</t>
  </si>
  <si>
    <t>44-1_037</t>
  </si>
  <si>
    <t>45-1_045</t>
  </si>
  <si>
    <t>46-1_046</t>
  </si>
  <si>
    <t>47-1_047</t>
  </si>
  <si>
    <t>48-1_056</t>
  </si>
  <si>
    <t>49-1_057</t>
  </si>
  <si>
    <t>50-1_067</t>
  </si>
  <si>
    <t>51-1_234</t>
  </si>
  <si>
    <t>52-1_235</t>
  </si>
  <si>
    <t>53-1_236</t>
  </si>
  <si>
    <t>54-1_237</t>
  </si>
  <si>
    <t>55-1_245</t>
  </si>
  <si>
    <t>56-1_246</t>
  </si>
  <si>
    <t>57-1_247</t>
  </si>
  <si>
    <t>58-1_256</t>
  </si>
  <si>
    <t>59-1_257</t>
  </si>
  <si>
    <t>60-1_267</t>
  </si>
  <si>
    <t>61-1_345</t>
  </si>
  <si>
    <t>62-1_346</t>
  </si>
  <si>
    <t>63-1_347</t>
  </si>
  <si>
    <t>64-1_356</t>
  </si>
  <si>
    <t>65-1_357</t>
  </si>
  <si>
    <t>66-1_367</t>
  </si>
  <si>
    <t>67-1_456</t>
  </si>
  <si>
    <t>68-1_457</t>
  </si>
  <si>
    <t>69-1_467</t>
  </si>
  <si>
    <t>70-1_567</t>
  </si>
  <si>
    <t>71-2_013</t>
  </si>
  <si>
    <t>72-2_014</t>
  </si>
  <si>
    <t>73-2_015</t>
  </si>
  <si>
    <t>74-2_016</t>
  </si>
  <si>
    <t>75-2_017</t>
  </si>
  <si>
    <t>76-2_034</t>
  </si>
  <si>
    <t>77-2_035</t>
  </si>
  <si>
    <t>78-2_036</t>
  </si>
  <si>
    <t>79-2_037</t>
  </si>
  <si>
    <t>80-2_045</t>
  </si>
  <si>
    <t>81-2_046</t>
  </si>
  <si>
    <t>82-2_047</t>
  </si>
  <si>
    <t>83-2_056</t>
  </si>
  <si>
    <t>84-2_057</t>
  </si>
  <si>
    <t>85-2_067</t>
  </si>
  <si>
    <t>86-2_134</t>
  </si>
  <si>
    <t>87-2_135</t>
  </si>
  <si>
    <t>88-2_136</t>
  </si>
  <si>
    <t>89-2_137</t>
  </si>
  <si>
    <t>90-2_145</t>
  </si>
  <si>
    <t>91-2_146</t>
  </si>
  <si>
    <t>92-2_147</t>
  </si>
  <si>
    <t>93-2_156</t>
  </si>
  <si>
    <t>94-2_157</t>
  </si>
  <si>
    <t>95-2_167</t>
  </si>
  <si>
    <t>96-2_345</t>
  </si>
  <si>
    <t>97-2_346</t>
  </si>
  <si>
    <t>98-2_347</t>
  </si>
  <si>
    <t>99-2_356</t>
  </si>
  <si>
    <t>100-2_357</t>
  </si>
  <si>
    <t>101-2_367</t>
  </si>
  <si>
    <t>102-2_456</t>
  </si>
  <si>
    <t>103-2_457</t>
  </si>
  <si>
    <t>104-2_467</t>
  </si>
  <si>
    <t>105-2_567</t>
  </si>
  <si>
    <t>106-3_012</t>
  </si>
  <si>
    <t>107-3_014</t>
  </si>
  <si>
    <t>108-3_015</t>
  </si>
  <si>
    <t>109-3_016</t>
  </si>
  <si>
    <t>110-3_017</t>
  </si>
  <si>
    <t>111-3_024</t>
  </si>
  <si>
    <t>112-3_025</t>
  </si>
  <si>
    <t>113-3_026</t>
  </si>
  <si>
    <t>114-3_027</t>
  </si>
  <si>
    <t>115-3_045</t>
  </si>
  <si>
    <t>116-3_046</t>
  </si>
  <si>
    <t>117-3_047</t>
  </si>
  <si>
    <t>118-3_056</t>
  </si>
  <si>
    <t>119-3_057</t>
  </si>
  <si>
    <t>120-3_067</t>
  </si>
  <si>
    <t>121-3_124</t>
  </si>
  <si>
    <t>122-3_125</t>
  </si>
  <si>
    <t>123-3_126</t>
  </si>
  <si>
    <t>124-3_127</t>
  </si>
  <si>
    <t>125-3_145</t>
  </si>
  <si>
    <t>126-3_146</t>
  </si>
  <si>
    <t>127-3_147</t>
  </si>
  <si>
    <t>128-3_156</t>
  </si>
  <si>
    <t>129-3_157</t>
  </si>
  <si>
    <t>130-3_167</t>
  </si>
  <si>
    <t>131-3_245</t>
  </si>
  <si>
    <t>132-3_246</t>
  </si>
  <si>
    <t>133-3_247</t>
  </si>
  <si>
    <t>134-3_256</t>
  </si>
  <si>
    <t>135-3_257</t>
  </si>
  <si>
    <t>136-3_267</t>
  </si>
  <si>
    <t>137-3_456</t>
  </si>
  <si>
    <t>138-3_457</t>
  </si>
  <si>
    <t>139-3_467</t>
  </si>
  <si>
    <t>140-3_567</t>
  </si>
  <si>
    <t>141-4_012</t>
  </si>
  <si>
    <t>142-4_013</t>
  </si>
  <si>
    <t>143-4_015</t>
  </si>
  <si>
    <t>144-4_016</t>
  </si>
  <si>
    <t>145-4_017</t>
  </si>
  <si>
    <t>146-4_023</t>
  </si>
  <si>
    <t>147-4_025</t>
  </si>
  <si>
    <t>148-4_026</t>
  </si>
  <si>
    <t>149-4_027</t>
  </si>
  <si>
    <t>150-4_035</t>
  </si>
  <si>
    <t>151-4_036</t>
  </si>
  <si>
    <t>152-4_037</t>
  </si>
  <si>
    <t>153-4_056</t>
  </si>
  <si>
    <t>154-4_057</t>
  </si>
  <si>
    <t>155-4_067</t>
  </si>
  <si>
    <t>156-4_123</t>
  </si>
  <si>
    <t>157-4_125</t>
  </si>
  <si>
    <t>158-4_126</t>
  </si>
  <si>
    <t>159-4_127</t>
  </si>
  <si>
    <t>160-4_135</t>
  </si>
  <si>
    <t>161-4_136</t>
  </si>
  <si>
    <t>162-4_137</t>
  </si>
  <si>
    <t>163-4_156</t>
  </si>
  <si>
    <t>164-4_157</t>
  </si>
  <si>
    <t>165-4_167</t>
  </si>
  <si>
    <t>166-4_235</t>
  </si>
  <si>
    <t>167-4_236</t>
  </si>
  <si>
    <t>168-4_237</t>
  </si>
  <si>
    <t>169-4_256</t>
  </si>
  <si>
    <t>170-4_257</t>
  </si>
  <si>
    <t>171-4_267</t>
  </si>
  <si>
    <t>172-4_356</t>
  </si>
  <si>
    <t>173-4_357</t>
  </si>
  <si>
    <t>174-4_367</t>
  </si>
  <si>
    <t>175-4_567</t>
  </si>
  <si>
    <t>176-5_012</t>
  </si>
  <si>
    <t>177-5_013</t>
  </si>
  <si>
    <t>178-5_014</t>
  </si>
  <si>
    <t>179-5_016</t>
  </si>
  <si>
    <t>180-5_017</t>
  </si>
  <si>
    <t>181-5_023</t>
  </si>
  <si>
    <t>182-5_024</t>
  </si>
  <si>
    <t>183-5_026</t>
  </si>
  <si>
    <t>184-5_027</t>
  </si>
  <si>
    <t>185-5_034</t>
  </si>
  <si>
    <t>186-5_036</t>
  </si>
  <si>
    <t>187-5_037</t>
  </si>
  <si>
    <t>188-5_046</t>
  </si>
  <si>
    <t>189-5_047</t>
  </si>
  <si>
    <t>190-5_067</t>
  </si>
  <si>
    <t>191-5_123</t>
  </si>
  <si>
    <t>192-5_124</t>
  </si>
  <si>
    <t>193-5_126</t>
  </si>
  <si>
    <t>194-5_127</t>
  </si>
  <si>
    <t>195-5_134</t>
  </si>
  <si>
    <t>196-5_136</t>
  </si>
  <si>
    <t>197-5_137</t>
  </si>
  <si>
    <t>198-5_146</t>
  </si>
  <si>
    <t>199-5_147</t>
  </si>
  <si>
    <t>200-5_167</t>
  </si>
  <si>
    <t>201-5_234</t>
  </si>
  <si>
    <t>202-5_236</t>
  </si>
  <si>
    <t>203-5_237</t>
  </si>
  <si>
    <t>204-5_246</t>
  </si>
  <si>
    <t>205-5_247</t>
  </si>
  <si>
    <t>206-5_267</t>
  </si>
  <si>
    <t>207-5_346</t>
  </si>
  <si>
    <t>208-5_347</t>
  </si>
  <si>
    <t>209-5_367</t>
  </si>
  <si>
    <t>210-5_467</t>
  </si>
  <si>
    <t>211-6_012</t>
  </si>
  <si>
    <t>212-6_013</t>
  </si>
  <si>
    <t>213-6_014</t>
  </si>
  <si>
    <t>214-6_015</t>
  </si>
  <si>
    <t>215-6_017</t>
  </si>
  <si>
    <t>216-6_023</t>
  </si>
  <si>
    <t>217-6_024</t>
  </si>
  <si>
    <t>218-6_025</t>
  </si>
  <si>
    <t>219-6_027</t>
  </si>
  <si>
    <t>220-6_034</t>
  </si>
  <si>
    <t>221-6_035</t>
  </si>
  <si>
    <t>222-6_037</t>
  </si>
  <si>
    <t>223-6_045</t>
  </si>
  <si>
    <t>224-6_047</t>
  </si>
  <si>
    <t>225-6_057</t>
  </si>
  <si>
    <t>226-6_123</t>
  </si>
  <si>
    <t>227-6_124</t>
  </si>
  <si>
    <t>228-6_125</t>
  </si>
  <si>
    <t>229-6_127</t>
  </si>
  <si>
    <t>230-6_134</t>
  </si>
  <si>
    <t>231-6_135</t>
  </si>
  <si>
    <t>232-6_137</t>
  </si>
  <si>
    <t>233-6_145</t>
  </si>
  <si>
    <t>234-6_147</t>
  </si>
  <si>
    <t>235-6_157</t>
  </si>
  <si>
    <t>236-6_234</t>
  </si>
  <si>
    <t>237-6_235</t>
  </si>
  <si>
    <t>238-6_237</t>
  </si>
  <si>
    <t>239-6_245</t>
  </si>
  <si>
    <t>240-6_247</t>
  </si>
  <si>
    <t>241-6_257</t>
  </si>
  <si>
    <t>242-6_345</t>
  </si>
  <si>
    <t>243-6_347</t>
  </si>
  <si>
    <t>244-6_357</t>
  </si>
  <si>
    <t>245-6_457</t>
  </si>
  <si>
    <t>246-7_012</t>
  </si>
  <si>
    <t>247-7_013</t>
  </si>
  <si>
    <t>248-7_014</t>
  </si>
  <si>
    <t>249-7_015</t>
  </si>
  <si>
    <t>250-7_016</t>
  </si>
  <si>
    <t>251-7_023</t>
  </si>
  <si>
    <t>252-7_024</t>
  </si>
  <si>
    <t>253-7_025</t>
  </si>
  <si>
    <t>254-7_026</t>
  </si>
  <si>
    <t>255-7_034</t>
  </si>
  <si>
    <t>256-7_035</t>
  </si>
  <si>
    <t>257-7_036</t>
  </si>
  <si>
    <t>258-7_045</t>
  </si>
  <si>
    <t>259-7_046</t>
  </si>
  <si>
    <t>260-7_056</t>
  </si>
  <si>
    <t>261-7_123</t>
  </si>
  <si>
    <t>262-7_124</t>
  </si>
  <si>
    <t>263-7_125</t>
  </si>
  <si>
    <t>264-7_126</t>
  </si>
  <si>
    <t>265-7_134</t>
  </si>
  <si>
    <t>266-7_135</t>
  </si>
  <si>
    <t>267-7_136</t>
  </si>
  <si>
    <t>268-7_145</t>
  </si>
  <si>
    <t>269-7_146</t>
  </si>
  <si>
    <t>270-7_156</t>
  </si>
  <si>
    <t>271-7_234</t>
  </si>
  <si>
    <t>272-7_235</t>
  </si>
  <si>
    <t>273-7_236</t>
  </si>
  <si>
    <t>274-7_245</t>
  </si>
  <si>
    <t>275-7_246</t>
  </si>
  <si>
    <t>276-7_256</t>
  </si>
  <si>
    <t>277-7_345</t>
  </si>
  <si>
    <t>278-7_346</t>
  </si>
  <si>
    <t>279-7_356</t>
  </si>
  <si>
    <t>280-7_456</t>
  </si>
  <si>
    <t>Konditionszahlen Skaliert</t>
  </si>
  <si>
    <t>MAX|MIN</t>
  </si>
  <si>
    <t>Cond(A)</t>
  </si>
  <si>
    <t>Matrizen</t>
  </si>
  <si>
    <t>SVDD</t>
  </si>
  <si>
    <t>Kopierte Ergebnisse</t>
  </si>
  <si>
    <t>COND(X)</t>
  </si>
  <si>
    <t>COND(X+P)</t>
  </si>
  <si>
    <t>Messung vom 19.8</t>
  </si>
</sst>
</file>

<file path=xl/styles.xml><?xml version="1.0" encoding="utf-8"?>
<styleSheet xmlns="http://schemas.openxmlformats.org/spreadsheetml/2006/main">
  <numFmts count="3">
    <numFmt numFmtId="164" formatCode="0.000"/>
    <numFmt numFmtId="165" formatCode="0.000E+00"/>
    <numFmt numFmtId="166" formatCode="0.0000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rgb="FF9C0006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9" fillId="15" borderId="0" applyNumberFormat="0" applyBorder="0" applyAlignment="0" applyProtection="0"/>
  </cellStyleXfs>
  <cellXfs count="197">
    <xf numFmtId="0" fontId="0" fillId="0" borderId="0" xfId="0"/>
    <xf numFmtId="49" fontId="0" fillId="0" borderId="0" xfId="0" applyNumberFormat="1"/>
    <xf numFmtId="0" fontId="0" fillId="0" borderId="0" xfId="0" applyBorder="1"/>
    <xf numFmtId="0" fontId="0" fillId="0" borderId="1" xfId="0" applyBorder="1"/>
    <xf numFmtId="49" fontId="0" fillId="0" borderId="1" xfId="0" applyNumberFormat="1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1" fillId="0" borderId="6" xfId="0" applyFont="1" applyBorder="1"/>
    <xf numFmtId="0" fontId="0" fillId="0" borderId="8" xfId="0" applyBorder="1"/>
    <xf numFmtId="0" fontId="1" fillId="0" borderId="7" xfId="0" applyFont="1" applyBorder="1"/>
    <xf numFmtId="0" fontId="2" fillId="0" borderId="0" xfId="0" applyFont="1"/>
    <xf numFmtId="49" fontId="2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  <xf numFmtId="0" fontId="1" fillId="0" borderId="9" xfId="0" applyFont="1" applyFill="1" applyBorder="1"/>
    <xf numFmtId="0" fontId="1" fillId="0" borderId="6" xfId="0" applyFont="1" applyFill="1" applyBorder="1"/>
    <xf numFmtId="0" fontId="0" fillId="0" borderId="6" xfId="0" applyBorder="1"/>
    <xf numFmtId="0" fontId="0" fillId="0" borderId="7" xfId="0" applyBorder="1"/>
    <xf numFmtId="0" fontId="1" fillId="0" borderId="6" xfId="0" applyFont="1" applyBorder="1" applyAlignment="1">
      <alignment horizontal="center"/>
    </xf>
    <xf numFmtId="0" fontId="3" fillId="0" borderId="0" xfId="0" applyFont="1"/>
    <xf numFmtId="0" fontId="0" fillId="0" borderId="10" xfId="0" applyBorder="1"/>
    <xf numFmtId="0" fontId="2" fillId="0" borderId="0" xfId="0" applyFont="1" applyBorder="1"/>
    <xf numFmtId="0" fontId="1" fillId="0" borderId="0" xfId="0" applyFont="1" applyBorder="1"/>
    <xf numFmtId="0" fontId="0" fillId="0" borderId="10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0" xfId="0" applyFont="1" applyBorder="1" applyAlignment="1">
      <alignment horizontal="center"/>
    </xf>
    <xf numFmtId="164" fontId="0" fillId="0" borderId="0" xfId="0" applyNumberFormat="1" applyBorder="1"/>
    <xf numFmtId="164" fontId="0" fillId="0" borderId="0" xfId="0" applyNumberFormat="1" applyFont="1" applyBorder="1"/>
    <xf numFmtId="10" fontId="1" fillId="0" borderId="0" xfId="0" applyNumberFormat="1" applyFont="1" applyBorder="1"/>
    <xf numFmtId="0" fontId="1" fillId="0" borderId="0" xfId="0" applyFont="1" applyAlignment="1">
      <alignment horizontal="center"/>
    </xf>
    <xf numFmtId="164" fontId="0" fillId="0" borderId="0" xfId="0" applyNumberFormat="1"/>
    <xf numFmtId="164" fontId="0" fillId="3" borderId="0" xfId="0" applyNumberFormat="1" applyFill="1" applyBorder="1"/>
    <xf numFmtId="164" fontId="0" fillId="5" borderId="0" xfId="0" applyNumberFormat="1" applyFill="1"/>
    <xf numFmtId="0" fontId="0" fillId="3" borderId="0" xfId="0" applyFill="1"/>
    <xf numFmtId="10" fontId="1" fillId="3" borderId="0" xfId="0" applyNumberFormat="1" applyFont="1" applyFill="1" applyBorder="1"/>
    <xf numFmtId="164" fontId="0" fillId="6" borderId="0" xfId="0" applyNumberFormat="1" applyFill="1" applyBorder="1"/>
    <xf numFmtId="11" fontId="0" fillId="0" borderId="0" xfId="0" applyNumberFormat="1"/>
    <xf numFmtId="0" fontId="0" fillId="0" borderId="11" xfId="0" applyBorder="1"/>
    <xf numFmtId="11" fontId="0" fillId="0" borderId="12" xfId="0" applyNumberFormat="1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11" fontId="0" fillId="0" borderId="0" xfId="0" applyNumberFormat="1" applyBorder="1"/>
    <xf numFmtId="0" fontId="1" fillId="0" borderId="8" xfId="0" applyFont="1" applyBorder="1"/>
    <xf numFmtId="0" fontId="0" fillId="0" borderId="14" xfId="0" applyBorder="1"/>
    <xf numFmtId="0" fontId="0" fillId="0" borderId="0" xfId="0" applyFill="1" applyBorder="1"/>
    <xf numFmtId="0" fontId="1" fillId="0" borderId="10" xfId="0" applyFont="1" applyBorder="1"/>
    <xf numFmtId="0" fontId="4" fillId="0" borderId="0" xfId="0" applyFont="1" applyBorder="1"/>
    <xf numFmtId="0" fontId="1" fillId="0" borderId="16" xfId="0" applyFont="1" applyBorder="1"/>
    <xf numFmtId="0" fontId="1" fillId="0" borderId="15" xfId="0" applyFont="1" applyBorder="1" applyAlignment="1">
      <alignment horizontal="right"/>
    </xf>
    <xf numFmtId="164" fontId="0" fillId="0" borderId="0" xfId="0" applyNumberFormat="1" applyBorder="1" applyAlignment="1">
      <alignment horizontal="right"/>
    </xf>
    <xf numFmtId="0" fontId="5" fillId="0" borderId="0" xfId="0" applyFont="1"/>
    <xf numFmtId="0" fontId="6" fillId="0" borderId="0" xfId="0" applyFont="1" applyBorder="1"/>
    <xf numFmtId="0" fontId="5" fillId="0" borderId="0" xfId="0" applyFont="1" applyBorder="1"/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/>
    <xf numFmtId="164" fontId="7" fillId="4" borderId="0" xfId="0" applyNumberFormat="1" applyFont="1" applyFill="1" applyBorder="1"/>
    <xf numFmtId="164" fontId="8" fillId="0" borderId="0" xfId="0" applyNumberFormat="1" applyFont="1" applyFill="1" applyBorder="1"/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0" fillId="0" borderId="7" xfId="0" applyFont="1" applyBorder="1"/>
    <xf numFmtId="164" fontId="8" fillId="4" borderId="0" xfId="0" applyNumberFormat="1" applyFont="1" applyFill="1" applyBorder="1"/>
    <xf numFmtId="164" fontId="8" fillId="5" borderId="0" xfId="0" applyNumberFormat="1" applyFont="1" applyFill="1"/>
    <xf numFmtId="164" fontId="8" fillId="0" borderId="0" xfId="0" applyNumberFormat="1" applyFont="1" applyBorder="1" applyAlignment="1">
      <alignment horizontal="right"/>
    </xf>
    <xf numFmtId="164" fontId="8" fillId="0" borderId="0" xfId="0" applyNumberFormat="1" applyFont="1" applyBorder="1"/>
    <xf numFmtId="0" fontId="8" fillId="3" borderId="0" xfId="0" applyFont="1" applyFill="1"/>
    <xf numFmtId="164" fontId="8" fillId="3" borderId="0" xfId="0" applyNumberFormat="1" applyFont="1" applyFill="1" applyBorder="1"/>
    <xf numFmtId="10" fontId="10" fillId="3" borderId="0" xfId="0" applyNumberFormat="1" applyFont="1" applyFill="1" applyBorder="1"/>
    <xf numFmtId="0" fontId="8" fillId="0" borderId="0" xfId="0" applyFont="1"/>
    <xf numFmtId="164" fontId="8" fillId="0" borderId="0" xfId="0" applyNumberFormat="1" applyFont="1"/>
    <xf numFmtId="164" fontId="1" fillId="0" borderId="0" xfId="0" applyNumberFormat="1" applyFont="1" applyAlignment="1">
      <alignment horizontal="center"/>
    </xf>
    <xf numFmtId="11" fontId="5" fillId="0" borderId="0" xfId="0" applyNumberFormat="1" applyFont="1" applyBorder="1" applyAlignment="1">
      <alignment horizontal="right"/>
    </xf>
    <xf numFmtId="10" fontId="0" fillId="0" borderId="0" xfId="0" applyNumberFormat="1" applyBorder="1"/>
    <xf numFmtId="0" fontId="0" fillId="7" borderId="0" xfId="0" applyFill="1"/>
    <xf numFmtId="164" fontId="0" fillId="7" borderId="0" xfId="0" applyNumberFormat="1" applyFill="1"/>
    <xf numFmtId="49" fontId="1" fillId="0" borderId="7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/>
    </xf>
    <xf numFmtId="0" fontId="0" fillId="0" borderId="17" xfId="0" applyBorder="1"/>
    <xf numFmtId="0" fontId="0" fillId="0" borderId="17" xfId="0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0" xfId="0" applyNumberFormat="1" applyFill="1"/>
    <xf numFmtId="0" fontId="1" fillId="9" borderId="18" xfId="0" applyFont="1" applyFill="1" applyBorder="1"/>
    <xf numFmtId="0" fontId="1" fillId="10" borderId="18" xfId="0" applyFont="1" applyFill="1" applyBorder="1"/>
    <xf numFmtId="164" fontId="0" fillId="9" borderId="18" xfId="0" applyNumberFormat="1" applyFill="1" applyBorder="1"/>
    <xf numFmtId="164" fontId="0" fillId="10" borderId="18" xfId="0" applyNumberFormat="1" applyFill="1" applyBorder="1"/>
    <xf numFmtId="164" fontId="1" fillId="9" borderId="18" xfId="0" applyNumberFormat="1" applyFont="1" applyFill="1" applyBorder="1"/>
    <xf numFmtId="164" fontId="1" fillId="6" borderId="18" xfId="0" applyNumberFormat="1" applyFont="1" applyFill="1" applyBorder="1"/>
    <xf numFmtId="164" fontId="1" fillId="10" borderId="18" xfId="0" applyNumberFormat="1" applyFont="1" applyFill="1" applyBorder="1"/>
    <xf numFmtId="0" fontId="0" fillId="9" borderId="18" xfId="0" applyFill="1" applyBorder="1"/>
    <xf numFmtId="0" fontId="0" fillId="10" borderId="18" xfId="0" applyFill="1" applyBorder="1"/>
    <xf numFmtId="0" fontId="0" fillId="6" borderId="18" xfId="0" applyFill="1" applyBorder="1"/>
    <xf numFmtId="0" fontId="1" fillId="0" borderId="13" xfId="0" applyFont="1" applyBorder="1"/>
    <xf numFmtId="0" fontId="11" fillId="0" borderId="7" xfId="0" applyFont="1" applyBorder="1"/>
    <xf numFmtId="164" fontId="7" fillId="0" borderId="0" xfId="0" applyNumberFormat="1" applyFont="1" applyBorder="1"/>
    <xf numFmtId="0" fontId="7" fillId="3" borderId="0" xfId="0" applyFont="1" applyFill="1"/>
    <xf numFmtId="164" fontId="7" fillId="3" borderId="0" xfId="0" applyNumberFormat="1" applyFont="1" applyFill="1" applyBorder="1"/>
    <xf numFmtId="10" fontId="11" fillId="3" borderId="0" xfId="0" applyNumberFormat="1" applyFont="1" applyFill="1" applyBorder="1"/>
    <xf numFmtId="0" fontId="7" fillId="0" borderId="0" xfId="0" applyFont="1"/>
    <xf numFmtId="164" fontId="7" fillId="5" borderId="0" xfId="0" applyNumberFormat="1" applyFont="1" applyFill="1"/>
    <xf numFmtId="0" fontId="0" fillId="0" borderId="21" xfId="0" applyBorder="1"/>
    <xf numFmtId="0" fontId="11" fillId="0" borderId="0" xfId="0" applyFont="1" applyFill="1" applyBorder="1"/>
    <xf numFmtId="0" fontId="0" fillId="11" borderId="0" xfId="0" applyFill="1"/>
    <xf numFmtId="10" fontId="0" fillId="0" borderId="0" xfId="0" applyNumberFormat="1"/>
    <xf numFmtId="0" fontId="8" fillId="0" borderId="0" xfId="0" applyFont="1" applyBorder="1"/>
    <xf numFmtId="0" fontId="14" fillId="12" borderId="0" xfId="0" applyFont="1" applyFill="1" applyBorder="1"/>
    <xf numFmtId="0" fontId="0" fillId="12" borderId="0" xfId="0" applyFill="1" applyBorder="1"/>
    <xf numFmtId="0" fontId="12" fillId="6" borderId="18" xfId="0" applyFont="1" applyFill="1" applyBorder="1"/>
    <xf numFmtId="164" fontId="13" fillId="6" borderId="18" xfId="0" applyNumberFormat="1" applyFont="1" applyFill="1" applyBorder="1"/>
    <xf numFmtId="0" fontId="13" fillId="0" borderId="0" xfId="0" applyFont="1"/>
    <xf numFmtId="0" fontId="12" fillId="6" borderId="16" xfId="0" applyFont="1" applyFill="1" applyBorder="1"/>
    <xf numFmtId="164" fontId="13" fillId="6" borderId="10" xfId="0" applyNumberFormat="1" applyFont="1" applyFill="1" applyBorder="1"/>
    <xf numFmtId="0" fontId="12" fillId="8" borderId="18" xfId="0" applyFont="1" applyFill="1" applyBorder="1"/>
    <xf numFmtId="164" fontId="13" fillId="8" borderId="18" xfId="0" applyNumberFormat="1" applyFont="1" applyFill="1" applyBorder="1"/>
    <xf numFmtId="0" fontId="13" fillId="8" borderId="0" xfId="0" applyFont="1" applyFill="1"/>
    <xf numFmtId="165" fontId="0" fillId="4" borderId="0" xfId="0" applyNumberFormat="1" applyFill="1" applyBorder="1"/>
    <xf numFmtId="165" fontId="7" fillId="4" borderId="0" xfId="0" applyNumberFormat="1" applyFont="1" applyFill="1" applyBorder="1"/>
    <xf numFmtId="165" fontId="0" fillId="6" borderId="0" xfId="0" applyNumberFormat="1" applyFill="1" applyBorder="1"/>
    <xf numFmtId="165" fontId="8" fillId="6" borderId="0" xfId="0" applyNumberFormat="1" applyFont="1" applyFill="1" applyBorder="1"/>
    <xf numFmtId="0" fontId="0" fillId="0" borderId="0" xfId="0" applyFont="1" applyBorder="1"/>
    <xf numFmtId="0" fontId="7" fillId="0" borderId="0" xfId="0" applyFont="1" applyBorder="1"/>
    <xf numFmtId="49" fontId="10" fillId="0" borderId="7" xfId="0" applyNumberFormat="1" applyFont="1" applyBorder="1"/>
    <xf numFmtId="0" fontId="12" fillId="8" borderId="20" xfId="0" applyFont="1" applyFill="1" applyBorder="1"/>
    <xf numFmtId="164" fontId="13" fillId="8" borderId="20" xfId="0" applyNumberFormat="1" applyFont="1" applyFill="1" applyBorder="1"/>
    <xf numFmtId="164" fontId="1" fillId="8" borderId="18" xfId="0" applyNumberFormat="1" applyFont="1" applyFill="1" applyBorder="1"/>
    <xf numFmtId="0" fontId="12" fillId="8" borderId="19" xfId="0" applyFont="1" applyFill="1" applyBorder="1"/>
    <xf numFmtId="164" fontId="13" fillId="8" borderId="19" xfId="0" applyNumberFormat="1" applyFont="1" applyFill="1" applyBorder="1"/>
    <xf numFmtId="0" fontId="0" fillId="0" borderId="22" xfId="0" applyBorder="1"/>
    <xf numFmtId="0" fontId="0" fillId="0" borderId="22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49" fontId="11" fillId="0" borderId="7" xfId="0" applyNumberFormat="1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right"/>
    </xf>
    <xf numFmtId="164" fontId="1" fillId="0" borderId="22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0" fillId="11" borderId="0" xfId="0" applyNumberFormat="1" applyFill="1"/>
    <xf numFmtId="0" fontId="1" fillId="0" borderId="0" xfId="0" applyFont="1" applyBorder="1" applyAlignment="1">
      <alignment horizontal="right"/>
    </xf>
    <xf numFmtId="164" fontId="1" fillId="0" borderId="0" xfId="0" applyNumberFormat="1" applyFont="1" applyBorder="1" applyAlignment="1">
      <alignment horizontal="center"/>
    </xf>
    <xf numFmtId="0" fontId="11" fillId="8" borderId="18" xfId="0" applyFont="1" applyFill="1" applyBorder="1"/>
    <xf numFmtId="164" fontId="7" fillId="8" borderId="18" xfId="0" applyNumberFormat="1" applyFont="1" applyFill="1" applyBorder="1"/>
    <xf numFmtId="0" fontId="7" fillId="8" borderId="0" xfId="0" applyFont="1" applyFill="1"/>
    <xf numFmtId="0" fontId="11" fillId="8" borderId="19" xfId="0" applyFont="1" applyFill="1" applyBorder="1"/>
    <xf numFmtId="164" fontId="7" fillId="8" borderId="19" xfId="0" applyNumberFormat="1" applyFont="1" applyFill="1" applyBorder="1"/>
    <xf numFmtId="0" fontId="11" fillId="8" borderId="20" xfId="0" applyFont="1" applyFill="1" applyBorder="1"/>
    <xf numFmtId="164" fontId="7" fillId="8" borderId="20" xfId="0" applyNumberFormat="1" applyFont="1" applyFill="1" applyBorder="1"/>
    <xf numFmtId="2" fontId="0" fillId="0" borderId="0" xfId="0" applyNumberFormat="1"/>
    <xf numFmtId="0" fontId="1" fillId="0" borderId="2" xfId="0" applyFont="1" applyFill="1" applyBorder="1" applyAlignment="1">
      <alignment horizontal="center"/>
    </xf>
    <xf numFmtId="166" fontId="1" fillId="0" borderId="0" xfId="0" applyNumberFormat="1" applyFont="1" applyAlignment="1">
      <alignment horizontal="center" vertical="center"/>
    </xf>
    <xf numFmtId="0" fontId="18" fillId="0" borderId="0" xfId="0" applyFont="1"/>
    <xf numFmtId="0" fontId="1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1" fillId="0" borderId="0" xfId="0" applyNumberFormat="1" applyFont="1" applyFill="1" applyBorder="1" applyAlignment="1">
      <alignment horizontal="center" vertical="center"/>
    </xf>
    <xf numFmtId="166" fontId="1" fillId="0" borderId="2" xfId="0" applyNumberFormat="1" applyFont="1" applyBorder="1" applyAlignment="1">
      <alignment horizontal="center" vertical="center"/>
    </xf>
    <xf numFmtId="0" fontId="0" fillId="0" borderId="0" xfId="0" applyFill="1"/>
    <xf numFmtId="0" fontId="0" fillId="13" borderId="0" xfId="0" applyFill="1"/>
    <xf numFmtId="0" fontId="0" fillId="14" borderId="0" xfId="0" applyFill="1"/>
    <xf numFmtId="0" fontId="0" fillId="14" borderId="0" xfId="0" applyFill="1" applyAlignment="1">
      <alignment horizontal="center"/>
    </xf>
    <xf numFmtId="0" fontId="0" fillId="0" borderId="0" xfId="0" applyFill="1" applyAlignment="1">
      <alignment horizontal="center"/>
    </xf>
    <xf numFmtId="1" fontId="0" fillId="0" borderId="0" xfId="0" applyNumberFormat="1"/>
    <xf numFmtId="0" fontId="0" fillId="16" borderId="0" xfId="0" applyFill="1"/>
    <xf numFmtId="164" fontId="0" fillId="16" borderId="0" xfId="0" applyNumberFormat="1" applyFill="1"/>
    <xf numFmtId="164" fontId="0" fillId="17" borderId="0" xfId="0" applyNumberFormat="1" applyFill="1"/>
    <xf numFmtId="2" fontId="0" fillId="17" borderId="0" xfId="0" applyNumberFormat="1" applyFill="1"/>
    <xf numFmtId="0" fontId="0" fillId="17" borderId="0" xfId="0" applyFill="1"/>
    <xf numFmtId="0" fontId="19" fillId="15" borderId="0" xfId="1"/>
    <xf numFmtId="164" fontId="19" fillId="15" borderId="0" xfId="1" applyNumberFormat="1"/>
    <xf numFmtId="0" fontId="0" fillId="16" borderId="0" xfId="0" applyFill="1" applyBorder="1"/>
    <xf numFmtId="164" fontId="18" fillId="0" borderId="0" xfId="0" applyNumberFormat="1" applyFont="1"/>
    <xf numFmtId="0" fontId="13" fillId="0" borderId="0" xfId="0" applyFont="1" applyBorder="1"/>
    <xf numFmtId="0" fontId="1" fillId="2" borderId="0" xfId="0" applyFont="1" applyFill="1"/>
    <xf numFmtId="10" fontId="0" fillId="2" borderId="0" xfId="0" applyNumberFormat="1" applyFill="1"/>
    <xf numFmtId="164" fontId="0" fillId="2" borderId="0" xfId="0" applyNumberFormat="1" applyFill="1"/>
    <xf numFmtId="0" fontId="1" fillId="0" borderId="0" xfId="0" applyFont="1" applyAlignment="1"/>
    <xf numFmtId="0" fontId="1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Border="1" applyAlignment="1">
      <alignment horizontal="right"/>
    </xf>
    <xf numFmtId="0" fontId="1" fillId="0" borderId="0" xfId="0" applyFont="1" applyBorder="1" applyAlignment="1">
      <alignment horizontal="right"/>
    </xf>
    <xf numFmtId="49" fontId="2" fillId="0" borderId="0" xfId="0" applyNumberFormat="1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center" vertical="center" textRotation="90" wrapText="1"/>
    </xf>
    <xf numFmtId="0" fontId="17" fillId="0" borderId="23" xfId="0" applyFont="1" applyBorder="1" applyAlignment="1">
      <alignment horizontal="center" vertical="center"/>
    </xf>
    <xf numFmtId="0" fontId="0" fillId="0" borderId="0" xfId="0" applyFill="1" applyBorder="1" applyAlignment="1">
      <alignment horizontal="right"/>
    </xf>
    <xf numFmtId="0" fontId="0" fillId="0" borderId="0" xfId="0" applyAlignment="1"/>
    <xf numFmtId="164" fontId="0" fillId="17" borderId="0" xfId="0" applyNumberFormat="1" applyFont="1" applyFill="1" applyBorder="1"/>
  </cellXfs>
  <cellStyles count="2">
    <cellStyle name="Schlecht" xfId="1" builtinId="27"/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Matrix_Konfiguration!$V$13:$V$292</c:f>
              <c:numCache>
                <c:formatCode>General</c:formatCode>
                <c:ptCount val="280"/>
                <c:pt idx="0">
                  <c:v>0</c:v>
                </c:pt>
                <c:pt idx="1">
                  <c:v>1.7198335648857394E-3</c:v>
                </c:pt>
                <c:pt idx="2">
                  <c:v>1.2348366470176972E-3</c:v>
                </c:pt>
                <c:pt idx="3">
                  <c:v>1.1066334190870124E-3</c:v>
                </c:pt>
                <c:pt idx="4">
                  <c:v>1.0340059655132995E-3</c:v>
                </c:pt>
                <c:pt idx="5">
                  <c:v>2.5034594240401801E-3</c:v>
                </c:pt>
                <c:pt idx="6">
                  <c:v>1.1297972402377239E-2</c:v>
                </c:pt>
                <c:pt idx="7">
                  <c:v>4.0982367160169366E-3</c:v>
                </c:pt>
                <c:pt idx="8">
                  <c:v>1.726237534634497E-2</c:v>
                </c:pt>
                <c:pt idx="9">
                  <c:v>1.701540776441238E-3</c:v>
                </c:pt>
                <c:pt idx="10">
                  <c:v>2.0926558102309879E-3</c:v>
                </c:pt>
                <c:pt idx="11">
                  <c:v>1.2605803427394153E-3</c:v>
                </c:pt>
                <c:pt idx="12">
                  <c:v>3.5554714597566652E-3</c:v>
                </c:pt>
                <c:pt idx="13">
                  <c:v>1.6550758106009467E-2</c:v>
                </c:pt>
                <c:pt idx="14">
                  <c:v>2.2614433961098885E-3</c:v>
                </c:pt>
                <c:pt idx="15">
                  <c:v>1.9133738452609059E-3</c:v>
                </c:pt>
                <c:pt idx="16">
                  <c:v>2.1677787495146643E-3</c:v>
                </c:pt>
                <c:pt idx="17">
                  <c:v>1.4373940827008002E-3</c:v>
                </c:pt>
                <c:pt idx="18">
                  <c:v>1.1986945542202018E-3</c:v>
                </c:pt>
                <c:pt idx="19">
                  <c:v>2.8172169355738896E-3</c:v>
                </c:pt>
                <c:pt idx="20">
                  <c:v>5.6470239564509915E-3</c:v>
                </c:pt>
                <c:pt idx="21">
                  <c:v>8.3849969824518564E-3</c:v>
                </c:pt>
                <c:pt idx="22">
                  <c:v>2.7370025294308573E-3</c:v>
                </c:pt>
                <c:pt idx="23">
                  <c:v>1.8058618337454776E-3</c:v>
                </c:pt>
                <c:pt idx="24">
                  <c:v>1.1561965453339595E-2</c:v>
                </c:pt>
                <c:pt idx="25">
                  <c:v>3.427112308564352E-3</c:v>
                </c:pt>
                <c:pt idx="26">
                  <c:v>3.0628951149710907E-3</c:v>
                </c:pt>
                <c:pt idx="27">
                  <c:v>1.4726020680686759E-3</c:v>
                </c:pt>
                <c:pt idx="28">
                  <c:v>7.5538190505810244E-3</c:v>
                </c:pt>
                <c:pt idx="29">
                  <c:v>9.9529440536924203E-3</c:v>
                </c:pt>
                <c:pt idx="30">
                  <c:v>2.4723357882331701E-3</c:v>
                </c:pt>
                <c:pt idx="31">
                  <c:v>6.4714228331293902E-3</c:v>
                </c:pt>
                <c:pt idx="32">
                  <c:v>2.19844653902214E-3</c:v>
                </c:pt>
                <c:pt idx="33">
                  <c:v>6.4269471805351169E-3</c:v>
                </c:pt>
                <c:pt idx="34">
                  <c:v>2.988494197113663E-3</c:v>
                </c:pt>
                <c:pt idx="35">
                  <c:v>1.8829989567831068E-3</c:v>
                </c:pt>
                <c:pt idx="36">
                  <c:v>3.0505873357103688E-3</c:v>
                </c:pt>
                <c:pt idx="37">
                  <c:v>1.8760328948182561E-3</c:v>
                </c:pt>
                <c:pt idx="38">
                  <c:v>2.474106773915559E-3</c:v>
                </c:pt>
                <c:pt idx="39">
                  <c:v>2.4077443462027707E-3</c:v>
                </c:pt>
                <c:pt idx="40">
                  <c:v>2.4756637174131991E-3</c:v>
                </c:pt>
                <c:pt idx="41">
                  <c:v>6.9443612171716899E-3</c:v>
                </c:pt>
                <c:pt idx="42">
                  <c:v>3.670423766297207E-3</c:v>
                </c:pt>
                <c:pt idx="43">
                  <c:v>1.4677145674475268E-2</c:v>
                </c:pt>
                <c:pt idx="44">
                  <c:v>2.4060454758172314E-3</c:v>
                </c:pt>
                <c:pt idx="45">
                  <c:v>3.33504997774024E-3</c:v>
                </c:pt>
                <c:pt idx="46">
                  <c:v>2.3360459587504117E-3</c:v>
                </c:pt>
                <c:pt idx="47">
                  <c:v>3.7307334345772674E-3</c:v>
                </c:pt>
                <c:pt idx="48">
                  <c:v>1.6677890710711601E-2</c:v>
                </c:pt>
                <c:pt idx="49">
                  <c:v>2.8040011348422029E-3</c:v>
                </c:pt>
                <c:pt idx="50">
                  <c:v>0.10344711804454056</c:v>
                </c:pt>
                <c:pt idx="51">
                  <c:v>2.3008236759128404E-2</c:v>
                </c:pt>
                <c:pt idx="52">
                  <c:v>0.1478721527390251</c:v>
                </c:pt>
                <c:pt idx="53">
                  <c:v>7.2038630574073406E-3</c:v>
                </c:pt>
                <c:pt idx="54">
                  <c:v>8.3936581733394688E-2</c:v>
                </c:pt>
                <c:pt idx="55">
                  <c:v>0.15174348126839166</c:v>
                </c:pt>
                <c:pt idx="56">
                  <c:v>9.0142413820166779E-3</c:v>
                </c:pt>
                <c:pt idx="57">
                  <c:v>2.6611886182106206E-2</c:v>
                </c:pt>
                <c:pt idx="58">
                  <c:v>3.2972073199274299E-3</c:v>
                </c:pt>
                <c:pt idx="59">
                  <c:v>4.523438999972036E-3</c:v>
                </c:pt>
                <c:pt idx="60">
                  <c:v>2.965258503239239E-2</c:v>
                </c:pt>
                <c:pt idx="61">
                  <c:v>0.8557681563057965</c:v>
                </c:pt>
                <c:pt idx="62">
                  <c:v>6.6445794137398786E-3</c:v>
                </c:pt>
                <c:pt idx="63">
                  <c:v>2.7667309292672481E-2</c:v>
                </c:pt>
                <c:pt idx="64">
                  <c:v>9.8505028024531722E-3</c:v>
                </c:pt>
                <c:pt idx="65">
                  <c:v>4.7166158791975684E-3</c:v>
                </c:pt>
                <c:pt idx="66">
                  <c:v>3.3472266228384957E-2</c:v>
                </c:pt>
                <c:pt idx="67">
                  <c:v>3.5004664610231982E-3</c:v>
                </c:pt>
                <c:pt idx="68">
                  <c:v>6.0512405402459741E-3</c:v>
                </c:pt>
                <c:pt idx="69">
                  <c:v>3.5581177268240042E-3</c:v>
                </c:pt>
                <c:pt idx="70">
                  <c:v>3.0452654993958785E-3</c:v>
                </c:pt>
                <c:pt idx="71">
                  <c:v>1.7694890834061042E-3</c:v>
                </c:pt>
                <c:pt idx="72">
                  <c:v>2.4868417778225603E-3</c:v>
                </c:pt>
                <c:pt idx="73">
                  <c:v>1.8158933526515513E-3</c:v>
                </c:pt>
                <c:pt idx="74">
                  <c:v>2.2460231781888727E-3</c:v>
                </c:pt>
                <c:pt idx="75">
                  <c:v>1.9655624795440604E-3</c:v>
                </c:pt>
                <c:pt idx="76">
                  <c:v>3.4009137511335904E-3</c:v>
                </c:pt>
                <c:pt idx="77">
                  <c:v>2.1703073722481279E-3</c:v>
                </c:pt>
                <c:pt idx="78">
                  <c:v>2.233938618949671E-3</c:v>
                </c:pt>
                <c:pt idx="79">
                  <c:v>2.5449566980370549E-3</c:v>
                </c:pt>
                <c:pt idx="80">
                  <c:v>3.7615790936085941E-3</c:v>
                </c:pt>
                <c:pt idx="81">
                  <c:v>6.9930559207090895E-3</c:v>
                </c:pt>
                <c:pt idx="82">
                  <c:v>2.9735353684723002E-3</c:v>
                </c:pt>
                <c:pt idx="83">
                  <c:v>2.1914848798424542E-3</c:v>
                </c:pt>
                <c:pt idx="84">
                  <c:v>1.2103097333815668E-2</c:v>
                </c:pt>
                <c:pt idx="85">
                  <c:v>0.10595102079595532</c:v>
                </c:pt>
                <c:pt idx="86">
                  <c:v>5.0013469078588682E-2</c:v>
                </c:pt>
                <c:pt idx="87">
                  <c:v>0.20255814689085719</c:v>
                </c:pt>
                <c:pt idx="88">
                  <c:v>1.1600172290614802E-2</c:v>
                </c:pt>
                <c:pt idx="89">
                  <c:v>6.3760962689733316E-2</c:v>
                </c:pt>
                <c:pt idx="90">
                  <c:v>7.3386494269036179E-2</c:v>
                </c:pt>
                <c:pt idx="91">
                  <c:v>5.2282085609618783E-3</c:v>
                </c:pt>
                <c:pt idx="92">
                  <c:v>2.8211254622303755E-2</c:v>
                </c:pt>
                <c:pt idx="93">
                  <c:v>4.0605103938523186E-3</c:v>
                </c:pt>
                <c:pt idx="94">
                  <c:v>3.8048755660044309E-3</c:v>
                </c:pt>
                <c:pt idx="95">
                  <c:v>3.6099050458206383E-2</c:v>
                </c:pt>
                <c:pt idx="96">
                  <c:v>0.11327148057081397</c:v>
                </c:pt>
                <c:pt idx="97">
                  <c:v>4.8939633303749864E-3</c:v>
                </c:pt>
                <c:pt idx="98">
                  <c:v>2.5497643612000805E-2</c:v>
                </c:pt>
                <c:pt idx="99">
                  <c:v>5.0898067430484801E-3</c:v>
                </c:pt>
                <c:pt idx="100">
                  <c:v>4.0048319827518481E-3</c:v>
                </c:pt>
                <c:pt idx="101">
                  <c:v>4.1068372245798075E-2</c:v>
                </c:pt>
                <c:pt idx="102">
                  <c:v>3.7748031109670573E-3</c:v>
                </c:pt>
                <c:pt idx="103">
                  <c:v>5.7230222196591575E-3</c:v>
                </c:pt>
                <c:pt idx="104">
                  <c:v>3.987270253635186E-3</c:v>
                </c:pt>
                <c:pt idx="105">
                  <c:v>2.4300855619816221E-3</c:v>
                </c:pt>
                <c:pt idx="106">
                  <c:v>3.2080562845868835E-3</c:v>
                </c:pt>
                <c:pt idx="107">
                  <c:v>4.6237820674826756E-3</c:v>
                </c:pt>
                <c:pt idx="108">
                  <c:v>3.5172469335777784E-3</c:v>
                </c:pt>
                <c:pt idx="109">
                  <c:v>1.2143821443135279E-2</c:v>
                </c:pt>
                <c:pt idx="110">
                  <c:v>3.8400751659875116E-3</c:v>
                </c:pt>
                <c:pt idx="111">
                  <c:v>2.3933602132452545E-3</c:v>
                </c:pt>
                <c:pt idx="112">
                  <c:v>2.7043689777349021E-3</c:v>
                </c:pt>
                <c:pt idx="113">
                  <c:v>2.1933576137975457E-3</c:v>
                </c:pt>
                <c:pt idx="114">
                  <c:v>3.1773997426940443E-3</c:v>
                </c:pt>
                <c:pt idx="115">
                  <c:v>4.1873208274353091E-3</c:v>
                </c:pt>
                <c:pt idx="116">
                  <c:v>1.9971095513401475E-3</c:v>
                </c:pt>
                <c:pt idx="117">
                  <c:v>5.0318778380330047E-3</c:v>
                </c:pt>
                <c:pt idx="118">
                  <c:v>6.123829656514178E-3</c:v>
                </c:pt>
                <c:pt idx="119">
                  <c:v>2.3827204495554212E-3</c:v>
                </c:pt>
                <c:pt idx="120">
                  <c:v>0.11639486628759733</c:v>
                </c:pt>
                <c:pt idx="121">
                  <c:v>1.9300031341211388E-2</c:v>
                </c:pt>
                <c:pt idx="122">
                  <c:v>0.13876459201171612</c:v>
                </c:pt>
                <c:pt idx="123">
                  <c:v>6.0558984501872578E-3</c:v>
                </c:pt>
                <c:pt idx="124">
                  <c:v>1.9462301841567817E-2</c:v>
                </c:pt>
                <c:pt idx="125">
                  <c:v>0.71279731689324766</c:v>
                </c:pt>
                <c:pt idx="126">
                  <c:v>5.0172103444661529E-3</c:v>
                </c:pt>
                <c:pt idx="127">
                  <c:v>1.5186240937178618E-2</c:v>
                </c:pt>
                <c:pt idx="128">
                  <c:v>5.1017315032691512E-3</c:v>
                </c:pt>
                <c:pt idx="129">
                  <c:v>3.3527102857829442E-3</c:v>
                </c:pt>
                <c:pt idx="130">
                  <c:v>3.7183697279905739E-2</c:v>
                </c:pt>
                <c:pt idx="131">
                  <c:v>0.17876113966754248</c:v>
                </c:pt>
                <c:pt idx="132">
                  <c:v>6.6582308822889322E-3</c:v>
                </c:pt>
                <c:pt idx="133">
                  <c:v>1.7771275311888244E-2</c:v>
                </c:pt>
                <c:pt idx="134">
                  <c:v>2.9146032978463322E-3</c:v>
                </c:pt>
                <c:pt idx="135">
                  <c:v>3.6898373280579138E-3</c:v>
                </c:pt>
                <c:pt idx="136">
                  <c:v>2.368195622143561E-2</c:v>
                </c:pt>
                <c:pt idx="137">
                  <c:v>3.1438437596314189E-3</c:v>
                </c:pt>
                <c:pt idx="138">
                  <c:v>5.0847164794319494E-3</c:v>
                </c:pt>
                <c:pt idx="139">
                  <c:v>2.7695593731638566E-3</c:v>
                </c:pt>
                <c:pt idx="140">
                  <c:v>2.7564818175547018E-3</c:v>
                </c:pt>
                <c:pt idx="141">
                  <c:v>4.8866902105883557E-3</c:v>
                </c:pt>
                <c:pt idx="142">
                  <c:v>3.2693774191351085E-3</c:v>
                </c:pt>
                <c:pt idx="143">
                  <c:v>2.6190478714713189E-3</c:v>
                </c:pt>
                <c:pt idx="144">
                  <c:v>2.2802807977279661E-3</c:v>
                </c:pt>
                <c:pt idx="145">
                  <c:v>3.0687526647472756E-3</c:v>
                </c:pt>
                <c:pt idx="146">
                  <c:v>3.12438700294754E-3</c:v>
                </c:pt>
                <c:pt idx="147">
                  <c:v>3.2758255320086385E-3</c:v>
                </c:pt>
                <c:pt idx="148">
                  <c:v>6.5554944078876111E-3</c:v>
                </c:pt>
                <c:pt idx="149">
                  <c:v>5.1038528592465418E-3</c:v>
                </c:pt>
                <c:pt idx="150">
                  <c:v>3.2425884114553345E-3</c:v>
                </c:pt>
                <c:pt idx="151">
                  <c:v>2.0692395272206483E-3</c:v>
                </c:pt>
                <c:pt idx="152">
                  <c:v>5.0771735804493734E-3</c:v>
                </c:pt>
                <c:pt idx="153">
                  <c:v>2.1339186357065909E-3</c:v>
                </c:pt>
                <c:pt idx="154">
                  <c:v>4.3333855796214085E-3</c:v>
                </c:pt>
                <c:pt idx="155">
                  <c:v>0.13350721473592761</c:v>
                </c:pt>
                <c:pt idx="156">
                  <c:v>7.2405547944700083E-2</c:v>
                </c:pt>
                <c:pt idx="157">
                  <c:v>7.4115211706482664E-2</c:v>
                </c:pt>
                <c:pt idx="158">
                  <c:v>5.2762235777945882E-3</c:v>
                </c:pt>
                <c:pt idx="159">
                  <c:v>5.0037946703832471E-2</c:v>
                </c:pt>
                <c:pt idx="160">
                  <c:v>1</c:v>
                </c:pt>
                <c:pt idx="161">
                  <c:v>9.1065060021560274E-3</c:v>
                </c:pt>
                <c:pt idx="162">
                  <c:v>2.7386810344610952E-2</c:v>
                </c:pt>
                <c:pt idx="163">
                  <c:v>3.4120276753595896E-3</c:v>
                </c:pt>
                <c:pt idx="164">
                  <c:v>3.9563679581483642E-3</c:v>
                </c:pt>
                <c:pt idx="165">
                  <c:v>3.6192946582351337E-2</c:v>
                </c:pt>
                <c:pt idx="166">
                  <c:v>8.8608588470029157E-2</c:v>
                </c:pt>
                <c:pt idx="167">
                  <c:v>4.1821074077586966E-3</c:v>
                </c:pt>
                <c:pt idx="168">
                  <c:v>2.6236224395142869E-2</c:v>
                </c:pt>
                <c:pt idx="169">
                  <c:v>2.7759350490759822E-3</c:v>
                </c:pt>
                <c:pt idx="170">
                  <c:v>3.5261255974567635E-3</c:v>
                </c:pt>
                <c:pt idx="171">
                  <c:v>2.4673257797662305E-2</c:v>
                </c:pt>
                <c:pt idx="172">
                  <c:v>4.0699765389870463E-3</c:v>
                </c:pt>
                <c:pt idx="173">
                  <c:v>4.1065405697672764E-3</c:v>
                </c:pt>
                <c:pt idx="174">
                  <c:v>4.2358306023054584E-3</c:v>
                </c:pt>
                <c:pt idx="175">
                  <c:v>3.1388625181329997E-3</c:v>
                </c:pt>
                <c:pt idx="176">
                  <c:v>1.1636684085990508E-2</c:v>
                </c:pt>
                <c:pt idx="177">
                  <c:v>3.1465766398775753E-3</c:v>
                </c:pt>
                <c:pt idx="178">
                  <c:v>3.558686189592698E-3</c:v>
                </c:pt>
                <c:pt idx="179">
                  <c:v>1.4299919084666612E-2</c:v>
                </c:pt>
                <c:pt idx="180">
                  <c:v>3.4417023008348692E-3</c:v>
                </c:pt>
                <c:pt idx="181">
                  <c:v>5.3191648337675224E-3</c:v>
                </c:pt>
                <c:pt idx="182">
                  <c:v>3.5862710101154877E-3</c:v>
                </c:pt>
                <c:pt idx="183">
                  <c:v>2.1580456139898493E-3</c:v>
                </c:pt>
                <c:pt idx="184">
                  <c:v>4.0436338670656524E-3</c:v>
                </c:pt>
                <c:pt idx="185">
                  <c:v>5.0433360637614074E-3</c:v>
                </c:pt>
                <c:pt idx="186">
                  <c:v>5.8678639962095871E-3</c:v>
                </c:pt>
                <c:pt idx="187">
                  <c:v>6.5248856877080288E-3</c:v>
                </c:pt>
                <c:pt idx="188">
                  <c:v>1.8851925158580489E-3</c:v>
                </c:pt>
                <c:pt idx="189">
                  <c:v>2.0335346121188019E-3</c:v>
                </c:pt>
                <c:pt idx="190">
                  <c:v>3.8834021197862306E-2</c:v>
                </c:pt>
                <c:pt idx="191">
                  <c:v>9.5284996573252331E-2</c:v>
                </c:pt>
                <c:pt idx="192">
                  <c:v>2.2914880497641198E-2</c:v>
                </c:pt>
                <c:pt idx="193">
                  <c:v>2.50641578280697E-3</c:v>
                </c:pt>
                <c:pt idx="194">
                  <c:v>2.9753366118358625E-2</c:v>
                </c:pt>
                <c:pt idx="195">
                  <c:v>2.1009235256840463E-2</c:v>
                </c:pt>
                <c:pt idx="196">
                  <c:v>7.4036147539934573E-3</c:v>
                </c:pt>
                <c:pt idx="197">
                  <c:v>2.2477793849384552E-2</c:v>
                </c:pt>
                <c:pt idx="198">
                  <c:v>1.9693945919498717E-3</c:v>
                </c:pt>
                <c:pt idx="199">
                  <c:v>1.7416049003776211E-3</c:v>
                </c:pt>
                <c:pt idx="200">
                  <c:v>3.9490933393081677E-2</c:v>
                </c:pt>
                <c:pt idx="201">
                  <c:v>1.5387083267558612E-2</c:v>
                </c:pt>
                <c:pt idx="202">
                  <c:v>2.3986721089615613E-3</c:v>
                </c:pt>
                <c:pt idx="203">
                  <c:v>4.8125641909411508E-2</c:v>
                </c:pt>
                <c:pt idx="204">
                  <c:v>3.9565009068696019E-3</c:v>
                </c:pt>
                <c:pt idx="205">
                  <c:v>2.9742423975155463E-3</c:v>
                </c:pt>
                <c:pt idx="206">
                  <c:v>1.7146087406626983E-2</c:v>
                </c:pt>
                <c:pt idx="207">
                  <c:v>1.9370721454461774E-3</c:v>
                </c:pt>
                <c:pt idx="208">
                  <c:v>1.5547135894979911E-3</c:v>
                </c:pt>
                <c:pt idx="209">
                  <c:v>4.0781063967259314E-3</c:v>
                </c:pt>
                <c:pt idx="210">
                  <c:v>2.9294784207803326E-3</c:v>
                </c:pt>
                <c:pt idx="211">
                  <c:v>6.9592062037014124E-3</c:v>
                </c:pt>
                <c:pt idx="212">
                  <c:v>2.9925500543121104E-3</c:v>
                </c:pt>
                <c:pt idx="213">
                  <c:v>4.1172166027053413E-3</c:v>
                </c:pt>
                <c:pt idx="214">
                  <c:v>1.8256623299159431E-3</c:v>
                </c:pt>
                <c:pt idx="215">
                  <c:v>2.8094203361647145E-3</c:v>
                </c:pt>
                <c:pt idx="216">
                  <c:v>5.9906934111476186E-3</c:v>
                </c:pt>
                <c:pt idx="217">
                  <c:v>2.6935575517189982E-3</c:v>
                </c:pt>
                <c:pt idx="218">
                  <c:v>9.2263743630056766E-3</c:v>
                </c:pt>
                <c:pt idx="219">
                  <c:v>3.1493209612786558E-3</c:v>
                </c:pt>
                <c:pt idx="220">
                  <c:v>6.9809648786066172E-3</c:v>
                </c:pt>
                <c:pt idx="221">
                  <c:v>1.7386876750289484E-3</c:v>
                </c:pt>
                <c:pt idx="222">
                  <c:v>3.3666708629193328E-3</c:v>
                </c:pt>
                <c:pt idx="223">
                  <c:v>2.9434714841791031E-3</c:v>
                </c:pt>
                <c:pt idx="224">
                  <c:v>1.5412529585734187E-3</c:v>
                </c:pt>
                <c:pt idx="225">
                  <c:v>0.21721448664663923</c:v>
                </c:pt>
                <c:pt idx="226">
                  <c:v>0.10733601947710228</c:v>
                </c:pt>
                <c:pt idx="227">
                  <c:v>2.1444843994240868E-2</c:v>
                </c:pt>
                <c:pt idx="228">
                  <c:v>2.4508208612773474E-3</c:v>
                </c:pt>
                <c:pt idx="229">
                  <c:v>0.8525477779935805</c:v>
                </c:pt>
                <c:pt idx="230">
                  <c:v>3.4574948513296122E-2</c:v>
                </c:pt>
                <c:pt idx="231">
                  <c:v>4.9302245076437417E-3</c:v>
                </c:pt>
                <c:pt idx="232">
                  <c:v>1.7167652352305374E-2</c:v>
                </c:pt>
                <c:pt idx="233">
                  <c:v>2.2577515180987285E-3</c:v>
                </c:pt>
                <c:pt idx="234">
                  <c:v>2.2572065747584998E-3</c:v>
                </c:pt>
                <c:pt idx="235">
                  <c:v>0.10401439012082403</c:v>
                </c:pt>
                <c:pt idx="236">
                  <c:v>1.5686214463755819E-2</c:v>
                </c:pt>
                <c:pt idx="237">
                  <c:v>1.9639101063275975E-3</c:v>
                </c:pt>
                <c:pt idx="238">
                  <c:v>2.4620830589450308E-2</c:v>
                </c:pt>
                <c:pt idx="239">
                  <c:v>3.0544980309778289E-3</c:v>
                </c:pt>
                <c:pt idx="240">
                  <c:v>1.607893183805561E-3</c:v>
                </c:pt>
                <c:pt idx="241">
                  <c:v>1.4279599118654937E-2</c:v>
                </c:pt>
                <c:pt idx="242">
                  <c:v>1.8761418144596896E-3</c:v>
                </c:pt>
                <c:pt idx="243">
                  <c:v>2.290957867384009E-3</c:v>
                </c:pt>
                <c:pt idx="244">
                  <c:v>1.4859129151665877E-3</c:v>
                </c:pt>
                <c:pt idx="245">
                  <c:v>3.2599931819668974E-3</c:v>
                </c:pt>
                <c:pt idx="246">
                  <c:v>2.6662170223660259E-2</c:v>
                </c:pt>
                <c:pt idx="247">
                  <c:v>2.5222321032469584E-3</c:v>
                </c:pt>
                <c:pt idx="248">
                  <c:v>1.6979696082484071E-2</c:v>
                </c:pt>
                <c:pt idx="249">
                  <c:v>1.9933418649661027E-3</c:v>
                </c:pt>
                <c:pt idx="250">
                  <c:v>2.7198676262281179E-3</c:v>
                </c:pt>
                <c:pt idx="251">
                  <c:v>1.2686122547177841E-2</c:v>
                </c:pt>
                <c:pt idx="252">
                  <c:v>2.0310094030501539E-3</c:v>
                </c:pt>
                <c:pt idx="253">
                  <c:v>1.1394703970608289E-2</c:v>
                </c:pt>
                <c:pt idx="254">
                  <c:v>1.9333351578818604E-3</c:v>
                </c:pt>
                <c:pt idx="255">
                  <c:v>8.0859508948173311E-3</c:v>
                </c:pt>
                <c:pt idx="256">
                  <c:v>1.6375409677275947E-3</c:v>
                </c:pt>
                <c:pt idx="257">
                  <c:v>1.3610005381801652E-3</c:v>
                </c:pt>
                <c:pt idx="258">
                  <c:v>4.666853232621844E-3</c:v>
                </c:pt>
                <c:pt idx="259">
                  <c:v>1.2271944832643893E-3</c:v>
                </c:pt>
                <c:pt idx="260">
                  <c:v>1.1748539745276216E-2</c:v>
                </c:pt>
                <c:pt idx="261">
                  <c:v>8.3134297025988808E-3</c:v>
                </c:pt>
                <c:pt idx="262">
                  <c:v>2.9565515234831396E-3</c:v>
                </c:pt>
                <c:pt idx="263">
                  <c:v>3.1457606928681756E-3</c:v>
                </c:pt>
                <c:pt idx="264">
                  <c:v>7.4351152942799337E-3</c:v>
                </c:pt>
                <c:pt idx="265">
                  <c:v>1.1456783896135872E-2</c:v>
                </c:pt>
                <c:pt idx="266">
                  <c:v>4.5074837142612904E-3</c:v>
                </c:pt>
                <c:pt idx="267">
                  <c:v>2.0305292088492661E-3</c:v>
                </c:pt>
                <c:pt idx="268">
                  <c:v>3.3302883093553884E-3</c:v>
                </c:pt>
                <c:pt idx="269">
                  <c:v>1.594355244249099E-3</c:v>
                </c:pt>
                <c:pt idx="270">
                  <c:v>5.6302949203561473E-3</c:v>
                </c:pt>
                <c:pt idx="271">
                  <c:v>3.1266863452654057E-3</c:v>
                </c:pt>
                <c:pt idx="272">
                  <c:v>2.4736518342715276E-3</c:v>
                </c:pt>
                <c:pt idx="273">
                  <c:v>3.0579804638747325E-3</c:v>
                </c:pt>
                <c:pt idx="274">
                  <c:v>5.2975046989748352E-3</c:v>
                </c:pt>
                <c:pt idx="275">
                  <c:v>1.9512900709030819E-3</c:v>
                </c:pt>
                <c:pt idx="276">
                  <c:v>2.0612889458582195E-3</c:v>
                </c:pt>
                <c:pt idx="277">
                  <c:v>2.5450480528708477E-3</c:v>
                </c:pt>
                <c:pt idx="278">
                  <c:v>1.7158422273198131E-3</c:v>
                </c:pt>
                <c:pt idx="279">
                  <c:v>2.6794635812882666E-3</c:v>
                </c:pt>
              </c:numCache>
            </c:numRef>
          </c:val>
        </c:ser>
        <c:marker val="1"/>
        <c:axId val="212434304"/>
        <c:axId val="212612224"/>
      </c:lineChart>
      <c:catAx>
        <c:axId val="212434304"/>
        <c:scaling>
          <c:orientation val="minMax"/>
        </c:scaling>
        <c:axPos val="b"/>
        <c:tickLblPos val="nextTo"/>
        <c:crossAx val="212612224"/>
        <c:crosses val="autoZero"/>
        <c:auto val="1"/>
        <c:lblAlgn val="ctr"/>
        <c:lblOffset val="100"/>
      </c:catAx>
      <c:valAx>
        <c:axId val="212612224"/>
        <c:scaling>
          <c:orientation val="minMax"/>
        </c:scaling>
        <c:axPos val="l"/>
        <c:majorGridlines/>
        <c:numFmt formatCode="General" sourceLinked="1"/>
        <c:tickLblPos val="nextTo"/>
        <c:crossAx val="212434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Matrix_Konfiguration!$T$13:$T$292</c:f>
              <c:numCache>
                <c:formatCode>0.000</c:formatCode>
                <c:ptCount val="280"/>
                <c:pt idx="0">
                  <c:v>0</c:v>
                </c:pt>
                <c:pt idx="1">
                  <c:v>3.6962112341108457</c:v>
                </c:pt>
                <c:pt idx="2">
                  <c:v>2.6538713862709233</c:v>
                </c:pt>
                <c:pt idx="3">
                  <c:v>2.3783411134574881</c:v>
                </c:pt>
                <c:pt idx="4">
                  <c:v>2.2222525155344348</c:v>
                </c:pt>
                <c:pt idx="5">
                  <c:v>5.3803548414248699</c:v>
                </c:pt>
                <c:pt idx="6">
                  <c:v>24.281240562435144</c:v>
                </c:pt>
                <c:pt idx="7">
                  <c:v>8.8077991376995399</c:v>
                </c:pt>
                <c:pt idx="8">
                  <c:v>37.099744408603527</c:v>
                </c:pt>
                <c:pt idx="9">
                  <c:v>3.6568969588621991</c:v>
                </c:pt>
                <c:pt idx="10">
                  <c:v>4.497468867237159</c:v>
                </c:pt>
                <c:pt idx="11">
                  <c:v>2.7091989128856673</c:v>
                </c:pt>
                <c:pt idx="12">
                  <c:v>7.6413054265435116</c:v>
                </c:pt>
                <c:pt idx="13">
                  <c:v>35.570359419370689</c:v>
                </c:pt>
                <c:pt idx="14">
                  <c:v>4.8602217427722341</c:v>
                </c:pt>
                <c:pt idx="15">
                  <c:v>4.1121618081555962</c:v>
                </c:pt>
                <c:pt idx="16">
                  <c:v>4.6589206831506358</c:v>
                </c:pt>
                <c:pt idx="17">
                  <c:v>3.0892013418031681</c:v>
                </c:pt>
                <c:pt idx="18">
                  <c:v>2.5761959575841629</c:v>
                </c:pt>
                <c:pt idx="19">
                  <c:v>6.0546724397063105</c:v>
                </c:pt>
                <c:pt idx="20">
                  <c:v>12.13640308765223</c:v>
                </c:pt>
                <c:pt idx="21">
                  <c:v>18.020767054039418</c:v>
                </c:pt>
                <c:pt idx="22">
                  <c:v>5.8822782062311054</c:v>
                </c:pt>
                <c:pt idx="23">
                  <c:v>3.8811004351956018</c:v>
                </c:pt>
                <c:pt idx="24">
                  <c:v>24.848605975354669</c:v>
                </c:pt>
                <c:pt idx="25">
                  <c:v>7.3654400484483462</c:v>
                </c:pt>
                <c:pt idx="26">
                  <c:v>6.5826761170413119</c:v>
                </c:pt>
                <c:pt idx="27">
                  <c:v>3.1648692167093064</c:v>
                </c:pt>
                <c:pt idx="28">
                  <c:v>16.234426054507814</c:v>
                </c:pt>
                <c:pt idx="29">
                  <c:v>21.390548698925272</c:v>
                </c:pt>
                <c:pt idx="30">
                  <c:v>5.3134649198272017</c:v>
                </c:pt>
                <c:pt idx="31">
                  <c:v>13.908174758807807</c:v>
                </c:pt>
                <c:pt idx="32">
                  <c:v>4.7248309144760778</c:v>
                </c:pt>
                <c:pt idx="33">
                  <c:v>13.812589110219603</c:v>
                </c:pt>
                <c:pt idx="34">
                  <c:v>6.4227760464603234</c:v>
                </c:pt>
                <c:pt idx="35">
                  <c:v>4.0468810703453864</c:v>
                </c:pt>
                <c:pt idx="36">
                  <c:v>6.5562246319096911</c:v>
                </c:pt>
                <c:pt idx="37">
                  <c:v>4.0319098330014373</c:v>
                </c:pt>
                <c:pt idx="38">
                  <c:v>5.3172710655545243</c:v>
                </c:pt>
                <c:pt idx="39">
                  <c:v>5.1746470606257837</c:v>
                </c:pt>
                <c:pt idx="40">
                  <c:v>5.3206171986713269</c:v>
                </c:pt>
                <c:pt idx="41">
                  <c:v>14.924598791824929</c:v>
                </c:pt>
                <c:pt idx="42">
                  <c:v>7.888357243357154</c:v>
                </c:pt>
                <c:pt idx="43">
                  <c:v>31.543651568563895</c:v>
                </c:pt>
                <c:pt idx="44">
                  <c:v>5.1709959027855508</c:v>
                </c:pt>
                <c:pt idx="45">
                  <c:v>7.1675826345810227</c:v>
                </c:pt>
                <c:pt idx="46">
                  <c:v>5.020555181865034</c:v>
                </c:pt>
                <c:pt idx="47">
                  <c:v>8.0179728515029733</c:v>
                </c:pt>
                <c:pt idx="48">
                  <c:v>35.843588743019239</c:v>
                </c:pt>
                <c:pt idx="49">
                  <c:v>6.0262694639012206</c:v>
                </c:pt>
                <c:pt idx="50">
                  <c:v>222.32523405718308</c:v>
                </c:pt>
                <c:pt idx="51">
                  <c:v>49.448565792947846</c:v>
                </c:pt>
                <c:pt idx="52">
                  <c:v>317.80209627578216</c:v>
                </c:pt>
                <c:pt idx="53">
                  <c:v>15.482311838444748</c:v>
                </c:pt>
                <c:pt idx="54">
                  <c:v>180.39381408191585</c:v>
                </c:pt>
                <c:pt idx="55">
                  <c:v>326.12223160360338</c:v>
                </c:pt>
                <c:pt idx="56">
                  <c:v>19.373118971201439</c:v>
                </c:pt>
                <c:pt idx="57">
                  <c:v>57.193413755542728</c:v>
                </c:pt>
                <c:pt idx="58">
                  <c:v>7.0862524060099732</c:v>
                </c:pt>
                <c:pt idx="59">
                  <c:v>9.7216302727657062</c:v>
                </c:pt>
                <c:pt idx="60">
                  <c:v>63.728386371176278</c:v>
                </c:pt>
                <c:pt idx="61">
                  <c:v>1839.1895225872963</c:v>
                </c:pt>
                <c:pt idx="62">
                  <c:v>14.280317337938845</c:v>
                </c:pt>
                <c:pt idx="63">
                  <c:v>59.461695313516891</c:v>
                </c:pt>
                <c:pt idx="64">
                  <c:v>21.170385241601402</c:v>
                </c:pt>
                <c:pt idx="65">
                  <c:v>10.1367998366946</c:v>
                </c:pt>
                <c:pt idx="66">
                  <c:v>71.937522903691658</c:v>
                </c:pt>
                <c:pt idx="67">
                  <c:v>7.5230904443487656</c:v>
                </c:pt>
                <c:pt idx="68">
                  <c:v>13.005132427828926</c:v>
                </c:pt>
                <c:pt idx="69">
                  <c:v>7.6469926989996724</c:v>
                </c:pt>
                <c:pt idx="70">
                  <c:v>6.5447871116906784</c:v>
                </c:pt>
                <c:pt idx="71">
                  <c:v>3.8029292847047502</c:v>
                </c:pt>
                <c:pt idx="72">
                  <c:v>5.3446407282175681</c:v>
                </c:pt>
                <c:pt idx="73">
                  <c:v>3.9026598544515507</c:v>
                </c:pt>
                <c:pt idx="74">
                  <c:v>4.8270811041221897</c:v>
                </c:pt>
                <c:pt idx="75">
                  <c:v>4.2243239500446652</c:v>
                </c:pt>
                <c:pt idx="76">
                  <c:v>7.309134947611736</c:v>
                </c:pt>
                <c:pt idx="77">
                  <c:v>4.6643551181710254</c:v>
                </c:pt>
                <c:pt idx="78">
                  <c:v>4.8011093563140337</c:v>
                </c:pt>
                <c:pt idx="79">
                  <c:v>5.4695394540896514</c:v>
                </c:pt>
                <c:pt idx="80">
                  <c:v>8.0842653543142653</c:v>
                </c:pt>
                <c:pt idx="81">
                  <c:v>15.029251889619651</c:v>
                </c:pt>
                <c:pt idx="82">
                  <c:v>6.3906270108779077</c:v>
                </c:pt>
                <c:pt idx="83">
                  <c:v>4.7098691394570427</c:v>
                </c:pt>
                <c:pt idx="84">
                  <c:v>26.01158928757074</c:v>
                </c:pt>
                <c:pt idx="85">
                  <c:v>227.7065416836075</c:v>
                </c:pt>
                <c:pt idx="86">
                  <c:v>107.48734647321321</c:v>
                </c:pt>
                <c:pt idx="87">
                  <c:v>435.33148403717917</c:v>
                </c:pt>
                <c:pt idx="88">
                  <c:v>24.930718886766446</c:v>
                </c:pt>
                <c:pt idx="89">
                  <c:v>137.0330195917372</c:v>
                </c:pt>
                <c:pt idx="90">
                  <c:v>157.71990388339927</c:v>
                </c:pt>
                <c:pt idx="91">
                  <c:v>11.236298448789524</c:v>
                </c:pt>
                <c:pt idx="92">
                  <c:v>60.630725200579725</c:v>
                </c:pt>
                <c:pt idx="93">
                  <c:v>8.7267189339788906</c:v>
                </c:pt>
                <c:pt idx="94">
                  <c:v>8.1773167465735472</c:v>
                </c:pt>
                <c:pt idx="95">
                  <c:v>77.582923469237784</c:v>
                </c:pt>
                <c:pt idx="96">
                  <c:v>243.43943945414657</c:v>
                </c:pt>
                <c:pt idx="97">
                  <c:v>10.517949300669882</c:v>
                </c:pt>
                <c:pt idx="98">
                  <c:v>54.798719298337076</c:v>
                </c:pt>
                <c:pt idx="99">
                  <c:v>10.938849692911305</c:v>
                </c:pt>
                <c:pt idx="100">
                  <c:v>8.6070566754854791</c:v>
                </c:pt>
                <c:pt idx="101">
                  <c:v>88.262830753422278</c:v>
                </c:pt>
                <c:pt idx="102">
                  <c:v>8.1126859890305525</c:v>
                </c:pt>
                <c:pt idx="103">
                  <c:v>12.299736121719162</c:v>
                </c:pt>
                <c:pt idx="104">
                  <c:v>8.5693135695380551</c:v>
                </c:pt>
                <c:pt idx="105">
                  <c:v>5.2226620862837869</c:v>
                </c:pt>
                <c:pt idx="106">
                  <c:v>6.8946518551856064</c:v>
                </c:pt>
                <c:pt idx="107">
                  <c:v>9.9372843807971485</c:v>
                </c:pt>
                <c:pt idx="108">
                  <c:v>7.5591544987062864</c:v>
                </c:pt>
                <c:pt idx="109">
                  <c:v>26.099112239465395</c:v>
                </c:pt>
                <c:pt idx="110">
                  <c:v>8.2529665998791568</c:v>
                </c:pt>
                <c:pt idx="111">
                  <c:v>5.1437331426071831</c:v>
                </c:pt>
                <c:pt idx="112">
                  <c:v>5.8121432217475695</c:v>
                </c:pt>
                <c:pt idx="113">
                  <c:v>4.7138939593144054</c:v>
                </c:pt>
                <c:pt idx="114">
                  <c:v>6.8287657968734292</c:v>
                </c:pt>
                <c:pt idx="115">
                  <c:v>8.9992558577730577</c:v>
                </c:pt>
                <c:pt idx="116">
                  <c:v>4.292123906712999</c:v>
                </c:pt>
                <c:pt idx="117">
                  <c:v>10.814350744949346</c:v>
                </c:pt>
                <c:pt idx="118">
                  <c:v>13.161138632442416</c:v>
                </c:pt>
                <c:pt idx="119">
                  <c:v>5.1208665031360203</c:v>
                </c:pt>
                <c:pt idx="120">
                  <c:v>250.1521200358882</c:v>
                </c:pt>
                <c:pt idx="121">
                  <c:v>41.479009433576415</c:v>
                </c:pt>
                <c:pt idx="122">
                  <c:v>298.22841835546393</c:v>
                </c:pt>
                <c:pt idx="123">
                  <c:v>13.015143058743432</c:v>
                </c:pt>
                <c:pt idx="124">
                  <c:v>41.827755997562726</c:v>
                </c:pt>
                <c:pt idx="125">
                  <c:v>1531.9211719884818</c:v>
                </c:pt>
                <c:pt idx="126">
                  <c:v>10.782827837381458</c:v>
                </c:pt>
                <c:pt idx="127">
                  <c:v>32.637782807572336</c:v>
                </c:pt>
                <c:pt idx="128">
                  <c:v>10.964478005785088</c:v>
                </c:pt>
                <c:pt idx="129">
                  <c:v>7.2055376032001162</c:v>
                </c:pt>
                <c:pt idx="130">
                  <c:v>79.914011691529879</c:v>
                </c:pt>
                <c:pt idx="131">
                  <c:v>384.18771801649655</c:v>
                </c:pt>
                <c:pt idx="132">
                  <c:v>14.309656637068336</c:v>
                </c:pt>
                <c:pt idx="133">
                  <c:v>38.193455921208319</c:v>
                </c:pt>
                <c:pt idx="134">
                  <c:v>6.2639720915040158</c:v>
                </c:pt>
                <c:pt idx="135">
                  <c:v>7.9300802487334305</c:v>
                </c:pt>
                <c:pt idx="136">
                  <c:v>50.896502091007278</c:v>
                </c:pt>
                <c:pt idx="137">
                  <c:v>6.7566483524299317</c:v>
                </c:pt>
                <c:pt idx="138">
                  <c:v>10.927909861320535</c:v>
                </c:pt>
                <c:pt idx="139">
                  <c:v>5.9522483324166</c:v>
                </c:pt>
                <c:pt idx="140">
                  <c:v>5.9241424686026916</c:v>
                </c:pt>
                <c:pt idx="141">
                  <c:v>10.502318144486368</c:v>
                </c:pt>
                <c:pt idx="142">
                  <c:v>7.0264412742510673</c:v>
                </c:pt>
                <c:pt idx="143">
                  <c:v>5.6287738318733966</c:v>
                </c:pt>
                <c:pt idx="144">
                  <c:v>4.9007064832167684</c:v>
                </c:pt>
                <c:pt idx="145">
                  <c:v>6.5952649754803758</c:v>
                </c:pt>
                <c:pt idx="146">
                  <c:v>6.7148325139077363</c:v>
                </c:pt>
                <c:pt idx="147">
                  <c:v>7.0402993519910142</c:v>
                </c:pt>
                <c:pt idx="148">
                  <c:v>14.088858695576636</c:v>
                </c:pt>
                <c:pt idx="149">
                  <c:v>10.969037156132696</c:v>
                </c:pt>
                <c:pt idx="150">
                  <c:v>6.9688671966435978</c:v>
                </c:pt>
                <c:pt idx="151">
                  <c:v>4.4471433415054369</c:v>
                </c:pt>
                <c:pt idx="152">
                  <c:v>10.911698904326556</c:v>
                </c:pt>
                <c:pt idx="153">
                  <c:v>4.5861496106463111</c:v>
                </c:pt>
                <c:pt idx="154">
                  <c:v>9.3131735466476471</c:v>
                </c:pt>
                <c:pt idx="155">
                  <c:v>286.9294314386575</c:v>
                </c:pt>
                <c:pt idx="156">
                  <c:v>155.61168544988374</c:v>
                </c:pt>
                <c:pt idx="157">
                  <c:v>159.28604006876967</c:v>
                </c:pt>
                <c:pt idx="158">
                  <c:v>11.339490785679912</c:v>
                </c:pt>
                <c:pt idx="159">
                  <c:v>107.5399530016923</c:v>
                </c:pt>
                <c:pt idx="160">
                  <c:v>2149.1679832149403</c:v>
                </c:pt>
                <c:pt idx="161">
                  <c:v>19.571411138788417</c:v>
                </c:pt>
                <c:pt idx="162">
                  <c:v>58.858855955017582</c:v>
                </c:pt>
                <c:pt idx="163">
                  <c:v>7.33302063772613</c:v>
                </c:pt>
                <c:pt idx="164">
                  <c:v>8.5028993454699311</c:v>
                </c:pt>
                <c:pt idx="165">
                  <c:v>77.784722012998088</c:v>
                </c:pt>
                <c:pt idx="166">
                  <c:v>190.43474137765517</c:v>
                </c:pt>
                <c:pt idx="167">
                  <c:v>8.9880513431210201</c:v>
                </c:pt>
                <c:pt idx="168">
                  <c:v>56.386053470483816</c:v>
                </c:pt>
                <c:pt idx="169">
                  <c:v>5.9659507309582951</c:v>
                </c:pt>
                <c:pt idx="170">
                  <c:v>7.5782362388487288</c:v>
                </c:pt>
                <c:pt idx="171">
                  <c:v>53.026975700344195</c:v>
                </c:pt>
                <c:pt idx="172">
                  <c:v>8.7470632700269135</c:v>
                </c:pt>
                <c:pt idx="173">
                  <c:v>8.8256455143170687</c:v>
                </c:pt>
                <c:pt idx="174">
                  <c:v>9.1035115127969473</c:v>
                </c:pt>
                <c:pt idx="175">
                  <c:v>6.7459428276848676</c:v>
                </c:pt>
                <c:pt idx="176">
                  <c:v>25.009188868397612</c:v>
                </c:pt>
                <c:pt idx="177">
                  <c:v>6.7625217711569316</c:v>
                </c:pt>
                <c:pt idx="178">
                  <c:v>7.648214420981799</c:v>
                </c:pt>
                <c:pt idx="179">
                  <c:v>30.732928259329775</c:v>
                </c:pt>
                <c:pt idx="180">
                  <c:v>7.3967963927114955</c:v>
                </c:pt>
                <c:pt idx="181">
                  <c:v>11.431778758175978</c:v>
                </c:pt>
                <c:pt idx="182">
                  <c:v>7.7074988340721093</c:v>
                </c:pt>
                <c:pt idx="183">
                  <c:v>4.638002539904412</c:v>
                </c:pt>
                <c:pt idx="184">
                  <c:v>8.6904484429411184</c:v>
                </c:pt>
                <c:pt idx="185">
                  <c:v>10.838976396829279</c:v>
                </c:pt>
                <c:pt idx="186">
                  <c:v>12.611025430513319</c:v>
                </c:pt>
                <c:pt idx="187">
                  <c:v>14.023075414159493</c:v>
                </c:pt>
                <c:pt idx="188">
                  <c:v>4.0515953972785423</c:v>
                </c:pt>
                <c:pt idx="189">
                  <c:v>4.3704074811251417</c:v>
                </c:pt>
                <c:pt idx="190">
                  <c:v>83.460835017935977</c:v>
                </c:pt>
                <c:pt idx="191">
                  <c:v>204.78346391597921</c:v>
                </c:pt>
                <c:pt idx="192">
                  <c:v>49.247927504726903</c:v>
                </c:pt>
                <c:pt idx="193">
                  <c:v>5.3867085530333512</c:v>
                </c:pt>
                <c:pt idx="194">
                  <c:v>63.944981854448542</c:v>
                </c:pt>
                <c:pt idx="195">
                  <c:v>45.152375765832033</c:v>
                </c:pt>
                <c:pt idx="196">
                  <c:v>15.911611789340494</c:v>
                </c:pt>
                <c:pt idx="197">
                  <c:v>48.308554874402986</c:v>
                </c:pt>
                <c:pt idx="198">
                  <c:v>4.2325598033353158</c:v>
                </c:pt>
                <c:pt idx="199">
                  <c:v>3.743001491301829</c:v>
                </c:pt>
                <c:pt idx="200">
                  <c:v>84.872649675684883</c:v>
                </c:pt>
                <c:pt idx="201">
                  <c:v>33.069426713699293</c:v>
                </c:pt>
                <c:pt idx="202">
                  <c:v>5.155149298810846</c:v>
                </c:pt>
                <c:pt idx="203">
                  <c:v>103.43008876337434</c:v>
                </c:pt>
                <c:pt idx="204">
                  <c:v>8.5031850746050246</c:v>
                </c:pt>
                <c:pt idx="205">
                  <c:v>6.3921465350608555</c:v>
                </c:pt>
                <c:pt idx="206">
                  <c:v>36.849822091727596</c:v>
                </c:pt>
                <c:pt idx="207">
                  <c:v>4.1630934361703984</c:v>
                </c:pt>
                <c:pt idx="208">
                  <c:v>3.3413406696182579</c:v>
                </c:pt>
                <c:pt idx="209">
                  <c:v>8.7645356999874178</c:v>
                </c:pt>
                <c:pt idx="210">
                  <c:v>6.2959412294601558</c:v>
                </c:pt>
                <c:pt idx="211">
                  <c:v>14.956503161585864</c:v>
                </c:pt>
                <c:pt idx="212">
                  <c:v>6.4314927648957179</c:v>
                </c:pt>
                <c:pt idx="213">
                  <c:v>8.8485901024953062</c:v>
                </c:pt>
                <c:pt idx="214">
                  <c:v>3.9236550276169364</c:v>
                </c:pt>
                <c:pt idx="215">
                  <c:v>6.037916237878159</c:v>
                </c:pt>
                <c:pt idx="216">
                  <c:v>12.875006476495159</c:v>
                </c:pt>
                <c:pt idx="217">
                  <c:v>5.7889076511012911</c:v>
                </c:pt>
                <c:pt idx="218">
                  <c:v>19.829028382126939</c:v>
                </c:pt>
                <c:pt idx="219">
                  <c:v>6.768419778847786</c:v>
                </c:pt>
                <c:pt idx="220">
                  <c:v>15.003266209049313</c:v>
                </c:pt>
                <c:pt idx="221">
                  <c:v>3.7367318839826384</c:v>
                </c:pt>
                <c:pt idx="222">
                  <c:v>7.2355412286088452</c:v>
                </c:pt>
                <c:pt idx="223">
                  <c:v>6.3260146733038898</c:v>
                </c:pt>
                <c:pt idx="224">
                  <c:v>3.3124115126012943</c:v>
                </c:pt>
                <c:pt idx="225">
                  <c:v>466.83042019142619</c:v>
                </c:pt>
                <c:pt idx="226">
                  <c:v>230.68313650592344</c:v>
                </c:pt>
                <c:pt idx="227">
                  <c:v>46.088572117461673</c:v>
                </c:pt>
                <c:pt idx="228">
                  <c:v>5.2672257276525398</c:v>
                </c:pt>
                <c:pt idx="229">
                  <c:v>1832.2683886248421</c:v>
                </c:pt>
                <c:pt idx="230">
                  <c:v>74.307372366081026</c:v>
                </c:pt>
                <c:pt idx="231">
                  <c:v>10.595880661889572</c:v>
                </c:pt>
                <c:pt idx="232">
                  <c:v>36.89616878253937</c:v>
                </c:pt>
                <c:pt idx="233">
                  <c:v>4.8522872767527137</c:v>
                </c:pt>
                <c:pt idx="234">
                  <c:v>4.8511161019732283</c:v>
                </c:pt>
                <c:pt idx="235">
                  <c:v>223.5443970413034</c:v>
                </c:pt>
                <c:pt idx="236">
                  <c:v>33.712309903347119</c:v>
                </c:pt>
                <c:pt idx="237">
                  <c:v>4.2207727224315219</c:v>
                </c:pt>
                <c:pt idx="238">
                  <c:v>52.914300823005625</c:v>
                </c:pt>
                <c:pt idx="239">
                  <c:v>6.5646293729706269</c:v>
                </c:pt>
                <c:pt idx="240">
                  <c:v>3.455632551064447</c:v>
                </c:pt>
                <c:pt idx="241">
                  <c:v>30.68925723895747</c:v>
                </c:pt>
                <c:pt idx="242">
                  <c:v>4.0321439196075497</c:v>
                </c:pt>
                <c:pt idx="243">
                  <c:v>4.9236532994760909</c:v>
                </c:pt>
                <c:pt idx="244">
                  <c:v>3.1934764631216082</c:v>
                </c:pt>
                <c:pt idx="245">
                  <c:v>7.0062729721822521</c:v>
                </c:pt>
                <c:pt idx="246">
                  <c:v>57.301482607717354</c:v>
                </c:pt>
                <c:pt idx="247">
                  <c:v>5.4207004825352429</c:v>
                </c:pt>
                <c:pt idx="248">
                  <c:v>36.492219185194912</c:v>
                </c:pt>
                <c:pt idx="249">
                  <c:v>4.2840265157871062</c:v>
                </c:pt>
                <c:pt idx="250">
                  <c:v>5.8454524208722907</c:v>
                </c:pt>
                <c:pt idx="251">
                  <c:v>27.264608409535779</c:v>
                </c:pt>
                <c:pt idx="252">
                  <c:v>4.3649803826438793</c:v>
                </c:pt>
                <c:pt idx="253">
                  <c:v>24.489132951843487</c:v>
                </c:pt>
                <c:pt idx="254">
                  <c:v>4.155062022143496</c:v>
                </c:pt>
                <c:pt idx="255">
                  <c:v>17.378066776989606</c:v>
                </c:pt>
                <c:pt idx="256">
                  <c:v>3.5193506190429562</c:v>
                </c:pt>
                <c:pt idx="257">
                  <c:v>2.9250187817951137</c:v>
                </c:pt>
                <c:pt idx="258">
                  <c:v>10.029851549914012</c:v>
                </c:pt>
                <c:pt idx="259">
                  <c:v>2.6374470926098281</c:v>
                </c:pt>
                <c:pt idx="260">
                  <c:v>25.249585470075854</c:v>
                </c:pt>
                <c:pt idx="261">
                  <c:v>17.866956947533616</c:v>
                </c:pt>
                <c:pt idx="262">
                  <c:v>6.3541258749953187</c:v>
                </c:pt>
                <c:pt idx="263">
                  <c:v>6.7607681639683301</c:v>
                </c:pt>
                <c:pt idx="264">
                  <c:v>15.979311741978162</c:v>
                </c:pt>
                <c:pt idx="265">
                  <c:v>24.622553140187737</c:v>
                </c:pt>
                <c:pt idx="266">
                  <c:v>9.6873396835531249</c:v>
                </c:pt>
                <c:pt idx="267">
                  <c:v>4.3639483646416055</c:v>
                </c:pt>
                <c:pt idx="268">
                  <c:v>7.1573490093416128</c:v>
                </c:pt>
                <c:pt idx="269">
                  <c:v>3.4265372448109996</c:v>
                </c:pt>
                <c:pt idx="270">
                  <c:v>12.100449578887144</c:v>
                </c:pt>
                <c:pt idx="271">
                  <c:v>6.7197741867997447</c:v>
                </c:pt>
                <c:pt idx="272">
                  <c:v>5.3162933238372769</c:v>
                </c:pt>
                <c:pt idx="273">
                  <c:v>6.5721137062563466</c:v>
                </c:pt>
                <c:pt idx="274">
                  <c:v>11.385227489967416</c:v>
                </c:pt>
                <c:pt idx="275">
                  <c:v>4.1936501463501141</c:v>
                </c:pt>
                <c:pt idx="276">
                  <c:v>4.4300562065933597</c:v>
                </c:pt>
                <c:pt idx="277">
                  <c:v>5.4697357909735507</c:v>
                </c:pt>
                <c:pt idx="278">
                  <c:v>3.6876331792039538</c:v>
                </c:pt>
                <c:pt idx="279">
                  <c:v>5.7586173410951851</c:v>
                </c:pt>
              </c:numCache>
            </c:numRef>
          </c:val>
        </c:ser>
        <c:marker val="1"/>
        <c:axId val="212660608"/>
        <c:axId val="212662144"/>
      </c:lineChart>
      <c:catAx>
        <c:axId val="212660608"/>
        <c:scaling>
          <c:orientation val="minMax"/>
        </c:scaling>
        <c:axPos val="b"/>
        <c:tickLblPos val="nextTo"/>
        <c:crossAx val="212662144"/>
        <c:crosses val="autoZero"/>
        <c:auto val="1"/>
        <c:lblAlgn val="ctr"/>
        <c:lblOffset val="100"/>
      </c:catAx>
      <c:valAx>
        <c:axId val="212662144"/>
        <c:scaling>
          <c:orientation val="minMax"/>
        </c:scaling>
        <c:axPos val="l"/>
        <c:majorGridlines/>
        <c:numFmt formatCode="0.000" sourceLinked="1"/>
        <c:tickLblPos val="nextTo"/>
        <c:crossAx val="212660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'Analyse der Kondition'!$R$3:$R$282</c:f>
              <c:numCache>
                <c:formatCode>0.000</c:formatCode>
                <c:ptCount val="280"/>
                <c:pt idx="0">
                  <c:v>4.136985868324337</c:v>
                </c:pt>
                <c:pt idx="1">
                  <c:v>3.6962112341108457</c:v>
                </c:pt>
                <c:pt idx="2">
                  <c:v>2.6538713862709233</c:v>
                </c:pt>
                <c:pt idx="3">
                  <c:v>2.3783411134574881</c:v>
                </c:pt>
                <c:pt idx="4">
                  <c:v>2.2222525155344348</c:v>
                </c:pt>
                <c:pt idx="5">
                  <c:v>5.3803548414248699</c:v>
                </c:pt>
                <c:pt idx="6">
                  <c:v>24.281240562435144</c:v>
                </c:pt>
                <c:pt idx="7">
                  <c:v>8.8077991376995399</c:v>
                </c:pt>
                <c:pt idx="8">
                  <c:v>37.099744408603527</c:v>
                </c:pt>
                <c:pt idx="9">
                  <c:v>3.6568969588621991</c:v>
                </c:pt>
                <c:pt idx="10">
                  <c:v>4.497468867237159</c:v>
                </c:pt>
                <c:pt idx="11">
                  <c:v>2.7091989128856673</c:v>
                </c:pt>
                <c:pt idx="12">
                  <c:v>7.6413054265435116</c:v>
                </c:pt>
                <c:pt idx="13">
                  <c:v>35.570359419370689</c:v>
                </c:pt>
                <c:pt idx="14">
                  <c:v>4.8602217427722341</c:v>
                </c:pt>
                <c:pt idx="15">
                  <c:v>4.1121618081555962</c:v>
                </c:pt>
                <c:pt idx="16">
                  <c:v>4.6589206831506358</c:v>
                </c:pt>
                <c:pt idx="17">
                  <c:v>3.0892013418031681</c:v>
                </c:pt>
                <c:pt idx="18">
                  <c:v>2.5761959575841629</c:v>
                </c:pt>
                <c:pt idx="19">
                  <c:v>6.0546724397063105</c:v>
                </c:pt>
                <c:pt idx="20">
                  <c:v>12.13640308765223</c:v>
                </c:pt>
                <c:pt idx="21">
                  <c:v>18.020767054039418</c:v>
                </c:pt>
                <c:pt idx="22">
                  <c:v>5.8822782062311054</c:v>
                </c:pt>
                <c:pt idx="23">
                  <c:v>3.8811004351956018</c:v>
                </c:pt>
                <c:pt idx="24">
                  <c:v>24.848605975354669</c:v>
                </c:pt>
                <c:pt idx="25">
                  <c:v>7.3654400484483462</c:v>
                </c:pt>
                <c:pt idx="26">
                  <c:v>6.5826761170413119</c:v>
                </c:pt>
                <c:pt idx="27">
                  <c:v>3.1648692167093064</c:v>
                </c:pt>
                <c:pt idx="28">
                  <c:v>16.234426054507814</c:v>
                </c:pt>
                <c:pt idx="29">
                  <c:v>21.390548698925272</c:v>
                </c:pt>
                <c:pt idx="30">
                  <c:v>5.3134649198272017</c:v>
                </c:pt>
                <c:pt idx="31">
                  <c:v>13.908174758807807</c:v>
                </c:pt>
                <c:pt idx="32">
                  <c:v>4.7248309144760778</c:v>
                </c:pt>
                <c:pt idx="33">
                  <c:v>13.812589110219603</c:v>
                </c:pt>
                <c:pt idx="34">
                  <c:v>6.4227760464603234</c:v>
                </c:pt>
                <c:pt idx="35">
                  <c:v>4.0468810703453864</c:v>
                </c:pt>
                <c:pt idx="36">
                  <c:v>6.5562246319096911</c:v>
                </c:pt>
                <c:pt idx="37">
                  <c:v>4.0319098330014373</c:v>
                </c:pt>
                <c:pt idx="38">
                  <c:v>5.3172710655545243</c:v>
                </c:pt>
                <c:pt idx="39">
                  <c:v>5.1746470606257837</c:v>
                </c:pt>
                <c:pt idx="40">
                  <c:v>5.3206171986713269</c:v>
                </c:pt>
                <c:pt idx="41">
                  <c:v>14.924598791824929</c:v>
                </c:pt>
                <c:pt idx="42">
                  <c:v>7.888357243357154</c:v>
                </c:pt>
                <c:pt idx="43">
                  <c:v>31.543651568563895</c:v>
                </c:pt>
                <c:pt idx="44">
                  <c:v>5.1709959027855508</c:v>
                </c:pt>
                <c:pt idx="45">
                  <c:v>7.1675826345810227</c:v>
                </c:pt>
                <c:pt idx="46">
                  <c:v>5.020555181865034</c:v>
                </c:pt>
                <c:pt idx="47">
                  <c:v>8.0179728515029733</c:v>
                </c:pt>
                <c:pt idx="48">
                  <c:v>35.843588743019239</c:v>
                </c:pt>
                <c:pt idx="49">
                  <c:v>6.0262694639012206</c:v>
                </c:pt>
                <c:pt idx="50">
                  <c:v>222.32523405718308</c:v>
                </c:pt>
                <c:pt idx="51">
                  <c:v>49.448565792947846</c:v>
                </c:pt>
                <c:pt idx="52">
                  <c:v>317.80209627578216</c:v>
                </c:pt>
                <c:pt idx="53">
                  <c:v>15.482311838444748</c:v>
                </c:pt>
                <c:pt idx="54">
                  <c:v>180.39381408191585</c:v>
                </c:pt>
                <c:pt idx="55">
                  <c:v>326.12223160360338</c:v>
                </c:pt>
                <c:pt idx="56">
                  <c:v>19.373118971201439</c:v>
                </c:pt>
                <c:pt idx="57">
                  <c:v>57.193413755542728</c:v>
                </c:pt>
                <c:pt idx="58">
                  <c:v>7.0862524060099732</c:v>
                </c:pt>
                <c:pt idx="59">
                  <c:v>9.7216302727657062</c:v>
                </c:pt>
                <c:pt idx="60">
                  <c:v>63.728386371176278</c:v>
                </c:pt>
                <c:pt idx="61">
                  <c:v>1839.1895225872963</c:v>
                </c:pt>
                <c:pt idx="62">
                  <c:v>14.280317337938845</c:v>
                </c:pt>
                <c:pt idx="63">
                  <c:v>59.461695313516891</c:v>
                </c:pt>
                <c:pt idx="64">
                  <c:v>21.170385241601402</c:v>
                </c:pt>
                <c:pt idx="65">
                  <c:v>10.1367998366946</c:v>
                </c:pt>
                <c:pt idx="66">
                  <c:v>71.937522903691658</c:v>
                </c:pt>
                <c:pt idx="67">
                  <c:v>7.5230904443487656</c:v>
                </c:pt>
                <c:pt idx="68">
                  <c:v>13.005132427828926</c:v>
                </c:pt>
                <c:pt idx="69">
                  <c:v>7.6469926989996724</c:v>
                </c:pt>
                <c:pt idx="70">
                  <c:v>6.5447871116906784</c:v>
                </c:pt>
                <c:pt idx="71">
                  <c:v>3.8029292847047502</c:v>
                </c:pt>
                <c:pt idx="72">
                  <c:v>5.3446407282175681</c:v>
                </c:pt>
                <c:pt idx="73">
                  <c:v>3.9026598544515507</c:v>
                </c:pt>
                <c:pt idx="74">
                  <c:v>4.8270811041221897</c:v>
                </c:pt>
                <c:pt idx="75">
                  <c:v>4.2243239500446652</c:v>
                </c:pt>
                <c:pt idx="76">
                  <c:v>7.309134947611736</c:v>
                </c:pt>
                <c:pt idx="77">
                  <c:v>4.6643551181710254</c:v>
                </c:pt>
                <c:pt idx="78">
                  <c:v>4.8011093563140337</c:v>
                </c:pt>
                <c:pt idx="79">
                  <c:v>5.4695394540896514</c:v>
                </c:pt>
                <c:pt idx="80">
                  <c:v>8.0842653543142653</c:v>
                </c:pt>
                <c:pt idx="81">
                  <c:v>15.029251889619651</c:v>
                </c:pt>
                <c:pt idx="82">
                  <c:v>6.3906270108779077</c:v>
                </c:pt>
                <c:pt idx="83">
                  <c:v>4.7098691394570427</c:v>
                </c:pt>
                <c:pt idx="84">
                  <c:v>26.01158928757074</c:v>
                </c:pt>
                <c:pt idx="85">
                  <c:v>227.7065416836075</c:v>
                </c:pt>
                <c:pt idx="86">
                  <c:v>107.48734647321321</c:v>
                </c:pt>
                <c:pt idx="87">
                  <c:v>435.33148403717917</c:v>
                </c:pt>
                <c:pt idx="88">
                  <c:v>24.930718886766446</c:v>
                </c:pt>
                <c:pt idx="89">
                  <c:v>137.0330195917372</c:v>
                </c:pt>
                <c:pt idx="90">
                  <c:v>157.71990388339927</c:v>
                </c:pt>
                <c:pt idx="91">
                  <c:v>11.236298448789524</c:v>
                </c:pt>
                <c:pt idx="92">
                  <c:v>60.630725200579725</c:v>
                </c:pt>
                <c:pt idx="93">
                  <c:v>8.7267189339788906</c:v>
                </c:pt>
                <c:pt idx="94">
                  <c:v>8.1773167465735472</c:v>
                </c:pt>
                <c:pt idx="95">
                  <c:v>77.582923469237784</c:v>
                </c:pt>
                <c:pt idx="96">
                  <c:v>243.43943945414657</c:v>
                </c:pt>
                <c:pt idx="97">
                  <c:v>10.517949300669882</c:v>
                </c:pt>
                <c:pt idx="98">
                  <c:v>54.798719298337076</c:v>
                </c:pt>
                <c:pt idx="99">
                  <c:v>10.938849692911305</c:v>
                </c:pt>
                <c:pt idx="100">
                  <c:v>8.6070566754854791</c:v>
                </c:pt>
                <c:pt idx="101">
                  <c:v>88.262830753422278</c:v>
                </c:pt>
                <c:pt idx="102">
                  <c:v>8.1126859890305525</c:v>
                </c:pt>
                <c:pt idx="103">
                  <c:v>12.299736121719162</c:v>
                </c:pt>
                <c:pt idx="104">
                  <c:v>8.5693135695380551</c:v>
                </c:pt>
                <c:pt idx="105">
                  <c:v>5.2226620862837869</c:v>
                </c:pt>
                <c:pt idx="106">
                  <c:v>6.8946518551856064</c:v>
                </c:pt>
                <c:pt idx="107">
                  <c:v>9.9372843807971485</c:v>
                </c:pt>
                <c:pt idx="108">
                  <c:v>7.5591544987062864</c:v>
                </c:pt>
                <c:pt idx="109">
                  <c:v>26.099112239465395</c:v>
                </c:pt>
                <c:pt idx="110">
                  <c:v>8.2529665998791568</c:v>
                </c:pt>
                <c:pt idx="111">
                  <c:v>5.1437331426071831</c:v>
                </c:pt>
                <c:pt idx="112">
                  <c:v>5.8121432217475695</c:v>
                </c:pt>
                <c:pt idx="113">
                  <c:v>4.7138939593144054</c:v>
                </c:pt>
                <c:pt idx="114">
                  <c:v>6.8287657968734292</c:v>
                </c:pt>
                <c:pt idx="115">
                  <c:v>8.9992558577730577</c:v>
                </c:pt>
                <c:pt idx="116">
                  <c:v>4.292123906712999</c:v>
                </c:pt>
                <c:pt idx="117">
                  <c:v>10.814350744949346</c:v>
                </c:pt>
                <c:pt idx="118">
                  <c:v>13.161138632442416</c:v>
                </c:pt>
                <c:pt idx="119">
                  <c:v>5.1208665031360203</c:v>
                </c:pt>
                <c:pt idx="120">
                  <c:v>250.1521200358882</c:v>
                </c:pt>
                <c:pt idx="121">
                  <c:v>41.479009433576415</c:v>
                </c:pt>
                <c:pt idx="122">
                  <c:v>298.22841835546393</c:v>
                </c:pt>
                <c:pt idx="123">
                  <c:v>13.015143058743432</c:v>
                </c:pt>
                <c:pt idx="124">
                  <c:v>41.827755997562726</c:v>
                </c:pt>
                <c:pt idx="125">
                  <c:v>1531.9211719884818</c:v>
                </c:pt>
                <c:pt idx="126">
                  <c:v>10.782827837381458</c:v>
                </c:pt>
                <c:pt idx="127">
                  <c:v>32.637782807572336</c:v>
                </c:pt>
                <c:pt idx="128">
                  <c:v>10.964478005785088</c:v>
                </c:pt>
                <c:pt idx="129">
                  <c:v>7.2055376032001162</c:v>
                </c:pt>
                <c:pt idx="130">
                  <c:v>79.914011691529879</c:v>
                </c:pt>
                <c:pt idx="131">
                  <c:v>384.18771801649655</c:v>
                </c:pt>
                <c:pt idx="132">
                  <c:v>14.309656637068336</c:v>
                </c:pt>
                <c:pt idx="133">
                  <c:v>38.193455921208319</c:v>
                </c:pt>
                <c:pt idx="134">
                  <c:v>6.2639720915040158</c:v>
                </c:pt>
                <c:pt idx="135">
                  <c:v>7.9300802487334305</c:v>
                </c:pt>
                <c:pt idx="136">
                  <c:v>50.896502091007278</c:v>
                </c:pt>
                <c:pt idx="137">
                  <c:v>6.7566483524299317</c:v>
                </c:pt>
                <c:pt idx="138">
                  <c:v>10.927909861320535</c:v>
                </c:pt>
                <c:pt idx="139">
                  <c:v>5.9522483324166</c:v>
                </c:pt>
                <c:pt idx="140">
                  <c:v>5.9241424686026916</c:v>
                </c:pt>
                <c:pt idx="141">
                  <c:v>10.502318144486368</c:v>
                </c:pt>
                <c:pt idx="142">
                  <c:v>7.0264412742510673</c:v>
                </c:pt>
                <c:pt idx="143">
                  <c:v>5.6287738318733966</c:v>
                </c:pt>
                <c:pt idx="144">
                  <c:v>4.9007064832167684</c:v>
                </c:pt>
                <c:pt idx="145">
                  <c:v>6.5952649754803758</c:v>
                </c:pt>
                <c:pt idx="146">
                  <c:v>6.7148325139077363</c:v>
                </c:pt>
                <c:pt idx="147">
                  <c:v>7.0402993519910142</c:v>
                </c:pt>
                <c:pt idx="148">
                  <c:v>14.088858695576636</c:v>
                </c:pt>
                <c:pt idx="149">
                  <c:v>10.969037156132696</c:v>
                </c:pt>
                <c:pt idx="150">
                  <c:v>6.9688671966435978</c:v>
                </c:pt>
                <c:pt idx="151">
                  <c:v>4.4471433415054369</c:v>
                </c:pt>
                <c:pt idx="152">
                  <c:v>10.911698904326556</c:v>
                </c:pt>
                <c:pt idx="153">
                  <c:v>4.5861496106463111</c:v>
                </c:pt>
                <c:pt idx="154">
                  <c:v>9.3131735466476471</c:v>
                </c:pt>
                <c:pt idx="155">
                  <c:v>286.9294314386575</c:v>
                </c:pt>
                <c:pt idx="156">
                  <c:v>155.61168544988374</c:v>
                </c:pt>
                <c:pt idx="157">
                  <c:v>159.28604006876967</c:v>
                </c:pt>
                <c:pt idx="158">
                  <c:v>11.339490785679912</c:v>
                </c:pt>
                <c:pt idx="159">
                  <c:v>107.5399530016923</c:v>
                </c:pt>
                <c:pt idx="160">
                  <c:v>2149.1679832149403</c:v>
                </c:pt>
                <c:pt idx="161">
                  <c:v>19.571411138788417</c:v>
                </c:pt>
                <c:pt idx="162">
                  <c:v>58.858855955017582</c:v>
                </c:pt>
                <c:pt idx="163">
                  <c:v>7.33302063772613</c:v>
                </c:pt>
                <c:pt idx="164">
                  <c:v>8.5028993454699311</c:v>
                </c:pt>
                <c:pt idx="165">
                  <c:v>77.784722012998088</c:v>
                </c:pt>
                <c:pt idx="166">
                  <c:v>190.43474137765517</c:v>
                </c:pt>
                <c:pt idx="167">
                  <c:v>8.9880513431210201</c:v>
                </c:pt>
                <c:pt idx="168">
                  <c:v>56.386053470483816</c:v>
                </c:pt>
                <c:pt idx="169">
                  <c:v>5.9659507309582951</c:v>
                </c:pt>
                <c:pt idx="170">
                  <c:v>7.5782362388487288</c:v>
                </c:pt>
                <c:pt idx="171">
                  <c:v>53.026975700344195</c:v>
                </c:pt>
                <c:pt idx="172">
                  <c:v>8.7470632700269135</c:v>
                </c:pt>
                <c:pt idx="173">
                  <c:v>8.8256455143170687</c:v>
                </c:pt>
                <c:pt idx="174">
                  <c:v>9.1035115127969473</c:v>
                </c:pt>
                <c:pt idx="175">
                  <c:v>6.7459428276848676</c:v>
                </c:pt>
                <c:pt idx="176">
                  <c:v>25.009188868397612</c:v>
                </c:pt>
                <c:pt idx="177">
                  <c:v>6.7625217711569316</c:v>
                </c:pt>
                <c:pt idx="178">
                  <c:v>7.648214420981799</c:v>
                </c:pt>
                <c:pt idx="179">
                  <c:v>30.732928259329775</c:v>
                </c:pt>
                <c:pt idx="180">
                  <c:v>7.3967963927114955</c:v>
                </c:pt>
                <c:pt idx="181">
                  <c:v>11.431778758175978</c:v>
                </c:pt>
                <c:pt idx="182">
                  <c:v>7.7074988340721093</c:v>
                </c:pt>
                <c:pt idx="183">
                  <c:v>4.638002539904412</c:v>
                </c:pt>
                <c:pt idx="184">
                  <c:v>8.6904484429411184</c:v>
                </c:pt>
                <c:pt idx="185">
                  <c:v>10.838976396829279</c:v>
                </c:pt>
                <c:pt idx="186">
                  <c:v>12.611025430513319</c:v>
                </c:pt>
                <c:pt idx="187">
                  <c:v>14.023075414159493</c:v>
                </c:pt>
                <c:pt idx="188">
                  <c:v>4.0515953972785423</c:v>
                </c:pt>
                <c:pt idx="189">
                  <c:v>4.3704074811251417</c:v>
                </c:pt>
                <c:pt idx="190">
                  <c:v>83.460835017935977</c:v>
                </c:pt>
                <c:pt idx="191">
                  <c:v>204.78346391597921</c:v>
                </c:pt>
                <c:pt idx="192">
                  <c:v>49.247927504726903</c:v>
                </c:pt>
                <c:pt idx="193">
                  <c:v>5.3867085530333512</c:v>
                </c:pt>
                <c:pt idx="194">
                  <c:v>63.944981854448542</c:v>
                </c:pt>
                <c:pt idx="195">
                  <c:v>45.152375765832033</c:v>
                </c:pt>
                <c:pt idx="196">
                  <c:v>15.911611789340494</c:v>
                </c:pt>
                <c:pt idx="197">
                  <c:v>48.308554874402986</c:v>
                </c:pt>
                <c:pt idx="198">
                  <c:v>4.2325598033353158</c:v>
                </c:pt>
                <c:pt idx="199">
                  <c:v>3.743001491301829</c:v>
                </c:pt>
                <c:pt idx="200">
                  <c:v>84.872649675684883</c:v>
                </c:pt>
                <c:pt idx="201">
                  <c:v>33.069426713699293</c:v>
                </c:pt>
                <c:pt idx="202">
                  <c:v>5.155149298810846</c:v>
                </c:pt>
                <c:pt idx="203">
                  <c:v>103.43008876337434</c:v>
                </c:pt>
                <c:pt idx="204">
                  <c:v>8.5031850746050246</c:v>
                </c:pt>
                <c:pt idx="205">
                  <c:v>6.3921465350608555</c:v>
                </c:pt>
                <c:pt idx="206">
                  <c:v>36.849822091727596</c:v>
                </c:pt>
                <c:pt idx="207">
                  <c:v>4.1630934361703984</c:v>
                </c:pt>
                <c:pt idx="208">
                  <c:v>3.3413406696182579</c:v>
                </c:pt>
                <c:pt idx="209">
                  <c:v>8.7645356999874178</c:v>
                </c:pt>
                <c:pt idx="210">
                  <c:v>6.2959412294601558</c:v>
                </c:pt>
                <c:pt idx="211">
                  <c:v>14.956503161585864</c:v>
                </c:pt>
                <c:pt idx="212">
                  <c:v>6.4314927648957179</c:v>
                </c:pt>
                <c:pt idx="213">
                  <c:v>8.8485901024953062</c:v>
                </c:pt>
                <c:pt idx="214">
                  <c:v>3.9236550276169364</c:v>
                </c:pt>
                <c:pt idx="215">
                  <c:v>6.037916237878159</c:v>
                </c:pt>
                <c:pt idx="216">
                  <c:v>12.875006476495159</c:v>
                </c:pt>
                <c:pt idx="217">
                  <c:v>5.7889076511012911</c:v>
                </c:pt>
                <c:pt idx="218">
                  <c:v>19.829028382126939</c:v>
                </c:pt>
                <c:pt idx="219">
                  <c:v>6.768419778847786</c:v>
                </c:pt>
                <c:pt idx="220">
                  <c:v>15.003266209049313</c:v>
                </c:pt>
                <c:pt idx="221">
                  <c:v>3.7367318839826384</c:v>
                </c:pt>
                <c:pt idx="222">
                  <c:v>7.2355412286088452</c:v>
                </c:pt>
                <c:pt idx="223">
                  <c:v>6.3260146733038898</c:v>
                </c:pt>
                <c:pt idx="224">
                  <c:v>3.3124115126012943</c:v>
                </c:pt>
                <c:pt idx="225">
                  <c:v>466.83042019142619</c:v>
                </c:pt>
                <c:pt idx="226">
                  <c:v>230.68313650592344</c:v>
                </c:pt>
                <c:pt idx="227">
                  <c:v>46.088572117461673</c:v>
                </c:pt>
                <c:pt idx="228">
                  <c:v>5.2672257276525398</c:v>
                </c:pt>
                <c:pt idx="229">
                  <c:v>1832.2683886248421</c:v>
                </c:pt>
                <c:pt idx="230">
                  <c:v>74.307372366081026</c:v>
                </c:pt>
                <c:pt idx="231">
                  <c:v>10.595880661889572</c:v>
                </c:pt>
                <c:pt idx="232">
                  <c:v>36.89616878253937</c:v>
                </c:pt>
                <c:pt idx="233">
                  <c:v>4.8522872767527137</c:v>
                </c:pt>
                <c:pt idx="234">
                  <c:v>4.8511161019732283</c:v>
                </c:pt>
                <c:pt idx="235">
                  <c:v>223.5443970413034</c:v>
                </c:pt>
                <c:pt idx="236">
                  <c:v>33.712309903347119</c:v>
                </c:pt>
                <c:pt idx="237">
                  <c:v>4.2207727224315219</c:v>
                </c:pt>
                <c:pt idx="238">
                  <c:v>52.914300823005625</c:v>
                </c:pt>
                <c:pt idx="239">
                  <c:v>6.5646293729706269</c:v>
                </c:pt>
                <c:pt idx="240">
                  <c:v>3.455632551064447</c:v>
                </c:pt>
                <c:pt idx="241">
                  <c:v>30.68925723895747</c:v>
                </c:pt>
                <c:pt idx="242">
                  <c:v>4.0321439196075497</c:v>
                </c:pt>
                <c:pt idx="243">
                  <c:v>4.9236532994760909</c:v>
                </c:pt>
                <c:pt idx="244">
                  <c:v>3.1934764631216082</c:v>
                </c:pt>
                <c:pt idx="245">
                  <c:v>7.0062729721822521</c:v>
                </c:pt>
                <c:pt idx="246">
                  <c:v>57.301482607717354</c:v>
                </c:pt>
                <c:pt idx="247">
                  <c:v>5.4207004825352429</c:v>
                </c:pt>
                <c:pt idx="248">
                  <c:v>36.492219185194912</c:v>
                </c:pt>
                <c:pt idx="249">
                  <c:v>4.2840265157871062</c:v>
                </c:pt>
                <c:pt idx="250">
                  <c:v>5.8454524208722907</c:v>
                </c:pt>
                <c:pt idx="251">
                  <c:v>27.264608409535779</c:v>
                </c:pt>
                <c:pt idx="252">
                  <c:v>4.3649803826438793</c:v>
                </c:pt>
                <c:pt idx="253">
                  <c:v>24.489132951843487</c:v>
                </c:pt>
                <c:pt idx="254">
                  <c:v>4.155062022143496</c:v>
                </c:pt>
                <c:pt idx="255">
                  <c:v>17.378066776989606</c:v>
                </c:pt>
                <c:pt idx="256">
                  <c:v>3.5193506190429562</c:v>
                </c:pt>
                <c:pt idx="257">
                  <c:v>2.9250187817951137</c:v>
                </c:pt>
                <c:pt idx="258">
                  <c:v>10.029851549914012</c:v>
                </c:pt>
                <c:pt idx="259">
                  <c:v>2.6374470926098281</c:v>
                </c:pt>
                <c:pt idx="260">
                  <c:v>25.249585470075854</c:v>
                </c:pt>
                <c:pt idx="261">
                  <c:v>17.866956947533616</c:v>
                </c:pt>
                <c:pt idx="262">
                  <c:v>6.3541258749953187</c:v>
                </c:pt>
                <c:pt idx="263">
                  <c:v>6.7607681639683301</c:v>
                </c:pt>
                <c:pt idx="264">
                  <c:v>15.979311741978162</c:v>
                </c:pt>
                <c:pt idx="265">
                  <c:v>24.622553140187737</c:v>
                </c:pt>
                <c:pt idx="266">
                  <c:v>9.6873396835531249</c:v>
                </c:pt>
                <c:pt idx="267">
                  <c:v>4.3639483646416055</c:v>
                </c:pt>
                <c:pt idx="268">
                  <c:v>7.1573490093416128</c:v>
                </c:pt>
                <c:pt idx="269">
                  <c:v>3.4265372448109996</c:v>
                </c:pt>
                <c:pt idx="270">
                  <c:v>12.100449578887144</c:v>
                </c:pt>
                <c:pt idx="271">
                  <c:v>6.7197741867997447</c:v>
                </c:pt>
                <c:pt idx="272">
                  <c:v>5.3162933238372769</c:v>
                </c:pt>
                <c:pt idx="273">
                  <c:v>6.5721137062563466</c:v>
                </c:pt>
                <c:pt idx="274">
                  <c:v>11.385227489967416</c:v>
                </c:pt>
                <c:pt idx="275">
                  <c:v>4.1936501463501141</c:v>
                </c:pt>
                <c:pt idx="276">
                  <c:v>4.4300562065933597</c:v>
                </c:pt>
                <c:pt idx="277">
                  <c:v>5.4697357909735507</c:v>
                </c:pt>
                <c:pt idx="278">
                  <c:v>3.6876331792039538</c:v>
                </c:pt>
                <c:pt idx="279">
                  <c:v>5.7586173410951851</c:v>
                </c:pt>
              </c:numCache>
            </c:numRef>
          </c:val>
        </c:ser>
        <c:marker val="1"/>
        <c:axId val="214492672"/>
        <c:axId val="214494208"/>
      </c:lineChart>
      <c:catAx>
        <c:axId val="214492672"/>
        <c:scaling>
          <c:orientation val="minMax"/>
        </c:scaling>
        <c:axPos val="b"/>
        <c:tickLblPos val="nextTo"/>
        <c:crossAx val="214494208"/>
        <c:crosses val="autoZero"/>
        <c:auto val="1"/>
        <c:lblAlgn val="ctr"/>
        <c:lblOffset val="100"/>
      </c:catAx>
      <c:valAx>
        <c:axId val="214494208"/>
        <c:scaling>
          <c:orientation val="minMax"/>
        </c:scaling>
        <c:axPos val="l"/>
        <c:majorGridlines/>
        <c:numFmt formatCode="0.000" sourceLinked="1"/>
        <c:tickLblPos val="nextTo"/>
        <c:crossAx val="214492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742950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3" name="Gerade Verbindung mit Pfeil 2"/>
        <xdr:cNvCxnSpPr/>
      </xdr:nvCxnSpPr>
      <xdr:spPr>
        <a:xfrm>
          <a:off x="3790950" y="571500"/>
          <a:ext cx="1543050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6" name="Gerade Verbindung mit Pfeil 5"/>
        <xdr:cNvCxnSpPr/>
      </xdr:nvCxnSpPr>
      <xdr:spPr>
        <a:xfrm>
          <a:off x="1533525" y="571500"/>
          <a:ext cx="2905125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752475</xdr:colOff>
      <xdr:row>6</xdr:row>
      <xdr:rowOff>180975</xdr:rowOff>
    </xdr:from>
    <xdr:to>
      <xdr:col>6</xdr:col>
      <xdr:colOff>752475</xdr:colOff>
      <xdr:row>11</xdr:row>
      <xdr:rowOff>180975</xdr:rowOff>
    </xdr:to>
    <xdr:cxnSp macro="">
      <xdr:nvCxnSpPr>
        <xdr:cNvPr id="7" name="Gerade Verbindung mit Pfeil 6"/>
        <xdr:cNvCxnSpPr/>
      </xdr:nvCxnSpPr>
      <xdr:spPr>
        <a:xfrm flipV="1">
          <a:off x="1514475" y="1323975"/>
          <a:ext cx="3810000" cy="952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318879</xdr:colOff>
      <xdr:row>8</xdr:row>
      <xdr:rowOff>44726</xdr:rowOff>
    </xdr:from>
    <xdr:ext cx="432939" cy="264560"/>
    <xdr:sp macro="" textlink="">
      <xdr:nvSpPr>
        <xdr:cNvPr id="10" name="Textfeld 9"/>
        <xdr:cNvSpPr txBox="1"/>
      </xdr:nvSpPr>
      <xdr:spPr>
        <a:xfrm rot="20526684">
          <a:off x="2604879" y="1577009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d_i0</a:t>
          </a:r>
        </a:p>
      </xdr:txBody>
    </xdr:sp>
    <xdr:clientData/>
  </xdr:oneCellAnchor>
  <xdr:twoCellAnchor>
    <xdr:from>
      <xdr:col>2</xdr:col>
      <xdr:colOff>342900</xdr:colOff>
      <xdr:row>23</xdr:row>
      <xdr:rowOff>26817</xdr:rowOff>
    </xdr:from>
    <xdr:to>
      <xdr:col>2</xdr:col>
      <xdr:colOff>388619</xdr:colOff>
      <xdr:row>23</xdr:row>
      <xdr:rowOff>72536</xdr:rowOff>
    </xdr:to>
    <xdr:sp macro="" textlink="">
      <xdr:nvSpPr>
        <xdr:cNvPr id="11" name="Ellipse 10"/>
        <xdr:cNvSpPr/>
      </xdr:nvSpPr>
      <xdr:spPr>
        <a:xfrm>
          <a:off x="1866900" y="442022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187569</xdr:colOff>
      <xdr:row>21</xdr:row>
      <xdr:rowOff>25352</xdr:rowOff>
    </xdr:from>
    <xdr:to>
      <xdr:col>3</xdr:col>
      <xdr:colOff>233288</xdr:colOff>
      <xdr:row>21</xdr:row>
      <xdr:rowOff>71071</xdr:rowOff>
    </xdr:to>
    <xdr:sp macro="" textlink="">
      <xdr:nvSpPr>
        <xdr:cNvPr id="12" name="Ellipse 11"/>
        <xdr:cNvSpPr/>
      </xdr:nvSpPr>
      <xdr:spPr>
        <a:xfrm>
          <a:off x="2473569" y="4033179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237392</xdr:colOff>
      <xdr:row>24</xdr:row>
      <xdr:rowOff>75175</xdr:rowOff>
    </xdr:from>
    <xdr:to>
      <xdr:col>3</xdr:col>
      <xdr:colOff>283111</xdr:colOff>
      <xdr:row>24</xdr:row>
      <xdr:rowOff>120894</xdr:rowOff>
    </xdr:to>
    <xdr:sp macro="" textlink="">
      <xdr:nvSpPr>
        <xdr:cNvPr id="13" name="Ellipse 12"/>
        <xdr:cNvSpPr/>
      </xdr:nvSpPr>
      <xdr:spPr>
        <a:xfrm>
          <a:off x="2523392" y="4654502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de-DE" sz="1100"/>
            <a:t>sasdas</a:t>
          </a:r>
        </a:p>
      </xdr:txBody>
    </xdr:sp>
    <xdr:clientData/>
  </xdr:twoCellAnchor>
  <xdr:twoCellAnchor>
    <xdr:from>
      <xdr:col>4</xdr:col>
      <xdr:colOff>433754</xdr:colOff>
      <xdr:row>23</xdr:row>
      <xdr:rowOff>59056</xdr:rowOff>
    </xdr:from>
    <xdr:to>
      <xdr:col>4</xdr:col>
      <xdr:colOff>479473</xdr:colOff>
      <xdr:row>23</xdr:row>
      <xdr:rowOff>104775</xdr:rowOff>
    </xdr:to>
    <xdr:sp macro="" textlink="">
      <xdr:nvSpPr>
        <xdr:cNvPr id="14" name="Ellipse 13"/>
        <xdr:cNvSpPr/>
      </xdr:nvSpPr>
      <xdr:spPr>
        <a:xfrm>
          <a:off x="3481754" y="444788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1</xdr:colOff>
      <xdr:row>11</xdr:row>
      <xdr:rowOff>190499</xdr:rowOff>
    </xdr:from>
    <xdr:to>
      <xdr:col>2</xdr:col>
      <xdr:colOff>365761</xdr:colOff>
      <xdr:row>23</xdr:row>
      <xdr:rowOff>26816</xdr:rowOff>
    </xdr:to>
    <xdr:cxnSp macro="">
      <xdr:nvCxnSpPr>
        <xdr:cNvPr id="15" name="Gerade Verbindung mit Pfeil 14"/>
        <xdr:cNvCxnSpPr>
          <a:endCxn id="11" idx="0"/>
        </xdr:cNvCxnSpPr>
      </xdr:nvCxnSpPr>
      <xdr:spPr>
        <a:xfrm rot="16200000" flipH="1">
          <a:off x="645722" y="3173571"/>
          <a:ext cx="2122317" cy="36576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4645</xdr:colOff>
      <xdr:row>2</xdr:row>
      <xdr:rowOff>195149</xdr:rowOff>
    </xdr:from>
    <xdr:to>
      <xdr:col>2</xdr:col>
      <xdr:colOff>349594</xdr:colOff>
      <xdr:row>23</xdr:row>
      <xdr:rowOff>33512</xdr:rowOff>
    </xdr:to>
    <xdr:cxnSp macro="">
      <xdr:nvCxnSpPr>
        <xdr:cNvPr id="19" name="Gerade Verbindung mit Pfeil 18"/>
        <xdr:cNvCxnSpPr>
          <a:endCxn id="11" idx="1"/>
        </xdr:cNvCxnSpPr>
      </xdr:nvCxnSpPr>
      <xdr:spPr>
        <a:xfrm rot="16200000" flipH="1">
          <a:off x="-222958" y="2327752"/>
          <a:ext cx="3848156" cy="344949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381924</xdr:colOff>
      <xdr:row>2</xdr:row>
      <xdr:rowOff>195149</xdr:rowOff>
    </xdr:from>
    <xdr:to>
      <xdr:col>4</xdr:col>
      <xdr:colOff>757354</xdr:colOff>
      <xdr:row>23</xdr:row>
      <xdr:rowOff>33512</xdr:rowOff>
    </xdr:to>
    <xdr:cxnSp macro="">
      <xdr:nvCxnSpPr>
        <xdr:cNvPr id="21" name="Gerade Verbindung mit Pfeil 20"/>
        <xdr:cNvCxnSpPr>
          <a:endCxn id="11" idx="7"/>
        </xdr:cNvCxnSpPr>
      </xdr:nvCxnSpPr>
      <xdr:spPr>
        <a:xfrm rot="5400000">
          <a:off x="931561" y="1550512"/>
          <a:ext cx="3848156" cy="189943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oneCellAnchor>
    <xdr:from>
      <xdr:col>3</xdr:col>
      <xdr:colOff>337038</xdr:colOff>
      <xdr:row>20</xdr:row>
      <xdr:rowOff>109904</xdr:rowOff>
    </xdr:from>
    <xdr:ext cx="967957" cy="264560"/>
    <xdr:sp macro="" textlink="">
      <xdr:nvSpPr>
        <xdr:cNvPr id="26" name="Textfeld 25"/>
        <xdr:cNvSpPr txBox="1"/>
      </xdr:nvSpPr>
      <xdr:spPr>
        <a:xfrm>
          <a:off x="2623038" y="3927231"/>
          <a:ext cx="9679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de-DE" sz="1100"/>
            <a:t>Antennen A_j</a:t>
          </a:r>
        </a:p>
      </xdr:txBody>
    </xdr:sp>
    <xdr:clientData/>
  </xdr:oneCellAnchor>
  <xdr:oneCellAnchor>
    <xdr:from>
      <xdr:col>3</xdr:col>
      <xdr:colOff>240730</xdr:colOff>
      <xdr:row>12</xdr:row>
      <xdr:rowOff>88089</xdr:rowOff>
    </xdr:from>
    <xdr:ext cx="264560" cy="432939"/>
    <xdr:sp macro="" textlink="">
      <xdr:nvSpPr>
        <xdr:cNvPr id="27" name="Textfeld 26"/>
        <xdr:cNvSpPr txBox="1"/>
      </xdr:nvSpPr>
      <xdr:spPr>
        <a:xfrm rot="17792813">
          <a:off x="2442540" y="2466562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r_ij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352425</xdr:colOff>
      <xdr:row>47</xdr:row>
      <xdr:rowOff>152400</xdr:rowOff>
    </xdr:from>
    <xdr:to>
      <xdr:col>32</xdr:col>
      <xdr:colOff>352425</xdr:colOff>
      <xdr:row>62</xdr:row>
      <xdr:rowOff>38100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104775</xdr:colOff>
      <xdr:row>47</xdr:row>
      <xdr:rowOff>152400</xdr:rowOff>
    </xdr:from>
    <xdr:to>
      <xdr:col>37</xdr:col>
      <xdr:colOff>104775</xdr:colOff>
      <xdr:row>62</xdr:row>
      <xdr:rowOff>38100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289461</xdr:colOff>
      <xdr:row>37</xdr:row>
      <xdr:rowOff>100197</xdr:rowOff>
    </xdr:from>
    <xdr:to>
      <xdr:col>30</xdr:col>
      <xdr:colOff>680357</xdr:colOff>
      <xdr:row>57</xdr:row>
      <xdr:rowOff>136072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A96"/>
  <sheetViews>
    <sheetView topLeftCell="E1" workbookViewId="0">
      <selection activeCell="J19" sqref="J19:Q22"/>
    </sheetView>
  </sheetViews>
  <sheetFormatPr baseColWidth="10" defaultRowHeight="15"/>
  <cols>
    <col min="6" max="7" width="4.7109375" customWidth="1"/>
    <col min="8" max="8" width="5.42578125" bestFit="1" customWidth="1"/>
  </cols>
  <sheetData>
    <row r="1" spans="2:27">
      <c r="B1" s="184" t="s">
        <v>6</v>
      </c>
      <c r="C1" s="184"/>
      <c r="D1" s="184"/>
      <c r="E1" s="184"/>
      <c r="G1" s="7"/>
    </row>
    <row r="2" spans="2:27">
      <c r="G2" s="7"/>
    </row>
    <row r="3" spans="2:27" ht="15.75" thickBot="1">
      <c r="B3" s="1" t="s">
        <v>0</v>
      </c>
      <c r="C3" s="3"/>
      <c r="D3" s="3"/>
      <c r="E3" s="4" t="s">
        <v>1</v>
      </c>
      <c r="G3" s="7"/>
      <c r="H3" t="s">
        <v>32</v>
      </c>
    </row>
    <row r="4" spans="2:27">
      <c r="B4" s="5"/>
      <c r="C4" s="2"/>
      <c r="D4" s="2"/>
      <c r="E4" s="2"/>
      <c r="G4" s="7"/>
      <c r="I4">
        <v>0.08</v>
      </c>
      <c r="J4" t="s">
        <v>33</v>
      </c>
    </row>
    <row r="5" spans="2:27">
      <c r="B5" s="5"/>
      <c r="C5" s="2"/>
      <c r="G5" s="7"/>
    </row>
    <row r="6" spans="2:27">
      <c r="B6" s="5"/>
      <c r="C6" s="2"/>
      <c r="G6" s="7"/>
      <c r="H6" s="183" t="s">
        <v>5</v>
      </c>
      <c r="I6" s="183"/>
    </row>
    <row r="7" spans="2:27">
      <c r="B7" s="5"/>
      <c r="C7" s="2"/>
      <c r="G7" s="7"/>
      <c r="H7" t="s">
        <v>4</v>
      </c>
      <c r="I7" t="s">
        <v>3</v>
      </c>
    </row>
    <row r="8" spans="2:27">
      <c r="B8" s="5"/>
      <c r="C8" s="2"/>
      <c r="G8" s="7"/>
    </row>
    <row r="9" spans="2:27">
      <c r="B9" s="5"/>
      <c r="C9" s="2"/>
      <c r="G9" s="7"/>
      <c r="H9" t="s">
        <v>29</v>
      </c>
      <c r="I9">
        <v>2.71</v>
      </c>
    </row>
    <row r="10" spans="2:27">
      <c r="B10" s="5"/>
      <c r="C10" s="2"/>
      <c r="G10" s="7"/>
      <c r="H10" t="s">
        <v>30</v>
      </c>
      <c r="I10">
        <v>1.972</v>
      </c>
    </row>
    <row r="11" spans="2:27">
      <c r="B11" s="5"/>
      <c r="C11" s="2"/>
      <c r="G11" s="7"/>
      <c r="H11" t="s">
        <v>31</v>
      </c>
      <c r="I11">
        <v>2.87</v>
      </c>
    </row>
    <row r="12" spans="2:27">
      <c r="B12" s="6" t="s">
        <v>2</v>
      </c>
      <c r="C12" s="2"/>
      <c r="G12" s="7"/>
    </row>
    <row r="13" spans="2:27">
      <c r="G13" s="7"/>
    </row>
    <row r="14" spans="2:27">
      <c r="G14" s="7"/>
    </row>
    <row r="15" spans="2:27">
      <c r="G15" s="7"/>
    </row>
    <row r="16" spans="2:27">
      <c r="G16" s="7"/>
      <c r="H16" t="s">
        <v>34</v>
      </c>
      <c r="T16" s="21" t="s">
        <v>119</v>
      </c>
      <c r="U16" s="21"/>
      <c r="V16" s="21"/>
      <c r="W16" s="21"/>
      <c r="X16" s="21"/>
      <c r="Y16" s="21"/>
      <c r="Z16" s="21"/>
      <c r="AA16" s="21"/>
    </row>
    <row r="17" spans="1:27">
      <c r="G17" s="7"/>
      <c r="J17" t="s">
        <v>7</v>
      </c>
    </row>
    <row r="18" spans="1:27">
      <c r="G18" s="7"/>
      <c r="I18" s="11" t="s">
        <v>8</v>
      </c>
      <c r="J18" s="12">
        <v>0</v>
      </c>
      <c r="K18" s="12">
        <v>1</v>
      </c>
      <c r="L18" s="12">
        <v>2</v>
      </c>
      <c r="M18" s="12">
        <v>3</v>
      </c>
      <c r="N18" s="12">
        <v>4</v>
      </c>
      <c r="O18" s="12">
        <v>5</v>
      </c>
      <c r="P18" s="12">
        <v>6</v>
      </c>
      <c r="Q18" s="12">
        <v>7</v>
      </c>
      <c r="T18" t="s">
        <v>118</v>
      </c>
    </row>
    <row r="19" spans="1:27">
      <c r="B19" s="184" t="s">
        <v>9</v>
      </c>
      <c r="C19" s="184"/>
      <c r="D19" s="184"/>
      <c r="E19" s="184"/>
      <c r="G19" s="7"/>
      <c r="I19" s="18">
        <v>1</v>
      </c>
      <c r="J19">
        <v>1.1200000000000001</v>
      </c>
      <c r="K19">
        <v>2.238</v>
      </c>
      <c r="L19">
        <v>1.843</v>
      </c>
      <c r="M19">
        <v>2.105</v>
      </c>
      <c r="N19">
        <v>1.7609999999999999</v>
      </c>
      <c r="O19">
        <v>2.1280000000000001</v>
      </c>
      <c r="P19">
        <v>1.7030000000000001</v>
      </c>
      <c r="Q19">
        <v>1.46</v>
      </c>
      <c r="T19" s="17">
        <v>1.04</v>
      </c>
      <c r="U19" s="17">
        <v>1.36</v>
      </c>
      <c r="V19" s="17">
        <v>1.89</v>
      </c>
      <c r="W19" s="17">
        <v>1.05</v>
      </c>
      <c r="X19" s="17">
        <v>1.96</v>
      </c>
      <c r="Y19" s="17">
        <v>1.25</v>
      </c>
      <c r="Z19" s="17">
        <v>1.56</v>
      </c>
      <c r="AA19" s="17">
        <v>1.35</v>
      </c>
    </row>
    <row r="20" spans="1:27">
      <c r="G20" s="7"/>
      <c r="I20" s="10">
        <v>2</v>
      </c>
      <c r="J20">
        <v>1.853</v>
      </c>
      <c r="K20">
        <v>2.3260000000000001</v>
      </c>
      <c r="L20">
        <v>2.6880000000000002</v>
      </c>
      <c r="M20">
        <v>1.8320000000000001</v>
      </c>
      <c r="N20">
        <v>2.4300000000000002</v>
      </c>
      <c r="O20">
        <v>1.4490000000000001</v>
      </c>
      <c r="P20">
        <v>1.6990000000000001</v>
      </c>
      <c r="Q20">
        <v>0.91200000000000003</v>
      </c>
      <c r="T20" s="17">
        <v>1.1200000000000001</v>
      </c>
      <c r="U20" s="17">
        <v>2.2400000000000002</v>
      </c>
      <c r="V20" s="17">
        <v>1.84</v>
      </c>
      <c r="W20" s="17">
        <v>2.1</v>
      </c>
      <c r="X20" s="17">
        <v>1.76</v>
      </c>
      <c r="Y20" s="17">
        <v>2.13</v>
      </c>
      <c r="Z20" s="17">
        <v>1.7</v>
      </c>
      <c r="AA20" s="17">
        <v>1.46</v>
      </c>
    </row>
    <row r="21" spans="1:27">
      <c r="G21" s="7"/>
      <c r="I21" s="19">
        <v>3</v>
      </c>
      <c r="J21">
        <v>1.04</v>
      </c>
      <c r="K21">
        <v>1.36</v>
      </c>
      <c r="L21">
        <v>1.89</v>
      </c>
      <c r="M21">
        <v>1.05</v>
      </c>
      <c r="N21">
        <v>1.96</v>
      </c>
      <c r="O21">
        <v>1.25</v>
      </c>
      <c r="P21">
        <v>1.56</v>
      </c>
      <c r="Q21">
        <v>1.35</v>
      </c>
      <c r="T21" s="17">
        <v>1.81</v>
      </c>
      <c r="U21" s="17">
        <v>2.29</v>
      </c>
      <c r="V21" s="17">
        <v>2.66</v>
      </c>
      <c r="W21" s="17">
        <v>1.8</v>
      </c>
      <c r="X21" s="17">
        <v>2.42</v>
      </c>
      <c r="Y21" s="17">
        <v>1.45</v>
      </c>
      <c r="Z21" s="17">
        <v>1.7</v>
      </c>
      <c r="AA21" s="17">
        <v>0.94</v>
      </c>
    </row>
    <row r="22" spans="1:27">
      <c r="G22" s="7"/>
      <c r="I22" s="10">
        <v>0</v>
      </c>
      <c r="J22">
        <v>1.179</v>
      </c>
      <c r="K22">
        <v>1.8140000000000001</v>
      </c>
      <c r="L22">
        <v>2.254</v>
      </c>
      <c r="M22">
        <v>1.581</v>
      </c>
      <c r="N22">
        <v>2.319</v>
      </c>
      <c r="O22">
        <v>1.7709999999999999</v>
      </c>
      <c r="P22">
        <v>1.9750000000000001</v>
      </c>
      <c r="Q22">
        <v>1.494</v>
      </c>
      <c r="T22" s="17">
        <v>1.18</v>
      </c>
      <c r="U22" s="17">
        <v>1.81</v>
      </c>
      <c r="V22" s="17">
        <v>2.2599999999999998</v>
      </c>
      <c r="W22" s="17">
        <v>1.58</v>
      </c>
      <c r="X22" s="17">
        <v>2.3199999999999998</v>
      </c>
      <c r="Y22" s="17">
        <v>1.71</v>
      </c>
      <c r="Z22" s="17">
        <v>1.95</v>
      </c>
      <c r="AA22" s="17">
        <v>1.49</v>
      </c>
    </row>
    <row r="23" spans="1:27">
      <c r="G23" s="7"/>
    </row>
    <row r="24" spans="1:27">
      <c r="G24" s="7"/>
      <c r="H24" t="s">
        <v>35</v>
      </c>
      <c r="T24" t="s">
        <v>117</v>
      </c>
    </row>
    <row r="25" spans="1:27">
      <c r="G25" s="7"/>
      <c r="J25" t="s">
        <v>7</v>
      </c>
      <c r="T25">
        <v>1.1200000000000001</v>
      </c>
      <c r="U25">
        <v>2.238</v>
      </c>
      <c r="V25">
        <v>1.843</v>
      </c>
      <c r="W25">
        <v>2.105</v>
      </c>
      <c r="X25">
        <v>1.7609999999999999</v>
      </c>
      <c r="Y25">
        <v>2.1280000000000001</v>
      </c>
      <c r="Z25">
        <v>1.7030000000000001</v>
      </c>
      <c r="AA25">
        <v>1.46</v>
      </c>
    </row>
    <row r="26" spans="1:27">
      <c r="G26" s="7"/>
      <c r="I26" s="11" t="s">
        <v>8</v>
      </c>
      <c r="J26" s="12">
        <v>0</v>
      </c>
      <c r="K26" s="12">
        <v>1</v>
      </c>
      <c r="L26" s="12">
        <v>2</v>
      </c>
      <c r="M26" s="12">
        <v>3</v>
      </c>
      <c r="N26" s="12">
        <v>4</v>
      </c>
      <c r="O26" s="12">
        <v>5</v>
      </c>
      <c r="P26" s="12">
        <v>6</v>
      </c>
      <c r="Q26" s="12">
        <v>7</v>
      </c>
      <c r="T26">
        <v>1.853</v>
      </c>
      <c r="U26">
        <v>2.3260000000000001</v>
      </c>
      <c r="V26">
        <v>2.6880000000000002</v>
      </c>
      <c r="W26">
        <v>1.8320000000000001</v>
      </c>
      <c r="X26">
        <v>2.4300000000000002</v>
      </c>
      <c r="Y26">
        <v>1.4490000000000001</v>
      </c>
      <c r="Z26">
        <v>1.6990000000000001</v>
      </c>
      <c r="AA26">
        <v>0.91200000000000003</v>
      </c>
    </row>
    <row r="27" spans="1:27" ht="15.75" thickBot="1">
      <c r="A27" s="8"/>
      <c r="B27" s="8"/>
      <c r="C27" s="8"/>
      <c r="D27" s="8"/>
      <c r="E27" s="8"/>
      <c r="F27" s="8"/>
      <c r="G27" s="9"/>
      <c r="I27" s="18">
        <v>1</v>
      </c>
      <c r="J27">
        <f t="shared" ref="J27:Q30" si="0">J19+OFFSET</f>
        <v>1.2000000000000002</v>
      </c>
      <c r="K27">
        <f t="shared" si="0"/>
        <v>2.3180000000000001</v>
      </c>
      <c r="L27">
        <f t="shared" si="0"/>
        <v>1.923</v>
      </c>
      <c r="M27">
        <f t="shared" si="0"/>
        <v>2.1850000000000001</v>
      </c>
      <c r="N27">
        <f t="shared" si="0"/>
        <v>1.841</v>
      </c>
      <c r="O27">
        <f t="shared" si="0"/>
        <v>2.2080000000000002</v>
      </c>
      <c r="P27">
        <f t="shared" si="0"/>
        <v>1.7830000000000001</v>
      </c>
      <c r="Q27">
        <f t="shared" si="0"/>
        <v>1.54</v>
      </c>
      <c r="T27">
        <v>1.04</v>
      </c>
      <c r="U27">
        <v>1.36</v>
      </c>
      <c r="V27">
        <v>1.89</v>
      </c>
      <c r="W27">
        <v>1.05</v>
      </c>
      <c r="X27">
        <v>1.96</v>
      </c>
      <c r="Y27">
        <v>1.25</v>
      </c>
      <c r="Z27">
        <v>1.56</v>
      </c>
      <c r="AA27">
        <v>1.35</v>
      </c>
    </row>
    <row r="28" spans="1:27" ht="15.75" thickTop="1">
      <c r="I28" s="10">
        <v>2</v>
      </c>
      <c r="J28">
        <f t="shared" si="0"/>
        <v>1.9330000000000001</v>
      </c>
      <c r="K28">
        <f t="shared" si="0"/>
        <v>2.4060000000000001</v>
      </c>
      <c r="L28">
        <f t="shared" si="0"/>
        <v>2.7680000000000002</v>
      </c>
      <c r="M28">
        <f t="shared" si="0"/>
        <v>1.9120000000000001</v>
      </c>
      <c r="N28">
        <f t="shared" si="0"/>
        <v>2.5100000000000002</v>
      </c>
      <c r="O28">
        <f t="shared" si="0"/>
        <v>1.5290000000000001</v>
      </c>
      <c r="P28">
        <f t="shared" si="0"/>
        <v>1.7790000000000001</v>
      </c>
      <c r="Q28">
        <f t="shared" si="0"/>
        <v>0.99199999999999999</v>
      </c>
      <c r="T28">
        <v>1.179</v>
      </c>
      <c r="U28">
        <v>1.8140000000000001</v>
      </c>
      <c r="V28">
        <v>2.254</v>
      </c>
      <c r="W28">
        <v>1.581</v>
      </c>
      <c r="X28">
        <v>2.319</v>
      </c>
      <c r="Y28">
        <v>1.7709999999999999</v>
      </c>
      <c r="Z28">
        <v>1.9750000000000001</v>
      </c>
      <c r="AA28">
        <v>1.494</v>
      </c>
    </row>
    <row r="29" spans="1:27">
      <c r="I29" s="10">
        <v>3</v>
      </c>
      <c r="J29">
        <f t="shared" si="0"/>
        <v>1.1200000000000001</v>
      </c>
      <c r="K29">
        <f t="shared" si="0"/>
        <v>1.4400000000000002</v>
      </c>
      <c r="L29">
        <f t="shared" si="0"/>
        <v>1.97</v>
      </c>
      <c r="M29">
        <f t="shared" si="0"/>
        <v>1.1300000000000001</v>
      </c>
      <c r="N29">
        <f t="shared" si="0"/>
        <v>2.04</v>
      </c>
      <c r="O29">
        <f t="shared" si="0"/>
        <v>1.33</v>
      </c>
      <c r="P29">
        <f t="shared" si="0"/>
        <v>1.6400000000000001</v>
      </c>
      <c r="Q29">
        <f t="shared" si="0"/>
        <v>1.4300000000000002</v>
      </c>
    </row>
    <row r="30" spans="1:27">
      <c r="I30" s="10">
        <v>0</v>
      </c>
      <c r="J30">
        <f t="shared" si="0"/>
        <v>1.2590000000000001</v>
      </c>
      <c r="K30">
        <f t="shared" si="0"/>
        <v>1.8940000000000001</v>
      </c>
      <c r="L30">
        <f t="shared" si="0"/>
        <v>2.3340000000000001</v>
      </c>
      <c r="M30">
        <f t="shared" si="0"/>
        <v>1.661</v>
      </c>
      <c r="N30">
        <f t="shared" si="0"/>
        <v>2.399</v>
      </c>
      <c r="O30">
        <f t="shared" si="0"/>
        <v>1.851</v>
      </c>
      <c r="P30">
        <f t="shared" si="0"/>
        <v>2.0550000000000002</v>
      </c>
      <c r="Q30">
        <f t="shared" si="0"/>
        <v>1.5740000000000001</v>
      </c>
      <c r="T30" t="s">
        <v>502</v>
      </c>
    </row>
    <row r="31" spans="1:27">
      <c r="J31" s="16">
        <f>J30*J30</f>
        <v>1.5850810000000004</v>
      </c>
      <c r="K31" s="16">
        <f t="shared" ref="K31:Q31" si="1">K30*K30</f>
        <v>3.5872360000000003</v>
      </c>
      <c r="L31" s="16">
        <f t="shared" si="1"/>
        <v>5.4475560000000005</v>
      </c>
      <c r="M31" s="16">
        <f t="shared" si="1"/>
        <v>2.758921</v>
      </c>
      <c r="N31" s="16">
        <f t="shared" si="1"/>
        <v>5.7552010000000005</v>
      </c>
      <c r="O31" s="16">
        <f t="shared" si="1"/>
        <v>3.4262009999999998</v>
      </c>
      <c r="P31" s="16">
        <f t="shared" si="1"/>
        <v>4.2230250000000007</v>
      </c>
      <c r="Q31" s="16">
        <f t="shared" si="1"/>
        <v>2.4774760000000002</v>
      </c>
      <c r="T31">
        <v>1.028</v>
      </c>
      <c r="U31">
        <v>2.2450000000000001</v>
      </c>
      <c r="V31">
        <v>1.839</v>
      </c>
      <c r="W31">
        <v>2.105</v>
      </c>
      <c r="X31">
        <v>1.78</v>
      </c>
      <c r="Y31">
        <v>2.1379999999999999</v>
      </c>
      <c r="Z31">
        <v>1.7250000000000001</v>
      </c>
      <c r="AA31">
        <v>1.48</v>
      </c>
    </row>
    <row r="32" spans="1:27">
      <c r="T32">
        <v>1.647</v>
      </c>
      <c r="U32">
        <v>2.3149999999999999</v>
      </c>
      <c r="V32">
        <v>1.839</v>
      </c>
      <c r="W32">
        <v>1.8140000000000001</v>
      </c>
      <c r="X32">
        <v>2.4340000000000002</v>
      </c>
      <c r="Y32">
        <v>1.4610000000000001</v>
      </c>
      <c r="Z32">
        <v>1.71</v>
      </c>
      <c r="AA32">
        <v>0.92500000000000004</v>
      </c>
    </row>
    <row r="33" spans="9:27">
      <c r="T33">
        <v>0.85899999999999999</v>
      </c>
      <c r="U33">
        <v>1.3839999999999999</v>
      </c>
      <c r="V33">
        <v>2.6709999999999998</v>
      </c>
      <c r="W33">
        <v>1.0409999999999999</v>
      </c>
      <c r="X33">
        <v>2.0099999999999998</v>
      </c>
      <c r="Y33">
        <v>2.2320000000000002</v>
      </c>
      <c r="Z33">
        <v>1.5669999999999999</v>
      </c>
      <c r="AA33">
        <v>1.3540000000000001</v>
      </c>
    </row>
    <row r="34" spans="9:27">
      <c r="I34" s="16" t="s">
        <v>36</v>
      </c>
      <c r="T34">
        <v>1.04</v>
      </c>
      <c r="U34">
        <v>1.853</v>
      </c>
      <c r="V34">
        <v>2.2829999999999999</v>
      </c>
      <c r="W34">
        <v>1.5840000000000001</v>
      </c>
      <c r="X34">
        <v>2.3450000000000002</v>
      </c>
      <c r="Y34">
        <v>1.7130000000000001</v>
      </c>
      <c r="Z34">
        <v>1.964</v>
      </c>
      <c r="AA34">
        <v>1.4610000000000001</v>
      </c>
    </row>
    <row r="35" spans="9:27">
      <c r="I35">
        <v>0.77</v>
      </c>
      <c r="J35" t="s">
        <v>33</v>
      </c>
    </row>
    <row r="36" spans="9:27">
      <c r="I36" s="16" t="s">
        <v>37</v>
      </c>
      <c r="T36">
        <v>1.028</v>
      </c>
      <c r="U36">
        <v>2.2450000000000001</v>
      </c>
      <c r="V36">
        <v>1.8480000000000001</v>
      </c>
      <c r="W36">
        <v>2.105</v>
      </c>
      <c r="X36">
        <v>1.782</v>
      </c>
      <c r="Y36">
        <v>2.1379999999999999</v>
      </c>
      <c r="Z36">
        <v>1.7250000000000001</v>
      </c>
      <c r="AA36">
        <v>1.474</v>
      </c>
    </row>
    <row r="37" spans="9:27">
      <c r="I37">
        <f>SQRT(0.77^2+0.77^2)</f>
        <v>1.0889444430272832</v>
      </c>
      <c r="J37" t="s">
        <v>33</v>
      </c>
      <c r="T37">
        <v>1.647</v>
      </c>
      <c r="U37">
        <v>2.3149999999999999</v>
      </c>
      <c r="V37">
        <v>2.6970000000000001</v>
      </c>
      <c r="W37">
        <v>1.8140000000000001</v>
      </c>
      <c r="X37">
        <v>2.4430000000000001</v>
      </c>
      <c r="Y37">
        <v>1.45</v>
      </c>
      <c r="Z37">
        <v>1.71</v>
      </c>
      <c r="AA37">
        <v>0.96599999999999997</v>
      </c>
    </row>
    <row r="38" spans="9:27">
      <c r="I38" s="16" t="s">
        <v>38</v>
      </c>
      <c r="T38">
        <v>0.84799999999999998</v>
      </c>
      <c r="U38">
        <v>1.393</v>
      </c>
      <c r="V38">
        <v>1.9019999999999999</v>
      </c>
      <c r="W38">
        <v>1.0649999999999999</v>
      </c>
      <c r="X38">
        <v>1.9770000000000001</v>
      </c>
      <c r="Y38">
        <v>1.2509999999999999</v>
      </c>
      <c r="Z38">
        <v>1.5549999999999999</v>
      </c>
      <c r="AA38">
        <v>1.3440000000000001</v>
      </c>
    </row>
    <row r="39" spans="9:27">
      <c r="I39">
        <f>SQRT(0.77^2+0.8^2)</f>
        <v>1.1103603018840327</v>
      </c>
      <c r="J39" t="s">
        <v>33</v>
      </c>
      <c r="T39">
        <v>1.04</v>
      </c>
      <c r="U39">
        <v>1.853</v>
      </c>
      <c r="V39">
        <v>2.2669999999999999</v>
      </c>
      <c r="W39">
        <v>1.5840000000000001</v>
      </c>
      <c r="X39">
        <v>2.3450000000000002</v>
      </c>
      <c r="Y39">
        <v>1.7130000000000001</v>
      </c>
      <c r="Z39">
        <v>1.964</v>
      </c>
      <c r="AA39">
        <v>1.496</v>
      </c>
    </row>
    <row r="40" spans="9:27">
      <c r="I40" s="16" t="s">
        <v>39</v>
      </c>
    </row>
    <row r="41" spans="9:27">
      <c r="I41">
        <v>0.77</v>
      </c>
      <c r="J41" t="s">
        <v>33</v>
      </c>
    </row>
    <row r="42" spans="9:27">
      <c r="I42" s="16" t="s">
        <v>40</v>
      </c>
    </row>
    <row r="43" spans="9:27">
      <c r="I43">
        <v>0.8</v>
      </c>
      <c r="J43" t="s">
        <v>33</v>
      </c>
    </row>
    <row r="44" spans="9:27">
      <c r="I44" s="16" t="s">
        <v>41</v>
      </c>
    </row>
    <row r="45" spans="9:27">
      <c r="I45">
        <f>SQRT(0.77^2+0.8^2)</f>
        <v>1.1103603018840327</v>
      </c>
      <c r="J45" t="s">
        <v>33</v>
      </c>
    </row>
    <row r="48" spans="9:27">
      <c r="I48" t="s">
        <v>120</v>
      </c>
      <c r="K48" t="s">
        <v>121</v>
      </c>
      <c r="M48" t="s">
        <v>122</v>
      </c>
      <c r="O48" t="s">
        <v>123</v>
      </c>
      <c r="Q48" t="s">
        <v>127</v>
      </c>
      <c r="S48" t="s">
        <v>126</v>
      </c>
      <c r="U48" t="s">
        <v>125</v>
      </c>
      <c r="W48" t="s">
        <v>124</v>
      </c>
    </row>
    <row r="49" spans="8:24">
      <c r="I49">
        <v>-30.441860465116278</v>
      </c>
      <c r="J49">
        <v>-16.380549682875266</v>
      </c>
      <c r="K49" t="e">
        <v>#DIV/0!</v>
      </c>
      <c r="L49" t="e">
        <v>#DIV/0!</v>
      </c>
      <c r="M49">
        <v>-12.232758620689655</v>
      </c>
      <c r="N49">
        <v>3.6724137931034484</v>
      </c>
      <c r="O49">
        <v>-4.4375</v>
      </c>
      <c r="P49">
        <v>-0.34375</v>
      </c>
      <c r="Q49">
        <v>14.42443729903537</v>
      </c>
      <c r="R49">
        <v>-14.260450160771704</v>
      </c>
      <c r="S49">
        <v>38.125</v>
      </c>
      <c r="T49">
        <v>-29.387681159420289</v>
      </c>
      <c r="U49" t="e">
        <v>#DIV/0!</v>
      </c>
      <c r="V49" t="e">
        <v>#DIV/0!</v>
      </c>
      <c r="W49">
        <v>-18.798816568047336</v>
      </c>
      <c r="X49">
        <v>-30.363905325443788</v>
      </c>
    </row>
    <row r="51" spans="8:24">
      <c r="H51" t="s">
        <v>120</v>
      </c>
      <c r="I51">
        <v>-30.441860465116278</v>
      </c>
      <c r="J51">
        <f>I49/J49</f>
        <v>1.8584150748580277</v>
      </c>
      <c r="K51">
        <f>1/J51</f>
        <v>0.53809292311966117</v>
      </c>
      <c r="M51">
        <f>ABS(I49)/ABS(J49)</f>
        <v>1.8584150748580277</v>
      </c>
    </row>
    <row r="52" spans="8:24">
      <c r="H52" t="s">
        <v>121</v>
      </c>
      <c r="I52" t="e">
        <v>#DIV/0!</v>
      </c>
      <c r="J52" t="e">
        <f>K49/L49</f>
        <v>#DIV/0!</v>
      </c>
      <c r="K52" t="e">
        <f t="shared" ref="K52:K58" si="2">1/J52</f>
        <v>#DIV/0!</v>
      </c>
      <c r="M52" t="e">
        <f t="shared" ref="M52" si="3">ABS(I50)/ABS(J50)</f>
        <v>#DIV/0!</v>
      </c>
    </row>
    <row r="53" spans="8:24">
      <c r="H53" t="s">
        <v>122</v>
      </c>
      <c r="I53">
        <v>-12.232758620689655</v>
      </c>
      <c r="J53">
        <f>M49/N49</f>
        <v>-3.3309859154929575</v>
      </c>
      <c r="K53">
        <f t="shared" si="2"/>
        <v>-0.30021141649048627</v>
      </c>
      <c r="M53">
        <f>ABS(M49)/ABS(N49)</f>
        <v>3.3309859154929575</v>
      </c>
    </row>
    <row r="54" spans="8:24">
      <c r="H54" t="s">
        <v>123</v>
      </c>
      <c r="I54">
        <v>-4.4375</v>
      </c>
      <c r="J54">
        <f>O49/P49</f>
        <v>12.909090909090908</v>
      </c>
      <c r="K54">
        <f t="shared" si="2"/>
        <v>7.7464788732394374E-2</v>
      </c>
      <c r="M54">
        <f>ABS(O49)/ABS(P49)</f>
        <v>12.909090909090908</v>
      </c>
    </row>
    <row r="55" spans="8:24">
      <c r="H55" t="s">
        <v>127</v>
      </c>
      <c r="I55">
        <v>14.42443729903537</v>
      </c>
      <c r="J55">
        <f>Q49/R49</f>
        <v>-1.0114994363021421</v>
      </c>
      <c r="K55">
        <f t="shared" si="2"/>
        <v>-0.98863129736959421</v>
      </c>
      <c r="M55">
        <f>ABS(Q49)/ABS(R49)</f>
        <v>1.0114994363021421</v>
      </c>
    </row>
    <row r="56" spans="8:24">
      <c r="H56" t="s">
        <v>126</v>
      </c>
      <c r="I56">
        <v>38.125</v>
      </c>
      <c r="J56">
        <f>S49/T49</f>
        <v>-1.2973122919492048</v>
      </c>
      <c r="K56">
        <f t="shared" si="2"/>
        <v>-0.77082442385364691</v>
      </c>
      <c r="M56">
        <f>ABS(S49)/ABS(T49)</f>
        <v>1.2973122919492048</v>
      </c>
    </row>
    <row r="57" spans="8:24">
      <c r="H57" t="s">
        <v>125</v>
      </c>
      <c r="I57" t="e">
        <v>#DIV/0!</v>
      </c>
      <c r="J57" t="e">
        <f>U49/V49</f>
        <v>#DIV/0!</v>
      </c>
      <c r="K57" t="e">
        <f t="shared" si="2"/>
        <v>#DIV/0!</v>
      </c>
      <c r="M57" t="e">
        <f>ABS(U49)/ABS(V49)</f>
        <v>#DIV/0!</v>
      </c>
    </row>
    <row r="58" spans="8:24">
      <c r="H58" t="s">
        <v>124</v>
      </c>
      <c r="I58">
        <v>-18.798816568047336</v>
      </c>
      <c r="J58">
        <f>W49/X49</f>
        <v>0.61911721718795665</v>
      </c>
      <c r="K58">
        <f t="shared" si="2"/>
        <v>1.6152030217186026</v>
      </c>
      <c r="M58">
        <f>ABS(W49)/ABS(X49)</f>
        <v>0.61911721718795665</v>
      </c>
    </row>
    <row r="62" spans="8:24">
      <c r="H62" t="s">
        <v>120</v>
      </c>
      <c r="I62" s="156">
        <v>-30.441860465116278</v>
      </c>
      <c r="J62" s="156">
        <v>-16.380549682875266</v>
      </c>
      <c r="K62">
        <v>1</v>
      </c>
      <c r="M62">
        <f>ABS(I62)/ABS(J62)</f>
        <v>1.8584150748580277</v>
      </c>
    </row>
    <row r="63" spans="8:24">
      <c r="H63" t="s">
        <v>121</v>
      </c>
      <c r="I63" s="156" t="e">
        <v>#DIV/0!</v>
      </c>
      <c r="J63" s="156" t="e">
        <v>#DIV/0!</v>
      </c>
      <c r="M63" t="e">
        <f t="shared" ref="M63:M69" si="4">ABS(I63)/ABS(J63)</f>
        <v>#DIV/0!</v>
      </c>
    </row>
    <row r="64" spans="8:24">
      <c r="H64" t="s">
        <v>122</v>
      </c>
      <c r="I64" s="156">
        <v>-12.232758620689655</v>
      </c>
      <c r="J64" s="156">
        <v>3.6724137931034484</v>
      </c>
      <c r="M64">
        <f t="shared" si="4"/>
        <v>3.3309859154929575</v>
      </c>
    </row>
    <row r="65" spans="8:13">
      <c r="H65" t="s">
        <v>123</v>
      </c>
      <c r="I65" s="156">
        <v>-4.4375</v>
      </c>
      <c r="J65" s="156">
        <v>-0.34375</v>
      </c>
      <c r="M65">
        <f t="shared" si="4"/>
        <v>12.909090909090908</v>
      </c>
    </row>
    <row r="66" spans="8:13">
      <c r="H66" t="s">
        <v>127</v>
      </c>
      <c r="I66" s="156">
        <v>14.42443729903537</v>
      </c>
      <c r="J66" s="156">
        <v>-14.260450160771704</v>
      </c>
      <c r="M66">
        <f t="shared" si="4"/>
        <v>1.0114994363021421</v>
      </c>
    </row>
    <row r="67" spans="8:13">
      <c r="H67" t="s">
        <v>126</v>
      </c>
      <c r="I67" s="156">
        <v>38.125</v>
      </c>
      <c r="J67" s="156">
        <v>-29.387681159420289</v>
      </c>
      <c r="M67">
        <f t="shared" si="4"/>
        <v>1.2973122919492048</v>
      </c>
    </row>
    <row r="68" spans="8:13">
      <c r="H68" t="s">
        <v>125</v>
      </c>
      <c r="I68" s="156" t="e">
        <v>#DIV/0!</v>
      </c>
      <c r="J68" s="156" t="e">
        <v>#DIV/0!</v>
      </c>
      <c r="M68" t="e">
        <f t="shared" si="4"/>
        <v>#DIV/0!</v>
      </c>
    </row>
    <row r="69" spans="8:13">
      <c r="H69" t="s">
        <v>124</v>
      </c>
      <c r="I69" s="156">
        <v>-18.798816568047336</v>
      </c>
      <c r="J69" s="156">
        <v>-30.363905325443788</v>
      </c>
      <c r="M69">
        <f t="shared" si="4"/>
        <v>0.61911721718795665</v>
      </c>
    </row>
    <row r="71" spans="8:13">
      <c r="I71" s="41" t="str">
        <f>COMPLEX(I62,J62*M62)</f>
        <v>-30,4418604651163-30,4418604651163i</v>
      </c>
      <c r="M71">
        <f>PI()/2</f>
        <v>1.5707963267948966</v>
      </c>
    </row>
    <row r="72" spans="8:13">
      <c r="I72" s="41" t="e">
        <f t="shared" ref="I72:I78" si="5">COMPLEX(I63,J63*M63)</f>
        <v>#DIV/0!</v>
      </c>
      <c r="M72">
        <f>PI()</f>
        <v>3.1415926535897931</v>
      </c>
    </row>
    <row r="73" spans="8:13">
      <c r="I73" s="41" t="str">
        <f t="shared" si="5"/>
        <v>-12,2327586206897+12,2327586206897i</v>
      </c>
      <c r="M73">
        <f>M72+M71</f>
        <v>4.7123889803846897</v>
      </c>
    </row>
    <row r="74" spans="8:13">
      <c r="I74" s="41" t="str">
        <f t="shared" si="5"/>
        <v>-4,4375-4,4375i</v>
      </c>
      <c r="M74">
        <f>2*M72</f>
        <v>6.2831853071795862</v>
      </c>
    </row>
    <row r="75" spans="8:13">
      <c r="I75" s="41" t="str">
        <f t="shared" si="5"/>
        <v>14,4244372990354-14,4244372990354i</v>
      </c>
    </row>
    <row r="76" spans="8:13">
      <c r="I76" s="41" t="str">
        <f t="shared" si="5"/>
        <v>38,125-38,125i</v>
      </c>
    </row>
    <row r="77" spans="8:13">
      <c r="I77" s="41" t="e">
        <f t="shared" si="5"/>
        <v>#DIV/0!</v>
      </c>
    </row>
    <row r="78" spans="8:13">
      <c r="I78" s="41" t="str">
        <f t="shared" si="5"/>
        <v>-18,7988165680473-18,7988165680473i</v>
      </c>
    </row>
    <row r="79" spans="8:13">
      <c r="I79" s="41"/>
    </row>
    <row r="80" spans="8:13">
      <c r="I80" s="41"/>
      <c r="J80">
        <f t="shared" ref="J80:J87" si="6">IMARGUMENT(I71)</f>
        <v>-2.3561944901923448</v>
      </c>
      <c r="K80" s="156">
        <f>IF(J80&lt;0,(-2*PI()+J80*-1)*-1,J80)</f>
        <v>3.9269908169872414</v>
      </c>
    </row>
    <row r="81" spans="9:12">
      <c r="I81" s="41"/>
      <c r="J81" t="e">
        <f t="shared" si="6"/>
        <v>#DIV/0!</v>
      </c>
      <c r="K81" s="156" t="e">
        <f t="shared" ref="K81:K87" si="7">IF(J81&lt;0,(-2*PI()+J81*-1)*-1,J81)</f>
        <v>#DIV/0!</v>
      </c>
    </row>
    <row r="82" spans="9:12">
      <c r="J82">
        <f t="shared" si="6"/>
        <v>2.3561944901923448</v>
      </c>
      <c r="K82" s="156">
        <f t="shared" si="7"/>
        <v>2.3561944901923448</v>
      </c>
    </row>
    <row r="83" spans="9:12">
      <c r="J83">
        <f t="shared" si="6"/>
        <v>-2.3561944901923448</v>
      </c>
      <c r="K83" s="156">
        <f t="shared" si="7"/>
        <v>3.9269908169872414</v>
      </c>
    </row>
    <row r="84" spans="9:12">
      <c r="J84">
        <f t="shared" si="6"/>
        <v>-0.78539816339744828</v>
      </c>
      <c r="K84" s="156">
        <f t="shared" si="7"/>
        <v>5.497787143782138</v>
      </c>
    </row>
    <row r="85" spans="9:12">
      <c r="J85">
        <f t="shared" si="6"/>
        <v>-0.78539816339744828</v>
      </c>
      <c r="K85" s="156">
        <f t="shared" si="7"/>
        <v>5.497787143782138</v>
      </c>
    </row>
    <row r="86" spans="9:12">
      <c r="J86" t="e">
        <f t="shared" si="6"/>
        <v>#DIV/0!</v>
      </c>
      <c r="K86" s="156" t="e">
        <f t="shared" si="7"/>
        <v>#DIV/0!</v>
      </c>
    </row>
    <row r="87" spans="9:12">
      <c r="J87">
        <f t="shared" si="6"/>
        <v>-2.3561944901923448</v>
      </c>
      <c r="K87" s="156">
        <f t="shared" si="7"/>
        <v>3.9269908169872414</v>
      </c>
    </row>
    <row r="89" spans="9:12">
      <c r="I89">
        <f>ASIN(I62/100)</f>
        <v>-0.30932800545732669</v>
      </c>
      <c r="J89">
        <f>IF(J62&gt;0,-1*I89+PI(),I89)</f>
        <v>-0.30932800545732669</v>
      </c>
      <c r="K89" s="156">
        <f>IF(J89&lt;0,J89+2*PI(),J89)</f>
        <v>5.9738573017222594</v>
      </c>
      <c r="L89">
        <f>K89*0.95</f>
        <v>5.6751644366361464</v>
      </c>
    </row>
    <row r="90" spans="9:12">
      <c r="I90" t="e">
        <f t="shared" ref="I90:I96" si="8">ASIN(I63/100)</f>
        <v>#DIV/0!</v>
      </c>
      <c r="J90" t="e">
        <f t="shared" ref="J90:J96" si="9">IF(J63&gt;0,-1*I90+PI(),I90)</f>
        <v>#DIV/0!</v>
      </c>
      <c r="K90" s="156" t="e">
        <f t="shared" ref="K90:K96" si="10">IF(J90&lt;0,J90+2*PI(),J90)</f>
        <v>#DIV/0!</v>
      </c>
      <c r="L90" t="e">
        <f t="shared" ref="L90:L96" si="11">K90*0.95</f>
        <v>#DIV/0!</v>
      </c>
    </row>
    <row r="91" spans="9:12">
      <c r="I91">
        <f t="shared" si="8"/>
        <v>-0.12263474486785807</v>
      </c>
      <c r="J91">
        <f t="shared" si="9"/>
        <v>3.2642273984576513</v>
      </c>
      <c r="K91" s="156">
        <f t="shared" si="10"/>
        <v>3.2642273984576513</v>
      </c>
      <c r="L91">
        <f t="shared" si="11"/>
        <v>3.1010160285347688</v>
      </c>
    </row>
    <row r="92" spans="9:12">
      <c r="I92">
        <f t="shared" si="8"/>
        <v>-4.4389576355872519E-2</v>
      </c>
      <c r="J92">
        <f t="shared" si="9"/>
        <v>-4.4389576355872519E-2</v>
      </c>
      <c r="K92" s="156">
        <f t="shared" si="10"/>
        <v>6.2387957308237141</v>
      </c>
      <c r="L92">
        <f t="shared" si="11"/>
        <v>5.9268559442825284</v>
      </c>
    </row>
    <row r="93" spans="9:12">
      <c r="I93">
        <f t="shared" si="8"/>
        <v>0.14474931712766034</v>
      </c>
      <c r="J93">
        <f t="shared" si="9"/>
        <v>0.14474931712766034</v>
      </c>
      <c r="K93" s="156">
        <f t="shared" si="10"/>
        <v>0.14474931712766034</v>
      </c>
      <c r="L93">
        <f t="shared" si="11"/>
        <v>0.13751185127127732</v>
      </c>
    </row>
    <row r="94" spans="9:12">
      <c r="I94">
        <f t="shared" si="8"/>
        <v>0.39114804330605585</v>
      </c>
      <c r="J94">
        <f t="shared" si="9"/>
        <v>0.39114804330605585</v>
      </c>
      <c r="K94" s="156">
        <f t="shared" si="10"/>
        <v>0.39114804330605585</v>
      </c>
      <c r="L94">
        <f t="shared" si="11"/>
        <v>0.37159064114075302</v>
      </c>
    </row>
    <row r="95" spans="9:12">
      <c r="I95" t="e">
        <f t="shared" si="8"/>
        <v>#DIV/0!</v>
      </c>
      <c r="J95" t="e">
        <f t="shared" si="9"/>
        <v>#DIV/0!</v>
      </c>
      <c r="K95" s="156" t="e">
        <f t="shared" si="10"/>
        <v>#DIV/0!</v>
      </c>
      <c r="L95" t="e">
        <f t="shared" si="11"/>
        <v>#DIV/0!</v>
      </c>
    </row>
    <row r="96" spans="9:12">
      <c r="I96">
        <f t="shared" si="8"/>
        <v>-0.18911338958626631</v>
      </c>
      <c r="J96">
        <f t="shared" si="9"/>
        <v>-0.18911338958626631</v>
      </c>
      <c r="K96" s="156">
        <f t="shared" si="10"/>
        <v>6.09407191759332</v>
      </c>
      <c r="L96">
        <f t="shared" si="11"/>
        <v>5.7893683217136536</v>
      </c>
    </row>
  </sheetData>
  <mergeCells count="3">
    <mergeCell ref="H6:I6"/>
    <mergeCell ref="B1:E1"/>
    <mergeCell ref="B19:E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4"/>
  <dimension ref="A2:K37"/>
  <sheetViews>
    <sheetView tabSelected="1" zoomScale="115" zoomScaleNormal="115" workbookViewId="0">
      <selection activeCell="D9" sqref="D9"/>
    </sheetView>
  </sheetViews>
  <sheetFormatPr baseColWidth="10" defaultRowHeight="15"/>
  <sheetData>
    <row r="2" spans="1:11">
      <c r="A2" s="185" t="s">
        <v>65</v>
      </c>
      <c r="B2" s="186"/>
      <c r="C2" s="186"/>
      <c r="D2" s="186"/>
      <c r="E2" s="186"/>
      <c r="F2" s="186"/>
      <c r="G2" s="186"/>
      <c r="H2" s="186"/>
      <c r="I2" s="186"/>
      <c r="J2" s="186"/>
      <c r="K2" s="186"/>
    </row>
    <row r="3" spans="1:11">
      <c r="A3" s="20"/>
      <c r="B3" s="15">
        <v>0.77</v>
      </c>
      <c r="C3" s="15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1">
      <c r="A4" s="20"/>
      <c r="B4" s="15">
        <v>0</v>
      </c>
      <c r="C4" s="15">
        <v>0.77</v>
      </c>
      <c r="D4" s="22">
        <v>0</v>
      </c>
      <c r="E4" s="27" t="s">
        <v>63</v>
      </c>
      <c r="F4" s="28" t="s">
        <v>47</v>
      </c>
      <c r="G4" s="20" t="s">
        <v>27</v>
      </c>
      <c r="H4" s="30" t="s">
        <v>43</v>
      </c>
    </row>
    <row r="5" spans="1:11">
      <c r="A5" s="20"/>
      <c r="B5" s="15">
        <v>0</v>
      </c>
      <c r="C5" s="15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1">
      <c r="D6" s="2"/>
      <c r="E6" s="2"/>
      <c r="F6" s="2"/>
      <c r="G6" s="2"/>
      <c r="H6" s="2"/>
    </row>
    <row r="7" spans="1:11">
      <c r="A7" s="185" t="s">
        <v>66</v>
      </c>
      <c r="B7" s="186"/>
      <c r="C7" s="186"/>
      <c r="D7" s="186"/>
      <c r="E7" s="186"/>
      <c r="F7" s="186"/>
      <c r="G7" s="186"/>
      <c r="H7" s="186"/>
      <c r="I7" s="186"/>
      <c r="J7" s="186"/>
      <c r="K7" s="186"/>
    </row>
    <row r="8" spans="1:11">
      <c r="B8" s="21"/>
      <c r="C8" s="21"/>
      <c r="D8" s="12">
        <v>0</v>
      </c>
      <c r="E8" s="12">
        <v>1</v>
      </c>
      <c r="F8" s="12">
        <v>2</v>
      </c>
      <c r="G8" s="12">
        <v>3</v>
      </c>
      <c r="H8" s="12">
        <v>4</v>
      </c>
      <c r="I8" s="12">
        <v>5</v>
      </c>
      <c r="J8" s="12">
        <v>6</v>
      </c>
      <c r="K8" s="12">
        <v>7</v>
      </c>
    </row>
    <row r="9" spans="1:11">
      <c r="B9" s="2" t="s">
        <v>48</v>
      </c>
      <c r="C9" s="2"/>
      <c r="D9" s="31">
        <f>INDEX(MMULT(MINVERSE($B$3:$D$5),D$15:D$17),ROW(A1))</f>
        <v>0.47920844155844156</v>
      </c>
      <c r="E9" s="31">
        <f t="shared" ref="E9:K11" si="0">INDEX(MMULT(MINVERSE($B$3:$D$5),E$15:E$17),ROW(B1))</f>
        <v>-0.77466753246753273</v>
      </c>
      <c r="F9" s="31">
        <f t="shared" si="0"/>
        <v>1.521121428571429</v>
      </c>
      <c r="G9" s="31">
        <f t="shared" si="0"/>
        <v>-0.92363896103896137</v>
      </c>
      <c r="H9" s="31">
        <f t="shared" si="0"/>
        <v>1.9213116883116885</v>
      </c>
      <c r="I9" s="31">
        <f t="shared" si="0"/>
        <v>-0.55595000000000039</v>
      </c>
      <c r="J9" s="31">
        <f t="shared" si="0"/>
        <v>1.0628805194805195</v>
      </c>
      <c r="K9" s="31">
        <f t="shared" si="0"/>
        <v>0.45375064935064952</v>
      </c>
    </row>
    <row r="10" spans="1:11">
      <c r="B10" t="s">
        <v>47</v>
      </c>
      <c r="C10" s="2" t="s">
        <v>27</v>
      </c>
      <c r="D10" s="31">
        <f t="shared" ref="D10:D11" si="1">INDEX(MMULT(MINVERSE($B$3:$D$5),D$15:D$17),ROW(A2))</f>
        <v>-1.0120181818181817</v>
      </c>
      <c r="E10" s="31">
        <f t="shared" si="0"/>
        <v>-1.04461038961039</v>
      </c>
      <c r="F10" s="31">
        <f t="shared" si="0"/>
        <v>-1.052836363636364</v>
      </c>
      <c r="G10" s="31">
        <f t="shared" si="0"/>
        <v>-0.19735259740259795</v>
      </c>
      <c r="H10" s="31">
        <f t="shared" si="0"/>
        <v>3.1169480519479917E-2</v>
      </c>
      <c r="I10" s="31">
        <f t="shared" si="0"/>
        <v>1.0917272727272722</v>
      </c>
      <c r="J10" s="31">
        <f t="shared" si="0"/>
        <v>1.0721324675324677</v>
      </c>
      <c r="K10" s="31">
        <f t="shared" si="0"/>
        <v>1.3547480519480521</v>
      </c>
    </row>
    <row r="11" spans="1:11">
      <c r="B11" t="s">
        <v>52</v>
      </c>
      <c r="C11" s="2"/>
      <c r="D11" s="31">
        <f t="shared" si="1"/>
        <v>0.60667562500000027</v>
      </c>
      <c r="E11" s="31">
        <f t="shared" si="0"/>
        <v>1.3460225000000001</v>
      </c>
      <c r="F11" s="31">
        <f t="shared" si="0"/>
        <v>1.3791600000000004</v>
      </c>
      <c r="G11" s="31">
        <f t="shared" si="0"/>
        <v>1.3262631249999999</v>
      </c>
      <c r="H11" s="31">
        <f t="shared" si="0"/>
        <v>1.3960006250000003</v>
      </c>
      <c r="I11" s="31">
        <f t="shared" si="0"/>
        <v>1.4358131250000001</v>
      </c>
      <c r="J11" s="31">
        <f t="shared" si="0"/>
        <v>1.3583906250000002</v>
      </c>
      <c r="K11" s="31">
        <f t="shared" si="0"/>
        <v>0.67035999999999984</v>
      </c>
    </row>
    <row r="12" spans="1:11">
      <c r="C12" s="2"/>
      <c r="D12" s="2"/>
      <c r="E12" s="2"/>
      <c r="F12" s="2"/>
      <c r="G12" s="2"/>
      <c r="H12" s="2"/>
      <c r="I12" s="2"/>
      <c r="J12" s="2"/>
      <c r="K12" s="2"/>
    </row>
    <row r="13" spans="1:11" ht="18.75">
      <c r="B13" s="13" t="s">
        <v>72</v>
      </c>
      <c r="C13" s="25" t="s">
        <v>27</v>
      </c>
      <c r="D13" s="190" t="s">
        <v>73</v>
      </c>
      <c r="E13" s="191"/>
      <c r="F13" s="191"/>
      <c r="G13" s="191"/>
      <c r="H13" s="191"/>
      <c r="I13" s="191"/>
      <c r="J13" s="191"/>
      <c r="K13" s="191"/>
    </row>
    <row r="14" spans="1:11">
      <c r="C14" s="2"/>
      <c r="D14" s="26"/>
      <c r="E14" s="26"/>
      <c r="F14" s="26"/>
      <c r="G14" s="26"/>
      <c r="H14" s="26"/>
      <c r="I14" s="26"/>
      <c r="J14" s="26"/>
      <c r="K14" s="26"/>
    </row>
    <row r="15" spans="1:11">
      <c r="B15" t="s">
        <v>45</v>
      </c>
      <c r="C15" s="2"/>
      <c r="D15" s="31">
        <f>((Messaufbau_Messdaten!J$30)^2-(Messaufbau_Messdaten!J27)^2+(Messaufbau_Messdaten!$I$35)^2)/2</f>
        <v>0.3689905</v>
      </c>
      <c r="E15" s="31">
        <f>((Messaufbau_Messdaten!K$30)^2-(Messaufbau_Messdaten!K27)^2+(Messaufbau_Messdaten!$I$35)^2)/2</f>
        <v>-0.59649400000000019</v>
      </c>
      <c r="F15" s="31">
        <f>((Messaufbau_Messdaten!L$30)^2-(Messaufbau_Messdaten!L27)^2+(Messaufbau_Messdaten!$I$35)^2)/2</f>
        <v>1.1712635000000002</v>
      </c>
      <c r="G15" s="31">
        <f>((Messaufbau_Messdaten!M$30)^2-(Messaufbau_Messdaten!M27)^2+(Messaufbau_Messdaten!$I$35)^2)/2</f>
        <v>-0.71120200000000022</v>
      </c>
      <c r="H15" s="31">
        <f>((Messaufbau_Messdaten!N$30)^2-(Messaufbau_Messdaten!N27)^2+(Messaufbau_Messdaten!$I$35)^2)/2</f>
        <v>1.4794100000000001</v>
      </c>
      <c r="I15" s="31">
        <f>((Messaufbau_Messdaten!O$30)^2-(Messaufbau_Messdaten!O27)^2+(Messaufbau_Messdaten!$I$35)^2)/2</f>
        <v>-0.42808150000000034</v>
      </c>
      <c r="J15" s="31">
        <f>((Messaufbau_Messdaten!P$30)^2-(Messaufbau_Messdaten!P27)^2+(Messaufbau_Messdaten!$I$35)^2)/2</f>
        <v>0.81841799999999998</v>
      </c>
      <c r="K15" s="31">
        <f>((Messaufbau_Messdaten!Q$30)^2-(Messaufbau_Messdaten!Q27)^2+(Messaufbau_Messdaten!$I$35)^2)/2</f>
        <v>0.34938800000000014</v>
      </c>
    </row>
    <row r="16" spans="1:11">
      <c r="B16" t="s">
        <v>43</v>
      </c>
      <c r="C16" s="2" t="s">
        <v>27</v>
      </c>
      <c r="D16" s="31">
        <f>((Messaufbau_Messdaten!J$30)^2-(Messaufbau_Messdaten!J28)^2+(Messaufbau_Messdaten!$I$41)^2)/2</f>
        <v>-0.779254</v>
      </c>
      <c r="E16" s="31">
        <f>((Messaufbau_Messdaten!K$30)^2-(Messaufbau_Messdaten!K28)^2+(Messaufbau_Messdaten!$I$41)^2)/2</f>
        <v>-0.80435000000000023</v>
      </c>
      <c r="F16" s="31">
        <f>((Messaufbau_Messdaten!L$30)^2-(Messaufbau_Messdaten!L28)^2+(Messaufbau_Messdaten!$I$41)^2)/2</f>
        <v>-0.81068400000000029</v>
      </c>
      <c r="G16" s="31">
        <f>((Messaufbau_Messdaten!M$30)^2-(Messaufbau_Messdaten!M28)^2+(Messaufbau_Messdaten!$I$41)^2)/2</f>
        <v>-0.15196150000000042</v>
      </c>
      <c r="H16" s="31">
        <f>((Messaufbau_Messdaten!N$30)^2-(Messaufbau_Messdaten!N28)^2+(Messaufbau_Messdaten!$I$41)^2)/2</f>
        <v>2.4000499999999536E-2</v>
      </c>
      <c r="I16" s="31">
        <f>((Messaufbau_Messdaten!O$30)^2-(Messaufbau_Messdaten!O28)^2+(Messaufbau_Messdaten!$I$41)^2)/2</f>
        <v>0.84062999999999966</v>
      </c>
      <c r="J16" s="31">
        <f>((Messaufbau_Messdaten!P$30)^2-(Messaufbau_Messdaten!P28)^2+(Messaufbau_Messdaten!$I$41)^2)/2</f>
        <v>0.82554200000000011</v>
      </c>
      <c r="K16" s="31">
        <f>((Messaufbau_Messdaten!Q$30)^2-(Messaufbau_Messdaten!Q28)^2+(Messaufbau_Messdaten!$I$41)^2)/2</f>
        <v>1.0431560000000002</v>
      </c>
    </row>
    <row r="17" spans="1:11">
      <c r="B17" t="s">
        <v>42</v>
      </c>
      <c r="C17" s="2"/>
      <c r="D17" s="31">
        <f>((Messaufbau_Messdaten!J$30)^2-(Messaufbau_Messdaten!J29)^2+(Messaufbau_Messdaten!$I$43)^2)/2</f>
        <v>0.48534050000000017</v>
      </c>
      <c r="E17" s="31">
        <f>((Messaufbau_Messdaten!K$30)^2-(Messaufbau_Messdaten!K29)^2+(Messaufbau_Messdaten!$I$43)^2)/2</f>
        <v>1.0768180000000001</v>
      </c>
      <c r="F17" s="31">
        <f>((Messaufbau_Messdaten!L$30)^2-(Messaufbau_Messdaten!L29)^2+(Messaufbau_Messdaten!$I$43)^2)/2</f>
        <v>1.1033280000000003</v>
      </c>
      <c r="G17" s="31">
        <f>((Messaufbau_Messdaten!M$30)^2-(Messaufbau_Messdaten!M29)^2+(Messaufbau_Messdaten!$I$43)^2)/2</f>
        <v>1.0610104999999999</v>
      </c>
      <c r="H17" s="31">
        <f>((Messaufbau_Messdaten!N$30)^2-(Messaufbau_Messdaten!N29)^2+(Messaufbau_Messdaten!$I$43)^2)/2</f>
        <v>1.1168005000000003</v>
      </c>
      <c r="I17" s="31">
        <f>((Messaufbau_Messdaten!O$30)^2-(Messaufbau_Messdaten!O29)^2+(Messaufbau_Messdaten!$I$43)^2)/2</f>
        <v>1.1486505</v>
      </c>
      <c r="J17" s="31">
        <f>((Messaufbau_Messdaten!P$30)^2-(Messaufbau_Messdaten!P29)^2+(Messaufbau_Messdaten!$I$43)^2)/2</f>
        <v>1.0867125000000002</v>
      </c>
      <c r="K17" s="31">
        <f>((Messaufbau_Messdaten!Q$30)^2-(Messaufbau_Messdaten!Q29)^2+(Messaufbau_Messdaten!$I$43)^2)/2</f>
        <v>0.53628799999999988</v>
      </c>
    </row>
    <row r="18" spans="1:11">
      <c r="C18" s="2"/>
      <c r="D18" s="2"/>
      <c r="E18" s="2"/>
      <c r="F18" s="2"/>
      <c r="G18" s="2"/>
      <c r="H18" s="2"/>
      <c r="I18" s="2"/>
      <c r="J18" s="2"/>
      <c r="K18" s="2"/>
    </row>
    <row r="19" spans="1:11">
      <c r="A19" s="185" t="s">
        <v>62</v>
      </c>
      <c r="B19" s="186"/>
      <c r="C19" s="186"/>
      <c r="D19" s="186"/>
      <c r="E19" s="186"/>
      <c r="F19" s="186"/>
      <c r="G19" s="186"/>
      <c r="H19" s="186"/>
      <c r="I19" s="186"/>
      <c r="J19" s="186"/>
      <c r="K19" s="186"/>
    </row>
    <row r="20" spans="1:11">
      <c r="B20" t="s">
        <v>53</v>
      </c>
      <c r="C20" s="2" t="s">
        <v>27</v>
      </c>
      <c r="D20" s="2">
        <v>0</v>
      </c>
      <c r="E20" s="2"/>
      <c r="F20" s="2"/>
      <c r="G20" s="2"/>
      <c r="H20" s="2"/>
      <c r="I20" s="2"/>
      <c r="J20" s="2"/>
      <c r="K20" s="2"/>
    </row>
    <row r="21" spans="1:11">
      <c r="B21" t="s">
        <v>54</v>
      </c>
      <c r="C21" s="2" t="s">
        <v>27</v>
      </c>
      <c r="D21" s="2">
        <v>0</v>
      </c>
      <c r="E21" s="2"/>
      <c r="F21" s="2"/>
      <c r="G21" s="2"/>
      <c r="H21" s="2"/>
      <c r="I21" s="2"/>
      <c r="J21" s="2"/>
      <c r="K21" s="2"/>
    </row>
    <row r="22" spans="1:11">
      <c r="B22" t="s">
        <v>55</v>
      </c>
      <c r="C22" s="2" t="s">
        <v>27</v>
      </c>
      <c r="D22" s="2">
        <v>0</v>
      </c>
      <c r="E22" s="2"/>
      <c r="F22" s="2"/>
      <c r="G22" s="2"/>
      <c r="H22" s="2"/>
      <c r="I22" s="2"/>
      <c r="J22" s="2"/>
      <c r="K22" s="2"/>
    </row>
    <row r="23" spans="1:11">
      <c r="C23" s="2"/>
      <c r="D23" s="2"/>
      <c r="E23" s="2"/>
      <c r="F23" s="2"/>
      <c r="G23" s="2"/>
      <c r="H23" s="2"/>
      <c r="I23" s="2"/>
      <c r="J23" s="2"/>
      <c r="K23" s="2"/>
    </row>
    <row r="24" spans="1:11">
      <c r="A24" s="185" t="s">
        <v>64</v>
      </c>
      <c r="B24" s="186"/>
      <c r="C24" s="186"/>
      <c r="D24" s="186"/>
      <c r="E24" s="186"/>
      <c r="F24" s="186"/>
      <c r="G24" s="186"/>
      <c r="H24" s="186"/>
      <c r="I24" s="186"/>
      <c r="J24" s="186"/>
      <c r="K24" s="186"/>
    </row>
    <row r="25" spans="1:11">
      <c r="A25" s="23"/>
      <c r="B25" s="21"/>
      <c r="C25" s="21"/>
      <c r="D25" s="12">
        <v>0</v>
      </c>
      <c r="E25" s="12">
        <v>1</v>
      </c>
      <c r="F25" s="12">
        <v>2</v>
      </c>
      <c r="G25" s="12">
        <v>3</v>
      </c>
      <c r="H25" s="12">
        <v>4</v>
      </c>
      <c r="I25" s="12">
        <v>5</v>
      </c>
      <c r="J25" s="12">
        <v>6</v>
      </c>
      <c r="K25" s="12">
        <v>7</v>
      </c>
    </row>
    <row r="26" spans="1:11">
      <c r="B26" s="26" t="s">
        <v>59</v>
      </c>
      <c r="C26" s="26" t="s">
        <v>27</v>
      </c>
      <c r="D26" s="196">
        <f t="shared" ref="D26" si="2">D9+$D$20</f>
        <v>0.47920844155844156</v>
      </c>
      <c r="E26" s="196">
        <f t="shared" ref="E26:K26" si="3">E9+$D$20</f>
        <v>-0.77466753246753273</v>
      </c>
      <c r="F26" s="196">
        <f t="shared" si="3"/>
        <v>1.521121428571429</v>
      </c>
      <c r="G26" s="196">
        <f t="shared" si="3"/>
        <v>-0.92363896103896137</v>
      </c>
      <c r="H26" s="196">
        <f t="shared" si="3"/>
        <v>1.9213116883116885</v>
      </c>
      <c r="I26" s="196">
        <f t="shared" si="3"/>
        <v>-0.55595000000000039</v>
      </c>
      <c r="J26" s="196">
        <f t="shared" si="3"/>
        <v>1.0628805194805195</v>
      </c>
      <c r="K26" s="196">
        <f t="shared" si="3"/>
        <v>0.45375064935064952</v>
      </c>
    </row>
    <row r="27" spans="1:11">
      <c r="B27" s="26" t="s">
        <v>60</v>
      </c>
      <c r="C27" s="26" t="s">
        <v>27</v>
      </c>
      <c r="D27" s="196">
        <f t="shared" ref="D27" si="4">D10+$D$20</f>
        <v>-1.0120181818181817</v>
      </c>
      <c r="E27" s="196">
        <f t="shared" ref="E27:K28" si="5">E10+$D$20</f>
        <v>-1.04461038961039</v>
      </c>
      <c r="F27" s="196">
        <f t="shared" si="5"/>
        <v>-1.052836363636364</v>
      </c>
      <c r="G27" s="196">
        <f t="shared" si="5"/>
        <v>-0.19735259740259795</v>
      </c>
      <c r="H27" s="196">
        <f t="shared" si="5"/>
        <v>3.1169480519479917E-2</v>
      </c>
      <c r="I27" s="196">
        <f t="shared" si="5"/>
        <v>1.0917272727272722</v>
      </c>
      <c r="J27" s="196">
        <f t="shared" si="5"/>
        <v>1.0721324675324677</v>
      </c>
      <c r="K27" s="196">
        <f t="shared" si="5"/>
        <v>1.3547480519480521</v>
      </c>
    </row>
    <row r="28" spans="1:11">
      <c r="B28" s="26" t="s">
        <v>61</v>
      </c>
      <c r="C28" s="26" t="s">
        <v>27</v>
      </c>
      <c r="D28" s="196">
        <f t="shared" ref="D28" si="6">D11+$D$20</f>
        <v>0.60667562500000027</v>
      </c>
      <c r="E28" s="196">
        <f t="shared" si="5"/>
        <v>1.3460225000000001</v>
      </c>
      <c r="F28" s="196">
        <f t="shared" si="5"/>
        <v>1.3791600000000004</v>
      </c>
      <c r="G28" s="196">
        <f t="shared" si="5"/>
        <v>1.3262631249999999</v>
      </c>
      <c r="H28" s="196">
        <f t="shared" si="5"/>
        <v>1.3960006250000003</v>
      </c>
      <c r="I28" s="196">
        <f t="shared" si="5"/>
        <v>1.4358131250000001</v>
      </c>
      <c r="J28" s="196">
        <f t="shared" si="5"/>
        <v>1.3583906250000002</v>
      </c>
      <c r="K28" s="196">
        <f t="shared" si="5"/>
        <v>0.67035999999999984</v>
      </c>
    </row>
    <row r="29" spans="1:11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>
      <c r="A30" s="185" t="s">
        <v>67</v>
      </c>
      <c r="B30" s="185"/>
      <c r="C30" s="185"/>
      <c r="D30" s="185"/>
      <c r="E30" s="185"/>
      <c r="F30" s="185"/>
      <c r="G30" s="185"/>
      <c r="H30" s="185"/>
      <c r="I30" s="185"/>
      <c r="J30" s="185"/>
      <c r="K30" s="185"/>
    </row>
    <row r="31" spans="1:11">
      <c r="B31" s="21"/>
      <c r="C31" s="21"/>
      <c r="D31" s="12">
        <v>1</v>
      </c>
      <c r="E31" s="12">
        <v>2</v>
      </c>
      <c r="F31" s="12">
        <v>3</v>
      </c>
      <c r="G31" s="12">
        <v>4</v>
      </c>
      <c r="H31" s="12">
        <v>5</v>
      </c>
      <c r="I31" s="12">
        <v>6</v>
      </c>
      <c r="J31" s="12">
        <v>7</v>
      </c>
      <c r="K31" s="12">
        <v>8</v>
      </c>
    </row>
    <row r="32" spans="1:11">
      <c r="B32" s="187" t="s">
        <v>71</v>
      </c>
      <c r="C32" s="187"/>
      <c r="D32">
        <f>Messaufbau_Messdaten!J30</f>
        <v>1.2590000000000001</v>
      </c>
      <c r="E32">
        <f>Messaufbau_Messdaten!K30</f>
        <v>1.8940000000000001</v>
      </c>
      <c r="F32">
        <f>Messaufbau_Messdaten!L30</f>
        <v>2.3340000000000001</v>
      </c>
      <c r="G32">
        <f>Messaufbau_Messdaten!M30</f>
        <v>1.661</v>
      </c>
      <c r="H32">
        <f>Messaufbau_Messdaten!N30</f>
        <v>2.399</v>
      </c>
      <c r="I32">
        <f>Messaufbau_Messdaten!O30</f>
        <v>1.851</v>
      </c>
      <c r="J32">
        <f>Messaufbau_Messdaten!P30</f>
        <v>2.0550000000000002</v>
      </c>
      <c r="K32">
        <f>Messaufbau_Messdaten!Q30</f>
        <v>1.5740000000000001</v>
      </c>
    </row>
    <row r="33" spans="2:11">
      <c r="B33" s="188" t="s">
        <v>70</v>
      </c>
      <c r="C33" s="188"/>
      <c r="D33" s="31">
        <f>SQRT(D26^2+D27^2+D28^2)</f>
        <v>1.2735292869661812</v>
      </c>
      <c r="E33" s="31">
        <f t="shared" ref="E33:K33" si="7">SQRT(E26^2+E27^2+E28^2)</f>
        <v>1.8716562778586128</v>
      </c>
      <c r="F33" s="31">
        <f t="shared" si="7"/>
        <v>2.3074568500091672</v>
      </c>
      <c r="G33" s="31">
        <f t="shared" si="7"/>
        <v>1.6281986533545127</v>
      </c>
      <c r="H33" s="31">
        <f t="shared" si="7"/>
        <v>2.3751269198001519</v>
      </c>
      <c r="I33" s="31">
        <f t="shared" si="7"/>
        <v>1.8874607732185573</v>
      </c>
      <c r="J33" s="31">
        <f t="shared" si="7"/>
        <v>2.0308638843399445</v>
      </c>
      <c r="K33" s="31">
        <f t="shared" si="7"/>
        <v>1.5781680726852823</v>
      </c>
    </row>
    <row r="34" spans="2:11">
      <c r="B34" s="188" t="s">
        <v>69</v>
      </c>
      <c r="C34" s="188"/>
      <c r="D34" s="31">
        <f>D33-D32</f>
        <v>1.4529286966181054E-2</v>
      </c>
      <c r="E34" s="31">
        <f t="shared" ref="E34:K34" si="8">E33-E32</f>
        <v>-2.2343722141387357E-2</v>
      </c>
      <c r="F34" s="31">
        <f t="shared" si="8"/>
        <v>-2.6543149990832848E-2</v>
      </c>
      <c r="G34" s="31">
        <f t="shared" si="8"/>
        <v>-3.2801346645487284E-2</v>
      </c>
      <c r="H34" s="31">
        <f t="shared" si="8"/>
        <v>-2.3873080199848129E-2</v>
      </c>
      <c r="I34" s="31">
        <f t="shared" si="8"/>
        <v>3.6460773218557341E-2</v>
      </c>
      <c r="J34" s="31">
        <f t="shared" si="8"/>
        <v>-2.413611566005569E-2</v>
      </c>
      <c r="K34" s="31">
        <f t="shared" si="8"/>
        <v>4.168072685282187E-3</v>
      </c>
    </row>
    <row r="35" spans="2:11">
      <c r="B35" s="189" t="s">
        <v>68</v>
      </c>
      <c r="C35" s="189"/>
      <c r="D35" s="33">
        <f>ABS(1-D32/D33)</f>
        <v>1.1408679105286201E-2</v>
      </c>
      <c r="E35" s="33">
        <f t="shared" ref="E35:K35" si="9">ABS(1-E32/E33)</f>
        <v>1.1937940959411142E-2</v>
      </c>
      <c r="F35" s="33">
        <f t="shared" si="9"/>
        <v>1.1503205353862844E-2</v>
      </c>
      <c r="G35" s="33">
        <f t="shared" si="9"/>
        <v>2.0145789076724707E-2</v>
      </c>
      <c r="H35" s="33">
        <f t="shared" si="9"/>
        <v>1.0051286102157775E-2</v>
      </c>
      <c r="I35" s="33">
        <f t="shared" si="9"/>
        <v>1.9317367404877661E-2</v>
      </c>
      <c r="J35" s="33">
        <f t="shared" si="9"/>
        <v>1.1884654528631966E-2</v>
      </c>
      <c r="K35" s="33">
        <f t="shared" si="9"/>
        <v>2.6410828842774459E-3</v>
      </c>
    </row>
    <row r="37" spans="2:11">
      <c r="D37">
        <v>5.7211902734209064E-2</v>
      </c>
      <c r="E37">
        <v>7.6390277178006283E-2</v>
      </c>
      <c r="F37">
        <v>8.5354984401670997E-3</v>
      </c>
      <c r="G37">
        <v>3.5603845720986182E-2</v>
      </c>
      <c r="H37">
        <v>1.4508031562843193E-3</v>
      </c>
      <c r="I37">
        <v>1.4470746902919052E-2</v>
      </c>
      <c r="J37">
        <v>4.8989450017878466E-2</v>
      </c>
      <c r="K37">
        <v>3.665862032538314E-2</v>
      </c>
    </row>
  </sheetData>
  <mergeCells count="10">
    <mergeCell ref="B32:C32"/>
    <mergeCell ref="B33:C33"/>
    <mergeCell ref="B34:C34"/>
    <mergeCell ref="B35:C35"/>
    <mergeCell ref="D13:K13"/>
    <mergeCell ref="A2:K2"/>
    <mergeCell ref="A7:K7"/>
    <mergeCell ref="A19:K19"/>
    <mergeCell ref="A24:K24"/>
    <mergeCell ref="A30:K30"/>
  </mergeCells>
  <pageMargins left="0.7" right="0.7" top="0.78740157499999996" bottom="0.78740157499999996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2"/>
  <dimension ref="A1:W158"/>
  <sheetViews>
    <sheetView workbookViewId="0">
      <selection activeCell="E7" sqref="E7:F7"/>
    </sheetView>
  </sheetViews>
  <sheetFormatPr baseColWidth="10" defaultRowHeight="15"/>
  <cols>
    <col min="16" max="23" width="11.42578125" style="17"/>
  </cols>
  <sheetData>
    <row r="1" spans="1:15">
      <c r="A1" s="185">
        <v>0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</row>
    <row r="2" spans="1:15">
      <c r="B2" s="42" t="s">
        <v>97</v>
      </c>
      <c r="C2" s="43">
        <v>299792458</v>
      </c>
      <c r="D2" s="44" t="s">
        <v>98</v>
      </c>
      <c r="E2" s="44"/>
      <c r="F2" s="44"/>
      <c r="G2" s="44"/>
      <c r="H2" s="44"/>
      <c r="I2" s="44"/>
      <c r="J2" s="44"/>
      <c r="K2" s="45"/>
    </row>
    <row r="3" spans="1:15">
      <c r="B3" s="46" t="s">
        <v>99</v>
      </c>
      <c r="C3" s="47">
        <v>865700000</v>
      </c>
      <c r="D3" s="2" t="s">
        <v>100</v>
      </c>
      <c r="E3" s="2"/>
      <c r="F3" s="2"/>
      <c r="G3" s="2"/>
      <c r="H3" s="2"/>
      <c r="I3" s="2"/>
      <c r="J3" s="2"/>
      <c r="K3" s="20"/>
    </row>
    <row r="4" spans="1:15">
      <c r="B4" s="46" t="s">
        <v>101</v>
      </c>
      <c r="C4" s="2">
        <f>$C$2/$C$3</f>
        <v>0.34630063301374608</v>
      </c>
      <c r="D4" s="2" t="s">
        <v>102</v>
      </c>
      <c r="E4" s="2"/>
      <c r="F4" s="2"/>
      <c r="G4" s="2"/>
      <c r="H4" s="2"/>
      <c r="I4" s="2"/>
      <c r="J4" s="2"/>
      <c r="K4" s="20"/>
    </row>
    <row r="5" spans="1:15">
      <c r="B5" s="46"/>
      <c r="C5" s="2"/>
      <c r="I5" s="2"/>
      <c r="J5" s="2"/>
      <c r="K5" s="20"/>
    </row>
    <row r="6" spans="1:15">
      <c r="A6" s="20"/>
      <c r="B6" s="54" t="s">
        <v>78</v>
      </c>
      <c r="C6" s="21"/>
      <c r="D6" s="12" t="s">
        <v>77</v>
      </c>
      <c r="E6" s="12" t="s">
        <v>75</v>
      </c>
      <c r="F6" s="12" t="s">
        <v>76</v>
      </c>
      <c r="G6" s="12" t="s">
        <v>79</v>
      </c>
      <c r="H6" s="12" t="s">
        <v>80</v>
      </c>
      <c r="I6" s="12"/>
      <c r="J6" s="12"/>
      <c r="K6" s="48"/>
    </row>
    <row r="7" spans="1:15">
      <c r="A7" s="20"/>
      <c r="B7" s="53">
        <v>1</v>
      </c>
      <c r="C7" s="2"/>
      <c r="D7" s="115"/>
      <c r="E7" s="2">
        <f>$C$4^2/8</f>
        <v>1.4990516053215155E-2</v>
      </c>
      <c r="F7" s="2">
        <f>E$7/PI()</f>
        <v>4.7716294587352029E-3</v>
      </c>
      <c r="G7" s="115"/>
      <c r="H7" s="116"/>
      <c r="I7" s="2"/>
      <c r="J7" s="31"/>
      <c r="K7" s="20"/>
      <c r="L7" s="2"/>
      <c r="M7" s="2"/>
      <c r="N7" s="2"/>
      <c r="O7" s="2"/>
    </row>
    <row r="8" spans="1:15">
      <c r="A8" s="20"/>
      <c r="B8" s="51">
        <v>2</v>
      </c>
      <c r="C8" s="2"/>
      <c r="D8" s="115"/>
      <c r="E8" s="61" t="s">
        <v>104</v>
      </c>
      <c r="F8" s="61" t="s">
        <v>104</v>
      </c>
      <c r="G8" s="115"/>
      <c r="H8" s="116"/>
      <c r="I8" s="2"/>
      <c r="J8" s="31"/>
      <c r="K8" s="20"/>
      <c r="L8" s="2"/>
      <c r="M8" s="2"/>
      <c r="N8" s="2"/>
      <c r="O8" s="2"/>
    </row>
    <row r="9" spans="1:15">
      <c r="A9" s="20"/>
      <c r="B9" s="51">
        <v>3</v>
      </c>
      <c r="C9" s="2"/>
      <c r="D9" s="115"/>
      <c r="E9" s="61" t="s">
        <v>104</v>
      </c>
      <c r="F9" s="61" t="s">
        <v>104</v>
      </c>
      <c r="G9" s="115"/>
      <c r="H9" s="116"/>
      <c r="I9" s="2"/>
      <c r="J9" s="31"/>
      <c r="K9" s="20"/>
      <c r="L9" s="2"/>
      <c r="M9" s="2"/>
      <c r="N9" s="2"/>
      <c r="O9" s="2"/>
    </row>
    <row r="10" spans="1:15">
      <c r="A10" s="20"/>
      <c r="B10" s="51">
        <v>0</v>
      </c>
      <c r="C10" s="52"/>
      <c r="D10" s="61"/>
      <c r="E10" s="61"/>
      <c r="F10" s="61"/>
      <c r="G10" s="61"/>
      <c r="H10" s="116"/>
      <c r="I10" s="2"/>
      <c r="J10" s="81"/>
      <c r="K10" s="20"/>
      <c r="L10" s="2"/>
      <c r="M10" s="2"/>
      <c r="N10" s="2"/>
      <c r="O10" s="2"/>
    </row>
    <row r="11" spans="1:15">
      <c r="A11" s="2"/>
      <c r="B11" s="102"/>
      <c r="C11" s="52"/>
      <c r="D11" s="111" t="s">
        <v>77</v>
      </c>
      <c r="E11" s="111" t="s">
        <v>157</v>
      </c>
      <c r="F11" s="111" t="s">
        <v>158</v>
      </c>
      <c r="G11" s="111" t="s">
        <v>159</v>
      </c>
      <c r="H11" s="2"/>
      <c r="I11" s="2"/>
      <c r="J11" s="26" t="s">
        <v>79</v>
      </c>
      <c r="K11" s="26" t="s">
        <v>154</v>
      </c>
      <c r="L11" s="26" t="s">
        <v>155</v>
      </c>
      <c r="M11" s="26" t="s">
        <v>156</v>
      </c>
      <c r="N11" s="2"/>
      <c r="O11" s="2"/>
    </row>
    <row r="12" spans="1:15">
      <c r="A12" s="2"/>
      <c r="B12" s="102"/>
      <c r="C12" s="108">
        <v>1</v>
      </c>
      <c r="D12" s="2">
        <f>0.5*D123^2</f>
        <v>0.84198942471462679</v>
      </c>
      <c r="E12" s="2">
        <f>0.5*B130^2</f>
        <v>0.84198942471462679</v>
      </c>
      <c r="F12" s="2">
        <f>0.5*D137^2</f>
        <v>3.355750123931859</v>
      </c>
      <c r="G12" s="2">
        <f>0.5*D144^2</f>
        <v>0.66775267347450074</v>
      </c>
      <c r="H12" s="2">
        <f>0.5*F123^2</f>
        <v>1.8954667052703305</v>
      </c>
      <c r="I12" s="129">
        <v>1</v>
      </c>
      <c r="J12" s="2">
        <f>A_1*(1/(2*PI())^2)*(T_0^2-T_2^2)</f>
        <v>0.29506318455136205</v>
      </c>
      <c r="K12" s="2">
        <f>A_1*(1/(2*PI())^2)*(T_2^2-T_0^2)</f>
        <v>-0.29506318455136205</v>
      </c>
      <c r="L12" s="2">
        <f>A_1*(1/(2*PI())^2)*(T_3^2-T_2^2)</f>
        <v>-4.9343472898749775E-2</v>
      </c>
      <c r="M12" s="2">
        <f>A_1*(1/(2*PI())^2)*(T_4^2-T_2^2)</f>
        <v>2.2184425865828816E-2</v>
      </c>
      <c r="N12" s="2">
        <f>A_1*(1/(2*PI())^2)*(T_0^2-T_4^2)</f>
        <v>0.27287875868553324</v>
      </c>
      <c r="O12" s="2"/>
    </row>
    <row r="13" spans="1:15">
      <c r="A13" s="2"/>
      <c r="B13" s="102"/>
      <c r="C13" s="130">
        <v>2</v>
      </c>
      <c r="D13" s="2">
        <f>0.5*E123^2</f>
        <v>1.5747328563547551</v>
      </c>
      <c r="E13" s="2">
        <f>0.5*E130^2</f>
        <v>3.355750123931859</v>
      </c>
      <c r="F13" s="2">
        <f>0.5*B137^2</f>
        <v>1.5747328563547551</v>
      </c>
      <c r="G13" s="2">
        <f>0.5*E144^2</f>
        <v>4.0754124436814498</v>
      </c>
      <c r="H13" s="2">
        <f>0.5*D123^2</f>
        <v>0.84198942471462679</v>
      </c>
      <c r="I13" s="2">
        <v>2</v>
      </c>
      <c r="J13" s="2">
        <f>A_1*(1/(2*PI())^2)*(T_0^2-T_3^2)</f>
        <v>0.34440665745011184</v>
      </c>
      <c r="K13" s="2">
        <f>A_1*(1/(2*PI())^2)*(T_2^2-T_3^2)</f>
        <v>4.9343472898749775E-2</v>
      </c>
      <c r="L13" s="2">
        <f>A_1*(1/(2*PI())^2)*(T_3^2-T_0^2)</f>
        <v>-0.34440665745011184</v>
      </c>
      <c r="M13" s="2">
        <f>A_1*(1/(2*PI())^2)*(T_4^2-T_3^2)</f>
        <v>7.1527898764578587E-2</v>
      </c>
      <c r="N13" s="2">
        <f>A_1*(1/(2*PI())^2)*(T_0^2-T_2^2)</f>
        <v>0.29506318455136205</v>
      </c>
      <c r="O13" s="2"/>
    </row>
    <row r="14" spans="1:15">
      <c r="A14" s="2"/>
      <c r="B14" s="102"/>
      <c r="C14" s="130">
        <v>3</v>
      </c>
      <c r="D14" s="2">
        <f>0.5*F123^2</f>
        <v>1.8954667052703305</v>
      </c>
      <c r="E14" s="2">
        <f>0.5*F130^2</f>
        <v>0.66775267347450074</v>
      </c>
      <c r="F14" s="2">
        <f>0.5*F137^2</f>
        <v>4.0754124436814498</v>
      </c>
      <c r="G14" s="2">
        <f>0.5*B144^2</f>
        <v>1.8954667052703305</v>
      </c>
      <c r="H14" s="2">
        <f>0.5*E123^2</f>
        <v>1.5747328563547551</v>
      </c>
      <c r="I14" s="2">
        <v>3</v>
      </c>
      <c r="J14" s="2">
        <f>A_1*(1/(2*PI())^2)*(T_0^2-T_4^2)</f>
        <v>0.27287875868553324</v>
      </c>
      <c r="K14" s="2">
        <f>A_1*(1/(2*PI())^2)*(T_2^2-T_4^2)</f>
        <v>-2.2184425865828816E-2</v>
      </c>
      <c r="L14" s="2">
        <f>A_1*(1/(2*PI())^2)*(T_3^2-T_4^2)</f>
        <v>-7.1527898764578587E-2</v>
      </c>
      <c r="M14" s="2">
        <f>A_1*(1/(2*PI())^2)*(T_4^2-T_0^2)</f>
        <v>-0.27287875868553324</v>
      </c>
      <c r="N14" s="2">
        <f>A_1*(1/(2*PI())^2)*(T_0^2-T_3^2)</f>
        <v>0.34440665745011184</v>
      </c>
      <c r="O14" s="2"/>
    </row>
    <row r="15" spans="1:15">
      <c r="A15" s="2"/>
      <c r="B15" s="102"/>
      <c r="C15" s="52"/>
      <c r="D15" s="2"/>
      <c r="E15" s="2"/>
      <c r="F15" s="2"/>
      <c r="G15" s="2"/>
      <c r="H15" s="114">
        <v>3.6315946901900333</v>
      </c>
      <c r="I15" s="2"/>
      <c r="J15" s="81"/>
      <c r="K15" s="20"/>
      <c r="L15" s="2"/>
      <c r="M15" s="2"/>
      <c r="N15" s="2"/>
      <c r="O15" s="2"/>
    </row>
    <row r="16" spans="1:15">
      <c r="A16" s="2"/>
      <c r="B16" s="102"/>
      <c r="C16" s="52"/>
      <c r="D16" s="2"/>
      <c r="E16" s="2"/>
      <c r="F16" s="2"/>
      <c r="G16" s="2"/>
      <c r="H16" s="114">
        <v>2.216073124166746</v>
      </c>
      <c r="I16" s="2"/>
      <c r="J16" s="81"/>
      <c r="K16" s="20"/>
      <c r="L16" s="2"/>
      <c r="M16" s="2"/>
      <c r="N16" s="2"/>
      <c r="O16" s="2"/>
    </row>
    <row r="17" spans="1:20">
      <c r="B17" s="49"/>
      <c r="C17" s="21"/>
      <c r="D17" s="21"/>
      <c r="E17" s="21"/>
      <c r="F17" s="21"/>
      <c r="G17" s="21"/>
      <c r="H17" s="21"/>
      <c r="I17" s="21"/>
      <c r="J17" s="21"/>
      <c r="K17" s="11"/>
    </row>
    <row r="18" spans="1:20"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1:20">
      <c r="B19" s="2"/>
      <c r="C19" s="2"/>
      <c r="D19" s="2"/>
      <c r="F19" s="2"/>
      <c r="G19" s="2"/>
      <c r="H19" s="2"/>
      <c r="I19" s="2"/>
      <c r="J19" s="2"/>
      <c r="K19" s="2"/>
    </row>
    <row r="20" spans="1:20">
      <c r="A20" s="23" t="s">
        <v>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20">
      <c r="B21" s="2"/>
      <c r="C21" s="2"/>
      <c r="D21" s="12">
        <v>1</v>
      </c>
      <c r="E21" s="103">
        <v>2</v>
      </c>
      <c r="F21" s="103">
        <v>3</v>
      </c>
      <c r="G21" s="103">
        <v>4</v>
      </c>
      <c r="H21" s="103">
        <v>5</v>
      </c>
      <c r="I21" s="69">
        <v>6</v>
      </c>
      <c r="J21" s="69">
        <v>7</v>
      </c>
      <c r="K21" s="69">
        <v>8</v>
      </c>
    </row>
    <row r="22" spans="1:20">
      <c r="B22" s="2" t="s">
        <v>81</v>
      </c>
      <c r="C22" s="2"/>
      <c r="D22" s="125">
        <v>0.10832262321166386</v>
      </c>
      <c r="E22" s="126">
        <v>0.58400957479081295</v>
      </c>
      <c r="F22" s="126">
        <v>0.1761737397451435</v>
      </c>
      <c r="G22" s="126">
        <v>-0.65316562585764082</v>
      </c>
      <c r="H22" s="126">
        <v>-0.12108297019594905</v>
      </c>
      <c r="I22" s="70">
        <v>-0.15855509315995797</v>
      </c>
      <c r="J22" s="70">
        <v>-0.85603789680002773</v>
      </c>
      <c r="K22" s="70">
        <v>0.65342120690916317</v>
      </c>
      <c r="L22" s="192" t="s">
        <v>150</v>
      </c>
      <c r="M22" s="78">
        <f ca="1">RAND()-RAND()</f>
        <v>0.15082059701423645</v>
      </c>
    </row>
    <row r="23" spans="1:20">
      <c r="B23" s="2" t="s">
        <v>82</v>
      </c>
      <c r="C23" s="2"/>
      <c r="D23" s="125">
        <v>0.29761121373686894</v>
      </c>
      <c r="E23" s="126">
        <v>-0.56510924343656588</v>
      </c>
      <c r="F23" s="126">
        <v>0.28890662990274563</v>
      </c>
      <c r="G23" s="126">
        <v>0.60614239588028784</v>
      </c>
      <c r="H23" s="126">
        <v>0.68405840263900775</v>
      </c>
      <c r="I23" s="70">
        <v>-0.3582528703161334</v>
      </c>
      <c r="J23" s="70">
        <v>0.54958182007341416</v>
      </c>
      <c r="K23" s="70">
        <v>-0.40737763775813596</v>
      </c>
      <c r="L23" s="192"/>
      <c r="M23" s="78">
        <f t="shared" ref="M23:M28" ca="1" si="0">RAND()-RAND()</f>
        <v>-0.32060605210241921</v>
      </c>
    </row>
    <row r="24" spans="1:20">
      <c r="B24" s="2" t="s">
        <v>83</v>
      </c>
      <c r="C24" s="2"/>
      <c r="D24" s="125">
        <v>5.3736448728211039E-2</v>
      </c>
      <c r="E24" s="126">
        <v>-0.53068378544432737</v>
      </c>
      <c r="F24" s="126">
        <v>0.16807604642082641</v>
      </c>
      <c r="G24" s="126">
        <v>0.44045732624712453</v>
      </c>
      <c r="H24" s="126">
        <v>0.18413806965959112</v>
      </c>
      <c r="I24" s="70">
        <v>-2.4909669184959959E-2</v>
      </c>
      <c r="J24" s="70">
        <v>-0.36477405011057273</v>
      </c>
      <c r="K24" s="70">
        <v>0.20797765241452781</v>
      </c>
      <c r="L24" s="192"/>
      <c r="M24" s="78">
        <f t="shared" ca="1" si="0"/>
        <v>0.40021889414502065</v>
      </c>
      <c r="P24" s="180" t="s">
        <v>499</v>
      </c>
    </row>
    <row r="25" spans="1:20">
      <c r="B25" s="50" t="s">
        <v>84</v>
      </c>
      <c r="C25" s="2" t="s">
        <v>27</v>
      </c>
      <c r="D25" s="125">
        <v>-0.15950976388361138</v>
      </c>
      <c r="E25" s="126">
        <v>-0.35568388968214926</v>
      </c>
      <c r="F25" s="126">
        <v>4.4907878532955081E-2</v>
      </c>
      <c r="G25" s="126">
        <v>9.7111923317510396E-2</v>
      </c>
      <c r="H25" s="126">
        <v>-0.63284349798045736</v>
      </c>
      <c r="I25" s="70">
        <v>-0.60127917735887881</v>
      </c>
      <c r="J25" s="70">
        <v>7.3809363778690518E-2</v>
      </c>
      <c r="K25" s="70">
        <v>0.45904960287541474</v>
      </c>
      <c r="L25" s="192"/>
      <c r="M25" s="78">
        <f t="shared" ca="1" si="0"/>
        <v>-0.58181908261854698</v>
      </c>
      <c r="P25" s="181">
        <f>D86</f>
        <v>-0.38134499392037968</v>
      </c>
      <c r="Q25" s="181">
        <f>E86</f>
        <v>-2.1990786106015374</v>
      </c>
      <c r="R25" s="181">
        <f t="shared" ref="R25:T25" si="1">F86</f>
        <v>-1.6274296749637291</v>
      </c>
      <c r="S25" s="181">
        <f t="shared" si="1"/>
        <v>-1.5448213023832018</v>
      </c>
      <c r="T25" s="181">
        <f t="shared" si="1"/>
        <v>-2.5055131644642525</v>
      </c>
    </row>
    <row r="26" spans="1:20">
      <c r="B26" s="2" t="s">
        <v>48</v>
      </c>
      <c r="C26" s="2"/>
      <c r="D26" s="125">
        <v>0.26909749872322997</v>
      </c>
      <c r="E26" s="126">
        <v>-0.32329950295069954</v>
      </c>
      <c r="F26" s="126">
        <v>-0.21307158337873422</v>
      </c>
      <c r="G26" s="126">
        <v>-0.55698710725064093</v>
      </c>
      <c r="H26" s="125">
        <v>-2.8998600091432625E-2</v>
      </c>
      <c r="I26" s="70">
        <v>-0.64147819789622496</v>
      </c>
      <c r="J26" s="70">
        <v>-2.6436636559469484E-2</v>
      </c>
      <c r="K26" s="70">
        <v>-1.0305960682470916E-2</v>
      </c>
      <c r="L26" s="192"/>
      <c r="M26" s="78">
        <f t="shared" ca="1" si="0"/>
        <v>-0.35375564534537829</v>
      </c>
      <c r="P26" s="182">
        <f>D77</f>
        <v>0.26909749872322997</v>
      </c>
      <c r="Q26" s="182">
        <f t="shared" ref="Q26:T28" si="2">E77</f>
        <v>-0.32329950295069954</v>
      </c>
      <c r="R26" s="182">
        <f t="shared" si="2"/>
        <v>-0.21307158337873422</v>
      </c>
      <c r="S26" s="182">
        <f t="shared" si="2"/>
        <v>-0.55698710725064093</v>
      </c>
      <c r="T26" s="182">
        <f t="shared" si="2"/>
        <v>-2.8998600091432625E-2</v>
      </c>
    </row>
    <row r="27" spans="1:20">
      <c r="B27" t="s">
        <v>47</v>
      </c>
      <c r="D27" s="125">
        <v>0.42660742852797373</v>
      </c>
      <c r="E27" s="126">
        <v>0.27295278392914279</v>
      </c>
      <c r="F27" s="126">
        <v>0.43750512104016237</v>
      </c>
      <c r="G27" s="126">
        <v>-0.32683020545059871</v>
      </c>
      <c r="H27" s="125">
        <v>-0.22921308143989605</v>
      </c>
      <c r="I27" s="70">
        <v>4.8639647915487139E-2</v>
      </c>
      <c r="J27" s="70">
        <v>-0.42478485919807984</v>
      </c>
      <c r="K27" s="70">
        <v>5.2954891334215048E-2</v>
      </c>
      <c r="L27" s="192"/>
      <c r="M27" s="78">
        <f t="shared" ca="1" si="0"/>
        <v>-0.21915392781023368</v>
      </c>
      <c r="P27" s="182">
        <f t="shared" ref="P27:P28" si="3">D78</f>
        <v>0.42660742852797373</v>
      </c>
      <c r="Q27" s="182">
        <f t="shared" si="2"/>
        <v>0.27295278392914279</v>
      </c>
      <c r="R27" s="182">
        <f t="shared" si="2"/>
        <v>0.43750512104016237</v>
      </c>
      <c r="S27" s="182">
        <f t="shared" si="2"/>
        <v>-0.32683020545059871</v>
      </c>
      <c r="T27" s="182">
        <f t="shared" si="2"/>
        <v>-0.22921308143989605</v>
      </c>
    </row>
    <row r="28" spans="1:20">
      <c r="B28" t="s">
        <v>52</v>
      </c>
      <c r="C28" s="2"/>
      <c r="D28" s="125">
        <v>-0.66687734792235331</v>
      </c>
      <c r="E28" s="126">
        <v>0.40918502676292068</v>
      </c>
      <c r="F28" s="126">
        <v>0.63643716350170698</v>
      </c>
      <c r="G28" s="126">
        <v>0.29425870170859825</v>
      </c>
      <c r="H28" s="125">
        <v>-0.23490035559216005</v>
      </c>
      <c r="I28" s="70">
        <v>-0.12219530665103107</v>
      </c>
      <c r="J28" s="70">
        <v>-0.2246402934383831</v>
      </c>
      <c r="K28" s="70">
        <v>-9.8948905880472005E-2</v>
      </c>
      <c r="L28" s="192"/>
      <c r="M28" s="78">
        <f t="shared" ca="1" si="0"/>
        <v>3.3482561025079072E-2</v>
      </c>
      <c r="P28" s="182">
        <f t="shared" si="3"/>
        <v>-0.66687734792235331</v>
      </c>
      <c r="Q28" s="182">
        <f t="shared" si="2"/>
        <v>0.40918502676292068</v>
      </c>
      <c r="R28" s="182">
        <f t="shared" si="2"/>
        <v>0.63643716350170698</v>
      </c>
      <c r="S28" s="182">
        <f t="shared" si="2"/>
        <v>0.29425870170859825</v>
      </c>
      <c r="T28" s="182">
        <f t="shared" si="2"/>
        <v>-0.23490035559216005</v>
      </c>
    </row>
    <row r="29" spans="1:20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20">
      <c r="A30" s="185" t="s">
        <v>152</v>
      </c>
      <c r="B30" s="185"/>
      <c r="C30" s="185"/>
      <c r="D30" s="185"/>
      <c r="E30" s="185"/>
      <c r="F30" s="185"/>
      <c r="G30" s="185"/>
      <c r="H30" s="185"/>
      <c r="I30" s="185"/>
      <c r="J30" s="185"/>
      <c r="K30" s="185"/>
    </row>
    <row r="31" spans="1:20">
      <c r="A31" s="5"/>
      <c r="B31" s="79">
        <f>C95</f>
        <v>1.0419123890112216</v>
      </c>
      <c r="C31" s="79">
        <f t="shared" ref="C31:D31" si="4">D95</f>
        <v>-4.0818532431212473E-2</v>
      </c>
      <c r="D31" s="85">
        <f t="shared" si="4"/>
        <v>0.77248383184656022</v>
      </c>
      <c r="E31" s="86"/>
      <c r="F31" s="88" t="s">
        <v>48</v>
      </c>
      <c r="G31" s="5"/>
      <c r="H31" s="89" t="s">
        <v>45</v>
      </c>
    </row>
    <row r="32" spans="1:20">
      <c r="A32" s="5" t="s">
        <v>129</v>
      </c>
      <c r="B32" s="79">
        <f t="shared" ref="B32:D32" si="5">C96</f>
        <v>-1.4028471761352286</v>
      </c>
      <c r="C32" s="79">
        <f t="shared" si="5"/>
        <v>0.814665459345566</v>
      </c>
      <c r="D32" s="85">
        <f t="shared" si="5"/>
        <v>0.7195871750303805</v>
      </c>
      <c r="E32" s="87" t="s">
        <v>63</v>
      </c>
      <c r="F32" s="88" t="s">
        <v>47</v>
      </c>
      <c r="G32" s="90" t="s">
        <v>103</v>
      </c>
      <c r="H32" s="89" t="s">
        <v>43</v>
      </c>
      <c r="I32" s="60" t="s">
        <v>27</v>
      </c>
      <c r="J32">
        <v>0</v>
      </c>
    </row>
    <row r="33" spans="1:13">
      <c r="A33" s="5"/>
      <c r="B33" s="79">
        <f t="shared" ref="B33:D33" si="6">C97</f>
        <v>1.4421025939282253</v>
      </c>
      <c r="C33" s="79">
        <f t="shared" si="6"/>
        <v>1.0431877148697888</v>
      </c>
      <c r="D33" s="85">
        <f t="shared" si="6"/>
        <v>0.78932433807079116</v>
      </c>
      <c r="E33" s="86"/>
      <c r="F33" s="88" t="s">
        <v>52</v>
      </c>
      <c r="G33" s="5"/>
      <c r="H33" s="89" t="s">
        <v>42</v>
      </c>
    </row>
    <row r="34" spans="1:13">
      <c r="D34" s="2"/>
      <c r="E34" s="2"/>
      <c r="F34" s="2"/>
      <c r="G34" s="2"/>
      <c r="H34" s="2"/>
    </row>
    <row r="35" spans="1:13">
      <c r="A35" s="5"/>
      <c r="B35" s="79">
        <f>C99</f>
        <v>-1.0419123890112216</v>
      </c>
      <c r="C35" s="79">
        <f t="shared" ref="C35:D35" si="7">D99</f>
        <v>4.0818532431212473E-2</v>
      </c>
      <c r="D35" s="79">
        <f t="shared" si="7"/>
        <v>-0.77248383184656022</v>
      </c>
      <c r="E35" s="137"/>
      <c r="F35" s="68"/>
      <c r="G35" s="2"/>
      <c r="H35" s="66"/>
      <c r="I35" s="2"/>
    </row>
    <row r="36" spans="1:13">
      <c r="A36" s="5" t="s">
        <v>130</v>
      </c>
      <c r="B36" s="79">
        <f t="shared" ref="B36:D36" si="8">C100</f>
        <v>-2.44475956514645</v>
      </c>
      <c r="C36" s="79">
        <f t="shared" si="8"/>
        <v>0.85548399177677847</v>
      </c>
      <c r="D36" s="79">
        <f t="shared" si="8"/>
        <v>-5.2896656816179721E-2</v>
      </c>
      <c r="E36" s="138"/>
      <c r="F36" s="68"/>
      <c r="G36" s="139"/>
      <c r="H36" s="66"/>
      <c r="I36" s="139"/>
    </row>
    <row r="37" spans="1:13">
      <c r="A37" s="5"/>
      <c r="B37" s="79">
        <f t="shared" ref="B37:D37" si="9">C101</f>
        <v>0.40019020491700363</v>
      </c>
      <c r="C37" s="79">
        <f t="shared" si="9"/>
        <v>1.0840062473010013</v>
      </c>
      <c r="D37" s="79">
        <f t="shared" si="9"/>
        <v>1.6840506224230944E-2</v>
      </c>
      <c r="E37" s="137"/>
      <c r="F37" s="68"/>
      <c r="G37" s="2"/>
      <c r="H37" s="66"/>
      <c r="I37" s="2"/>
      <c r="M37" s="31"/>
    </row>
    <row r="38" spans="1:13">
      <c r="D38" s="2"/>
      <c r="E38" s="2"/>
      <c r="F38" s="2"/>
      <c r="G38" s="2"/>
      <c r="H38" s="2"/>
      <c r="I38" s="2"/>
      <c r="J38">
        <f>MCond(B31:D33)</f>
        <v>4.1121618081555962</v>
      </c>
      <c r="M38" s="31"/>
    </row>
    <row r="39" spans="1:13">
      <c r="A39" s="5"/>
      <c r="B39" s="79">
        <f>C103</f>
        <v>2.44475956514645</v>
      </c>
      <c r="C39" s="79">
        <f t="shared" ref="C39:C41" si="10">D103</f>
        <v>-0.85548399177677847</v>
      </c>
      <c r="D39" s="85">
        <f t="shared" ref="D39:D41" si="11">E103</f>
        <v>5.2896656816179721E-2</v>
      </c>
      <c r="E39" s="137"/>
      <c r="F39" s="68"/>
      <c r="G39" s="2"/>
      <c r="H39" s="66"/>
      <c r="I39" s="2"/>
      <c r="J39">
        <f>MCond(B35:D37)</f>
        <v>4.2243239500446652</v>
      </c>
      <c r="M39" s="31"/>
    </row>
    <row r="40" spans="1:13">
      <c r="A40" s="5" t="s">
        <v>131</v>
      </c>
      <c r="B40" s="79">
        <f t="shared" ref="B40:B41" si="12">C104</f>
        <v>1.4028471761352286</v>
      </c>
      <c r="C40" s="79">
        <f t="shared" si="10"/>
        <v>-0.814665459345566</v>
      </c>
      <c r="D40" s="85">
        <f t="shared" si="11"/>
        <v>-0.7195871750303805</v>
      </c>
      <c r="E40" s="138"/>
      <c r="F40" s="68"/>
      <c r="G40" s="139"/>
      <c r="H40" s="66"/>
      <c r="I40" s="139"/>
      <c r="J40">
        <f>MCond(B39:D41)</f>
        <v>8.2529665998791568</v>
      </c>
    </row>
    <row r="41" spans="1:13">
      <c r="A41" s="5"/>
      <c r="B41" s="79">
        <f t="shared" si="12"/>
        <v>2.8449497700634536</v>
      </c>
      <c r="C41" s="79">
        <f t="shared" si="10"/>
        <v>0.22852225552422287</v>
      </c>
      <c r="D41" s="85">
        <f t="shared" si="11"/>
        <v>6.9737163040410666E-2</v>
      </c>
      <c r="E41" s="137"/>
      <c r="F41" s="68"/>
      <c r="G41" s="2"/>
      <c r="H41" s="66"/>
      <c r="I41" s="2"/>
      <c r="J41">
        <f>MCond(B43:D45)</f>
        <v>6.5952649754803758</v>
      </c>
    </row>
    <row r="42" spans="1:13">
      <c r="A42" s="2"/>
      <c r="B42" s="79"/>
      <c r="C42" s="79"/>
      <c r="D42" s="79"/>
      <c r="E42" s="2"/>
      <c r="F42" s="68"/>
      <c r="G42" s="2"/>
      <c r="H42" s="66"/>
      <c r="I42" s="2"/>
      <c r="J42">
        <f>MCond(B47:D49)</f>
        <v>4.1121618081555971</v>
      </c>
    </row>
    <row r="43" spans="1:13">
      <c r="A43" s="5"/>
      <c r="B43" s="79">
        <f>C107</f>
        <v>-0.40019020491700363</v>
      </c>
      <c r="C43" s="79">
        <f t="shared" ref="C43:C45" si="13">D107</f>
        <v>-1.0840062473010013</v>
      </c>
      <c r="D43" s="85">
        <f t="shared" ref="D43:D45" si="14">E107</f>
        <v>-1.6840506224230944E-2</v>
      </c>
      <c r="E43" s="137"/>
      <c r="F43" s="68"/>
      <c r="G43" s="2"/>
      <c r="H43" s="66"/>
      <c r="I43" s="2"/>
    </row>
    <row r="44" spans="1:13">
      <c r="A44" s="5" t="s">
        <v>132</v>
      </c>
      <c r="B44" s="79">
        <f t="shared" ref="B44:B45" si="15">C108</f>
        <v>-2.8449497700634536</v>
      </c>
      <c r="C44" s="79">
        <f t="shared" si="13"/>
        <v>-0.22852225552422287</v>
      </c>
      <c r="D44" s="85">
        <f t="shared" si="14"/>
        <v>-6.9737163040410666E-2</v>
      </c>
      <c r="E44" s="138"/>
      <c r="F44" s="68"/>
      <c r="G44" s="139"/>
      <c r="H44" s="66"/>
      <c r="I44" s="139"/>
    </row>
    <row r="45" spans="1:13">
      <c r="A45" s="5"/>
      <c r="B45" s="79">
        <f t="shared" si="15"/>
        <v>-1.4421025939282253</v>
      </c>
      <c r="C45" s="79">
        <f t="shared" si="13"/>
        <v>-1.0431877148697888</v>
      </c>
      <c r="D45" s="85">
        <f t="shared" si="14"/>
        <v>-0.78932433807079116</v>
      </c>
      <c r="E45" s="137"/>
      <c r="F45" s="68"/>
      <c r="G45" s="2"/>
      <c r="H45" s="66"/>
      <c r="I45" s="2"/>
      <c r="J45" s="2"/>
    </row>
    <row r="46" spans="1:13" ht="14.25" customHeight="1">
      <c r="A46" s="2"/>
      <c r="B46" s="79"/>
      <c r="C46" s="79"/>
      <c r="D46" s="79"/>
      <c r="E46" s="2"/>
      <c r="F46" s="68"/>
      <c r="G46" s="2"/>
      <c r="H46" s="66"/>
      <c r="I46" s="2"/>
    </row>
    <row r="47" spans="1:13" ht="14.25" customHeight="1">
      <c r="A47" s="5"/>
      <c r="B47" s="145">
        <v>1.4421025939282253</v>
      </c>
      <c r="C47" s="145">
        <v>1.0431877148697888</v>
      </c>
      <c r="D47" s="145">
        <v>0.78932433807079116</v>
      </c>
      <c r="H47" s="66"/>
      <c r="I47" s="2"/>
    </row>
    <row r="48" spans="1:13" ht="14.25" customHeight="1">
      <c r="A48" s="5"/>
      <c r="B48" s="143">
        <v>1.0419123890112216</v>
      </c>
      <c r="C48" s="144">
        <v>-4.0818532431212473E-2</v>
      </c>
      <c r="D48" s="144">
        <v>0.77248383184656022</v>
      </c>
      <c r="E48" s="138"/>
      <c r="F48" s="68"/>
      <c r="G48" s="139"/>
      <c r="H48" s="66"/>
      <c r="I48" s="139"/>
    </row>
    <row r="49" spans="1:16">
      <c r="A49" s="5" t="s">
        <v>160</v>
      </c>
      <c r="B49" s="143">
        <v>-1.4028471761352286</v>
      </c>
      <c r="C49" s="144">
        <v>0.814665459345566</v>
      </c>
      <c r="D49" s="144">
        <v>0.7195871750303805</v>
      </c>
      <c r="E49" s="138"/>
      <c r="F49" s="68"/>
      <c r="G49" s="140"/>
      <c r="H49" s="66"/>
      <c r="I49" s="140"/>
      <c r="O49" s="35"/>
      <c r="P49" s="182"/>
    </row>
    <row r="50" spans="1:16">
      <c r="A50" s="5"/>
      <c r="B50" s="79"/>
      <c r="C50" s="79"/>
      <c r="D50" s="85"/>
      <c r="E50" s="137"/>
      <c r="F50" s="68"/>
      <c r="G50" s="2"/>
      <c r="H50" s="66"/>
      <c r="I50" s="2"/>
      <c r="O50" s="35"/>
      <c r="P50" s="182"/>
    </row>
    <row r="51" spans="1:16">
      <c r="A51" s="5"/>
      <c r="B51" s="79"/>
      <c r="C51" s="79"/>
      <c r="D51" s="85"/>
      <c r="E51" s="2"/>
      <c r="F51" s="68"/>
      <c r="G51" s="2"/>
      <c r="H51" s="66"/>
      <c r="I51" s="2"/>
      <c r="O51" s="35"/>
      <c r="P51" s="182"/>
    </row>
    <row r="52" spans="1:16">
      <c r="A52" s="2"/>
      <c r="B52" s="79"/>
      <c r="C52" s="79"/>
      <c r="D52" s="79"/>
      <c r="E52" s="2"/>
      <c r="F52" s="68"/>
      <c r="G52" s="2"/>
      <c r="H52" s="66"/>
      <c r="O52" s="35"/>
      <c r="P52" s="182"/>
    </row>
    <row r="53" spans="1:16">
      <c r="D53" s="84" t="s">
        <v>135</v>
      </c>
      <c r="E53" s="84" t="s">
        <v>136</v>
      </c>
      <c r="F53" s="84" t="s">
        <v>137</v>
      </c>
      <c r="G53" s="84" t="s">
        <v>138</v>
      </c>
      <c r="H53" s="141" t="s">
        <v>161</v>
      </c>
      <c r="I53" s="131" t="s">
        <v>139</v>
      </c>
      <c r="J53" s="69" t="s">
        <v>139</v>
      </c>
      <c r="K53" s="69" t="s">
        <v>139</v>
      </c>
      <c r="O53" s="35"/>
      <c r="P53" s="182"/>
    </row>
    <row r="54" spans="1:16">
      <c r="B54" t="s">
        <v>92</v>
      </c>
      <c r="D54" s="37">
        <f t="array" ref="D54:D56">MMULT($B$31:$D$33,D$26:D$28)</f>
        <v>-0.25218944047983183</v>
      </c>
      <c r="E54" s="109">
        <f t="array" ref="E54:E56">MMULT($B$35:$D$37,E$26:E$28)</f>
        <v>3.1902472140447002E-2</v>
      </c>
      <c r="F54" s="109">
        <f t="array" ref="F54:F56">MMULT($B$39:$D$41,F$26:F$28)</f>
        <v>-0.86152202067346784</v>
      </c>
      <c r="G54" s="109">
        <f t="array" ref="G54:G56">MMULT($B$43:$D$45,G$26:G$28)</f>
        <v>0.57223130360422403</v>
      </c>
      <c r="H54" s="109">
        <f t="array" ref="H54:H56">MMULT($B$47:$D$49,H$26:H$28)</f>
        <v>-0.46634379474806542</v>
      </c>
      <c r="I54" s="71" t="e">
        <f>INDEX(MMULT($B$31:$D$33,I$26:I$28),ROW(#REF!))</f>
        <v>#REF!</v>
      </c>
      <c r="J54" s="71" t="e">
        <f>INDEX(MMULT($B$31:$D$33,J$26:J$28),ROW(#REF!))</f>
        <v>#REF!</v>
      </c>
      <c r="K54" s="71" t="e">
        <f>INDEX(MMULT($B$31:$D$33,K$26:K$28),ROW(#REF!))</f>
        <v>#REF!</v>
      </c>
      <c r="O54" s="35"/>
      <c r="P54" s="182"/>
    </row>
    <row r="55" spans="1:16">
      <c r="B55" t="s">
        <v>93</v>
      </c>
      <c r="D55" s="37">
        <v>-0.50983671635016248</v>
      </c>
      <c r="E55" s="109">
        <v>1.0022517694731057</v>
      </c>
      <c r="F55" s="109">
        <v>-1.1132992000242821</v>
      </c>
      <c r="G55" s="109">
        <v>1.6387675513669229</v>
      </c>
      <c r="H55" s="109">
        <v>-0.20231458589078444</v>
      </c>
      <c r="I55" s="71">
        <f t="shared" ref="I55:K56" si="16">INDEX(MMULT($B$31:$D$33,I$26:I$28),ROW($A1))</f>
        <v>-0.76474337943000381</v>
      </c>
      <c r="J55" s="71">
        <f t="shared" si="16"/>
        <v>-0.18373655926605126</v>
      </c>
      <c r="K55" s="71">
        <f t="shared" si="16"/>
        <v>-8.9335879036617633E-2</v>
      </c>
      <c r="O55" s="35"/>
    </row>
    <row r="56" spans="1:16">
      <c r="B56" t="s">
        <v>94</v>
      </c>
      <c r="D56" s="37">
        <v>0.30671530821772464</v>
      </c>
      <c r="E56" s="109">
        <v>0.17339211165204835</v>
      </c>
      <c r="F56" s="109">
        <v>-0.46181497284079492</v>
      </c>
      <c r="G56" s="109">
        <v>0.91191225237745166</v>
      </c>
      <c r="H56" s="109">
        <v>-0.31508265932329882</v>
      </c>
      <c r="I56" s="71">
        <f t="shared" si="16"/>
        <v>0.85159074406752489</v>
      </c>
      <c r="J56" s="71">
        <f t="shared" si="16"/>
        <v>-0.47061926565100198</v>
      </c>
      <c r="K56" s="71">
        <f t="shared" si="16"/>
        <v>-1.3604154940728003E-2</v>
      </c>
      <c r="O56" s="35"/>
    </row>
    <row r="57" spans="1:16">
      <c r="B57" t="s">
        <v>95</v>
      </c>
      <c r="D57" s="127">
        <f>(D$66-D$54)^2+(D$67-D$55)^2+(D$68-D$56)^2</f>
        <v>5.3358856733612043</v>
      </c>
      <c r="E57" s="127">
        <f>(E$66-E$54)^2+(E$67-E$55)^2+(E$68-E$56)^2</f>
        <v>6.345309083373456</v>
      </c>
      <c r="F57" s="127">
        <f>(F$66-F$54)^2+(F$67-F$55)^2+(F$68-F$56)^2</f>
        <v>48.81313785211924</v>
      </c>
      <c r="G57" s="127">
        <f>(G$66-G$54)^2+(G$67-G$55)^2+(G$68-G$56)^2</f>
        <v>6.9643715730644873</v>
      </c>
      <c r="H57" s="127">
        <f>(H$66-H$54)^2+(H$67-H$55)^2+(H$68-H$56)^2</f>
        <v>7.2008793513636942</v>
      </c>
      <c r="I57" s="128" t="e">
        <f t="shared" ref="I57:K57" si="17">(I$54-I$66)^2+(I$55-I$67)^2+(I$56-I$68)^2</f>
        <v>#REF!</v>
      </c>
      <c r="J57" s="128" t="e">
        <f t="shared" si="17"/>
        <v>#REF!</v>
      </c>
      <c r="K57" s="128" t="e">
        <f t="shared" si="17"/>
        <v>#REF!</v>
      </c>
    </row>
    <row r="58" spans="1:16">
      <c r="D58" s="31"/>
      <c r="E58" s="31"/>
      <c r="F58" s="2"/>
      <c r="G58" s="2"/>
      <c r="H58" s="2"/>
    </row>
    <row r="59" spans="1:16">
      <c r="D59" s="31"/>
      <c r="E59" s="31"/>
      <c r="F59" s="2"/>
      <c r="G59" s="2"/>
      <c r="H59" s="2"/>
    </row>
    <row r="60" spans="1:16" ht="18.75">
      <c r="B60" s="56" t="s">
        <v>87</v>
      </c>
      <c r="C60" s="57"/>
      <c r="D60" s="80">
        <f>A_1*($D$22^2-D23^2)</f>
        <v>-1.1518509240279211E-3</v>
      </c>
      <c r="E60" s="80">
        <f>A_1*($E$22^2-E23^2)</f>
        <v>3.2557491720277881E-4</v>
      </c>
      <c r="F60" s="80">
        <f t="shared" ref="F60:K62" si="18">A_1*(F$22^2-F23^2)</f>
        <v>-7.8595057144217103E-4</v>
      </c>
      <c r="G60" s="80">
        <f t="shared" si="18"/>
        <v>8.8768935245471439E-4</v>
      </c>
      <c r="H60" s="80">
        <f t="shared" si="18"/>
        <v>-6.7948233540422358E-3</v>
      </c>
      <c r="I60" s="80">
        <f t="shared" si="18"/>
        <v>-1.5471022283058296E-3</v>
      </c>
      <c r="J60" s="80">
        <f t="shared" si="18"/>
        <v>6.4573252454472587E-3</v>
      </c>
      <c r="K60" s="80">
        <f t="shared" si="18"/>
        <v>3.912565672359483E-3</v>
      </c>
      <c r="L60" s="192" t="s">
        <v>96</v>
      </c>
    </row>
    <row r="61" spans="1:16" ht="18.75">
      <c r="B61" s="56" t="s">
        <v>88</v>
      </c>
      <c r="C61" s="57"/>
      <c r="D61" s="80">
        <f>A_1*($D$22^2-D24^2)</f>
        <v>1.326088749173676E-4</v>
      </c>
      <c r="E61" s="80">
        <f>A_1*($E$22^2-E24^2)</f>
        <v>8.9106480585956073E-4</v>
      </c>
      <c r="F61" s="80">
        <f t="shared" si="18"/>
        <v>4.1788000203061967E-5</v>
      </c>
      <c r="G61" s="80">
        <f t="shared" si="18"/>
        <v>3.4871339972541815E-3</v>
      </c>
      <c r="H61" s="80">
        <f t="shared" si="18"/>
        <v>-2.8850361979461224E-4</v>
      </c>
      <c r="I61" s="80">
        <f t="shared" si="18"/>
        <v>3.6755585018678511E-4</v>
      </c>
      <c r="J61" s="80">
        <f t="shared" si="18"/>
        <v>8.9904236872791563E-3</v>
      </c>
      <c r="K61" s="80">
        <f t="shared" si="18"/>
        <v>5.7519295123010725E-3</v>
      </c>
      <c r="L61" s="192"/>
    </row>
    <row r="62" spans="1:16" ht="18.75">
      <c r="B62" s="56" t="s">
        <v>89</v>
      </c>
      <c r="C62" s="57"/>
      <c r="D62" s="80">
        <f>A_1*($D$22^2-D25^2)</f>
        <v>-2.0551359025027251E-4</v>
      </c>
      <c r="E62" s="80">
        <f>A_1*($E$22^2-E25^2)</f>
        <v>3.2163074718713014E-3</v>
      </c>
      <c r="F62" s="80">
        <f t="shared" si="18"/>
        <v>4.3503180673801282E-4</v>
      </c>
      <c r="G62" s="80">
        <f t="shared" si="18"/>
        <v>6.2539624858015466E-3</v>
      </c>
      <c r="H62" s="80">
        <f t="shared" si="18"/>
        <v>-5.7837879196099163E-3</v>
      </c>
      <c r="I62" s="80">
        <f t="shared" si="18"/>
        <v>-5.0427636027786217E-3</v>
      </c>
      <c r="J62" s="80">
        <f t="shared" si="18"/>
        <v>1.0903397700944666E-2</v>
      </c>
      <c r="K62" s="80">
        <f t="shared" si="18"/>
        <v>3.2414402963193856E-3</v>
      </c>
      <c r="L62" s="192"/>
    </row>
    <row r="63" spans="1:16">
      <c r="B63" s="56" t="s">
        <v>86</v>
      </c>
      <c r="C63" s="58"/>
      <c r="D63" s="80">
        <f>A_2*(T_0*$D$22-T_2*D23)</f>
        <v>1.6369740950406006E-3</v>
      </c>
      <c r="E63" s="80">
        <f>A_2*(T_2*$E$22-T_0*E23)</f>
        <v>-0.11617498123027813</v>
      </c>
      <c r="F63" s="80">
        <f>A_2*(T_3*F$22-T_2*F23)</f>
        <v>1.3133213892015471E-2</v>
      </c>
      <c r="G63" s="80">
        <f>A_2*(T_4*G$22-T_2*G23)</f>
        <v>-9.5754817192697864E-3</v>
      </c>
      <c r="H63" s="80">
        <f>A_2*(T_0*H$22-T_4*H23)</f>
        <v>-2.9494236897189694E-2</v>
      </c>
      <c r="I63" s="80">
        <f t="shared" ref="I63:K65" si="19">A_2*(THETA_0*I$22-THETA_1*I23)</f>
        <v>0</v>
      </c>
      <c r="J63" s="80">
        <f t="shared" si="19"/>
        <v>0</v>
      </c>
      <c r="K63" s="80">
        <f t="shared" si="19"/>
        <v>0</v>
      </c>
      <c r="L63" s="192"/>
    </row>
    <row r="64" spans="1:16">
      <c r="B64" s="56" t="s">
        <v>91</v>
      </c>
      <c r="C64" s="58" t="s">
        <v>27</v>
      </c>
      <c r="D64" s="80">
        <f>A_2*(T_0*$D$22-T_3*D24)</f>
        <v>-1.4596828165842946E-2</v>
      </c>
      <c r="E64" s="80">
        <f>A_2*(T_2*$E$22-T_3*E24)</f>
        <v>-4.5325505236235901E-2</v>
      </c>
      <c r="F64" s="80">
        <f>A_2*(T_3*F$22-T_0*F24)</f>
        <v>2.0683947638341249E-2</v>
      </c>
      <c r="G64" s="80">
        <f>A_2*(T_4*G$22-T_3*G24)</f>
        <v>-3.5629839387593475E-2</v>
      </c>
      <c r="H64" s="80">
        <f>A_2*(T_0*H$22-T_2*H24)</f>
        <v>2.8336357053228831E-2</v>
      </c>
      <c r="I64" s="80">
        <f t="shared" si="19"/>
        <v>0</v>
      </c>
      <c r="J64" s="80">
        <f t="shared" si="19"/>
        <v>0</v>
      </c>
      <c r="K64" s="80">
        <f t="shared" si="19"/>
        <v>0</v>
      </c>
      <c r="L64" s="192"/>
    </row>
    <row r="65" spans="1:12">
      <c r="B65" s="56" t="s">
        <v>90</v>
      </c>
      <c r="C65" s="58"/>
      <c r="D65" s="80">
        <f>A_2*(T_0*$D$22-T_4*D25)</f>
        <v>-4.7559002274258511E-3</v>
      </c>
      <c r="E65" s="80">
        <f>A_2*(T_2*$E$22-T_4*E25)</f>
        <v>-9.6077150214841141E-3</v>
      </c>
      <c r="F65" s="80">
        <f>A_2*(T_3*F$22-T_4*F25)</f>
        <v>-6.8212439956062895E-3</v>
      </c>
      <c r="G65" s="80">
        <f>A_2*(T_4*G$22-T_0*G25)</f>
        <v>-3.0849915720731397E-2</v>
      </c>
      <c r="H65" s="80">
        <f>A_2*(T_0*H$22-T_3*H25)</f>
        <v>4.1882875514554895E-3</v>
      </c>
      <c r="I65" s="80">
        <f t="shared" si="19"/>
        <v>0</v>
      </c>
      <c r="J65" s="80">
        <f t="shared" si="19"/>
        <v>0</v>
      </c>
      <c r="K65" s="80">
        <f t="shared" si="19"/>
        <v>0</v>
      </c>
      <c r="L65" s="192"/>
    </row>
    <row r="66" spans="1:12">
      <c r="B66" t="s">
        <v>45</v>
      </c>
      <c r="C66" s="2"/>
      <c r="D66" s="55">
        <f t="shared" ref="D66:G67" si="20">D12+D60+D63-J12</f>
        <v>0.54741136333427742</v>
      </c>
      <c r="E66" s="55">
        <f t="shared" si="20"/>
        <v>1.0212032029529134</v>
      </c>
      <c r="F66" s="55">
        <f t="shared" si="20"/>
        <v>3.4174408601511823</v>
      </c>
      <c r="G66" s="55">
        <f t="shared" si="20"/>
        <v>0.63688045524185688</v>
      </c>
      <c r="H66" s="142">
        <f>H12+H60+H63-$N$12</f>
        <v>1.5862988863335652</v>
      </c>
      <c r="I66" s="72">
        <f t="shared" ref="I66:K66" si="21">$D$7+$G$7+I60+I63</f>
        <v>-1.5471022283058296E-3</v>
      </c>
      <c r="J66" s="72">
        <f t="shared" si="21"/>
        <v>6.4573252454472587E-3</v>
      </c>
      <c r="K66" s="72">
        <f t="shared" si="21"/>
        <v>3.912565672359483E-3</v>
      </c>
      <c r="L66" s="192"/>
    </row>
    <row r="67" spans="1:12">
      <c r="B67" t="s">
        <v>43</v>
      </c>
      <c r="D67" s="55">
        <f t="shared" si="20"/>
        <v>1.2158619796137178</v>
      </c>
      <c r="E67" s="55">
        <f t="shared" si="20"/>
        <v>3.2619722106027327</v>
      </c>
      <c r="F67" s="55">
        <f t="shared" si="20"/>
        <v>1.9398652494434114</v>
      </c>
      <c r="G67" s="55">
        <f t="shared" si="20"/>
        <v>3.971741839526532</v>
      </c>
      <c r="H67" s="142">
        <f>H13+H61+H64-$N$13</f>
        <v>0.57497409359669893</v>
      </c>
      <c r="I67" s="72">
        <f t="shared" ref="I67:K68" si="22">$D$7+$G$7+I61+I64</f>
        <v>3.6755585018678511E-4</v>
      </c>
      <c r="J67" s="72">
        <f t="shared" si="22"/>
        <v>8.9904236872791563E-3</v>
      </c>
      <c r="K67" s="72">
        <f t="shared" si="22"/>
        <v>5.7519295123010725E-3</v>
      </c>
      <c r="L67" s="192"/>
    </row>
    <row r="68" spans="1:12">
      <c r="B68" t="s">
        <v>42</v>
      </c>
      <c r="C68" s="2"/>
      <c r="D68" s="55">
        <f t="shared" ref="D68" si="23">D14+D62+D65-J14</f>
        <v>1.6176265327671211</v>
      </c>
      <c r="E68" s="55">
        <f>E14+E62+E65-K14</f>
        <v>0.68354569179071667</v>
      </c>
      <c r="F68" s="55">
        <f>F14+F62+F65-L14</f>
        <v>4.1405541302571605</v>
      </c>
      <c r="G68" s="55">
        <f>G14+G62+G65-M14</f>
        <v>2.1437495107209337</v>
      </c>
      <c r="H68" s="142">
        <f>H14+H62+H65-$N$14</f>
        <v>1.2287306985364888</v>
      </c>
      <c r="I68" s="72">
        <f t="shared" si="22"/>
        <v>-5.0427636027786217E-3</v>
      </c>
      <c r="J68" s="72">
        <f t="shared" si="22"/>
        <v>1.0903397700944666E-2</v>
      </c>
      <c r="K68" s="72">
        <f t="shared" si="22"/>
        <v>3.2414402963193856E-3</v>
      </c>
      <c r="L68" s="192"/>
    </row>
    <row r="69" spans="1:12">
      <c r="C69" s="2"/>
      <c r="D69" s="2"/>
      <c r="E69" s="2"/>
      <c r="F69" s="2"/>
      <c r="G69" s="2"/>
      <c r="H69" s="2"/>
      <c r="I69" s="2"/>
      <c r="J69" s="2"/>
      <c r="K69" s="2"/>
    </row>
    <row r="70" spans="1:12">
      <c r="A70" s="185" t="s">
        <v>62</v>
      </c>
      <c r="B70" s="185"/>
      <c r="C70" s="185"/>
      <c r="D70" s="185"/>
      <c r="E70" s="185"/>
      <c r="F70" s="185"/>
      <c r="G70" s="185"/>
      <c r="H70" s="185"/>
      <c r="I70" s="185"/>
      <c r="J70" s="185"/>
      <c r="K70" s="185"/>
    </row>
    <row r="71" spans="1:12">
      <c r="B71" t="s">
        <v>53</v>
      </c>
      <c r="C71" s="2"/>
      <c r="D71" s="35">
        <v>0</v>
      </c>
      <c r="E71" s="35">
        <v>0</v>
      </c>
      <c r="F71" s="35">
        <v>0</v>
      </c>
      <c r="G71" s="35">
        <v>0</v>
      </c>
      <c r="H71" s="2"/>
      <c r="I71" s="2"/>
      <c r="J71" s="2"/>
      <c r="K71" s="2"/>
    </row>
    <row r="72" spans="1:12">
      <c r="B72" t="s">
        <v>54</v>
      </c>
      <c r="C72" s="2" t="s">
        <v>27</v>
      </c>
      <c r="D72" s="35">
        <v>0</v>
      </c>
      <c r="E72" s="35">
        <v>0</v>
      </c>
      <c r="F72" s="35">
        <v>0</v>
      </c>
      <c r="G72" s="35">
        <v>0</v>
      </c>
      <c r="H72" s="2"/>
      <c r="I72" s="2"/>
      <c r="J72" s="2"/>
      <c r="K72" s="2"/>
    </row>
    <row r="73" spans="1:12">
      <c r="B73" t="s">
        <v>55</v>
      </c>
      <c r="C73" s="2"/>
      <c r="D73" s="35">
        <v>0</v>
      </c>
      <c r="E73" s="35">
        <v>0</v>
      </c>
      <c r="F73" s="35">
        <v>0</v>
      </c>
      <c r="G73" s="35">
        <v>0</v>
      </c>
      <c r="H73" s="2"/>
      <c r="I73" s="2"/>
      <c r="J73" s="2"/>
      <c r="K73" s="2"/>
    </row>
    <row r="74" spans="1:12">
      <c r="C74" s="2"/>
      <c r="D74" s="2"/>
      <c r="E74" s="2"/>
      <c r="F74" s="2"/>
      <c r="G74" s="2"/>
      <c r="H74" s="2"/>
      <c r="I74" s="2"/>
      <c r="J74" s="2"/>
      <c r="K74" s="2"/>
    </row>
    <row r="75" spans="1:12">
      <c r="A75" s="185" t="s">
        <v>64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</row>
    <row r="76" spans="1:12">
      <c r="A76" s="23"/>
      <c r="B76" s="21"/>
      <c r="C76" s="21"/>
      <c r="D76" s="12">
        <v>0</v>
      </c>
      <c r="E76" s="103">
        <v>2</v>
      </c>
      <c r="F76" s="103">
        <v>3</v>
      </c>
      <c r="G76" s="103">
        <v>4</v>
      </c>
      <c r="H76" s="103">
        <v>0</v>
      </c>
      <c r="I76" s="69">
        <v>6</v>
      </c>
      <c r="J76" s="69">
        <v>7</v>
      </c>
      <c r="K76" s="69">
        <v>8</v>
      </c>
    </row>
    <row r="77" spans="1:12">
      <c r="B77" s="26" t="s">
        <v>59</v>
      </c>
      <c r="C77" s="26"/>
      <c r="D77" s="32">
        <f>D26+D71</f>
        <v>0.26909749872322997</v>
      </c>
      <c r="E77" s="32">
        <f t="shared" ref="E77:G77" si="24">E26+E71</f>
        <v>-0.32329950295069954</v>
      </c>
      <c r="F77" s="32">
        <f t="shared" si="24"/>
        <v>-0.21307158337873422</v>
      </c>
      <c r="G77" s="32">
        <f t="shared" si="24"/>
        <v>-0.55698710725064093</v>
      </c>
      <c r="H77" s="104">
        <f>H26+$D$71</f>
        <v>-2.8998600091432625E-2</v>
      </c>
      <c r="I77" s="73">
        <f t="shared" ref="H77:K79" si="25">I26+$D$71</f>
        <v>-0.64147819789622496</v>
      </c>
      <c r="J77" s="73">
        <f t="shared" si="25"/>
        <v>-2.6436636559469484E-2</v>
      </c>
      <c r="K77" s="73">
        <f t="shared" si="25"/>
        <v>-1.0305960682470916E-2</v>
      </c>
    </row>
    <row r="78" spans="1:12">
      <c r="B78" s="26" t="s">
        <v>60</v>
      </c>
      <c r="C78" s="26" t="s">
        <v>27</v>
      </c>
      <c r="D78" s="32">
        <f t="shared" ref="D78:D79" si="26">D27+D72</f>
        <v>0.42660742852797373</v>
      </c>
      <c r="E78" s="32">
        <f t="shared" ref="E78:G78" si="27">E27+E72</f>
        <v>0.27295278392914279</v>
      </c>
      <c r="F78" s="32">
        <f t="shared" si="27"/>
        <v>0.43750512104016237</v>
      </c>
      <c r="G78" s="32">
        <f t="shared" si="27"/>
        <v>-0.32683020545059871</v>
      </c>
      <c r="H78" s="104">
        <f t="shared" si="25"/>
        <v>-0.22921308143989605</v>
      </c>
      <c r="I78" s="73">
        <f t="shared" si="25"/>
        <v>4.8639647915487139E-2</v>
      </c>
      <c r="J78" s="73">
        <f t="shared" si="25"/>
        <v>-0.42478485919807984</v>
      </c>
      <c r="K78" s="73">
        <f t="shared" si="25"/>
        <v>5.2954891334215048E-2</v>
      </c>
    </row>
    <row r="79" spans="1:12">
      <c r="B79" s="26" t="s">
        <v>61</v>
      </c>
      <c r="C79" s="26"/>
      <c r="D79" s="32">
        <f t="shared" si="26"/>
        <v>-0.66687734792235331</v>
      </c>
      <c r="E79" s="32">
        <f t="shared" ref="E79:G79" si="28">E28+E73</f>
        <v>0.40918502676292068</v>
      </c>
      <c r="F79" s="32">
        <f t="shared" si="28"/>
        <v>0.63643716350170698</v>
      </c>
      <c r="G79" s="32">
        <f t="shared" si="28"/>
        <v>0.29425870170859825</v>
      </c>
      <c r="H79" s="104">
        <f t="shared" si="25"/>
        <v>-0.23490035559216005</v>
      </c>
      <c r="I79" s="73">
        <f t="shared" si="25"/>
        <v>-0.12219530665103107</v>
      </c>
      <c r="J79" s="73">
        <f t="shared" si="25"/>
        <v>-0.2246402934383831</v>
      </c>
      <c r="K79" s="73">
        <f t="shared" si="25"/>
        <v>-9.8948905880472005E-2</v>
      </c>
    </row>
    <row r="80" spans="1:12"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9">
      <c r="A81" s="185" t="s">
        <v>67</v>
      </c>
      <c r="B81" s="185"/>
      <c r="C81" s="185"/>
      <c r="D81" s="185"/>
      <c r="E81" s="185"/>
      <c r="F81" s="185"/>
      <c r="G81" s="185"/>
      <c r="H81" s="185"/>
      <c r="I81" s="185"/>
      <c r="J81" s="185"/>
      <c r="K81" s="185"/>
    </row>
    <row r="82" spans="1:19">
      <c r="A82" t="s">
        <v>151</v>
      </c>
      <c r="B82" s="21"/>
      <c r="C82" s="21"/>
      <c r="D82" s="12">
        <v>0</v>
      </c>
      <c r="E82" s="103">
        <v>2</v>
      </c>
      <c r="F82" s="103">
        <v>3</v>
      </c>
      <c r="G82" s="103">
        <v>4</v>
      </c>
      <c r="H82" s="103">
        <v>0</v>
      </c>
      <c r="I82" s="69">
        <v>6</v>
      </c>
      <c r="J82" s="69">
        <v>7</v>
      </c>
      <c r="K82" s="69">
        <v>8</v>
      </c>
    </row>
    <row r="83" spans="1:19">
      <c r="B83" s="187" t="s">
        <v>71</v>
      </c>
      <c r="C83" s="187"/>
      <c r="D83" s="38">
        <v>1.155</v>
      </c>
      <c r="E83" s="38">
        <v>1.883</v>
      </c>
      <c r="F83" s="105">
        <v>2.105</v>
      </c>
      <c r="G83" s="105">
        <v>1.806</v>
      </c>
      <c r="H83" s="105">
        <v>1.155</v>
      </c>
      <c r="I83" s="74">
        <f>Messaufbau_Messdaten!O30</f>
        <v>1.851</v>
      </c>
      <c r="J83" s="74">
        <f>Messaufbau_Messdaten!P30</f>
        <v>2.0550000000000002</v>
      </c>
      <c r="K83" s="74">
        <f>Messaufbau_Messdaten!Q30</f>
        <v>1.5740000000000001</v>
      </c>
    </row>
    <row r="84" spans="1:19">
      <c r="B84" s="188" t="s">
        <v>70</v>
      </c>
      <c r="C84" s="188"/>
      <c r="D84" s="36">
        <f>SQRT(D77^2+D78^2+D79^2)</f>
        <v>0.83614159032205815</v>
      </c>
      <c r="E84" s="106">
        <f t="shared" ref="E84:K84" si="29">SQRT(E77^2+E78^2+E79^2)</f>
        <v>0.58860698007228118</v>
      </c>
      <c r="F84" s="106">
        <f t="shared" si="29"/>
        <v>0.80116321287611958</v>
      </c>
      <c r="G84" s="106">
        <f t="shared" si="29"/>
        <v>0.70967654911906686</v>
      </c>
      <c r="H84" s="106">
        <f t="shared" si="29"/>
        <v>0.32948100486637844</v>
      </c>
      <c r="I84" s="75">
        <f t="shared" si="29"/>
        <v>0.65482195037511559</v>
      </c>
      <c r="J84" s="75">
        <f t="shared" si="29"/>
        <v>0.48125287925641846</v>
      </c>
      <c r="K84" s="75">
        <f t="shared" si="29"/>
        <v>0.1127001300653627</v>
      </c>
    </row>
    <row r="85" spans="1:19">
      <c r="B85" s="188" t="s">
        <v>69</v>
      </c>
      <c r="C85" s="188"/>
      <c r="D85" s="36">
        <f>D84-D83</f>
        <v>-0.31885840967794188</v>
      </c>
      <c r="E85" s="106">
        <f t="shared" ref="E85:K85" si="30">E84-E83</f>
        <v>-1.2943930199277189</v>
      </c>
      <c r="F85" s="106">
        <f t="shared" si="30"/>
        <v>-1.3038367871238803</v>
      </c>
      <c r="G85" s="106">
        <f t="shared" si="30"/>
        <v>-1.0963234508809332</v>
      </c>
      <c r="H85" s="106">
        <f t="shared" si="30"/>
        <v>-0.82551899513362159</v>
      </c>
      <c r="I85" s="75">
        <f t="shared" si="30"/>
        <v>-1.1961780496248844</v>
      </c>
      <c r="J85" s="75">
        <f t="shared" si="30"/>
        <v>-1.5737471207435818</v>
      </c>
      <c r="K85" s="75">
        <f t="shared" si="30"/>
        <v>-1.4612998699346373</v>
      </c>
      <c r="L85" s="35"/>
      <c r="M85" s="35"/>
      <c r="N85" s="35"/>
      <c r="O85" s="35"/>
      <c r="P85" s="182"/>
      <c r="Q85" s="182"/>
      <c r="R85" s="182"/>
      <c r="S85" s="182"/>
    </row>
    <row r="86" spans="1:19">
      <c r="B86" s="189" t="s">
        <v>68</v>
      </c>
      <c r="C86" s="189"/>
      <c r="D86" s="39">
        <f>1-D83/D84</f>
        <v>-0.38134499392037968</v>
      </c>
      <c r="E86" s="107">
        <f t="shared" ref="E86:K86" si="31">1-E83/E84</f>
        <v>-2.1990786106015374</v>
      </c>
      <c r="F86" s="107">
        <f t="shared" si="31"/>
        <v>-1.6274296749637291</v>
      </c>
      <c r="G86" s="107">
        <f t="shared" si="31"/>
        <v>-1.5448213023832018</v>
      </c>
      <c r="H86" s="107">
        <f t="shared" si="31"/>
        <v>-2.5055131644642525</v>
      </c>
      <c r="I86" s="76">
        <f t="shared" si="31"/>
        <v>-1.8267225906823255</v>
      </c>
      <c r="J86" s="76">
        <f t="shared" si="31"/>
        <v>-3.2701043226487725</v>
      </c>
      <c r="K86" s="76">
        <f t="shared" si="31"/>
        <v>-12.966266046783861</v>
      </c>
      <c r="L86" s="35"/>
      <c r="M86" s="35"/>
      <c r="N86" s="35"/>
      <c r="O86" s="35"/>
      <c r="P86" s="182"/>
      <c r="Q86" s="182"/>
      <c r="R86" s="182"/>
      <c r="S86" s="182"/>
    </row>
    <row r="87" spans="1:19">
      <c r="D87">
        <f>D85*D85</f>
        <v>0.10167068542234622</v>
      </c>
      <c r="E87" s="108">
        <f t="shared" ref="E87:K87" si="32">E85*E85</f>
        <v>1.6754532900376002</v>
      </c>
      <c r="F87" s="108">
        <f t="shared" si="32"/>
        <v>1.6999903674575227</v>
      </c>
      <c r="G87" s="108">
        <f t="shared" si="32"/>
        <v>1.201925108951478</v>
      </c>
      <c r="H87" s="108">
        <f t="shared" si="32"/>
        <v>0.68148161132642437</v>
      </c>
      <c r="I87" s="77">
        <f t="shared" si="32"/>
        <v>1.4308419264043923</v>
      </c>
      <c r="J87" s="77">
        <f t="shared" si="32"/>
        <v>2.4766800000487139</v>
      </c>
      <c r="K87" s="77">
        <f t="shared" si="32"/>
        <v>2.1353973098709882</v>
      </c>
      <c r="L87" s="35"/>
      <c r="M87" s="35"/>
      <c r="N87" s="35"/>
      <c r="O87" s="35"/>
      <c r="P87" s="182"/>
      <c r="Q87" s="182"/>
      <c r="R87" s="182"/>
      <c r="S87" s="182"/>
    </row>
    <row r="88" spans="1:19" ht="15.75" thickBo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</row>
    <row r="89" spans="1:19" ht="15.75" thickTop="1">
      <c r="L89" s="35"/>
      <c r="M89" s="35"/>
      <c r="N89" s="35"/>
      <c r="O89" s="35"/>
      <c r="P89" s="182"/>
      <c r="Q89" s="182"/>
      <c r="R89" s="182"/>
      <c r="S89" s="182"/>
    </row>
    <row r="90" spans="1:19">
      <c r="C90">
        <v>1</v>
      </c>
      <c r="D90" s="82">
        <v>2</v>
      </c>
      <c r="E90">
        <v>3</v>
      </c>
      <c r="F90">
        <v>4</v>
      </c>
      <c r="G90">
        <v>5</v>
      </c>
      <c r="H90">
        <v>6</v>
      </c>
      <c r="I90" s="82">
        <v>7</v>
      </c>
      <c r="J90">
        <v>8</v>
      </c>
      <c r="K90" t="s">
        <v>78</v>
      </c>
      <c r="L90" s="16"/>
      <c r="M90" s="16"/>
      <c r="N90" s="16"/>
      <c r="O90" s="16"/>
      <c r="P90" s="180"/>
      <c r="Q90" s="180"/>
      <c r="R90" s="180"/>
      <c r="S90" s="180"/>
    </row>
    <row r="91" spans="1:19">
      <c r="A91" t="s">
        <v>113</v>
      </c>
      <c r="B91" t="s">
        <v>27</v>
      </c>
      <c r="C91" s="35">
        <v>0.47920829337661575</v>
      </c>
      <c r="D91" s="83">
        <v>-0.77466733619029227</v>
      </c>
      <c r="E91" s="35">
        <v>1.5211206823878374</v>
      </c>
      <c r="F91" s="35">
        <v>-0.92363888275861272</v>
      </c>
      <c r="G91" s="35">
        <v>1.921310887304841</v>
      </c>
      <c r="H91" s="35">
        <v>-0.55595022326781851</v>
      </c>
      <c r="I91" s="83">
        <v>1.0628801501210983</v>
      </c>
      <c r="J91" s="35">
        <v>0.45375044784821961</v>
      </c>
      <c r="L91" s="35"/>
      <c r="M91" s="35"/>
      <c r="N91" s="35"/>
      <c r="O91" s="35"/>
      <c r="P91" s="182"/>
      <c r="Q91" s="182"/>
      <c r="R91" s="182"/>
      <c r="S91" s="182"/>
    </row>
    <row r="92" spans="1:19">
      <c r="A92" t="s">
        <v>115</v>
      </c>
      <c r="B92" t="s">
        <v>27</v>
      </c>
      <c r="C92" s="35">
        <v>-1.0120183213662168</v>
      </c>
      <c r="D92" s="83">
        <v>-1.0446104874939868</v>
      </c>
      <c r="E92" s="35">
        <v>-1.0528368537974293</v>
      </c>
      <c r="F92" s="35">
        <v>-0.1973528620206508</v>
      </c>
      <c r="G92" s="35">
        <v>3.1169393503572059E-2</v>
      </c>
      <c r="H92" s="35">
        <v>1.0917266627558933</v>
      </c>
      <c r="I92" s="83">
        <v>1.0721321685048839</v>
      </c>
      <c r="J92" s="35">
        <v>1.354747525895555</v>
      </c>
      <c r="L92" s="35"/>
      <c r="M92" s="35"/>
      <c r="N92" s="35"/>
      <c r="O92" s="35"/>
      <c r="P92" s="182"/>
      <c r="Q92" s="182"/>
      <c r="R92" s="182"/>
      <c r="S92" s="182"/>
    </row>
    <row r="93" spans="1:19">
      <c r="A93" t="s">
        <v>116</v>
      </c>
      <c r="B93" t="s">
        <v>27</v>
      </c>
      <c r="C93" s="35">
        <v>0.60667574649490386</v>
      </c>
      <c r="D93" s="83">
        <v>1.3460223603321362</v>
      </c>
      <c r="E93" s="35">
        <v>1.3791595783414641</v>
      </c>
      <c r="F93" s="35">
        <v>1.3262629215252844</v>
      </c>
      <c r="G93" s="35">
        <v>1.396000084565695</v>
      </c>
      <c r="H93" s="35">
        <v>1.4358127591862397</v>
      </c>
      <c r="I93" s="83">
        <v>1.3583899668915187</v>
      </c>
      <c r="J93" s="35">
        <v>0.67035999999957208</v>
      </c>
      <c r="L93" s="35"/>
      <c r="M93" s="35"/>
      <c r="N93" s="35"/>
      <c r="O93" s="35"/>
      <c r="P93" s="182"/>
      <c r="Q93" s="182"/>
      <c r="R93" s="182"/>
      <c r="S93" s="182"/>
    </row>
    <row r="94" spans="1:19">
      <c r="E94" s="2"/>
      <c r="F94" s="2"/>
    </row>
    <row r="95" spans="1:19">
      <c r="B95" s="5"/>
      <c r="C95" s="79">
        <f>L$101-L$99</f>
        <v>1.0419123890112216</v>
      </c>
      <c r="D95" s="79">
        <f t="shared" ref="D95:E95" si="33">M$101-M$99</f>
        <v>-4.0818532431212473E-2</v>
      </c>
      <c r="E95" s="85">
        <f t="shared" si="33"/>
        <v>0.77248383184656022</v>
      </c>
      <c r="J95" s="79"/>
      <c r="K95" t="s">
        <v>128</v>
      </c>
      <c r="L95" s="35"/>
      <c r="M95" s="35"/>
      <c r="N95" s="35"/>
      <c r="O95" s="35"/>
      <c r="P95" s="182"/>
      <c r="Q95" s="182"/>
      <c r="R95" s="182"/>
      <c r="S95" s="182"/>
    </row>
    <row r="96" spans="1:19">
      <c r="A96" t="s">
        <v>133</v>
      </c>
      <c r="B96" s="5" t="s">
        <v>27</v>
      </c>
      <c r="C96" s="79">
        <f>L$102-L$99</f>
        <v>-1.4028471761352286</v>
      </c>
      <c r="D96" s="79">
        <f t="shared" ref="D96:E96" si="34">M$102-M$99</f>
        <v>0.814665459345566</v>
      </c>
      <c r="E96" s="85">
        <f t="shared" si="34"/>
        <v>0.7195871750303805</v>
      </c>
      <c r="J96" s="79"/>
    </row>
    <row r="97" spans="1:14">
      <c r="B97" s="5"/>
      <c r="C97" s="79">
        <f>L$103-L$99</f>
        <v>1.4421025939282253</v>
      </c>
      <c r="D97" s="79">
        <f t="shared" ref="D97:E97" si="35">M$103-M$99</f>
        <v>1.0431877148697888</v>
      </c>
      <c r="E97" s="85">
        <f t="shared" si="35"/>
        <v>0.78932433807079116</v>
      </c>
      <c r="J97" s="79"/>
    </row>
    <row r="98" spans="1:14">
      <c r="L98" t="s">
        <v>56</v>
      </c>
      <c r="M98" t="s">
        <v>57</v>
      </c>
      <c r="N98" t="s">
        <v>58</v>
      </c>
    </row>
    <row r="99" spans="1:14">
      <c r="B99" s="5"/>
      <c r="C99" s="79">
        <f>L$99-L$101</f>
        <v>-1.0419123890112216</v>
      </c>
      <c r="D99" s="79">
        <f>M$99-M$101</f>
        <v>4.0818532431212473E-2</v>
      </c>
      <c r="E99" s="85">
        <f t="shared" ref="E99" si="36">N$99-N$101</f>
        <v>-0.77248383184656022</v>
      </c>
      <c r="K99">
        <v>0</v>
      </c>
      <c r="L99" s="35">
        <v>0.47920829337661575</v>
      </c>
      <c r="M99" s="35">
        <v>-1.0120183213662168</v>
      </c>
      <c r="N99" s="35">
        <v>0.60667574649490386</v>
      </c>
    </row>
    <row r="100" spans="1:14">
      <c r="A100" t="s">
        <v>140</v>
      </c>
      <c r="B100" s="5" t="s">
        <v>27</v>
      </c>
      <c r="C100" s="79">
        <f>L$102-L$101</f>
        <v>-2.44475956514645</v>
      </c>
      <c r="D100" s="79">
        <f>M$102-M$101</f>
        <v>0.85548399177677847</v>
      </c>
      <c r="E100" s="85">
        <f>N$102-N$101</f>
        <v>-5.2896656816179721E-2</v>
      </c>
      <c r="K100">
        <v>1</v>
      </c>
      <c r="L100" s="83">
        <v>-0.77466733619029227</v>
      </c>
      <c r="M100" s="83">
        <v>-1.0446104874939868</v>
      </c>
      <c r="N100" s="83">
        <v>1.3460223603321362</v>
      </c>
    </row>
    <row r="101" spans="1:14">
      <c r="B101" s="5"/>
      <c r="C101" s="79">
        <f>L$103-L$101</f>
        <v>0.40019020491700363</v>
      </c>
      <c r="D101" s="79">
        <f>M$103-M$101</f>
        <v>1.0840062473010013</v>
      </c>
      <c r="E101" s="85">
        <f>N$103-N$101</f>
        <v>1.6840506224230944E-2</v>
      </c>
      <c r="K101">
        <v>2</v>
      </c>
      <c r="L101" s="35">
        <v>1.5211206823878374</v>
      </c>
      <c r="M101" s="35">
        <v>-1.0528368537974293</v>
      </c>
      <c r="N101" s="35">
        <v>1.3791595783414641</v>
      </c>
    </row>
    <row r="102" spans="1:14">
      <c r="K102">
        <v>3</v>
      </c>
      <c r="L102" s="35">
        <v>-0.92363888275861272</v>
      </c>
      <c r="M102" s="35">
        <v>-0.1973528620206508</v>
      </c>
      <c r="N102" s="35">
        <v>1.3262629215252844</v>
      </c>
    </row>
    <row r="103" spans="1:14">
      <c r="B103" s="5"/>
      <c r="C103" s="79">
        <f>L$101-L$102</f>
        <v>2.44475956514645</v>
      </c>
      <c r="D103" s="79">
        <f t="shared" ref="D103" si="37">M$101-M$102</f>
        <v>-0.85548399177677847</v>
      </c>
      <c r="E103" s="85">
        <f>N$101-N$102</f>
        <v>5.2896656816179721E-2</v>
      </c>
      <c r="K103">
        <v>4</v>
      </c>
      <c r="L103" s="35">
        <v>1.921310887304841</v>
      </c>
      <c r="M103" s="35">
        <v>3.1169393503572059E-2</v>
      </c>
      <c r="N103" s="35">
        <v>1.396000084565695</v>
      </c>
    </row>
    <row r="104" spans="1:14">
      <c r="A104" t="s">
        <v>141</v>
      </c>
      <c r="B104" s="5" t="s">
        <v>27</v>
      </c>
      <c r="C104" s="79">
        <f>L$99-L$102</f>
        <v>1.4028471761352286</v>
      </c>
      <c r="D104" s="79">
        <f>M$99-M$102</f>
        <v>-0.814665459345566</v>
      </c>
      <c r="E104" s="85">
        <f>N$99-N$102</f>
        <v>-0.7195871750303805</v>
      </c>
      <c r="K104">
        <v>5</v>
      </c>
      <c r="L104" s="35">
        <v>-0.55595022326781851</v>
      </c>
      <c r="M104" s="35">
        <v>1.0917266627558933</v>
      </c>
      <c r="N104" s="35">
        <v>1.4358127591862397</v>
      </c>
    </row>
    <row r="105" spans="1:14">
      <c r="B105" s="5"/>
      <c r="C105" s="79">
        <f>L$103-L$102</f>
        <v>2.8449497700634536</v>
      </c>
      <c r="D105" s="79">
        <f>M$103-M$102</f>
        <v>0.22852225552422287</v>
      </c>
      <c r="E105" s="85">
        <f>N$103-N$102</f>
        <v>6.9737163040410666E-2</v>
      </c>
      <c r="K105">
        <v>6</v>
      </c>
      <c r="L105" s="83">
        <v>1.0628801501210983</v>
      </c>
      <c r="M105" s="83">
        <v>1.0721321685048839</v>
      </c>
      <c r="N105" s="83">
        <v>1.3583899668915187</v>
      </c>
    </row>
    <row r="106" spans="1:14">
      <c r="K106">
        <v>7</v>
      </c>
      <c r="L106" s="35">
        <v>0.45375044784821961</v>
      </c>
      <c r="M106" s="35">
        <v>1.354747525895555</v>
      </c>
      <c r="N106" s="35">
        <v>0.67035999999957208</v>
      </c>
    </row>
    <row r="107" spans="1:14">
      <c r="B107" s="5"/>
      <c r="C107" s="79">
        <f>L$101-L$103</f>
        <v>-0.40019020491700363</v>
      </c>
      <c r="D107" s="79">
        <f t="shared" ref="D107" si="38">M$101-M$103</f>
        <v>-1.0840062473010013</v>
      </c>
      <c r="E107" s="85">
        <f>N$101-N$103</f>
        <v>-1.6840506224230944E-2</v>
      </c>
    </row>
    <row r="108" spans="1:14">
      <c r="A108" t="s">
        <v>142</v>
      </c>
      <c r="B108" s="5" t="s">
        <v>27</v>
      </c>
      <c r="C108" s="79">
        <f>L$102-L$103</f>
        <v>-2.8449497700634536</v>
      </c>
      <c r="D108" s="79">
        <f>M$102-M$103</f>
        <v>-0.22852225552422287</v>
      </c>
      <c r="E108" s="85">
        <f>N$102-N$103</f>
        <v>-6.9737163040410666E-2</v>
      </c>
    </row>
    <row r="109" spans="1:14">
      <c r="B109" s="5"/>
      <c r="C109" s="79">
        <f>L$99-L$103</f>
        <v>-1.4421025939282253</v>
      </c>
      <c r="D109" s="79">
        <f>M$99-M$103</f>
        <v>-1.0431877148697888</v>
      </c>
      <c r="E109" s="85">
        <f>N$99-N$103</f>
        <v>-0.78932433807079116</v>
      </c>
    </row>
    <row r="111" spans="1:14">
      <c r="B111" s="5"/>
      <c r="C111" s="79">
        <f>L$101-L$99</f>
        <v>1.0419123890112216</v>
      </c>
      <c r="D111" s="79">
        <f t="shared" ref="D111" si="39">M$101-M$99</f>
        <v>-4.0818532431212473E-2</v>
      </c>
      <c r="E111" s="85">
        <f>N$101-N$99</f>
        <v>0.77248383184656022</v>
      </c>
    </row>
    <row r="112" spans="1:14">
      <c r="B112" s="5"/>
      <c r="C112" s="79">
        <f>L$102-L$99</f>
        <v>-1.4028471761352286</v>
      </c>
      <c r="D112" s="79">
        <f t="shared" ref="D112" si="40">M$102-M$99</f>
        <v>0.814665459345566</v>
      </c>
      <c r="E112" s="85">
        <f>N$102-N$99</f>
        <v>0.7195871750303805</v>
      </c>
    </row>
    <row r="113" spans="1:13">
      <c r="A113" t="s">
        <v>134</v>
      </c>
      <c r="B113" s="5" t="s">
        <v>27</v>
      </c>
      <c r="C113" s="79">
        <f>L$103-L$99</f>
        <v>1.4421025939282253</v>
      </c>
      <c r="D113" s="79">
        <f t="shared" ref="D113" si="41">M$103-M$99</f>
        <v>1.0431877148697888</v>
      </c>
      <c r="E113" s="85">
        <f>N$103-N$99</f>
        <v>0.78932433807079116</v>
      </c>
    </row>
    <row r="114" spans="1:13">
      <c r="B114" s="5"/>
      <c r="C114" s="79">
        <f>L$104-L$99</f>
        <v>-1.0351585166444344</v>
      </c>
      <c r="D114" s="79">
        <f t="shared" ref="D114" si="42">M$104-M$99</f>
        <v>2.1037449841221099</v>
      </c>
      <c r="E114" s="85">
        <f>N$104-N$99</f>
        <v>0.82913701269133588</v>
      </c>
    </row>
    <row r="115" spans="1:13">
      <c r="B115" s="5"/>
      <c r="C115" s="79">
        <f>L$106-L$99</f>
        <v>-2.5457845528396139E-2</v>
      </c>
      <c r="D115" s="79">
        <f t="shared" ref="D115" si="43">M$106-M$99</f>
        <v>2.3667658472617719</v>
      </c>
      <c r="E115" s="85">
        <f>N$106-N$99</f>
        <v>6.368425350466822E-2</v>
      </c>
    </row>
    <row r="117" spans="1:13">
      <c r="A117" s="23" t="s">
        <v>143</v>
      </c>
    </row>
    <row r="118" spans="1:13">
      <c r="B118" s="92">
        <v>0</v>
      </c>
      <c r="C118" s="117">
        <v>1</v>
      </c>
      <c r="D118" s="93">
        <v>2</v>
      </c>
      <c r="E118" s="93">
        <v>3</v>
      </c>
      <c r="F118" s="93">
        <v>4</v>
      </c>
      <c r="G118" s="135">
        <v>5</v>
      </c>
      <c r="H118" s="120">
        <v>6</v>
      </c>
      <c r="I118" s="132">
        <v>7</v>
      </c>
    </row>
    <row r="119" spans="1:13">
      <c r="B119" s="94">
        <f>C91-$C91</f>
        <v>0</v>
      </c>
      <c r="C119" s="118">
        <f>D91-$C91</f>
        <v>-1.253875629566908</v>
      </c>
      <c r="D119" s="95">
        <f t="shared" ref="D119:I119" si="44">E91-$C91</f>
        <v>1.0419123890112216</v>
      </c>
      <c r="E119" s="95">
        <f t="shared" si="44"/>
        <v>-1.4028471761352286</v>
      </c>
      <c r="F119" s="95">
        <f t="shared" si="44"/>
        <v>1.4421025939282253</v>
      </c>
      <c r="G119" s="136">
        <f t="shared" si="44"/>
        <v>-1.0351585166444344</v>
      </c>
      <c r="H119" s="118">
        <f t="shared" si="44"/>
        <v>0.58367185674448252</v>
      </c>
      <c r="I119" s="133">
        <f t="shared" si="44"/>
        <v>-2.5457845528396139E-2</v>
      </c>
      <c r="K119" s="99" t="s">
        <v>147</v>
      </c>
    </row>
    <row r="120" spans="1:13">
      <c r="B120" s="94">
        <f t="shared" ref="B120:C120" si="45">C92-$C92</f>
        <v>0</v>
      </c>
      <c r="C120" s="118">
        <f t="shared" si="45"/>
        <v>-3.2592166127769939E-2</v>
      </c>
      <c r="D120" s="95">
        <f t="shared" ref="D120:I120" si="46">E92-$C92</f>
        <v>-4.0818532431212473E-2</v>
      </c>
      <c r="E120" s="95">
        <f t="shared" si="46"/>
        <v>0.814665459345566</v>
      </c>
      <c r="F120" s="95">
        <f t="shared" si="46"/>
        <v>1.0431877148697888</v>
      </c>
      <c r="G120" s="136">
        <f t="shared" si="46"/>
        <v>2.1037449841221099</v>
      </c>
      <c r="H120" s="121">
        <f t="shared" si="46"/>
        <v>2.0841504898711007</v>
      </c>
      <c r="I120" s="133">
        <f t="shared" si="46"/>
        <v>2.3667658472617719</v>
      </c>
      <c r="K120" s="100" t="s">
        <v>148</v>
      </c>
    </row>
    <row r="121" spans="1:13">
      <c r="B121" s="94">
        <f t="shared" ref="B121:C121" si="47">C93-$C93</f>
        <v>0</v>
      </c>
      <c r="C121" s="118">
        <f t="shared" si="47"/>
        <v>0.73934661383723232</v>
      </c>
      <c r="D121" s="95">
        <f t="shared" ref="D121:I121" si="48">E93-$C93</f>
        <v>0.77248383184656022</v>
      </c>
      <c r="E121" s="95">
        <f t="shared" si="48"/>
        <v>0.7195871750303805</v>
      </c>
      <c r="F121" s="95">
        <f t="shared" si="48"/>
        <v>0.78932433807079116</v>
      </c>
      <c r="G121" s="136">
        <f t="shared" si="48"/>
        <v>0.82913701269133588</v>
      </c>
      <c r="H121" s="118">
        <f t="shared" si="48"/>
        <v>0.75171422039661484</v>
      </c>
      <c r="I121" s="133">
        <f t="shared" si="48"/>
        <v>6.368425350466822E-2</v>
      </c>
      <c r="K121" s="101" t="s">
        <v>149</v>
      </c>
    </row>
    <row r="122" spans="1:13">
      <c r="C122" s="119"/>
      <c r="G122" s="124"/>
      <c r="H122" s="119"/>
      <c r="I122" s="124"/>
    </row>
    <row r="123" spans="1:13">
      <c r="A123" s="16" t="s">
        <v>128</v>
      </c>
      <c r="B123" s="96">
        <f>SQRT(B119^2+B120^2+B121^2)</f>
        <v>0</v>
      </c>
      <c r="C123" s="97">
        <f t="shared" ref="C123:I123" si="49">SQRT(C119^2+C120^2+C121^2)</f>
        <v>1.4559875545853034</v>
      </c>
      <c r="D123" s="98">
        <f t="shared" si="49"/>
        <v>1.2976821064610753</v>
      </c>
      <c r="E123" s="98">
        <f t="shared" si="49"/>
        <v>1.7746734101545305</v>
      </c>
      <c r="F123" s="98">
        <f t="shared" si="49"/>
        <v>1.9470319490292554</v>
      </c>
      <c r="G123" s="134">
        <f t="shared" si="49"/>
        <v>2.4869186353025614</v>
      </c>
      <c r="H123" s="97">
        <f t="shared" si="49"/>
        <v>2.2911635406343196</v>
      </c>
      <c r="I123" s="134">
        <f t="shared" si="49"/>
        <v>2.3677593547081863</v>
      </c>
    </row>
    <row r="124" spans="1:13">
      <c r="C124" s="119"/>
      <c r="G124" s="124"/>
      <c r="H124" s="119"/>
      <c r="I124" s="124"/>
    </row>
    <row r="125" spans="1:13">
      <c r="B125" s="93">
        <v>0</v>
      </c>
      <c r="C125" s="117">
        <v>1</v>
      </c>
      <c r="D125" s="92">
        <v>2</v>
      </c>
      <c r="E125" s="93">
        <v>3</v>
      </c>
      <c r="F125" s="93">
        <v>4</v>
      </c>
      <c r="G125" s="122">
        <v>5</v>
      </c>
      <c r="H125" s="117">
        <v>6</v>
      </c>
      <c r="I125" s="122">
        <v>7</v>
      </c>
    </row>
    <row r="126" spans="1:13">
      <c r="B126" s="95">
        <f>C91-$E91</f>
        <v>-1.0419123890112216</v>
      </c>
      <c r="C126" s="118">
        <f>D91-$E91</f>
        <v>-2.2957880185781296</v>
      </c>
      <c r="D126" s="94">
        <f t="shared" ref="D126:I126" si="50">E91-$E91</f>
        <v>0</v>
      </c>
      <c r="E126" s="95">
        <f t="shared" si="50"/>
        <v>-2.44475956514645</v>
      </c>
      <c r="F126" s="95">
        <f t="shared" si="50"/>
        <v>0.40019020491700363</v>
      </c>
      <c r="G126" s="123">
        <f t="shared" si="50"/>
        <v>-2.0770709056556558</v>
      </c>
      <c r="H126" s="118">
        <f t="shared" si="50"/>
        <v>-0.45824053226673911</v>
      </c>
      <c r="I126" s="123">
        <f t="shared" si="50"/>
        <v>-1.0673702345396179</v>
      </c>
    </row>
    <row r="127" spans="1:13">
      <c r="B127" s="95">
        <f t="shared" ref="B127:I127" si="51">C92-$E92</f>
        <v>4.0818532431212473E-2</v>
      </c>
      <c r="C127" s="118">
        <f t="shared" si="51"/>
        <v>8.2263663034425338E-3</v>
      </c>
      <c r="D127" s="94">
        <f t="shared" si="51"/>
        <v>0</v>
      </c>
      <c r="E127" s="95">
        <f t="shared" si="51"/>
        <v>0.85548399177677847</v>
      </c>
      <c r="F127" s="95">
        <f t="shared" si="51"/>
        <v>1.0840062473010013</v>
      </c>
      <c r="G127" s="123">
        <f t="shared" si="51"/>
        <v>2.1445635165533226</v>
      </c>
      <c r="H127" s="118">
        <f t="shared" si="51"/>
        <v>2.124969022302313</v>
      </c>
      <c r="I127" s="123">
        <f t="shared" si="51"/>
        <v>2.4075843796929846</v>
      </c>
    </row>
    <row r="128" spans="1:13">
      <c r="B128" s="95">
        <f t="shared" ref="B128:I128" si="52">C93-$E93</f>
        <v>-0.77248383184656022</v>
      </c>
      <c r="C128" s="118">
        <f t="shared" si="52"/>
        <v>-3.3137218009327896E-2</v>
      </c>
      <c r="D128" s="94">
        <f t="shared" si="52"/>
        <v>0</v>
      </c>
      <c r="E128" s="95">
        <f t="shared" si="52"/>
        <v>-5.2896656816179721E-2</v>
      </c>
      <c r="F128" s="95">
        <f t="shared" si="52"/>
        <v>1.6840506224230944E-2</v>
      </c>
      <c r="G128" s="123">
        <f t="shared" si="52"/>
        <v>5.6653180844775664E-2</v>
      </c>
      <c r="H128" s="118">
        <f t="shared" si="52"/>
        <v>-2.076961144994538E-2</v>
      </c>
      <c r="I128" s="123">
        <f t="shared" si="52"/>
        <v>-0.708799578341892</v>
      </c>
      <c r="L128" s="35"/>
      <c r="M128" s="35"/>
    </row>
    <row r="129" spans="1:13">
      <c r="C129" s="119"/>
      <c r="G129" s="124"/>
      <c r="H129" s="119"/>
      <c r="I129" s="124"/>
      <c r="L129" s="35"/>
      <c r="M129" s="35"/>
    </row>
    <row r="130" spans="1:13">
      <c r="A130" s="16" t="s">
        <v>144</v>
      </c>
      <c r="B130" s="98">
        <f>SQRT(B126^2+B127^2+B128^2)</f>
        <v>1.2976821064610753</v>
      </c>
      <c r="C130" s="97">
        <f t="shared" ref="C130:I130" si="53">SQRT(C126^2+C127^2+C128^2)</f>
        <v>2.2960418930339337</v>
      </c>
      <c r="D130" s="96">
        <f t="shared" si="53"/>
        <v>0</v>
      </c>
      <c r="E130" s="98">
        <f t="shared" si="53"/>
        <v>2.5906563353451029</v>
      </c>
      <c r="F130" s="98">
        <f t="shared" si="53"/>
        <v>1.1556406651502886</v>
      </c>
      <c r="G130" s="134">
        <f t="shared" si="53"/>
        <v>2.9860652716497325</v>
      </c>
      <c r="H130" s="97">
        <f t="shared" si="53"/>
        <v>2.1739156165583644</v>
      </c>
      <c r="I130" s="134">
        <f t="shared" si="53"/>
        <v>2.7272951078276177</v>
      </c>
      <c r="L130" s="35"/>
      <c r="M130" s="35"/>
    </row>
    <row r="131" spans="1:13">
      <c r="C131" s="124"/>
      <c r="G131" s="124"/>
      <c r="H131" s="119"/>
      <c r="I131" s="124"/>
    </row>
    <row r="132" spans="1:13">
      <c r="B132" s="93">
        <v>0</v>
      </c>
      <c r="C132" s="117">
        <v>1</v>
      </c>
      <c r="D132" s="93">
        <v>2</v>
      </c>
      <c r="E132" s="92">
        <v>3</v>
      </c>
      <c r="F132" s="93">
        <v>4</v>
      </c>
      <c r="G132" s="122">
        <v>5</v>
      </c>
      <c r="H132" s="117">
        <v>6</v>
      </c>
      <c r="I132" s="122">
        <v>7</v>
      </c>
    </row>
    <row r="133" spans="1:13">
      <c r="B133" s="95">
        <f t="shared" ref="B133" si="54">C91-$F91</f>
        <v>1.4028471761352286</v>
      </c>
      <c r="C133" s="118">
        <f>D91-$F91</f>
        <v>0.14897154656832046</v>
      </c>
      <c r="D133" s="95">
        <f t="shared" ref="D133:I133" si="55">E91-$F91</f>
        <v>2.44475956514645</v>
      </c>
      <c r="E133" s="94">
        <f t="shared" si="55"/>
        <v>0</v>
      </c>
      <c r="F133" s="95">
        <f t="shared" si="55"/>
        <v>2.8449497700634536</v>
      </c>
      <c r="G133" s="123">
        <f t="shared" si="55"/>
        <v>0.36768865949079421</v>
      </c>
      <c r="H133" s="118">
        <f t="shared" si="55"/>
        <v>1.9865190328797109</v>
      </c>
      <c r="I133" s="123">
        <f t="shared" si="55"/>
        <v>1.3773893306068323</v>
      </c>
    </row>
    <row r="134" spans="1:13">
      <c r="B134" s="95">
        <f t="shared" ref="B134" si="56">C92-$F92</f>
        <v>-0.814665459345566</v>
      </c>
      <c r="C134" s="118">
        <f t="shared" ref="C134:I134" si="57">D92-$F92</f>
        <v>-0.84725762547333594</v>
      </c>
      <c r="D134" s="95">
        <f t="shared" si="57"/>
        <v>-0.85548399177677847</v>
      </c>
      <c r="E134" s="94">
        <f t="shared" si="57"/>
        <v>0</v>
      </c>
      <c r="F134" s="95">
        <f t="shared" si="57"/>
        <v>0.22852225552422287</v>
      </c>
      <c r="G134" s="123">
        <f t="shared" si="57"/>
        <v>1.2890795247765441</v>
      </c>
      <c r="H134" s="118">
        <f t="shared" si="57"/>
        <v>1.2694850305255347</v>
      </c>
      <c r="I134" s="123">
        <f t="shared" si="57"/>
        <v>1.5521003879162059</v>
      </c>
    </row>
    <row r="135" spans="1:13">
      <c r="B135" s="95">
        <f t="shared" ref="B135" si="58">C93-$F93</f>
        <v>-0.7195871750303805</v>
      </c>
      <c r="C135" s="118">
        <f t="shared" ref="C135:I135" si="59">D93-$F93</f>
        <v>1.9759438806851826E-2</v>
      </c>
      <c r="D135" s="95">
        <f t="shared" si="59"/>
        <v>5.2896656816179721E-2</v>
      </c>
      <c r="E135" s="94">
        <f t="shared" si="59"/>
        <v>0</v>
      </c>
      <c r="F135" s="95">
        <f t="shared" si="59"/>
        <v>6.9737163040410666E-2</v>
      </c>
      <c r="G135" s="123">
        <f t="shared" si="59"/>
        <v>0.10954983766095538</v>
      </c>
      <c r="H135" s="118">
        <f t="shared" si="59"/>
        <v>3.2127045366234341E-2</v>
      </c>
      <c r="I135" s="123">
        <f t="shared" si="59"/>
        <v>-0.65590292152571228</v>
      </c>
    </row>
    <row r="136" spans="1:13">
      <c r="C136" s="119"/>
      <c r="G136" s="124"/>
      <c r="H136" s="119"/>
      <c r="I136" s="124"/>
    </row>
    <row r="137" spans="1:13">
      <c r="A137" s="16" t="s">
        <v>145</v>
      </c>
      <c r="B137" s="98">
        <f>SQRT(B133^2+B134^2+B135^2)</f>
        <v>1.7746734101545305</v>
      </c>
      <c r="C137" s="97">
        <f t="shared" ref="C137:I137" si="60">SQRT(C133^2+C134^2+C135^2)</f>
        <v>0.86048151696107611</v>
      </c>
      <c r="D137" s="98">
        <f t="shared" si="60"/>
        <v>2.5906563353451029</v>
      </c>
      <c r="E137" s="96">
        <f t="shared" si="60"/>
        <v>0</v>
      </c>
      <c r="F137" s="98">
        <f t="shared" si="60"/>
        <v>2.8549649537889077</v>
      </c>
      <c r="G137" s="134">
        <f t="shared" si="60"/>
        <v>1.3449617609611804</v>
      </c>
      <c r="H137" s="97">
        <f t="shared" si="60"/>
        <v>2.3577281984498817</v>
      </c>
      <c r="I137" s="134">
        <f t="shared" si="60"/>
        <v>2.1763330684215454</v>
      </c>
    </row>
    <row r="138" spans="1:13">
      <c r="C138" s="119"/>
      <c r="G138" s="124"/>
      <c r="H138" s="119"/>
      <c r="I138" s="124"/>
    </row>
    <row r="139" spans="1:13">
      <c r="B139" s="93">
        <v>0</v>
      </c>
      <c r="C139" s="117">
        <v>1</v>
      </c>
      <c r="D139" s="93">
        <v>2</v>
      </c>
      <c r="E139" s="93">
        <v>3</v>
      </c>
      <c r="F139" s="92">
        <v>4</v>
      </c>
      <c r="G139" s="122">
        <v>5</v>
      </c>
      <c r="H139" s="117">
        <v>6</v>
      </c>
      <c r="I139" s="122">
        <v>7</v>
      </c>
    </row>
    <row r="140" spans="1:13">
      <c r="B140" s="95">
        <f>C91-$G91</f>
        <v>-1.4421025939282253</v>
      </c>
      <c r="C140" s="118">
        <f t="shared" ref="C140:I140" si="61">D91-$G91</f>
        <v>-2.6959782234951333</v>
      </c>
      <c r="D140" s="95">
        <f t="shared" si="61"/>
        <v>-0.40019020491700363</v>
      </c>
      <c r="E140" s="95">
        <f t="shared" si="61"/>
        <v>-2.8449497700634536</v>
      </c>
      <c r="F140" s="94">
        <f t="shared" si="61"/>
        <v>0</v>
      </c>
      <c r="G140" s="123">
        <f t="shared" si="61"/>
        <v>-2.4772611105726594</v>
      </c>
      <c r="H140" s="118">
        <f t="shared" si="61"/>
        <v>-0.85843073718374274</v>
      </c>
      <c r="I140" s="123">
        <f t="shared" si="61"/>
        <v>-1.4675604394566215</v>
      </c>
    </row>
    <row r="141" spans="1:13">
      <c r="B141" s="95">
        <f t="shared" ref="B141:I142" si="62">C92-$G92</f>
        <v>-1.0431877148697888</v>
      </c>
      <c r="C141" s="118">
        <f t="shared" si="62"/>
        <v>-1.0757798809975587</v>
      </c>
      <c r="D141" s="95">
        <f t="shared" si="62"/>
        <v>-1.0840062473010013</v>
      </c>
      <c r="E141" s="95">
        <f t="shared" si="62"/>
        <v>-0.22852225552422287</v>
      </c>
      <c r="F141" s="94">
        <f t="shared" si="62"/>
        <v>0</v>
      </c>
      <c r="G141" s="123">
        <f t="shared" si="62"/>
        <v>1.0605572692523213</v>
      </c>
      <c r="H141" s="118">
        <f t="shared" si="62"/>
        <v>1.040962775001312</v>
      </c>
      <c r="I141" s="123">
        <f t="shared" si="62"/>
        <v>1.3235781323919831</v>
      </c>
    </row>
    <row r="142" spans="1:13">
      <c r="B142" s="95">
        <f t="shared" si="62"/>
        <v>-0.78932433807079116</v>
      </c>
      <c r="C142" s="118">
        <f t="shared" si="62"/>
        <v>-4.997772423355884E-2</v>
      </c>
      <c r="D142" s="95">
        <f t="shared" si="62"/>
        <v>-1.6840506224230944E-2</v>
      </c>
      <c r="E142" s="95">
        <f t="shared" si="62"/>
        <v>-6.9737163040410666E-2</v>
      </c>
      <c r="F142" s="94">
        <f t="shared" si="62"/>
        <v>0</v>
      </c>
      <c r="G142" s="123">
        <f t="shared" si="62"/>
        <v>3.9812674620544719E-2</v>
      </c>
      <c r="H142" s="118">
        <f t="shared" si="62"/>
        <v>-3.7610117674176324E-2</v>
      </c>
      <c r="I142" s="123">
        <f t="shared" si="62"/>
        <v>-0.72564008456612294</v>
      </c>
    </row>
    <row r="143" spans="1:13">
      <c r="C143" s="119"/>
      <c r="G143" s="124"/>
      <c r="H143" s="119"/>
      <c r="I143" s="124"/>
    </row>
    <row r="144" spans="1:13">
      <c r="A144" s="16" t="s">
        <v>146</v>
      </c>
      <c r="B144" s="98">
        <f>SQRT(B140^2+B141^2+B142^2)</f>
        <v>1.9470319490292554</v>
      </c>
      <c r="C144" s="97">
        <f t="shared" ref="C144:I144" si="63">SQRT(C140^2+C141^2+C142^2)</f>
        <v>2.9031187896534068</v>
      </c>
      <c r="D144" s="98">
        <f t="shared" si="63"/>
        <v>1.1556406651502886</v>
      </c>
      <c r="E144" s="98">
        <f t="shared" si="63"/>
        <v>2.8549649537889077</v>
      </c>
      <c r="F144" s="96">
        <f t="shared" si="63"/>
        <v>0</v>
      </c>
      <c r="G144" s="134">
        <f t="shared" si="63"/>
        <v>2.6950304971150265</v>
      </c>
      <c r="H144" s="97">
        <f t="shared" si="63"/>
        <v>1.3497856683309841</v>
      </c>
      <c r="I144" s="134">
        <f t="shared" si="63"/>
        <v>2.1052663129242086</v>
      </c>
    </row>
    <row r="146" spans="1:9">
      <c r="B146" s="16"/>
      <c r="C146" s="16"/>
      <c r="D146" s="16"/>
      <c r="E146" s="16"/>
      <c r="F146" s="16"/>
      <c r="G146" s="16"/>
      <c r="H146" s="16"/>
      <c r="I146" s="16"/>
    </row>
    <row r="147" spans="1:9">
      <c r="B147" s="35"/>
      <c r="C147" s="35"/>
      <c r="D147" s="35"/>
      <c r="E147" s="35"/>
      <c r="F147" s="35"/>
      <c r="G147" s="35"/>
      <c r="H147" s="35"/>
      <c r="I147" s="35"/>
    </row>
    <row r="148" spans="1:9">
      <c r="A148" s="23" t="s">
        <v>153</v>
      </c>
      <c r="B148" s="35"/>
      <c r="C148" s="35"/>
      <c r="D148" s="35"/>
      <c r="E148" s="35"/>
      <c r="F148" s="35"/>
      <c r="G148" s="35"/>
      <c r="H148" s="35"/>
      <c r="I148" s="35"/>
    </row>
    <row r="149" spans="1:9">
      <c r="A149" t="s">
        <v>120</v>
      </c>
      <c r="B149">
        <v>-30.441860465116278</v>
      </c>
      <c r="C149" s="35">
        <f>$B$158/$D149</f>
        <v>-3.2849503437738736E-2</v>
      </c>
      <c r="D149">
        <v>-30.441860465116278</v>
      </c>
      <c r="E149" s="35"/>
      <c r="F149" s="35"/>
      <c r="G149" s="35"/>
      <c r="H149" s="35"/>
      <c r="I149" s="35"/>
    </row>
    <row r="150" spans="1:9">
      <c r="A150" s="112" t="s">
        <v>121</v>
      </c>
      <c r="B150" s="112"/>
      <c r="C150" s="146" t="e">
        <f t="shared" ref="C150:C156" si="64">$B$158/$D150</f>
        <v>#DIV/0!</v>
      </c>
      <c r="D150" s="112"/>
      <c r="E150" s="91"/>
      <c r="F150" s="91"/>
      <c r="G150" s="91"/>
      <c r="H150" s="91"/>
      <c r="I150" s="35"/>
    </row>
    <row r="151" spans="1:9">
      <c r="A151" t="s">
        <v>122</v>
      </c>
      <c r="B151">
        <v>-12.232758620689655</v>
      </c>
      <c r="C151" s="35">
        <f t="shared" si="64"/>
        <v>-8.1747709654686404E-2</v>
      </c>
      <c r="D151">
        <v>-12.232758620689655</v>
      </c>
      <c r="E151" s="35"/>
      <c r="F151" s="35"/>
      <c r="G151" s="35"/>
      <c r="H151" s="35"/>
      <c r="I151" s="35"/>
    </row>
    <row r="152" spans="1:9">
      <c r="A152" t="s">
        <v>123</v>
      </c>
      <c r="B152">
        <v>-4.4375</v>
      </c>
      <c r="C152" s="35">
        <f t="shared" si="64"/>
        <v>-0.22535211267605634</v>
      </c>
      <c r="D152">
        <v>-4.4375</v>
      </c>
    </row>
    <row r="153" spans="1:9">
      <c r="A153" t="s">
        <v>127</v>
      </c>
      <c r="B153">
        <v>14.42443729903537</v>
      </c>
      <c r="C153" s="35">
        <f t="shared" si="64"/>
        <v>6.9326794471689698E-2</v>
      </c>
      <c r="D153">
        <v>14.42443729903537</v>
      </c>
    </row>
    <row r="154" spans="1:9">
      <c r="A154" t="s">
        <v>126</v>
      </c>
      <c r="B154">
        <v>38.125</v>
      </c>
      <c r="C154">
        <f t="shared" si="64"/>
        <v>2.6229508196721311E-2</v>
      </c>
      <c r="D154">
        <v>38.125</v>
      </c>
    </row>
    <row r="155" spans="1:9">
      <c r="A155" s="112" t="s">
        <v>125</v>
      </c>
      <c r="B155" s="112"/>
      <c r="C155" s="146" t="e">
        <f t="shared" si="64"/>
        <v>#DIV/0!</v>
      </c>
      <c r="D155" s="112"/>
    </row>
    <row r="156" spans="1:9">
      <c r="A156" t="s">
        <v>124</v>
      </c>
      <c r="B156">
        <v>-18.798816568047336</v>
      </c>
      <c r="C156" s="35">
        <f t="shared" si="64"/>
        <v>-5.3194837897387479E-2</v>
      </c>
      <c r="D156">
        <v>-18.798816568047336</v>
      </c>
    </row>
    <row r="158" spans="1:9">
      <c r="B158">
        <v>1</v>
      </c>
    </row>
  </sheetData>
  <mergeCells count="11">
    <mergeCell ref="L60:L68"/>
    <mergeCell ref="L22:L28"/>
    <mergeCell ref="A30:K30"/>
    <mergeCell ref="B83:C83"/>
    <mergeCell ref="B84:C84"/>
    <mergeCell ref="B85:C85"/>
    <mergeCell ref="B86:C86"/>
    <mergeCell ref="A1:K1"/>
    <mergeCell ref="A81:K81"/>
    <mergeCell ref="A75:K75"/>
    <mergeCell ref="A70:K70"/>
  </mergeCells>
  <pageMargins left="0.7" right="0.7" top="0.78740157499999996" bottom="0.78740157499999996" header="0.3" footer="0.3"/>
  <pageSetup paperSize="9" orientation="landscape" r:id="rId1"/>
  <ignoredErrors>
    <ignoredError sqref="D53" numberStoredAsText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9"/>
  <dimension ref="A1:AM1131"/>
  <sheetViews>
    <sheetView topLeftCell="C1" zoomScale="85" zoomScaleNormal="85" workbookViewId="0">
      <pane ySplit="11" topLeftCell="A27" activePane="bottomLeft" state="frozen"/>
      <selection pane="bottomLeft" activeCell="R44" sqref="R44"/>
    </sheetView>
  </sheetViews>
  <sheetFormatPr baseColWidth="10" defaultRowHeight="15"/>
  <cols>
    <col min="26" max="26" width="11.42578125" style="169"/>
    <col min="28" max="28" width="11.42578125" style="169"/>
    <col min="30" max="30" width="11.42578125" style="169"/>
    <col min="32" max="32" width="11.42578125" style="169"/>
    <col min="34" max="34" width="11.42578125" style="169"/>
    <col min="36" max="36" width="11.42578125" style="169"/>
    <col min="38" max="38" width="11.42578125" style="169"/>
  </cols>
  <sheetData>
    <row r="1" spans="1:39">
      <c r="B1" s="119" t="s">
        <v>75</v>
      </c>
      <c r="C1" s="179">
        <v>1.4990492230334603E-2</v>
      </c>
      <c r="D1" s="119" t="s">
        <v>76</v>
      </c>
      <c r="E1" s="179">
        <v>4.7716218756768064E-3</v>
      </c>
      <c r="S1" s="23" t="s">
        <v>153</v>
      </c>
      <c r="T1" s="35"/>
    </row>
    <row r="2" spans="1:39">
      <c r="C2" t="s">
        <v>56</v>
      </c>
      <c r="D2" t="s">
        <v>57</v>
      </c>
      <c r="E2" t="s">
        <v>58</v>
      </c>
      <c r="S2" t="s">
        <v>120</v>
      </c>
      <c r="T2" s="35">
        <v>-30.441860465116278</v>
      </c>
    </row>
    <row r="3" spans="1:39">
      <c r="B3">
        <v>0</v>
      </c>
      <c r="C3" s="35">
        <v>0.47920829337661575</v>
      </c>
      <c r="D3" s="35">
        <v>-1.0120183213662168</v>
      </c>
      <c r="E3" s="35">
        <v>0.60667574649490386</v>
      </c>
      <c r="F3" s="35"/>
      <c r="G3" s="35"/>
      <c r="H3" s="35"/>
      <c r="I3" s="35"/>
      <c r="J3" s="35"/>
      <c r="K3" s="35"/>
      <c r="S3" s="112" t="s">
        <v>121</v>
      </c>
      <c r="T3" s="146">
        <v>0</v>
      </c>
    </row>
    <row r="4" spans="1:39">
      <c r="B4">
        <v>1</v>
      </c>
      <c r="C4" s="83">
        <v>-0.77466733619029227</v>
      </c>
      <c r="D4" s="83">
        <v>-1.0446104874939868</v>
      </c>
      <c r="E4" s="83">
        <v>1.3460223603321362</v>
      </c>
      <c r="F4" s="83"/>
      <c r="G4" s="83"/>
      <c r="H4" s="83"/>
      <c r="I4" s="83"/>
      <c r="J4" s="83"/>
      <c r="K4" s="83"/>
      <c r="S4" t="s">
        <v>122</v>
      </c>
      <c r="T4" s="35">
        <v>-12.232758620689655</v>
      </c>
    </row>
    <row r="5" spans="1:39">
      <c r="B5">
        <v>2</v>
      </c>
      <c r="C5" s="35">
        <v>1.5211206823878374</v>
      </c>
      <c r="D5" s="35">
        <v>-1.0528368537974293</v>
      </c>
      <c r="E5" s="35">
        <v>1.3791595783414641</v>
      </c>
      <c r="F5" s="35"/>
      <c r="G5" s="35"/>
      <c r="H5" s="35"/>
      <c r="I5" s="35"/>
      <c r="J5" s="35"/>
      <c r="K5" s="35"/>
      <c r="S5" t="s">
        <v>123</v>
      </c>
      <c r="T5" s="35">
        <v>-4.4375</v>
      </c>
    </row>
    <row r="6" spans="1:39">
      <c r="B6">
        <v>3</v>
      </c>
      <c r="C6" s="35">
        <v>-0.92363888275861272</v>
      </c>
      <c r="D6" s="35">
        <v>-0.1973528620206508</v>
      </c>
      <c r="E6" s="35">
        <v>1.3262629215252844</v>
      </c>
      <c r="F6" s="35"/>
      <c r="G6" s="35"/>
      <c r="H6" s="35"/>
      <c r="I6" s="35"/>
      <c r="J6" s="35"/>
      <c r="K6" s="35"/>
      <c r="S6" t="s">
        <v>127</v>
      </c>
      <c r="T6" s="35">
        <v>14.42443729903537</v>
      </c>
    </row>
    <row r="7" spans="1:39">
      <c r="B7">
        <v>4</v>
      </c>
      <c r="C7" s="35">
        <v>1.921310887304841</v>
      </c>
      <c r="D7" s="35">
        <v>3.1169393503572059E-2</v>
      </c>
      <c r="E7" s="35">
        <v>1.396000084565695</v>
      </c>
      <c r="F7" s="35"/>
      <c r="G7" s="35"/>
      <c r="H7" s="35"/>
      <c r="I7" s="35"/>
      <c r="J7" s="35"/>
      <c r="K7" s="35"/>
      <c r="S7" t="s">
        <v>126</v>
      </c>
      <c r="T7">
        <v>38.125</v>
      </c>
    </row>
    <row r="8" spans="1:39">
      <c r="B8">
        <v>5</v>
      </c>
      <c r="C8" s="35">
        <v>-0.55595022326781895</v>
      </c>
      <c r="D8" s="35">
        <v>1.0917266627558933</v>
      </c>
      <c r="E8" s="35">
        <v>1.4358127591862397</v>
      </c>
      <c r="F8" s="35"/>
      <c r="G8" s="35"/>
      <c r="H8" s="35"/>
      <c r="I8" s="35"/>
      <c r="J8" s="35"/>
      <c r="K8" s="35"/>
      <c r="S8" s="112" t="s">
        <v>125</v>
      </c>
      <c r="T8" s="146">
        <v>0</v>
      </c>
    </row>
    <row r="9" spans="1:39">
      <c r="B9">
        <v>6</v>
      </c>
      <c r="C9" s="83">
        <v>1.0628801501210983</v>
      </c>
      <c r="D9" s="83">
        <v>1.0721321685048839</v>
      </c>
      <c r="E9" s="83">
        <v>1.3583899668915187</v>
      </c>
      <c r="F9" s="83"/>
      <c r="G9" s="83"/>
      <c r="H9" s="83"/>
      <c r="I9" s="83"/>
      <c r="J9" s="83"/>
      <c r="K9" s="83"/>
      <c r="S9" t="s">
        <v>124</v>
      </c>
      <c r="T9" s="35">
        <v>-18.798816568047336</v>
      </c>
    </row>
    <row r="10" spans="1:39">
      <c r="B10">
        <v>7</v>
      </c>
      <c r="C10" s="35">
        <v>0.45375044784821961</v>
      </c>
      <c r="D10" s="35">
        <v>1.354747525895555</v>
      </c>
      <c r="E10" s="35">
        <v>0.67035999999957208</v>
      </c>
      <c r="F10" s="35"/>
      <c r="G10" s="35"/>
      <c r="H10" s="35"/>
      <c r="I10" s="35"/>
      <c r="J10" s="35"/>
      <c r="K10" s="35"/>
    </row>
    <row r="11" spans="1:39">
      <c r="L11" t="s">
        <v>77</v>
      </c>
      <c r="M11" t="s">
        <v>79</v>
      </c>
      <c r="O11" t="s">
        <v>500</v>
      </c>
      <c r="P11" t="s">
        <v>501</v>
      </c>
      <c r="Q11">
        <v>-1.253875629566908</v>
      </c>
      <c r="R11">
        <v>-3.2592166127769939E-2</v>
      </c>
      <c r="S11">
        <v>0.73934661383723232</v>
      </c>
      <c r="T11">
        <v>-1.4990492230334603E-2</v>
      </c>
      <c r="AA11">
        <v>1.0599498795536459</v>
      </c>
    </row>
    <row r="12" spans="1:39">
      <c r="A12" s="170"/>
      <c r="B12" s="171">
        <v>-1.253875629566908</v>
      </c>
      <c r="C12" s="171">
        <v>-3.2592166127769939E-2</v>
      </c>
      <c r="D12" s="171">
        <v>0.73934661383723232</v>
      </c>
      <c r="E12" s="170">
        <v>-1.4990492230334603E-2</v>
      </c>
      <c r="F12" s="170">
        <v>0</v>
      </c>
      <c r="G12" s="170">
        <v>0</v>
      </c>
      <c r="H12" s="170">
        <v>0</v>
      </c>
      <c r="I12" s="170">
        <v>0</v>
      </c>
      <c r="J12" s="170">
        <v>0</v>
      </c>
      <c r="K12" s="170">
        <v>0</v>
      </c>
      <c r="L12">
        <v>1.0599498795536459</v>
      </c>
      <c r="M12">
        <v>0</v>
      </c>
      <c r="N12" s="172"/>
      <c r="O12" s="35" t="str">
        <f ca="1">MCond(OFFSET($B$12,(ROW(A1)-1)*4,0,3,3))</f>
        <v>?</v>
      </c>
      <c r="P12" s="35" t="str">
        <f ca="1">MCond(OFFSET($B$12,(ROW(B1)-1)*4,0,3,6))</f>
        <v>?</v>
      </c>
      <c r="Q12" s="35" t="str">
        <f ca="1">MCond(OFFSET($E$12,(ROW(C1)-1)*4,0,3,3))</f>
        <v>?</v>
      </c>
      <c r="R12" s="35" t="str">
        <f ca="1">MCond(OFFSET($I$12,(ROW(D1)-1)*4,0,3,3))</f>
        <v>?</v>
      </c>
    </row>
    <row r="13" spans="1:39">
      <c r="A13" s="170" t="s">
        <v>214</v>
      </c>
      <c r="B13" s="171">
        <v>0</v>
      </c>
      <c r="C13" s="171">
        <v>0</v>
      </c>
      <c r="D13" s="171">
        <v>0</v>
      </c>
      <c r="E13" s="170">
        <v>0</v>
      </c>
      <c r="F13" s="170">
        <v>0</v>
      </c>
      <c r="G13" s="170">
        <v>0</v>
      </c>
      <c r="H13" s="170">
        <v>0</v>
      </c>
      <c r="I13" s="170">
        <v>0</v>
      </c>
      <c r="J13" s="170">
        <v>0</v>
      </c>
      <c r="K13" s="170">
        <v>0</v>
      </c>
      <c r="L13">
        <v>0</v>
      </c>
      <c r="M13">
        <v>0</v>
      </c>
      <c r="N13" s="172" t="str">
        <f>MCond(B12:D14)</f>
        <v>?</v>
      </c>
      <c r="O13" s="35">
        <f ca="1">MCond(OFFSET($B$12,(ROW(A2)-1)*4,0,3,3))</f>
        <v>3.6962112341108457</v>
      </c>
      <c r="P13" s="35" t="str">
        <f ca="1">MCond(OFFSET($B$12,(ROW(B2)-1)*4,0,3,6))</f>
        <v>?</v>
      </c>
      <c r="Q13" s="35">
        <f ca="1">MCond(OFFSET($E$12,(ROW(C2)-1)*4,0,3,3))</f>
        <v>1</v>
      </c>
      <c r="R13" s="35" t="str">
        <f ca="1">MCond(OFFSET($I$12,(ROW(D2)-1)*4,0,3,3))</f>
        <v>?</v>
      </c>
      <c r="S13" s="169">
        <v>1</v>
      </c>
      <c r="T13" s="35" t="str">
        <f ca="1">MCond(OFFSET($B$12,(ROW(A1)-1)*4,0,3,3))</f>
        <v>?</v>
      </c>
      <c r="U13">
        <f ca="1">MAX(T$12:T$1048576)</f>
        <v>2149.1679832149403</v>
      </c>
      <c r="V13" t="e">
        <f ca="1">T13/$U$13</f>
        <v>#VALUE!</v>
      </c>
      <c r="W13" s="169">
        <v>1</v>
      </c>
      <c r="X13" s="169">
        <v>1</v>
      </c>
      <c r="Y13" s="35" t="e">
        <f t="shared" ref="Y13" ca="1" si="0">OFFSET($V13,(COLUMN(A1)-1)*35,0,1,1)</f>
        <v>#VALUE!</v>
      </c>
      <c r="Z13" s="169">
        <v>2</v>
      </c>
      <c r="AA13" s="35">
        <f t="shared" ref="AA13:AA47" ca="1" si="1">OFFSET($V13,(COLUMN(B1)-1)*35,0,1,1)</f>
        <v>1.8829989567831068E-3</v>
      </c>
      <c r="AB13" s="169">
        <v>3</v>
      </c>
      <c r="AC13" s="35">
        <f t="shared" ref="AC13:AC47" ca="1" si="2">OFFSET($V13,(COLUMN(C1)-1)*35,0,1,1)</f>
        <v>3.0452654993958785E-3</v>
      </c>
      <c r="AD13" s="169">
        <v>4</v>
      </c>
      <c r="AE13" s="35">
        <f t="shared" ref="AE13:AE47" ca="1" si="3">OFFSET($V13,(COLUMN(D1)-1)*35,0,1,1)</f>
        <v>2.4300855619816221E-3</v>
      </c>
      <c r="AF13" s="169">
        <v>5</v>
      </c>
      <c r="AG13" s="35">
        <f t="shared" ref="AG13:AG47" ca="1" si="4">OFFSET($V13,(COLUMN(E1)-1)*35,0,1,1)</f>
        <v>2.7564818175547018E-3</v>
      </c>
      <c r="AH13" s="169">
        <v>6</v>
      </c>
      <c r="AI13" s="35">
        <f t="shared" ref="AI13:AI47" ca="1" si="5">OFFSET($V13,(COLUMN(N1)-1)*35,0,1,1)</f>
        <v>0</v>
      </c>
      <c r="AJ13" s="169">
        <v>7</v>
      </c>
      <c r="AK13" s="35">
        <f t="shared" ref="AK13:AK47" ca="1" si="6">OFFSET($V13,(COLUMN(O1)-1)*35,0,1,1)</f>
        <v>0</v>
      </c>
      <c r="AL13" s="169">
        <v>8</v>
      </c>
      <c r="AM13" s="35">
        <f t="shared" ref="AM13:AM47" ca="1" si="7">OFFSET($V13,(COLUMN(P1)-1)*35,0,1,1)</f>
        <v>0</v>
      </c>
    </row>
    <row r="14" spans="1:39">
      <c r="A14" s="170"/>
      <c r="B14" s="171">
        <v>0</v>
      </c>
      <c r="C14" s="171">
        <v>0</v>
      </c>
      <c r="D14" s="171">
        <v>0</v>
      </c>
      <c r="E14" s="170">
        <v>0</v>
      </c>
      <c r="F14" s="170">
        <v>0</v>
      </c>
      <c r="G14" s="170">
        <v>0</v>
      </c>
      <c r="H14" s="170">
        <v>0</v>
      </c>
      <c r="I14" s="170">
        <v>0</v>
      </c>
      <c r="J14" s="170">
        <v>0</v>
      </c>
      <c r="K14" s="170">
        <v>0</v>
      </c>
      <c r="L14">
        <v>0</v>
      </c>
      <c r="M14">
        <v>0</v>
      </c>
      <c r="N14" s="172"/>
      <c r="O14" s="35">
        <f ca="1">MCond(OFFSET($B$12,(ROW(A3)-1)*4,0,3,3))</f>
        <v>2.6538713862709233</v>
      </c>
      <c r="P14" s="35" t="str">
        <f ca="1">MCond(OFFSET($B$12,(ROW(B3)-1)*4,0,3,6))</f>
        <v>?</v>
      </c>
      <c r="Q14" s="35">
        <f ca="1">MCond(OFFSET($E$12,(ROW(C3)-1)*4,0,3,3))</f>
        <v>1</v>
      </c>
      <c r="R14" s="35" t="str">
        <f ca="1">MCond(OFFSET($I$12,(ROW(D3)-1)*4,0,3,3))</f>
        <v>?</v>
      </c>
      <c r="S14" s="169">
        <v>2</v>
      </c>
      <c r="T14" s="35">
        <f ca="1">MCond(OFFSET($B$12,(ROW(A2)-1)*4,0,3,3))</f>
        <v>3.6962112341108457</v>
      </c>
      <c r="U14">
        <f ca="1">MIN(T:T)</f>
        <v>-30.441860465116278</v>
      </c>
      <c r="V14">
        <f t="shared" ref="V14:V77" ca="1" si="8">T14/$U$13</f>
        <v>1.7198335648857394E-3</v>
      </c>
      <c r="W14" s="169">
        <v>2</v>
      </c>
      <c r="X14" s="169">
        <v>1</v>
      </c>
      <c r="Y14" s="35">
        <f t="shared" ref="Y14:Y47" ca="1" si="9">OFFSET($V14,(COLUMN(A2)-1)*35,0,1,1)</f>
        <v>1.7198335648857394E-3</v>
      </c>
      <c r="Z14" s="169">
        <v>2</v>
      </c>
      <c r="AA14" s="35">
        <f t="shared" ca="1" si="1"/>
        <v>3.0505873357103688E-3</v>
      </c>
      <c r="AB14" s="169">
        <v>3</v>
      </c>
      <c r="AC14" s="35">
        <f t="shared" ca="1" si="2"/>
        <v>1.7694890834061042E-3</v>
      </c>
      <c r="AD14" s="169">
        <v>4</v>
      </c>
      <c r="AE14" s="35">
        <f t="shared" ca="1" si="3"/>
        <v>3.2080562845868835E-3</v>
      </c>
      <c r="AF14" s="169">
        <v>5</v>
      </c>
      <c r="AG14" s="35">
        <f t="shared" ca="1" si="4"/>
        <v>4.8866902105883557E-3</v>
      </c>
      <c r="AH14" s="169">
        <v>6</v>
      </c>
      <c r="AI14" s="35">
        <f t="shared" ca="1" si="5"/>
        <v>0</v>
      </c>
      <c r="AJ14" s="169">
        <v>7</v>
      </c>
      <c r="AK14" s="35">
        <f t="shared" ca="1" si="6"/>
        <v>0</v>
      </c>
      <c r="AL14" s="169">
        <v>8</v>
      </c>
      <c r="AM14" s="35">
        <f t="shared" ca="1" si="7"/>
        <v>0</v>
      </c>
    </row>
    <row r="15" spans="1:39">
      <c r="A15" s="170"/>
      <c r="B15" s="171"/>
      <c r="C15" s="171"/>
      <c r="D15" s="171"/>
      <c r="E15" s="170"/>
      <c r="F15" s="170"/>
      <c r="G15" s="170"/>
      <c r="H15" s="170"/>
      <c r="I15" s="170"/>
      <c r="J15" s="170"/>
      <c r="K15" s="170"/>
      <c r="N15" s="173"/>
      <c r="O15" s="35">
        <f ca="1">MCond(OFFSET($B$12,(ROW(A4)-1)*4,0,3,3))</f>
        <v>2.3783411134574881</v>
      </c>
      <c r="P15" s="35" t="str">
        <f ca="1">MCond(OFFSET($B$12,(ROW(B4)-1)*4,0,3,6))</f>
        <v>?</v>
      </c>
      <c r="Q15" s="35">
        <f ca="1">MCond(OFFSET($E$12,(ROW(C4)-1)*4,0,3,3))</f>
        <v>1</v>
      </c>
      <c r="R15" s="35" t="str">
        <f ca="1">MCond(OFFSET($I$12,(ROW(D4)-1)*4,0,3,3))</f>
        <v>?</v>
      </c>
      <c r="S15" s="169">
        <v>3</v>
      </c>
      <c r="T15" s="35">
        <f ca="1">MCond(OFFSET($B$12,(ROW(A3)-1)*4,0,3,3))</f>
        <v>2.6538713862709233</v>
      </c>
      <c r="V15">
        <f t="shared" ca="1" si="8"/>
        <v>1.2348366470176972E-3</v>
      </c>
      <c r="W15" s="169">
        <v>3</v>
      </c>
      <c r="X15" s="169">
        <v>1</v>
      </c>
      <c r="Y15" s="35">
        <f t="shared" ca="1" si="9"/>
        <v>1.2348366470176972E-3</v>
      </c>
      <c r="Z15" s="169">
        <v>2</v>
      </c>
      <c r="AA15" s="35">
        <f t="shared" ca="1" si="1"/>
        <v>1.8760328948182561E-3</v>
      </c>
      <c r="AB15" s="169">
        <v>3</v>
      </c>
      <c r="AC15" s="35">
        <f t="shared" ca="1" si="2"/>
        <v>2.4868417778225603E-3</v>
      </c>
      <c r="AD15" s="169">
        <v>4</v>
      </c>
      <c r="AE15" s="35">
        <f t="shared" ca="1" si="3"/>
        <v>4.6237820674826756E-3</v>
      </c>
      <c r="AF15" s="169">
        <v>5</v>
      </c>
      <c r="AG15" s="35">
        <f t="shared" ca="1" si="4"/>
        <v>3.2693774191351085E-3</v>
      </c>
      <c r="AH15" s="169">
        <v>6</v>
      </c>
      <c r="AI15" s="35">
        <f t="shared" ca="1" si="5"/>
        <v>0</v>
      </c>
      <c r="AJ15" s="169">
        <v>7</v>
      </c>
      <c r="AK15" s="35">
        <f t="shared" ca="1" si="6"/>
        <v>0</v>
      </c>
      <c r="AL15" s="169">
        <v>8</v>
      </c>
      <c r="AM15" s="35">
        <f t="shared" ca="1" si="7"/>
        <v>0</v>
      </c>
    </row>
    <row r="16" spans="1:39">
      <c r="A16" s="170"/>
      <c r="B16" s="171">
        <v>-1.253875629566908</v>
      </c>
      <c r="C16" s="171">
        <v>-3.2592166127769939E-2</v>
      </c>
      <c r="D16" s="171">
        <v>0.73934661383723232</v>
      </c>
      <c r="E16" s="170">
        <v>-1.4990492230334603E-2</v>
      </c>
      <c r="F16" s="170">
        <v>0</v>
      </c>
      <c r="G16" s="170">
        <v>0</v>
      </c>
      <c r="H16" s="170">
        <v>0</v>
      </c>
      <c r="I16" s="170">
        <v>0</v>
      </c>
      <c r="J16" s="170">
        <v>0</v>
      </c>
      <c r="K16" s="170">
        <v>0</v>
      </c>
      <c r="L16">
        <v>1.0599498795536459</v>
      </c>
      <c r="N16" s="172"/>
      <c r="O16" s="35">
        <f ca="1">MCond(OFFSET($B$12,(ROW(A5)-1)*4,0,3,3))</f>
        <v>2.2222525155344348</v>
      </c>
      <c r="P16" s="35" t="str">
        <f ca="1">MCond(OFFSET($B$12,(ROW(B5)-1)*4,0,3,6))</f>
        <v>?</v>
      </c>
      <c r="Q16" s="35">
        <f ca="1">MCond(OFFSET($E$12,(ROW(C5)-1)*4,0,3,3))</f>
        <v>1</v>
      </c>
      <c r="R16" s="35" t="str">
        <f ca="1">MCond(OFFSET($I$12,(ROW(D5)-1)*4,0,3,3))</f>
        <v>?</v>
      </c>
      <c r="S16" s="169">
        <v>4</v>
      </c>
      <c r="T16" s="35">
        <f ca="1">MCond(OFFSET($B$12,(ROW(A4)-1)*4,0,3,3))</f>
        <v>2.3783411134574881</v>
      </c>
      <c r="V16">
        <f t="shared" ca="1" si="8"/>
        <v>1.1066334190870124E-3</v>
      </c>
      <c r="W16" s="169">
        <v>4</v>
      </c>
      <c r="X16" s="169">
        <v>1</v>
      </c>
      <c r="Y16" s="35">
        <f t="shared" ca="1" si="9"/>
        <v>1.1066334190870124E-3</v>
      </c>
      <c r="Z16" s="169">
        <v>2</v>
      </c>
      <c r="AA16" s="35">
        <f t="shared" ca="1" si="1"/>
        <v>2.474106773915559E-3</v>
      </c>
      <c r="AB16" s="169">
        <v>3</v>
      </c>
      <c r="AC16" s="35">
        <f t="shared" ca="1" si="2"/>
        <v>1.8158933526515513E-3</v>
      </c>
      <c r="AD16" s="169">
        <v>4</v>
      </c>
      <c r="AE16" s="35">
        <f t="shared" ca="1" si="3"/>
        <v>3.5172469335777784E-3</v>
      </c>
      <c r="AF16" s="169">
        <v>5</v>
      </c>
      <c r="AG16" s="35">
        <f t="shared" ca="1" si="4"/>
        <v>2.6190478714713189E-3</v>
      </c>
      <c r="AH16" s="169">
        <v>6</v>
      </c>
      <c r="AI16" s="35">
        <f t="shared" ca="1" si="5"/>
        <v>0</v>
      </c>
      <c r="AJ16" s="169">
        <v>7</v>
      </c>
      <c r="AK16" s="35">
        <f t="shared" ca="1" si="6"/>
        <v>0</v>
      </c>
      <c r="AL16" s="169">
        <v>8</v>
      </c>
      <c r="AM16" s="35">
        <f t="shared" ca="1" si="7"/>
        <v>0</v>
      </c>
    </row>
    <row r="17" spans="1:39">
      <c r="A17" s="170" t="s">
        <v>215</v>
      </c>
      <c r="B17" s="171">
        <v>1.0419123890112216</v>
      </c>
      <c r="C17" s="171">
        <v>-4.0818532431212473E-2</v>
      </c>
      <c r="D17" s="171">
        <v>0.77248383184656022</v>
      </c>
      <c r="E17" s="170">
        <v>0</v>
      </c>
      <c r="F17" s="170">
        <v>-1.4990492230334603E-2</v>
      </c>
      <c r="G17" s="170">
        <v>0</v>
      </c>
      <c r="H17" s="170">
        <v>0</v>
      </c>
      <c r="I17" s="170">
        <v>0</v>
      </c>
      <c r="J17" s="170">
        <v>0</v>
      </c>
      <c r="K17" s="170">
        <v>0</v>
      </c>
      <c r="L17">
        <v>0.8419894247146269</v>
      </c>
      <c r="N17" s="172">
        <f>MCond(B16:D18)</f>
        <v>3.6962112341108457</v>
      </c>
      <c r="O17" s="35">
        <f ca="1">MCond(OFFSET($B$12,(ROW(A6)-1)*4,0,3,3))</f>
        <v>5.3803548414248699</v>
      </c>
      <c r="P17" s="35" t="str">
        <f ca="1">MCond(OFFSET($B$12,(ROW(B6)-1)*4,0,3,6))</f>
        <v>?</v>
      </c>
      <c r="Q17" s="35">
        <f ca="1">MCond(OFFSET($E$12,(ROW(C6)-1)*4,0,3,3))</f>
        <v>1</v>
      </c>
      <c r="R17" s="35" t="str">
        <f ca="1">MCond(OFFSET($I$12,(ROW(D6)-1)*4,0,3,3))</f>
        <v>?</v>
      </c>
      <c r="S17" s="169">
        <v>5</v>
      </c>
      <c r="T17" s="35">
        <f ca="1">MCond(OFFSET($B$12,(ROW(A5)-1)*4,0,3,3))</f>
        <v>2.2222525155344348</v>
      </c>
      <c r="V17">
        <f t="shared" ref="V17:V30" ca="1" si="10">T17/$U$13</f>
        <v>1.0340059655132995E-3</v>
      </c>
      <c r="W17" s="169">
        <v>5</v>
      </c>
      <c r="X17" s="169">
        <v>1</v>
      </c>
      <c r="Y17" s="35">
        <f t="shared" ca="1" si="9"/>
        <v>1.0340059655132995E-3</v>
      </c>
      <c r="Z17" s="169">
        <v>2</v>
      </c>
      <c r="AA17" s="35">
        <f t="shared" ca="1" si="1"/>
        <v>2.4077443462027707E-3</v>
      </c>
      <c r="AB17" s="169">
        <v>3</v>
      </c>
      <c r="AC17" s="35">
        <f t="shared" ca="1" si="2"/>
        <v>2.2460231781888727E-3</v>
      </c>
      <c r="AD17" s="169">
        <v>4</v>
      </c>
      <c r="AE17" s="35">
        <f t="shared" ca="1" si="3"/>
        <v>1.2143821443135279E-2</v>
      </c>
      <c r="AF17" s="169">
        <v>5</v>
      </c>
      <c r="AG17" s="35">
        <f t="shared" ca="1" si="4"/>
        <v>2.2802807977279661E-3</v>
      </c>
      <c r="AH17" s="169">
        <v>6</v>
      </c>
      <c r="AI17" s="35">
        <f t="shared" ca="1" si="5"/>
        <v>0</v>
      </c>
      <c r="AJ17" s="169">
        <v>7</v>
      </c>
      <c r="AK17" s="35">
        <f t="shared" ca="1" si="6"/>
        <v>0</v>
      </c>
      <c r="AL17" s="169">
        <v>8</v>
      </c>
      <c r="AM17" s="35">
        <f t="shared" ca="1" si="7"/>
        <v>0</v>
      </c>
    </row>
    <row r="18" spans="1:39">
      <c r="A18" s="170"/>
      <c r="B18" s="171">
        <v>1.4421025939282253</v>
      </c>
      <c r="C18" s="171">
        <v>1.0431877148697888</v>
      </c>
      <c r="D18" s="171">
        <v>0.78932433807079116</v>
      </c>
      <c r="E18" s="170">
        <v>0</v>
      </c>
      <c r="F18" s="170">
        <v>0</v>
      </c>
      <c r="G18" s="170">
        <v>-1.4990492230334603E-2</v>
      </c>
      <c r="H18" s="170">
        <v>0</v>
      </c>
      <c r="I18" s="170">
        <v>0</v>
      </c>
      <c r="J18" s="170">
        <v>0</v>
      </c>
      <c r="K18" s="170">
        <v>0</v>
      </c>
      <c r="L18">
        <v>1.8954667052703302</v>
      </c>
      <c r="N18" s="172"/>
      <c r="O18" s="35">
        <f ca="1">MCond(OFFSET($B$12,(ROW(A7)-1)*4,0,3,3))</f>
        <v>24.281240562435144</v>
      </c>
      <c r="P18" s="35" t="str">
        <f ca="1">MCond(OFFSET($B$12,(ROW(B7)-1)*4,0,3,6))</f>
        <v>?</v>
      </c>
      <c r="Q18" s="35">
        <f ca="1">MCond(OFFSET($E$12,(ROW(C7)-1)*4,0,3,3))</f>
        <v>1</v>
      </c>
      <c r="R18" s="35" t="str">
        <f ca="1">MCond(OFFSET($I$12,(ROW(D7)-1)*4,0,3,3))</f>
        <v>?</v>
      </c>
      <c r="S18" s="169">
        <v>6</v>
      </c>
      <c r="T18" s="35">
        <f ca="1">MCond(OFFSET($B$12,(ROW(A6)-1)*4,0,3,3))</f>
        <v>5.3803548414248699</v>
      </c>
      <c r="V18">
        <f t="shared" ca="1" si="10"/>
        <v>2.5034594240401801E-3</v>
      </c>
      <c r="W18" s="169">
        <v>6</v>
      </c>
      <c r="X18" s="169">
        <v>1</v>
      </c>
      <c r="Y18" s="35">
        <f t="shared" ca="1" si="9"/>
        <v>2.5034594240401801E-3</v>
      </c>
      <c r="Z18" s="169">
        <v>2</v>
      </c>
      <c r="AA18" s="35">
        <v>0.72799377729265169</v>
      </c>
      <c r="AB18" s="169">
        <v>3</v>
      </c>
      <c r="AC18" s="35">
        <f t="shared" ca="1" si="2"/>
        <v>1.9655624795440604E-3</v>
      </c>
      <c r="AD18" s="169">
        <v>4</v>
      </c>
      <c r="AE18" s="35">
        <f t="shared" ca="1" si="3"/>
        <v>3.8400751659875116E-3</v>
      </c>
      <c r="AF18" s="169">
        <v>5</v>
      </c>
      <c r="AG18" s="35">
        <f t="shared" ca="1" si="4"/>
        <v>3.0687526647472756E-3</v>
      </c>
      <c r="AH18" s="169">
        <v>6</v>
      </c>
      <c r="AI18" s="35">
        <f t="shared" ca="1" si="5"/>
        <v>0</v>
      </c>
      <c r="AJ18" s="169">
        <v>7</v>
      </c>
      <c r="AK18" s="35">
        <f t="shared" ca="1" si="6"/>
        <v>0</v>
      </c>
      <c r="AL18" s="169">
        <v>8</v>
      </c>
      <c r="AM18" s="35">
        <f t="shared" ca="1" si="7"/>
        <v>0</v>
      </c>
    </row>
    <row r="19" spans="1:39">
      <c r="A19" s="170"/>
      <c r="B19" s="171"/>
      <c r="C19" s="171"/>
      <c r="D19" s="171"/>
      <c r="E19" s="170"/>
      <c r="F19" s="170"/>
      <c r="G19" s="170"/>
      <c r="H19" s="170"/>
      <c r="I19" s="170"/>
      <c r="J19" s="170"/>
      <c r="K19" s="170"/>
      <c r="N19" s="173"/>
      <c r="O19" s="35">
        <f ca="1">MCond(OFFSET($B$12,(ROW(A8)-1)*4,0,3,3))</f>
        <v>8.8077991376995399</v>
      </c>
      <c r="P19" s="35" t="str">
        <f ca="1">MCond(OFFSET($B$12,(ROW(B8)-1)*4,0,3,6))</f>
        <v>?</v>
      </c>
      <c r="Q19" s="35">
        <f ca="1">MCond(OFFSET($E$12,(ROW(C8)-1)*4,0,3,3))</f>
        <v>1</v>
      </c>
      <c r="R19" s="35" t="str">
        <f ca="1">MCond(OFFSET($I$12,(ROW(D8)-1)*4,0,3,3))</f>
        <v>?</v>
      </c>
      <c r="S19" s="169">
        <v>7</v>
      </c>
      <c r="T19" s="35">
        <f ca="1">MCond(OFFSET($B$12,(ROW(A7)-1)*4,0,3,3))</f>
        <v>24.281240562435144</v>
      </c>
      <c r="V19">
        <f t="shared" ca="1" si="10"/>
        <v>1.1297972402377239E-2</v>
      </c>
      <c r="W19" s="169">
        <v>7</v>
      </c>
      <c r="X19" s="169">
        <v>1</v>
      </c>
      <c r="Y19" s="35">
        <f t="shared" ca="1" si="9"/>
        <v>1.1297972402377239E-2</v>
      </c>
      <c r="Z19" s="169">
        <v>2</v>
      </c>
      <c r="AA19" s="35">
        <v>0.88733670507726525</v>
      </c>
      <c r="AB19" s="169">
        <v>3</v>
      </c>
      <c r="AC19" s="35">
        <f t="shared" ca="1" si="2"/>
        <v>3.4009137511335904E-3</v>
      </c>
      <c r="AD19" s="169">
        <v>4</v>
      </c>
      <c r="AE19" s="35">
        <f t="shared" ca="1" si="3"/>
        <v>2.3933602132452545E-3</v>
      </c>
      <c r="AF19" s="169">
        <v>5</v>
      </c>
      <c r="AG19" s="35">
        <f t="shared" ca="1" si="4"/>
        <v>3.12438700294754E-3</v>
      </c>
      <c r="AH19" s="169">
        <v>6</v>
      </c>
      <c r="AI19" s="35">
        <f t="shared" ca="1" si="5"/>
        <v>0</v>
      </c>
      <c r="AJ19" s="169">
        <v>7</v>
      </c>
      <c r="AK19" s="35">
        <f t="shared" ca="1" si="6"/>
        <v>0</v>
      </c>
      <c r="AL19" s="169">
        <v>8</v>
      </c>
      <c r="AM19" s="35">
        <f t="shared" ca="1" si="7"/>
        <v>0</v>
      </c>
    </row>
    <row r="20" spans="1:39">
      <c r="A20" s="170"/>
      <c r="B20" s="171">
        <v>-1.253875629566908</v>
      </c>
      <c r="C20" s="171">
        <v>-3.2592166127769939E-2</v>
      </c>
      <c r="D20" s="171">
        <v>0.73934661383723232</v>
      </c>
      <c r="E20" s="170">
        <v>-1.4990492230334603E-2</v>
      </c>
      <c r="F20" s="170">
        <v>0</v>
      </c>
      <c r="G20" s="170">
        <v>0</v>
      </c>
      <c r="H20" s="170">
        <v>0</v>
      </c>
      <c r="I20" s="170">
        <v>0</v>
      </c>
      <c r="J20" s="170">
        <v>0</v>
      </c>
      <c r="K20" s="170">
        <v>0</v>
      </c>
      <c r="L20">
        <v>1.0599498795536459</v>
      </c>
      <c r="N20" s="172"/>
      <c r="O20" s="35">
        <f ca="1">MCond(OFFSET($B$12,(ROW(A9)-1)*4,0,3,3))</f>
        <v>37.099744408603527</v>
      </c>
      <c r="P20" s="35" t="str">
        <f ca="1">MCond(OFFSET($B$12,(ROW(B9)-1)*4,0,3,6))</f>
        <v>?</v>
      </c>
      <c r="Q20" s="35">
        <f ca="1">MCond(OFFSET($E$12,(ROW(C9)-1)*4,0,3,3))</f>
        <v>1</v>
      </c>
      <c r="R20" s="35" t="str">
        <f ca="1">MCond(OFFSET($I$12,(ROW(D9)-1)*4,0,3,3))</f>
        <v>?</v>
      </c>
      <c r="S20" s="169">
        <v>8</v>
      </c>
      <c r="T20" s="35">
        <f ca="1">MCond(OFFSET($B$12,(ROW(A8)-1)*4,0,3,3))</f>
        <v>8.8077991376995399</v>
      </c>
      <c r="V20">
        <f t="shared" ca="1" si="10"/>
        <v>4.0982367160169366E-3</v>
      </c>
      <c r="W20" s="169">
        <v>8</v>
      </c>
      <c r="X20" s="169">
        <v>1</v>
      </c>
      <c r="Y20" s="35">
        <f t="shared" ca="1" si="9"/>
        <v>4.0982367160169366E-3</v>
      </c>
      <c r="Z20" s="169">
        <v>2</v>
      </c>
      <c r="AA20" s="35">
        <v>1.2434593176512807</v>
      </c>
      <c r="AB20" s="169">
        <v>3</v>
      </c>
      <c r="AC20" s="35">
        <f t="shared" ca="1" si="2"/>
        <v>2.1703073722481279E-3</v>
      </c>
      <c r="AD20" s="169">
        <v>4</v>
      </c>
      <c r="AE20" s="35">
        <f t="shared" ca="1" si="3"/>
        <v>2.7043689777349021E-3</v>
      </c>
      <c r="AF20" s="169">
        <v>5</v>
      </c>
      <c r="AG20" s="35">
        <f t="shared" ca="1" si="4"/>
        <v>3.2758255320086385E-3</v>
      </c>
      <c r="AH20" s="169">
        <v>6</v>
      </c>
      <c r="AI20" s="35">
        <f t="shared" ca="1" si="5"/>
        <v>0</v>
      </c>
      <c r="AJ20" s="169">
        <v>7</v>
      </c>
      <c r="AK20" s="35">
        <f t="shared" ca="1" si="6"/>
        <v>0</v>
      </c>
      <c r="AL20" s="169">
        <v>8</v>
      </c>
      <c r="AM20" s="35">
        <f t="shared" ca="1" si="7"/>
        <v>0</v>
      </c>
    </row>
    <row r="21" spans="1:39">
      <c r="A21" s="170" t="s">
        <v>216</v>
      </c>
      <c r="B21" s="171">
        <v>1.0419123890112216</v>
      </c>
      <c r="C21" s="171">
        <v>-4.0818532431212473E-2</v>
      </c>
      <c r="D21" s="171">
        <v>0.77248383184656022</v>
      </c>
      <c r="E21" s="170">
        <v>0</v>
      </c>
      <c r="F21" s="170">
        <v>-1.4990492230334603E-2</v>
      </c>
      <c r="G21" s="170">
        <v>0</v>
      </c>
      <c r="H21" s="170">
        <v>0</v>
      </c>
      <c r="I21" s="170">
        <v>0</v>
      </c>
      <c r="J21" s="170">
        <v>0</v>
      </c>
      <c r="K21" s="170">
        <v>0</v>
      </c>
      <c r="L21">
        <v>0.8419894247146269</v>
      </c>
      <c r="N21" s="172">
        <f>MCond(B20:D22)</f>
        <v>2.6538713862709233</v>
      </c>
      <c r="O21" s="35">
        <f ca="1">MCond(OFFSET($B$12,(ROW(A10)-1)*4,0,3,3))</f>
        <v>3.6568969588621991</v>
      </c>
      <c r="P21" s="35" t="str">
        <f ca="1">MCond(OFFSET($B$12,(ROW(B10)-1)*4,0,3,6))</f>
        <v>?</v>
      </c>
      <c r="Q21" s="35">
        <f ca="1">MCond(OFFSET($E$12,(ROW(C10)-1)*4,0,3,3))</f>
        <v>1</v>
      </c>
      <c r="R21" s="35" t="str">
        <f ca="1">MCond(OFFSET($I$12,(ROW(D10)-1)*4,0,3,3))</f>
        <v>?</v>
      </c>
      <c r="S21" s="169">
        <v>9</v>
      </c>
      <c r="T21" s="35">
        <f ca="1">MCond(OFFSET($B$12,(ROW(A9)-1)*4,0,3,3))</f>
        <v>37.099744408603527</v>
      </c>
      <c r="V21">
        <f t="shared" ca="1" si="10"/>
        <v>1.726237534634497E-2</v>
      </c>
      <c r="W21" s="169">
        <v>9</v>
      </c>
      <c r="X21" s="169">
        <v>1</v>
      </c>
      <c r="Y21" s="35">
        <f t="shared" ca="1" si="9"/>
        <v>1.726237534634497E-2</v>
      </c>
      <c r="Z21" s="169">
        <v>2</v>
      </c>
      <c r="AA21" s="35">
        <f t="shared" ca="1" si="1"/>
        <v>1.4677145674475268E-2</v>
      </c>
      <c r="AB21" s="169">
        <v>3</v>
      </c>
      <c r="AC21" s="35">
        <f t="shared" ca="1" si="2"/>
        <v>2.233938618949671E-3</v>
      </c>
      <c r="AD21" s="169">
        <v>4</v>
      </c>
      <c r="AE21" s="35">
        <f t="shared" ca="1" si="3"/>
        <v>2.1933576137975457E-3</v>
      </c>
      <c r="AF21" s="169">
        <v>5</v>
      </c>
      <c r="AG21" s="35">
        <f t="shared" ca="1" si="4"/>
        <v>6.5554944078876111E-3</v>
      </c>
      <c r="AH21" s="169">
        <v>6</v>
      </c>
      <c r="AI21" s="35">
        <f t="shared" ca="1" si="5"/>
        <v>0</v>
      </c>
      <c r="AJ21" s="169">
        <v>7</v>
      </c>
      <c r="AK21" s="35">
        <f t="shared" ca="1" si="6"/>
        <v>0</v>
      </c>
      <c r="AL21" s="169">
        <v>8</v>
      </c>
      <c r="AM21" s="35">
        <f t="shared" ca="1" si="7"/>
        <v>0</v>
      </c>
    </row>
    <row r="22" spans="1:39">
      <c r="A22" s="170"/>
      <c r="B22" s="171">
        <v>-1.0351585166444348</v>
      </c>
      <c r="C22" s="171">
        <v>2.1037449841221099</v>
      </c>
      <c r="D22" s="171">
        <v>0.82913701269133588</v>
      </c>
      <c r="E22" s="170">
        <v>0</v>
      </c>
      <c r="F22" s="170">
        <v>0</v>
      </c>
      <c r="G22" s="170">
        <v>-1.4990492230334603E-2</v>
      </c>
      <c r="H22" s="170">
        <v>0</v>
      </c>
      <c r="I22" s="170">
        <v>0</v>
      </c>
      <c r="J22" s="170">
        <v>0</v>
      </c>
      <c r="K22" s="170">
        <v>0</v>
      </c>
      <c r="L22">
        <v>3.0923821493075776</v>
      </c>
      <c r="N22" s="172"/>
      <c r="O22" s="35">
        <f ca="1">MCond(OFFSET($B$12,(ROW(A11)-1)*4,0,3,3))</f>
        <v>4.497468867237159</v>
      </c>
      <c r="P22" s="35" t="str">
        <f ca="1">MCond(OFFSET($B$12,(ROW(B11)-1)*4,0,3,6))</f>
        <v>?</v>
      </c>
      <c r="Q22" s="35">
        <f ca="1">MCond(OFFSET($E$12,(ROW(C11)-1)*4,0,3,3))</f>
        <v>1</v>
      </c>
      <c r="R22" s="35" t="str">
        <f ca="1">MCond(OFFSET($I$12,(ROW(D11)-1)*4,0,3,3))</f>
        <v>?</v>
      </c>
      <c r="S22" s="169">
        <v>10</v>
      </c>
      <c r="T22" s="35">
        <f ca="1">MCond(OFFSET($B$12,(ROW(A10)-1)*4,0,3,3))</f>
        <v>3.6568969588621991</v>
      </c>
      <c r="V22">
        <f t="shared" ca="1" si="10"/>
        <v>1.701540776441238E-3</v>
      </c>
      <c r="W22" s="169">
        <v>10</v>
      </c>
      <c r="X22" s="169">
        <v>1</v>
      </c>
      <c r="Y22" s="35">
        <f t="shared" ca="1" si="9"/>
        <v>1.701540776441238E-3</v>
      </c>
      <c r="Z22" s="169">
        <v>2</v>
      </c>
      <c r="AA22" s="35">
        <f t="shared" ca="1" si="1"/>
        <v>2.4060454758172314E-3</v>
      </c>
      <c r="AB22" s="169">
        <v>3</v>
      </c>
      <c r="AC22" s="35">
        <f t="shared" ca="1" si="2"/>
        <v>2.5449566980370549E-3</v>
      </c>
      <c r="AD22" s="169">
        <v>4</v>
      </c>
      <c r="AE22" s="35">
        <f t="shared" ca="1" si="3"/>
        <v>3.1773997426940443E-3</v>
      </c>
      <c r="AF22" s="169">
        <v>5</v>
      </c>
      <c r="AG22" s="35">
        <f t="shared" ca="1" si="4"/>
        <v>5.1038528592465418E-3</v>
      </c>
      <c r="AH22" s="169">
        <v>6</v>
      </c>
      <c r="AI22" s="35">
        <f t="shared" ca="1" si="5"/>
        <v>0</v>
      </c>
      <c r="AJ22" s="169">
        <v>7</v>
      </c>
      <c r="AK22" s="35">
        <f t="shared" ca="1" si="6"/>
        <v>0</v>
      </c>
      <c r="AL22" s="169">
        <v>8</v>
      </c>
      <c r="AM22" s="35">
        <f t="shared" ca="1" si="7"/>
        <v>0</v>
      </c>
    </row>
    <row r="23" spans="1:39">
      <c r="A23" s="170"/>
      <c r="B23" s="171"/>
      <c r="C23" s="171"/>
      <c r="D23" s="171"/>
      <c r="E23" s="170"/>
      <c r="F23" s="170"/>
      <c r="G23" s="170"/>
      <c r="H23" s="170"/>
      <c r="I23" s="170"/>
      <c r="J23" s="170"/>
      <c r="K23" s="170"/>
      <c r="N23" s="173"/>
      <c r="O23" s="35">
        <f ca="1">MCond(OFFSET($B$12,(ROW(A12)-1)*4,0,3,3))</f>
        <v>2.7091989128856673</v>
      </c>
      <c r="P23" s="35" t="str">
        <f ca="1">MCond(OFFSET($B$12,(ROW(B12)-1)*4,0,3,6))</f>
        <v>?</v>
      </c>
      <c r="Q23" s="35">
        <f ca="1">MCond(OFFSET($E$12,(ROW(C12)-1)*4,0,3,3))</f>
        <v>1</v>
      </c>
      <c r="R23" s="35" t="str">
        <f ca="1">MCond(OFFSET($I$12,(ROW(D12)-1)*4,0,3,3))</f>
        <v>?</v>
      </c>
      <c r="S23" s="169">
        <v>11</v>
      </c>
      <c r="T23" s="35">
        <f ca="1">MCond(OFFSET($B$12,(ROW(A11)-1)*4,0,3,3))</f>
        <v>4.497468867237159</v>
      </c>
      <c r="V23">
        <f t="shared" ca="1" si="10"/>
        <v>2.0926558102309879E-3</v>
      </c>
      <c r="W23" s="169">
        <v>11</v>
      </c>
      <c r="X23" s="169">
        <v>1</v>
      </c>
      <c r="Y23" s="35">
        <f t="shared" ca="1" si="9"/>
        <v>2.0926558102309879E-3</v>
      </c>
      <c r="Z23" s="169">
        <v>2</v>
      </c>
      <c r="AA23" s="35">
        <f t="shared" ca="1" si="1"/>
        <v>3.33504997774024E-3</v>
      </c>
      <c r="AB23" s="169">
        <v>3</v>
      </c>
      <c r="AC23" s="35">
        <f t="shared" ca="1" si="2"/>
        <v>3.7615790936085941E-3</v>
      </c>
      <c r="AD23" s="169">
        <v>4</v>
      </c>
      <c r="AE23" s="35">
        <f t="shared" ca="1" si="3"/>
        <v>4.1873208274353091E-3</v>
      </c>
      <c r="AF23" s="169">
        <v>5</v>
      </c>
      <c r="AG23" s="35">
        <f t="shared" ca="1" si="4"/>
        <v>3.2425884114553345E-3</v>
      </c>
      <c r="AH23" s="169">
        <v>6</v>
      </c>
      <c r="AI23" s="35">
        <f t="shared" ca="1" si="5"/>
        <v>0</v>
      </c>
      <c r="AJ23" s="169">
        <v>7</v>
      </c>
      <c r="AK23" s="35">
        <f t="shared" ca="1" si="6"/>
        <v>0</v>
      </c>
      <c r="AL23" s="169">
        <v>8</v>
      </c>
      <c r="AM23" s="35">
        <f t="shared" ca="1" si="7"/>
        <v>0</v>
      </c>
    </row>
    <row r="24" spans="1:39">
      <c r="A24" s="170"/>
      <c r="B24" s="171">
        <v>-1.253875629566908</v>
      </c>
      <c r="C24" s="171">
        <v>-3.2592166127769939E-2</v>
      </c>
      <c r="D24" s="171">
        <v>0.73934661383723232</v>
      </c>
      <c r="E24" s="170">
        <v>-1.4990492230334603E-2</v>
      </c>
      <c r="F24" s="170">
        <v>0</v>
      </c>
      <c r="G24" s="170">
        <v>0</v>
      </c>
      <c r="H24" s="170">
        <v>0</v>
      </c>
      <c r="I24" s="170">
        <v>0</v>
      </c>
      <c r="J24" s="170">
        <v>0</v>
      </c>
      <c r="K24" s="170">
        <v>0</v>
      </c>
      <c r="L24">
        <v>1.0599498795536459</v>
      </c>
      <c r="N24" s="172"/>
      <c r="O24" s="35">
        <f ca="1">MCond(OFFSET($B$12,(ROW(A13)-1)*4,0,3,3))</f>
        <v>7.6413054265435116</v>
      </c>
      <c r="P24" s="35" t="str">
        <f ca="1">MCond(OFFSET($B$12,(ROW(B13)-1)*4,0,3,6))</f>
        <v>?</v>
      </c>
      <c r="Q24" s="35">
        <f ca="1">MCond(OFFSET($E$12,(ROW(C13)-1)*4,0,3,3))</f>
        <v>1</v>
      </c>
      <c r="R24" s="35" t="str">
        <f ca="1">MCond(OFFSET($I$12,(ROW(D13)-1)*4,0,3,3))</f>
        <v>?</v>
      </c>
      <c r="S24" s="169">
        <v>12</v>
      </c>
      <c r="T24" s="35">
        <f ca="1">MCond(OFFSET($B$12,(ROW(A12)-1)*4,0,3,3))</f>
        <v>2.7091989128856673</v>
      </c>
      <c r="V24">
        <f t="shared" ca="1" si="10"/>
        <v>1.2605803427394153E-3</v>
      </c>
      <c r="W24" s="169">
        <v>12</v>
      </c>
      <c r="X24" s="169">
        <v>1</v>
      </c>
      <c r="Y24" s="35">
        <f t="shared" ca="1" si="9"/>
        <v>1.2605803427394153E-3</v>
      </c>
      <c r="Z24" s="169">
        <v>2</v>
      </c>
      <c r="AA24" s="35">
        <f t="shared" ca="1" si="1"/>
        <v>2.3360459587504117E-3</v>
      </c>
      <c r="AB24" s="169">
        <v>3</v>
      </c>
      <c r="AC24" s="35">
        <f t="shared" ca="1" si="2"/>
        <v>6.9930559207090895E-3</v>
      </c>
      <c r="AD24" s="169">
        <v>4</v>
      </c>
      <c r="AE24" s="35">
        <f t="shared" ca="1" si="3"/>
        <v>1.9971095513401475E-3</v>
      </c>
      <c r="AF24" s="169">
        <v>5</v>
      </c>
      <c r="AG24" s="35">
        <f t="shared" ca="1" si="4"/>
        <v>2.0692395272206483E-3</v>
      </c>
      <c r="AH24" s="169">
        <v>6</v>
      </c>
      <c r="AI24" s="35">
        <f t="shared" ca="1" si="5"/>
        <v>0</v>
      </c>
      <c r="AJ24" s="169">
        <v>7</v>
      </c>
      <c r="AK24" s="35">
        <f t="shared" ca="1" si="6"/>
        <v>0</v>
      </c>
      <c r="AL24" s="169">
        <v>8</v>
      </c>
      <c r="AM24" s="35">
        <f t="shared" ca="1" si="7"/>
        <v>0</v>
      </c>
    </row>
    <row r="25" spans="1:39">
      <c r="A25" s="170" t="s">
        <v>217</v>
      </c>
      <c r="B25" s="171">
        <v>1.0419123890112216</v>
      </c>
      <c r="C25" s="171">
        <v>-4.0818532431212473E-2</v>
      </c>
      <c r="D25" s="171">
        <v>0.77248383184656022</v>
      </c>
      <c r="E25" s="170">
        <v>0</v>
      </c>
      <c r="F25" s="170">
        <v>-1.4990492230334603E-2</v>
      </c>
      <c r="G25" s="170">
        <v>0</v>
      </c>
      <c r="H25" s="170">
        <v>0</v>
      </c>
      <c r="I25" s="170">
        <v>0</v>
      </c>
      <c r="J25" s="170">
        <v>0</v>
      </c>
      <c r="K25" s="170">
        <v>0</v>
      </c>
      <c r="L25">
        <v>0.8419894247146269</v>
      </c>
      <c r="N25" s="172">
        <f>MCond(B24:D26)</f>
        <v>2.3783411134574881</v>
      </c>
      <c r="O25" s="35">
        <f ca="1">MCond(OFFSET($B$12,(ROW(A14)-1)*4,0,3,3))</f>
        <v>35.570359419370689</v>
      </c>
      <c r="P25" s="35" t="str">
        <f ca="1">MCond(OFFSET($B$12,(ROW(B14)-1)*4,0,3,6))</f>
        <v>?</v>
      </c>
      <c r="Q25" s="35">
        <f ca="1">MCond(OFFSET($E$12,(ROW(C14)-1)*4,0,3,3))</f>
        <v>1</v>
      </c>
      <c r="R25" s="35" t="str">
        <f ca="1">MCond(OFFSET($I$12,(ROW(D14)-1)*4,0,3,3))</f>
        <v>?</v>
      </c>
      <c r="S25" s="169">
        <v>13</v>
      </c>
      <c r="T25" s="35">
        <f ca="1">MCond(OFFSET($B$12,(ROW(A13)-1)*4,0,3,3))</f>
        <v>7.6413054265435116</v>
      </c>
      <c r="V25">
        <f t="shared" ca="1" si="10"/>
        <v>3.5554714597566652E-3</v>
      </c>
      <c r="W25" s="169">
        <v>13</v>
      </c>
      <c r="X25" s="169">
        <v>1</v>
      </c>
      <c r="Y25" s="35">
        <f t="shared" ca="1" si="9"/>
        <v>3.5554714597566652E-3</v>
      </c>
      <c r="Z25" s="169">
        <v>2</v>
      </c>
      <c r="AA25" s="35">
        <f t="shared" ca="1" si="1"/>
        <v>3.7307334345772674E-3</v>
      </c>
      <c r="AB25" s="169">
        <v>3</v>
      </c>
      <c r="AC25" s="35">
        <f t="shared" ca="1" si="2"/>
        <v>2.9735353684723002E-3</v>
      </c>
      <c r="AD25" s="169">
        <v>4</v>
      </c>
      <c r="AE25" s="35">
        <f t="shared" ca="1" si="3"/>
        <v>5.0318778380330047E-3</v>
      </c>
      <c r="AF25" s="169">
        <v>5</v>
      </c>
      <c r="AG25" s="35">
        <f t="shared" ca="1" si="4"/>
        <v>5.0771735804493734E-3</v>
      </c>
      <c r="AH25" s="169">
        <v>6</v>
      </c>
      <c r="AI25" s="35">
        <f t="shared" ca="1" si="5"/>
        <v>0</v>
      </c>
      <c r="AJ25" s="169">
        <v>7</v>
      </c>
      <c r="AK25" s="35">
        <f t="shared" ca="1" si="6"/>
        <v>0</v>
      </c>
      <c r="AL25" s="169">
        <v>8</v>
      </c>
      <c r="AM25" s="35">
        <f t="shared" ca="1" si="7"/>
        <v>0</v>
      </c>
    </row>
    <row r="26" spans="1:39">
      <c r="A26" s="170"/>
      <c r="B26" s="171">
        <v>0.58367185674448252</v>
      </c>
      <c r="C26" s="171">
        <v>2.0841504898711007</v>
      </c>
      <c r="D26" s="171">
        <v>0.75171422039661484</v>
      </c>
      <c r="E26" s="170">
        <v>0</v>
      </c>
      <c r="F26" s="170">
        <v>0</v>
      </c>
      <c r="G26" s="170">
        <v>-1.4990492230334603E-2</v>
      </c>
      <c r="H26" s="170">
        <v>0</v>
      </c>
      <c r="I26" s="170">
        <v>0</v>
      </c>
      <c r="J26" s="170">
        <v>0</v>
      </c>
      <c r="K26" s="170">
        <v>0</v>
      </c>
      <c r="L26">
        <v>2.6247151849659955</v>
      </c>
      <c r="N26" s="172"/>
      <c r="O26" s="35">
        <f ca="1">MCond(OFFSET($B$12,(ROW(A15)-1)*4,0,3,3))</f>
        <v>4.8602217427722341</v>
      </c>
      <c r="P26" s="35" t="str">
        <f ca="1">MCond(OFFSET($B$12,(ROW(B15)-1)*4,0,3,6))</f>
        <v>?</v>
      </c>
      <c r="Q26" s="35">
        <f ca="1">MCond(OFFSET($E$12,(ROW(C15)-1)*4,0,3,3))</f>
        <v>1</v>
      </c>
      <c r="R26" s="35" t="str">
        <f ca="1">MCond(OFFSET($I$12,(ROW(D15)-1)*4,0,3,3))</f>
        <v>?</v>
      </c>
      <c r="S26" s="169">
        <v>14</v>
      </c>
      <c r="T26" s="35">
        <f ca="1">MCond(OFFSET($B$12,(ROW(A14)-1)*4,0,3,3))</f>
        <v>35.570359419370689</v>
      </c>
      <c r="V26">
        <f t="shared" ca="1" si="10"/>
        <v>1.6550758106009467E-2</v>
      </c>
      <c r="W26" s="169">
        <v>14</v>
      </c>
      <c r="X26" s="169">
        <v>1</v>
      </c>
      <c r="Y26" s="35">
        <f t="shared" ca="1" si="9"/>
        <v>1.6550758106009467E-2</v>
      </c>
      <c r="Z26" s="169">
        <v>2</v>
      </c>
      <c r="AA26" s="35">
        <f t="shared" ca="1" si="1"/>
        <v>1.6677890710711601E-2</v>
      </c>
      <c r="AB26" s="169">
        <v>3</v>
      </c>
      <c r="AC26" s="35">
        <f t="shared" ca="1" si="2"/>
        <v>2.1914848798424542E-3</v>
      </c>
      <c r="AD26" s="169">
        <v>4</v>
      </c>
      <c r="AE26" s="35">
        <f t="shared" ca="1" si="3"/>
        <v>6.123829656514178E-3</v>
      </c>
      <c r="AF26" s="169">
        <v>5</v>
      </c>
      <c r="AG26" s="35">
        <f t="shared" ca="1" si="4"/>
        <v>2.1339186357065909E-3</v>
      </c>
      <c r="AH26" s="169">
        <v>6</v>
      </c>
      <c r="AI26" s="35">
        <f t="shared" ca="1" si="5"/>
        <v>0</v>
      </c>
      <c r="AJ26" s="169">
        <v>7</v>
      </c>
      <c r="AK26" s="35">
        <f t="shared" ca="1" si="6"/>
        <v>0</v>
      </c>
      <c r="AL26" s="169">
        <v>8</v>
      </c>
      <c r="AM26" s="35">
        <f t="shared" ca="1" si="7"/>
        <v>0</v>
      </c>
    </row>
    <row r="27" spans="1:39">
      <c r="A27" s="170"/>
      <c r="B27" s="171"/>
      <c r="C27" s="171"/>
      <c r="D27" s="171"/>
      <c r="E27" s="170"/>
      <c r="F27" s="170"/>
      <c r="G27" s="170"/>
      <c r="H27" s="170"/>
      <c r="I27" s="170"/>
      <c r="J27" s="170"/>
      <c r="K27" s="170"/>
      <c r="N27" s="173"/>
      <c r="O27" s="35">
        <f ca="1">MCond(OFFSET($B$12,(ROW(A16)-1)*4,0,3,3))</f>
        <v>4.1121618081555962</v>
      </c>
      <c r="P27" s="35" t="str">
        <f ca="1">MCond(OFFSET($B$12,(ROW(B16)-1)*4,0,3,6))</f>
        <v>?</v>
      </c>
      <c r="Q27" s="35">
        <f ca="1">MCond(OFFSET($E$12,(ROW(C16)-1)*4,0,3,3))</f>
        <v>1</v>
      </c>
      <c r="R27" s="35">
        <f ca="1">MCond(OFFSET($I$12,(ROW(D16)-1)*4,0,3,3))</f>
        <v>3.2505774195009289</v>
      </c>
      <c r="S27" s="169">
        <v>15</v>
      </c>
      <c r="T27" s="35">
        <f ca="1">MCond(OFFSET($B$12,(ROW(A15)-1)*4,0,3,3))</f>
        <v>4.8602217427722341</v>
      </c>
      <c r="V27">
        <f t="shared" ca="1" si="10"/>
        <v>2.2614433961098885E-3</v>
      </c>
      <c r="W27" s="169">
        <v>15</v>
      </c>
      <c r="X27" s="169">
        <v>1</v>
      </c>
      <c r="Y27" s="35">
        <f t="shared" ca="1" si="9"/>
        <v>2.2614433961098885E-3</v>
      </c>
      <c r="Z27" s="169">
        <v>2</v>
      </c>
      <c r="AA27" s="35">
        <f t="shared" ca="1" si="1"/>
        <v>2.8040011348422029E-3</v>
      </c>
      <c r="AB27" s="169">
        <v>3</v>
      </c>
      <c r="AC27" s="35">
        <f t="shared" ca="1" si="2"/>
        <v>1.2103097333815668E-2</v>
      </c>
      <c r="AD27" s="169">
        <v>4</v>
      </c>
      <c r="AE27" s="35">
        <f t="shared" ca="1" si="3"/>
        <v>2.3827204495554212E-3</v>
      </c>
      <c r="AF27" s="169">
        <v>5</v>
      </c>
      <c r="AG27" s="35">
        <f t="shared" ca="1" si="4"/>
        <v>4.3333855796214085E-3</v>
      </c>
      <c r="AH27" s="169">
        <v>6</v>
      </c>
      <c r="AI27" s="35">
        <f t="shared" ca="1" si="5"/>
        <v>0</v>
      </c>
      <c r="AJ27" s="169">
        <v>7</v>
      </c>
      <c r="AK27" s="35">
        <f t="shared" ca="1" si="6"/>
        <v>0</v>
      </c>
      <c r="AL27" s="169">
        <v>8</v>
      </c>
      <c r="AM27" s="35">
        <f t="shared" ca="1" si="7"/>
        <v>0</v>
      </c>
    </row>
    <row r="28" spans="1:39">
      <c r="A28" s="170"/>
      <c r="B28" s="171">
        <v>-1.253875629566908</v>
      </c>
      <c r="C28" s="171">
        <v>-3.2592166127769939E-2</v>
      </c>
      <c r="D28" s="171">
        <v>0.73934661383723232</v>
      </c>
      <c r="E28" s="170">
        <v>-1.4990492230334603E-2</v>
      </c>
      <c r="F28" s="170">
        <v>0</v>
      </c>
      <c r="G28" s="170">
        <v>0</v>
      </c>
      <c r="H28" s="170">
        <v>0</v>
      </c>
      <c r="I28" s="170">
        <v>0</v>
      </c>
      <c r="J28" s="170">
        <v>0</v>
      </c>
      <c r="K28" s="170">
        <v>0</v>
      </c>
      <c r="L28">
        <v>1.0599498795536459</v>
      </c>
      <c r="N28" s="172"/>
      <c r="O28" s="35">
        <f ca="1">MCond(OFFSET($B$12,(ROW(A17)-1)*4,0,3,3))</f>
        <v>4.6589206831506358</v>
      </c>
      <c r="P28" s="35" t="str">
        <f ca="1">MCond(OFFSET($B$12,(ROW(B17)-1)*4,0,3,6))</f>
        <v>?</v>
      </c>
      <c r="Q28" s="35">
        <f ca="1">MCond(OFFSET($E$12,(ROW(C17)-1)*4,0,3,3))</f>
        <v>1</v>
      </c>
      <c r="R28" s="35">
        <f ca="1">MCond(OFFSET($I$12,(ROW(D17)-1)*4,0,3,3))</f>
        <v>8.591549295774648</v>
      </c>
      <c r="S28" s="169">
        <v>16</v>
      </c>
      <c r="T28" s="35">
        <f ca="1">MCond(OFFSET($B$12,(ROW(A16)-1)*4,0,3,3))</f>
        <v>4.1121618081555962</v>
      </c>
      <c r="V28">
        <f t="shared" ca="1" si="10"/>
        <v>1.9133738452609059E-3</v>
      </c>
      <c r="W28" s="169">
        <v>16</v>
      </c>
      <c r="X28" s="169">
        <v>1</v>
      </c>
      <c r="Y28" s="35">
        <f t="shared" ca="1" si="9"/>
        <v>1.9133738452609059E-3</v>
      </c>
      <c r="Z28" s="169">
        <v>2</v>
      </c>
      <c r="AA28" s="35">
        <f t="shared" ca="1" si="1"/>
        <v>0.10344711804454056</v>
      </c>
      <c r="AB28" s="169">
        <v>3</v>
      </c>
      <c r="AC28" s="35">
        <f t="shared" ca="1" si="2"/>
        <v>0.10595102079595532</v>
      </c>
      <c r="AD28" s="169">
        <v>4</v>
      </c>
      <c r="AE28" s="35">
        <f t="shared" ca="1" si="3"/>
        <v>0.11639486628759733</v>
      </c>
      <c r="AF28" s="169">
        <v>5</v>
      </c>
      <c r="AG28" s="35">
        <f t="shared" ca="1" si="4"/>
        <v>0.13350721473592761</v>
      </c>
      <c r="AH28" s="169">
        <v>6</v>
      </c>
      <c r="AI28" s="35">
        <f t="shared" ca="1" si="5"/>
        <v>0</v>
      </c>
      <c r="AJ28" s="169">
        <v>7</v>
      </c>
      <c r="AK28" s="35">
        <f t="shared" ca="1" si="6"/>
        <v>0</v>
      </c>
      <c r="AL28" s="169">
        <v>8</v>
      </c>
      <c r="AM28" s="35">
        <f t="shared" ca="1" si="7"/>
        <v>0</v>
      </c>
    </row>
    <row r="29" spans="1:39">
      <c r="A29" s="170" t="s">
        <v>218</v>
      </c>
      <c r="B29" s="171">
        <v>1.0419123890112216</v>
      </c>
      <c r="C29" s="171">
        <v>-4.0818532431212473E-2</v>
      </c>
      <c r="D29" s="171">
        <v>0.77248383184656022</v>
      </c>
      <c r="E29" s="170">
        <v>0</v>
      </c>
      <c r="F29" s="170">
        <v>-1.4990492230334603E-2</v>
      </c>
      <c r="G29" s="170">
        <v>0</v>
      </c>
      <c r="H29" s="170">
        <v>0</v>
      </c>
      <c r="I29" s="170">
        <v>0</v>
      </c>
      <c r="J29" s="170">
        <v>0</v>
      </c>
      <c r="K29" s="170">
        <v>0</v>
      </c>
      <c r="L29">
        <v>0.8419894247146269</v>
      </c>
      <c r="N29" s="172">
        <f>MCond(B28:D30)</f>
        <v>2.2222525155344348</v>
      </c>
      <c r="O29" s="35">
        <f ca="1">MCond(OFFSET($B$12,(ROW(A18)-1)*4,0,3,3))</f>
        <v>3.0892013418031681</v>
      </c>
      <c r="P29" s="35" t="str">
        <f ca="1">MCond(OFFSET($B$12,(ROW(B18)-1)*4,0,3,6))</f>
        <v>?</v>
      </c>
      <c r="Q29" s="35">
        <f ca="1">MCond(OFFSET($E$12,(ROW(C18)-1)*4,0,3,3))</f>
        <v>1</v>
      </c>
      <c r="R29" s="35" t="str">
        <f ca="1">MCond(OFFSET($I$12,(ROW(D18)-1)*4,0,3,3))</f>
        <v>?</v>
      </c>
      <c r="S29" s="169">
        <v>17</v>
      </c>
      <c r="T29" s="35">
        <f ca="1">MCond(OFFSET($B$12,(ROW(A17)-1)*4,0,3,3))</f>
        <v>4.6589206831506358</v>
      </c>
      <c r="V29">
        <f t="shared" ca="1" si="10"/>
        <v>2.1677787495146643E-3</v>
      </c>
      <c r="W29" s="169">
        <v>17</v>
      </c>
      <c r="X29" s="169">
        <v>1</v>
      </c>
      <c r="Y29" s="35">
        <f t="shared" ca="1" si="9"/>
        <v>2.1677787495146643E-3</v>
      </c>
      <c r="Z29" s="169">
        <v>2</v>
      </c>
      <c r="AA29" s="35">
        <f t="shared" ca="1" si="1"/>
        <v>2.3008236759128404E-2</v>
      </c>
      <c r="AB29" s="169">
        <v>3</v>
      </c>
      <c r="AC29" s="35">
        <f t="shared" ca="1" si="2"/>
        <v>5.0013469078588682E-2</v>
      </c>
      <c r="AD29" s="169">
        <v>4</v>
      </c>
      <c r="AE29" s="35">
        <f t="shared" ca="1" si="3"/>
        <v>1.9300031341211388E-2</v>
      </c>
      <c r="AF29" s="169">
        <v>5</v>
      </c>
      <c r="AG29" s="35">
        <f t="shared" ca="1" si="4"/>
        <v>7.2405547944700083E-2</v>
      </c>
      <c r="AH29" s="169">
        <v>6</v>
      </c>
      <c r="AI29" s="35">
        <f t="shared" ca="1" si="5"/>
        <v>0</v>
      </c>
      <c r="AJ29" s="169">
        <v>7</v>
      </c>
      <c r="AK29" s="35">
        <f t="shared" ca="1" si="6"/>
        <v>0</v>
      </c>
      <c r="AL29" s="169">
        <v>8</v>
      </c>
      <c r="AM29" s="35">
        <f t="shared" ca="1" si="7"/>
        <v>0</v>
      </c>
    </row>
    <row r="30" spans="1:39">
      <c r="A30" s="170"/>
      <c r="B30" s="171">
        <v>-2.5457845528396139E-2</v>
      </c>
      <c r="C30" s="171">
        <v>2.3667658472617719</v>
      </c>
      <c r="D30" s="171">
        <v>6.368425350466822E-2</v>
      </c>
      <c r="E30" s="170">
        <v>0</v>
      </c>
      <c r="F30" s="170">
        <v>0</v>
      </c>
      <c r="G30" s="170">
        <v>-1.4990492230334603E-2</v>
      </c>
      <c r="H30" s="170">
        <v>0</v>
      </c>
      <c r="I30" s="170">
        <v>0</v>
      </c>
      <c r="J30" s="170">
        <v>0</v>
      </c>
      <c r="K30" s="170">
        <v>0</v>
      </c>
      <c r="L30">
        <v>2.803142180904064</v>
      </c>
      <c r="N30" s="172"/>
      <c r="O30" s="35">
        <f ca="1">MCond(OFFSET($B$12,(ROW(A19)-1)*4,0,3,3))</f>
        <v>2.5761959575841629</v>
      </c>
      <c r="P30" s="35" t="str">
        <f ca="1">MCond(OFFSET($B$12,(ROW(B19)-1)*4,0,3,6))</f>
        <v>?</v>
      </c>
      <c r="Q30" s="35">
        <f ca="1">MCond(OFFSET($E$12,(ROW(C19)-1)*4,0,3,3))</f>
        <v>1</v>
      </c>
      <c r="R30" s="35">
        <f ca="1">MCond(OFFSET($I$12,(ROW(D19)-1)*4,0,3,3))</f>
        <v>4.2363530294191181</v>
      </c>
      <c r="S30" s="169">
        <v>18</v>
      </c>
      <c r="T30" s="35">
        <f ca="1">MCond(OFFSET($B$12,(ROW(A18)-1)*4,0,3,3))</f>
        <v>3.0892013418031681</v>
      </c>
      <c r="V30">
        <f t="shared" ca="1" si="10"/>
        <v>1.4373940827008002E-3</v>
      </c>
      <c r="W30" s="169">
        <v>18</v>
      </c>
      <c r="X30" s="169">
        <v>1</v>
      </c>
      <c r="Y30" s="35">
        <f t="shared" ca="1" si="9"/>
        <v>1.4373940827008002E-3</v>
      </c>
      <c r="Z30" s="169">
        <v>2</v>
      </c>
      <c r="AA30" s="35">
        <f t="shared" ca="1" si="1"/>
        <v>0.1478721527390251</v>
      </c>
      <c r="AB30" s="169">
        <v>3</v>
      </c>
      <c r="AC30" s="35">
        <f t="shared" ca="1" si="2"/>
        <v>0.20255814689085719</v>
      </c>
      <c r="AD30" s="169">
        <v>4</v>
      </c>
      <c r="AE30" s="35">
        <f t="shared" ca="1" si="3"/>
        <v>0.13876459201171612</v>
      </c>
      <c r="AF30" s="169">
        <v>5</v>
      </c>
      <c r="AG30" s="35">
        <f t="shared" ca="1" si="4"/>
        <v>7.4115211706482664E-2</v>
      </c>
      <c r="AH30" s="169">
        <v>6</v>
      </c>
      <c r="AI30" s="35">
        <f t="shared" ca="1" si="5"/>
        <v>0</v>
      </c>
      <c r="AJ30" s="169">
        <v>7</v>
      </c>
      <c r="AK30" s="35">
        <f t="shared" ca="1" si="6"/>
        <v>0</v>
      </c>
      <c r="AL30" s="169">
        <v>8</v>
      </c>
      <c r="AM30" s="35">
        <f t="shared" ca="1" si="7"/>
        <v>0</v>
      </c>
    </row>
    <row r="31" spans="1:39">
      <c r="A31" s="170"/>
      <c r="B31" s="171"/>
      <c r="C31" s="171"/>
      <c r="D31" s="171"/>
      <c r="E31" s="170"/>
      <c r="F31" s="170"/>
      <c r="G31" s="170"/>
      <c r="H31" s="170"/>
      <c r="I31" s="170"/>
      <c r="J31" s="170"/>
      <c r="K31" s="170"/>
      <c r="N31" s="173"/>
      <c r="O31" s="35">
        <f ca="1">MCond(OFFSET($B$12,(ROW(A20)-1)*4,0,3,3))</f>
        <v>6.0546724397063105</v>
      </c>
      <c r="P31" s="35" t="str">
        <f ca="1">MCond(OFFSET($B$12,(ROW(B20)-1)*4,0,3,6))</f>
        <v>?</v>
      </c>
      <c r="Q31" s="35">
        <f ca="1">MCond(OFFSET($E$12,(ROW(C20)-1)*4,0,3,3))</f>
        <v>1</v>
      </c>
      <c r="R31" s="35">
        <f ca="1">MCond(OFFSET($I$12,(ROW(D20)-1)*4,0,3,3))</f>
        <v>3.1166314305849192</v>
      </c>
      <c r="S31" s="169">
        <v>19</v>
      </c>
      <c r="T31" s="35">
        <f ca="1">MCond(OFFSET($B$12,(ROW(A19)-1)*4,0,3,3))</f>
        <v>2.5761959575841629</v>
      </c>
      <c r="U31" s="35"/>
      <c r="V31">
        <f t="shared" ca="1" si="8"/>
        <v>1.1986945542202018E-3</v>
      </c>
      <c r="W31" s="169">
        <v>19</v>
      </c>
      <c r="X31" s="169">
        <v>1</v>
      </c>
      <c r="Y31" s="35">
        <f t="shared" ca="1" si="9"/>
        <v>1.1986945542202018E-3</v>
      </c>
      <c r="Z31" s="169">
        <v>2</v>
      </c>
      <c r="AA31" s="35">
        <f t="shared" ca="1" si="1"/>
        <v>7.2038630574073406E-3</v>
      </c>
      <c r="AB31" s="169">
        <v>3</v>
      </c>
      <c r="AC31" s="35">
        <f t="shared" ca="1" si="2"/>
        <v>1.1600172290614802E-2</v>
      </c>
      <c r="AD31" s="169">
        <v>4</v>
      </c>
      <c r="AE31" s="35">
        <f t="shared" ca="1" si="3"/>
        <v>6.0558984501872578E-3</v>
      </c>
      <c r="AF31" s="169">
        <v>5</v>
      </c>
      <c r="AG31" s="35">
        <f t="shared" ca="1" si="4"/>
        <v>5.2762235777945882E-3</v>
      </c>
      <c r="AH31" s="169">
        <v>6</v>
      </c>
      <c r="AI31" s="35">
        <f t="shared" ca="1" si="5"/>
        <v>0</v>
      </c>
      <c r="AJ31" s="169">
        <v>7</v>
      </c>
      <c r="AK31" s="35">
        <f t="shared" ca="1" si="6"/>
        <v>0</v>
      </c>
      <c r="AL31" s="169">
        <v>8</v>
      </c>
      <c r="AM31" s="35">
        <f t="shared" ca="1" si="7"/>
        <v>0</v>
      </c>
    </row>
    <row r="32" spans="1:39">
      <c r="A32" s="170"/>
      <c r="B32" s="171">
        <v>-1.253875629566908</v>
      </c>
      <c r="C32" s="171">
        <v>-3.2592166127769939E-2</v>
      </c>
      <c r="D32" s="171">
        <v>0.73934661383723232</v>
      </c>
      <c r="E32" s="170">
        <v>-1.4990492230334603E-2</v>
      </c>
      <c r="F32" s="170">
        <v>0</v>
      </c>
      <c r="G32" s="170">
        <v>0</v>
      </c>
      <c r="H32" s="170">
        <v>0</v>
      </c>
      <c r="I32" s="170">
        <v>0</v>
      </c>
      <c r="J32" s="170">
        <v>0</v>
      </c>
      <c r="K32" s="170">
        <v>0</v>
      </c>
      <c r="L32">
        <v>1.0599498795536459</v>
      </c>
      <c r="N32" s="172"/>
      <c r="O32" s="35">
        <f ca="1">MCond(OFFSET($B$12,(ROW(A21)-1)*4,0,3,3))</f>
        <v>12.13640308765223</v>
      </c>
      <c r="P32" s="35" t="str">
        <f ca="1">MCond(OFFSET($B$12,(ROW(B21)-1)*4,0,3,6))</f>
        <v>?</v>
      </c>
      <c r="Q32" s="35">
        <f ca="1">MCond(OFFSET($E$12,(ROW(C21)-1)*4,0,3,3))</f>
        <v>1</v>
      </c>
      <c r="R32" s="35" t="str">
        <f ca="1">MCond(OFFSET($I$12,(ROW(D21)-1)*4,0,3,3))</f>
        <v>?</v>
      </c>
      <c r="S32" s="169">
        <v>20</v>
      </c>
      <c r="T32" s="35">
        <f ca="1">MCond(OFFSET($B$12,(ROW(A20)-1)*4,0,3,3))</f>
        <v>6.0546724397063105</v>
      </c>
      <c r="U32" s="35"/>
      <c r="V32">
        <f t="shared" ca="1" si="8"/>
        <v>2.8172169355738896E-3</v>
      </c>
      <c r="W32" s="169">
        <v>20</v>
      </c>
      <c r="X32" s="169">
        <v>1</v>
      </c>
      <c r="Y32" s="35">
        <f t="shared" ca="1" si="9"/>
        <v>2.8172169355738896E-3</v>
      </c>
      <c r="Z32" s="169">
        <v>2</v>
      </c>
      <c r="AA32" s="35">
        <f t="shared" ca="1" si="1"/>
        <v>8.3936581733394688E-2</v>
      </c>
      <c r="AB32" s="169">
        <v>3</v>
      </c>
      <c r="AC32" s="35">
        <f t="shared" ca="1" si="2"/>
        <v>6.3760962689733316E-2</v>
      </c>
      <c r="AD32" s="169">
        <v>4</v>
      </c>
      <c r="AE32" s="35">
        <f t="shared" ca="1" si="3"/>
        <v>1.9462301841567817E-2</v>
      </c>
      <c r="AF32" s="169">
        <v>5</v>
      </c>
      <c r="AG32" s="35">
        <f t="shared" ca="1" si="4"/>
        <v>5.0037946703832471E-2</v>
      </c>
      <c r="AH32" s="169">
        <v>6</v>
      </c>
      <c r="AI32" s="35">
        <f t="shared" ca="1" si="5"/>
        <v>0</v>
      </c>
      <c r="AJ32" s="169">
        <v>7</v>
      </c>
      <c r="AK32" s="35">
        <f t="shared" ca="1" si="6"/>
        <v>0</v>
      </c>
      <c r="AL32" s="169">
        <v>8</v>
      </c>
      <c r="AM32" s="35">
        <f t="shared" ca="1" si="7"/>
        <v>0</v>
      </c>
    </row>
    <row r="33" spans="1:39">
      <c r="A33" s="170" t="s">
        <v>219</v>
      </c>
      <c r="B33" s="171">
        <v>-1.4028471761352286</v>
      </c>
      <c r="C33" s="171">
        <v>0.814665459345566</v>
      </c>
      <c r="D33" s="171">
        <v>0.7195871750303805</v>
      </c>
      <c r="E33" s="170">
        <v>0</v>
      </c>
      <c r="F33" s="170">
        <v>-1.4990492230334603E-2</v>
      </c>
      <c r="G33" s="170">
        <v>0</v>
      </c>
      <c r="H33" s="170">
        <v>0</v>
      </c>
      <c r="I33" s="170">
        <v>0</v>
      </c>
      <c r="J33" s="170">
        <v>0</v>
      </c>
      <c r="K33" s="170">
        <v>0</v>
      </c>
      <c r="L33">
        <v>1.5747328563547551</v>
      </c>
      <c r="N33" s="172">
        <f>MCond(B32:D34)</f>
        <v>5.3803548414248699</v>
      </c>
      <c r="O33" s="35">
        <f ca="1">MCond(OFFSET($B$12,(ROW(A22)-1)*4,0,3,3))</f>
        <v>18.020767054039418</v>
      </c>
      <c r="P33" s="35" t="str">
        <f ca="1">MCond(OFFSET($B$12,(ROW(B22)-1)*4,0,3,6))</f>
        <v>?</v>
      </c>
      <c r="Q33" s="35">
        <f ca="1">MCond(OFFSET($E$12,(ROW(C22)-1)*4,0,3,3))</f>
        <v>1</v>
      </c>
      <c r="R33" s="35">
        <f ca="1">MCond(OFFSET($I$12,(ROW(D22)-1)*4,0,3,3))</f>
        <v>1.5367601986564421</v>
      </c>
      <c r="S33" s="169">
        <v>21</v>
      </c>
      <c r="T33" s="35">
        <f ca="1">MCond(OFFSET($B$12,(ROW(A21)-1)*4,0,3,3))</f>
        <v>12.13640308765223</v>
      </c>
      <c r="V33">
        <f t="shared" ca="1" si="8"/>
        <v>5.6470239564509915E-3</v>
      </c>
      <c r="W33" s="169">
        <v>21</v>
      </c>
      <c r="X33" s="169">
        <v>1</v>
      </c>
      <c r="Y33" s="35">
        <f t="shared" ca="1" si="9"/>
        <v>5.6470239564509915E-3</v>
      </c>
      <c r="Z33" s="169">
        <v>2</v>
      </c>
      <c r="AA33" s="35">
        <f t="shared" ca="1" si="1"/>
        <v>0.15174348126839166</v>
      </c>
      <c r="AB33" s="169">
        <v>3</v>
      </c>
      <c r="AC33" s="35">
        <f t="shared" ca="1" si="2"/>
        <v>7.3386494269036179E-2</v>
      </c>
      <c r="AD33" s="169">
        <v>4</v>
      </c>
      <c r="AE33" s="35">
        <f t="shared" ca="1" si="3"/>
        <v>0.71279731689324766</v>
      </c>
      <c r="AF33" s="169">
        <v>5</v>
      </c>
      <c r="AG33" s="35">
        <f t="shared" ca="1" si="4"/>
        <v>1</v>
      </c>
      <c r="AH33" s="169">
        <v>6</v>
      </c>
      <c r="AI33" s="35">
        <f t="shared" ca="1" si="5"/>
        <v>0</v>
      </c>
      <c r="AJ33" s="169">
        <v>7</v>
      </c>
      <c r="AK33" s="35">
        <f t="shared" ca="1" si="6"/>
        <v>0</v>
      </c>
      <c r="AL33" s="169">
        <v>8</v>
      </c>
      <c r="AM33" s="35">
        <f t="shared" ca="1" si="7"/>
        <v>0</v>
      </c>
    </row>
    <row r="34" spans="1:39">
      <c r="A34" s="170"/>
      <c r="B34" s="171">
        <v>1.4421025939282253</v>
      </c>
      <c r="C34" s="171">
        <v>1.0431877148697888</v>
      </c>
      <c r="D34" s="171">
        <v>0.78932433807079116</v>
      </c>
      <c r="E34" s="170">
        <v>0</v>
      </c>
      <c r="F34" s="170">
        <v>0</v>
      </c>
      <c r="G34" s="170">
        <v>-1.4990492230334603E-2</v>
      </c>
      <c r="H34" s="170">
        <v>0</v>
      </c>
      <c r="I34" s="170">
        <v>0</v>
      </c>
      <c r="J34" s="170">
        <v>0</v>
      </c>
      <c r="K34" s="170">
        <v>0</v>
      </c>
      <c r="L34">
        <v>1.8954667052703302</v>
      </c>
      <c r="N34" s="172"/>
      <c r="O34" s="35">
        <f ca="1">MCond(OFFSET($B$12,(ROW(A23)-1)*4,0,3,3))</f>
        <v>5.8822782062311054</v>
      </c>
      <c r="P34" s="35" t="str">
        <f ca="1">MCond(OFFSET($B$12,(ROW(B23)-1)*4,0,3,6))</f>
        <v>?</v>
      </c>
      <c r="Q34" s="35">
        <f ca="1">MCond(OFFSET($E$12,(ROW(C23)-1)*4,0,3,3))</f>
        <v>1</v>
      </c>
      <c r="R34" s="35" t="str">
        <f ca="1">MCond(OFFSET($I$12,(ROW(D23)-1)*4,0,3,3))</f>
        <v>?</v>
      </c>
      <c r="S34" s="169">
        <v>22</v>
      </c>
      <c r="T34" s="35">
        <f ca="1">MCond(OFFSET($B$12,(ROW(A22)-1)*4,0,3,3))</f>
        <v>18.020767054039418</v>
      </c>
      <c r="V34">
        <f t="shared" ca="1" si="8"/>
        <v>8.3849969824518564E-3</v>
      </c>
      <c r="W34" s="169">
        <v>22</v>
      </c>
      <c r="X34" s="169">
        <v>1</v>
      </c>
      <c r="Y34" s="35">
        <f t="shared" ca="1" si="9"/>
        <v>8.3849969824518564E-3</v>
      </c>
      <c r="Z34" s="169">
        <v>2</v>
      </c>
      <c r="AA34" s="35">
        <f t="shared" ca="1" si="1"/>
        <v>9.0142413820166779E-3</v>
      </c>
      <c r="AB34" s="169">
        <v>3</v>
      </c>
      <c r="AC34" s="35">
        <f t="shared" ca="1" si="2"/>
        <v>5.2282085609618783E-3</v>
      </c>
      <c r="AD34" s="169">
        <v>4</v>
      </c>
      <c r="AE34" s="35">
        <f t="shared" ca="1" si="3"/>
        <v>5.0172103444661529E-3</v>
      </c>
      <c r="AF34" s="169">
        <v>5</v>
      </c>
      <c r="AG34" s="35">
        <f t="shared" ca="1" si="4"/>
        <v>9.1065060021560274E-3</v>
      </c>
      <c r="AH34" s="169">
        <v>6</v>
      </c>
      <c r="AI34" s="35">
        <f t="shared" ca="1" si="5"/>
        <v>0</v>
      </c>
      <c r="AJ34" s="169">
        <v>7</v>
      </c>
      <c r="AK34" s="35">
        <f t="shared" ca="1" si="6"/>
        <v>0</v>
      </c>
      <c r="AL34" s="169">
        <v>8</v>
      </c>
      <c r="AM34" s="35">
        <f t="shared" ca="1" si="7"/>
        <v>0</v>
      </c>
    </row>
    <row r="35" spans="1:39">
      <c r="A35" s="170"/>
      <c r="B35" s="171"/>
      <c r="C35" s="171"/>
      <c r="D35" s="171"/>
      <c r="E35" s="170"/>
      <c r="F35" s="170"/>
      <c r="G35" s="170"/>
      <c r="H35" s="170"/>
      <c r="I35" s="170"/>
      <c r="J35" s="170"/>
      <c r="K35" s="170"/>
      <c r="N35" s="173"/>
      <c r="O35" s="35">
        <f ca="1">MCond(OFFSET($B$12,(ROW(A24)-1)*4,0,3,3))</f>
        <v>3.8811004351956018</v>
      </c>
      <c r="P35" s="35" t="str">
        <f ca="1">MCond(OFFSET($B$12,(ROW(B24)-1)*4,0,3,6))</f>
        <v>?</v>
      </c>
      <c r="Q35" s="35">
        <f ca="1">MCond(OFFSET($E$12,(ROW(C24)-1)*4,0,3,3))</f>
        <v>1</v>
      </c>
      <c r="R35" s="35">
        <f ca="1">MCond(OFFSET($I$12,(ROW(D24)-1)*4,0,3,3))</f>
        <v>3.1166314305849192</v>
      </c>
      <c r="S35" s="169">
        <v>23</v>
      </c>
      <c r="T35" s="35">
        <f ca="1">MCond(OFFSET($B$12,(ROW(A23)-1)*4,0,3,3))</f>
        <v>5.8822782062311054</v>
      </c>
      <c r="V35">
        <f t="shared" ca="1" si="8"/>
        <v>2.7370025294308573E-3</v>
      </c>
      <c r="W35" s="169">
        <v>23</v>
      </c>
      <c r="X35" s="169">
        <v>1</v>
      </c>
      <c r="Y35" s="35">
        <f t="shared" ca="1" si="9"/>
        <v>2.7370025294308573E-3</v>
      </c>
      <c r="Z35" s="169">
        <v>2</v>
      </c>
      <c r="AA35" s="35">
        <f t="shared" ca="1" si="1"/>
        <v>2.6611886182106206E-2</v>
      </c>
      <c r="AB35" s="169">
        <v>3</v>
      </c>
      <c r="AC35" s="35">
        <f t="shared" ca="1" si="2"/>
        <v>2.8211254622303755E-2</v>
      </c>
      <c r="AD35" s="169">
        <v>4</v>
      </c>
      <c r="AE35" s="35">
        <f t="shared" ca="1" si="3"/>
        <v>1.5186240937178618E-2</v>
      </c>
      <c r="AF35" s="169">
        <v>5</v>
      </c>
      <c r="AG35" s="35">
        <f t="shared" ca="1" si="4"/>
        <v>2.7386810344610952E-2</v>
      </c>
      <c r="AH35" s="169">
        <v>6</v>
      </c>
      <c r="AI35" s="35">
        <f t="shared" ca="1" si="5"/>
        <v>0</v>
      </c>
      <c r="AJ35" s="169">
        <v>7</v>
      </c>
      <c r="AK35" s="35">
        <f t="shared" ca="1" si="6"/>
        <v>0</v>
      </c>
      <c r="AL35" s="169">
        <v>8</v>
      </c>
      <c r="AM35" s="35">
        <f t="shared" ca="1" si="7"/>
        <v>0</v>
      </c>
    </row>
    <row r="36" spans="1:39">
      <c r="A36" s="170"/>
      <c r="B36" s="171">
        <v>-1.253875629566908</v>
      </c>
      <c r="C36" s="171">
        <v>-3.2592166127769939E-2</v>
      </c>
      <c r="D36" s="171">
        <v>0.73934661383723232</v>
      </c>
      <c r="E36" s="170">
        <v>-1.4990492230334603E-2</v>
      </c>
      <c r="F36" s="170">
        <v>0</v>
      </c>
      <c r="G36" s="170">
        <v>0</v>
      </c>
      <c r="H36" s="170">
        <v>0</v>
      </c>
      <c r="I36" s="170">
        <v>0</v>
      </c>
      <c r="J36" s="170">
        <v>0</v>
      </c>
      <c r="K36" s="170">
        <v>0</v>
      </c>
      <c r="L36">
        <v>1.0599498795536459</v>
      </c>
      <c r="N36" s="172"/>
      <c r="O36" s="35">
        <f ca="1">MCond(OFFSET($B$12,(ROW(A25)-1)*4,0,3,3))</f>
        <v>24.848605975354669</v>
      </c>
      <c r="P36" s="35" t="str">
        <f ca="1">MCond(OFFSET($B$12,(ROW(B25)-1)*4,0,3,6))</f>
        <v>?</v>
      </c>
      <c r="Q36" s="35">
        <f ca="1">MCond(OFFSET($E$12,(ROW(C25)-1)*4,0,3,3))</f>
        <v>1</v>
      </c>
      <c r="R36" s="35" t="str">
        <f ca="1">MCond(OFFSET($I$12,(ROW(D25)-1)*4,0,3,3))</f>
        <v>?</v>
      </c>
      <c r="S36" s="169">
        <v>24</v>
      </c>
      <c r="T36" s="35">
        <f ca="1">MCond(OFFSET($B$12,(ROW(A24)-1)*4,0,3,3))</f>
        <v>3.8811004351956018</v>
      </c>
      <c r="V36">
        <f t="shared" ca="1" si="8"/>
        <v>1.8058618337454776E-3</v>
      </c>
      <c r="W36" s="169">
        <v>24</v>
      </c>
      <c r="X36" s="169">
        <v>1</v>
      </c>
      <c r="Y36" s="35">
        <f t="shared" ca="1" si="9"/>
        <v>1.8058618337454776E-3</v>
      </c>
      <c r="Z36" s="169">
        <v>2</v>
      </c>
      <c r="AA36" s="35">
        <f t="shared" ca="1" si="1"/>
        <v>3.2972073199274299E-3</v>
      </c>
      <c r="AB36" s="169">
        <v>3</v>
      </c>
      <c r="AC36" s="35">
        <f t="shared" ca="1" si="2"/>
        <v>4.0605103938523186E-3</v>
      </c>
      <c r="AD36" s="169">
        <v>4</v>
      </c>
      <c r="AE36" s="35">
        <f t="shared" ca="1" si="3"/>
        <v>5.1017315032691512E-3</v>
      </c>
      <c r="AF36" s="169">
        <v>5</v>
      </c>
      <c r="AG36" s="35">
        <f t="shared" ca="1" si="4"/>
        <v>3.4120276753595896E-3</v>
      </c>
      <c r="AH36" s="169">
        <v>6</v>
      </c>
      <c r="AI36" s="35">
        <f t="shared" ca="1" si="5"/>
        <v>0</v>
      </c>
      <c r="AJ36" s="169">
        <v>7</v>
      </c>
      <c r="AK36" s="35">
        <f t="shared" ca="1" si="6"/>
        <v>0</v>
      </c>
      <c r="AL36" s="169">
        <v>8</v>
      </c>
      <c r="AM36" s="35">
        <f t="shared" ca="1" si="7"/>
        <v>0</v>
      </c>
    </row>
    <row r="37" spans="1:39">
      <c r="A37" s="170" t="s">
        <v>220</v>
      </c>
      <c r="B37" s="171">
        <v>-1.4028471761352286</v>
      </c>
      <c r="C37" s="171">
        <v>0.814665459345566</v>
      </c>
      <c r="D37" s="171">
        <v>0.7195871750303805</v>
      </c>
      <c r="E37" s="170">
        <v>0</v>
      </c>
      <c r="F37" s="170">
        <v>-1.4990492230334603E-2</v>
      </c>
      <c r="G37" s="170">
        <v>0</v>
      </c>
      <c r="H37" s="170">
        <v>0</v>
      </c>
      <c r="I37" s="170">
        <v>0</v>
      </c>
      <c r="J37" s="170">
        <v>0</v>
      </c>
      <c r="K37" s="170">
        <v>0</v>
      </c>
      <c r="L37">
        <v>1.5747328563547551</v>
      </c>
      <c r="N37" s="172">
        <f>MCond(B36:D38)</f>
        <v>24.281240562435144</v>
      </c>
      <c r="O37" s="35">
        <f ca="1">MCond(OFFSET($B$12,(ROW(A26)-1)*4,0,3,3))</f>
        <v>7.3654400484483462</v>
      </c>
      <c r="P37" s="35" t="str">
        <f ca="1">MCond(OFFSET($B$12,(ROW(B26)-1)*4,0,3,6))</f>
        <v>?</v>
      </c>
      <c r="Q37" s="35">
        <f ca="1">MCond(OFFSET($E$12,(ROW(C26)-1)*4,0,3,3))</f>
        <v>1</v>
      </c>
      <c r="R37" s="35">
        <f ca="1">MCond(OFFSET($I$12,(ROW(D26)-1)*4,0,3,3))</f>
        <v>8.591549295774648</v>
      </c>
      <c r="S37" s="169">
        <v>25</v>
      </c>
      <c r="T37" s="35">
        <f ca="1">MCond(OFFSET($B$12,(ROW(A25)-1)*4,0,3,3))</f>
        <v>24.848605975354669</v>
      </c>
      <c r="V37">
        <f t="shared" ca="1" si="8"/>
        <v>1.1561965453339595E-2</v>
      </c>
      <c r="W37" s="169">
        <v>25</v>
      </c>
      <c r="X37" s="169">
        <v>1</v>
      </c>
      <c r="Y37" s="35">
        <f t="shared" ca="1" si="9"/>
        <v>1.1561965453339595E-2</v>
      </c>
      <c r="Z37" s="169">
        <v>2</v>
      </c>
      <c r="AA37" s="35">
        <f t="shared" ca="1" si="1"/>
        <v>4.523438999972036E-3</v>
      </c>
      <c r="AB37" s="169">
        <v>3</v>
      </c>
      <c r="AC37" s="35">
        <f t="shared" ca="1" si="2"/>
        <v>3.8048755660044309E-3</v>
      </c>
      <c r="AD37" s="169">
        <v>4</v>
      </c>
      <c r="AE37" s="35">
        <f t="shared" ca="1" si="3"/>
        <v>3.3527102857829442E-3</v>
      </c>
      <c r="AF37" s="169">
        <v>5</v>
      </c>
      <c r="AG37" s="35">
        <f t="shared" ca="1" si="4"/>
        <v>3.9563679581483642E-3</v>
      </c>
      <c r="AH37" s="169">
        <v>6</v>
      </c>
      <c r="AI37" s="35">
        <f t="shared" ca="1" si="5"/>
        <v>0</v>
      </c>
      <c r="AJ37" s="169">
        <v>7</v>
      </c>
      <c r="AK37" s="35">
        <f t="shared" ca="1" si="6"/>
        <v>0</v>
      </c>
      <c r="AL37" s="169">
        <v>8</v>
      </c>
      <c r="AM37" s="35">
        <f t="shared" ca="1" si="7"/>
        <v>0</v>
      </c>
    </row>
    <row r="38" spans="1:39">
      <c r="A38" s="170"/>
      <c r="B38" s="171">
        <v>-1.0351585166444348</v>
      </c>
      <c r="C38" s="171">
        <v>2.1037449841221099</v>
      </c>
      <c r="D38" s="171">
        <v>0.82913701269133588</v>
      </c>
      <c r="E38" s="170">
        <v>0</v>
      </c>
      <c r="F38" s="170">
        <v>0</v>
      </c>
      <c r="G38" s="170">
        <v>-1.4990492230334603E-2</v>
      </c>
      <c r="H38" s="170">
        <v>0</v>
      </c>
      <c r="I38" s="170">
        <v>0</v>
      </c>
      <c r="J38" s="170">
        <v>0</v>
      </c>
      <c r="K38" s="170">
        <v>0</v>
      </c>
      <c r="L38">
        <v>3.0923821493075776</v>
      </c>
      <c r="N38" s="172"/>
      <c r="O38" s="35">
        <f ca="1">MCond(OFFSET($B$12,(ROW(A27)-1)*4,0,3,3))</f>
        <v>6.5826761170413119</v>
      </c>
      <c r="P38" s="35" t="str">
        <f ca="1">MCond(OFFSET($B$12,(ROW(B27)-1)*4,0,3,6))</f>
        <v>?</v>
      </c>
      <c r="Q38" s="35">
        <f ca="1">MCond(OFFSET($E$12,(ROW(C27)-1)*4,0,3,3))</f>
        <v>1</v>
      </c>
      <c r="R38" s="35" t="str">
        <f ca="1">MCond(OFFSET($I$12,(ROW(D27)-1)*4,0,3,3))</f>
        <v>?</v>
      </c>
      <c r="S38" s="169">
        <v>26</v>
      </c>
      <c r="T38" s="35">
        <f ca="1">MCond(OFFSET($B$12,(ROW(A26)-1)*4,0,3,3))</f>
        <v>7.3654400484483462</v>
      </c>
      <c r="V38">
        <f t="shared" ca="1" si="8"/>
        <v>3.427112308564352E-3</v>
      </c>
      <c r="W38" s="169">
        <v>26</v>
      </c>
      <c r="X38" s="169">
        <v>1</v>
      </c>
      <c r="Y38" s="35">
        <f t="shared" ca="1" si="9"/>
        <v>3.427112308564352E-3</v>
      </c>
      <c r="Z38" s="169">
        <v>2</v>
      </c>
      <c r="AA38" s="35">
        <f t="shared" ca="1" si="1"/>
        <v>2.965258503239239E-2</v>
      </c>
      <c r="AB38" s="169">
        <v>3</v>
      </c>
      <c r="AC38" s="35">
        <f t="shared" ca="1" si="2"/>
        <v>3.6099050458206383E-2</v>
      </c>
      <c r="AD38" s="169">
        <v>4</v>
      </c>
      <c r="AE38" s="35">
        <f t="shared" ca="1" si="3"/>
        <v>3.7183697279905739E-2</v>
      </c>
      <c r="AF38" s="169">
        <v>5</v>
      </c>
      <c r="AG38" s="35">
        <f t="shared" ca="1" si="4"/>
        <v>3.6192946582351337E-2</v>
      </c>
      <c r="AH38" s="169">
        <v>6</v>
      </c>
      <c r="AI38" s="35">
        <f t="shared" ca="1" si="5"/>
        <v>0</v>
      </c>
      <c r="AJ38" s="169">
        <v>7</v>
      </c>
      <c r="AK38" s="35">
        <f t="shared" ca="1" si="6"/>
        <v>0</v>
      </c>
      <c r="AL38" s="169">
        <v>8</v>
      </c>
      <c r="AM38" s="35">
        <f t="shared" ca="1" si="7"/>
        <v>0</v>
      </c>
    </row>
    <row r="39" spans="1:39">
      <c r="A39" s="170"/>
      <c r="B39" s="171"/>
      <c r="C39" s="171"/>
      <c r="D39" s="171"/>
      <c r="E39" s="170"/>
      <c r="F39" s="170"/>
      <c r="G39" s="170"/>
      <c r="H39" s="170"/>
      <c r="I39" s="170"/>
      <c r="J39" s="170"/>
      <c r="K39" s="170"/>
      <c r="N39" s="173"/>
      <c r="O39" s="35">
        <f ca="1">MCond(OFFSET($B$12,(ROW(A28)-1)*4,0,3,3))</f>
        <v>3.1648692167093064</v>
      </c>
      <c r="P39" s="35" t="str">
        <f ca="1">MCond(OFFSET($B$12,(ROW(B28)-1)*4,0,3,6))</f>
        <v>?</v>
      </c>
      <c r="Q39" s="35">
        <f ca="1">MCond(OFFSET($E$12,(ROW(C28)-1)*4,0,3,3))</f>
        <v>1</v>
      </c>
      <c r="R39" s="35">
        <f ca="1">MCond(OFFSET($I$12,(ROW(D28)-1)*4,0,3,3))</f>
        <v>4.2363530294191181</v>
      </c>
      <c r="S39" s="169">
        <v>27</v>
      </c>
      <c r="T39" s="35">
        <f ca="1">MCond(OFFSET($B$12,(ROW(A27)-1)*4,0,3,3))</f>
        <v>6.5826761170413119</v>
      </c>
      <c r="V39">
        <f t="shared" ca="1" si="8"/>
        <v>3.0628951149710907E-3</v>
      </c>
      <c r="W39" s="169">
        <v>27</v>
      </c>
      <c r="X39" s="169">
        <v>1</v>
      </c>
      <c r="Y39" s="35">
        <f t="shared" ca="1" si="9"/>
        <v>3.0628951149710907E-3</v>
      </c>
      <c r="Z39" s="169">
        <v>2</v>
      </c>
      <c r="AA39" s="35">
        <f t="shared" ca="1" si="1"/>
        <v>0.8557681563057965</v>
      </c>
      <c r="AB39" s="169">
        <v>3</v>
      </c>
      <c r="AC39" s="35">
        <f t="shared" ca="1" si="2"/>
        <v>0.11327148057081397</v>
      </c>
      <c r="AD39" s="169">
        <v>4</v>
      </c>
      <c r="AE39" s="35">
        <f t="shared" ca="1" si="3"/>
        <v>0.17876113966754248</v>
      </c>
      <c r="AF39" s="169">
        <v>5</v>
      </c>
      <c r="AG39" s="35">
        <f t="shared" ca="1" si="4"/>
        <v>8.8608588470029157E-2</v>
      </c>
      <c r="AH39" s="169">
        <v>6</v>
      </c>
      <c r="AI39" s="35">
        <f t="shared" ca="1" si="5"/>
        <v>0</v>
      </c>
      <c r="AJ39" s="169">
        <v>7</v>
      </c>
      <c r="AK39" s="35">
        <f t="shared" ca="1" si="6"/>
        <v>0</v>
      </c>
      <c r="AL39" s="169">
        <v>8</v>
      </c>
      <c r="AM39" s="35">
        <f t="shared" ca="1" si="7"/>
        <v>0</v>
      </c>
    </row>
    <row r="40" spans="1:39">
      <c r="A40" s="170"/>
      <c r="B40" s="171">
        <v>-1.253875629566908</v>
      </c>
      <c r="C40" s="171">
        <v>-3.2592166127769939E-2</v>
      </c>
      <c r="D40" s="171">
        <v>0.73934661383723232</v>
      </c>
      <c r="E40" s="170">
        <v>-1.4990492230334603E-2</v>
      </c>
      <c r="F40" s="170">
        <v>0</v>
      </c>
      <c r="G40" s="170">
        <v>0</v>
      </c>
      <c r="H40" s="170">
        <v>0</v>
      </c>
      <c r="I40" s="170">
        <v>0</v>
      </c>
      <c r="J40" s="170">
        <v>0</v>
      </c>
      <c r="K40" s="170">
        <v>0</v>
      </c>
      <c r="L40">
        <v>1.0599498795536459</v>
      </c>
      <c r="N40" s="172"/>
      <c r="O40" s="35">
        <f ca="1">MCond(OFFSET($B$12,(ROW(A29)-1)*4,0,3,3))</f>
        <v>16.234426054507814</v>
      </c>
      <c r="P40" s="35" t="str">
        <f ca="1">MCond(OFFSET($B$12,(ROW(B29)-1)*4,0,3,6))</f>
        <v>?</v>
      </c>
      <c r="Q40" s="35">
        <f ca="1">MCond(OFFSET($E$12,(ROW(C29)-1)*4,0,3,3))</f>
        <v>1</v>
      </c>
      <c r="R40" s="35" t="str">
        <f ca="1">MCond(OFFSET($I$12,(ROW(D29)-1)*4,0,3,3))</f>
        <v>?</v>
      </c>
      <c r="S40" s="169">
        <v>28</v>
      </c>
      <c r="T40" s="35">
        <f ca="1">MCond(OFFSET($B$12,(ROW(A28)-1)*4,0,3,3))</f>
        <v>3.1648692167093064</v>
      </c>
      <c r="V40">
        <f t="shared" ca="1" si="8"/>
        <v>1.4726020680686759E-3</v>
      </c>
      <c r="W40" s="169">
        <v>28</v>
      </c>
      <c r="X40" s="169">
        <v>1</v>
      </c>
      <c r="Y40" s="35">
        <f t="shared" ca="1" si="9"/>
        <v>1.4726020680686759E-3</v>
      </c>
      <c r="Z40" s="169">
        <v>2</v>
      </c>
      <c r="AA40" s="35">
        <f t="shared" ca="1" si="1"/>
        <v>6.6445794137398786E-3</v>
      </c>
      <c r="AB40" s="169">
        <v>3</v>
      </c>
      <c r="AC40" s="35">
        <f t="shared" ca="1" si="2"/>
        <v>4.8939633303749864E-3</v>
      </c>
      <c r="AD40" s="169">
        <v>4</v>
      </c>
      <c r="AE40" s="35">
        <f t="shared" ca="1" si="3"/>
        <v>6.6582308822889322E-3</v>
      </c>
      <c r="AF40" s="169">
        <v>5</v>
      </c>
      <c r="AG40" s="35">
        <f t="shared" ca="1" si="4"/>
        <v>4.1821074077586966E-3</v>
      </c>
      <c r="AH40" s="169">
        <v>6</v>
      </c>
      <c r="AI40" s="35">
        <f t="shared" ca="1" si="5"/>
        <v>0</v>
      </c>
      <c r="AJ40" s="169">
        <v>7</v>
      </c>
      <c r="AK40" s="35">
        <f t="shared" ca="1" si="6"/>
        <v>0</v>
      </c>
      <c r="AL40" s="169">
        <v>8</v>
      </c>
      <c r="AM40" s="35">
        <f t="shared" ca="1" si="7"/>
        <v>0</v>
      </c>
    </row>
    <row r="41" spans="1:39">
      <c r="A41" s="170" t="s">
        <v>221</v>
      </c>
      <c r="B41" s="171">
        <v>-1.4028471761352286</v>
      </c>
      <c r="C41" s="171">
        <v>0.814665459345566</v>
      </c>
      <c r="D41" s="171">
        <v>0.7195871750303805</v>
      </c>
      <c r="E41" s="170">
        <v>0</v>
      </c>
      <c r="F41" s="170">
        <v>-1.4990492230334603E-2</v>
      </c>
      <c r="G41" s="170">
        <v>0</v>
      </c>
      <c r="H41" s="170">
        <v>0</v>
      </c>
      <c r="I41" s="170">
        <v>0</v>
      </c>
      <c r="J41" s="170">
        <v>0</v>
      </c>
      <c r="K41" s="170">
        <v>0</v>
      </c>
      <c r="L41">
        <v>1.5747328563547551</v>
      </c>
      <c r="N41" s="172">
        <f>MCond(B40:D42)</f>
        <v>8.8077991376995399</v>
      </c>
      <c r="O41" s="35">
        <f ca="1">MCond(OFFSET($B$12,(ROW(A30)-1)*4,0,3,3))</f>
        <v>21.390548698925272</v>
      </c>
      <c r="P41" s="35" t="str">
        <f ca="1">MCond(OFFSET($B$12,(ROW(B30)-1)*4,0,3,6))</f>
        <v>?</v>
      </c>
      <c r="Q41" s="35">
        <f ca="1">MCond(OFFSET($E$12,(ROW(C30)-1)*4,0,3,3))</f>
        <v>1</v>
      </c>
      <c r="R41" s="35">
        <f ca="1">MCond(OFFSET($I$12,(ROW(D30)-1)*4,0,3,3))</f>
        <v>8.591549295774648</v>
      </c>
      <c r="S41" s="169">
        <v>29</v>
      </c>
      <c r="T41" s="35">
        <f ca="1">MCond(OFFSET($B$12,(ROW(A29)-1)*4,0,3,3))</f>
        <v>16.234426054507814</v>
      </c>
      <c r="V41">
        <f t="shared" ca="1" si="8"/>
        <v>7.5538190505810244E-3</v>
      </c>
      <c r="W41" s="169">
        <v>29</v>
      </c>
      <c r="X41" s="169">
        <v>1</v>
      </c>
      <c r="Y41" s="35">
        <f t="shared" ca="1" si="9"/>
        <v>7.5538190505810244E-3</v>
      </c>
      <c r="Z41" s="169">
        <v>2</v>
      </c>
      <c r="AA41" s="35">
        <f t="shared" ca="1" si="1"/>
        <v>2.7667309292672481E-2</v>
      </c>
      <c r="AB41" s="169">
        <v>3</v>
      </c>
      <c r="AC41" s="35">
        <f t="shared" ca="1" si="2"/>
        <v>2.5497643612000805E-2</v>
      </c>
      <c r="AD41" s="169">
        <v>4</v>
      </c>
      <c r="AE41" s="35">
        <f t="shared" ca="1" si="3"/>
        <v>1.7771275311888244E-2</v>
      </c>
      <c r="AF41" s="169">
        <v>5</v>
      </c>
      <c r="AG41" s="35">
        <f t="shared" ca="1" si="4"/>
        <v>2.6236224395142869E-2</v>
      </c>
      <c r="AH41" s="169">
        <v>6</v>
      </c>
      <c r="AI41" s="35">
        <f t="shared" ca="1" si="5"/>
        <v>0</v>
      </c>
      <c r="AJ41" s="169">
        <v>7</v>
      </c>
      <c r="AK41" s="35">
        <f t="shared" ca="1" si="6"/>
        <v>0</v>
      </c>
      <c r="AL41" s="169">
        <v>8</v>
      </c>
      <c r="AM41" s="35">
        <f t="shared" ca="1" si="7"/>
        <v>0</v>
      </c>
    </row>
    <row r="42" spans="1:39">
      <c r="A42" s="170"/>
      <c r="B42" s="171">
        <v>0.58367185674448252</v>
      </c>
      <c r="C42" s="171">
        <v>2.0841504898711007</v>
      </c>
      <c r="D42" s="171">
        <v>0.75171422039661484</v>
      </c>
      <c r="E42" s="170">
        <v>0</v>
      </c>
      <c r="F42" s="170">
        <v>0</v>
      </c>
      <c r="G42" s="170">
        <v>-1.4990492230334603E-2</v>
      </c>
      <c r="H42" s="170">
        <v>0</v>
      </c>
      <c r="I42" s="170">
        <v>0</v>
      </c>
      <c r="J42" s="170">
        <v>0</v>
      </c>
      <c r="K42" s="170">
        <v>0</v>
      </c>
      <c r="L42">
        <v>2.6247151849659955</v>
      </c>
      <c r="N42" s="172"/>
      <c r="O42" s="35">
        <f ca="1">MCond(OFFSET($B$12,(ROW(A31)-1)*4,0,3,3))</f>
        <v>5.3134649198272017</v>
      </c>
      <c r="P42" s="35" t="str">
        <f ca="1">MCond(OFFSET($B$12,(ROW(B31)-1)*4,0,3,6))</f>
        <v>?</v>
      </c>
      <c r="Q42" s="35">
        <f ca="1">MCond(OFFSET($E$12,(ROW(C31)-1)*4,0,3,3))</f>
        <v>1</v>
      </c>
      <c r="R42" s="35" t="str">
        <f ca="1">MCond(OFFSET($I$12,(ROW(D31)-1)*4,0,3,3))</f>
        <v>?</v>
      </c>
      <c r="S42" s="169">
        <v>30</v>
      </c>
      <c r="T42" s="35">
        <f ca="1">MCond(OFFSET($B$12,(ROW(A30)-1)*4,0,3,3))</f>
        <v>21.390548698925272</v>
      </c>
      <c r="V42">
        <f t="shared" ca="1" si="8"/>
        <v>9.9529440536924203E-3</v>
      </c>
      <c r="W42" s="169">
        <v>30</v>
      </c>
      <c r="X42" s="169">
        <v>1</v>
      </c>
      <c r="Y42" s="35">
        <f t="shared" ca="1" si="9"/>
        <v>9.9529440536924203E-3</v>
      </c>
      <c r="Z42" s="169">
        <v>2</v>
      </c>
      <c r="AA42" s="35">
        <f t="shared" ca="1" si="1"/>
        <v>9.8505028024531722E-3</v>
      </c>
      <c r="AB42" s="169">
        <v>3</v>
      </c>
      <c r="AC42" s="35">
        <f t="shared" ca="1" si="2"/>
        <v>5.0898067430484801E-3</v>
      </c>
      <c r="AD42" s="169">
        <v>4</v>
      </c>
      <c r="AE42" s="35">
        <f t="shared" ca="1" si="3"/>
        <v>2.9146032978463322E-3</v>
      </c>
      <c r="AF42" s="169">
        <v>5</v>
      </c>
      <c r="AG42" s="35">
        <f t="shared" ca="1" si="4"/>
        <v>2.7759350490759822E-3</v>
      </c>
      <c r="AH42" s="169">
        <v>6</v>
      </c>
      <c r="AI42" s="35">
        <f t="shared" ca="1" si="5"/>
        <v>0</v>
      </c>
      <c r="AJ42" s="169">
        <v>7</v>
      </c>
      <c r="AK42" s="35">
        <f t="shared" ca="1" si="6"/>
        <v>0</v>
      </c>
      <c r="AL42" s="169">
        <v>8</v>
      </c>
      <c r="AM42" s="35">
        <f t="shared" ca="1" si="7"/>
        <v>0</v>
      </c>
    </row>
    <row r="43" spans="1:39">
      <c r="A43" s="170"/>
      <c r="B43" s="171"/>
      <c r="C43" s="171"/>
      <c r="D43" s="171"/>
      <c r="E43" s="170"/>
      <c r="F43" s="170"/>
      <c r="G43" s="170"/>
      <c r="H43" s="170"/>
      <c r="I43" s="170"/>
      <c r="J43" s="170"/>
      <c r="K43" s="170"/>
      <c r="N43" s="173"/>
      <c r="O43" s="35">
        <f ca="1">MCond(OFFSET($B$12,(ROW(A32)-1)*4,0,3,3))</f>
        <v>13.908174758807807</v>
      </c>
      <c r="P43" s="35" t="str">
        <f ca="1">MCond(OFFSET($B$12,(ROW(B32)-1)*4,0,3,6))</f>
        <v>?</v>
      </c>
      <c r="Q43" s="35">
        <f ca="1">MCond(OFFSET($E$12,(ROW(C32)-1)*4,0,3,3))</f>
        <v>1</v>
      </c>
      <c r="R43" s="35" t="str">
        <f ca="1">MCond(OFFSET($I$12,(ROW(D32)-1)*4,0,3,3))</f>
        <v>?</v>
      </c>
      <c r="S43" s="169">
        <v>31</v>
      </c>
      <c r="T43" s="35">
        <f ca="1">MCond(OFFSET($B$12,(ROW(A31)-1)*4,0,3,3))</f>
        <v>5.3134649198272017</v>
      </c>
      <c r="V43">
        <f t="shared" ca="1" si="8"/>
        <v>2.4723357882331701E-3</v>
      </c>
      <c r="W43" s="169">
        <v>31</v>
      </c>
      <c r="X43" s="169">
        <v>1</v>
      </c>
      <c r="Y43" s="35">
        <f t="shared" ca="1" si="9"/>
        <v>2.4723357882331701E-3</v>
      </c>
      <c r="Z43" s="169">
        <v>2</v>
      </c>
      <c r="AA43" s="35">
        <f t="shared" ca="1" si="1"/>
        <v>4.7166158791975684E-3</v>
      </c>
      <c r="AB43" s="169">
        <v>3</v>
      </c>
      <c r="AC43" s="35">
        <f t="shared" ca="1" si="2"/>
        <v>4.0048319827518481E-3</v>
      </c>
      <c r="AD43" s="169">
        <v>4</v>
      </c>
      <c r="AE43" s="35">
        <f t="shared" ca="1" si="3"/>
        <v>3.6898373280579138E-3</v>
      </c>
      <c r="AF43" s="169">
        <v>5</v>
      </c>
      <c r="AG43" s="35">
        <f t="shared" ca="1" si="4"/>
        <v>3.5261255974567635E-3</v>
      </c>
      <c r="AH43" s="169">
        <v>6</v>
      </c>
      <c r="AI43" s="35">
        <f t="shared" ca="1" si="5"/>
        <v>0</v>
      </c>
      <c r="AJ43" s="169">
        <v>7</v>
      </c>
      <c r="AK43" s="35">
        <f t="shared" ca="1" si="6"/>
        <v>0</v>
      </c>
      <c r="AL43" s="169">
        <v>8</v>
      </c>
      <c r="AM43" s="35">
        <f t="shared" ca="1" si="7"/>
        <v>0</v>
      </c>
    </row>
    <row r="44" spans="1:39">
      <c r="A44" s="170"/>
      <c r="B44" s="171">
        <v>-1.253875629566908</v>
      </c>
      <c r="C44" s="171">
        <v>-3.2592166127769939E-2</v>
      </c>
      <c r="D44" s="171">
        <v>0.73934661383723232</v>
      </c>
      <c r="E44" s="170">
        <v>-1.4990492230334603E-2</v>
      </c>
      <c r="F44" s="170">
        <v>0</v>
      </c>
      <c r="G44" s="170">
        <v>0</v>
      </c>
      <c r="H44" s="170">
        <v>0</v>
      </c>
      <c r="I44" s="170">
        <v>0</v>
      </c>
      <c r="J44" s="170">
        <v>0</v>
      </c>
      <c r="K44" s="170">
        <v>0</v>
      </c>
      <c r="L44">
        <v>1.0599498795536459</v>
      </c>
      <c r="N44" s="172"/>
      <c r="O44" s="35">
        <f ca="1">MCond(OFFSET($B$12,(ROW(A33)-1)*4,0,3,3))</f>
        <v>4.7248309144760778</v>
      </c>
      <c r="P44" s="35" t="str">
        <f ca="1">MCond(OFFSET($B$12,(ROW(B33)-1)*4,0,3,6))</f>
        <v>?</v>
      </c>
      <c r="Q44" s="35">
        <f ca="1">MCond(OFFSET($E$12,(ROW(C33)-1)*4,0,3,3))</f>
        <v>1</v>
      </c>
      <c r="R44" s="35">
        <f ca="1">MCond(OFFSET($I$12,(ROW(D33)-1)*4,0,3,3))</f>
        <v>2.6430840392331696</v>
      </c>
      <c r="S44" s="169">
        <v>32</v>
      </c>
      <c r="T44" s="35">
        <f ca="1">MCond(OFFSET($B$12,(ROW(A32)-1)*4,0,3,3))</f>
        <v>13.908174758807807</v>
      </c>
      <c r="V44">
        <f t="shared" ca="1" si="8"/>
        <v>6.4714228331293902E-3</v>
      </c>
      <c r="W44" s="169">
        <v>32</v>
      </c>
      <c r="X44" s="169">
        <v>1</v>
      </c>
      <c r="Y44" s="35">
        <f t="shared" ca="1" si="9"/>
        <v>6.4714228331293902E-3</v>
      </c>
      <c r="Z44" s="169">
        <v>2</v>
      </c>
      <c r="AA44" s="35">
        <f t="shared" ca="1" si="1"/>
        <v>3.3472266228384957E-2</v>
      </c>
      <c r="AB44" s="169">
        <v>3</v>
      </c>
      <c r="AC44" s="35">
        <f t="shared" ca="1" si="2"/>
        <v>4.1068372245798075E-2</v>
      </c>
      <c r="AD44" s="169">
        <v>4</v>
      </c>
      <c r="AE44" s="35">
        <f t="shared" ca="1" si="3"/>
        <v>2.368195622143561E-2</v>
      </c>
      <c r="AF44" s="169">
        <v>5</v>
      </c>
      <c r="AG44" s="35">
        <f t="shared" ca="1" si="4"/>
        <v>2.4673257797662305E-2</v>
      </c>
      <c r="AH44" s="169">
        <v>6</v>
      </c>
      <c r="AI44" s="35">
        <f t="shared" ca="1" si="5"/>
        <v>0</v>
      </c>
      <c r="AJ44" s="169">
        <v>7</v>
      </c>
      <c r="AK44" s="35">
        <f t="shared" ca="1" si="6"/>
        <v>0</v>
      </c>
      <c r="AL44" s="169">
        <v>8</v>
      </c>
      <c r="AM44" s="35">
        <f t="shared" ca="1" si="7"/>
        <v>0</v>
      </c>
    </row>
    <row r="45" spans="1:39">
      <c r="A45" s="170" t="s">
        <v>222</v>
      </c>
      <c r="B45" s="171">
        <v>-1.4028471761352286</v>
      </c>
      <c r="C45" s="171">
        <v>0.814665459345566</v>
      </c>
      <c r="D45" s="171">
        <v>0.7195871750303805</v>
      </c>
      <c r="E45" s="170">
        <v>0</v>
      </c>
      <c r="F45" s="170">
        <v>-1.4990492230334603E-2</v>
      </c>
      <c r="G45" s="170">
        <v>0</v>
      </c>
      <c r="H45" s="170">
        <v>0</v>
      </c>
      <c r="I45" s="170">
        <v>0</v>
      </c>
      <c r="J45" s="170">
        <v>0</v>
      </c>
      <c r="K45" s="170">
        <v>0</v>
      </c>
      <c r="L45">
        <v>1.5747328563547551</v>
      </c>
      <c r="N45" s="172">
        <f>MCond(B44:D46)</f>
        <v>37.099744408603527</v>
      </c>
      <c r="O45" s="35">
        <f ca="1">MCond(OFFSET($B$12,(ROW(A34)-1)*4,0,3,3))</f>
        <v>13.812589110219603</v>
      </c>
      <c r="P45" s="35" t="str">
        <f ca="1">MCond(OFFSET($B$12,(ROW(B34)-1)*4,0,3,6))</f>
        <v>?</v>
      </c>
      <c r="Q45" s="35">
        <f ca="1">MCond(OFFSET($E$12,(ROW(C34)-1)*4,0,3,3))</f>
        <v>1</v>
      </c>
      <c r="R45" s="35" t="str">
        <f ca="1">MCond(OFFSET($I$12,(ROW(D34)-1)*4,0,3,3))</f>
        <v>?</v>
      </c>
      <c r="S45" s="169">
        <v>33</v>
      </c>
      <c r="T45" s="35">
        <f ca="1">MCond(OFFSET($B$12,(ROW(A33)-1)*4,0,3,3))</f>
        <v>4.7248309144760778</v>
      </c>
      <c r="V45">
        <f t="shared" ca="1" si="8"/>
        <v>2.19844653902214E-3</v>
      </c>
      <c r="W45" s="169">
        <v>33</v>
      </c>
      <c r="X45" s="169">
        <v>1</v>
      </c>
      <c r="Y45" s="35">
        <f t="shared" ca="1" si="9"/>
        <v>2.19844653902214E-3</v>
      </c>
      <c r="Z45" s="169">
        <v>2</v>
      </c>
      <c r="AA45" s="35">
        <f t="shared" ca="1" si="1"/>
        <v>3.5004664610231982E-3</v>
      </c>
      <c r="AB45" s="169">
        <v>3</v>
      </c>
      <c r="AC45" s="35">
        <f t="shared" ca="1" si="2"/>
        <v>3.7748031109670573E-3</v>
      </c>
      <c r="AD45" s="169">
        <v>4</v>
      </c>
      <c r="AE45" s="35">
        <f t="shared" ca="1" si="3"/>
        <v>3.1438437596314189E-3</v>
      </c>
      <c r="AF45" s="169">
        <v>5</v>
      </c>
      <c r="AG45" s="35">
        <f t="shared" ca="1" si="4"/>
        <v>4.0699765389870463E-3</v>
      </c>
      <c r="AH45" s="169">
        <v>6</v>
      </c>
      <c r="AI45" s="35">
        <f t="shared" ca="1" si="5"/>
        <v>0</v>
      </c>
      <c r="AJ45" s="169">
        <v>7</v>
      </c>
      <c r="AK45" s="35">
        <f t="shared" ca="1" si="6"/>
        <v>0</v>
      </c>
      <c r="AL45" s="169">
        <v>8</v>
      </c>
      <c r="AM45" s="35">
        <f t="shared" ca="1" si="7"/>
        <v>0</v>
      </c>
    </row>
    <row r="46" spans="1:39">
      <c r="A46" s="170"/>
      <c r="B46" s="171">
        <v>-2.5457845528396139E-2</v>
      </c>
      <c r="C46" s="171">
        <v>2.3667658472617719</v>
      </c>
      <c r="D46" s="171">
        <v>6.368425350466822E-2</v>
      </c>
      <c r="E46" s="170">
        <v>0</v>
      </c>
      <c r="F46" s="170">
        <v>0</v>
      </c>
      <c r="G46" s="170">
        <v>-1.4990492230334603E-2</v>
      </c>
      <c r="H46" s="170">
        <v>0</v>
      </c>
      <c r="I46" s="170">
        <v>0</v>
      </c>
      <c r="J46" s="170">
        <v>0</v>
      </c>
      <c r="K46" s="170">
        <v>0</v>
      </c>
      <c r="L46">
        <v>2.803142180904064</v>
      </c>
      <c r="N46" s="172"/>
      <c r="O46" s="35">
        <f ca="1">MCond(OFFSET($B$12,(ROW(A35)-1)*4,0,3,3))</f>
        <v>6.4227760464603234</v>
      </c>
      <c r="P46" s="35" t="str">
        <f ca="1">MCond(OFFSET($B$12,(ROW(B35)-1)*4,0,3,6))</f>
        <v>?</v>
      </c>
      <c r="Q46" s="35">
        <f ca="1">MCond(OFFSET($E$12,(ROW(C35)-1)*4,0,3,3))</f>
        <v>1</v>
      </c>
      <c r="R46" s="35" t="str">
        <f ca="1">MCond(OFFSET($I$12,(ROW(D35)-1)*4,0,3,3))</f>
        <v>?</v>
      </c>
      <c r="S46" s="169">
        <v>34</v>
      </c>
      <c r="T46" s="35">
        <f ca="1">MCond(OFFSET($B$12,(ROW(A34)-1)*4,0,3,3))</f>
        <v>13.812589110219603</v>
      </c>
      <c r="V46">
        <f t="shared" ca="1" si="8"/>
        <v>6.4269471805351169E-3</v>
      </c>
      <c r="W46" s="169">
        <v>34</v>
      </c>
      <c r="X46" s="169">
        <v>1</v>
      </c>
      <c r="Y46" s="35">
        <f t="shared" ca="1" si="9"/>
        <v>6.4269471805351169E-3</v>
      </c>
      <c r="Z46" s="169">
        <v>2</v>
      </c>
      <c r="AA46" s="35">
        <f t="shared" ca="1" si="1"/>
        <v>6.0512405402459741E-3</v>
      </c>
      <c r="AB46" s="169">
        <v>3</v>
      </c>
      <c r="AC46" s="35">
        <f t="shared" ca="1" si="2"/>
        <v>5.7230222196591575E-3</v>
      </c>
      <c r="AD46" s="169">
        <v>4</v>
      </c>
      <c r="AE46" s="35">
        <f t="shared" ca="1" si="3"/>
        <v>5.0847164794319494E-3</v>
      </c>
      <c r="AF46" s="169">
        <v>5</v>
      </c>
      <c r="AG46" s="35">
        <f t="shared" ca="1" si="4"/>
        <v>4.1065405697672764E-3</v>
      </c>
      <c r="AH46" s="169">
        <v>6</v>
      </c>
      <c r="AI46" s="35">
        <f t="shared" ca="1" si="5"/>
        <v>0</v>
      </c>
      <c r="AJ46" s="169">
        <v>7</v>
      </c>
      <c r="AK46" s="35">
        <f t="shared" ca="1" si="6"/>
        <v>0</v>
      </c>
      <c r="AL46" s="169">
        <v>8</v>
      </c>
      <c r="AM46" s="35">
        <f t="shared" ca="1" si="7"/>
        <v>0</v>
      </c>
    </row>
    <row r="47" spans="1:39">
      <c r="A47" s="170"/>
      <c r="B47" s="171"/>
      <c r="C47" s="171"/>
      <c r="D47" s="171"/>
      <c r="E47" s="170"/>
      <c r="F47" s="170"/>
      <c r="G47" s="170"/>
      <c r="H47" s="170"/>
      <c r="I47" s="170"/>
      <c r="J47" s="170"/>
      <c r="K47" s="170"/>
      <c r="N47" s="173"/>
      <c r="O47" s="35">
        <f ca="1">MCond(OFFSET($B$12,(ROW(A36)-1)*4,0,3,3))</f>
        <v>4.0468810703453864</v>
      </c>
      <c r="P47" s="35" t="str">
        <f ca="1">MCond(OFFSET($B$12,(ROW(B36)-1)*4,0,3,6))</f>
        <v>?</v>
      </c>
      <c r="Q47" s="35">
        <f ca="1">MCond(OFFSET($E$12,(ROW(C36)-1)*4,0,3,3))</f>
        <v>1</v>
      </c>
      <c r="R47" s="35" t="str">
        <f ca="1">MCond(OFFSET($I$12,(ROW(D36)-1)*4,0,3,3))</f>
        <v>?</v>
      </c>
      <c r="S47" s="169">
        <v>35</v>
      </c>
      <c r="T47" s="35">
        <f ca="1">MCond(OFFSET($B$12,(ROW(A35)-1)*4,0,3,3))</f>
        <v>6.4227760464603234</v>
      </c>
      <c r="V47">
        <f t="shared" ca="1" si="8"/>
        <v>2.988494197113663E-3</v>
      </c>
      <c r="W47" s="169">
        <v>35</v>
      </c>
      <c r="X47" s="169">
        <v>1</v>
      </c>
      <c r="Y47" s="35">
        <f t="shared" ca="1" si="9"/>
        <v>2.988494197113663E-3</v>
      </c>
      <c r="Z47" s="169">
        <v>2</v>
      </c>
      <c r="AA47" s="35">
        <f t="shared" ca="1" si="1"/>
        <v>3.5581177268240042E-3</v>
      </c>
      <c r="AB47" s="169">
        <v>3</v>
      </c>
      <c r="AC47" s="35">
        <f t="shared" ca="1" si="2"/>
        <v>3.987270253635186E-3</v>
      </c>
      <c r="AD47" s="169">
        <v>4</v>
      </c>
      <c r="AE47" s="35">
        <f t="shared" ca="1" si="3"/>
        <v>2.7695593731638566E-3</v>
      </c>
      <c r="AF47" s="169">
        <v>5</v>
      </c>
      <c r="AG47" s="35">
        <f t="shared" ca="1" si="4"/>
        <v>4.2358306023054584E-3</v>
      </c>
      <c r="AH47" s="169">
        <v>6</v>
      </c>
      <c r="AI47" s="35">
        <f t="shared" ca="1" si="5"/>
        <v>0</v>
      </c>
      <c r="AJ47" s="169">
        <v>7</v>
      </c>
      <c r="AK47" s="35">
        <f t="shared" ca="1" si="6"/>
        <v>0</v>
      </c>
      <c r="AL47" s="169">
        <v>8</v>
      </c>
      <c r="AM47" s="35">
        <f t="shared" ca="1" si="7"/>
        <v>0</v>
      </c>
    </row>
    <row r="48" spans="1:39">
      <c r="A48" s="170"/>
      <c r="B48" s="171">
        <v>-1.253875629566908</v>
      </c>
      <c r="C48" s="171">
        <v>-3.2592166127769939E-2</v>
      </c>
      <c r="D48" s="171">
        <v>0.73934661383723232</v>
      </c>
      <c r="E48" s="170">
        <v>-1.4990492230334603E-2</v>
      </c>
      <c r="F48" s="170">
        <v>0</v>
      </c>
      <c r="G48" s="170">
        <v>0</v>
      </c>
      <c r="H48" s="170">
        <v>0</v>
      </c>
      <c r="I48" s="170">
        <v>0</v>
      </c>
      <c r="J48" s="170">
        <v>0</v>
      </c>
      <c r="K48" s="170">
        <v>0</v>
      </c>
      <c r="L48">
        <v>1.0599498795536459</v>
      </c>
      <c r="N48" s="172"/>
      <c r="O48" s="35">
        <f ca="1">MCond(OFFSET($B$12,(ROW(A37)-1)*4,0,3,3))</f>
        <v>6.5562246319096911</v>
      </c>
      <c r="P48" s="35" t="str">
        <f ca="1">MCond(OFFSET($B$12,(ROW(B37)-1)*4,0,3,6))</f>
        <v>?</v>
      </c>
      <c r="Q48" s="35">
        <f ca="1">MCond(OFFSET($E$12,(ROW(C37)-1)*4,0,3,3))</f>
        <v>1</v>
      </c>
      <c r="R48" s="35" t="str">
        <f ca="1">MCond(OFFSET($I$12,(ROW(D37)-1)*4,0,3,3))</f>
        <v>?</v>
      </c>
      <c r="S48">
        <v>36</v>
      </c>
      <c r="T48" s="35">
        <f ca="1">MCond(OFFSET($B$12,(ROW(A36)-1)*4,0,3,3))</f>
        <v>4.0468810703453864</v>
      </c>
      <c r="V48">
        <f t="shared" ca="1" si="8"/>
        <v>1.8829989567831068E-3</v>
      </c>
    </row>
    <row r="49" spans="1:22">
      <c r="A49" s="170" t="s">
        <v>223</v>
      </c>
      <c r="B49" s="171">
        <v>1.4421025939282253</v>
      </c>
      <c r="C49" s="171">
        <v>1.0431877148697888</v>
      </c>
      <c r="D49" s="171">
        <v>0.78932433807079116</v>
      </c>
      <c r="E49" s="170">
        <v>0</v>
      </c>
      <c r="F49" s="170">
        <v>-1.4990492230334603E-2</v>
      </c>
      <c r="G49" s="170">
        <v>0</v>
      </c>
      <c r="H49" s="170">
        <v>0</v>
      </c>
      <c r="I49" s="170">
        <v>0</v>
      </c>
      <c r="J49" s="170">
        <v>0</v>
      </c>
      <c r="K49" s="170">
        <v>0</v>
      </c>
      <c r="L49">
        <v>1.8954667052703302</v>
      </c>
      <c r="N49" s="172">
        <f>MCond(B48:D50)</f>
        <v>3.6568969588621991</v>
      </c>
      <c r="O49" s="35">
        <f ca="1">MCond(OFFSET($B$12,(ROW(A38)-1)*4,0,3,3))</f>
        <v>4.0319098330014373</v>
      </c>
      <c r="P49" s="35" t="str">
        <f ca="1">MCond(OFFSET($B$12,(ROW(B38)-1)*4,0,3,6))</f>
        <v>?</v>
      </c>
      <c r="Q49" s="35">
        <f ca="1">MCond(OFFSET($E$12,(ROW(C38)-1)*4,0,3,3))</f>
        <v>1</v>
      </c>
      <c r="R49" s="35" t="str">
        <f ca="1">MCond(OFFSET($I$12,(ROW(D38)-1)*4,0,3,3))</f>
        <v>?</v>
      </c>
      <c r="S49">
        <v>37</v>
      </c>
      <c r="T49" s="35">
        <f ca="1">MCond(OFFSET($B$12,(ROW(A37)-1)*4,0,3,3))</f>
        <v>6.5562246319096911</v>
      </c>
      <c r="V49">
        <f t="shared" ca="1" si="8"/>
        <v>3.0505873357103688E-3</v>
      </c>
    </row>
    <row r="50" spans="1:22">
      <c r="A50" s="170"/>
      <c r="B50" s="171">
        <v>-1.0351585166444348</v>
      </c>
      <c r="C50" s="171">
        <v>2.1037449841221099</v>
      </c>
      <c r="D50" s="171">
        <v>0.82913701269133588</v>
      </c>
      <c r="E50" s="170">
        <v>0</v>
      </c>
      <c r="F50" s="170">
        <v>0</v>
      </c>
      <c r="G50" s="170">
        <v>-1.4990492230334603E-2</v>
      </c>
      <c r="H50" s="170">
        <v>0</v>
      </c>
      <c r="I50" s="170">
        <v>0</v>
      </c>
      <c r="J50" s="170">
        <v>0</v>
      </c>
      <c r="K50" s="170">
        <v>0</v>
      </c>
      <c r="L50">
        <v>3.0923821493075776</v>
      </c>
      <c r="N50" s="172"/>
      <c r="O50" s="35">
        <f ca="1">MCond(OFFSET($B$12,(ROW(A39)-1)*4,0,3,3))</f>
        <v>5.3172710655545243</v>
      </c>
      <c r="P50" s="35" t="str">
        <f ca="1">MCond(OFFSET($B$12,(ROW(B39)-1)*4,0,3,6))</f>
        <v>?</v>
      </c>
      <c r="Q50" s="35">
        <f ca="1">MCond(OFFSET($E$12,(ROW(C39)-1)*4,0,3,3))</f>
        <v>1</v>
      </c>
      <c r="R50" s="35" t="str">
        <f ca="1">MCond(OFFSET($I$12,(ROW(D39)-1)*4,0,3,3))</f>
        <v>?</v>
      </c>
      <c r="S50">
        <v>38</v>
      </c>
      <c r="T50" s="35">
        <f ca="1">MCond(OFFSET($B$12,(ROW(A38)-1)*4,0,3,3))</f>
        <v>4.0319098330014373</v>
      </c>
      <c r="V50">
        <f t="shared" ca="1" si="8"/>
        <v>1.8760328948182561E-3</v>
      </c>
    </row>
    <row r="51" spans="1:22">
      <c r="A51" s="170"/>
      <c r="B51" s="171"/>
      <c r="C51" s="171"/>
      <c r="D51" s="171"/>
      <c r="E51" s="170"/>
      <c r="F51" s="170"/>
      <c r="G51" s="170"/>
      <c r="H51" s="170"/>
      <c r="I51" s="170"/>
      <c r="J51" s="170"/>
      <c r="K51" s="170"/>
      <c r="N51" s="173"/>
      <c r="O51" s="35">
        <f ca="1">MCond(OFFSET($B$12,(ROW(A40)-1)*4,0,3,3))</f>
        <v>5.1746470606257837</v>
      </c>
      <c r="P51" s="35" t="str">
        <f ca="1">MCond(OFFSET($B$12,(ROW(B40)-1)*4,0,3,6))</f>
        <v>?</v>
      </c>
      <c r="Q51" s="35">
        <f ca="1">MCond(OFFSET($E$12,(ROW(C40)-1)*4,0,3,3))</f>
        <v>1</v>
      </c>
      <c r="R51" s="35" t="str">
        <f ca="1">MCond(OFFSET($I$12,(ROW(D40)-1)*4,0,3,3))</f>
        <v>?</v>
      </c>
      <c r="S51">
        <v>39</v>
      </c>
      <c r="T51" s="35">
        <f ca="1">MCond(OFFSET($B$12,(ROW(A39)-1)*4,0,3,3))</f>
        <v>5.3172710655545243</v>
      </c>
      <c r="V51">
        <f t="shared" ca="1" si="8"/>
        <v>2.474106773915559E-3</v>
      </c>
    </row>
    <row r="52" spans="1:22">
      <c r="A52" s="170"/>
      <c r="B52" s="171">
        <v>-1.253875629566908</v>
      </c>
      <c r="C52" s="171">
        <v>-3.2592166127769939E-2</v>
      </c>
      <c r="D52" s="171">
        <v>0.73934661383723232</v>
      </c>
      <c r="E52" s="170">
        <v>-1.4990492230334603E-2</v>
      </c>
      <c r="F52" s="170">
        <v>0</v>
      </c>
      <c r="G52" s="170">
        <v>0</v>
      </c>
      <c r="H52" s="170">
        <v>0</v>
      </c>
      <c r="I52" s="170">
        <v>0</v>
      </c>
      <c r="J52" s="170">
        <v>0</v>
      </c>
      <c r="K52" s="170">
        <v>0</v>
      </c>
      <c r="L52">
        <v>1.0599498795536459</v>
      </c>
      <c r="N52" s="172"/>
      <c r="O52" s="35">
        <f ca="1">MCond(OFFSET($B$12,(ROW(A41)-1)*4,0,3,3))</f>
        <v>5.3206171986713269</v>
      </c>
      <c r="P52" s="35" t="str">
        <f ca="1">MCond(OFFSET($B$12,(ROW(B41)-1)*4,0,3,6))</f>
        <v>?</v>
      </c>
      <c r="Q52" s="35">
        <f ca="1">MCond(OFFSET($E$12,(ROW(C41)-1)*4,0,3,3))</f>
        <v>1</v>
      </c>
      <c r="R52" s="35" t="str">
        <f ca="1">MCond(OFFSET($I$12,(ROW(D41)-1)*4,0,3,3))</f>
        <v>?</v>
      </c>
      <c r="S52">
        <v>40</v>
      </c>
      <c r="T52" s="35">
        <f ca="1">MCond(OFFSET($B$12,(ROW(A40)-1)*4,0,3,3))</f>
        <v>5.1746470606257837</v>
      </c>
      <c r="V52">
        <f t="shared" ca="1" si="8"/>
        <v>2.4077443462027707E-3</v>
      </c>
    </row>
    <row r="53" spans="1:22">
      <c r="A53" s="170" t="s">
        <v>224</v>
      </c>
      <c r="B53" s="171">
        <v>1.4421025939282253</v>
      </c>
      <c r="C53" s="171">
        <v>1.0431877148697888</v>
      </c>
      <c r="D53" s="171">
        <v>0.78932433807079116</v>
      </c>
      <c r="E53" s="170">
        <v>0</v>
      </c>
      <c r="F53" s="170">
        <v>-1.4990492230334603E-2</v>
      </c>
      <c r="G53" s="170">
        <v>0</v>
      </c>
      <c r="H53" s="170">
        <v>0</v>
      </c>
      <c r="I53" s="170">
        <v>0</v>
      </c>
      <c r="J53" s="170">
        <v>0</v>
      </c>
      <c r="K53" s="170">
        <v>0</v>
      </c>
      <c r="L53">
        <v>1.8954667052703302</v>
      </c>
      <c r="N53" s="172">
        <f>MCond(B52:D54)</f>
        <v>4.497468867237159</v>
      </c>
      <c r="O53" s="35">
        <f ca="1">MCond(OFFSET($B$12,(ROW(A42)-1)*4,0,3,3))</f>
        <v>14.924598791824929</v>
      </c>
      <c r="P53" s="35" t="str">
        <f ca="1">MCond(OFFSET($B$12,(ROW(B42)-1)*4,0,3,6))</f>
        <v>?</v>
      </c>
      <c r="Q53" s="35">
        <f ca="1">MCond(OFFSET($E$12,(ROW(C42)-1)*4,0,3,3))</f>
        <v>1</v>
      </c>
      <c r="R53" s="35" t="str">
        <f ca="1">MCond(OFFSET($I$12,(ROW(D42)-1)*4,0,3,3))</f>
        <v>?</v>
      </c>
      <c r="S53">
        <v>41</v>
      </c>
      <c r="T53" s="35">
        <f ca="1">MCond(OFFSET($B$12,(ROW(A41)-1)*4,0,3,3))</f>
        <v>5.3206171986713269</v>
      </c>
      <c r="V53">
        <f t="shared" ca="1" si="8"/>
        <v>2.4756637174131991E-3</v>
      </c>
    </row>
    <row r="54" spans="1:22">
      <c r="A54" s="170"/>
      <c r="B54" s="171">
        <v>0.58367185674448252</v>
      </c>
      <c r="C54" s="171">
        <v>2.0841504898711007</v>
      </c>
      <c r="D54" s="171">
        <v>0.75171422039661484</v>
      </c>
      <c r="E54" s="170">
        <v>0</v>
      </c>
      <c r="F54" s="170">
        <v>0</v>
      </c>
      <c r="G54" s="170">
        <v>-1.4990492230334603E-2</v>
      </c>
      <c r="H54" s="170">
        <v>0</v>
      </c>
      <c r="I54" s="170">
        <v>0</v>
      </c>
      <c r="J54" s="170">
        <v>0</v>
      </c>
      <c r="K54" s="170">
        <v>0</v>
      </c>
      <c r="L54">
        <v>2.6247151849659955</v>
      </c>
      <c r="N54" s="172"/>
      <c r="O54" s="35">
        <f ca="1">MCond(OFFSET($B$12,(ROW(A43)-1)*4,0,3,3))</f>
        <v>7.888357243357154</v>
      </c>
      <c r="P54" s="35" t="str">
        <f ca="1">MCond(OFFSET($B$12,(ROW(B43)-1)*4,0,3,6))</f>
        <v>?</v>
      </c>
      <c r="Q54" s="35">
        <f ca="1">MCond(OFFSET($E$12,(ROW(C43)-1)*4,0,3,3))</f>
        <v>1</v>
      </c>
      <c r="R54" s="35" t="str">
        <f ca="1">MCond(OFFSET($I$12,(ROW(D43)-1)*4,0,3,3))</f>
        <v>?</v>
      </c>
      <c r="S54">
        <v>42</v>
      </c>
      <c r="T54" s="35">
        <f ca="1">MCond(OFFSET($B$12,(ROW(A42)-1)*4,0,3,3))</f>
        <v>14.924598791824929</v>
      </c>
      <c r="V54">
        <f t="shared" ca="1" si="8"/>
        <v>6.9443612171716899E-3</v>
      </c>
    </row>
    <row r="55" spans="1:22">
      <c r="A55" s="170"/>
      <c r="B55" s="171"/>
      <c r="C55" s="171"/>
      <c r="D55" s="171"/>
      <c r="E55" s="170"/>
      <c r="F55" s="170"/>
      <c r="G55" s="170"/>
      <c r="H55" s="170"/>
      <c r="I55" s="170"/>
      <c r="J55" s="170"/>
      <c r="K55" s="170"/>
      <c r="N55" s="173"/>
      <c r="O55" s="35">
        <f ca="1">MCond(OFFSET($B$12,(ROW(A44)-1)*4,0,3,3))</f>
        <v>31.543651568563895</v>
      </c>
      <c r="P55" s="35" t="str">
        <f ca="1">MCond(OFFSET($B$12,(ROW(B44)-1)*4,0,3,6))</f>
        <v>?</v>
      </c>
      <c r="Q55" s="35">
        <f ca="1">MCond(OFFSET($E$12,(ROW(C44)-1)*4,0,3,3))</f>
        <v>1</v>
      </c>
      <c r="R55" s="35" t="str">
        <f ca="1">MCond(OFFSET($I$12,(ROW(D44)-1)*4,0,3,3))</f>
        <v>?</v>
      </c>
      <c r="S55">
        <v>43</v>
      </c>
      <c r="T55" s="35">
        <f ca="1">MCond(OFFSET($B$12,(ROW(A43)-1)*4,0,3,3))</f>
        <v>7.888357243357154</v>
      </c>
      <c r="V55">
        <f t="shared" ca="1" si="8"/>
        <v>3.670423766297207E-3</v>
      </c>
    </row>
    <row r="56" spans="1:22">
      <c r="A56" s="170"/>
      <c r="B56" s="171">
        <v>-1.253875629566908</v>
      </c>
      <c r="C56" s="171">
        <v>-3.2592166127769939E-2</v>
      </c>
      <c r="D56" s="171">
        <v>0.73934661383723232</v>
      </c>
      <c r="E56" s="170">
        <v>-1.4990492230334603E-2</v>
      </c>
      <c r="F56" s="170">
        <v>0</v>
      </c>
      <c r="G56" s="170">
        <v>0</v>
      </c>
      <c r="H56" s="170">
        <v>0</v>
      </c>
      <c r="I56" s="170">
        <v>0</v>
      </c>
      <c r="J56" s="170">
        <v>0</v>
      </c>
      <c r="K56" s="170">
        <v>0</v>
      </c>
      <c r="L56">
        <v>1.0599498795536459</v>
      </c>
      <c r="N56" s="172"/>
      <c r="O56" s="35">
        <f ca="1">MCond(OFFSET($B$12,(ROW(A45)-1)*4,0,3,3))</f>
        <v>5.1709959027855508</v>
      </c>
      <c r="P56" s="35" t="str">
        <f ca="1">MCond(OFFSET($B$12,(ROW(B45)-1)*4,0,3,6))</f>
        <v>?</v>
      </c>
      <c r="Q56" s="35">
        <f ca="1">MCond(OFFSET($E$12,(ROW(C45)-1)*4,0,3,3))</f>
        <v>1</v>
      </c>
      <c r="R56" s="35" t="str">
        <f ca="1">MCond(OFFSET($I$12,(ROW(D45)-1)*4,0,3,3))</f>
        <v>?</v>
      </c>
      <c r="S56">
        <v>44</v>
      </c>
      <c r="T56" s="35">
        <f ca="1">MCond(OFFSET($B$12,(ROW(A44)-1)*4,0,3,3))</f>
        <v>31.543651568563895</v>
      </c>
      <c r="V56">
        <f t="shared" ca="1" si="8"/>
        <v>1.4677145674475268E-2</v>
      </c>
    </row>
    <row r="57" spans="1:22">
      <c r="A57" s="170" t="s">
        <v>225</v>
      </c>
      <c r="B57" s="171">
        <v>1.4421025939282253</v>
      </c>
      <c r="C57" s="171">
        <v>1.0431877148697888</v>
      </c>
      <c r="D57" s="171">
        <v>0.78932433807079116</v>
      </c>
      <c r="E57" s="170">
        <v>0</v>
      </c>
      <c r="F57" s="170">
        <v>-1.4990492230334603E-2</v>
      </c>
      <c r="G57" s="170">
        <v>0</v>
      </c>
      <c r="H57" s="170">
        <v>0</v>
      </c>
      <c r="I57" s="170">
        <v>0</v>
      </c>
      <c r="J57" s="170">
        <v>0</v>
      </c>
      <c r="K57" s="170">
        <v>0</v>
      </c>
      <c r="L57">
        <v>1.8954667052703302</v>
      </c>
      <c r="N57" s="172">
        <f>MCond(B56:D58)</f>
        <v>2.7091989128856673</v>
      </c>
      <c r="O57" s="35">
        <f ca="1">MCond(OFFSET($B$12,(ROW(A46)-1)*4,0,3,3))</f>
        <v>7.1675826345810227</v>
      </c>
      <c r="P57" s="35" t="str">
        <f ca="1">MCond(OFFSET($B$12,(ROW(B46)-1)*4,0,3,6))</f>
        <v>?</v>
      </c>
      <c r="Q57" s="35">
        <f ca="1">MCond(OFFSET($E$12,(ROW(C46)-1)*4,0,3,3))</f>
        <v>1</v>
      </c>
      <c r="R57" s="35" t="str">
        <f ca="1">MCond(OFFSET($I$12,(ROW(D46)-1)*4,0,3,3))</f>
        <v>?</v>
      </c>
      <c r="S57">
        <v>45</v>
      </c>
      <c r="T57" s="35">
        <f ca="1">MCond(OFFSET($B$12,(ROW(A45)-1)*4,0,3,3))</f>
        <v>5.1709959027855508</v>
      </c>
      <c r="V57">
        <f t="shared" ca="1" si="8"/>
        <v>2.4060454758172314E-3</v>
      </c>
    </row>
    <row r="58" spans="1:22">
      <c r="A58" s="170"/>
      <c r="B58" s="171">
        <v>-2.5457845528396139E-2</v>
      </c>
      <c r="C58" s="171">
        <v>2.3667658472617719</v>
      </c>
      <c r="D58" s="171">
        <v>6.368425350466822E-2</v>
      </c>
      <c r="E58" s="170">
        <v>0</v>
      </c>
      <c r="F58" s="170">
        <v>0</v>
      </c>
      <c r="G58" s="170">
        <v>-1.4990492230334603E-2</v>
      </c>
      <c r="H58" s="170">
        <v>0</v>
      </c>
      <c r="I58" s="170">
        <v>0</v>
      </c>
      <c r="J58" s="170">
        <v>0</v>
      </c>
      <c r="K58" s="170">
        <v>0</v>
      </c>
      <c r="L58">
        <v>2.803142180904064</v>
      </c>
      <c r="N58" s="172"/>
      <c r="O58" s="35">
        <f ca="1">MCond(OFFSET($B$12,(ROW(A47)-1)*4,0,3,3))</f>
        <v>5.020555181865034</v>
      </c>
      <c r="P58" s="35" t="str">
        <f ca="1">MCond(OFFSET($B$12,(ROW(B47)-1)*4,0,3,6))</f>
        <v>?</v>
      </c>
      <c r="Q58" s="35">
        <f ca="1">MCond(OFFSET($E$12,(ROW(C47)-1)*4,0,3,3))</f>
        <v>1</v>
      </c>
      <c r="R58" s="35" t="str">
        <f ca="1">MCond(OFFSET($I$12,(ROW(D47)-1)*4,0,3,3))</f>
        <v>?</v>
      </c>
      <c r="S58">
        <v>46</v>
      </c>
      <c r="T58" s="35">
        <f ca="1">MCond(OFFSET($B$12,(ROW(A46)-1)*4,0,3,3))</f>
        <v>7.1675826345810227</v>
      </c>
      <c r="V58">
        <f t="shared" ca="1" si="8"/>
        <v>3.33504997774024E-3</v>
      </c>
    </row>
    <row r="59" spans="1:22">
      <c r="A59" s="170"/>
      <c r="B59" s="171"/>
      <c r="C59" s="171"/>
      <c r="D59" s="171"/>
      <c r="E59" s="170"/>
      <c r="F59" s="170"/>
      <c r="G59" s="170"/>
      <c r="H59" s="170"/>
      <c r="I59" s="170"/>
      <c r="J59" s="170"/>
      <c r="K59" s="170"/>
      <c r="N59" s="173"/>
      <c r="O59" s="35">
        <f ca="1">MCond(OFFSET($B$12,(ROW(A48)-1)*4,0,3,3))</f>
        <v>8.0179728515029733</v>
      </c>
      <c r="P59" s="35" t="str">
        <f ca="1">MCond(OFFSET($B$12,(ROW(B48)-1)*4,0,3,6))</f>
        <v>?</v>
      </c>
      <c r="Q59" s="35">
        <f ca="1">MCond(OFFSET($E$12,(ROW(C48)-1)*4,0,3,3))</f>
        <v>1</v>
      </c>
      <c r="R59" s="35" t="str">
        <f ca="1">MCond(OFFSET($I$12,(ROW(D48)-1)*4,0,3,3))</f>
        <v>?</v>
      </c>
      <c r="S59">
        <v>47</v>
      </c>
      <c r="T59" s="35">
        <f ca="1">MCond(OFFSET($B$12,(ROW(A47)-1)*4,0,3,3))</f>
        <v>5.020555181865034</v>
      </c>
      <c r="V59">
        <f t="shared" ca="1" si="8"/>
        <v>2.3360459587504117E-3</v>
      </c>
    </row>
    <row r="60" spans="1:22">
      <c r="A60" s="170"/>
      <c r="B60" s="171">
        <v>-1.253875629566908</v>
      </c>
      <c r="C60" s="171">
        <v>-3.2592166127769939E-2</v>
      </c>
      <c r="D60" s="171">
        <v>0.73934661383723232</v>
      </c>
      <c r="E60" s="170">
        <v>-1.4990492230334603E-2</v>
      </c>
      <c r="F60" s="170">
        <v>0</v>
      </c>
      <c r="G60" s="170">
        <v>0</v>
      </c>
      <c r="H60" s="170">
        <v>0</v>
      </c>
      <c r="I60" s="170">
        <v>0</v>
      </c>
      <c r="J60" s="170">
        <v>0</v>
      </c>
      <c r="K60" s="170">
        <v>0</v>
      </c>
      <c r="L60">
        <v>1.0599498795536459</v>
      </c>
      <c r="N60" s="172"/>
      <c r="O60" s="35">
        <f ca="1">MCond(OFFSET($B$12,(ROW(A49)-1)*4,0,3,3))</f>
        <v>35.843588743019239</v>
      </c>
      <c r="P60" s="35" t="str">
        <f ca="1">MCond(OFFSET($B$12,(ROW(B49)-1)*4,0,3,6))</f>
        <v>?</v>
      </c>
      <c r="Q60" s="35">
        <f ca="1">MCond(OFFSET($E$12,(ROW(C49)-1)*4,0,3,3))</f>
        <v>1</v>
      </c>
      <c r="R60" s="35" t="str">
        <f ca="1">MCond(OFFSET($I$12,(ROW(D49)-1)*4,0,3,3))</f>
        <v>?</v>
      </c>
      <c r="S60">
        <v>48</v>
      </c>
      <c r="T60" s="35">
        <f ca="1">MCond(OFFSET($B$12,(ROW(A48)-1)*4,0,3,3))</f>
        <v>8.0179728515029733</v>
      </c>
      <c r="V60">
        <f t="shared" ca="1" si="8"/>
        <v>3.7307334345772674E-3</v>
      </c>
    </row>
    <row r="61" spans="1:22">
      <c r="A61" s="170" t="s">
        <v>226</v>
      </c>
      <c r="B61" s="171">
        <v>-1.0351585166444348</v>
      </c>
      <c r="C61" s="171">
        <v>2.1037449841221099</v>
      </c>
      <c r="D61" s="171">
        <v>0.82913701269133588</v>
      </c>
      <c r="E61" s="170">
        <v>0</v>
      </c>
      <c r="F61" s="170">
        <v>-1.4990492230334603E-2</v>
      </c>
      <c r="G61" s="170">
        <v>0</v>
      </c>
      <c r="H61" s="170">
        <v>0</v>
      </c>
      <c r="I61" s="170">
        <v>0</v>
      </c>
      <c r="J61" s="170">
        <v>0</v>
      </c>
      <c r="K61" s="170">
        <v>0</v>
      </c>
      <c r="L61">
        <v>3.0923821493075776</v>
      </c>
      <c r="N61" s="172">
        <f>MCond(B60:D62)</f>
        <v>7.6413054265435116</v>
      </c>
      <c r="O61" s="35">
        <f ca="1">MCond(OFFSET($B$12,(ROW(A50)-1)*4,0,3,3))</f>
        <v>6.0262694639012206</v>
      </c>
      <c r="P61" s="35" t="str">
        <f ca="1">MCond(OFFSET($B$12,(ROW(B50)-1)*4,0,3,6))</f>
        <v>?</v>
      </c>
      <c r="Q61" s="35">
        <f ca="1">MCond(OFFSET($E$12,(ROW(C50)-1)*4,0,3,3))</f>
        <v>1</v>
      </c>
      <c r="R61" s="35" t="str">
        <f ca="1">MCond(OFFSET($I$12,(ROW(D50)-1)*4,0,3,3))</f>
        <v>?</v>
      </c>
      <c r="S61">
        <v>49</v>
      </c>
      <c r="T61" s="35">
        <f ca="1">MCond(OFFSET($B$12,(ROW(A49)-1)*4,0,3,3))</f>
        <v>35.843588743019239</v>
      </c>
      <c r="V61">
        <f t="shared" ca="1" si="8"/>
        <v>1.6677890710711601E-2</v>
      </c>
    </row>
    <row r="62" spans="1:22">
      <c r="A62" s="170"/>
      <c r="B62" s="171">
        <v>0.58367185674448252</v>
      </c>
      <c r="C62" s="171">
        <v>2.0841504898711007</v>
      </c>
      <c r="D62" s="171">
        <v>0.75171422039661484</v>
      </c>
      <c r="E62" s="170">
        <v>0</v>
      </c>
      <c r="F62" s="170">
        <v>0</v>
      </c>
      <c r="G62" s="170">
        <v>-1.4990492230334603E-2</v>
      </c>
      <c r="H62" s="170">
        <v>0</v>
      </c>
      <c r="I62" s="170">
        <v>0</v>
      </c>
      <c r="J62" s="170">
        <v>0</v>
      </c>
      <c r="K62" s="170">
        <v>0</v>
      </c>
      <c r="L62">
        <v>2.6247151849659955</v>
      </c>
      <c r="N62" s="172"/>
      <c r="O62" s="35">
        <f ca="1">MCond(OFFSET($B$12,(ROW(A51)-1)*4,0,3,3))</f>
        <v>222.32523405718308</v>
      </c>
      <c r="P62" s="35" t="str">
        <f ca="1">MCond(OFFSET($B$12,(ROW(B51)-1)*4,0,3,6))</f>
        <v>?</v>
      </c>
      <c r="Q62" s="35">
        <f ca="1">MCond(OFFSET($E$12,(ROW(C51)-1)*4,0,3,3))</f>
        <v>1</v>
      </c>
      <c r="R62" s="35" t="str">
        <f ca="1">MCond(OFFSET($I$12,(ROW(D51)-1)*4,0,3,3))</f>
        <v>?</v>
      </c>
      <c r="S62">
        <v>50</v>
      </c>
      <c r="T62" s="35">
        <f ca="1">MCond(OFFSET($B$12,(ROW(A50)-1)*4,0,3,3))</f>
        <v>6.0262694639012206</v>
      </c>
      <c r="V62">
        <f t="shared" ca="1" si="8"/>
        <v>2.8040011348422029E-3</v>
      </c>
    </row>
    <row r="63" spans="1:22">
      <c r="A63" s="170"/>
      <c r="B63" s="171"/>
      <c r="C63" s="171"/>
      <c r="D63" s="171"/>
      <c r="E63" s="170"/>
      <c r="F63" s="170"/>
      <c r="G63" s="170"/>
      <c r="H63" s="170"/>
      <c r="I63" s="170"/>
      <c r="J63" s="170"/>
      <c r="K63" s="170"/>
      <c r="N63" s="173"/>
      <c r="O63" s="35">
        <f ca="1">MCond(OFFSET($B$12,(ROW(A52)-1)*4,0,3,3))</f>
        <v>49.448565792947846</v>
      </c>
      <c r="P63" s="35" t="str">
        <f ca="1">MCond(OFFSET($B$12,(ROW(B52)-1)*4,0,3,6))</f>
        <v>?</v>
      </c>
      <c r="Q63" s="35">
        <f ca="1">MCond(OFFSET($E$12,(ROW(C52)-1)*4,0,3,3))</f>
        <v>1</v>
      </c>
      <c r="R63" s="35" t="str">
        <f ca="1">MCond(OFFSET($I$12,(ROW(D52)-1)*4,0,3,3))</f>
        <v>?</v>
      </c>
      <c r="S63">
        <v>51</v>
      </c>
      <c r="T63" s="35">
        <f ca="1">MCond(OFFSET($B$12,(ROW(A51)-1)*4,0,3,3))</f>
        <v>222.32523405718308</v>
      </c>
      <c r="V63">
        <f t="shared" ca="1" si="8"/>
        <v>0.10344711804454056</v>
      </c>
    </row>
    <row r="64" spans="1:22">
      <c r="A64" s="170"/>
      <c r="B64" s="171">
        <v>-1.253875629566908</v>
      </c>
      <c r="C64" s="171">
        <v>-3.2592166127769939E-2</v>
      </c>
      <c r="D64" s="171">
        <v>0.73934661383723232</v>
      </c>
      <c r="E64" s="170">
        <v>-1.4990492230334603E-2</v>
      </c>
      <c r="F64" s="170">
        <v>0</v>
      </c>
      <c r="G64" s="170">
        <v>0</v>
      </c>
      <c r="H64" s="170">
        <v>0</v>
      </c>
      <c r="I64" s="170">
        <v>0</v>
      </c>
      <c r="J64" s="170">
        <v>0</v>
      </c>
      <c r="K64" s="170">
        <v>0</v>
      </c>
      <c r="L64">
        <v>1.0599498795536459</v>
      </c>
      <c r="N64" s="172"/>
      <c r="O64" s="35">
        <f ca="1">MCond(OFFSET($B$12,(ROW(A53)-1)*4,0,3,3))</f>
        <v>317.80209627578216</v>
      </c>
      <c r="P64" s="35" t="str">
        <f ca="1">MCond(OFFSET($B$12,(ROW(B53)-1)*4,0,3,6))</f>
        <v>?</v>
      </c>
      <c r="Q64" s="35">
        <f ca="1">MCond(OFFSET($E$12,(ROW(C53)-1)*4,0,3,3))</f>
        <v>1</v>
      </c>
      <c r="R64" s="35" t="str">
        <f ca="1">MCond(OFFSET($I$12,(ROW(D53)-1)*4,0,3,3))</f>
        <v>?</v>
      </c>
      <c r="S64">
        <v>52</v>
      </c>
      <c r="T64" s="35">
        <f ca="1">MCond(OFFSET($B$12,(ROW(A52)-1)*4,0,3,3))</f>
        <v>49.448565792947846</v>
      </c>
      <c r="V64">
        <f t="shared" ca="1" si="8"/>
        <v>2.3008236759128404E-2</v>
      </c>
    </row>
    <row r="65" spans="1:22">
      <c r="A65" s="170" t="s">
        <v>227</v>
      </c>
      <c r="B65" s="171">
        <v>-1.0351585166444348</v>
      </c>
      <c r="C65" s="171">
        <v>2.1037449841221099</v>
      </c>
      <c r="D65" s="171">
        <v>0.82913701269133588</v>
      </c>
      <c r="E65" s="170">
        <v>0</v>
      </c>
      <c r="F65" s="170">
        <v>-1.4990492230334603E-2</v>
      </c>
      <c r="G65" s="170">
        <v>0</v>
      </c>
      <c r="H65" s="170">
        <v>0</v>
      </c>
      <c r="I65" s="170">
        <v>0</v>
      </c>
      <c r="J65" s="170">
        <v>0</v>
      </c>
      <c r="K65" s="170">
        <v>0</v>
      </c>
      <c r="L65">
        <v>3.0923821493075776</v>
      </c>
      <c r="N65" s="172">
        <f>MCond(B64:D66)</f>
        <v>35.570359419370689</v>
      </c>
      <c r="O65" s="35">
        <f ca="1">MCond(OFFSET($B$12,(ROW(A54)-1)*4,0,3,3))</f>
        <v>15.482311838444748</v>
      </c>
      <c r="P65" s="35" t="str">
        <f ca="1">MCond(OFFSET($B$12,(ROW(B54)-1)*4,0,3,6))</f>
        <v>?</v>
      </c>
      <c r="Q65" s="35">
        <f ca="1">MCond(OFFSET($E$12,(ROW(C54)-1)*4,0,3,3))</f>
        <v>1</v>
      </c>
      <c r="R65" s="35" t="str">
        <f ca="1">MCond(OFFSET($I$12,(ROW(D54)-1)*4,0,3,3))</f>
        <v>?</v>
      </c>
      <c r="S65">
        <v>53</v>
      </c>
      <c r="T65" s="35">
        <f ca="1">MCond(OFFSET($B$12,(ROW(A53)-1)*4,0,3,3))</f>
        <v>317.80209627578216</v>
      </c>
      <c r="V65">
        <f t="shared" ca="1" si="8"/>
        <v>0.1478721527390251</v>
      </c>
    </row>
    <row r="66" spans="1:22">
      <c r="A66" s="170"/>
      <c r="B66" s="171">
        <v>-2.5457845528396139E-2</v>
      </c>
      <c r="C66" s="171">
        <v>2.3667658472617719</v>
      </c>
      <c r="D66" s="171">
        <v>6.368425350466822E-2</v>
      </c>
      <c r="E66" s="170">
        <v>0</v>
      </c>
      <c r="F66" s="170">
        <v>0</v>
      </c>
      <c r="G66" s="170">
        <v>-1.4990492230334603E-2</v>
      </c>
      <c r="H66" s="170">
        <v>0</v>
      </c>
      <c r="I66" s="170">
        <v>0</v>
      </c>
      <c r="J66" s="170">
        <v>0</v>
      </c>
      <c r="K66" s="170">
        <v>0</v>
      </c>
      <c r="L66">
        <v>2.803142180904064</v>
      </c>
      <c r="N66" s="172"/>
      <c r="O66" s="35">
        <f ca="1">MCond(OFFSET($B$12,(ROW(A55)-1)*4,0,3,3))</f>
        <v>180.39381408191585</v>
      </c>
      <c r="P66" s="35" t="str">
        <f ca="1">MCond(OFFSET($B$12,(ROW(B55)-1)*4,0,3,6))</f>
        <v>?</v>
      </c>
      <c r="Q66" s="35">
        <f ca="1">MCond(OFFSET($E$12,(ROW(C55)-1)*4,0,3,3))</f>
        <v>1</v>
      </c>
      <c r="R66" s="35" t="str">
        <f ca="1">MCond(OFFSET($I$12,(ROW(D55)-1)*4,0,3,3))</f>
        <v>?</v>
      </c>
      <c r="S66">
        <v>54</v>
      </c>
      <c r="T66" s="35">
        <f ca="1">MCond(OFFSET($B$12,(ROW(A54)-1)*4,0,3,3))</f>
        <v>15.482311838444748</v>
      </c>
      <c r="V66">
        <f t="shared" ca="1" si="8"/>
        <v>7.2038630574073406E-3</v>
      </c>
    </row>
    <row r="67" spans="1:22">
      <c r="A67" s="170"/>
      <c r="B67" s="171"/>
      <c r="C67" s="171"/>
      <c r="D67" s="171"/>
      <c r="E67" s="170"/>
      <c r="F67" s="170"/>
      <c r="G67" s="170"/>
      <c r="H67" s="170"/>
      <c r="I67" s="170"/>
      <c r="J67" s="170"/>
      <c r="K67" s="170"/>
      <c r="N67" s="173"/>
      <c r="O67" s="35">
        <f ca="1">MCond(OFFSET($B$12,(ROW(A56)-1)*4,0,3,3))</f>
        <v>326.12223160360338</v>
      </c>
      <c r="P67" s="35" t="str">
        <f ca="1">MCond(OFFSET($B$12,(ROW(B56)-1)*4,0,3,6))</f>
        <v>?</v>
      </c>
      <c r="Q67" s="35">
        <f ca="1">MCond(OFFSET($E$12,(ROW(C56)-1)*4,0,3,3))</f>
        <v>1</v>
      </c>
      <c r="R67" s="35" t="str">
        <f ca="1">MCond(OFFSET($I$12,(ROW(D56)-1)*4,0,3,3))</f>
        <v>?</v>
      </c>
      <c r="S67">
        <v>55</v>
      </c>
      <c r="T67" s="35">
        <f ca="1">MCond(OFFSET($B$12,(ROW(A55)-1)*4,0,3,3))</f>
        <v>180.39381408191585</v>
      </c>
      <c r="V67">
        <f t="shared" ca="1" si="8"/>
        <v>8.3936581733394688E-2</v>
      </c>
    </row>
    <row r="68" spans="1:22">
      <c r="A68" s="170"/>
      <c r="B68" s="171">
        <v>-1.253875629566908</v>
      </c>
      <c r="C68" s="171">
        <v>-3.2592166127769939E-2</v>
      </c>
      <c r="D68" s="171">
        <v>0.73934661383723232</v>
      </c>
      <c r="E68" s="170">
        <v>-1.4990492230334603E-2</v>
      </c>
      <c r="F68" s="170">
        <v>0</v>
      </c>
      <c r="G68" s="170">
        <v>0</v>
      </c>
      <c r="H68" s="170">
        <v>0</v>
      </c>
      <c r="I68" s="170">
        <v>0</v>
      </c>
      <c r="J68" s="170">
        <v>0</v>
      </c>
      <c r="K68" s="170">
        <v>0</v>
      </c>
      <c r="L68">
        <v>1.0599498795536459</v>
      </c>
      <c r="N68" s="172"/>
      <c r="O68" s="35">
        <f ca="1">MCond(OFFSET($B$12,(ROW(A57)-1)*4,0,3,3))</f>
        <v>19.373118971201439</v>
      </c>
      <c r="P68" s="35" t="str">
        <f ca="1">MCond(OFFSET($B$12,(ROW(B57)-1)*4,0,3,6))</f>
        <v>?</v>
      </c>
      <c r="Q68" s="35">
        <f ca="1">MCond(OFFSET($E$12,(ROW(C57)-1)*4,0,3,3))</f>
        <v>1</v>
      </c>
      <c r="R68" s="35" t="str">
        <f ca="1">MCond(OFFSET($I$12,(ROW(D57)-1)*4,0,3,3))</f>
        <v>?</v>
      </c>
      <c r="S68">
        <v>56</v>
      </c>
      <c r="T68" s="35">
        <f ca="1">MCond(OFFSET($B$12,(ROW(A56)-1)*4,0,3,3))</f>
        <v>326.12223160360338</v>
      </c>
      <c r="V68">
        <f t="shared" ca="1" si="8"/>
        <v>0.15174348126839166</v>
      </c>
    </row>
    <row r="69" spans="1:22">
      <c r="A69" s="170" t="s">
        <v>228</v>
      </c>
      <c r="B69" s="171">
        <v>0.58367185674448252</v>
      </c>
      <c r="C69" s="171">
        <v>2.0841504898711007</v>
      </c>
      <c r="D69" s="171">
        <v>0.75171422039661484</v>
      </c>
      <c r="E69" s="170">
        <v>0</v>
      </c>
      <c r="F69" s="170">
        <v>-1.4990492230334603E-2</v>
      </c>
      <c r="G69" s="170">
        <v>0</v>
      </c>
      <c r="H69" s="170">
        <v>0</v>
      </c>
      <c r="I69" s="170">
        <v>0</v>
      </c>
      <c r="J69" s="170">
        <v>0</v>
      </c>
      <c r="K69" s="170">
        <v>0</v>
      </c>
      <c r="L69">
        <v>2.6247151849659955</v>
      </c>
      <c r="N69" s="172">
        <f>MCond(B68:D70)</f>
        <v>4.8602217427722341</v>
      </c>
      <c r="O69" s="35">
        <f ca="1">MCond(OFFSET($B$12,(ROW(A58)-1)*4,0,3,3))</f>
        <v>57.193413755542728</v>
      </c>
      <c r="P69" s="35" t="str">
        <f ca="1">MCond(OFFSET($B$12,(ROW(B58)-1)*4,0,3,6))</f>
        <v>?</v>
      </c>
      <c r="Q69" s="35">
        <f ca="1">MCond(OFFSET($E$12,(ROW(C58)-1)*4,0,3,3))</f>
        <v>1</v>
      </c>
      <c r="R69" s="35" t="str">
        <f ca="1">MCond(OFFSET($I$12,(ROW(D58)-1)*4,0,3,3))</f>
        <v>?</v>
      </c>
      <c r="S69">
        <v>57</v>
      </c>
      <c r="T69" s="35">
        <f ca="1">MCond(OFFSET($B$12,(ROW(A57)-1)*4,0,3,3))</f>
        <v>19.373118971201439</v>
      </c>
      <c r="V69">
        <f t="shared" ca="1" si="8"/>
        <v>9.0142413820166779E-3</v>
      </c>
    </row>
    <row r="70" spans="1:22">
      <c r="A70" s="170"/>
      <c r="B70" s="171">
        <v>-2.5457845528396139E-2</v>
      </c>
      <c r="C70" s="171">
        <v>2.3667658472617719</v>
      </c>
      <c r="D70" s="171">
        <v>6.368425350466822E-2</v>
      </c>
      <c r="E70" s="170">
        <v>0</v>
      </c>
      <c r="F70" s="170">
        <v>0</v>
      </c>
      <c r="G70" s="170">
        <v>-1.4990492230334603E-2</v>
      </c>
      <c r="H70" s="170">
        <v>0</v>
      </c>
      <c r="I70" s="170">
        <v>0</v>
      </c>
      <c r="J70" s="170">
        <v>0</v>
      </c>
      <c r="K70" s="170">
        <v>0</v>
      </c>
      <c r="L70">
        <v>2.803142180904064</v>
      </c>
      <c r="N70" s="172"/>
      <c r="O70" s="35">
        <f ca="1">MCond(OFFSET($B$12,(ROW(A59)-1)*4,0,3,3))</f>
        <v>7.0862524060099732</v>
      </c>
      <c r="P70" s="35" t="str">
        <f ca="1">MCond(OFFSET($B$12,(ROW(B59)-1)*4,0,3,6))</f>
        <v>?</v>
      </c>
      <c r="Q70" s="35">
        <f ca="1">MCond(OFFSET($E$12,(ROW(C59)-1)*4,0,3,3))</f>
        <v>1</v>
      </c>
      <c r="R70" s="35" t="str">
        <f ca="1">MCond(OFFSET($I$12,(ROW(D59)-1)*4,0,3,3))</f>
        <v>?</v>
      </c>
      <c r="S70">
        <v>58</v>
      </c>
      <c r="T70" s="35">
        <f ca="1">MCond(OFFSET($B$12,(ROW(A58)-1)*4,0,3,3))</f>
        <v>57.193413755542728</v>
      </c>
      <c r="V70">
        <f t="shared" ca="1" si="8"/>
        <v>2.6611886182106206E-2</v>
      </c>
    </row>
    <row r="71" spans="1:22">
      <c r="A71" s="170"/>
      <c r="B71" s="171"/>
      <c r="C71" s="171"/>
      <c r="D71" s="171"/>
      <c r="E71" s="170"/>
      <c r="F71" s="170"/>
      <c r="G71" s="170"/>
      <c r="H71" s="170"/>
      <c r="I71" s="170"/>
      <c r="J71" s="170"/>
      <c r="K71" s="170"/>
      <c r="N71" s="173"/>
      <c r="O71" s="35">
        <f ca="1">MCond(OFFSET($B$12,(ROW(A60)-1)*4,0,3,3))</f>
        <v>9.7216302727657062</v>
      </c>
      <c r="P71" s="35" t="str">
        <f ca="1">MCond(OFFSET($B$12,(ROW(B60)-1)*4,0,3,6))</f>
        <v>?</v>
      </c>
      <c r="Q71" s="35">
        <f ca="1">MCond(OFFSET($E$12,(ROW(C60)-1)*4,0,3,3))</f>
        <v>1</v>
      </c>
      <c r="R71" s="35" t="str">
        <f ca="1">MCond(OFFSET($I$12,(ROW(D60)-1)*4,0,3,3))</f>
        <v>?</v>
      </c>
      <c r="S71">
        <v>59</v>
      </c>
      <c r="T71" s="35">
        <f ca="1">MCond(OFFSET($B$12,(ROW(A59)-1)*4,0,3,3))</f>
        <v>7.0862524060099732</v>
      </c>
      <c r="V71">
        <f t="shared" ca="1" si="8"/>
        <v>3.2972073199274299E-3</v>
      </c>
    </row>
    <row r="72" spans="1:22">
      <c r="A72" s="170"/>
      <c r="B72" s="171">
        <v>1.0419123890112216</v>
      </c>
      <c r="C72" s="171">
        <v>-4.0818532431212473E-2</v>
      </c>
      <c r="D72" s="171">
        <v>0.77248383184656022</v>
      </c>
      <c r="E72" s="170">
        <v>-1.4990492230334603E-2</v>
      </c>
      <c r="F72" s="170">
        <v>0</v>
      </c>
      <c r="G72" s="170">
        <v>0</v>
      </c>
      <c r="H72" s="170">
        <v>0.14525704733164976</v>
      </c>
      <c r="I72" s="170">
        <v>-5.8370098634356792E-2</v>
      </c>
      <c r="J72" s="170">
        <v>0</v>
      </c>
      <c r="K72" s="170">
        <v>0</v>
      </c>
      <c r="L72">
        <v>0.8419894247146269</v>
      </c>
      <c r="N72" s="172"/>
      <c r="O72" s="35">
        <f ca="1">MCond(OFFSET($B$12,(ROW(A61)-1)*4,0,3,3))</f>
        <v>63.728386371176278</v>
      </c>
      <c r="P72" s="35" t="str">
        <f ca="1">MCond(OFFSET($B$12,(ROW(B61)-1)*4,0,3,6))</f>
        <v>?</v>
      </c>
      <c r="Q72" s="35">
        <f ca="1">MCond(OFFSET($E$12,(ROW(C61)-1)*4,0,3,3))</f>
        <v>1</v>
      </c>
      <c r="R72" s="35" t="str">
        <f ca="1">MCond(OFFSET($I$12,(ROW(D61)-1)*4,0,3,3))</f>
        <v>?</v>
      </c>
      <c r="S72">
        <v>60</v>
      </c>
      <c r="T72" s="35">
        <f ca="1">MCond(OFFSET($B$12,(ROW(A60)-1)*4,0,3,3))</f>
        <v>9.7216302727657062</v>
      </c>
      <c r="V72">
        <f t="shared" ca="1" si="8"/>
        <v>4.523438999972036E-3</v>
      </c>
    </row>
    <row r="73" spans="1:22">
      <c r="A73" s="170" t="s">
        <v>229</v>
      </c>
      <c r="B73" s="171">
        <v>-1.4028471761352286</v>
      </c>
      <c r="C73" s="171">
        <v>0.814665459345566</v>
      </c>
      <c r="D73" s="171">
        <v>0.7195871750303805</v>
      </c>
      <c r="E73" s="170">
        <v>0</v>
      </c>
      <c r="F73" s="170">
        <v>-1.4990492230334603E-2</v>
      </c>
      <c r="G73" s="170">
        <v>0</v>
      </c>
      <c r="H73" s="170">
        <v>0.14525704733164976</v>
      </c>
      <c r="I73" s="170">
        <v>0</v>
      </c>
      <c r="J73" s="170">
        <v>-2.1174072073315828E-2</v>
      </c>
      <c r="K73" s="170">
        <v>0</v>
      </c>
      <c r="L73">
        <v>1.5747328563547551</v>
      </c>
      <c r="N73" s="172">
        <f>MCond(B72:D74)</f>
        <v>4.1121618081555962</v>
      </c>
      <c r="O73" s="35">
        <f ca="1">MCond(OFFSET($B$12,(ROW(A62)-1)*4,0,3,3))</f>
        <v>1839.1895225872963</v>
      </c>
      <c r="P73" s="35" t="str">
        <f ca="1">MCond(OFFSET($B$12,(ROW(B62)-1)*4,0,3,6))</f>
        <v>?</v>
      </c>
      <c r="Q73" s="35">
        <f ca="1">MCond(OFFSET($E$12,(ROW(C62)-1)*4,0,3,3))</f>
        <v>1</v>
      </c>
      <c r="R73" s="35" t="str">
        <f ca="1">MCond(OFFSET($I$12,(ROW(D62)-1)*4,0,3,3))</f>
        <v>?</v>
      </c>
      <c r="S73">
        <v>61</v>
      </c>
      <c r="T73" s="35">
        <f ca="1">MCond(OFFSET($B$12,(ROW(A61)-1)*4,0,3,3))</f>
        <v>63.728386371176278</v>
      </c>
      <c r="V73">
        <f t="shared" ca="1" si="8"/>
        <v>2.965258503239239E-2</v>
      </c>
    </row>
    <row r="74" spans="1:22">
      <c r="A74" s="170"/>
      <c r="B74" s="171">
        <v>1.4421025939282253</v>
      </c>
      <c r="C74" s="171">
        <v>1.0431877148697888</v>
      </c>
      <c r="D74" s="171">
        <v>0.78932433807079116</v>
      </c>
      <c r="E74" s="170">
        <v>0</v>
      </c>
      <c r="F74" s="170">
        <v>0</v>
      </c>
      <c r="G74" s="170">
        <v>-1.4990492230334603E-2</v>
      </c>
      <c r="H74" s="170">
        <v>0.14525704733164976</v>
      </c>
      <c r="I74" s="170">
        <v>0</v>
      </c>
      <c r="J74" s="170">
        <v>0</v>
      </c>
      <c r="K74" s="170">
        <v>6.8827960560405646E-2</v>
      </c>
      <c r="L74">
        <v>1.8954667052703302</v>
      </c>
      <c r="N74" s="172"/>
      <c r="O74" s="35">
        <f ca="1">MCond(OFFSET($B$12,(ROW(A63)-1)*4,0,3,3))</f>
        <v>14.280317337938845</v>
      </c>
      <c r="P74" s="35" t="str">
        <f ca="1">MCond(OFFSET($B$12,(ROW(B63)-1)*4,0,3,6))</f>
        <v>?</v>
      </c>
      <c r="Q74" s="35">
        <f ca="1">MCond(OFFSET($E$12,(ROW(C63)-1)*4,0,3,3))</f>
        <v>1</v>
      </c>
      <c r="R74" s="35" t="str">
        <f ca="1">MCond(OFFSET($I$12,(ROW(D63)-1)*4,0,3,3))</f>
        <v>?</v>
      </c>
      <c r="S74">
        <v>62</v>
      </c>
      <c r="T74" s="35">
        <f ca="1">MCond(OFFSET($B$12,(ROW(A62)-1)*4,0,3,3))</f>
        <v>1839.1895225872963</v>
      </c>
      <c r="V74">
        <f t="shared" ca="1" si="8"/>
        <v>0.8557681563057965</v>
      </c>
    </row>
    <row r="75" spans="1:22">
      <c r="A75" s="170"/>
      <c r="B75" s="171"/>
      <c r="C75" s="171"/>
      <c r="D75" s="171"/>
      <c r="E75" s="170"/>
      <c r="F75" s="170"/>
      <c r="G75" s="170"/>
      <c r="H75" s="170"/>
      <c r="I75" s="170"/>
      <c r="J75" s="170"/>
      <c r="K75" s="170"/>
      <c r="N75" s="173"/>
      <c r="O75" s="35">
        <f ca="1">MCond(OFFSET($B$12,(ROW(A64)-1)*4,0,3,3))</f>
        <v>59.461695313516891</v>
      </c>
      <c r="P75" s="35" t="str">
        <f ca="1">MCond(OFFSET($B$12,(ROW(B64)-1)*4,0,3,6))</f>
        <v>?</v>
      </c>
      <c r="Q75" s="35">
        <f ca="1">MCond(OFFSET($E$12,(ROW(C64)-1)*4,0,3,3))</f>
        <v>1</v>
      </c>
      <c r="R75" s="35" t="str">
        <f ca="1">MCond(OFFSET($I$12,(ROW(D64)-1)*4,0,3,3))</f>
        <v>?</v>
      </c>
      <c r="S75">
        <v>63</v>
      </c>
      <c r="T75" s="35">
        <f ca="1">MCond(OFFSET($B$12,(ROW(A63)-1)*4,0,3,3))</f>
        <v>14.280317337938845</v>
      </c>
      <c r="V75">
        <f t="shared" ca="1" si="8"/>
        <v>6.6445794137398786E-3</v>
      </c>
    </row>
    <row r="76" spans="1:22">
      <c r="A76" s="170"/>
      <c r="B76" s="171">
        <v>1.0419123890112216</v>
      </c>
      <c r="C76" s="171">
        <v>-4.0818532431212473E-2</v>
      </c>
      <c r="D76" s="171">
        <v>0.77248383184656022</v>
      </c>
      <c r="E76" s="170">
        <v>-1.4990492230334603E-2</v>
      </c>
      <c r="F76" s="170">
        <v>0</v>
      </c>
      <c r="G76" s="170">
        <v>0</v>
      </c>
      <c r="H76" s="170">
        <v>0.14525704733164976</v>
      </c>
      <c r="I76" s="170">
        <v>-5.8370098634356792E-2</v>
      </c>
      <c r="J76" s="170">
        <v>0</v>
      </c>
      <c r="K76" s="170">
        <v>0</v>
      </c>
      <c r="L76">
        <v>0.8419894247146269</v>
      </c>
      <c r="N76" s="172"/>
      <c r="O76" s="35">
        <f ca="1">MCond(OFFSET($B$12,(ROW(A65)-1)*4,0,3,3))</f>
        <v>21.170385241601402</v>
      </c>
      <c r="P76" s="35" t="str">
        <f ca="1">MCond(OFFSET($B$12,(ROW(B65)-1)*4,0,3,6))</f>
        <v>?</v>
      </c>
      <c r="Q76" s="35">
        <f ca="1">MCond(OFFSET($E$12,(ROW(C65)-1)*4,0,3,3))</f>
        <v>1</v>
      </c>
      <c r="R76" s="35" t="str">
        <f ca="1">MCond(OFFSET($I$12,(ROW(D65)-1)*4,0,3,3))</f>
        <v>?</v>
      </c>
      <c r="S76">
        <v>64</v>
      </c>
      <c r="T76" s="35">
        <f ca="1">MCond(OFFSET($B$12,(ROW(A64)-1)*4,0,3,3))</f>
        <v>59.461695313516891</v>
      </c>
      <c r="V76">
        <f t="shared" ca="1" si="8"/>
        <v>2.7667309292672481E-2</v>
      </c>
    </row>
    <row r="77" spans="1:22">
      <c r="A77" s="170" t="s">
        <v>230</v>
      </c>
      <c r="B77" s="171">
        <v>-1.4028471761352286</v>
      </c>
      <c r="C77" s="171">
        <v>0.814665459345566</v>
      </c>
      <c r="D77" s="171">
        <v>0.7195871750303805</v>
      </c>
      <c r="E77" s="170">
        <v>0</v>
      </c>
      <c r="F77" s="170">
        <v>-1.4990492230334603E-2</v>
      </c>
      <c r="G77" s="170">
        <v>0</v>
      </c>
      <c r="H77" s="170">
        <v>0.14525704733164976</v>
      </c>
      <c r="I77" s="170">
        <v>0</v>
      </c>
      <c r="J77" s="170">
        <v>-2.1174072073315828E-2</v>
      </c>
      <c r="K77" s="170">
        <v>0</v>
      </c>
      <c r="L77">
        <v>1.5747328563547551</v>
      </c>
      <c r="N77" s="172">
        <f>MCond(B76:D78)</f>
        <v>4.6589206831506358</v>
      </c>
      <c r="O77" s="35">
        <f ca="1">MCond(OFFSET($B$12,(ROW(A66)-1)*4,0,3,3))</f>
        <v>10.1367998366946</v>
      </c>
      <c r="P77" s="35" t="str">
        <f ca="1">MCond(OFFSET($B$12,(ROW(B66)-1)*4,0,3,6))</f>
        <v>?</v>
      </c>
      <c r="Q77" s="35">
        <f ca="1">MCond(OFFSET($E$12,(ROW(C66)-1)*4,0,3,3))</f>
        <v>1</v>
      </c>
      <c r="R77" s="35" t="str">
        <f ca="1">MCond(OFFSET($I$12,(ROW(D66)-1)*4,0,3,3))</f>
        <v>?</v>
      </c>
      <c r="S77">
        <v>65</v>
      </c>
      <c r="T77" s="35">
        <f ca="1">MCond(OFFSET($B$12,(ROW(A65)-1)*4,0,3,3))</f>
        <v>21.170385241601402</v>
      </c>
      <c r="V77">
        <f t="shared" ca="1" si="8"/>
        <v>9.8505028024531722E-3</v>
      </c>
    </row>
    <row r="78" spans="1:22">
      <c r="A78" s="170"/>
      <c r="B78" s="171">
        <v>-1.0351585166444348</v>
      </c>
      <c r="C78" s="171">
        <v>2.1037449841221099</v>
      </c>
      <c r="D78" s="171">
        <v>0.82913701269133588</v>
      </c>
      <c r="E78" s="170">
        <v>0</v>
      </c>
      <c r="F78" s="170">
        <v>0</v>
      </c>
      <c r="G78" s="170">
        <v>-1.4990492230334603E-2</v>
      </c>
      <c r="H78" s="170">
        <v>0.14525704733164976</v>
      </c>
      <c r="I78" s="170">
        <v>0</v>
      </c>
      <c r="J78" s="170">
        <v>0</v>
      </c>
      <c r="K78" s="170">
        <v>0.18191808401017825</v>
      </c>
      <c r="L78">
        <v>3.0923821493075776</v>
      </c>
      <c r="N78" s="172"/>
      <c r="O78" s="35">
        <f ca="1">MCond(OFFSET($B$12,(ROW(A67)-1)*4,0,3,3))</f>
        <v>71.937522903691658</v>
      </c>
      <c r="P78" s="35" t="str">
        <f ca="1">MCond(OFFSET($B$12,(ROW(B67)-1)*4,0,3,6))</f>
        <v>?</v>
      </c>
      <c r="Q78" s="35">
        <f ca="1">MCond(OFFSET($E$12,(ROW(C67)-1)*4,0,3,3))</f>
        <v>1</v>
      </c>
      <c r="R78" s="35" t="str">
        <f ca="1">MCond(OFFSET($I$12,(ROW(D67)-1)*4,0,3,3))</f>
        <v>?</v>
      </c>
      <c r="S78">
        <v>66</v>
      </c>
      <c r="T78" s="35">
        <f ca="1">MCond(OFFSET($B$12,(ROW(A66)-1)*4,0,3,3))</f>
        <v>10.1367998366946</v>
      </c>
      <c r="V78">
        <f t="shared" ref="V78:V141" ca="1" si="11">T78/$U$13</f>
        <v>4.7166158791975684E-3</v>
      </c>
    </row>
    <row r="79" spans="1:22">
      <c r="A79" s="170"/>
      <c r="B79" s="171"/>
      <c r="C79" s="171"/>
      <c r="D79" s="171"/>
      <c r="E79" s="170"/>
      <c r="F79" s="170"/>
      <c r="G79" s="170"/>
      <c r="H79" s="170"/>
      <c r="I79" s="170"/>
      <c r="J79" s="170"/>
      <c r="K79" s="170"/>
      <c r="N79" s="173"/>
      <c r="O79" s="35">
        <f ca="1">MCond(OFFSET($B$12,(ROW(A68)-1)*4,0,3,3))</f>
        <v>7.5230904443487656</v>
      </c>
      <c r="P79" s="35" t="str">
        <f ca="1">MCond(OFFSET($B$12,(ROW(B68)-1)*4,0,3,6))</f>
        <v>?</v>
      </c>
      <c r="Q79" s="35">
        <f ca="1">MCond(OFFSET($E$12,(ROW(C68)-1)*4,0,3,3))</f>
        <v>1</v>
      </c>
      <c r="R79" s="35" t="str">
        <f ca="1">MCond(OFFSET($I$12,(ROW(D68)-1)*4,0,3,3))</f>
        <v>?</v>
      </c>
      <c r="S79">
        <v>67</v>
      </c>
      <c r="T79" s="35">
        <f ca="1">MCond(OFFSET($B$12,(ROW(A67)-1)*4,0,3,3))</f>
        <v>71.937522903691658</v>
      </c>
      <c r="V79">
        <f t="shared" ca="1" si="11"/>
        <v>3.3472266228384957E-2</v>
      </c>
    </row>
    <row r="80" spans="1:22">
      <c r="A80" s="170"/>
      <c r="B80" s="171">
        <v>1.0419123890112216</v>
      </c>
      <c r="C80" s="171">
        <v>-4.0818532431212473E-2</v>
      </c>
      <c r="D80" s="171">
        <v>0.77248383184656022</v>
      </c>
      <c r="E80" s="170">
        <v>-1.4990492230334603E-2</v>
      </c>
      <c r="F80" s="170">
        <v>0</v>
      </c>
      <c r="G80" s="170">
        <v>0</v>
      </c>
      <c r="H80" s="170">
        <v>0</v>
      </c>
      <c r="I80" s="170">
        <v>0</v>
      </c>
      <c r="J80" s="170">
        <v>0</v>
      </c>
      <c r="K80" s="170">
        <v>0</v>
      </c>
      <c r="L80">
        <v>0.8419894247146269</v>
      </c>
      <c r="N80" s="172"/>
      <c r="O80" s="35">
        <f ca="1">MCond(OFFSET($B$12,(ROW(A69)-1)*4,0,3,3))</f>
        <v>13.005132427828926</v>
      </c>
      <c r="P80" s="35" t="str">
        <f ca="1">MCond(OFFSET($B$12,(ROW(B69)-1)*4,0,3,6))</f>
        <v>?</v>
      </c>
      <c r="Q80" s="35">
        <f ca="1">MCond(OFFSET($E$12,(ROW(C69)-1)*4,0,3,3))</f>
        <v>1</v>
      </c>
      <c r="R80" s="35" t="str">
        <f ca="1">MCond(OFFSET($I$12,(ROW(D69)-1)*4,0,3,3))</f>
        <v>?</v>
      </c>
      <c r="S80">
        <v>68</v>
      </c>
      <c r="T80" s="35">
        <f ca="1">MCond(OFFSET($B$12,(ROW(A68)-1)*4,0,3,3))</f>
        <v>7.5230904443487656</v>
      </c>
      <c r="V80">
        <f t="shared" ca="1" si="11"/>
        <v>3.5004664610231982E-3</v>
      </c>
    </row>
    <row r="81" spans="1:22">
      <c r="A81" s="170" t="s">
        <v>231</v>
      </c>
      <c r="B81" s="171">
        <v>-1.4028471761352286</v>
      </c>
      <c r="C81" s="171">
        <v>0.814665459345566</v>
      </c>
      <c r="D81" s="171">
        <v>0.7195871750303805</v>
      </c>
      <c r="E81" s="170">
        <v>0</v>
      </c>
      <c r="F81" s="170">
        <v>-1.4990492230334603E-2</v>
      </c>
      <c r="G81" s="170">
        <v>0</v>
      </c>
      <c r="H81" s="170">
        <v>0</v>
      </c>
      <c r="I81" s="170">
        <v>0</v>
      </c>
      <c r="J81" s="170">
        <v>0</v>
      </c>
      <c r="K81" s="170">
        <v>0</v>
      </c>
      <c r="L81">
        <v>1.5747328563547551</v>
      </c>
      <c r="N81" s="172">
        <f>MCond(B80:D82)</f>
        <v>3.0892013418031681</v>
      </c>
      <c r="O81" s="35">
        <f ca="1">MCond(OFFSET($B$12,(ROW(A70)-1)*4,0,3,3))</f>
        <v>7.6469926989996724</v>
      </c>
      <c r="P81" s="35" t="str">
        <f ca="1">MCond(OFFSET($B$12,(ROW(B70)-1)*4,0,3,6))</f>
        <v>?</v>
      </c>
      <c r="Q81" s="35">
        <f ca="1">MCond(OFFSET($E$12,(ROW(C70)-1)*4,0,3,3))</f>
        <v>1</v>
      </c>
      <c r="R81" s="35" t="str">
        <f ca="1">MCond(OFFSET($I$12,(ROW(D70)-1)*4,0,3,3))</f>
        <v>?</v>
      </c>
      <c r="S81">
        <v>69</v>
      </c>
      <c r="T81" s="35">
        <f ca="1">MCond(OFFSET($B$12,(ROW(A69)-1)*4,0,3,3))</f>
        <v>13.005132427828926</v>
      </c>
      <c r="V81">
        <f t="shared" ca="1" si="11"/>
        <v>6.0512405402459741E-3</v>
      </c>
    </row>
    <row r="82" spans="1:22">
      <c r="A82" s="170"/>
      <c r="B82" s="171">
        <v>0.58367185674448252</v>
      </c>
      <c r="C82" s="171">
        <v>2.0841504898711007</v>
      </c>
      <c r="D82" s="171">
        <v>0.75171422039661484</v>
      </c>
      <c r="E82" s="170">
        <v>0</v>
      </c>
      <c r="F82" s="170">
        <v>0</v>
      </c>
      <c r="G82" s="170">
        <v>-1.4990492230334603E-2</v>
      </c>
      <c r="H82" s="170">
        <v>0</v>
      </c>
      <c r="I82" s="170">
        <v>0</v>
      </c>
      <c r="J82" s="170">
        <v>0</v>
      </c>
      <c r="K82" s="170">
        <v>0</v>
      </c>
      <c r="L82">
        <v>2.6247151849659955</v>
      </c>
      <c r="N82" s="172"/>
      <c r="O82" s="35">
        <f ca="1">MCond(OFFSET($B$12,(ROW(A71)-1)*4,0,3,3))</f>
        <v>6.5447871116906784</v>
      </c>
      <c r="P82" s="35" t="str">
        <f ca="1">MCond(OFFSET($B$12,(ROW(B71)-1)*4,0,3,6))</f>
        <v>?</v>
      </c>
      <c r="Q82" s="35">
        <f ca="1">MCond(OFFSET($E$12,(ROW(C71)-1)*4,0,3,3))</f>
        <v>1</v>
      </c>
      <c r="R82" s="35" t="str">
        <f ca="1">MCond(OFFSET($I$12,(ROW(D71)-1)*4,0,3,3))</f>
        <v>?</v>
      </c>
      <c r="S82">
        <v>70</v>
      </c>
      <c r="T82" s="35">
        <f ca="1">MCond(OFFSET($B$12,(ROW(A70)-1)*4,0,3,3))</f>
        <v>7.6469926989996724</v>
      </c>
      <c r="V82">
        <f t="shared" ca="1" si="11"/>
        <v>3.5581177268240042E-3</v>
      </c>
    </row>
    <row r="83" spans="1:22">
      <c r="A83" s="170"/>
      <c r="B83" s="171"/>
      <c r="C83" s="171"/>
      <c r="D83" s="171"/>
      <c r="E83" s="170"/>
      <c r="F83" s="170"/>
      <c r="G83" s="170"/>
      <c r="H83" s="170"/>
      <c r="I83" s="170"/>
      <c r="J83" s="170"/>
      <c r="K83" s="170"/>
      <c r="N83" s="173"/>
      <c r="O83" s="35">
        <f ca="1">MCond(OFFSET($B$12,(ROW(A72)-1)*4,0,3,3))</f>
        <v>3.8029292847047502</v>
      </c>
      <c r="P83" s="35" t="str">
        <f ca="1">MCond(OFFSET($B$12,(ROW(B72)-1)*4,0,3,6))</f>
        <v>?</v>
      </c>
      <c r="Q83" s="35">
        <f ca="1">MCond(OFFSET($E$12,(ROW(C72)-1)*4,0,3,3))</f>
        <v>1</v>
      </c>
      <c r="R83" s="35" t="str">
        <f ca="1">MCond(OFFSET($I$12,(ROW(D72)-1)*4,0,3,3))</f>
        <v>?</v>
      </c>
      <c r="S83">
        <v>71</v>
      </c>
      <c r="T83" s="35">
        <f ca="1">MCond(OFFSET($B$12,(ROW(A71)-1)*4,0,3,3))</f>
        <v>6.5447871116906784</v>
      </c>
      <c r="V83">
        <f t="shared" ca="1" si="11"/>
        <v>3.0452654993958785E-3</v>
      </c>
    </row>
    <row r="84" spans="1:22">
      <c r="A84" s="170"/>
      <c r="B84" s="171">
        <v>1.0419123890112216</v>
      </c>
      <c r="C84" s="171">
        <v>-4.0818532431212473E-2</v>
      </c>
      <c r="D84" s="171">
        <v>0.77248383184656022</v>
      </c>
      <c r="E84" s="170">
        <v>-1.4990492230334603E-2</v>
      </c>
      <c r="F84" s="170">
        <v>0</v>
      </c>
      <c r="G84" s="170">
        <v>0</v>
      </c>
      <c r="H84" s="170">
        <v>0.14525704733164976</v>
      </c>
      <c r="I84" s="170">
        <v>-5.8370098634356792E-2</v>
      </c>
      <c r="J84" s="170">
        <v>0</v>
      </c>
      <c r="K84" s="170">
        <v>0</v>
      </c>
      <c r="L84">
        <v>0.8419894247146269</v>
      </c>
      <c r="N84" s="172"/>
      <c r="O84" s="35">
        <f ca="1">MCond(OFFSET($B$12,(ROW(A73)-1)*4,0,3,3))</f>
        <v>5.3446407282175681</v>
      </c>
      <c r="P84" s="35" t="str">
        <f ca="1">MCond(OFFSET($B$12,(ROW(B73)-1)*4,0,3,6))</f>
        <v>?</v>
      </c>
      <c r="Q84" s="35">
        <f ca="1">MCond(OFFSET($E$12,(ROW(C73)-1)*4,0,3,3))</f>
        <v>1</v>
      </c>
      <c r="R84" s="35" t="str">
        <f ca="1">MCond(OFFSET($I$12,(ROW(D73)-1)*4,0,3,3))</f>
        <v>?</v>
      </c>
      <c r="S84">
        <v>72</v>
      </c>
      <c r="T84" s="35">
        <f ca="1">MCond(OFFSET($B$12,(ROW(A72)-1)*4,0,3,3))</f>
        <v>3.8029292847047502</v>
      </c>
      <c r="V84">
        <f t="shared" ca="1" si="11"/>
        <v>1.7694890834061042E-3</v>
      </c>
    </row>
    <row r="85" spans="1:22">
      <c r="A85" s="170" t="s">
        <v>232</v>
      </c>
      <c r="B85" s="171">
        <v>-1.4028471761352286</v>
      </c>
      <c r="C85" s="171">
        <v>0.814665459345566</v>
      </c>
      <c r="D85" s="171">
        <v>0.7195871750303805</v>
      </c>
      <c r="E85" s="170">
        <v>0</v>
      </c>
      <c r="F85" s="170">
        <v>-1.4990492230334603E-2</v>
      </c>
      <c r="G85" s="170">
        <v>0</v>
      </c>
      <c r="H85" s="170">
        <v>0.14525704733164976</v>
      </c>
      <c r="I85" s="170">
        <v>0</v>
      </c>
      <c r="J85" s="170">
        <v>-2.1174072073315828E-2</v>
      </c>
      <c r="K85" s="170">
        <v>0</v>
      </c>
      <c r="L85">
        <v>1.5747328563547551</v>
      </c>
      <c r="N85" s="172">
        <f>MCond(B84:D86)</f>
        <v>2.5761959575841629</v>
      </c>
      <c r="O85" s="35">
        <f ca="1">MCond(OFFSET($B$12,(ROW(A74)-1)*4,0,3,3))</f>
        <v>3.9026598544515507</v>
      </c>
      <c r="P85" s="35" t="str">
        <f ca="1">MCond(OFFSET($B$12,(ROW(B74)-1)*4,0,3,6))</f>
        <v>?</v>
      </c>
      <c r="Q85" s="35">
        <f ca="1">MCond(OFFSET($E$12,(ROW(C74)-1)*4,0,3,3))</f>
        <v>1</v>
      </c>
      <c r="R85" s="35" t="str">
        <f ca="1">MCond(OFFSET($I$12,(ROW(D74)-1)*4,0,3,3))</f>
        <v>?</v>
      </c>
      <c r="S85">
        <v>73</v>
      </c>
      <c r="T85" s="35">
        <f ca="1">MCond(OFFSET($B$12,(ROW(A73)-1)*4,0,3,3))</f>
        <v>5.3446407282175681</v>
      </c>
      <c r="V85">
        <f t="shared" ca="1" si="11"/>
        <v>2.4868417778225603E-3</v>
      </c>
    </row>
    <row r="86" spans="1:22">
      <c r="A86" s="170"/>
      <c r="B86" s="171">
        <v>-2.5457845528396139E-2</v>
      </c>
      <c r="C86" s="171">
        <v>2.3667658472617719</v>
      </c>
      <c r="D86" s="171">
        <v>6.368425350466822E-2</v>
      </c>
      <c r="E86" s="170">
        <v>0</v>
      </c>
      <c r="F86" s="170">
        <v>0</v>
      </c>
      <c r="G86" s="170">
        <v>-1.4990492230334603E-2</v>
      </c>
      <c r="H86" s="170">
        <v>0.14525704733164976</v>
      </c>
      <c r="I86" s="170">
        <v>0</v>
      </c>
      <c r="J86" s="170">
        <v>0</v>
      </c>
      <c r="K86" s="170">
        <v>-8.9700844372930258E-2</v>
      </c>
      <c r="L86">
        <v>2.803142180904064</v>
      </c>
      <c r="N86" s="172"/>
      <c r="O86" s="35">
        <f ca="1">MCond(OFFSET($B$12,(ROW(A75)-1)*4,0,3,3))</f>
        <v>4.8270811041221897</v>
      </c>
      <c r="P86" s="35" t="str">
        <f ca="1">MCond(OFFSET($B$12,(ROW(B75)-1)*4,0,3,6))</f>
        <v>?</v>
      </c>
      <c r="Q86" s="35">
        <f ca="1">MCond(OFFSET($E$12,(ROW(C75)-1)*4,0,3,3))</f>
        <v>1</v>
      </c>
      <c r="R86" s="35" t="str">
        <f ca="1">MCond(OFFSET($I$12,(ROW(D75)-1)*4,0,3,3))</f>
        <v>?</v>
      </c>
      <c r="S86">
        <v>74</v>
      </c>
      <c r="T86" s="35">
        <f ca="1">MCond(OFFSET($B$12,(ROW(A74)-1)*4,0,3,3))</f>
        <v>3.9026598544515507</v>
      </c>
      <c r="V86">
        <f t="shared" ca="1" si="11"/>
        <v>1.8158933526515513E-3</v>
      </c>
    </row>
    <row r="87" spans="1:22">
      <c r="A87" s="170"/>
      <c r="B87" s="171"/>
      <c r="C87" s="171"/>
      <c r="D87" s="171"/>
      <c r="E87" s="170"/>
      <c r="F87" s="170"/>
      <c r="G87" s="170"/>
      <c r="H87" s="170"/>
      <c r="I87" s="170"/>
      <c r="J87" s="170"/>
      <c r="K87" s="170"/>
      <c r="N87" s="173"/>
      <c r="O87" s="35">
        <f ca="1">MCond(OFFSET($B$12,(ROW(A76)-1)*4,0,3,3))</f>
        <v>4.2243239500446652</v>
      </c>
      <c r="P87" s="35" t="str">
        <f ca="1">MCond(OFFSET($B$12,(ROW(B76)-1)*4,0,3,6))</f>
        <v>?</v>
      </c>
      <c r="Q87" s="35">
        <f ca="1">MCond(OFFSET($E$12,(ROW(C76)-1)*4,0,3,3))</f>
        <v>1</v>
      </c>
      <c r="R87" s="35">
        <f ca="1">MCond(OFFSET($I$12,(ROW(D76)-1)*4,0,3,3))</f>
        <v>6.860137569603669</v>
      </c>
      <c r="S87">
        <v>75</v>
      </c>
      <c r="T87" s="35">
        <f ca="1">MCond(OFFSET($B$12,(ROW(A75)-1)*4,0,3,3))</f>
        <v>4.8270811041221897</v>
      </c>
      <c r="V87">
        <f t="shared" ca="1" si="11"/>
        <v>2.2460231781888727E-3</v>
      </c>
    </row>
    <row r="88" spans="1:22">
      <c r="A88" s="170"/>
      <c r="B88" s="171">
        <v>1.0419123890112216</v>
      </c>
      <c r="C88" s="171">
        <v>-4.0818532431212473E-2</v>
      </c>
      <c r="D88" s="171">
        <v>0.77248383184656022</v>
      </c>
      <c r="E88" s="170">
        <v>-1.4990492230334603E-2</v>
      </c>
      <c r="F88" s="170">
        <v>0</v>
      </c>
      <c r="G88" s="170">
        <v>0</v>
      </c>
      <c r="H88" s="170">
        <v>0.14525704733164976</v>
      </c>
      <c r="I88" s="170">
        <v>-5.8370098634356792E-2</v>
      </c>
      <c r="J88" s="170">
        <v>0</v>
      </c>
      <c r="K88" s="170">
        <v>0</v>
      </c>
      <c r="L88">
        <v>0.8419894247146269</v>
      </c>
      <c r="N88" s="172"/>
      <c r="O88" s="35">
        <f ca="1">MCond(OFFSET($B$12,(ROW(A77)-1)*4,0,3,3))</f>
        <v>7.309134947611736</v>
      </c>
      <c r="P88" s="35" t="str">
        <f ca="1">MCond(OFFSET($B$12,(ROW(B77)-1)*4,0,3,6))</f>
        <v>?</v>
      </c>
      <c r="Q88" s="35">
        <f ca="1">MCond(OFFSET($E$12,(ROW(C77)-1)*4,0,3,3))</f>
        <v>1</v>
      </c>
      <c r="R88" s="35">
        <f ca="1">MCond(OFFSET($I$12,(ROW(D77)-1)*4,0,3,3))</f>
        <v>8.591549295774648</v>
      </c>
      <c r="S88">
        <v>76</v>
      </c>
      <c r="T88" s="35">
        <f ca="1">MCond(OFFSET($B$12,(ROW(A76)-1)*4,0,3,3))</f>
        <v>4.2243239500446652</v>
      </c>
      <c r="V88">
        <f t="shared" ca="1" si="11"/>
        <v>1.9655624795440604E-3</v>
      </c>
    </row>
    <row r="89" spans="1:22">
      <c r="A89" s="170" t="s">
        <v>233</v>
      </c>
      <c r="B89" s="171">
        <v>1.4421025939282253</v>
      </c>
      <c r="C89" s="171">
        <v>1.0431877148697888</v>
      </c>
      <c r="D89" s="171">
        <v>0.78932433807079116</v>
      </c>
      <c r="E89" s="170">
        <v>0</v>
      </c>
      <c r="F89" s="170">
        <v>-1.4990492230334603E-2</v>
      </c>
      <c r="G89" s="170">
        <v>0</v>
      </c>
      <c r="H89" s="170">
        <v>0.14525704733164976</v>
      </c>
      <c r="I89" s="170">
        <v>0</v>
      </c>
      <c r="J89" s="170">
        <v>6.8827960560405646E-2</v>
      </c>
      <c r="K89" s="170">
        <v>0</v>
      </c>
      <c r="L89">
        <v>1.8954667052703302</v>
      </c>
      <c r="N89" s="172">
        <f>MCond(B88:D90)</f>
        <v>6.0546724397063105</v>
      </c>
      <c r="O89" s="35">
        <f ca="1">MCond(OFFSET($B$12,(ROW(A78)-1)*4,0,3,3))</f>
        <v>4.6643551181710254</v>
      </c>
      <c r="P89" s="35" t="str">
        <f ca="1">MCond(OFFSET($B$12,(ROW(B78)-1)*4,0,3,6))</f>
        <v>?</v>
      </c>
      <c r="Q89" s="35">
        <f ca="1">MCond(OFFSET($E$12,(ROW(C78)-1)*4,0,3,3))</f>
        <v>1</v>
      </c>
      <c r="R89" s="35" t="str">
        <f ca="1">MCond(OFFSET($I$12,(ROW(D78)-1)*4,0,3,3))</f>
        <v>?</v>
      </c>
      <c r="S89">
        <v>77</v>
      </c>
      <c r="T89" s="35">
        <f ca="1">MCond(OFFSET($B$12,(ROW(A77)-1)*4,0,3,3))</f>
        <v>7.309134947611736</v>
      </c>
      <c r="V89">
        <f t="shared" ca="1" si="11"/>
        <v>3.4009137511335904E-3</v>
      </c>
    </row>
    <row r="90" spans="1:22">
      <c r="A90" s="170"/>
      <c r="B90" s="171">
        <v>-1.0351585166444348</v>
      </c>
      <c r="C90" s="171">
        <v>2.1037449841221099</v>
      </c>
      <c r="D90" s="171">
        <v>0.82913701269133588</v>
      </c>
      <c r="E90" s="170">
        <v>0</v>
      </c>
      <c r="F90" s="170">
        <v>0</v>
      </c>
      <c r="G90" s="170">
        <v>-1.4990492230334603E-2</v>
      </c>
      <c r="H90" s="170">
        <v>0.14525704733164976</v>
      </c>
      <c r="I90" s="170">
        <v>0</v>
      </c>
      <c r="J90" s="170">
        <v>0</v>
      </c>
      <c r="K90" s="170">
        <v>0.18191808401017825</v>
      </c>
      <c r="L90">
        <v>3.0923821493075776</v>
      </c>
      <c r="N90" s="172"/>
      <c r="O90" s="35">
        <f ca="1">MCond(OFFSET($B$12,(ROW(A79)-1)*4,0,3,3))</f>
        <v>4.8011093563140337</v>
      </c>
      <c r="P90" s="35" t="str">
        <f ca="1">MCond(OFFSET($B$12,(ROW(B79)-1)*4,0,3,6))</f>
        <v>?</v>
      </c>
      <c r="Q90" s="35">
        <f ca="1">MCond(OFFSET($E$12,(ROW(C79)-1)*4,0,3,3))</f>
        <v>1</v>
      </c>
      <c r="R90" s="35">
        <f ca="1">MCond(OFFSET($I$12,(ROW(D79)-1)*4,0,3,3))</f>
        <v>6.860137569603669</v>
      </c>
      <c r="S90">
        <v>78</v>
      </c>
      <c r="T90" s="35">
        <f ca="1">MCond(OFFSET($B$12,(ROW(A78)-1)*4,0,3,3))</f>
        <v>4.6643551181710254</v>
      </c>
      <c r="V90">
        <f t="shared" ca="1" si="11"/>
        <v>2.1703073722481279E-3</v>
      </c>
    </row>
    <row r="91" spans="1:22">
      <c r="A91" s="170"/>
      <c r="B91" s="171"/>
      <c r="C91" s="171"/>
      <c r="D91" s="171"/>
      <c r="E91" s="170"/>
      <c r="F91" s="170"/>
      <c r="G91" s="170"/>
      <c r="H91" s="170"/>
      <c r="I91" s="170"/>
      <c r="J91" s="170"/>
      <c r="K91" s="170"/>
      <c r="N91" s="173"/>
      <c r="O91" s="35">
        <f ca="1">MCond(OFFSET($B$12,(ROW(A80)-1)*4,0,3,3))</f>
        <v>5.4695394540896514</v>
      </c>
      <c r="P91" s="35" t="str">
        <f ca="1">MCond(OFFSET($B$12,(ROW(B80)-1)*4,0,3,6))</f>
        <v>?</v>
      </c>
      <c r="Q91" s="35">
        <f ca="1">MCond(OFFSET($E$12,(ROW(C80)-1)*4,0,3,3))</f>
        <v>1</v>
      </c>
      <c r="R91" s="35">
        <f ca="1">MCond(OFFSET($I$12,(ROW(D80)-1)*4,0,3,3))</f>
        <v>2.6430840392331696</v>
      </c>
      <c r="S91">
        <v>79</v>
      </c>
      <c r="T91" s="35">
        <f ca="1">MCond(OFFSET($B$12,(ROW(A79)-1)*4,0,3,3))</f>
        <v>4.8011093563140337</v>
      </c>
      <c r="V91">
        <f t="shared" ca="1" si="11"/>
        <v>2.233938618949671E-3</v>
      </c>
    </row>
    <row r="92" spans="1:22">
      <c r="A92" s="170"/>
      <c r="B92" s="171">
        <v>1.0419123890112216</v>
      </c>
      <c r="C92" s="171">
        <v>-4.0818532431212473E-2</v>
      </c>
      <c r="D92" s="171">
        <v>0.77248383184656022</v>
      </c>
      <c r="E92" s="170">
        <v>-1.4990492230334603E-2</v>
      </c>
      <c r="F92" s="170">
        <v>0</v>
      </c>
      <c r="G92" s="170">
        <v>0</v>
      </c>
      <c r="H92" s="170">
        <v>0</v>
      </c>
      <c r="I92" s="170">
        <v>0</v>
      </c>
      <c r="J92" s="170">
        <v>0</v>
      </c>
      <c r="K92" s="170">
        <v>0</v>
      </c>
      <c r="L92">
        <v>0.8419894247146269</v>
      </c>
      <c r="N92" s="172"/>
      <c r="O92" s="35">
        <f ca="1">MCond(OFFSET($B$12,(ROW(A81)-1)*4,0,3,3))</f>
        <v>8.0842653543142653</v>
      </c>
      <c r="P92" s="35" t="str">
        <f ca="1">MCond(OFFSET($B$12,(ROW(B81)-1)*4,0,3,6))</f>
        <v>?</v>
      </c>
      <c r="Q92" s="35">
        <f ca="1">MCond(OFFSET($E$12,(ROW(C81)-1)*4,0,3,3))</f>
        <v>1</v>
      </c>
      <c r="R92" s="35" t="str">
        <f ca="1">MCond(OFFSET($I$12,(ROW(D81)-1)*4,0,3,3))</f>
        <v>?</v>
      </c>
      <c r="S92">
        <v>80</v>
      </c>
      <c r="T92" s="35">
        <f ca="1">MCond(OFFSET($B$12,(ROW(A80)-1)*4,0,3,3))</f>
        <v>5.4695394540896514</v>
      </c>
      <c r="V92">
        <f t="shared" ca="1" si="11"/>
        <v>2.5449566980370549E-3</v>
      </c>
    </row>
    <row r="93" spans="1:22">
      <c r="A93" s="170" t="s">
        <v>234</v>
      </c>
      <c r="B93" s="171">
        <v>1.4421025939282253</v>
      </c>
      <c r="C93" s="171">
        <v>1.0431877148697888</v>
      </c>
      <c r="D93" s="171">
        <v>0.78932433807079116</v>
      </c>
      <c r="E93" s="170">
        <v>0</v>
      </c>
      <c r="F93" s="170">
        <v>-1.4990492230334603E-2</v>
      </c>
      <c r="G93" s="170">
        <v>0</v>
      </c>
      <c r="H93" s="170">
        <v>0</v>
      </c>
      <c r="I93" s="170">
        <v>0</v>
      </c>
      <c r="J93" s="170">
        <v>0</v>
      </c>
      <c r="K93" s="170">
        <v>0</v>
      </c>
      <c r="L93">
        <v>1.8954667052703302</v>
      </c>
      <c r="N93" s="172">
        <f>MCond(B92:D94)</f>
        <v>12.13640308765223</v>
      </c>
      <c r="O93" s="35">
        <f ca="1">MCond(OFFSET($B$12,(ROW(A82)-1)*4,0,3,3))</f>
        <v>15.029251889619651</v>
      </c>
      <c r="P93" s="35" t="str">
        <f ca="1">MCond(OFFSET($B$12,(ROW(B82)-1)*4,0,3,6))</f>
        <v>?</v>
      </c>
      <c r="Q93" s="35">
        <f ca="1">MCond(OFFSET($E$12,(ROW(C82)-1)*4,0,3,3))</f>
        <v>1</v>
      </c>
      <c r="R93" s="35">
        <f ca="1">MCond(OFFSET($I$12,(ROW(D82)-1)*4,0,3,3))</f>
        <v>2.1104366038009723</v>
      </c>
      <c r="S93">
        <v>81</v>
      </c>
      <c r="T93" s="35">
        <f ca="1">MCond(OFFSET($B$12,(ROW(A81)-1)*4,0,3,3))</f>
        <v>8.0842653543142653</v>
      </c>
      <c r="V93">
        <f t="shared" ca="1" si="11"/>
        <v>3.7615790936085941E-3</v>
      </c>
    </row>
    <row r="94" spans="1:22">
      <c r="A94" s="170"/>
      <c r="B94" s="171">
        <v>0.58367185674448252</v>
      </c>
      <c r="C94" s="171">
        <v>2.0841504898711007</v>
      </c>
      <c r="D94" s="171">
        <v>0.75171422039661484</v>
      </c>
      <c r="E94" s="170">
        <v>0</v>
      </c>
      <c r="F94" s="170">
        <v>0</v>
      </c>
      <c r="G94" s="170">
        <v>-1.4990492230334603E-2</v>
      </c>
      <c r="H94" s="170">
        <v>0</v>
      </c>
      <c r="I94" s="170">
        <v>0</v>
      </c>
      <c r="J94" s="170">
        <v>0</v>
      </c>
      <c r="K94" s="170">
        <v>0</v>
      </c>
      <c r="L94">
        <v>2.6247151849659955</v>
      </c>
      <c r="N94" s="172"/>
      <c r="O94" s="35">
        <f ca="1">MCond(OFFSET($B$12,(ROW(A83)-1)*4,0,3,3))</f>
        <v>6.3906270108779077</v>
      </c>
      <c r="P94" s="35" t="str">
        <f ca="1">MCond(OFFSET($B$12,(ROW(B83)-1)*4,0,3,6))</f>
        <v>?</v>
      </c>
      <c r="Q94" s="35">
        <f ca="1">MCond(OFFSET($E$12,(ROW(C83)-1)*4,0,3,3))</f>
        <v>1</v>
      </c>
      <c r="R94" s="35" t="str">
        <f ca="1">MCond(OFFSET($I$12,(ROW(D83)-1)*4,0,3,3))</f>
        <v>?</v>
      </c>
      <c r="S94">
        <v>82</v>
      </c>
      <c r="T94" s="35">
        <f ca="1">MCond(OFFSET($B$12,(ROW(A82)-1)*4,0,3,3))</f>
        <v>15.029251889619651</v>
      </c>
      <c r="V94">
        <f t="shared" ca="1" si="11"/>
        <v>6.9930559207090895E-3</v>
      </c>
    </row>
    <row r="95" spans="1:22">
      <c r="A95" s="170"/>
      <c r="B95" s="171"/>
      <c r="C95" s="171"/>
      <c r="D95" s="171"/>
      <c r="E95" s="170"/>
      <c r="F95" s="170"/>
      <c r="G95" s="170"/>
      <c r="H95" s="170"/>
      <c r="I95" s="170"/>
      <c r="J95" s="170"/>
      <c r="K95" s="170"/>
      <c r="N95" s="173"/>
      <c r="O95" s="35">
        <f ca="1">MCond(OFFSET($B$12,(ROW(A84)-1)*4,0,3,3))</f>
        <v>4.7098691394570427</v>
      </c>
      <c r="P95" s="35" t="str">
        <f ca="1">MCond(OFFSET($B$12,(ROW(B84)-1)*4,0,3,6))</f>
        <v>?</v>
      </c>
      <c r="Q95" s="35">
        <f ca="1">MCond(OFFSET($E$12,(ROW(C84)-1)*4,0,3,3))</f>
        <v>1</v>
      </c>
      <c r="R95" s="35">
        <f ca="1">MCond(OFFSET($I$12,(ROW(D84)-1)*4,0,3,3))</f>
        <v>2.0280531948378977</v>
      </c>
      <c r="S95">
        <v>83</v>
      </c>
      <c r="T95" s="35">
        <f ca="1">MCond(OFFSET($B$12,(ROW(A83)-1)*4,0,3,3))</f>
        <v>6.3906270108779077</v>
      </c>
      <c r="V95">
        <f t="shared" ca="1" si="11"/>
        <v>2.9735353684723002E-3</v>
      </c>
    </row>
    <row r="96" spans="1:22">
      <c r="A96" s="170"/>
      <c r="B96" s="171">
        <v>1.0419123890112216</v>
      </c>
      <c r="C96" s="171">
        <v>-4.0818532431212473E-2</v>
      </c>
      <c r="D96" s="171">
        <v>0.77248383184656022</v>
      </c>
      <c r="E96" s="170">
        <v>-1.4990492230334603E-2</v>
      </c>
      <c r="F96" s="170">
        <v>0</v>
      </c>
      <c r="G96" s="170">
        <v>0</v>
      </c>
      <c r="H96" s="170">
        <v>0.14525704733164976</v>
      </c>
      <c r="I96" s="170">
        <v>-5.8370098634356792E-2</v>
      </c>
      <c r="J96" s="170">
        <v>0</v>
      </c>
      <c r="K96" s="170">
        <v>0</v>
      </c>
      <c r="L96">
        <v>0.8419894247146269</v>
      </c>
      <c r="N96" s="172"/>
      <c r="O96" s="35">
        <f ca="1">MCond(OFFSET($B$12,(ROW(A85)-1)*4,0,3,3))</f>
        <v>26.01158928757074</v>
      </c>
      <c r="P96" s="35" t="str">
        <f ca="1">MCond(OFFSET($B$12,(ROW(B85)-1)*4,0,3,6))</f>
        <v>?</v>
      </c>
      <c r="Q96" s="35">
        <f ca="1">MCond(OFFSET($E$12,(ROW(C85)-1)*4,0,3,3))</f>
        <v>1</v>
      </c>
      <c r="R96" s="35" t="str">
        <f ca="1">MCond(OFFSET($I$12,(ROW(D85)-1)*4,0,3,3))</f>
        <v>?</v>
      </c>
      <c r="S96">
        <v>84</v>
      </c>
      <c r="T96" s="35">
        <f ca="1">MCond(OFFSET($B$12,(ROW(A84)-1)*4,0,3,3))</f>
        <v>4.7098691394570427</v>
      </c>
      <c r="V96">
        <f t="shared" ca="1" si="11"/>
        <v>2.1914848798424542E-3</v>
      </c>
    </row>
    <row r="97" spans="1:22">
      <c r="A97" s="170" t="s">
        <v>235</v>
      </c>
      <c r="B97" s="171">
        <v>1.4421025939282253</v>
      </c>
      <c r="C97" s="171">
        <v>1.0431877148697888</v>
      </c>
      <c r="D97" s="171">
        <v>0.78932433807079116</v>
      </c>
      <c r="E97" s="170">
        <v>0</v>
      </c>
      <c r="F97" s="170">
        <v>-1.4990492230334603E-2</v>
      </c>
      <c r="G97" s="170">
        <v>0</v>
      </c>
      <c r="H97" s="170">
        <v>0.14525704733164976</v>
      </c>
      <c r="I97" s="170">
        <v>0</v>
      </c>
      <c r="J97" s="170">
        <v>6.8827960560405646E-2</v>
      </c>
      <c r="K97" s="170">
        <v>0</v>
      </c>
      <c r="L97">
        <v>1.8954667052703302</v>
      </c>
      <c r="N97" s="172">
        <f>MCond(B96:D98)</f>
        <v>18.020767054039418</v>
      </c>
      <c r="O97" s="35">
        <f ca="1">MCond(OFFSET($B$12,(ROW(A86)-1)*4,0,3,3))</f>
        <v>227.7065416836075</v>
      </c>
      <c r="P97" s="35" t="str">
        <f ca="1">MCond(OFFSET($B$12,(ROW(B86)-1)*4,0,3,6))</f>
        <v>?</v>
      </c>
      <c r="Q97" s="35">
        <f ca="1">MCond(OFFSET($E$12,(ROW(C86)-1)*4,0,3,3))</f>
        <v>1</v>
      </c>
      <c r="R97" s="35" t="str">
        <f ca="1">MCond(OFFSET($I$12,(ROW(D86)-1)*4,0,3,3))</f>
        <v>?</v>
      </c>
      <c r="S97">
        <v>85</v>
      </c>
      <c r="T97" s="35">
        <f ca="1">MCond(OFFSET($B$12,(ROW(A85)-1)*4,0,3,3))</f>
        <v>26.01158928757074</v>
      </c>
      <c r="V97">
        <f t="shared" ca="1" si="11"/>
        <v>1.2103097333815668E-2</v>
      </c>
    </row>
    <row r="98" spans="1:22">
      <c r="A98" s="170"/>
      <c r="B98" s="171">
        <v>-2.5457845528396139E-2</v>
      </c>
      <c r="C98" s="171">
        <v>2.3667658472617719</v>
      </c>
      <c r="D98" s="171">
        <v>6.368425350466822E-2</v>
      </c>
      <c r="E98" s="170">
        <v>0</v>
      </c>
      <c r="F98" s="170">
        <v>0</v>
      </c>
      <c r="G98" s="170">
        <v>-1.4990492230334603E-2</v>
      </c>
      <c r="H98" s="170">
        <v>0.14525704733164976</v>
      </c>
      <c r="I98" s="170">
        <v>0</v>
      </c>
      <c r="J98" s="170">
        <v>0</v>
      </c>
      <c r="K98" s="170">
        <v>-8.9700844372930258E-2</v>
      </c>
      <c r="L98">
        <v>2.803142180904064</v>
      </c>
      <c r="N98" s="172"/>
      <c r="O98" s="35">
        <f ca="1">MCond(OFFSET($B$12,(ROW(A87)-1)*4,0,3,3))</f>
        <v>107.48734647321321</v>
      </c>
      <c r="P98" s="35" t="str">
        <f ca="1">MCond(OFFSET($B$12,(ROW(B87)-1)*4,0,3,6))</f>
        <v>?</v>
      </c>
      <c r="Q98" s="35">
        <f ca="1">MCond(OFFSET($E$12,(ROW(C87)-1)*4,0,3,3))</f>
        <v>1</v>
      </c>
      <c r="R98" s="35" t="str">
        <f ca="1">MCond(OFFSET($I$12,(ROW(D87)-1)*4,0,3,3))</f>
        <v>?</v>
      </c>
      <c r="S98">
        <v>86</v>
      </c>
      <c r="T98" s="35">
        <f ca="1">MCond(OFFSET($B$12,(ROW(A86)-1)*4,0,3,3))</f>
        <v>227.7065416836075</v>
      </c>
      <c r="V98">
        <f t="shared" ca="1" si="11"/>
        <v>0.10595102079595532</v>
      </c>
    </row>
    <row r="99" spans="1:22">
      <c r="A99" s="170"/>
      <c r="B99" s="171"/>
      <c r="C99" s="171"/>
      <c r="D99" s="171"/>
      <c r="E99" s="170"/>
      <c r="F99" s="170"/>
      <c r="G99" s="170"/>
      <c r="H99" s="170"/>
      <c r="I99" s="170"/>
      <c r="J99" s="170"/>
      <c r="K99" s="170"/>
      <c r="N99" s="173"/>
      <c r="O99" s="35">
        <f ca="1">MCond(OFFSET($B$12,(ROW(A88)-1)*4,0,3,3))</f>
        <v>435.33148403717917</v>
      </c>
      <c r="P99" s="35" t="str">
        <f ca="1">MCond(OFFSET($B$12,(ROW(B88)-1)*4,0,3,6))</f>
        <v>?</v>
      </c>
      <c r="Q99" s="35">
        <f ca="1">MCond(OFFSET($E$12,(ROW(C88)-1)*4,0,3,3))</f>
        <v>1</v>
      </c>
      <c r="R99" s="35" t="str">
        <f ca="1">MCond(OFFSET($I$12,(ROW(D88)-1)*4,0,3,3))</f>
        <v>?</v>
      </c>
      <c r="S99">
        <v>87</v>
      </c>
      <c r="T99" s="35">
        <f ca="1">MCond(OFFSET($B$12,(ROW(A87)-1)*4,0,3,3))</f>
        <v>107.48734647321321</v>
      </c>
      <c r="V99">
        <f t="shared" ca="1" si="11"/>
        <v>5.0013469078588682E-2</v>
      </c>
    </row>
    <row r="100" spans="1:22">
      <c r="A100" s="170"/>
      <c r="B100" s="171">
        <v>1.0419123890112216</v>
      </c>
      <c r="C100" s="171">
        <v>-4.0818532431212473E-2</v>
      </c>
      <c r="D100" s="171">
        <v>0.77248383184656022</v>
      </c>
      <c r="E100" s="170">
        <v>-1.4990492230334603E-2</v>
      </c>
      <c r="F100" s="170">
        <v>0</v>
      </c>
      <c r="G100" s="170">
        <v>0</v>
      </c>
      <c r="H100" s="170">
        <v>0</v>
      </c>
      <c r="I100" s="170">
        <v>0</v>
      </c>
      <c r="J100" s="170">
        <v>0</v>
      </c>
      <c r="K100" s="170">
        <v>0</v>
      </c>
      <c r="L100">
        <v>0.8419894247146269</v>
      </c>
      <c r="N100" s="172"/>
      <c r="O100" s="35">
        <f ca="1">MCond(OFFSET($B$12,(ROW(A89)-1)*4,0,3,3))</f>
        <v>24.930718886766446</v>
      </c>
      <c r="P100" s="35" t="str">
        <f ca="1">MCond(OFFSET($B$12,(ROW(B89)-1)*4,0,3,6))</f>
        <v>?</v>
      </c>
      <c r="Q100" s="35">
        <f ca="1">MCond(OFFSET($E$12,(ROW(C89)-1)*4,0,3,3))</f>
        <v>1</v>
      </c>
      <c r="R100" s="35" t="str">
        <f ca="1">MCond(OFFSET($I$12,(ROW(D89)-1)*4,0,3,3))</f>
        <v>?</v>
      </c>
      <c r="S100">
        <v>88</v>
      </c>
      <c r="T100" s="35">
        <f ca="1">MCond(OFFSET($B$12,(ROW(A88)-1)*4,0,3,3))</f>
        <v>435.33148403717917</v>
      </c>
      <c r="V100">
        <f t="shared" ca="1" si="11"/>
        <v>0.20255814689085719</v>
      </c>
    </row>
    <row r="101" spans="1:22">
      <c r="A101" s="170" t="s">
        <v>236</v>
      </c>
      <c r="B101" s="171">
        <v>-1.0351585166444348</v>
      </c>
      <c r="C101" s="171">
        <v>2.1037449841221099</v>
      </c>
      <c r="D101" s="171">
        <v>0.82913701269133588</v>
      </c>
      <c r="E101" s="170">
        <v>0</v>
      </c>
      <c r="F101" s="170">
        <v>-1.4990492230334603E-2</v>
      </c>
      <c r="G101" s="170">
        <v>0</v>
      </c>
      <c r="H101" s="170">
        <v>0</v>
      </c>
      <c r="I101" s="170">
        <v>0</v>
      </c>
      <c r="J101" s="170">
        <v>0</v>
      </c>
      <c r="K101" s="170">
        <v>0</v>
      </c>
      <c r="L101">
        <v>3.0923821493075776</v>
      </c>
      <c r="N101" s="172">
        <f>MCond(B100:D102)</f>
        <v>5.8822782062311054</v>
      </c>
      <c r="O101" s="35">
        <f ca="1">MCond(OFFSET($B$12,(ROW(A90)-1)*4,0,3,3))</f>
        <v>137.0330195917372</v>
      </c>
      <c r="P101" s="35" t="str">
        <f ca="1">MCond(OFFSET($B$12,(ROW(B90)-1)*4,0,3,6))</f>
        <v>?</v>
      </c>
      <c r="Q101" s="35">
        <f ca="1">MCond(OFFSET($E$12,(ROW(C90)-1)*4,0,3,3))</f>
        <v>1</v>
      </c>
      <c r="R101" s="35" t="str">
        <f ca="1">MCond(OFFSET($I$12,(ROW(D90)-1)*4,0,3,3))</f>
        <v>?</v>
      </c>
      <c r="S101">
        <v>89</v>
      </c>
      <c r="T101" s="35">
        <f ca="1">MCond(OFFSET($B$12,(ROW(A89)-1)*4,0,3,3))</f>
        <v>24.930718886766446</v>
      </c>
      <c r="V101">
        <f t="shared" ca="1" si="11"/>
        <v>1.1600172290614802E-2</v>
      </c>
    </row>
    <row r="102" spans="1:22">
      <c r="A102" s="170"/>
      <c r="B102" s="171">
        <v>0.58367185674448252</v>
      </c>
      <c r="C102" s="171">
        <v>2.0841504898711007</v>
      </c>
      <c r="D102" s="171">
        <v>0.75171422039661484</v>
      </c>
      <c r="E102" s="170">
        <v>0</v>
      </c>
      <c r="F102" s="170">
        <v>0</v>
      </c>
      <c r="G102" s="170">
        <v>-1.4990492230334603E-2</v>
      </c>
      <c r="H102" s="170">
        <v>0</v>
      </c>
      <c r="I102" s="170">
        <v>0</v>
      </c>
      <c r="J102" s="170">
        <v>0</v>
      </c>
      <c r="K102" s="170">
        <v>0</v>
      </c>
      <c r="L102">
        <v>2.6247151849659955</v>
      </c>
      <c r="N102" s="172"/>
      <c r="O102" s="35">
        <f ca="1">MCond(OFFSET($B$12,(ROW(A91)-1)*4,0,3,3))</f>
        <v>157.71990388339927</v>
      </c>
      <c r="P102" s="35" t="str">
        <f ca="1">MCond(OFFSET($B$12,(ROW(B91)-1)*4,0,3,6))</f>
        <v>?</v>
      </c>
      <c r="Q102" s="35">
        <f ca="1">MCond(OFFSET($E$12,(ROW(C91)-1)*4,0,3,3))</f>
        <v>1</v>
      </c>
      <c r="R102" s="35" t="str">
        <f ca="1">MCond(OFFSET($I$12,(ROW(D91)-1)*4,0,3,3))</f>
        <v>?</v>
      </c>
      <c r="S102">
        <v>90</v>
      </c>
      <c r="T102" s="35">
        <f ca="1">MCond(OFFSET($B$12,(ROW(A90)-1)*4,0,3,3))</f>
        <v>137.0330195917372</v>
      </c>
      <c r="V102">
        <f t="shared" ca="1" si="11"/>
        <v>6.3760962689733316E-2</v>
      </c>
    </row>
    <row r="103" spans="1:22">
      <c r="A103" s="170"/>
      <c r="B103" s="171"/>
      <c r="C103" s="171"/>
      <c r="D103" s="171"/>
      <c r="E103" s="170"/>
      <c r="F103" s="170"/>
      <c r="G103" s="170"/>
      <c r="H103" s="170"/>
      <c r="I103" s="170"/>
      <c r="J103" s="170"/>
      <c r="K103" s="170"/>
      <c r="N103" s="173"/>
      <c r="O103" s="35">
        <f ca="1">MCond(OFFSET($B$12,(ROW(A92)-1)*4,0,3,3))</f>
        <v>11.236298448789524</v>
      </c>
      <c r="P103" s="35" t="str">
        <f ca="1">MCond(OFFSET($B$12,(ROW(B92)-1)*4,0,3,6))</f>
        <v>?</v>
      </c>
      <c r="Q103" s="35">
        <f ca="1">MCond(OFFSET($E$12,(ROW(C92)-1)*4,0,3,3))</f>
        <v>1</v>
      </c>
      <c r="R103" s="35" t="str">
        <f ca="1">MCond(OFFSET($I$12,(ROW(D92)-1)*4,0,3,3))</f>
        <v>?</v>
      </c>
      <c r="S103">
        <v>91</v>
      </c>
      <c r="T103" s="35">
        <f ca="1">MCond(OFFSET($B$12,(ROW(A91)-1)*4,0,3,3))</f>
        <v>157.71990388339927</v>
      </c>
      <c r="V103">
        <f t="shared" ca="1" si="11"/>
        <v>7.3386494269036179E-2</v>
      </c>
    </row>
    <row r="104" spans="1:22">
      <c r="A104" s="170"/>
      <c r="B104" s="171">
        <v>1.0419123890112216</v>
      </c>
      <c r="C104" s="171">
        <v>-4.0818532431212473E-2</v>
      </c>
      <c r="D104" s="171">
        <v>0.77248383184656022</v>
      </c>
      <c r="E104" s="170">
        <v>-1.4990492230334603E-2</v>
      </c>
      <c r="F104" s="170">
        <v>0</v>
      </c>
      <c r="G104" s="170">
        <v>0</v>
      </c>
      <c r="H104" s="170">
        <v>0.14525704733164976</v>
      </c>
      <c r="I104" s="170">
        <v>-5.8370098634356792E-2</v>
      </c>
      <c r="J104" s="170">
        <v>0</v>
      </c>
      <c r="K104" s="170">
        <v>0</v>
      </c>
      <c r="L104">
        <v>0.8419894247146269</v>
      </c>
      <c r="N104" s="172"/>
      <c r="O104" s="35">
        <f ca="1">MCond(OFFSET($B$12,(ROW(A93)-1)*4,0,3,3))</f>
        <v>60.630725200579725</v>
      </c>
      <c r="P104" s="35" t="str">
        <f ca="1">MCond(OFFSET($B$12,(ROW(B93)-1)*4,0,3,6))</f>
        <v>?</v>
      </c>
      <c r="Q104" s="35">
        <f ca="1">MCond(OFFSET($E$12,(ROW(C93)-1)*4,0,3,3))</f>
        <v>1</v>
      </c>
      <c r="R104" s="35" t="str">
        <f ca="1">MCond(OFFSET($I$12,(ROW(D93)-1)*4,0,3,3))</f>
        <v>?</v>
      </c>
      <c r="S104">
        <v>92</v>
      </c>
      <c r="T104" s="35">
        <f ca="1">MCond(OFFSET($B$12,(ROW(A92)-1)*4,0,3,3))</f>
        <v>11.236298448789524</v>
      </c>
      <c r="V104">
        <f t="shared" ca="1" si="11"/>
        <v>5.2282085609618783E-3</v>
      </c>
    </row>
    <row r="105" spans="1:22">
      <c r="A105" s="170" t="s">
        <v>237</v>
      </c>
      <c r="B105" s="171">
        <v>-1.0351585166444348</v>
      </c>
      <c r="C105" s="171">
        <v>2.1037449841221099</v>
      </c>
      <c r="D105" s="171">
        <v>0.82913701269133588</v>
      </c>
      <c r="E105" s="170">
        <v>0</v>
      </c>
      <c r="F105" s="170">
        <v>-1.4990492230334603E-2</v>
      </c>
      <c r="G105" s="170">
        <v>0</v>
      </c>
      <c r="H105" s="170">
        <v>0.14525704733164976</v>
      </c>
      <c r="I105" s="170">
        <v>0</v>
      </c>
      <c r="J105" s="170">
        <v>0.18191808401017825</v>
      </c>
      <c r="K105" s="170">
        <v>0</v>
      </c>
      <c r="L105">
        <v>3.0923821493075776</v>
      </c>
      <c r="N105" s="172">
        <f>MCond(B104:D106)</f>
        <v>3.8811004351956018</v>
      </c>
      <c r="O105" s="35">
        <f ca="1">MCond(OFFSET($B$12,(ROW(A94)-1)*4,0,3,3))</f>
        <v>8.7267189339788906</v>
      </c>
      <c r="P105" s="35" t="str">
        <f ca="1">MCond(OFFSET($B$12,(ROW(B94)-1)*4,0,3,6))</f>
        <v>?</v>
      </c>
      <c r="Q105" s="35">
        <f ca="1">MCond(OFFSET($E$12,(ROW(C94)-1)*4,0,3,3))</f>
        <v>1</v>
      </c>
      <c r="R105" s="35" t="str">
        <f ca="1">MCond(OFFSET($I$12,(ROW(D94)-1)*4,0,3,3))</f>
        <v>?</v>
      </c>
      <c r="S105">
        <v>93</v>
      </c>
      <c r="T105" s="35">
        <f ca="1">MCond(OFFSET($B$12,(ROW(A93)-1)*4,0,3,3))</f>
        <v>60.630725200579725</v>
      </c>
      <c r="V105">
        <f t="shared" ca="1" si="11"/>
        <v>2.8211254622303755E-2</v>
      </c>
    </row>
    <row r="106" spans="1:22">
      <c r="A106" s="170"/>
      <c r="B106" s="171">
        <v>-2.5457845528396139E-2</v>
      </c>
      <c r="C106" s="171">
        <v>2.3667658472617719</v>
      </c>
      <c r="D106" s="171">
        <v>6.368425350466822E-2</v>
      </c>
      <c r="E106" s="170">
        <v>0</v>
      </c>
      <c r="F106" s="170">
        <v>0</v>
      </c>
      <c r="G106" s="170">
        <v>-1.4990492230334603E-2</v>
      </c>
      <c r="H106" s="170">
        <v>0.14525704733164976</v>
      </c>
      <c r="I106" s="170">
        <v>0</v>
      </c>
      <c r="J106" s="170">
        <v>0</v>
      </c>
      <c r="K106" s="170">
        <v>-8.9700844372930258E-2</v>
      </c>
      <c r="L106">
        <v>2.803142180904064</v>
      </c>
      <c r="N106" s="172"/>
      <c r="O106" s="35">
        <f ca="1">MCond(OFFSET($B$12,(ROW(A95)-1)*4,0,3,3))</f>
        <v>8.1773167465735472</v>
      </c>
      <c r="P106" s="35" t="str">
        <f ca="1">MCond(OFFSET($B$12,(ROW(B95)-1)*4,0,3,6))</f>
        <v>?</v>
      </c>
      <c r="Q106" s="35">
        <f ca="1">MCond(OFFSET($E$12,(ROW(C95)-1)*4,0,3,3))</f>
        <v>1</v>
      </c>
      <c r="R106" s="35" t="str">
        <f ca="1">MCond(OFFSET($I$12,(ROW(D95)-1)*4,0,3,3))</f>
        <v>?</v>
      </c>
      <c r="S106">
        <v>94</v>
      </c>
      <c r="T106" s="35">
        <f ca="1">MCond(OFFSET($B$12,(ROW(A94)-1)*4,0,3,3))</f>
        <v>8.7267189339788906</v>
      </c>
      <c r="V106">
        <f t="shared" ca="1" si="11"/>
        <v>4.0605103938523186E-3</v>
      </c>
    </row>
    <row r="107" spans="1:22">
      <c r="A107" s="170"/>
      <c r="B107" s="171"/>
      <c r="C107" s="171"/>
      <c r="D107" s="171"/>
      <c r="E107" s="170"/>
      <c r="F107" s="170"/>
      <c r="G107" s="170"/>
      <c r="H107" s="170"/>
      <c r="I107" s="170"/>
      <c r="J107" s="170"/>
      <c r="K107" s="170"/>
      <c r="N107" s="173"/>
      <c r="O107" s="35">
        <f ca="1">MCond(OFFSET($B$12,(ROW(A96)-1)*4,0,3,3))</f>
        <v>77.582923469237784</v>
      </c>
      <c r="P107" s="35" t="str">
        <f ca="1">MCond(OFFSET($B$12,(ROW(B96)-1)*4,0,3,6))</f>
        <v>?</v>
      </c>
      <c r="Q107" s="35">
        <f ca="1">MCond(OFFSET($E$12,(ROW(C96)-1)*4,0,3,3))</f>
        <v>1</v>
      </c>
      <c r="R107" s="35">
        <f ca="1">MCond(OFFSET($I$12,(ROW(D96)-1)*4,0,3,3))</f>
        <v>8.591549295774648</v>
      </c>
      <c r="S107">
        <v>95</v>
      </c>
      <c r="T107" s="35">
        <f ca="1">MCond(OFFSET($B$12,(ROW(A95)-1)*4,0,3,3))</f>
        <v>8.1773167465735472</v>
      </c>
      <c r="V107">
        <f t="shared" ca="1" si="11"/>
        <v>3.8048755660044309E-3</v>
      </c>
    </row>
    <row r="108" spans="1:22">
      <c r="A108" s="170"/>
      <c r="B108" s="171">
        <v>1.0419123890112216</v>
      </c>
      <c r="C108" s="171">
        <v>-4.0818532431212473E-2</v>
      </c>
      <c r="D108" s="171">
        <v>0.77248383184656022</v>
      </c>
      <c r="E108" s="170">
        <v>-1.4990492230334603E-2</v>
      </c>
      <c r="F108" s="170">
        <v>0</v>
      </c>
      <c r="G108" s="170">
        <v>0</v>
      </c>
      <c r="H108" s="170">
        <v>0</v>
      </c>
      <c r="I108" s="170">
        <v>0</v>
      </c>
      <c r="J108" s="170">
        <v>0</v>
      </c>
      <c r="K108" s="170">
        <v>0</v>
      </c>
      <c r="L108">
        <v>0.8419894247146269</v>
      </c>
      <c r="N108" s="172"/>
      <c r="O108" s="35">
        <f ca="1">MCond(OFFSET($B$12,(ROW(A97)-1)*4,0,3,3))</f>
        <v>243.43943945414657</v>
      </c>
      <c r="P108" s="35" t="str">
        <f ca="1">MCond(OFFSET($B$12,(ROW(B97)-1)*4,0,3,6))</f>
        <v>?</v>
      </c>
      <c r="Q108" s="35">
        <f ca="1">MCond(OFFSET($E$12,(ROW(C97)-1)*4,0,3,3))</f>
        <v>1</v>
      </c>
      <c r="R108" s="35" t="str">
        <f ca="1">MCond(OFFSET($I$12,(ROW(D97)-1)*4,0,3,3))</f>
        <v>?</v>
      </c>
      <c r="S108">
        <v>96</v>
      </c>
      <c r="T108" s="35">
        <f ca="1">MCond(OFFSET($B$12,(ROW(A96)-1)*4,0,3,3))</f>
        <v>77.582923469237784</v>
      </c>
      <c r="V108">
        <f t="shared" ca="1" si="11"/>
        <v>3.6099050458206383E-2</v>
      </c>
    </row>
    <row r="109" spans="1:22">
      <c r="A109" s="170" t="s">
        <v>238</v>
      </c>
      <c r="B109" s="171">
        <v>0.58367185674448252</v>
      </c>
      <c r="C109" s="171">
        <v>2.0841504898711007</v>
      </c>
      <c r="D109" s="171">
        <v>0.75171422039661484</v>
      </c>
      <c r="E109" s="170">
        <v>0</v>
      </c>
      <c r="F109" s="170">
        <v>-1.4990492230334603E-2</v>
      </c>
      <c r="G109" s="170">
        <v>0</v>
      </c>
      <c r="H109" s="170">
        <v>0</v>
      </c>
      <c r="I109" s="170">
        <v>0</v>
      </c>
      <c r="J109" s="170">
        <v>0</v>
      </c>
      <c r="K109" s="170">
        <v>0</v>
      </c>
      <c r="L109">
        <v>2.6247151849659955</v>
      </c>
      <c r="N109" s="172">
        <f>MCond(B108:D110)</f>
        <v>24.848605975354669</v>
      </c>
      <c r="O109" s="35">
        <f ca="1">MCond(OFFSET($B$12,(ROW(A98)-1)*4,0,3,3))</f>
        <v>10.517949300669882</v>
      </c>
      <c r="P109" s="35" t="str">
        <f ca="1">MCond(OFFSET($B$12,(ROW(B98)-1)*4,0,3,6))</f>
        <v>?</v>
      </c>
      <c r="Q109" s="35">
        <f ca="1">MCond(OFFSET($E$12,(ROW(C98)-1)*4,0,3,3))</f>
        <v>1</v>
      </c>
      <c r="R109" s="35">
        <f ca="1">MCond(OFFSET($I$12,(ROW(D98)-1)*4,0,3,3))</f>
        <v>4.2363530294191181</v>
      </c>
      <c r="S109">
        <v>97</v>
      </c>
      <c r="T109" s="35">
        <f ca="1">MCond(OFFSET($B$12,(ROW(A97)-1)*4,0,3,3))</f>
        <v>243.43943945414657</v>
      </c>
      <c r="V109">
        <f t="shared" ca="1" si="11"/>
        <v>0.11327148057081397</v>
      </c>
    </row>
    <row r="110" spans="1:22">
      <c r="A110" s="170"/>
      <c r="B110" s="171">
        <v>-2.5457845528396139E-2</v>
      </c>
      <c r="C110" s="171">
        <v>2.3667658472617719</v>
      </c>
      <c r="D110" s="171">
        <v>6.368425350466822E-2</v>
      </c>
      <c r="E110" s="170">
        <v>0</v>
      </c>
      <c r="F110" s="170">
        <v>0</v>
      </c>
      <c r="G110" s="170">
        <v>-1.4990492230334603E-2</v>
      </c>
      <c r="H110" s="170">
        <v>0</v>
      </c>
      <c r="I110" s="170">
        <v>0</v>
      </c>
      <c r="J110" s="170">
        <v>0</v>
      </c>
      <c r="K110" s="170">
        <v>0</v>
      </c>
      <c r="L110">
        <v>2.803142180904064</v>
      </c>
      <c r="N110" s="172"/>
      <c r="O110" s="35">
        <f ca="1">MCond(OFFSET($B$12,(ROW(A99)-1)*4,0,3,3))</f>
        <v>54.798719298337076</v>
      </c>
      <c r="P110" s="35" t="str">
        <f ca="1">MCond(OFFSET($B$12,(ROW(B99)-1)*4,0,3,6))</f>
        <v>?</v>
      </c>
      <c r="Q110" s="35">
        <f ca="1">MCond(OFFSET($E$12,(ROW(C99)-1)*4,0,3,3))</f>
        <v>1</v>
      </c>
      <c r="R110" s="35" t="str">
        <f ca="1">MCond(OFFSET($I$12,(ROW(D99)-1)*4,0,3,3))</f>
        <v>?</v>
      </c>
      <c r="S110">
        <v>98</v>
      </c>
      <c r="T110" s="35">
        <f ca="1">MCond(OFFSET($B$12,(ROW(A98)-1)*4,0,3,3))</f>
        <v>10.517949300669882</v>
      </c>
      <c r="V110">
        <f t="shared" ca="1" si="11"/>
        <v>4.8939633303749864E-3</v>
      </c>
    </row>
    <row r="111" spans="1:22">
      <c r="A111" s="170"/>
      <c r="B111" s="171"/>
      <c r="C111" s="171"/>
      <c r="D111" s="171"/>
      <c r="E111" s="170"/>
      <c r="F111" s="170"/>
      <c r="G111" s="170"/>
      <c r="H111" s="170"/>
      <c r="I111" s="170"/>
      <c r="J111" s="170"/>
      <c r="K111" s="170"/>
      <c r="N111" s="173"/>
      <c r="O111" s="35">
        <f ca="1">MCond(OFFSET($B$12,(ROW(A100)-1)*4,0,3,3))</f>
        <v>10.938849692911305</v>
      </c>
      <c r="P111" s="35" t="str">
        <f ca="1">MCond(OFFSET($B$12,(ROW(B100)-1)*4,0,3,6))</f>
        <v>?</v>
      </c>
      <c r="Q111" s="35">
        <f ca="1">MCond(OFFSET($E$12,(ROW(C100)-1)*4,0,3,3))</f>
        <v>1</v>
      </c>
      <c r="R111" s="35">
        <f ca="1">MCond(OFFSET($I$12,(ROW(D100)-1)*4,0,3,3))</f>
        <v>8.591549295774648</v>
      </c>
      <c r="S111">
        <v>99</v>
      </c>
      <c r="T111" s="35">
        <f ca="1">MCond(OFFSET($B$12,(ROW(A99)-1)*4,0,3,3))</f>
        <v>54.798719298337076</v>
      </c>
      <c r="V111">
        <f t="shared" ca="1" si="11"/>
        <v>2.5497643612000805E-2</v>
      </c>
    </row>
    <row r="112" spans="1:22">
      <c r="A112" s="170"/>
      <c r="B112" s="171">
        <v>-1.4028471761352286</v>
      </c>
      <c r="C112" s="171">
        <v>0.814665459345566</v>
      </c>
      <c r="D112" s="171">
        <v>0.7195871750303805</v>
      </c>
      <c r="E112" s="170">
        <v>-1.4990492230334603E-2</v>
      </c>
      <c r="F112" s="170">
        <v>0</v>
      </c>
      <c r="G112" s="170">
        <v>0</v>
      </c>
      <c r="H112" s="170">
        <v>0.14525704733164976</v>
      </c>
      <c r="I112" s="170">
        <v>-2.1174072073315828E-2</v>
      </c>
      <c r="J112" s="170">
        <v>0</v>
      </c>
      <c r="K112" s="170">
        <v>0</v>
      </c>
      <c r="L112">
        <v>1.5747328563547551</v>
      </c>
      <c r="N112" s="172"/>
      <c r="O112" s="35">
        <f ca="1">MCond(OFFSET($B$12,(ROW(A101)-1)*4,0,3,3))</f>
        <v>8.6070566754854791</v>
      </c>
      <c r="P112" s="35" t="str">
        <f ca="1">MCond(OFFSET($B$12,(ROW(B101)-1)*4,0,3,6))</f>
        <v>?</v>
      </c>
      <c r="Q112" s="35">
        <f ca="1">MCond(OFFSET($E$12,(ROW(C101)-1)*4,0,3,3))</f>
        <v>1</v>
      </c>
      <c r="R112" s="35" t="str">
        <f ca="1">MCond(OFFSET($I$12,(ROW(D101)-1)*4,0,3,3))</f>
        <v>?</v>
      </c>
      <c r="S112">
        <v>100</v>
      </c>
      <c r="T112" s="35">
        <f ca="1">MCond(OFFSET($B$12,(ROW(A100)-1)*4,0,3,3))</f>
        <v>10.938849692911305</v>
      </c>
      <c r="V112">
        <f t="shared" ca="1" si="11"/>
        <v>5.0898067430484801E-3</v>
      </c>
    </row>
    <row r="113" spans="1:22">
      <c r="A113" s="170" t="s">
        <v>239</v>
      </c>
      <c r="B113" s="171">
        <v>1.4421025939282253</v>
      </c>
      <c r="C113" s="171">
        <v>1.0431877148697888</v>
      </c>
      <c r="D113" s="171">
        <v>0.78932433807079116</v>
      </c>
      <c r="E113" s="170">
        <v>0</v>
      </c>
      <c r="F113" s="170">
        <v>-1.4990492230334603E-2</v>
      </c>
      <c r="G113" s="170">
        <v>0</v>
      </c>
      <c r="H113" s="170">
        <v>0.14525704733164976</v>
      </c>
      <c r="I113" s="170">
        <v>0</v>
      </c>
      <c r="J113" s="170">
        <v>6.8827960560405646E-2</v>
      </c>
      <c r="K113" s="170">
        <v>0</v>
      </c>
      <c r="L113">
        <v>1.8954667052703302</v>
      </c>
      <c r="N113" s="172">
        <f>MCond(B112:D114)</f>
        <v>7.3654400484483462</v>
      </c>
      <c r="O113" s="35">
        <f ca="1">MCond(OFFSET($B$12,(ROW(A102)-1)*4,0,3,3))</f>
        <v>88.262830753422278</v>
      </c>
      <c r="P113" s="35" t="str">
        <f ca="1">MCond(OFFSET($B$12,(ROW(B102)-1)*4,0,3,6))</f>
        <v>?</v>
      </c>
      <c r="Q113" s="35">
        <f ca="1">MCond(OFFSET($E$12,(ROW(C102)-1)*4,0,3,3))</f>
        <v>1</v>
      </c>
      <c r="R113" s="35" t="str">
        <f ca="1">MCond(OFFSET($I$12,(ROW(D102)-1)*4,0,3,3))</f>
        <v>?</v>
      </c>
      <c r="S113">
        <v>101</v>
      </c>
      <c r="T113" s="35">
        <f ca="1">MCond(OFFSET($B$12,(ROW(A101)-1)*4,0,3,3))</f>
        <v>8.6070566754854791</v>
      </c>
      <c r="V113">
        <f t="shared" ca="1" si="11"/>
        <v>4.0048319827518481E-3</v>
      </c>
    </row>
    <row r="114" spans="1:22">
      <c r="A114" s="170"/>
      <c r="B114" s="171">
        <v>-1.0351585166444348</v>
      </c>
      <c r="C114" s="171">
        <v>2.1037449841221099</v>
      </c>
      <c r="D114" s="171">
        <v>0.82913701269133588</v>
      </c>
      <c r="E114" s="170">
        <v>0</v>
      </c>
      <c r="F114" s="170">
        <v>0</v>
      </c>
      <c r="G114" s="170">
        <v>-1.4990492230334603E-2</v>
      </c>
      <c r="H114" s="170">
        <v>0.14525704733164976</v>
      </c>
      <c r="I114" s="170">
        <v>0</v>
      </c>
      <c r="J114" s="170">
        <v>0</v>
      </c>
      <c r="K114" s="170">
        <v>0.18191808401017825</v>
      </c>
      <c r="L114">
        <v>3.0923821493075776</v>
      </c>
      <c r="N114" s="172"/>
      <c r="O114" s="35">
        <f ca="1">MCond(OFFSET($B$12,(ROW(A103)-1)*4,0,3,3))</f>
        <v>8.1126859890305525</v>
      </c>
      <c r="P114" s="35" t="str">
        <f ca="1">MCond(OFFSET($B$12,(ROW(B103)-1)*4,0,3,6))</f>
        <v>?</v>
      </c>
      <c r="Q114" s="35">
        <f ca="1">MCond(OFFSET($E$12,(ROW(C103)-1)*4,0,3,3))</f>
        <v>1</v>
      </c>
      <c r="R114" s="35">
        <f ca="1">MCond(OFFSET($I$12,(ROW(D103)-1)*4,0,3,3))</f>
        <v>2.6430840392331696</v>
      </c>
      <c r="S114">
        <v>102</v>
      </c>
      <c r="T114" s="35">
        <f ca="1">MCond(OFFSET($B$12,(ROW(A102)-1)*4,0,3,3))</f>
        <v>88.262830753422278</v>
      </c>
      <c r="V114">
        <f t="shared" ca="1" si="11"/>
        <v>4.1068372245798075E-2</v>
      </c>
    </row>
    <row r="115" spans="1:22">
      <c r="A115" s="170"/>
      <c r="B115" s="171"/>
      <c r="C115" s="171"/>
      <c r="D115" s="171"/>
      <c r="E115" s="170"/>
      <c r="F115" s="170"/>
      <c r="G115" s="170"/>
      <c r="H115" s="170"/>
      <c r="I115" s="170"/>
      <c r="J115" s="170"/>
      <c r="K115" s="170"/>
      <c r="N115" s="173"/>
      <c r="O115" s="35">
        <f ca="1">MCond(OFFSET($B$12,(ROW(A104)-1)*4,0,3,3))</f>
        <v>12.299736121719162</v>
      </c>
      <c r="P115" s="35" t="str">
        <f ca="1">MCond(OFFSET($B$12,(ROW(B104)-1)*4,0,3,6))</f>
        <v>?</v>
      </c>
      <c r="Q115" s="35">
        <f ca="1">MCond(OFFSET($E$12,(ROW(C104)-1)*4,0,3,3))</f>
        <v>1</v>
      </c>
      <c r="R115" s="35" t="str">
        <f ca="1">MCond(OFFSET($I$12,(ROW(D104)-1)*4,0,3,3))</f>
        <v>?</v>
      </c>
      <c r="S115">
        <v>103</v>
      </c>
      <c r="T115" s="35">
        <f ca="1">MCond(OFFSET($B$12,(ROW(A103)-1)*4,0,3,3))</f>
        <v>8.1126859890305525</v>
      </c>
      <c r="V115">
        <f t="shared" ca="1" si="11"/>
        <v>3.7748031109670573E-3</v>
      </c>
    </row>
    <row r="116" spans="1:22">
      <c r="A116" s="170"/>
      <c r="B116" s="171">
        <v>-1.4028471761352286</v>
      </c>
      <c r="C116" s="171">
        <v>0.814665459345566</v>
      </c>
      <c r="D116" s="171">
        <v>0.7195871750303805</v>
      </c>
      <c r="E116" s="170">
        <v>-1.4990492230334603E-2</v>
      </c>
      <c r="F116" s="170">
        <v>0</v>
      </c>
      <c r="G116" s="170">
        <v>0</v>
      </c>
      <c r="H116" s="170">
        <v>0</v>
      </c>
      <c r="I116" s="170">
        <v>0</v>
      </c>
      <c r="J116" s="170">
        <v>0</v>
      </c>
      <c r="K116" s="170">
        <v>0</v>
      </c>
      <c r="L116">
        <v>1.5747328563547551</v>
      </c>
      <c r="N116" s="172"/>
      <c r="O116" s="35">
        <f ca="1">MCond(OFFSET($B$12,(ROW(A105)-1)*4,0,3,3))</f>
        <v>8.5693135695380551</v>
      </c>
      <c r="P116" s="35" t="str">
        <f ca="1">MCond(OFFSET($B$12,(ROW(B105)-1)*4,0,3,6))</f>
        <v>?</v>
      </c>
      <c r="Q116" s="35">
        <f ca="1">MCond(OFFSET($E$12,(ROW(C105)-1)*4,0,3,3))</f>
        <v>1</v>
      </c>
      <c r="R116" s="35" t="str">
        <f ca="1">MCond(OFFSET($I$12,(ROW(D105)-1)*4,0,3,3))</f>
        <v>?</v>
      </c>
      <c r="S116">
        <v>104</v>
      </c>
      <c r="T116" s="35">
        <f ca="1">MCond(OFFSET($B$12,(ROW(A104)-1)*4,0,3,3))</f>
        <v>12.299736121719162</v>
      </c>
      <c r="V116">
        <f t="shared" ca="1" si="11"/>
        <v>5.7230222196591575E-3</v>
      </c>
    </row>
    <row r="117" spans="1:22">
      <c r="A117" s="170" t="s">
        <v>240</v>
      </c>
      <c r="B117" s="171">
        <v>1.4421025939282253</v>
      </c>
      <c r="C117" s="171">
        <v>1.0431877148697888</v>
      </c>
      <c r="D117" s="171">
        <v>0.78932433807079116</v>
      </c>
      <c r="E117" s="170">
        <v>0</v>
      </c>
      <c r="F117" s="170">
        <v>-1.4990492230334603E-2</v>
      </c>
      <c r="G117" s="170">
        <v>0</v>
      </c>
      <c r="H117" s="170">
        <v>0</v>
      </c>
      <c r="I117" s="170">
        <v>0</v>
      </c>
      <c r="J117" s="170">
        <v>0</v>
      </c>
      <c r="K117" s="170">
        <v>0</v>
      </c>
      <c r="L117">
        <v>1.8954667052703302</v>
      </c>
      <c r="N117" s="172">
        <f>MCond(B116:D118)</f>
        <v>6.5826761170413119</v>
      </c>
      <c r="O117" s="35">
        <f ca="1">MCond(OFFSET($B$12,(ROW(A106)-1)*4,0,3,3))</f>
        <v>5.2226620862837869</v>
      </c>
      <c r="P117" s="35" t="str">
        <f ca="1">MCond(OFFSET($B$12,(ROW(B106)-1)*4,0,3,6))</f>
        <v>?</v>
      </c>
      <c r="Q117" s="35">
        <f ca="1">MCond(OFFSET($E$12,(ROW(C106)-1)*4,0,3,3))</f>
        <v>1</v>
      </c>
      <c r="R117" s="35" t="str">
        <f ca="1">MCond(OFFSET($I$12,(ROW(D106)-1)*4,0,3,3))</f>
        <v>?</v>
      </c>
      <c r="S117">
        <v>105</v>
      </c>
      <c r="T117" s="35">
        <f ca="1">MCond(OFFSET($B$12,(ROW(A105)-1)*4,0,3,3))</f>
        <v>8.5693135695380551</v>
      </c>
      <c r="V117">
        <f t="shared" ca="1" si="11"/>
        <v>3.987270253635186E-3</v>
      </c>
    </row>
    <row r="118" spans="1:22">
      <c r="A118" s="170"/>
      <c r="B118" s="171">
        <v>0.58367185674448252</v>
      </c>
      <c r="C118" s="171">
        <v>2.0841504898711007</v>
      </c>
      <c r="D118" s="171">
        <v>0.75171422039661484</v>
      </c>
      <c r="E118" s="170">
        <v>0</v>
      </c>
      <c r="F118" s="170">
        <v>0</v>
      </c>
      <c r="G118" s="170">
        <v>-1.4990492230334603E-2</v>
      </c>
      <c r="H118" s="170">
        <v>0</v>
      </c>
      <c r="I118" s="170">
        <v>0</v>
      </c>
      <c r="J118" s="170">
        <v>0</v>
      </c>
      <c r="K118" s="170">
        <v>0</v>
      </c>
      <c r="L118">
        <v>2.6247151849659955</v>
      </c>
      <c r="N118" s="172"/>
      <c r="O118" s="35">
        <f ca="1">MCond(OFFSET($B$12,(ROW(A107)-1)*4,0,3,3))</f>
        <v>6.8946518551856064</v>
      </c>
      <c r="P118" s="35" t="str">
        <f ca="1">MCond(OFFSET($B$12,(ROW(B107)-1)*4,0,3,6))</f>
        <v>?</v>
      </c>
      <c r="Q118" s="35">
        <f ca="1">MCond(OFFSET($E$12,(ROW(C107)-1)*4,0,3,3))</f>
        <v>1</v>
      </c>
      <c r="R118" s="35" t="str">
        <f ca="1">MCond(OFFSET($I$12,(ROW(D107)-1)*4,0,3,3))</f>
        <v>?</v>
      </c>
      <c r="S118">
        <v>106</v>
      </c>
      <c r="T118" s="35">
        <f ca="1">MCond(OFFSET($B$12,(ROW(A106)-1)*4,0,3,3))</f>
        <v>5.2226620862837869</v>
      </c>
      <c r="V118">
        <f t="shared" ca="1" si="11"/>
        <v>2.4300855619816221E-3</v>
      </c>
    </row>
    <row r="119" spans="1:22">
      <c r="A119" s="170"/>
      <c r="B119" s="171"/>
      <c r="C119" s="171"/>
      <c r="D119" s="171"/>
      <c r="E119" s="170"/>
      <c r="F119" s="170"/>
      <c r="G119" s="170"/>
      <c r="H119" s="170"/>
      <c r="I119" s="170"/>
      <c r="J119" s="170"/>
      <c r="K119" s="170"/>
      <c r="N119" s="173"/>
      <c r="O119" s="35">
        <f ca="1">MCond(OFFSET($B$12,(ROW(A108)-1)*4,0,3,3))</f>
        <v>9.9372843807971485</v>
      </c>
      <c r="P119" s="35" t="str">
        <f ca="1">MCond(OFFSET($B$12,(ROW(B108)-1)*4,0,3,6))</f>
        <v>?</v>
      </c>
      <c r="Q119" s="35">
        <f ca="1">MCond(OFFSET($E$12,(ROW(C108)-1)*4,0,3,3))</f>
        <v>1</v>
      </c>
      <c r="R119" s="35" t="str">
        <f ca="1">MCond(OFFSET($I$12,(ROW(D108)-1)*4,0,3,3))</f>
        <v>?</v>
      </c>
      <c r="S119">
        <v>107</v>
      </c>
      <c r="T119" s="35">
        <f ca="1">MCond(OFFSET($B$12,(ROW(A107)-1)*4,0,3,3))</f>
        <v>6.8946518551856064</v>
      </c>
      <c r="V119">
        <f t="shared" ca="1" si="11"/>
        <v>3.2080562845868835E-3</v>
      </c>
    </row>
    <row r="120" spans="1:22">
      <c r="A120" s="170"/>
      <c r="B120" s="171">
        <v>-1.4028471761352286</v>
      </c>
      <c r="C120" s="171">
        <v>0.814665459345566</v>
      </c>
      <c r="D120" s="171">
        <v>0.7195871750303805</v>
      </c>
      <c r="E120" s="170">
        <v>-1.4990492230334603E-2</v>
      </c>
      <c r="F120" s="170">
        <v>0</v>
      </c>
      <c r="G120" s="170">
        <v>0</v>
      </c>
      <c r="H120" s="170">
        <v>0.14525704733164976</v>
      </c>
      <c r="I120" s="170">
        <v>-2.1174072073315828E-2</v>
      </c>
      <c r="J120" s="170">
        <v>0</v>
      </c>
      <c r="K120" s="170">
        <v>0</v>
      </c>
      <c r="L120">
        <v>1.5747328563547551</v>
      </c>
      <c r="N120" s="172"/>
      <c r="O120" s="35">
        <f ca="1">MCond(OFFSET($B$12,(ROW(A109)-1)*4,0,3,3))</f>
        <v>7.5591544987062864</v>
      </c>
      <c r="P120" s="35" t="str">
        <f ca="1">MCond(OFFSET($B$12,(ROW(B109)-1)*4,0,3,6))</f>
        <v>?</v>
      </c>
      <c r="Q120" s="35">
        <f ca="1">MCond(OFFSET($E$12,(ROW(C109)-1)*4,0,3,3))</f>
        <v>1</v>
      </c>
      <c r="R120" s="35" t="str">
        <f ca="1">MCond(OFFSET($I$12,(ROW(D109)-1)*4,0,3,3))</f>
        <v>?</v>
      </c>
      <c r="S120">
        <v>108</v>
      </c>
      <c r="T120" s="35">
        <f ca="1">MCond(OFFSET($B$12,(ROW(A108)-1)*4,0,3,3))</f>
        <v>9.9372843807971485</v>
      </c>
      <c r="V120">
        <f t="shared" ca="1" si="11"/>
        <v>4.6237820674826756E-3</v>
      </c>
    </row>
    <row r="121" spans="1:22">
      <c r="A121" s="170" t="s">
        <v>241</v>
      </c>
      <c r="B121" s="171">
        <v>1.4421025939282253</v>
      </c>
      <c r="C121" s="171">
        <v>1.0431877148697888</v>
      </c>
      <c r="D121" s="171">
        <v>0.78932433807079116</v>
      </c>
      <c r="E121" s="170">
        <v>0</v>
      </c>
      <c r="F121" s="170">
        <v>-1.4990492230334603E-2</v>
      </c>
      <c r="G121" s="170">
        <v>0</v>
      </c>
      <c r="H121" s="170">
        <v>0.14525704733164976</v>
      </c>
      <c r="I121" s="170">
        <v>0</v>
      </c>
      <c r="J121" s="170">
        <v>6.8827960560405646E-2</v>
      </c>
      <c r="K121" s="170">
        <v>0</v>
      </c>
      <c r="L121">
        <v>1.8954667052703302</v>
      </c>
      <c r="N121" s="172">
        <f>MCond(B120:D122)</f>
        <v>3.1648692167093064</v>
      </c>
      <c r="O121" s="35">
        <f ca="1">MCond(OFFSET($B$12,(ROW(A110)-1)*4,0,3,3))</f>
        <v>26.099112239465395</v>
      </c>
      <c r="P121" s="35" t="str">
        <f ca="1">MCond(OFFSET($B$12,(ROW(B110)-1)*4,0,3,6))</f>
        <v>?</v>
      </c>
      <c r="Q121" s="35">
        <f ca="1">MCond(OFFSET($E$12,(ROW(C110)-1)*4,0,3,3))</f>
        <v>1</v>
      </c>
      <c r="R121" s="35" t="str">
        <f ca="1">MCond(OFFSET($I$12,(ROW(D110)-1)*4,0,3,3))</f>
        <v>?</v>
      </c>
      <c r="S121">
        <v>109</v>
      </c>
      <c r="T121" s="35">
        <f ca="1">MCond(OFFSET($B$12,(ROW(A109)-1)*4,0,3,3))</f>
        <v>7.5591544987062864</v>
      </c>
      <c r="V121">
        <f t="shared" ca="1" si="11"/>
        <v>3.5172469335777784E-3</v>
      </c>
    </row>
    <row r="122" spans="1:22">
      <c r="A122" s="170"/>
      <c r="B122" s="171">
        <v>-2.5457845528396139E-2</v>
      </c>
      <c r="C122" s="171">
        <v>2.3667658472617719</v>
      </c>
      <c r="D122" s="171">
        <v>6.368425350466822E-2</v>
      </c>
      <c r="E122" s="170">
        <v>0</v>
      </c>
      <c r="F122" s="170">
        <v>0</v>
      </c>
      <c r="G122" s="170">
        <v>-1.4990492230334603E-2</v>
      </c>
      <c r="H122" s="170">
        <v>0.14525704733164976</v>
      </c>
      <c r="I122" s="170">
        <v>0</v>
      </c>
      <c r="J122" s="170">
        <v>0</v>
      </c>
      <c r="K122" s="170">
        <v>-8.9700844372930258E-2</v>
      </c>
      <c r="L122">
        <v>2.803142180904064</v>
      </c>
      <c r="N122" s="172"/>
      <c r="O122" s="35">
        <f ca="1">MCond(OFFSET($B$12,(ROW(A111)-1)*4,0,3,3))</f>
        <v>8.2529665998791568</v>
      </c>
      <c r="P122" s="35" t="str">
        <f ca="1">MCond(OFFSET($B$12,(ROW(B111)-1)*4,0,3,6))</f>
        <v>?</v>
      </c>
      <c r="Q122" s="35">
        <f ca="1">MCond(OFFSET($E$12,(ROW(C111)-1)*4,0,3,3))</f>
        <v>1</v>
      </c>
      <c r="R122" s="35">
        <f ca="1">MCond(OFFSET($I$12,(ROW(D111)-1)*4,0,3,3))</f>
        <v>2.4885523706508024</v>
      </c>
      <c r="S122">
        <v>110</v>
      </c>
      <c r="T122" s="35">
        <f ca="1">MCond(OFFSET($B$12,(ROW(A110)-1)*4,0,3,3))</f>
        <v>26.099112239465395</v>
      </c>
      <c r="V122">
        <f t="shared" ca="1" si="11"/>
        <v>1.2143821443135279E-2</v>
      </c>
    </row>
    <row r="123" spans="1:22">
      <c r="A123" s="170"/>
      <c r="B123" s="171"/>
      <c r="C123" s="171"/>
      <c r="D123" s="171"/>
      <c r="E123" s="170"/>
      <c r="F123" s="170"/>
      <c r="G123" s="170"/>
      <c r="H123" s="170"/>
      <c r="I123" s="170"/>
      <c r="J123" s="170"/>
      <c r="K123" s="170"/>
      <c r="N123" s="173"/>
      <c r="O123" s="35">
        <f ca="1">MCond(OFFSET($B$12,(ROW(A112)-1)*4,0,3,3))</f>
        <v>5.1437331426071831</v>
      </c>
      <c r="P123" s="35" t="str">
        <f ca="1">MCond(OFFSET($B$12,(ROW(B112)-1)*4,0,3,6))</f>
        <v>?</v>
      </c>
      <c r="Q123" s="35">
        <f ca="1">MCond(OFFSET($E$12,(ROW(C112)-1)*4,0,3,3))</f>
        <v>1</v>
      </c>
      <c r="R123" s="35">
        <f ca="1">MCond(OFFSET($I$12,(ROW(D112)-1)*4,0,3,3))</f>
        <v>3.1166314305849192</v>
      </c>
      <c r="S123">
        <v>111</v>
      </c>
      <c r="T123" s="35">
        <f ca="1">MCond(OFFSET($B$12,(ROW(A111)-1)*4,0,3,3))</f>
        <v>8.2529665998791568</v>
      </c>
      <c r="V123">
        <f t="shared" ca="1" si="11"/>
        <v>3.8400751659875116E-3</v>
      </c>
    </row>
    <row r="124" spans="1:22">
      <c r="A124" s="170"/>
      <c r="B124" s="171">
        <v>-1.4028471761352286</v>
      </c>
      <c r="C124" s="171">
        <v>0.814665459345566</v>
      </c>
      <c r="D124" s="171">
        <v>0.7195871750303805</v>
      </c>
      <c r="E124" s="170">
        <v>-1.4990492230334603E-2</v>
      </c>
      <c r="F124" s="170">
        <v>0</v>
      </c>
      <c r="G124" s="170">
        <v>0</v>
      </c>
      <c r="H124" s="170">
        <v>0</v>
      </c>
      <c r="I124" s="170">
        <v>0</v>
      </c>
      <c r="J124" s="170">
        <v>0</v>
      </c>
      <c r="K124" s="170">
        <v>0</v>
      </c>
      <c r="L124">
        <v>1.5747328563547551</v>
      </c>
      <c r="N124" s="172"/>
      <c r="O124" s="35">
        <f ca="1">MCond(OFFSET($B$12,(ROW(A113)-1)*4,0,3,3))</f>
        <v>5.8121432217475695</v>
      </c>
      <c r="P124" s="35" t="str">
        <f ca="1">MCond(OFFSET($B$12,(ROW(B113)-1)*4,0,3,6))</f>
        <v>?</v>
      </c>
      <c r="Q124" s="35">
        <f ca="1">MCond(OFFSET($E$12,(ROW(C113)-1)*4,0,3,3))</f>
        <v>1</v>
      </c>
      <c r="R124" s="35" t="str">
        <f ca="1">MCond(OFFSET($I$12,(ROW(D113)-1)*4,0,3,3))</f>
        <v>?</v>
      </c>
      <c r="S124">
        <v>112</v>
      </c>
      <c r="T124" s="35">
        <f ca="1">MCond(OFFSET($B$12,(ROW(A112)-1)*4,0,3,3))</f>
        <v>5.1437331426071831</v>
      </c>
      <c r="V124">
        <f t="shared" ca="1" si="11"/>
        <v>2.3933602132452545E-3</v>
      </c>
    </row>
    <row r="125" spans="1:22">
      <c r="A125" s="170" t="s">
        <v>242</v>
      </c>
      <c r="B125" s="171">
        <v>-1.0351585166444348</v>
      </c>
      <c r="C125" s="171">
        <v>2.1037449841221099</v>
      </c>
      <c r="D125" s="171">
        <v>0.82913701269133588</v>
      </c>
      <c r="E125" s="170">
        <v>0</v>
      </c>
      <c r="F125" s="170">
        <v>-1.4990492230334603E-2</v>
      </c>
      <c r="G125" s="170">
        <v>0</v>
      </c>
      <c r="H125" s="170">
        <v>0</v>
      </c>
      <c r="I125" s="170">
        <v>0</v>
      </c>
      <c r="J125" s="170">
        <v>0</v>
      </c>
      <c r="K125" s="170">
        <v>0</v>
      </c>
      <c r="L125">
        <v>3.0923821493075776</v>
      </c>
      <c r="N125" s="172">
        <f>MCond(B124:D126)</f>
        <v>16.234426054507814</v>
      </c>
      <c r="O125" s="35">
        <f ca="1">MCond(OFFSET($B$12,(ROW(A114)-1)*4,0,3,3))</f>
        <v>4.7138939593144054</v>
      </c>
      <c r="P125" s="35" t="str">
        <f ca="1">MCond(OFFSET($B$12,(ROW(B114)-1)*4,0,3,6))</f>
        <v>?</v>
      </c>
      <c r="Q125" s="35">
        <f ca="1">MCond(OFFSET($E$12,(ROW(C114)-1)*4,0,3,3))</f>
        <v>1</v>
      </c>
      <c r="R125" s="35">
        <f ca="1">MCond(OFFSET($I$12,(ROW(D114)-1)*4,0,3,3))</f>
        <v>2.4885523706508024</v>
      </c>
      <c r="S125">
        <v>113</v>
      </c>
      <c r="T125" s="35">
        <f ca="1">MCond(OFFSET($B$12,(ROW(A113)-1)*4,0,3,3))</f>
        <v>5.8121432217475695</v>
      </c>
      <c r="V125">
        <f t="shared" ca="1" si="11"/>
        <v>2.7043689777349021E-3</v>
      </c>
    </row>
    <row r="126" spans="1:22">
      <c r="A126" s="170"/>
      <c r="B126" s="171">
        <v>0.58367185674448252</v>
      </c>
      <c r="C126" s="171">
        <v>2.0841504898711007</v>
      </c>
      <c r="D126" s="171">
        <v>0.75171422039661484</v>
      </c>
      <c r="E126" s="170">
        <v>0</v>
      </c>
      <c r="F126" s="170">
        <v>0</v>
      </c>
      <c r="G126" s="170">
        <v>-1.4990492230334603E-2</v>
      </c>
      <c r="H126" s="170">
        <v>0</v>
      </c>
      <c r="I126" s="170">
        <v>0</v>
      </c>
      <c r="J126" s="170">
        <v>0</v>
      </c>
      <c r="K126" s="170">
        <v>0</v>
      </c>
      <c r="L126">
        <v>2.6247151849659955</v>
      </c>
      <c r="N126" s="172"/>
      <c r="O126" s="35">
        <f ca="1">MCond(OFFSET($B$12,(ROW(A115)-1)*4,0,3,3))</f>
        <v>6.8287657968734292</v>
      </c>
      <c r="P126" s="35" t="str">
        <f ca="1">MCond(OFFSET($B$12,(ROW(B115)-1)*4,0,3,6))</f>
        <v>?</v>
      </c>
      <c r="Q126" s="35">
        <f ca="1">MCond(OFFSET($E$12,(ROW(C115)-1)*4,0,3,3))</f>
        <v>1</v>
      </c>
      <c r="R126" s="35">
        <f ca="1">MCond(OFFSET($I$12,(ROW(D115)-1)*4,0,3,3))</f>
        <v>2.6430840392331696</v>
      </c>
      <c r="S126">
        <v>114</v>
      </c>
      <c r="T126" s="35">
        <f ca="1">MCond(OFFSET($B$12,(ROW(A114)-1)*4,0,3,3))</f>
        <v>4.7138939593144054</v>
      </c>
      <c r="V126">
        <f t="shared" ca="1" si="11"/>
        <v>2.1933576137975457E-3</v>
      </c>
    </row>
    <row r="127" spans="1:22">
      <c r="A127" s="170"/>
      <c r="B127" s="171"/>
      <c r="C127" s="171"/>
      <c r="D127" s="171"/>
      <c r="E127" s="170"/>
      <c r="F127" s="170"/>
      <c r="G127" s="170"/>
      <c r="H127" s="170"/>
      <c r="I127" s="170"/>
      <c r="J127" s="170"/>
      <c r="K127" s="170"/>
      <c r="N127" s="173"/>
      <c r="O127" s="35">
        <f ca="1">MCond(OFFSET($B$12,(ROW(A116)-1)*4,0,3,3))</f>
        <v>8.9992558577730577</v>
      </c>
      <c r="P127" s="35" t="str">
        <f ca="1">MCond(OFFSET($B$12,(ROW(B116)-1)*4,0,3,6))</f>
        <v>?</v>
      </c>
      <c r="Q127" s="35">
        <f ca="1">MCond(OFFSET($E$12,(ROW(C116)-1)*4,0,3,3))</f>
        <v>1</v>
      </c>
      <c r="R127" s="35" t="str">
        <f ca="1">MCond(OFFSET($I$12,(ROW(D116)-1)*4,0,3,3))</f>
        <v>?</v>
      </c>
      <c r="S127">
        <v>115</v>
      </c>
      <c r="T127" s="35">
        <f ca="1">MCond(OFFSET($B$12,(ROW(A115)-1)*4,0,3,3))</f>
        <v>6.8287657968734292</v>
      </c>
      <c r="V127">
        <f t="shared" ca="1" si="11"/>
        <v>3.1773997426940443E-3</v>
      </c>
    </row>
    <row r="128" spans="1:22">
      <c r="A128" s="170"/>
      <c r="B128" s="171">
        <v>-1.4028471761352286</v>
      </c>
      <c r="C128" s="171">
        <v>0.814665459345566</v>
      </c>
      <c r="D128" s="171">
        <v>0.7195871750303805</v>
      </c>
      <c r="E128" s="170">
        <v>-1.4990492230334603E-2</v>
      </c>
      <c r="F128" s="170">
        <v>0</v>
      </c>
      <c r="G128" s="170">
        <v>0</v>
      </c>
      <c r="H128" s="170">
        <v>0.14525704733164976</v>
      </c>
      <c r="I128" s="170">
        <v>-2.1174072073315828E-2</v>
      </c>
      <c r="J128" s="170">
        <v>0</v>
      </c>
      <c r="K128" s="170">
        <v>0</v>
      </c>
      <c r="L128">
        <v>1.5747328563547551</v>
      </c>
      <c r="N128" s="172"/>
      <c r="O128" s="35">
        <f ca="1">MCond(OFFSET($B$12,(ROW(A117)-1)*4,0,3,3))</f>
        <v>4.292123906712999</v>
      </c>
      <c r="P128" s="35" t="str">
        <f ca="1">MCond(OFFSET($B$12,(ROW(B117)-1)*4,0,3,6))</f>
        <v>?</v>
      </c>
      <c r="Q128" s="35">
        <f ca="1">MCond(OFFSET($E$12,(ROW(C117)-1)*4,0,3,3))</f>
        <v>1</v>
      </c>
      <c r="R128" s="35">
        <f ca="1">MCond(OFFSET($I$12,(ROW(D117)-1)*4,0,3,3))</f>
        <v>2.1104366038009723</v>
      </c>
      <c r="S128">
        <v>116</v>
      </c>
      <c r="T128" s="35">
        <f ca="1">MCond(OFFSET($B$12,(ROW(A116)-1)*4,0,3,3))</f>
        <v>8.9992558577730577</v>
      </c>
      <c r="V128">
        <f t="shared" ca="1" si="11"/>
        <v>4.1873208274353091E-3</v>
      </c>
    </row>
    <row r="129" spans="1:22">
      <c r="A129" s="170" t="s">
        <v>243</v>
      </c>
      <c r="B129" s="171">
        <v>-1.0351585166444348</v>
      </c>
      <c r="C129" s="171">
        <v>2.1037449841221099</v>
      </c>
      <c r="D129" s="171">
        <v>0.82913701269133588</v>
      </c>
      <c r="E129" s="170">
        <v>0</v>
      </c>
      <c r="F129" s="170">
        <v>-1.4990492230334603E-2</v>
      </c>
      <c r="G129" s="170">
        <v>0</v>
      </c>
      <c r="H129" s="170">
        <v>0.14525704733164976</v>
      </c>
      <c r="I129" s="170">
        <v>0</v>
      </c>
      <c r="J129" s="170">
        <v>0.18191808401017825</v>
      </c>
      <c r="K129" s="170">
        <v>0</v>
      </c>
      <c r="L129">
        <v>3.0923821493075776</v>
      </c>
      <c r="N129" s="172">
        <f>MCond(B128:D130)</f>
        <v>21.390548698925272</v>
      </c>
      <c r="O129" s="35">
        <f ca="1">MCond(OFFSET($B$12,(ROW(A118)-1)*4,0,3,3))</f>
        <v>10.814350744949346</v>
      </c>
      <c r="P129" s="35" t="str">
        <f ca="1">MCond(OFFSET($B$12,(ROW(B118)-1)*4,0,3,6))</f>
        <v>?</v>
      </c>
      <c r="Q129" s="35">
        <f ca="1">MCond(OFFSET($E$12,(ROW(C118)-1)*4,0,3,3))</f>
        <v>1</v>
      </c>
      <c r="R129" s="35" t="str">
        <f ca="1">MCond(OFFSET($I$12,(ROW(D118)-1)*4,0,3,3))</f>
        <v>?</v>
      </c>
      <c r="S129">
        <v>117</v>
      </c>
      <c r="T129" s="35">
        <f ca="1">MCond(OFFSET($B$12,(ROW(A117)-1)*4,0,3,3))</f>
        <v>4.292123906712999</v>
      </c>
      <c r="V129">
        <f t="shared" ca="1" si="11"/>
        <v>1.9971095513401475E-3</v>
      </c>
    </row>
    <row r="130" spans="1:22">
      <c r="A130" s="170"/>
      <c r="B130" s="171">
        <v>-2.5457845528396139E-2</v>
      </c>
      <c r="C130" s="171">
        <v>2.3667658472617719</v>
      </c>
      <c r="D130" s="171">
        <v>6.368425350466822E-2</v>
      </c>
      <c r="E130" s="170">
        <v>0</v>
      </c>
      <c r="F130" s="170">
        <v>0</v>
      </c>
      <c r="G130" s="170">
        <v>-1.4990492230334603E-2</v>
      </c>
      <c r="H130" s="170">
        <v>0.14525704733164976</v>
      </c>
      <c r="I130" s="170">
        <v>0</v>
      </c>
      <c r="J130" s="170">
        <v>0</v>
      </c>
      <c r="K130" s="170">
        <v>-8.9700844372930258E-2</v>
      </c>
      <c r="L130">
        <v>2.803142180904064</v>
      </c>
      <c r="N130" s="172"/>
      <c r="O130" s="35">
        <f ca="1">MCond(OFFSET($B$12,(ROW(A119)-1)*4,0,3,3))</f>
        <v>13.161138632442416</v>
      </c>
      <c r="P130" s="35" t="str">
        <f ca="1">MCond(OFFSET($B$12,(ROW(B119)-1)*4,0,3,6))</f>
        <v>?</v>
      </c>
      <c r="Q130" s="35">
        <f ca="1">MCond(OFFSET($E$12,(ROW(C119)-1)*4,0,3,3))</f>
        <v>1</v>
      </c>
      <c r="R130" s="35">
        <f ca="1">MCond(OFFSET($I$12,(ROW(D119)-1)*4,0,3,3))</f>
        <v>2.0280531948378977</v>
      </c>
      <c r="S130">
        <v>118</v>
      </c>
      <c r="T130" s="35">
        <f ca="1">MCond(OFFSET($B$12,(ROW(A118)-1)*4,0,3,3))</f>
        <v>10.814350744949346</v>
      </c>
      <c r="V130">
        <f t="shared" ca="1" si="11"/>
        <v>5.0318778380330047E-3</v>
      </c>
    </row>
    <row r="131" spans="1:22">
      <c r="A131" s="170"/>
      <c r="B131" s="171"/>
      <c r="C131" s="171"/>
      <c r="D131" s="171"/>
      <c r="E131" s="170"/>
      <c r="F131" s="170"/>
      <c r="G131" s="170"/>
      <c r="H131" s="170"/>
      <c r="I131" s="170"/>
      <c r="J131" s="170"/>
      <c r="K131" s="170"/>
      <c r="N131" s="173"/>
      <c r="O131" s="35">
        <f ca="1">MCond(OFFSET($B$12,(ROW(A120)-1)*4,0,3,3))</f>
        <v>5.1208665031360203</v>
      </c>
      <c r="P131" s="35" t="str">
        <f ca="1">MCond(OFFSET($B$12,(ROW(B120)-1)*4,0,3,6))</f>
        <v>?</v>
      </c>
      <c r="Q131" s="35">
        <f ca="1">MCond(OFFSET($E$12,(ROW(C120)-1)*4,0,3,3))</f>
        <v>1</v>
      </c>
      <c r="R131" s="35" t="str">
        <f ca="1">MCond(OFFSET($I$12,(ROW(D120)-1)*4,0,3,3))</f>
        <v>?</v>
      </c>
      <c r="S131">
        <v>119</v>
      </c>
      <c r="T131" s="35">
        <f ca="1">MCond(OFFSET($B$12,(ROW(A119)-1)*4,0,3,3))</f>
        <v>13.161138632442416</v>
      </c>
      <c r="V131">
        <f t="shared" ca="1" si="11"/>
        <v>6.123829656514178E-3</v>
      </c>
    </row>
    <row r="132" spans="1:22">
      <c r="A132" s="170"/>
      <c r="B132" s="171">
        <v>-1.4028471761352286</v>
      </c>
      <c r="C132" s="171">
        <v>0.814665459345566</v>
      </c>
      <c r="D132" s="171">
        <v>0.7195871750303805</v>
      </c>
      <c r="E132" s="170">
        <v>-1.4990492230334603E-2</v>
      </c>
      <c r="F132" s="170">
        <v>0</v>
      </c>
      <c r="G132" s="170">
        <v>0</v>
      </c>
      <c r="H132" s="170">
        <v>0</v>
      </c>
      <c r="I132" s="170">
        <v>0</v>
      </c>
      <c r="J132" s="170">
        <v>0</v>
      </c>
      <c r="K132" s="170">
        <v>0</v>
      </c>
      <c r="L132">
        <v>1.5747328563547551</v>
      </c>
      <c r="N132" s="172"/>
      <c r="O132" s="35">
        <f ca="1">MCond(OFFSET($B$12,(ROW(A121)-1)*4,0,3,3))</f>
        <v>250.1521200358882</v>
      </c>
      <c r="P132" s="35" t="str">
        <f ca="1">MCond(OFFSET($B$12,(ROW(B121)-1)*4,0,3,6))</f>
        <v>?</v>
      </c>
      <c r="Q132" s="35">
        <f ca="1">MCond(OFFSET($E$12,(ROW(C121)-1)*4,0,3,3))</f>
        <v>1</v>
      </c>
      <c r="R132" s="35" t="str">
        <f ca="1">MCond(OFFSET($I$12,(ROW(D121)-1)*4,0,3,3))</f>
        <v>?</v>
      </c>
      <c r="S132">
        <v>120</v>
      </c>
      <c r="T132" s="35">
        <f ca="1">MCond(OFFSET($B$12,(ROW(A120)-1)*4,0,3,3))</f>
        <v>5.1208665031360203</v>
      </c>
      <c r="V132">
        <f t="shared" ca="1" si="11"/>
        <v>2.3827204495554212E-3</v>
      </c>
    </row>
    <row r="133" spans="1:22">
      <c r="A133" s="170" t="s">
        <v>244</v>
      </c>
      <c r="B133" s="171">
        <v>0.58367185674448252</v>
      </c>
      <c r="C133" s="171">
        <v>2.0841504898711007</v>
      </c>
      <c r="D133" s="171">
        <v>0.75171422039661484</v>
      </c>
      <c r="E133" s="170">
        <v>0</v>
      </c>
      <c r="F133" s="170">
        <v>-1.4990492230334603E-2</v>
      </c>
      <c r="G133" s="170">
        <v>0</v>
      </c>
      <c r="H133" s="170">
        <v>0</v>
      </c>
      <c r="I133" s="170">
        <v>0</v>
      </c>
      <c r="J133" s="170">
        <v>0</v>
      </c>
      <c r="K133" s="170">
        <v>0</v>
      </c>
      <c r="L133">
        <v>2.6247151849659955</v>
      </c>
      <c r="N133" s="172">
        <f>MCond(B132:D134)</f>
        <v>5.3134649198272017</v>
      </c>
      <c r="O133" s="35">
        <f ca="1">MCond(OFFSET($B$12,(ROW(A122)-1)*4,0,3,3))</f>
        <v>41.479009433576415</v>
      </c>
      <c r="P133" s="35" t="str">
        <f ca="1">MCond(OFFSET($B$12,(ROW(B122)-1)*4,0,3,6))</f>
        <v>?</v>
      </c>
      <c r="Q133" s="35">
        <f ca="1">MCond(OFFSET($E$12,(ROW(C122)-1)*4,0,3,3))</f>
        <v>1</v>
      </c>
      <c r="R133" s="35" t="str">
        <f ca="1">MCond(OFFSET($I$12,(ROW(D122)-1)*4,0,3,3))</f>
        <v>?</v>
      </c>
      <c r="S133">
        <v>121</v>
      </c>
      <c r="T133" s="35">
        <f ca="1">MCond(OFFSET($B$12,(ROW(A121)-1)*4,0,3,3))</f>
        <v>250.1521200358882</v>
      </c>
      <c r="V133">
        <f t="shared" ca="1" si="11"/>
        <v>0.11639486628759733</v>
      </c>
    </row>
    <row r="134" spans="1:22">
      <c r="A134" s="170"/>
      <c r="B134" s="171">
        <v>-2.5457845528396139E-2</v>
      </c>
      <c r="C134" s="171">
        <v>2.3667658472617719</v>
      </c>
      <c r="D134" s="171">
        <v>6.368425350466822E-2</v>
      </c>
      <c r="E134" s="170">
        <v>0</v>
      </c>
      <c r="F134" s="170">
        <v>0</v>
      </c>
      <c r="G134" s="170">
        <v>-1.4990492230334603E-2</v>
      </c>
      <c r="H134" s="170">
        <v>0</v>
      </c>
      <c r="I134" s="170">
        <v>0</v>
      </c>
      <c r="J134" s="170">
        <v>0</v>
      </c>
      <c r="K134" s="170">
        <v>0</v>
      </c>
      <c r="L134">
        <v>2.803142180904064</v>
      </c>
      <c r="N134" s="172"/>
      <c r="O134" s="35">
        <f ca="1">MCond(OFFSET($B$12,(ROW(A123)-1)*4,0,3,3))</f>
        <v>298.22841835546393</v>
      </c>
      <c r="P134" s="35" t="str">
        <f ca="1">MCond(OFFSET($B$12,(ROW(B123)-1)*4,0,3,6))</f>
        <v>?</v>
      </c>
      <c r="Q134" s="35">
        <f ca="1">MCond(OFFSET($E$12,(ROW(C123)-1)*4,0,3,3))</f>
        <v>1</v>
      </c>
      <c r="R134" s="35" t="str">
        <f ca="1">MCond(OFFSET($I$12,(ROW(D123)-1)*4,0,3,3))</f>
        <v>?</v>
      </c>
      <c r="S134">
        <v>122</v>
      </c>
      <c r="T134" s="35">
        <f ca="1">MCond(OFFSET($B$12,(ROW(A122)-1)*4,0,3,3))</f>
        <v>41.479009433576415</v>
      </c>
      <c r="V134">
        <f t="shared" ca="1" si="11"/>
        <v>1.9300031341211388E-2</v>
      </c>
    </row>
    <row r="135" spans="1:22">
      <c r="A135" s="170"/>
      <c r="B135" s="171"/>
      <c r="C135" s="171"/>
      <c r="D135" s="171"/>
      <c r="E135" s="170"/>
      <c r="F135" s="170"/>
      <c r="G135" s="170"/>
      <c r="H135" s="170"/>
      <c r="I135" s="170"/>
      <c r="J135" s="170"/>
      <c r="K135" s="170"/>
      <c r="N135" s="173"/>
      <c r="O135" s="35">
        <f ca="1">MCond(OFFSET($B$12,(ROW(A124)-1)*4,0,3,3))</f>
        <v>13.015143058743432</v>
      </c>
      <c r="P135" s="35" t="str">
        <f ca="1">MCond(OFFSET($B$12,(ROW(B124)-1)*4,0,3,6))</f>
        <v>?</v>
      </c>
      <c r="Q135" s="35">
        <f ca="1">MCond(OFFSET($E$12,(ROW(C124)-1)*4,0,3,3))</f>
        <v>1</v>
      </c>
      <c r="R135" s="35" t="str">
        <f ca="1">MCond(OFFSET($I$12,(ROW(D124)-1)*4,0,3,3))</f>
        <v>?</v>
      </c>
      <c r="S135">
        <v>123</v>
      </c>
      <c r="T135" s="35">
        <f ca="1">MCond(OFFSET($B$12,(ROW(A123)-1)*4,0,3,3))</f>
        <v>298.22841835546393</v>
      </c>
      <c r="V135">
        <f t="shared" ca="1" si="11"/>
        <v>0.13876459201171612</v>
      </c>
    </row>
    <row r="136" spans="1:22">
      <c r="A136" s="170"/>
      <c r="B136" s="171">
        <v>1.4421025939282253</v>
      </c>
      <c r="C136" s="171">
        <v>1.0431877148697888</v>
      </c>
      <c r="D136" s="171">
        <v>0.78932433807079116</v>
      </c>
      <c r="E136" s="170">
        <v>-1.4990492230334603E-2</v>
      </c>
      <c r="F136" s="170">
        <v>0</v>
      </c>
      <c r="G136" s="170">
        <v>0</v>
      </c>
      <c r="H136" s="170">
        <v>0</v>
      </c>
      <c r="I136" s="170">
        <v>0</v>
      </c>
      <c r="J136" s="170">
        <v>0</v>
      </c>
      <c r="K136" s="170">
        <v>0</v>
      </c>
      <c r="L136">
        <v>1.8954667052703302</v>
      </c>
      <c r="N136" s="172"/>
      <c r="O136" s="35">
        <f ca="1">MCond(OFFSET($B$12,(ROW(A125)-1)*4,0,3,3))</f>
        <v>41.827755997562726</v>
      </c>
      <c r="P136" s="35" t="str">
        <f ca="1">MCond(OFFSET($B$12,(ROW(B125)-1)*4,0,3,6))</f>
        <v>?</v>
      </c>
      <c r="Q136" s="35">
        <f ca="1">MCond(OFFSET($E$12,(ROW(C125)-1)*4,0,3,3))</f>
        <v>1</v>
      </c>
      <c r="R136" s="35" t="str">
        <f ca="1">MCond(OFFSET($I$12,(ROW(D125)-1)*4,0,3,3))</f>
        <v>?</v>
      </c>
      <c r="S136">
        <v>124</v>
      </c>
      <c r="T136" s="35">
        <f ca="1">MCond(OFFSET($B$12,(ROW(A124)-1)*4,0,3,3))</f>
        <v>13.015143058743432</v>
      </c>
      <c r="V136">
        <f t="shared" ca="1" si="11"/>
        <v>6.0558984501872578E-3</v>
      </c>
    </row>
    <row r="137" spans="1:22">
      <c r="A137" s="170" t="s">
        <v>245</v>
      </c>
      <c r="B137" s="171">
        <v>-1.0351585166444348</v>
      </c>
      <c r="C137" s="171">
        <v>2.1037449841221099</v>
      </c>
      <c r="D137" s="171">
        <v>0.82913701269133588</v>
      </c>
      <c r="E137" s="170">
        <v>0</v>
      </c>
      <c r="F137" s="170">
        <v>-1.4990492230334603E-2</v>
      </c>
      <c r="G137" s="170">
        <v>0</v>
      </c>
      <c r="H137" s="170">
        <v>0</v>
      </c>
      <c r="I137" s="170">
        <v>0</v>
      </c>
      <c r="J137" s="170">
        <v>0</v>
      </c>
      <c r="K137" s="170">
        <v>0</v>
      </c>
      <c r="L137">
        <v>3.0923821493075776</v>
      </c>
      <c r="N137" s="172">
        <f>MCond(B136:D138)</f>
        <v>13.908174758807807</v>
      </c>
      <c r="O137" s="35">
        <f ca="1">MCond(OFFSET($B$12,(ROW(A126)-1)*4,0,3,3))</f>
        <v>1531.9211719884818</v>
      </c>
      <c r="P137" s="35" t="str">
        <f ca="1">MCond(OFFSET($B$12,(ROW(B126)-1)*4,0,3,6))</f>
        <v>?</v>
      </c>
      <c r="Q137" s="35">
        <f ca="1">MCond(OFFSET($E$12,(ROW(C126)-1)*4,0,3,3))</f>
        <v>1</v>
      </c>
      <c r="R137" s="35" t="str">
        <f ca="1">MCond(OFFSET($I$12,(ROW(D126)-1)*4,0,3,3))</f>
        <v>?</v>
      </c>
      <c r="S137">
        <v>125</v>
      </c>
      <c r="T137" s="35">
        <f ca="1">MCond(OFFSET($B$12,(ROW(A125)-1)*4,0,3,3))</f>
        <v>41.827755997562726</v>
      </c>
      <c r="V137">
        <f t="shared" ca="1" si="11"/>
        <v>1.9462301841567817E-2</v>
      </c>
    </row>
    <row r="138" spans="1:22">
      <c r="A138" s="170"/>
      <c r="B138" s="171">
        <v>0.58367185674448252</v>
      </c>
      <c r="C138" s="171">
        <v>2.0841504898711007</v>
      </c>
      <c r="D138" s="171">
        <v>0.75171422039661484</v>
      </c>
      <c r="E138" s="170">
        <v>0</v>
      </c>
      <c r="F138" s="170">
        <v>0</v>
      </c>
      <c r="G138" s="170">
        <v>-1.4990492230334603E-2</v>
      </c>
      <c r="H138" s="170">
        <v>0</v>
      </c>
      <c r="I138" s="170">
        <v>0</v>
      </c>
      <c r="J138" s="170">
        <v>0</v>
      </c>
      <c r="K138" s="170">
        <v>0</v>
      </c>
      <c r="L138">
        <v>2.6247151849659955</v>
      </c>
      <c r="N138" s="172"/>
      <c r="O138" s="35">
        <f ca="1">MCond(OFFSET($B$12,(ROW(A127)-1)*4,0,3,3))</f>
        <v>10.782827837381458</v>
      </c>
      <c r="P138" s="35" t="str">
        <f ca="1">MCond(OFFSET($B$12,(ROW(B127)-1)*4,0,3,6))</f>
        <v>?</v>
      </c>
      <c r="Q138" s="35">
        <f ca="1">MCond(OFFSET($E$12,(ROW(C127)-1)*4,0,3,3))</f>
        <v>1</v>
      </c>
      <c r="R138" s="35" t="str">
        <f ca="1">MCond(OFFSET($I$12,(ROW(D127)-1)*4,0,3,3))</f>
        <v>?</v>
      </c>
      <c r="S138">
        <v>126</v>
      </c>
      <c r="T138" s="35">
        <f ca="1">MCond(OFFSET($B$12,(ROW(A126)-1)*4,0,3,3))</f>
        <v>1531.9211719884818</v>
      </c>
      <c r="V138">
        <f t="shared" ca="1" si="11"/>
        <v>0.71279731689324766</v>
      </c>
    </row>
    <row r="139" spans="1:22">
      <c r="A139" s="170"/>
      <c r="B139" s="171"/>
      <c r="C139" s="171"/>
      <c r="D139" s="171"/>
      <c r="E139" s="170"/>
      <c r="F139" s="170"/>
      <c r="G139" s="170"/>
      <c r="H139" s="170"/>
      <c r="I139" s="170"/>
      <c r="J139" s="170"/>
      <c r="K139" s="170"/>
      <c r="N139" s="173"/>
      <c r="O139" s="35">
        <f ca="1">MCond(OFFSET($B$12,(ROW(A128)-1)*4,0,3,3))</f>
        <v>32.637782807572336</v>
      </c>
      <c r="P139" s="35" t="str">
        <f ca="1">MCond(OFFSET($B$12,(ROW(B128)-1)*4,0,3,6))</f>
        <v>?</v>
      </c>
      <c r="Q139" s="35">
        <f ca="1">MCond(OFFSET($E$12,(ROW(C128)-1)*4,0,3,3))</f>
        <v>1</v>
      </c>
      <c r="R139" s="35" t="str">
        <f ca="1">MCond(OFFSET($I$12,(ROW(D128)-1)*4,0,3,3))</f>
        <v>?</v>
      </c>
      <c r="S139">
        <v>127</v>
      </c>
      <c r="T139" s="35">
        <f ca="1">MCond(OFFSET($B$12,(ROW(A127)-1)*4,0,3,3))</f>
        <v>10.782827837381458</v>
      </c>
      <c r="V139">
        <f t="shared" ca="1" si="11"/>
        <v>5.0172103444661529E-3</v>
      </c>
    </row>
    <row r="140" spans="1:22">
      <c r="A140" s="170"/>
      <c r="B140" s="171">
        <v>1.4421025939282253</v>
      </c>
      <c r="C140" s="171">
        <v>1.0431877148697888</v>
      </c>
      <c r="D140" s="171">
        <v>0.78932433807079116</v>
      </c>
      <c r="E140" s="170">
        <v>-1.4990492230334603E-2</v>
      </c>
      <c r="F140" s="170">
        <v>0</v>
      </c>
      <c r="G140" s="170">
        <v>0</v>
      </c>
      <c r="H140" s="170">
        <v>0.14525704733164976</v>
      </c>
      <c r="I140" s="170">
        <v>6.8827960560405646E-2</v>
      </c>
      <c r="J140" s="170">
        <v>0</v>
      </c>
      <c r="K140" s="170">
        <v>0</v>
      </c>
      <c r="L140">
        <v>1.8954667052703302</v>
      </c>
      <c r="N140" s="172"/>
      <c r="O140" s="35">
        <f ca="1">MCond(OFFSET($B$12,(ROW(A129)-1)*4,0,3,3))</f>
        <v>10.964478005785088</v>
      </c>
      <c r="P140" s="35" t="str">
        <f ca="1">MCond(OFFSET($B$12,(ROW(B129)-1)*4,0,3,6))</f>
        <v>?</v>
      </c>
      <c r="Q140" s="35">
        <f ca="1">MCond(OFFSET($E$12,(ROW(C129)-1)*4,0,3,3))</f>
        <v>1</v>
      </c>
      <c r="R140" s="35" t="str">
        <f ca="1">MCond(OFFSET($I$12,(ROW(D129)-1)*4,0,3,3))</f>
        <v>?</v>
      </c>
      <c r="S140">
        <v>128</v>
      </c>
      <c r="T140" s="35">
        <f ca="1">MCond(OFFSET($B$12,(ROW(A128)-1)*4,0,3,3))</f>
        <v>32.637782807572336</v>
      </c>
      <c r="V140">
        <f t="shared" ca="1" si="11"/>
        <v>1.5186240937178618E-2</v>
      </c>
    </row>
    <row r="141" spans="1:22">
      <c r="A141" s="170" t="s">
        <v>246</v>
      </c>
      <c r="B141" s="171">
        <v>-1.0351585166444348</v>
      </c>
      <c r="C141" s="171">
        <v>2.1037449841221099</v>
      </c>
      <c r="D141" s="171">
        <v>0.82913701269133588</v>
      </c>
      <c r="E141" s="170">
        <v>0</v>
      </c>
      <c r="F141" s="170">
        <v>-1.4990492230334603E-2</v>
      </c>
      <c r="G141" s="170">
        <v>0</v>
      </c>
      <c r="H141" s="170">
        <v>0.14525704733164976</v>
      </c>
      <c r="I141" s="170">
        <v>0</v>
      </c>
      <c r="J141" s="170">
        <v>0.18191808401017825</v>
      </c>
      <c r="K141" s="170">
        <v>0</v>
      </c>
      <c r="L141">
        <v>3.0923821493075776</v>
      </c>
      <c r="N141" s="172">
        <f>MCond(B140:D142)</f>
        <v>4.7248309144760778</v>
      </c>
      <c r="O141" s="35">
        <f ca="1">MCond(OFFSET($B$12,(ROW(A130)-1)*4,0,3,3))</f>
        <v>7.2055376032001162</v>
      </c>
      <c r="P141" s="35" t="str">
        <f ca="1">MCond(OFFSET($B$12,(ROW(B130)-1)*4,0,3,6))</f>
        <v>?</v>
      </c>
      <c r="Q141" s="35">
        <f ca="1">MCond(OFFSET($E$12,(ROW(C130)-1)*4,0,3,3))</f>
        <v>1</v>
      </c>
      <c r="R141" s="35" t="str">
        <f ca="1">MCond(OFFSET($I$12,(ROW(D130)-1)*4,0,3,3))</f>
        <v>?</v>
      </c>
      <c r="S141">
        <v>129</v>
      </c>
      <c r="T141" s="35">
        <f ca="1">MCond(OFFSET($B$12,(ROW(A129)-1)*4,0,3,3))</f>
        <v>10.964478005785088</v>
      </c>
      <c r="V141">
        <f t="shared" ca="1" si="11"/>
        <v>5.1017315032691512E-3</v>
      </c>
    </row>
    <row r="142" spans="1:22">
      <c r="A142" s="170"/>
      <c r="B142" s="171">
        <v>-2.5457845528396139E-2</v>
      </c>
      <c r="C142" s="171">
        <v>2.3667658472617719</v>
      </c>
      <c r="D142" s="171">
        <v>6.368425350466822E-2</v>
      </c>
      <c r="E142" s="170">
        <v>0</v>
      </c>
      <c r="F142" s="170">
        <v>0</v>
      </c>
      <c r="G142" s="170">
        <v>-1.4990492230334603E-2</v>
      </c>
      <c r="H142" s="170">
        <v>0.14525704733164976</v>
      </c>
      <c r="I142" s="170">
        <v>0</v>
      </c>
      <c r="J142" s="170">
        <v>0</v>
      </c>
      <c r="K142" s="170">
        <v>-8.9700844372930258E-2</v>
      </c>
      <c r="L142">
        <v>2.803142180904064</v>
      </c>
      <c r="N142" s="172"/>
      <c r="O142" s="35">
        <f ca="1">MCond(OFFSET($B$12,(ROW(A131)-1)*4,0,3,3))</f>
        <v>79.914011691529879</v>
      </c>
      <c r="P142" s="35" t="str">
        <f ca="1">MCond(OFFSET($B$12,(ROW(B131)-1)*4,0,3,6))</f>
        <v>?</v>
      </c>
      <c r="Q142" s="35">
        <f ca="1">MCond(OFFSET($E$12,(ROW(C131)-1)*4,0,3,3))</f>
        <v>1</v>
      </c>
      <c r="R142" s="35">
        <f ca="1">MCond(OFFSET($I$12,(ROW(D131)-1)*4,0,3,3))</f>
        <v>3.1166314305849192</v>
      </c>
      <c r="S142">
        <v>130</v>
      </c>
      <c r="T142" s="35">
        <f ca="1">MCond(OFFSET($B$12,(ROW(A130)-1)*4,0,3,3))</f>
        <v>7.2055376032001162</v>
      </c>
      <c r="V142">
        <f t="shared" ref="V142:V205" ca="1" si="12">T142/$U$13</f>
        <v>3.3527102857829442E-3</v>
      </c>
    </row>
    <row r="143" spans="1:22">
      <c r="A143" s="170"/>
      <c r="B143" s="171"/>
      <c r="C143" s="171"/>
      <c r="D143" s="171"/>
      <c r="E143" s="170"/>
      <c r="F143" s="170"/>
      <c r="G143" s="170"/>
      <c r="H143" s="170"/>
      <c r="I143" s="170"/>
      <c r="J143" s="170"/>
      <c r="K143" s="170"/>
      <c r="N143" s="173"/>
      <c r="O143" s="35">
        <f ca="1">MCond(OFFSET($B$12,(ROW(A132)-1)*4,0,3,3))</f>
        <v>384.18771801649655</v>
      </c>
      <c r="P143" s="35" t="str">
        <f ca="1">MCond(OFFSET($B$12,(ROW(B132)-1)*4,0,3,6))</f>
        <v>?</v>
      </c>
      <c r="Q143" s="35">
        <f ca="1">MCond(OFFSET($E$12,(ROW(C132)-1)*4,0,3,3))</f>
        <v>1</v>
      </c>
      <c r="R143" s="35" t="str">
        <f ca="1">MCond(OFFSET($I$12,(ROW(D132)-1)*4,0,3,3))</f>
        <v>?</v>
      </c>
      <c r="S143">
        <v>131</v>
      </c>
      <c r="T143" s="35">
        <f ca="1">MCond(OFFSET($B$12,(ROW(A131)-1)*4,0,3,3))</f>
        <v>79.914011691529879</v>
      </c>
      <c r="V143">
        <f t="shared" ca="1" si="12"/>
        <v>3.7183697279905739E-2</v>
      </c>
    </row>
    <row r="144" spans="1:22">
      <c r="A144" s="170"/>
      <c r="B144" s="171">
        <v>1.4421025939282253</v>
      </c>
      <c r="C144" s="171">
        <v>1.0431877148697888</v>
      </c>
      <c r="D144" s="171">
        <v>0.78932433807079116</v>
      </c>
      <c r="E144" s="170">
        <v>-1.4990492230334603E-2</v>
      </c>
      <c r="F144" s="170">
        <v>0</v>
      </c>
      <c r="G144" s="170">
        <v>0</v>
      </c>
      <c r="H144" s="170">
        <v>0</v>
      </c>
      <c r="I144" s="170">
        <v>0</v>
      </c>
      <c r="J144" s="170">
        <v>0</v>
      </c>
      <c r="K144" s="170">
        <v>0</v>
      </c>
      <c r="L144">
        <v>1.8954667052703302</v>
      </c>
      <c r="N144" s="172"/>
      <c r="O144" s="35">
        <f ca="1">MCond(OFFSET($B$12,(ROW(A133)-1)*4,0,3,3))</f>
        <v>14.309656637068336</v>
      </c>
      <c r="P144" s="35" t="str">
        <f ca="1">MCond(OFFSET($B$12,(ROW(B133)-1)*4,0,3,6))</f>
        <v>?</v>
      </c>
      <c r="Q144" s="35">
        <f ca="1">MCond(OFFSET($E$12,(ROW(C133)-1)*4,0,3,3))</f>
        <v>1</v>
      </c>
      <c r="R144" s="35">
        <f ca="1">MCond(OFFSET($I$12,(ROW(D133)-1)*4,0,3,3))</f>
        <v>1.5367601986564421</v>
      </c>
      <c r="S144">
        <v>132</v>
      </c>
      <c r="T144" s="35">
        <f ca="1">MCond(OFFSET($B$12,(ROW(A132)-1)*4,0,3,3))</f>
        <v>384.18771801649655</v>
      </c>
      <c r="V144">
        <f t="shared" ca="1" si="12"/>
        <v>0.17876113966754248</v>
      </c>
    </row>
    <row r="145" spans="1:22">
      <c r="A145" s="170" t="s">
        <v>247</v>
      </c>
      <c r="B145" s="171">
        <v>0.58367185674448252</v>
      </c>
      <c r="C145" s="171">
        <v>2.0841504898711007</v>
      </c>
      <c r="D145" s="171">
        <v>0.75171422039661484</v>
      </c>
      <c r="E145" s="170">
        <v>0</v>
      </c>
      <c r="F145" s="170">
        <v>-1.4990492230334603E-2</v>
      </c>
      <c r="G145" s="170">
        <v>0</v>
      </c>
      <c r="H145" s="170">
        <v>0</v>
      </c>
      <c r="I145" s="170">
        <v>0</v>
      </c>
      <c r="J145" s="170">
        <v>0</v>
      </c>
      <c r="K145" s="170">
        <v>0</v>
      </c>
      <c r="L145">
        <v>2.6247151849659955</v>
      </c>
      <c r="N145" s="172">
        <f>MCond(B144:D146)</f>
        <v>13.812589110219603</v>
      </c>
      <c r="O145" s="35">
        <f ca="1">MCond(OFFSET($B$12,(ROW(A134)-1)*4,0,3,3))</f>
        <v>38.193455921208319</v>
      </c>
      <c r="P145" s="35" t="str">
        <f ca="1">MCond(OFFSET($B$12,(ROW(B134)-1)*4,0,3,6))</f>
        <v>?</v>
      </c>
      <c r="Q145" s="35">
        <f ca="1">MCond(OFFSET($E$12,(ROW(C134)-1)*4,0,3,3))</f>
        <v>1</v>
      </c>
      <c r="R145" s="35" t="str">
        <f ca="1">MCond(OFFSET($I$12,(ROW(D134)-1)*4,0,3,3))</f>
        <v>?</v>
      </c>
      <c r="S145">
        <v>133</v>
      </c>
      <c r="T145" s="35">
        <f ca="1">MCond(OFFSET($B$12,(ROW(A133)-1)*4,0,3,3))</f>
        <v>14.309656637068336</v>
      </c>
      <c r="V145">
        <f t="shared" ca="1" si="12"/>
        <v>6.6582308822889322E-3</v>
      </c>
    </row>
    <row r="146" spans="1:22">
      <c r="A146" s="170"/>
      <c r="B146" s="171">
        <v>-2.5457845528396139E-2</v>
      </c>
      <c r="C146" s="171">
        <v>2.3667658472617719</v>
      </c>
      <c r="D146" s="171">
        <v>6.368425350466822E-2</v>
      </c>
      <c r="E146" s="170">
        <v>0</v>
      </c>
      <c r="F146" s="170">
        <v>0</v>
      </c>
      <c r="G146" s="170">
        <v>-1.4990492230334603E-2</v>
      </c>
      <c r="H146" s="170">
        <v>0</v>
      </c>
      <c r="I146" s="170">
        <v>0</v>
      </c>
      <c r="J146" s="170">
        <v>0</v>
      </c>
      <c r="K146" s="170">
        <v>0</v>
      </c>
      <c r="L146">
        <v>2.803142180904064</v>
      </c>
      <c r="N146" s="172"/>
      <c r="O146" s="35">
        <f ca="1">MCond(OFFSET($B$12,(ROW(A135)-1)*4,0,3,3))</f>
        <v>6.2639720915040158</v>
      </c>
      <c r="P146" s="35" t="str">
        <f ca="1">MCond(OFFSET($B$12,(ROW(B135)-1)*4,0,3,6))</f>
        <v>?</v>
      </c>
      <c r="Q146" s="35">
        <f ca="1">MCond(OFFSET($E$12,(ROW(C135)-1)*4,0,3,3))</f>
        <v>1</v>
      </c>
      <c r="R146" s="35">
        <f ca="1">MCond(OFFSET($I$12,(ROW(D135)-1)*4,0,3,3))</f>
        <v>3.1166314305849192</v>
      </c>
      <c r="S146">
        <v>134</v>
      </c>
      <c r="T146" s="35">
        <f ca="1">MCond(OFFSET($B$12,(ROW(A134)-1)*4,0,3,3))</f>
        <v>38.193455921208319</v>
      </c>
      <c r="V146">
        <f t="shared" ca="1" si="12"/>
        <v>1.7771275311888244E-2</v>
      </c>
    </row>
    <row r="147" spans="1:22">
      <c r="A147" s="170"/>
      <c r="B147" s="171"/>
      <c r="C147" s="171"/>
      <c r="D147" s="171"/>
      <c r="E147" s="170"/>
      <c r="F147" s="170"/>
      <c r="G147" s="170"/>
      <c r="H147" s="170"/>
      <c r="I147" s="170"/>
      <c r="J147" s="170"/>
      <c r="K147" s="170"/>
      <c r="N147" s="173"/>
      <c r="O147" s="35">
        <f ca="1">MCond(OFFSET($B$12,(ROW(A136)-1)*4,0,3,3))</f>
        <v>7.9300802487334305</v>
      </c>
      <c r="P147" s="35" t="str">
        <f ca="1">MCond(OFFSET($B$12,(ROW(B136)-1)*4,0,3,6))</f>
        <v>?</v>
      </c>
      <c r="Q147" s="35">
        <f ca="1">MCond(OFFSET($E$12,(ROW(C136)-1)*4,0,3,3))</f>
        <v>1</v>
      </c>
      <c r="R147" s="35" t="str">
        <f ca="1">MCond(OFFSET($I$12,(ROW(D136)-1)*4,0,3,3))</f>
        <v>?</v>
      </c>
      <c r="S147">
        <v>135</v>
      </c>
      <c r="T147" s="35">
        <f ca="1">MCond(OFFSET($B$12,(ROW(A135)-1)*4,0,3,3))</f>
        <v>6.2639720915040158</v>
      </c>
      <c r="V147">
        <f t="shared" ca="1" si="12"/>
        <v>2.9146032978463322E-3</v>
      </c>
    </row>
    <row r="148" spans="1:22">
      <c r="A148" s="170"/>
      <c r="B148" s="171">
        <v>-1.0351585166444348</v>
      </c>
      <c r="C148" s="171">
        <v>2.1037449841221099</v>
      </c>
      <c r="D148" s="171">
        <v>0.82913701269133588</v>
      </c>
      <c r="E148" s="170">
        <v>-1.4990492230334603E-2</v>
      </c>
      <c r="F148" s="170">
        <v>0</v>
      </c>
      <c r="G148" s="170">
        <v>0</v>
      </c>
      <c r="H148" s="170">
        <v>0</v>
      </c>
      <c r="I148" s="170">
        <v>0</v>
      </c>
      <c r="J148" s="170">
        <v>0</v>
      </c>
      <c r="K148" s="170">
        <v>0</v>
      </c>
      <c r="L148">
        <v>3.0923821493075776</v>
      </c>
      <c r="N148" s="172"/>
      <c r="O148" s="35">
        <f ca="1">MCond(OFFSET($B$12,(ROW(A137)-1)*4,0,3,3))</f>
        <v>50.896502091007278</v>
      </c>
      <c r="P148" s="35" t="str">
        <f ca="1">MCond(OFFSET($B$12,(ROW(B137)-1)*4,0,3,6))</f>
        <v>?</v>
      </c>
      <c r="Q148" s="35">
        <f ca="1">MCond(OFFSET($E$12,(ROW(C137)-1)*4,0,3,3))</f>
        <v>1</v>
      </c>
      <c r="R148" s="35" t="str">
        <f ca="1">MCond(OFFSET($I$12,(ROW(D137)-1)*4,0,3,3))</f>
        <v>?</v>
      </c>
      <c r="S148">
        <v>136</v>
      </c>
      <c r="T148" s="35">
        <f ca="1">MCond(OFFSET($B$12,(ROW(A136)-1)*4,0,3,3))</f>
        <v>7.9300802487334305</v>
      </c>
      <c r="V148">
        <f t="shared" ca="1" si="12"/>
        <v>3.6898373280579138E-3</v>
      </c>
    </row>
    <row r="149" spans="1:22">
      <c r="A149" s="170" t="s">
        <v>248</v>
      </c>
      <c r="B149" s="171">
        <v>0.58367185674448252</v>
      </c>
      <c r="C149" s="171">
        <v>2.0841504898711007</v>
      </c>
      <c r="D149" s="171">
        <v>0.75171422039661484</v>
      </c>
      <c r="E149" s="170">
        <v>0</v>
      </c>
      <c r="F149" s="170">
        <v>-1.4990492230334603E-2</v>
      </c>
      <c r="G149" s="170">
        <v>0</v>
      </c>
      <c r="H149" s="170">
        <v>0</v>
      </c>
      <c r="I149" s="170">
        <v>0</v>
      </c>
      <c r="J149" s="170">
        <v>0</v>
      </c>
      <c r="K149" s="170">
        <v>0</v>
      </c>
      <c r="L149">
        <v>2.6247151849659955</v>
      </c>
      <c r="N149" s="172">
        <f>MCond(B148:D150)</f>
        <v>6.4227760464603234</v>
      </c>
      <c r="O149" s="35">
        <f ca="1">MCond(OFFSET($B$12,(ROW(A138)-1)*4,0,3,3))</f>
        <v>6.7566483524299317</v>
      </c>
      <c r="P149" s="35" t="str">
        <f ca="1">MCond(OFFSET($B$12,(ROW(B138)-1)*4,0,3,6))</f>
        <v>?</v>
      </c>
      <c r="Q149" s="35">
        <f ca="1">MCond(OFFSET($E$12,(ROW(C138)-1)*4,0,3,3))</f>
        <v>1</v>
      </c>
      <c r="R149" s="35">
        <f ca="1">MCond(OFFSET($I$12,(ROW(D138)-1)*4,0,3,3))</f>
        <v>2.6430840392331696</v>
      </c>
      <c r="S149">
        <v>137</v>
      </c>
      <c r="T149" s="35">
        <f ca="1">MCond(OFFSET($B$12,(ROW(A137)-1)*4,0,3,3))</f>
        <v>50.896502091007278</v>
      </c>
      <c r="V149">
        <f t="shared" ca="1" si="12"/>
        <v>2.368195622143561E-2</v>
      </c>
    </row>
    <row r="150" spans="1:22">
      <c r="A150" s="170"/>
      <c r="B150" s="171">
        <v>-2.5457845528396139E-2</v>
      </c>
      <c r="C150" s="171">
        <v>2.3667658472617719</v>
      </c>
      <c r="D150" s="171">
        <v>6.368425350466822E-2</v>
      </c>
      <c r="E150" s="170">
        <v>0</v>
      </c>
      <c r="F150" s="170">
        <v>0</v>
      </c>
      <c r="G150" s="170">
        <v>-1.4990492230334603E-2</v>
      </c>
      <c r="H150" s="170">
        <v>0</v>
      </c>
      <c r="I150" s="170">
        <v>0</v>
      </c>
      <c r="J150" s="170">
        <v>0</v>
      </c>
      <c r="K150" s="170">
        <v>0</v>
      </c>
      <c r="L150">
        <v>2.803142180904064</v>
      </c>
      <c r="N150" s="172"/>
      <c r="O150" s="35">
        <f ca="1">MCond(OFFSET($B$12,(ROW(A139)-1)*4,0,3,3))</f>
        <v>10.927909861320535</v>
      </c>
      <c r="P150" s="35" t="str">
        <f ca="1">MCond(OFFSET($B$12,(ROW(B139)-1)*4,0,3,6))</f>
        <v>?</v>
      </c>
      <c r="Q150" s="35">
        <f ca="1">MCond(OFFSET($E$12,(ROW(C139)-1)*4,0,3,3))</f>
        <v>1</v>
      </c>
      <c r="R150" s="35" t="str">
        <f ca="1">MCond(OFFSET($I$12,(ROW(D139)-1)*4,0,3,3))</f>
        <v>?</v>
      </c>
      <c r="S150">
        <v>138</v>
      </c>
      <c r="T150" s="35">
        <f ca="1">MCond(OFFSET($B$12,(ROW(A138)-1)*4,0,3,3))</f>
        <v>6.7566483524299317</v>
      </c>
      <c r="V150">
        <f t="shared" ca="1" si="12"/>
        <v>3.1438437596314189E-3</v>
      </c>
    </row>
    <row r="151" spans="1:22">
      <c r="A151" s="170"/>
      <c r="B151" s="170"/>
      <c r="C151" s="170"/>
      <c r="D151" s="170"/>
      <c r="E151" s="170"/>
      <c r="F151" s="170"/>
      <c r="G151" s="170"/>
      <c r="H151" s="170"/>
      <c r="I151" s="170"/>
      <c r="J151" s="170"/>
      <c r="K151" s="170"/>
      <c r="N151" s="173"/>
      <c r="O151" s="35">
        <f ca="1">MCond(OFFSET($B$12,(ROW(A140)-1)*4,0,3,3))</f>
        <v>5.9522483324166</v>
      </c>
      <c r="P151" s="35" t="str">
        <f ca="1">MCond(OFFSET($B$12,(ROW(B140)-1)*4,0,3,6))</f>
        <v>?</v>
      </c>
      <c r="Q151" s="35">
        <f ca="1">MCond(OFFSET($E$12,(ROW(C140)-1)*4,0,3,3))</f>
        <v>1</v>
      </c>
      <c r="R151" s="35" t="str">
        <f ca="1">MCond(OFFSET($I$12,(ROW(D140)-1)*4,0,3,3))</f>
        <v>?</v>
      </c>
      <c r="S151">
        <v>139</v>
      </c>
      <c r="T151" s="35">
        <f ca="1">MCond(OFFSET($B$12,(ROW(A139)-1)*4,0,3,3))</f>
        <v>10.927909861320535</v>
      </c>
      <c r="V151">
        <f t="shared" ca="1" si="12"/>
        <v>5.0847164794319494E-3</v>
      </c>
    </row>
    <row r="152" spans="1:22">
      <c r="A152" s="170"/>
      <c r="B152" s="171">
        <v>1.253875629566908</v>
      </c>
      <c r="C152" s="171">
        <v>3.2592166127769939E-2</v>
      </c>
      <c r="D152" s="171">
        <v>-0.73934661383723232</v>
      </c>
      <c r="E152" s="170">
        <v>-1.4990492230334603E-2</v>
      </c>
      <c r="F152" s="170">
        <v>0</v>
      </c>
      <c r="G152" s="170">
        <v>0</v>
      </c>
      <c r="H152" s="170">
        <v>0</v>
      </c>
      <c r="I152" s="170">
        <v>0</v>
      </c>
      <c r="J152" s="170">
        <v>0</v>
      </c>
      <c r="K152" s="170">
        <v>0</v>
      </c>
      <c r="L152">
        <v>1.0599498795536459</v>
      </c>
      <c r="N152" s="172"/>
      <c r="O152" s="35">
        <f ca="1">MCond(OFFSET($B$12,(ROW(A141)-1)*4,0,3,3))</f>
        <v>5.9241424686026916</v>
      </c>
      <c r="P152" s="35" t="str">
        <f ca="1">MCond(OFFSET($B$12,(ROW(B141)-1)*4,0,3,6))</f>
        <v>?</v>
      </c>
      <c r="Q152" s="35">
        <f ca="1">MCond(OFFSET($E$12,(ROW(C141)-1)*4,0,3,3))</f>
        <v>1</v>
      </c>
      <c r="R152" s="35" t="str">
        <f ca="1">MCond(OFFSET($I$12,(ROW(D141)-1)*4,0,3,3))</f>
        <v>?</v>
      </c>
      <c r="S152">
        <v>140</v>
      </c>
      <c r="T152" s="35">
        <f ca="1">MCond(OFFSET($B$12,(ROW(A140)-1)*4,0,3,3))</f>
        <v>5.9522483324166</v>
      </c>
      <c r="V152">
        <f t="shared" ca="1" si="12"/>
        <v>2.7695593731638566E-3</v>
      </c>
    </row>
    <row r="153" spans="1:22">
      <c r="A153" s="170" t="s">
        <v>249</v>
      </c>
      <c r="B153" s="171">
        <v>2.2957880185781296</v>
      </c>
      <c r="C153" s="171">
        <v>-8.2263663034425338E-3</v>
      </c>
      <c r="D153" s="171">
        <v>3.3137218009327896E-2</v>
      </c>
      <c r="E153" s="170">
        <v>0</v>
      </c>
      <c r="F153" s="170">
        <v>-1.4990492230334603E-2</v>
      </c>
      <c r="G153" s="170">
        <v>0</v>
      </c>
      <c r="H153" s="170">
        <v>0</v>
      </c>
      <c r="I153" s="170">
        <v>0</v>
      </c>
      <c r="J153" s="170">
        <v>0</v>
      </c>
      <c r="K153" s="170">
        <v>0</v>
      </c>
      <c r="L153">
        <v>2.6359041872834252</v>
      </c>
      <c r="N153" s="172">
        <f>MCond(B152:D154)</f>
        <v>4.0468810703453864</v>
      </c>
      <c r="O153" s="35">
        <f ca="1">MCond(OFFSET($B$12,(ROW(A142)-1)*4,0,3,3))</f>
        <v>10.502318144486368</v>
      </c>
      <c r="P153" s="35" t="str">
        <f ca="1">MCond(OFFSET($B$12,(ROW(B142)-1)*4,0,3,6))</f>
        <v>?</v>
      </c>
      <c r="Q153" s="35">
        <f ca="1">MCond(OFFSET($E$12,(ROW(C142)-1)*4,0,3,3))</f>
        <v>1</v>
      </c>
      <c r="R153" s="35" t="str">
        <f ca="1">MCond(OFFSET($I$12,(ROW(D142)-1)*4,0,3,3))</f>
        <v>?</v>
      </c>
      <c r="S153">
        <v>141</v>
      </c>
      <c r="T153" s="35">
        <f ca="1">MCond(OFFSET($B$12,(ROW(A141)-1)*4,0,3,3))</f>
        <v>5.9241424686026916</v>
      </c>
      <c r="V153">
        <f t="shared" ca="1" si="12"/>
        <v>2.7564818175547018E-3</v>
      </c>
    </row>
    <row r="154" spans="1:22">
      <c r="A154" s="170"/>
      <c r="B154" s="171">
        <v>-0.14897154656832046</v>
      </c>
      <c r="C154" s="171">
        <v>0.84725762547333594</v>
      </c>
      <c r="D154" s="171">
        <v>-1.9759438806851826E-2</v>
      </c>
      <c r="E154" s="170">
        <v>0</v>
      </c>
      <c r="F154" s="170">
        <v>0</v>
      </c>
      <c r="G154" s="170">
        <v>-1.4990492230334603E-2</v>
      </c>
      <c r="H154" s="170">
        <v>0</v>
      </c>
      <c r="I154" s="170">
        <v>0</v>
      </c>
      <c r="J154" s="170">
        <v>0</v>
      </c>
      <c r="K154" s="170">
        <v>0</v>
      </c>
      <c r="L154">
        <v>0.37021422051581732</v>
      </c>
      <c r="N154" s="172"/>
      <c r="O154" s="35">
        <f ca="1">MCond(OFFSET($B$12,(ROW(A143)-1)*4,0,3,3))</f>
        <v>7.0264412742510673</v>
      </c>
      <c r="P154" s="35" t="str">
        <f ca="1">MCond(OFFSET($B$12,(ROW(B143)-1)*4,0,3,6))</f>
        <v>?</v>
      </c>
      <c r="Q154" s="35">
        <f ca="1">MCond(OFFSET($E$12,(ROW(C143)-1)*4,0,3,3))</f>
        <v>1</v>
      </c>
      <c r="R154" s="35" t="str">
        <f ca="1">MCond(OFFSET($I$12,(ROW(D143)-1)*4,0,3,3))</f>
        <v>?</v>
      </c>
      <c r="S154">
        <v>142</v>
      </c>
      <c r="T154" s="35">
        <f ca="1">MCond(OFFSET($B$12,(ROW(A142)-1)*4,0,3,3))</f>
        <v>10.502318144486368</v>
      </c>
      <c r="V154">
        <f t="shared" ca="1" si="12"/>
        <v>4.8866902105883557E-3</v>
      </c>
    </row>
    <row r="155" spans="1:22">
      <c r="A155" s="170"/>
      <c r="B155" s="171"/>
      <c r="C155" s="171"/>
      <c r="D155" s="171"/>
      <c r="E155" s="170"/>
      <c r="F155" s="170"/>
      <c r="G155" s="170"/>
      <c r="H155" s="170"/>
      <c r="I155" s="170"/>
      <c r="J155" s="170"/>
      <c r="K155" s="170"/>
      <c r="N155" s="173"/>
      <c r="O155" s="35">
        <f ca="1">MCond(OFFSET($B$12,(ROW(A144)-1)*4,0,3,3))</f>
        <v>5.6287738318733966</v>
      </c>
      <c r="P155" s="35" t="str">
        <f ca="1">MCond(OFFSET($B$12,(ROW(B144)-1)*4,0,3,6))</f>
        <v>?</v>
      </c>
      <c r="Q155" s="35">
        <f ca="1">MCond(OFFSET($E$12,(ROW(C144)-1)*4,0,3,3))</f>
        <v>1</v>
      </c>
      <c r="R155" s="35" t="str">
        <f ca="1">MCond(OFFSET($I$12,(ROW(D144)-1)*4,0,3,3))</f>
        <v>?</v>
      </c>
      <c r="S155">
        <v>143</v>
      </c>
      <c r="T155" s="35">
        <f ca="1">MCond(OFFSET($B$12,(ROW(A143)-1)*4,0,3,3))</f>
        <v>7.0264412742510673</v>
      </c>
      <c r="V155">
        <f t="shared" ca="1" si="12"/>
        <v>3.2693774191351085E-3</v>
      </c>
    </row>
    <row r="156" spans="1:22">
      <c r="A156" s="170"/>
      <c r="B156" s="171">
        <v>1.253875629566908</v>
      </c>
      <c r="C156" s="171">
        <v>3.2592166127769939E-2</v>
      </c>
      <c r="D156" s="171">
        <v>-0.73934661383723232</v>
      </c>
      <c r="E156" s="170">
        <v>-1.4990492230334603E-2</v>
      </c>
      <c r="F156" s="170">
        <v>0</v>
      </c>
      <c r="G156" s="170">
        <v>0</v>
      </c>
      <c r="H156" s="170">
        <v>0</v>
      </c>
      <c r="I156" s="170">
        <v>0</v>
      </c>
      <c r="J156" s="170">
        <v>0</v>
      </c>
      <c r="K156" s="170">
        <v>0</v>
      </c>
      <c r="L156">
        <v>1.0599498795536459</v>
      </c>
      <c r="N156" s="172"/>
      <c r="O156" s="35">
        <f ca="1">MCond(OFFSET($B$12,(ROW(A145)-1)*4,0,3,3))</f>
        <v>4.9007064832167684</v>
      </c>
      <c r="P156" s="35" t="str">
        <f ca="1">MCond(OFFSET($B$12,(ROW(B145)-1)*4,0,3,6))</f>
        <v>?</v>
      </c>
      <c r="Q156" s="35">
        <f ca="1">MCond(OFFSET($E$12,(ROW(C145)-1)*4,0,3,3))</f>
        <v>1</v>
      </c>
      <c r="R156" s="35" t="str">
        <f ca="1">MCond(OFFSET($I$12,(ROW(D145)-1)*4,0,3,3))</f>
        <v>?</v>
      </c>
      <c r="S156">
        <v>144</v>
      </c>
      <c r="T156" s="35">
        <f ca="1">MCond(OFFSET($B$12,(ROW(A144)-1)*4,0,3,3))</f>
        <v>5.6287738318733966</v>
      </c>
      <c r="V156">
        <f t="shared" ca="1" si="12"/>
        <v>2.6190478714713189E-3</v>
      </c>
    </row>
    <row r="157" spans="1:22">
      <c r="A157" s="170" t="s">
        <v>250</v>
      </c>
      <c r="B157" s="171">
        <v>2.2957880185781296</v>
      </c>
      <c r="C157" s="171">
        <v>-8.2263663034425338E-3</v>
      </c>
      <c r="D157" s="171">
        <v>3.3137218009327896E-2</v>
      </c>
      <c r="E157" s="170">
        <v>0</v>
      </c>
      <c r="F157" s="170">
        <v>-1.4990492230334603E-2</v>
      </c>
      <c r="G157" s="170">
        <v>0</v>
      </c>
      <c r="H157" s="170">
        <v>0</v>
      </c>
      <c r="I157" s="170">
        <v>0</v>
      </c>
      <c r="J157" s="170">
        <v>0</v>
      </c>
      <c r="K157" s="170">
        <v>0</v>
      </c>
      <c r="L157">
        <v>2.6359041872834252</v>
      </c>
      <c r="N157" s="172">
        <f>MCond(B156:D158)</f>
        <v>6.5562246319096911</v>
      </c>
      <c r="O157" s="35">
        <f ca="1">MCond(OFFSET($B$12,(ROW(A146)-1)*4,0,3,3))</f>
        <v>6.5952649754803758</v>
      </c>
      <c r="P157" s="35" t="str">
        <f ca="1">MCond(OFFSET($B$12,(ROW(B146)-1)*4,0,3,6))</f>
        <v>?</v>
      </c>
      <c r="Q157" s="35">
        <f ca="1">MCond(OFFSET($E$12,(ROW(C146)-1)*4,0,3,3))</f>
        <v>1</v>
      </c>
      <c r="R157" s="35">
        <f ca="1">MCond(OFFSET($I$12,(ROW(D146)-1)*4,0,3,3))</f>
        <v>6.860137569603669</v>
      </c>
      <c r="S157">
        <v>145</v>
      </c>
      <c r="T157" s="35">
        <f ca="1">MCond(OFFSET($B$12,(ROW(A145)-1)*4,0,3,3))</f>
        <v>4.9007064832167684</v>
      </c>
      <c r="V157">
        <f t="shared" ca="1" si="12"/>
        <v>2.2802807977279661E-3</v>
      </c>
    </row>
    <row r="158" spans="1:22">
      <c r="A158" s="170"/>
      <c r="B158" s="171">
        <v>2.6959782234951333</v>
      </c>
      <c r="C158" s="171">
        <v>1.0757798809975587</v>
      </c>
      <c r="D158" s="171">
        <v>4.997772423355884E-2</v>
      </c>
      <c r="E158" s="170">
        <v>0</v>
      </c>
      <c r="F158" s="170">
        <v>0</v>
      </c>
      <c r="G158" s="170">
        <v>-1.4990492230334603E-2</v>
      </c>
      <c r="H158" s="170">
        <v>0</v>
      </c>
      <c r="I158" s="170">
        <v>0</v>
      </c>
      <c r="J158" s="170">
        <v>0</v>
      </c>
      <c r="K158" s="170">
        <v>0</v>
      </c>
      <c r="L158">
        <v>4.2140493534193304</v>
      </c>
      <c r="N158" s="172"/>
      <c r="O158" s="35">
        <f ca="1">MCond(OFFSET($B$12,(ROW(A147)-1)*4,0,3,3))</f>
        <v>6.7148325139077363</v>
      </c>
      <c r="P158" s="35" t="str">
        <f ca="1">MCond(OFFSET($B$12,(ROW(B147)-1)*4,0,3,6))</f>
        <v>?</v>
      </c>
      <c r="Q158" s="35">
        <f ca="1">MCond(OFFSET($E$12,(ROW(C147)-1)*4,0,3,3))</f>
        <v>1</v>
      </c>
      <c r="R158" s="35">
        <f ca="1">MCond(OFFSET($I$12,(ROW(D147)-1)*4,0,3,3))</f>
        <v>3.1166314305849192</v>
      </c>
      <c r="S158">
        <v>146</v>
      </c>
      <c r="T158" s="35">
        <f ca="1">MCond(OFFSET($B$12,(ROW(A146)-1)*4,0,3,3))</f>
        <v>6.5952649754803758</v>
      </c>
      <c r="V158">
        <f t="shared" ca="1" si="12"/>
        <v>3.0687526647472756E-3</v>
      </c>
    </row>
    <row r="159" spans="1:22">
      <c r="A159" s="170"/>
      <c r="B159" s="171"/>
      <c r="C159" s="171"/>
      <c r="D159" s="171"/>
      <c r="E159" s="170"/>
      <c r="F159" s="170"/>
      <c r="G159" s="170"/>
      <c r="H159" s="170"/>
      <c r="I159" s="170"/>
      <c r="J159" s="170"/>
      <c r="K159" s="170"/>
      <c r="N159" s="173"/>
      <c r="O159" s="35">
        <f ca="1">MCond(OFFSET($B$12,(ROW(A148)-1)*4,0,3,3))</f>
        <v>7.0402993519910142</v>
      </c>
      <c r="P159" s="35" t="str">
        <f ca="1">MCond(OFFSET($B$12,(ROW(B148)-1)*4,0,3,6))</f>
        <v>?</v>
      </c>
      <c r="Q159" s="35">
        <f ca="1">MCond(OFFSET($E$12,(ROW(C148)-1)*4,0,3,3))</f>
        <v>1</v>
      </c>
      <c r="R159" s="35" t="str">
        <f ca="1">MCond(OFFSET($I$12,(ROW(D148)-1)*4,0,3,3))</f>
        <v>?</v>
      </c>
      <c r="S159">
        <v>147</v>
      </c>
      <c r="T159" s="35">
        <f ca="1">MCond(OFFSET($B$12,(ROW(A147)-1)*4,0,3,3))</f>
        <v>6.7148325139077363</v>
      </c>
      <c r="V159">
        <f t="shared" ca="1" si="12"/>
        <v>3.12438700294754E-3</v>
      </c>
    </row>
    <row r="160" spans="1:22">
      <c r="A160" s="170"/>
      <c r="B160" s="171">
        <v>1.253875629566908</v>
      </c>
      <c r="C160" s="171">
        <v>3.2592166127769939E-2</v>
      </c>
      <c r="D160" s="171">
        <v>-0.73934661383723232</v>
      </c>
      <c r="E160" s="170">
        <v>-1.4990492230334603E-2</v>
      </c>
      <c r="F160" s="170">
        <v>0</v>
      </c>
      <c r="G160" s="170">
        <v>0</v>
      </c>
      <c r="H160" s="170">
        <v>0</v>
      </c>
      <c r="I160" s="170">
        <v>0</v>
      </c>
      <c r="J160" s="170">
        <v>0</v>
      </c>
      <c r="K160" s="170">
        <v>0</v>
      </c>
      <c r="L160">
        <v>1.0599498795536459</v>
      </c>
      <c r="N160" s="172"/>
      <c r="O160" s="35">
        <f ca="1">MCond(OFFSET($B$12,(ROW(A149)-1)*4,0,3,3))</f>
        <v>14.088858695576636</v>
      </c>
      <c r="P160" s="35" t="str">
        <f ca="1">MCond(OFFSET($B$12,(ROW(B149)-1)*4,0,3,6))</f>
        <v>?</v>
      </c>
      <c r="Q160" s="35">
        <f ca="1">MCond(OFFSET($E$12,(ROW(C149)-1)*4,0,3,3))</f>
        <v>1</v>
      </c>
      <c r="R160" s="35">
        <f ca="1">MCond(OFFSET($I$12,(ROW(D149)-1)*4,0,3,3))</f>
        <v>2.4885523706508024</v>
      </c>
      <c r="S160">
        <v>148</v>
      </c>
      <c r="T160" s="35">
        <f ca="1">MCond(OFFSET($B$12,(ROW(A148)-1)*4,0,3,3))</f>
        <v>7.0402993519910142</v>
      </c>
      <c r="V160">
        <f t="shared" ca="1" si="12"/>
        <v>3.2758255320086385E-3</v>
      </c>
    </row>
    <row r="161" spans="1:22">
      <c r="A161" s="170" t="s">
        <v>251</v>
      </c>
      <c r="B161" s="171">
        <v>2.2957880185781296</v>
      </c>
      <c r="C161" s="171">
        <v>-8.2263663034425338E-3</v>
      </c>
      <c r="D161" s="171">
        <v>3.3137218009327896E-2</v>
      </c>
      <c r="E161" s="170">
        <v>0</v>
      </c>
      <c r="F161" s="170">
        <v>-1.4990492230334603E-2</v>
      </c>
      <c r="G161" s="170">
        <v>0</v>
      </c>
      <c r="H161" s="170">
        <v>0</v>
      </c>
      <c r="I161" s="170">
        <v>0</v>
      </c>
      <c r="J161" s="170">
        <v>0</v>
      </c>
      <c r="K161" s="170">
        <v>0</v>
      </c>
      <c r="L161">
        <v>2.6359041872834252</v>
      </c>
      <c r="N161" s="172">
        <f>MCond(B160:D162)</f>
        <v>4.0319098330014373</v>
      </c>
      <c r="O161" s="35">
        <f ca="1">MCond(OFFSET($B$12,(ROW(A150)-1)*4,0,3,3))</f>
        <v>10.969037156132696</v>
      </c>
      <c r="P161" s="35" t="str">
        <f ca="1">MCond(OFFSET($B$12,(ROW(B150)-1)*4,0,3,6))</f>
        <v>?</v>
      </c>
      <c r="Q161" s="35">
        <f ca="1">MCond(OFFSET($E$12,(ROW(C150)-1)*4,0,3,3))</f>
        <v>1</v>
      </c>
      <c r="R161" s="35">
        <f ca="1">MCond(OFFSET($I$12,(ROW(D150)-1)*4,0,3,3))</f>
        <v>8.591549295774648</v>
      </c>
      <c r="S161">
        <v>149</v>
      </c>
      <c r="T161" s="35">
        <f ca="1">MCond(OFFSET($B$12,(ROW(A149)-1)*4,0,3,3))</f>
        <v>14.088858695576636</v>
      </c>
      <c r="V161">
        <f t="shared" ca="1" si="12"/>
        <v>6.5554944078876111E-3</v>
      </c>
    </row>
    <row r="162" spans="1:22">
      <c r="A162" s="170"/>
      <c r="B162" s="171">
        <v>0.21871711292247331</v>
      </c>
      <c r="C162" s="171">
        <v>2.1363371502498802</v>
      </c>
      <c r="D162" s="171">
        <v>8.9790398854103559E-2</v>
      </c>
      <c r="E162" s="170">
        <v>0</v>
      </c>
      <c r="F162" s="170">
        <v>0</v>
      </c>
      <c r="G162" s="170">
        <v>-1.4990492230334603E-2</v>
      </c>
      <c r="H162" s="170">
        <v>0</v>
      </c>
      <c r="I162" s="170">
        <v>0</v>
      </c>
      <c r="J162" s="170">
        <v>0</v>
      </c>
      <c r="K162" s="170">
        <v>0</v>
      </c>
      <c r="L162">
        <v>2.3099179553746505</v>
      </c>
      <c r="N162" s="172"/>
      <c r="O162" s="35">
        <f ca="1">MCond(OFFSET($B$12,(ROW(A151)-1)*4,0,3,3))</f>
        <v>6.9688671966435978</v>
      </c>
      <c r="P162" s="35" t="str">
        <f ca="1">MCond(OFFSET($B$12,(ROW(B151)-1)*4,0,3,6))</f>
        <v>?</v>
      </c>
      <c r="Q162" s="35">
        <f ca="1">MCond(OFFSET($E$12,(ROW(C151)-1)*4,0,3,3))</f>
        <v>1</v>
      </c>
      <c r="R162" s="35" t="str">
        <f ca="1">MCond(OFFSET($I$12,(ROW(D151)-1)*4,0,3,3))</f>
        <v>?</v>
      </c>
      <c r="S162">
        <v>150</v>
      </c>
      <c r="T162" s="35">
        <f ca="1">MCond(OFFSET($B$12,(ROW(A150)-1)*4,0,3,3))</f>
        <v>10.969037156132696</v>
      </c>
      <c r="V162">
        <f t="shared" ca="1" si="12"/>
        <v>5.1038528592465418E-3</v>
      </c>
    </row>
    <row r="163" spans="1:22">
      <c r="A163" s="170"/>
      <c r="B163" s="171"/>
      <c r="C163" s="171"/>
      <c r="D163" s="171"/>
      <c r="E163" s="170"/>
      <c r="F163" s="170"/>
      <c r="G163" s="170"/>
      <c r="H163" s="170"/>
      <c r="I163" s="170"/>
      <c r="J163" s="170"/>
      <c r="K163" s="170"/>
      <c r="N163" s="173"/>
      <c r="O163" s="35">
        <f ca="1">MCond(OFFSET($B$12,(ROW(A152)-1)*4,0,3,3))</f>
        <v>4.4471433415054369</v>
      </c>
      <c r="P163" s="35" t="str">
        <f ca="1">MCond(OFFSET($B$12,(ROW(B152)-1)*4,0,3,6))</f>
        <v>?</v>
      </c>
      <c r="Q163" s="35">
        <f ca="1">MCond(OFFSET($E$12,(ROW(C152)-1)*4,0,3,3))</f>
        <v>1</v>
      </c>
      <c r="R163" s="35">
        <f ca="1">MCond(OFFSET($I$12,(ROW(D152)-1)*4,0,3,3))</f>
        <v>6.860137569603669</v>
      </c>
      <c r="S163">
        <v>151</v>
      </c>
      <c r="T163" s="35">
        <f ca="1">MCond(OFFSET($B$12,(ROW(A151)-1)*4,0,3,3))</f>
        <v>6.9688671966435978</v>
      </c>
      <c r="V163">
        <f t="shared" ca="1" si="12"/>
        <v>3.2425884114553345E-3</v>
      </c>
    </row>
    <row r="164" spans="1:22">
      <c r="A164" s="170"/>
      <c r="B164" s="171">
        <v>1.253875629566908</v>
      </c>
      <c r="C164" s="171">
        <v>3.2592166127769939E-2</v>
      </c>
      <c r="D164" s="171">
        <v>-0.73934661383723232</v>
      </c>
      <c r="E164" s="170">
        <v>-1.4990492230334603E-2</v>
      </c>
      <c r="F164" s="170">
        <v>0</v>
      </c>
      <c r="G164" s="170">
        <v>0</v>
      </c>
      <c r="H164" s="170">
        <v>0</v>
      </c>
      <c r="I164" s="170">
        <v>0</v>
      </c>
      <c r="J164" s="170">
        <v>0</v>
      </c>
      <c r="K164" s="170">
        <v>0</v>
      </c>
      <c r="L164">
        <v>1.0599498795536459</v>
      </c>
      <c r="N164" s="172"/>
      <c r="O164" s="35">
        <f ca="1">MCond(OFFSET($B$12,(ROW(A153)-1)*4,0,3,3))</f>
        <v>10.911698904326556</v>
      </c>
      <c r="P164" s="35" t="str">
        <f ca="1">MCond(OFFSET($B$12,(ROW(B153)-1)*4,0,3,6))</f>
        <v>?</v>
      </c>
      <c r="Q164" s="35">
        <f ca="1">MCond(OFFSET($E$12,(ROW(C153)-1)*4,0,3,3))</f>
        <v>1</v>
      </c>
      <c r="R164" s="35" t="str">
        <f ca="1">MCond(OFFSET($I$12,(ROW(D153)-1)*4,0,3,3))</f>
        <v>?</v>
      </c>
      <c r="S164">
        <v>152</v>
      </c>
      <c r="T164" s="35">
        <f ca="1">MCond(OFFSET($B$12,(ROW(A152)-1)*4,0,3,3))</f>
        <v>4.4471433415054369</v>
      </c>
      <c r="V164">
        <f t="shared" ca="1" si="12"/>
        <v>2.0692395272206483E-3</v>
      </c>
    </row>
    <row r="165" spans="1:22">
      <c r="A165" s="170" t="s">
        <v>252</v>
      </c>
      <c r="B165" s="171">
        <v>2.2957880185781296</v>
      </c>
      <c r="C165" s="171">
        <v>-8.2263663034425338E-3</v>
      </c>
      <c r="D165" s="171">
        <v>3.3137218009327896E-2</v>
      </c>
      <c r="E165" s="170">
        <v>0</v>
      </c>
      <c r="F165" s="170">
        <v>-1.4990492230334603E-2</v>
      </c>
      <c r="G165" s="170">
        <v>0</v>
      </c>
      <c r="H165" s="170">
        <v>0</v>
      </c>
      <c r="I165" s="170">
        <v>0</v>
      </c>
      <c r="J165" s="170">
        <v>0</v>
      </c>
      <c r="K165" s="170">
        <v>0</v>
      </c>
      <c r="L165">
        <v>2.6359041872834252</v>
      </c>
      <c r="N165" s="172">
        <f>MCond(B164:D166)</f>
        <v>5.3172710655545243</v>
      </c>
      <c r="O165" s="35">
        <f ca="1">MCond(OFFSET($B$12,(ROW(A154)-1)*4,0,3,3))</f>
        <v>4.5861496106463111</v>
      </c>
      <c r="P165" s="35" t="str">
        <f ca="1">MCond(OFFSET($B$12,(ROW(B154)-1)*4,0,3,6))</f>
        <v>?</v>
      </c>
      <c r="Q165" s="35">
        <f ca="1">MCond(OFFSET($E$12,(ROW(C154)-1)*4,0,3,3))</f>
        <v>1</v>
      </c>
      <c r="R165" s="35">
        <f ca="1">MCond(OFFSET($I$12,(ROW(D154)-1)*4,0,3,3))</f>
        <v>2.0280531948378977</v>
      </c>
      <c r="S165">
        <v>153</v>
      </c>
      <c r="T165" s="35">
        <f ca="1">MCond(OFFSET($B$12,(ROW(A153)-1)*4,0,3,3))</f>
        <v>10.911698904326556</v>
      </c>
      <c r="V165">
        <f t="shared" ca="1" si="12"/>
        <v>5.0771735804493734E-3</v>
      </c>
    </row>
    <row r="166" spans="1:22">
      <c r="A166" s="170"/>
      <c r="B166" s="171">
        <v>1.8375474863113905</v>
      </c>
      <c r="C166" s="171">
        <v>2.1167426559988707</v>
      </c>
      <c r="D166" s="171">
        <v>1.2367606559382516E-2</v>
      </c>
      <c r="E166" s="170">
        <v>0</v>
      </c>
      <c r="F166" s="170">
        <v>0</v>
      </c>
      <c r="G166" s="170">
        <v>-1.4990492230334603E-2</v>
      </c>
      <c r="H166" s="170">
        <v>0</v>
      </c>
      <c r="I166" s="170">
        <v>0</v>
      </c>
      <c r="J166" s="170">
        <v>0</v>
      </c>
      <c r="K166" s="170">
        <v>0</v>
      </c>
      <c r="L166">
        <v>3.9286665969332351</v>
      </c>
      <c r="N166" s="172"/>
      <c r="O166" s="35">
        <f ca="1">MCond(OFFSET($B$12,(ROW(A155)-1)*4,0,3,3))</f>
        <v>9.3131735466476471</v>
      </c>
      <c r="P166" s="35" t="str">
        <f ca="1">MCond(OFFSET($B$12,(ROW(B155)-1)*4,0,3,6))</f>
        <v>?</v>
      </c>
      <c r="Q166" s="35">
        <f ca="1">MCond(OFFSET($E$12,(ROW(C155)-1)*4,0,3,3))</f>
        <v>1</v>
      </c>
      <c r="R166" s="35" t="str">
        <f ca="1">MCond(OFFSET($I$12,(ROW(D155)-1)*4,0,3,3))</f>
        <v>?</v>
      </c>
      <c r="S166">
        <v>154</v>
      </c>
      <c r="T166" s="35">
        <f ca="1">MCond(OFFSET($B$12,(ROW(A154)-1)*4,0,3,3))</f>
        <v>4.5861496106463111</v>
      </c>
      <c r="V166">
        <f t="shared" ca="1" si="12"/>
        <v>2.1339186357065909E-3</v>
      </c>
    </row>
    <row r="167" spans="1:22">
      <c r="A167" s="170"/>
      <c r="B167" s="171"/>
      <c r="C167" s="171"/>
      <c r="D167" s="171"/>
      <c r="E167" s="170"/>
      <c r="F167" s="170"/>
      <c r="G167" s="170"/>
      <c r="H167" s="170"/>
      <c r="I167" s="170"/>
      <c r="J167" s="170"/>
      <c r="K167" s="170"/>
      <c r="N167" s="173"/>
      <c r="O167" s="35">
        <f ca="1">MCond(OFFSET($B$12,(ROW(A156)-1)*4,0,3,3))</f>
        <v>286.9294314386575</v>
      </c>
      <c r="P167" s="35" t="str">
        <f ca="1">MCond(OFFSET($B$12,(ROW(B156)-1)*4,0,3,6))</f>
        <v>?</v>
      </c>
      <c r="Q167" s="35">
        <f ca="1">MCond(OFFSET($E$12,(ROW(C156)-1)*4,0,3,3))</f>
        <v>1</v>
      </c>
      <c r="R167" s="35" t="str">
        <f ca="1">MCond(OFFSET($I$12,(ROW(D156)-1)*4,0,3,3))</f>
        <v>?</v>
      </c>
      <c r="S167">
        <v>155</v>
      </c>
      <c r="T167" s="35">
        <f ca="1">MCond(OFFSET($B$12,(ROW(A155)-1)*4,0,3,3))</f>
        <v>9.3131735466476471</v>
      </c>
      <c r="V167">
        <f t="shared" ca="1" si="12"/>
        <v>4.3333855796214085E-3</v>
      </c>
    </row>
    <row r="168" spans="1:22">
      <c r="A168" s="170"/>
      <c r="B168" s="171">
        <v>1.253875629566908</v>
      </c>
      <c r="C168" s="171">
        <v>3.2592166127769939E-2</v>
      </c>
      <c r="D168" s="171">
        <v>-0.73934661383723232</v>
      </c>
      <c r="E168" s="170">
        <v>-1.4990492230334603E-2</v>
      </c>
      <c r="F168" s="170">
        <v>0</v>
      </c>
      <c r="G168" s="170">
        <v>0</v>
      </c>
      <c r="H168" s="170">
        <v>0</v>
      </c>
      <c r="I168" s="170">
        <v>0</v>
      </c>
      <c r="J168" s="170">
        <v>0</v>
      </c>
      <c r="K168" s="170">
        <v>0</v>
      </c>
      <c r="L168">
        <v>1.0599498795536459</v>
      </c>
      <c r="N168" s="172"/>
      <c r="O168" s="35">
        <f ca="1">MCond(OFFSET($B$12,(ROW(A157)-1)*4,0,3,3))</f>
        <v>155.61168544988374</v>
      </c>
      <c r="P168" s="35" t="str">
        <f ca="1">MCond(OFFSET($B$12,(ROW(B157)-1)*4,0,3,6))</f>
        <v>?</v>
      </c>
      <c r="Q168" s="35">
        <f ca="1">MCond(OFFSET($E$12,(ROW(C157)-1)*4,0,3,3))</f>
        <v>1</v>
      </c>
      <c r="R168" s="35" t="str">
        <f ca="1">MCond(OFFSET($I$12,(ROW(D157)-1)*4,0,3,3))</f>
        <v>?</v>
      </c>
      <c r="S168">
        <v>156</v>
      </c>
      <c r="T168" s="35">
        <f ca="1">MCond(OFFSET($B$12,(ROW(A156)-1)*4,0,3,3))</f>
        <v>286.9294314386575</v>
      </c>
      <c r="V168">
        <f t="shared" ca="1" si="12"/>
        <v>0.13350721473592761</v>
      </c>
    </row>
    <row r="169" spans="1:22">
      <c r="A169" s="170" t="s">
        <v>253</v>
      </c>
      <c r="B169" s="171">
        <v>2.2957880185781296</v>
      </c>
      <c r="C169" s="171">
        <v>-8.2263663034425338E-3</v>
      </c>
      <c r="D169" s="171">
        <v>3.3137218009327896E-2</v>
      </c>
      <c r="E169" s="170">
        <v>0</v>
      </c>
      <c r="F169" s="170">
        <v>-1.4990492230334603E-2</v>
      </c>
      <c r="G169" s="170">
        <v>0</v>
      </c>
      <c r="H169" s="170">
        <v>0</v>
      </c>
      <c r="I169" s="170">
        <v>0</v>
      </c>
      <c r="J169" s="170">
        <v>0</v>
      </c>
      <c r="K169" s="170">
        <v>0</v>
      </c>
      <c r="L169">
        <v>2.6359041872834252</v>
      </c>
      <c r="N169" s="172">
        <f>MCond(B168:D170)</f>
        <v>5.1746470606257837</v>
      </c>
      <c r="O169" s="35">
        <f ca="1">MCond(OFFSET($B$12,(ROW(A158)-1)*4,0,3,3))</f>
        <v>159.28604006876967</v>
      </c>
      <c r="P169" s="35" t="str">
        <f ca="1">MCond(OFFSET($B$12,(ROW(B158)-1)*4,0,3,6))</f>
        <v>?</v>
      </c>
      <c r="Q169" s="35">
        <f ca="1">MCond(OFFSET($E$12,(ROW(C158)-1)*4,0,3,3))</f>
        <v>1</v>
      </c>
      <c r="R169" s="35" t="str">
        <f ca="1">MCond(OFFSET($I$12,(ROW(D158)-1)*4,0,3,3))</f>
        <v>?</v>
      </c>
      <c r="S169">
        <v>157</v>
      </c>
      <c r="T169" s="35">
        <f ca="1">MCond(OFFSET($B$12,(ROW(A157)-1)*4,0,3,3))</f>
        <v>155.61168544988374</v>
      </c>
      <c r="V169">
        <f t="shared" ca="1" si="12"/>
        <v>7.2405547944700083E-2</v>
      </c>
    </row>
    <row r="170" spans="1:22">
      <c r="A170" s="170"/>
      <c r="B170" s="171">
        <v>1.2284177840385118</v>
      </c>
      <c r="C170" s="171">
        <v>2.3993580133895418</v>
      </c>
      <c r="D170" s="171">
        <v>-0.6756623603325641</v>
      </c>
      <c r="E170" s="170">
        <v>0</v>
      </c>
      <c r="F170" s="170">
        <v>0</v>
      </c>
      <c r="G170" s="170">
        <v>-1.4990492230334603E-2</v>
      </c>
      <c r="H170" s="170">
        <v>0</v>
      </c>
      <c r="I170" s="170">
        <v>0</v>
      </c>
      <c r="J170" s="170">
        <v>0</v>
      </c>
      <c r="K170" s="170">
        <v>0</v>
      </c>
      <c r="L170">
        <v>3.8612243768644339</v>
      </c>
      <c r="N170" s="172"/>
      <c r="O170" s="35">
        <f ca="1">MCond(OFFSET($B$12,(ROW(A159)-1)*4,0,3,3))</f>
        <v>11.339490785679912</v>
      </c>
      <c r="P170" s="35" t="str">
        <f ca="1">MCond(OFFSET($B$12,(ROW(B159)-1)*4,0,3,6))</f>
        <v>?</v>
      </c>
      <c r="Q170" s="35">
        <f ca="1">MCond(OFFSET($E$12,(ROW(C159)-1)*4,0,3,3))</f>
        <v>1</v>
      </c>
      <c r="R170" s="35" t="str">
        <f ca="1">MCond(OFFSET($I$12,(ROW(D159)-1)*4,0,3,3))</f>
        <v>?</v>
      </c>
      <c r="S170">
        <v>158</v>
      </c>
      <c r="T170" s="35">
        <f ca="1">MCond(OFFSET($B$12,(ROW(A158)-1)*4,0,3,3))</f>
        <v>159.28604006876967</v>
      </c>
      <c r="V170">
        <f t="shared" ca="1" si="12"/>
        <v>7.4115211706482664E-2</v>
      </c>
    </row>
    <row r="171" spans="1:22">
      <c r="A171" s="170"/>
      <c r="B171" s="171"/>
      <c r="C171" s="171"/>
      <c r="D171" s="171"/>
      <c r="E171" s="170"/>
      <c r="F171" s="170"/>
      <c r="G171" s="170"/>
      <c r="H171" s="170"/>
      <c r="I171" s="170"/>
      <c r="J171" s="170"/>
      <c r="K171" s="170"/>
      <c r="N171" s="173"/>
      <c r="O171" s="35">
        <f ca="1">MCond(OFFSET($B$12,(ROW(A160)-1)*4,0,3,3))</f>
        <v>107.5399530016923</v>
      </c>
      <c r="P171" s="35" t="str">
        <f ca="1">MCond(OFFSET($B$12,(ROW(B160)-1)*4,0,3,6))</f>
        <v>?</v>
      </c>
      <c r="Q171" s="35">
        <f ca="1">MCond(OFFSET($E$12,(ROW(C160)-1)*4,0,3,3))</f>
        <v>1</v>
      </c>
      <c r="R171" s="35" t="str">
        <f ca="1">MCond(OFFSET($I$12,(ROW(D160)-1)*4,0,3,3))</f>
        <v>?</v>
      </c>
      <c r="S171">
        <v>159</v>
      </c>
      <c r="T171" s="35">
        <f ca="1">MCond(OFFSET($B$12,(ROW(A159)-1)*4,0,3,3))</f>
        <v>11.339490785679912</v>
      </c>
      <c r="V171">
        <f t="shared" ca="1" si="12"/>
        <v>5.2762235777945882E-3</v>
      </c>
    </row>
    <row r="172" spans="1:22">
      <c r="A172" s="170"/>
      <c r="B172" s="171">
        <v>1.253875629566908</v>
      </c>
      <c r="C172" s="171">
        <v>3.2592166127769939E-2</v>
      </c>
      <c r="D172" s="171">
        <v>-0.73934661383723232</v>
      </c>
      <c r="E172" s="170">
        <v>-1.4990492230334603E-2</v>
      </c>
      <c r="F172" s="170">
        <v>0</v>
      </c>
      <c r="G172" s="170">
        <v>0</v>
      </c>
      <c r="H172" s="170">
        <v>0</v>
      </c>
      <c r="I172" s="170">
        <v>0</v>
      </c>
      <c r="J172" s="170">
        <v>0</v>
      </c>
      <c r="K172" s="170">
        <v>0</v>
      </c>
      <c r="L172">
        <v>1.0599498795536459</v>
      </c>
      <c r="N172" s="172"/>
      <c r="O172" s="35">
        <f ca="1">MCond(OFFSET($B$12,(ROW(A161)-1)*4,0,3,3))</f>
        <v>2149.1679832149403</v>
      </c>
      <c r="P172" s="35" t="str">
        <f ca="1">MCond(OFFSET($B$12,(ROW(B161)-1)*4,0,3,6))</f>
        <v>?</v>
      </c>
      <c r="Q172" s="35">
        <f ca="1">MCond(OFFSET($E$12,(ROW(C161)-1)*4,0,3,3))</f>
        <v>1</v>
      </c>
      <c r="R172" s="35" t="str">
        <f ca="1">MCond(OFFSET($I$12,(ROW(D161)-1)*4,0,3,3))</f>
        <v>?</v>
      </c>
      <c r="S172">
        <v>160</v>
      </c>
      <c r="T172" s="35">
        <f ca="1">MCond(OFFSET($B$12,(ROW(A160)-1)*4,0,3,3))</f>
        <v>107.5399530016923</v>
      </c>
      <c r="V172">
        <f t="shared" ca="1" si="12"/>
        <v>5.0037946703832471E-2</v>
      </c>
    </row>
    <row r="173" spans="1:22">
      <c r="A173" s="170" t="s">
        <v>254</v>
      </c>
      <c r="B173" s="171">
        <v>-0.14897154656832046</v>
      </c>
      <c r="C173" s="171">
        <v>0.84725762547333594</v>
      </c>
      <c r="D173" s="171">
        <v>-1.9759438806851826E-2</v>
      </c>
      <c r="E173" s="170">
        <v>0</v>
      </c>
      <c r="F173" s="170">
        <v>-1.4990492230334603E-2</v>
      </c>
      <c r="G173" s="170">
        <v>0</v>
      </c>
      <c r="H173" s="170">
        <v>0</v>
      </c>
      <c r="I173" s="170">
        <v>0</v>
      </c>
      <c r="J173" s="170">
        <v>0</v>
      </c>
      <c r="K173" s="170">
        <v>0</v>
      </c>
      <c r="L173">
        <v>0.37021422051581732</v>
      </c>
      <c r="N173" s="172">
        <f>MCond(B172:D174)</f>
        <v>5.3206171986713269</v>
      </c>
      <c r="O173" s="35">
        <f ca="1">MCond(OFFSET($B$12,(ROW(A162)-1)*4,0,3,3))</f>
        <v>19.571411138788417</v>
      </c>
      <c r="P173" s="35" t="str">
        <f ca="1">MCond(OFFSET($B$12,(ROW(B162)-1)*4,0,3,6))</f>
        <v>?</v>
      </c>
      <c r="Q173" s="35">
        <f ca="1">MCond(OFFSET($E$12,(ROW(C162)-1)*4,0,3,3))</f>
        <v>1</v>
      </c>
      <c r="R173" s="35" t="str">
        <f ca="1">MCond(OFFSET($I$12,(ROW(D162)-1)*4,0,3,3))</f>
        <v>?</v>
      </c>
      <c r="S173">
        <v>161</v>
      </c>
      <c r="T173" s="35">
        <f ca="1">MCond(OFFSET($B$12,(ROW(A161)-1)*4,0,3,3))</f>
        <v>2149.1679832149403</v>
      </c>
      <c r="V173">
        <f t="shared" ca="1" si="12"/>
        <v>1</v>
      </c>
    </row>
    <row r="174" spans="1:22">
      <c r="A174" s="170"/>
      <c r="B174" s="171">
        <v>2.6959782234951333</v>
      </c>
      <c r="C174" s="171">
        <v>1.0757798809975587</v>
      </c>
      <c r="D174" s="171">
        <v>4.997772423355884E-2</v>
      </c>
      <c r="E174" s="170">
        <v>0</v>
      </c>
      <c r="F174" s="170">
        <v>0</v>
      </c>
      <c r="G174" s="170">
        <v>-1.4990492230334603E-2</v>
      </c>
      <c r="H174" s="170">
        <v>0</v>
      </c>
      <c r="I174" s="170">
        <v>0</v>
      </c>
      <c r="J174" s="170">
        <v>0</v>
      </c>
      <c r="K174" s="170">
        <v>0</v>
      </c>
      <c r="L174">
        <v>4.2140493534193304</v>
      </c>
      <c r="N174" s="172"/>
      <c r="O174" s="35">
        <f ca="1">MCond(OFFSET($B$12,(ROW(A163)-1)*4,0,3,3))</f>
        <v>58.858855955017582</v>
      </c>
      <c r="P174" s="35" t="str">
        <f ca="1">MCond(OFFSET($B$12,(ROW(B163)-1)*4,0,3,6))</f>
        <v>?</v>
      </c>
      <c r="Q174" s="35">
        <f ca="1">MCond(OFFSET($E$12,(ROW(C163)-1)*4,0,3,3))</f>
        <v>1</v>
      </c>
      <c r="R174" s="35" t="str">
        <f ca="1">MCond(OFFSET($I$12,(ROW(D163)-1)*4,0,3,3))</f>
        <v>?</v>
      </c>
      <c r="S174">
        <v>162</v>
      </c>
      <c r="T174" s="35">
        <f ca="1">MCond(OFFSET($B$12,(ROW(A162)-1)*4,0,3,3))</f>
        <v>19.571411138788417</v>
      </c>
      <c r="V174">
        <f t="shared" ca="1" si="12"/>
        <v>9.1065060021560274E-3</v>
      </c>
    </row>
    <row r="175" spans="1:22">
      <c r="A175" s="170"/>
      <c r="B175" s="171"/>
      <c r="C175" s="171"/>
      <c r="D175" s="171"/>
      <c r="E175" s="170"/>
      <c r="F175" s="170"/>
      <c r="G175" s="170"/>
      <c r="H175" s="170"/>
      <c r="I175" s="170"/>
      <c r="J175" s="170"/>
      <c r="K175" s="170"/>
      <c r="N175" s="173"/>
      <c r="O175" s="35">
        <f ca="1">MCond(OFFSET($B$12,(ROW(A164)-1)*4,0,3,3))</f>
        <v>7.33302063772613</v>
      </c>
      <c r="P175" s="35" t="str">
        <f ca="1">MCond(OFFSET($B$12,(ROW(B164)-1)*4,0,3,6))</f>
        <v>?</v>
      </c>
      <c r="Q175" s="35">
        <f ca="1">MCond(OFFSET($E$12,(ROW(C164)-1)*4,0,3,3))</f>
        <v>1</v>
      </c>
      <c r="R175" s="35" t="str">
        <f ca="1">MCond(OFFSET($I$12,(ROW(D164)-1)*4,0,3,3))</f>
        <v>?</v>
      </c>
      <c r="S175">
        <v>163</v>
      </c>
      <c r="T175" s="35">
        <f ca="1">MCond(OFFSET($B$12,(ROW(A163)-1)*4,0,3,3))</f>
        <v>58.858855955017582</v>
      </c>
      <c r="V175">
        <f t="shared" ca="1" si="12"/>
        <v>2.7386810344610952E-2</v>
      </c>
    </row>
    <row r="176" spans="1:22">
      <c r="A176" s="170"/>
      <c r="B176" s="171">
        <v>1.253875629566908</v>
      </c>
      <c r="C176" s="171">
        <v>3.2592166127769939E-2</v>
      </c>
      <c r="D176" s="171">
        <v>-0.73934661383723232</v>
      </c>
      <c r="E176" s="170">
        <v>-1.4990492230334603E-2</v>
      </c>
      <c r="F176" s="170">
        <v>0</v>
      </c>
      <c r="G176" s="170">
        <v>0</v>
      </c>
      <c r="H176" s="170">
        <v>0</v>
      </c>
      <c r="I176" s="170">
        <v>0</v>
      </c>
      <c r="J176" s="170">
        <v>0</v>
      </c>
      <c r="K176" s="170">
        <v>0</v>
      </c>
      <c r="L176">
        <v>1.0599498795536459</v>
      </c>
      <c r="N176" s="172"/>
      <c r="O176" s="35">
        <f ca="1">MCond(OFFSET($B$12,(ROW(A165)-1)*4,0,3,3))</f>
        <v>8.5028993454699311</v>
      </c>
      <c r="P176" s="35" t="str">
        <f ca="1">MCond(OFFSET($B$12,(ROW(B165)-1)*4,0,3,6))</f>
        <v>?</v>
      </c>
      <c r="Q176" s="35">
        <f ca="1">MCond(OFFSET($E$12,(ROW(C165)-1)*4,0,3,3))</f>
        <v>1</v>
      </c>
      <c r="R176" s="35" t="str">
        <f ca="1">MCond(OFFSET($I$12,(ROW(D165)-1)*4,0,3,3))</f>
        <v>?</v>
      </c>
      <c r="S176">
        <v>164</v>
      </c>
      <c r="T176" s="35">
        <f ca="1">MCond(OFFSET($B$12,(ROW(A164)-1)*4,0,3,3))</f>
        <v>7.33302063772613</v>
      </c>
      <c r="V176">
        <f t="shared" ca="1" si="12"/>
        <v>3.4120276753595896E-3</v>
      </c>
    </row>
    <row r="177" spans="1:22">
      <c r="A177" s="170" t="s">
        <v>255</v>
      </c>
      <c r="B177" s="171">
        <v>-0.14897154656832046</v>
      </c>
      <c r="C177" s="171">
        <v>0.84725762547333594</v>
      </c>
      <c r="D177" s="171">
        <v>-1.9759438806851826E-2</v>
      </c>
      <c r="E177" s="170">
        <v>0</v>
      </c>
      <c r="F177" s="170">
        <v>-1.4990492230334603E-2</v>
      </c>
      <c r="G177" s="170">
        <v>0</v>
      </c>
      <c r="H177" s="170">
        <v>0</v>
      </c>
      <c r="I177" s="170">
        <v>0</v>
      </c>
      <c r="J177" s="170">
        <v>0</v>
      </c>
      <c r="K177" s="170">
        <v>0</v>
      </c>
      <c r="L177">
        <v>0.37021422051581732</v>
      </c>
      <c r="N177" s="172">
        <f>MCond(B176:D178)</f>
        <v>14.924598791824929</v>
      </c>
      <c r="O177" s="35">
        <f ca="1">MCond(OFFSET($B$12,(ROW(A166)-1)*4,0,3,3))</f>
        <v>77.784722012998088</v>
      </c>
      <c r="P177" s="35" t="str">
        <f ca="1">MCond(OFFSET($B$12,(ROW(B166)-1)*4,0,3,6))</f>
        <v>?</v>
      </c>
      <c r="Q177" s="35">
        <f ca="1">MCond(OFFSET($E$12,(ROW(C166)-1)*4,0,3,3))</f>
        <v>1</v>
      </c>
      <c r="R177" s="35">
        <f ca="1">MCond(OFFSET($I$12,(ROW(D166)-1)*4,0,3,3))</f>
        <v>8.591549295774648</v>
      </c>
      <c r="S177">
        <v>165</v>
      </c>
      <c r="T177" s="35">
        <f ca="1">MCond(OFFSET($B$12,(ROW(A165)-1)*4,0,3,3))</f>
        <v>8.5028993454699311</v>
      </c>
      <c r="V177">
        <f t="shared" ca="1" si="12"/>
        <v>3.9563679581483642E-3</v>
      </c>
    </row>
    <row r="178" spans="1:22">
      <c r="A178" s="170"/>
      <c r="B178" s="171">
        <v>0.21871711292247331</v>
      </c>
      <c r="C178" s="171">
        <v>2.1363371502498802</v>
      </c>
      <c r="D178" s="171">
        <v>8.9790398854103559E-2</v>
      </c>
      <c r="E178" s="170">
        <v>0</v>
      </c>
      <c r="F178" s="170">
        <v>0</v>
      </c>
      <c r="G178" s="170">
        <v>-1.4990492230334603E-2</v>
      </c>
      <c r="H178" s="170">
        <v>0</v>
      </c>
      <c r="I178" s="170">
        <v>0</v>
      </c>
      <c r="J178" s="170">
        <v>0</v>
      </c>
      <c r="K178" s="170">
        <v>0</v>
      </c>
      <c r="L178">
        <v>2.3099179553746505</v>
      </c>
      <c r="N178" s="172"/>
      <c r="O178" s="35">
        <f ca="1">MCond(OFFSET($B$12,(ROW(A167)-1)*4,0,3,3))</f>
        <v>190.43474137765517</v>
      </c>
      <c r="P178" s="35" t="str">
        <f ca="1">MCond(OFFSET($B$12,(ROW(B167)-1)*4,0,3,6))</f>
        <v>?</v>
      </c>
      <c r="Q178" s="35">
        <f ca="1">MCond(OFFSET($E$12,(ROW(C167)-1)*4,0,3,3))</f>
        <v>1</v>
      </c>
      <c r="R178" s="35" t="str">
        <f ca="1">MCond(OFFSET($I$12,(ROW(D167)-1)*4,0,3,3))</f>
        <v>?</v>
      </c>
      <c r="S178">
        <v>166</v>
      </c>
      <c r="T178" s="35">
        <f ca="1">MCond(OFFSET($B$12,(ROW(A166)-1)*4,0,3,3))</f>
        <v>77.784722012998088</v>
      </c>
      <c r="V178">
        <f t="shared" ca="1" si="12"/>
        <v>3.6192946582351337E-2</v>
      </c>
    </row>
    <row r="179" spans="1:22">
      <c r="A179" s="170"/>
      <c r="B179" s="171"/>
      <c r="C179" s="171"/>
      <c r="D179" s="171"/>
      <c r="E179" s="170"/>
      <c r="F179" s="170"/>
      <c r="G179" s="170"/>
      <c r="H179" s="170"/>
      <c r="I179" s="170"/>
      <c r="J179" s="170"/>
      <c r="K179" s="170"/>
      <c r="N179" s="173"/>
      <c r="O179" s="35">
        <f ca="1">MCond(OFFSET($B$12,(ROW(A168)-1)*4,0,3,3))</f>
        <v>8.9880513431210201</v>
      </c>
      <c r="P179" s="35" t="str">
        <f ca="1">MCond(OFFSET($B$12,(ROW(B168)-1)*4,0,3,6))</f>
        <v>?</v>
      </c>
      <c r="Q179" s="35">
        <f ca="1">MCond(OFFSET($E$12,(ROW(C168)-1)*4,0,3,3))</f>
        <v>1</v>
      </c>
      <c r="R179" s="35">
        <f ca="1">MCond(OFFSET($I$12,(ROW(D168)-1)*4,0,3,3))</f>
        <v>4.2363530294191181</v>
      </c>
      <c r="S179">
        <v>167</v>
      </c>
      <c r="T179" s="35">
        <f ca="1">MCond(OFFSET($B$12,(ROW(A167)-1)*4,0,3,3))</f>
        <v>190.43474137765517</v>
      </c>
      <c r="V179">
        <f t="shared" ca="1" si="12"/>
        <v>8.8608588470029157E-2</v>
      </c>
    </row>
    <row r="180" spans="1:22">
      <c r="A180" s="170"/>
      <c r="B180" s="171">
        <v>1.253875629566908</v>
      </c>
      <c r="C180" s="171">
        <v>3.2592166127769939E-2</v>
      </c>
      <c r="D180" s="171">
        <v>-0.73934661383723232</v>
      </c>
      <c r="E180" s="170">
        <v>-1.4990492230334603E-2</v>
      </c>
      <c r="F180" s="170">
        <v>0</v>
      </c>
      <c r="G180" s="170">
        <v>0</v>
      </c>
      <c r="H180" s="170">
        <v>0</v>
      </c>
      <c r="I180" s="170">
        <v>0</v>
      </c>
      <c r="J180" s="170">
        <v>0</v>
      </c>
      <c r="K180" s="170">
        <v>0</v>
      </c>
      <c r="L180">
        <v>1.0599498795536459</v>
      </c>
      <c r="N180" s="172"/>
      <c r="O180" s="35">
        <f ca="1">MCond(OFFSET($B$12,(ROW(A169)-1)*4,0,3,3))</f>
        <v>56.386053470483816</v>
      </c>
      <c r="P180" s="35" t="str">
        <f ca="1">MCond(OFFSET($B$12,(ROW(B169)-1)*4,0,3,6))</f>
        <v>?</v>
      </c>
      <c r="Q180" s="35">
        <f ca="1">MCond(OFFSET($E$12,(ROW(C169)-1)*4,0,3,3))</f>
        <v>1</v>
      </c>
      <c r="R180" s="35" t="str">
        <f ca="1">MCond(OFFSET($I$12,(ROW(D169)-1)*4,0,3,3))</f>
        <v>?</v>
      </c>
      <c r="S180">
        <v>168</v>
      </c>
      <c r="T180" s="35">
        <f ca="1">MCond(OFFSET($B$12,(ROW(A168)-1)*4,0,3,3))</f>
        <v>8.9880513431210201</v>
      </c>
      <c r="V180">
        <f t="shared" ca="1" si="12"/>
        <v>4.1821074077586966E-3</v>
      </c>
    </row>
    <row r="181" spans="1:22">
      <c r="A181" s="170" t="s">
        <v>256</v>
      </c>
      <c r="B181" s="171">
        <v>-0.14897154656832046</v>
      </c>
      <c r="C181" s="171">
        <v>0.84725762547333594</v>
      </c>
      <c r="D181" s="171">
        <v>-1.9759438806851826E-2</v>
      </c>
      <c r="E181" s="170">
        <v>0</v>
      </c>
      <c r="F181" s="170">
        <v>-1.4990492230334603E-2</v>
      </c>
      <c r="G181" s="170">
        <v>0</v>
      </c>
      <c r="H181" s="170">
        <v>0</v>
      </c>
      <c r="I181" s="170">
        <v>0</v>
      </c>
      <c r="J181" s="170">
        <v>0</v>
      </c>
      <c r="K181" s="170">
        <v>0</v>
      </c>
      <c r="L181">
        <v>0.37021422051581732</v>
      </c>
      <c r="N181" s="172">
        <f>MCond(B180:D182)</f>
        <v>7.888357243357154</v>
      </c>
      <c r="O181" s="35">
        <f ca="1">MCond(OFFSET($B$12,(ROW(A170)-1)*4,0,3,3))</f>
        <v>5.9659507309582951</v>
      </c>
      <c r="P181" s="35" t="str">
        <f ca="1">MCond(OFFSET($B$12,(ROW(B170)-1)*4,0,3,6))</f>
        <v>?</v>
      </c>
      <c r="Q181" s="35">
        <f ca="1">MCond(OFFSET($E$12,(ROW(C170)-1)*4,0,3,3))</f>
        <v>1</v>
      </c>
      <c r="R181" s="35">
        <f ca="1">MCond(OFFSET($I$12,(ROW(D170)-1)*4,0,3,3))</f>
        <v>3.1166314305849192</v>
      </c>
      <c r="S181">
        <v>169</v>
      </c>
      <c r="T181" s="35">
        <f ca="1">MCond(OFFSET($B$12,(ROW(A169)-1)*4,0,3,3))</f>
        <v>56.386053470483816</v>
      </c>
      <c r="V181">
        <f t="shared" ca="1" si="12"/>
        <v>2.6236224395142869E-2</v>
      </c>
    </row>
    <row r="182" spans="1:22">
      <c r="A182" s="170"/>
      <c r="B182" s="171">
        <v>1.8375474863113905</v>
      </c>
      <c r="C182" s="171">
        <v>2.1167426559988707</v>
      </c>
      <c r="D182" s="171">
        <v>1.2367606559382516E-2</v>
      </c>
      <c r="E182" s="170">
        <v>0</v>
      </c>
      <c r="F182" s="170">
        <v>0</v>
      </c>
      <c r="G182" s="170">
        <v>-1.4990492230334603E-2</v>
      </c>
      <c r="H182" s="170">
        <v>0</v>
      </c>
      <c r="I182" s="170">
        <v>0</v>
      </c>
      <c r="J182" s="170">
        <v>0</v>
      </c>
      <c r="K182" s="170">
        <v>0</v>
      </c>
      <c r="L182">
        <v>3.9286665969332351</v>
      </c>
      <c r="N182" s="172"/>
      <c r="O182" s="35">
        <f ca="1">MCond(OFFSET($B$12,(ROW(A171)-1)*4,0,3,3))</f>
        <v>7.5782362388487288</v>
      </c>
      <c r="P182" s="35" t="str">
        <f ca="1">MCond(OFFSET($B$12,(ROW(B171)-1)*4,0,3,6))</f>
        <v>?</v>
      </c>
      <c r="Q182" s="35">
        <f ca="1">MCond(OFFSET($E$12,(ROW(C171)-1)*4,0,3,3))</f>
        <v>1</v>
      </c>
      <c r="R182" s="35" t="str">
        <f ca="1">MCond(OFFSET($I$12,(ROW(D171)-1)*4,0,3,3))</f>
        <v>?</v>
      </c>
      <c r="S182">
        <v>170</v>
      </c>
      <c r="T182" s="35">
        <f ca="1">MCond(OFFSET($B$12,(ROW(A170)-1)*4,0,3,3))</f>
        <v>5.9659507309582951</v>
      </c>
      <c r="V182">
        <f t="shared" ca="1" si="12"/>
        <v>2.7759350490759822E-3</v>
      </c>
    </row>
    <row r="183" spans="1:22">
      <c r="A183" s="170"/>
      <c r="B183" s="171"/>
      <c r="C183" s="171"/>
      <c r="D183" s="171"/>
      <c r="E183" s="170"/>
      <c r="F183" s="170"/>
      <c r="G183" s="170"/>
      <c r="H183" s="170"/>
      <c r="I183" s="170"/>
      <c r="J183" s="170"/>
      <c r="K183" s="170"/>
      <c r="N183" s="173"/>
      <c r="O183" s="35">
        <f ca="1">MCond(OFFSET($B$12,(ROW(A172)-1)*4,0,3,3))</f>
        <v>53.026975700344195</v>
      </c>
      <c r="P183" s="35" t="str">
        <f ca="1">MCond(OFFSET($B$12,(ROW(B172)-1)*4,0,3,6))</f>
        <v>?</v>
      </c>
      <c r="Q183" s="35">
        <f ca="1">MCond(OFFSET($E$12,(ROW(C172)-1)*4,0,3,3))</f>
        <v>1</v>
      </c>
      <c r="R183" s="35" t="str">
        <f ca="1">MCond(OFFSET($I$12,(ROW(D172)-1)*4,0,3,3))</f>
        <v>?</v>
      </c>
      <c r="S183">
        <v>171</v>
      </c>
      <c r="T183" s="35">
        <f ca="1">MCond(OFFSET($B$12,(ROW(A171)-1)*4,0,3,3))</f>
        <v>7.5782362388487288</v>
      </c>
      <c r="V183">
        <f t="shared" ca="1" si="12"/>
        <v>3.5261255974567635E-3</v>
      </c>
    </row>
    <row r="184" spans="1:22">
      <c r="A184" s="170"/>
      <c r="B184" s="171">
        <v>1.253875629566908</v>
      </c>
      <c r="C184" s="171">
        <v>3.2592166127769939E-2</v>
      </c>
      <c r="D184" s="171">
        <v>-0.73934661383723232</v>
      </c>
      <c r="E184" s="170">
        <v>-1.4990492230334603E-2</v>
      </c>
      <c r="F184" s="170">
        <v>0</v>
      </c>
      <c r="G184" s="170">
        <v>0</v>
      </c>
      <c r="H184" s="170">
        <v>0</v>
      </c>
      <c r="I184" s="170">
        <v>0</v>
      </c>
      <c r="J184" s="170">
        <v>0</v>
      </c>
      <c r="K184" s="170">
        <v>0</v>
      </c>
      <c r="L184">
        <v>1.0599498795536459</v>
      </c>
      <c r="N184" s="172"/>
      <c r="O184" s="35">
        <f ca="1">MCond(OFFSET($B$12,(ROW(A173)-1)*4,0,3,3))</f>
        <v>8.7470632700269135</v>
      </c>
      <c r="P184" s="35" t="str">
        <f ca="1">MCond(OFFSET($B$12,(ROW(B173)-1)*4,0,3,6))</f>
        <v>?</v>
      </c>
      <c r="Q184" s="35">
        <f ca="1">MCond(OFFSET($E$12,(ROW(C173)-1)*4,0,3,3))</f>
        <v>1</v>
      </c>
      <c r="R184" s="35">
        <f ca="1">MCond(OFFSET($I$12,(ROW(D173)-1)*4,0,3,3))</f>
        <v>8.591549295774648</v>
      </c>
      <c r="S184">
        <v>172</v>
      </c>
      <c r="T184" s="35">
        <f ca="1">MCond(OFFSET($B$12,(ROW(A172)-1)*4,0,3,3))</f>
        <v>53.026975700344195</v>
      </c>
      <c r="V184">
        <f t="shared" ca="1" si="12"/>
        <v>2.4673257797662305E-2</v>
      </c>
    </row>
    <row r="185" spans="1:22">
      <c r="A185" s="170" t="s">
        <v>257</v>
      </c>
      <c r="B185" s="171">
        <v>-0.14897154656832046</v>
      </c>
      <c r="C185" s="171">
        <v>0.84725762547333594</v>
      </c>
      <c r="D185" s="171">
        <v>-1.9759438806851826E-2</v>
      </c>
      <c r="E185" s="170">
        <v>0</v>
      </c>
      <c r="F185" s="170">
        <v>-1.4990492230334603E-2</v>
      </c>
      <c r="G185" s="170">
        <v>0</v>
      </c>
      <c r="H185" s="170">
        <v>0</v>
      </c>
      <c r="I185" s="170">
        <v>0</v>
      </c>
      <c r="J185" s="170">
        <v>0</v>
      </c>
      <c r="K185" s="170">
        <v>0</v>
      </c>
      <c r="L185">
        <v>0.37021422051581732</v>
      </c>
      <c r="N185" s="172">
        <f>MCond(B184:D186)</f>
        <v>31.543651568563895</v>
      </c>
      <c r="O185" s="35">
        <f ca="1">MCond(OFFSET($B$12,(ROW(A174)-1)*4,0,3,3))</f>
        <v>8.8256455143170687</v>
      </c>
      <c r="P185" s="35" t="str">
        <f ca="1">MCond(OFFSET($B$12,(ROW(B174)-1)*4,0,3,6))</f>
        <v>?</v>
      </c>
      <c r="Q185" s="35">
        <f ca="1">MCond(OFFSET($E$12,(ROW(C174)-1)*4,0,3,3))</f>
        <v>1</v>
      </c>
      <c r="R185" s="35" t="str">
        <f ca="1">MCond(OFFSET($I$12,(ROW(D174)-1)*4,0,3,3))</f>
        <v>?</v>
      </c>
      <c r="S185">
        <v>173</v>
      </c>
      <c r="T185" s="35">
        <f ca="1">MCond(OFFSET($B$12,(ROW(A173)-1)*4,0,3,3))</f>
        <v>8.7470632700269135</v>
      </c>
      <c r="V185">
        <f t="shared" ca="1" si="12"/>
        <v>4.0699765389870463E-3</v>
      </c>
    </row>
    <row r="186" spans="1:22">
      <c r="A186" s="170"/>
      <c r="B186" s="171">
        <v>1.2284177840385118</v>
      </c>
      <c r="C186" s="171">
        <v>2.3993580133895418</v>
      </c>
      <c r="D186" s="171">
        <v>-0.6756623603325641</v>
      </c>
      <c r="E186" s="170">
        <v>0</v>
      </c>
      <c r="F186" s="170">
        <v>0</v>
      </c>
      <c r="G186" s="170">
        <v>-1.4990492230334603E-2</v>
      </c>
      <c r="H186" s="170">
        <v>0</v>
      </c>
      <c r="I186" s="170">
        <v>0</v>
      </c>
      <c r="J186" s="170">
        <v>0</v>
      </c>
      <c r="K186" s="170">
        <v>0</v>
      </c>
      <c r="L186">
        <v>3.8612243768644339</v>
      </c>
      <c r="N186" s="172"/>
      <c r="O186" s="35">
        <f ca="1">MCond(OFFSET($B$12,(ROW(A175)-1)*4,0,3,3))</f>
        <v>9.1035115127969473</v>
      </c>
      <c r="P186" s="35" t="str">
        <f ca="1">MCond(OFFSET($B$12,(ROW(B175)-1)*4,0,3,6))</f>
        <v>?</v>
      </c>
      <c r="Q186" s="35">
        <f ca="1">MCond(OFFSET($E$12,(ROW(C175)-1)*4,0,3,3))</f>
        <v>1</v>
      </c>
      <c r="R186" s="35" t="str">
        <f ca="1">MCond(OFFSET($I$12,(ROW(D175)-1)*4,0,3,3))</f>
        <v>?</v>
      </c>
      <c r="S186">
        <v>174</v>
      </c>
      <c r="T186" s="35">
        <f ca="1">MCond(OFFSET($B$12,(ROW(A174)-1)*4,0,3,3))</f>
        <v>8.8256455143170687</v>
      </c>
      <c r="V186">
        <f t="shared" ca="1" si="12"/>
        <v>4.1065405697672764E-3</v>
      </c>
    </row>
    <row r="187" spans="1:22">
      <c r="A187" s="170"/>
      <c r="B187" s="171"/>
      <c r="C187" s="171"/>
      <c r="D187" s="171"/>
      <c r="E187" s="170"/>
      <c r="F187" s="170"/>
      <c r="G187" s="170"/>
      <c r="H187" s="170"/>
      <c r="I187" s="170"/>
      <c r="J187" s="170"/>
      <c r="K187" s="170"/>
      <c r="N187" s="173"/>
      <c r="O187" s="35">
        <f ca="1">MCond(OFFSET($B$12,(ROW(A176)-1)*4,0,3,3))</f>
        <v>6.7459428276848676</v>
      </c>
      <c r="P187" s="35" t="str">
        <f ca="1">MCond(OFFSET($B$12,(ROW(B176)-1)*4,0,3,6))</f>
        <v>?</v>
      </c>
      <c r="Q187" s="35">
        <f ca="1">MCond(OFFSET($E$12,(ROW(C176)-1)*4,0,3,3))</f>
        <v>1</v>
      </c>
      <c r="R187" s="35" t="str">
        <f ca="1">MCond(OFFSET($I$12,(ROW(D176)-1)*4,0,3,3))</f>
        <v>?</v>
      </c>
      <c r="S187">
        <v>175</v>
      </c>
      <c r="T187" s="35">
        <f ca="1">MCond(OFFSET($B$12,(ROW(A175)-1)*4,0,3,3))</f>
        <v>9.1035115127969473</v>
      </c>
      <c r="V187">
        <f t="shared" ca="1" si="12"/>
        <v>4.2358306023054584E-3</v>
      </c>
    </row>
    <row r="188" spans="1:22">
      <c r="A188" s="170"/>
      <c r="B188" s="171">
        <v>1.253875629566908</v>
      </c>
      <c r="C188" s="171">
        <v>3.2592166127769939E-2</v>
      </c>
      <c r="D188" s="171">
        <v>-0.73934661383723232</v>
      </c>
      <c r="E188" s="170">
        <v>-1.4990492230334603E-2</v>
      </c>
      <c r="F188" s="170">
        <v>0</v>
      </c>
      <c r="G188" s="170">
        <v>0</v>
      </c>
      <c r="H188" s="170">
        <v>0</v>
      </c>
      <c r="I188" s="170">
        <v>0</v>
      </c>
      <c r="J188" s="170">
        <v>0</v>
      </c>
      <c r="K188" s="170">
        <v>0</v>
      </c>
      <c r="L188">
        <v>1.0599498795536459</v>
      </c>
      <c r="N188" s="172"/>
      <c r="O188" s="35">
        <f ca="1">MCond(OFFSET($B$12,(ROW(A177)-1)*4,0,3,3))</f>
        <v>25.009188868397612</v>
      </c>
      <c r="P188" s="35" t="str">
        <f ca="1">MCond(OFFSET($B$12,(ROW(B177)-1)*4,0,3,6))</f>
        <v>?</v>
      </c>
      <c r="Q188" s="35">
        <f ca="1">MCond(OFFSET($E$12,(ROW(C177)-1)*4,0,3,3))</f>
        <v>1</v>
      </c>
      <c r="R188" s="35" t="str">
        <f ca="1">MCond(OFFSET($I$12,(ROW(D177)-1)*4,0,3,3))</f>
        <v>?</v>
      </c>
      <c r="S188">
        <v>176</v>
      </c>
      <c r="T188" s="35">
        <f ca="1">MCond(OFFSET($B$12,(ROW(A176)-1)*4,0,3,3))</f>
        <v>6.7459428276848676</v>
      </c>
      <c r="V188">
        <f t="shared" ca="1" si="12"/>
        <v>3.1388625181329997E-3</v>
      </c>
    </row>
    <row r="189" spans="1:22">
      <c r="A189" s="170" t="s">
        <v>258</v>
      </c>
      <c r="B189" s="171">
        <v>2.6959782234951333</v>
      </c>
      <c r="C189" s="171">
        <v>1.0757798809975587</v>
      </c>
      <c r="D189" s="171">
        <v>4.997772423355884E-2</v>
      </c>
      <c r="E189" s="170">
        <v>0</v>
      </c>
      <c r="F189" s="170">
        <v>-1.4990492230334603E-2</v>
      </c>
      <c r="G189" s="170">
        <v>0</v>
      </c>
      <c r="H189" s="170">
        <v>0</v>
      </c>
      <c r="I189" s="170">
        <v>0</v>
      </c>
      <c r="J189" s="170">
        <v>0</v>
      </c>
      <c r="K189" s="170">
        <v>0</v>
      </c>
      <c r="L189">
        <v>4.2140493534193304</v>
      </c>
      <c r="N189" s="172">
        <f>MCond(B188:D190)</f>
        <v>5.1709959027855508</v>
      </c>
      <c r="O189" s="35">
        <f ca="1">MCond(OFFSET($B$12,(ROW(A178)-1)*4,0,3,3))</f>
        <v>6.7625217711569316</v>
      </c>
      <c r="P189" s="35" t="str">
        <f ca="1">MCond(OFFSET($B$12,(ROW(B178)-1)*4,0,3,6))</f>
        <v>?</v>
      </c>
      <c r="Q189" s="35">
        <f ca="1">MCond(OFFSET($E$12,(ROW(C178)-1)*4,0,3,3))</f>
        <v>1</v>
      </c>
      <c r="R189" s="35" t="str">
        <f ca="1">MCond(OFFSET($I$12,(ROW(D178)-1)*4,0,3,3))</f>
        <v>?</v>
      </c>
      <c r="S189">
        <v>177</v>
      </c>
      <c r="T189" s="35">
        <f ca="1">MCond(OFFSET($B$12,(ROW(A177)-1)*4,0,3,3))</f>
        <v>25.009188868397612</v>
      </c>
      <c r="V189">
        <f t="shared" ca="1" si="12"/>
        <v>1.1636684085990508E-2</v>
      </c>
    </row>
    <row r="190" spans="1:22">
      <c r="A190" s="170"/>
      <c r="B190" s="171">
        <v>0.21871711292247331</v>
      </c>
      <c r="C190" s="171">
        <v>2.1363371502498802</v>
      </c>
      <c r="D190" s="171">
        <v>8.9790398854103559E-2</v>
      </c>
      <c r="E190" s="170">
        <v>0</v>
      </c>
      <c r="F190" s="170">
        <v>0</v>
      </c>
      <c r="G190" s="170">
        <v>-1.4990492230334603E-2</v>
      </c>
      <c r="H190" s="170">
        <v>0</v>
      </c>
      <c r="I190" s="170">
        <v>0</v>
      </c>
      <c r="J190" s="170">
        <v>0</v>
      </c>
      <c r="K190" s="170">
        <v>0</v>
      </c>
      <c r="L190">
        <v>2.3099179553746505</v>
      </c>
      <c r="N190" s="172"/>
      <c r="O190" s="35">
        <f ca="1">MCond(OFFSET($B$12,(ROW(A179)-1)*4,0,3,3))</f>
        <v>7.648214420981799</v>
      </c>
      <c r="P190" s="35" t="str">
        <f ca="1">MCond(OFFSET($B$12,(ROW(B179)-1)*4,0,3,6))</f>
        <v>?</v>
      </c>
      <c r="Q190" s="35">
        <f ca="1">MCond(OFFSET($E$12,(ROW(C179)-1)*4,0,3,3))</f>
        <v>1</v>
      </c>
      <c r="R190" s="35" t="str">
        <f ca="1">MCond(OFFSET($I$12,(ROW(D179)-1)*4,0,3,3))</f>
        <v>?</v>
      </c>
      <c r="S190">
        <v>178</v>
      </c>
      <c r="T190" s="35">
        <f ca="1">MCond(OFFSET($B$12,(ROW(A178)-1)*4,0,3,3))</f>
        <v>6.7625217711569316</v>
      </c>
      <c r="V190">
        <f t="shared" ca="1" si="12"/>
        <v>3.1465766398775753E-3</v>
      </c>
    </row>
    <row r="191" spans="1:22">
      <c r="A191" s="170"/>
      <c r="B191" s="171"/>
      <c r="C191" s="171"/>
      <c r="D191" s="171"/>
      <c r="E191" s="170"/>
      <c r="F191" s="170"/>
      <c r="G191" s="170"/>
      <c r="H191" s="170"/>
      <c r="I191" s="170"/>
      <c r="J191" s="170"/>
      <c r="K191" s="170"/>
      <c r="N191" s="173"/>
      <c r="O191" s="35">
        <f ca="1">MCond(OFFSET($B$12,(ROW(A180)-1)*4,0,3,3))</f>
        <v>30.732928259329775</v>
      </c>
      <c r="P191" s="35" t="str">
        <f ca="1">MCond(OFFSET($B$12,(ROW(B180)-1)*4,0,3,6))</f>
        <v>?</v>
      </c>
      <c r="Q191" s="35">
        <f ca="1">MCond(OFFSET($E$12,(ROW(C180)-1)*4,0,3,3))</f>
        <v>1</v>
      </c>
      <c r="R191" s="35" t="str">
        <f ca="1">MCond(OFFSET($I$12,(ROW(D180)-1)*4,0,3,3))</f>
        <v>?</v>
      </c>
      <c r="S191">
        <v>179</v>
      </c>
      <c r="T191" s="35">
        <f ca="1">MCond(OFFSET($B$12,(ROW(A179)-1)*4,0,3,3))</f>
        <v>7.648214420981799</v>
      </c>
      <c r="V191">
        <f t="shared" ca="1" si="12"/>
        <v>3.558686189592698E-3</v>
      </c>
    </row>
    <row r="192" spans="1:22">
      <c r="A192" s="170"/>
      <c r="B192" s="171">
        <v>1.253875629566908</v>
      </c>
      <c r="C192" s="171">
        <v>3.2592166127769939E-2</v>
      </c>
      <c r="D192" s="171">
        <v>-0.73934661383723232</v>
      </c>
      <c r="E192" s="170">
        <v>-1.4990492230334603E-2</v>
      </c>
      <c r="F192" s="170">
        <v>0</v>
      </c>
      <c r="G192" s="170">
        <v>0</v>
      </c>
      <c r="H192" s="170">
        <v>0</v>
      </c>
      <c r="I192" s="170">
        <v>0</v>
      </c>
      <c r="J192" s="170">
        <v>0</v>
      </c>
      <c r="K192" s="170">
        <v>0</v>
      </c>
      <c r="L192">
        <v>1.0599498795536459</v>
      </c>
      <c r="N192" s="172"/>
      <c r="O192" s="35">
        <f ca="1">MCond(OFFSET($B$12,(ROW(A181)-1)*4,0,3,3))</f>
        <v>7.3967963927114955</v>
      </c>
      <c r="P192" s="35" t="str">
        <f ca="1">MCond(OFFSET($B$12,(ROW(B181)-1)*4,0,3,6))</f>
        <v>?</v>
      </c>
      <c r="Q192" s="35">
        <f ca="1">MCond(OFFSET($E$12,(ROW(C181)-1)*4,0,3,3))</f>
        <v>1</v>
      </c>
      <c r="R192" s="35">
        <f ca="1">MCond(OFFSET($I$12,(ROW(D181)-1)*4,0,3,3))</f>
        <v>6.860137569603669</v>
      </c>
      <c r="S192">
        <v>180</v>
      </c>
      <c r="T192" s="35">
        <f ca="1">MCond(OFFSET($B$12,(ROW(A180)-1)*4,0,3,3))</f>
        <v>30.732928259329775</v>
      </c>
      <c r="V192">
        <f t="shared" ca="1" si="12"/>
        <v>1.4299919084666612E-2</v>
      </c>
    </row>
    <row r="193" spans="1:22">
      <c r="A193" s="170" t="s">
        <v>259</v>
      </c>
      <c r="B193" s="171">
        <v>2.6959782234951333</v>
      </c>
      <c r="C193" s="171">
        <v>1.0757798809975587</v>
      </c>
      <c r="D193" s="171">
        <v>4.997772423355884E-2</v>
      </c>
      <c r="E193" s="170">
        <v>0</v>
      </c>
      <c r="F193" s="170">
        <v>-1.4990492230334603E-2</v>
      </c>
      <c r="G193" s="170">
        <v>0</v>
      </c>
      <c r="H193" s="170">
        <v>0</v>
      </c>
      <c r="I193" s="170">
        <v>0</v>
      </c>
      <c r="J193" s="170">
        <v>0</v>
      </c>
      <c r="K193" s="170">
        <v>0</v>
      </c>
      <c r="L193">
        <v>4.2140493534193304</v>
      </c>
      <c r="N193" s="172">
        <f>MCond(B192:D194)</f>
        <v>7.1675826345810227</v>
      </c>
      <c r="O193" s="35">
        <f ca="1">MCond(OFFSET($B$12,(ROW(A182)-1)*4,0,3,3))</f>
        <v>11.431778758175978</v>
      </c>
      <c r="P193" s="35" t="str">
        <f ca="1">MCond(OFFSET($B$12,(ROW(B182)-1)*4,0,3,6))</f>
        <v>?</v>
      </c>
      <c r="Q193" s="35">
        <f ca="1">MCond(OFFSET($E$12,(ROW(C182)-1)*4,0,3,3))</f>
        <v>1</v>
      </c>
      <c r="R193" s="35">
        <f ca="1">MCond(OFFSET($I$12,(ROW(D182)-1)*4,0,3,3))</f>
        <v>2.4885523706508024</v>
      </c>
      <c r="S193">
        <v>181</v>
      </c>
      <c r="T193" s="35">
        <f ca="1">MCond(OFFSET($B$12,(ROW(A181)-1)*4,0,3,3))</f>
        <v>7.3967963927114955</v>
      </c>
      <c r="V193">
        <f t="shared" ca="1" si="12"/>
        <v>3.4417023008348692E-3</v>
      </c>
    </row>
    <row r="194" spans="1:22">
      <c r="A194" s="170"/>
      <c r="B194" s="171">
        <v>1.8375474863113905</v>
      </c>
      <c r="C194" s="171">
        <v>2.1167426559988707</v>
      </c>
      <c r="D194" s="171">
        <v>1.2367606559382516E-2</v>
      </c>
      <c r="E194" s="170">
        <v>0</v>
      </c>
      <c r="F194" s="170">
        <v>0</v>
      </c>
      <c r="G194" s="170">
        <v>-1.4990492230334603E-2</v>
      </c>
      <c r="H194" s="170">
        <v>0</v>
      </c>
      <c r="I194" s="170">
        <v>0</v>
      </c>
      <c r="J194" s="170">
        <v>0</v>
      </c>
      <c r="K194" s="170">
        <v>0</v>
      </c>
      <c r="L194">
        <v>3.9286665969332351</v>
      </c>
      <c r="N194" s="172"/>
      <c r="O194" s="35">
        <f ca="1">MCond(OFFSET($B$12,(ROW(A183)-1)*4,0,3,3))</f>
        <v>7.7074988340721093</v>
      </c>
      <c r="P194" s="35" t="str">
        <f ca="1">MCond(OFFSET($B$12,(ROW(B183)-1)*4,0,3,6))</f>
        <v>?</v>
      </c>
      <c r="Q194" s="35">
        <f ca="1">MCond(OFFSET($E$12,(ROW(C183)-1)*4,0,3,3))</f>
        <v>1</v>
      </c>
      <c r="R194" s="35" t="str">
        <f ca="1">MCond(OFFSET($I$12,(ROW(D183)-1)*4,0,3,3))</f>
        <v>?</v>
      </c>
      <c r="S194">
        <v>182</v>
      </c>
      <c r="T194" s="35">
        <f ca="1">MCond(OFFSET($B$12,(ROW(A182)-1)*4,0,3,3))</f>
        <v>11.431778758175978</v>
      </c>
      <c r="V194">
        <f t="shared" ca="1" si="12"/>
        <v>5.3191648337675224E-3</v>
      </c>
    </row>
    <row r="195" spans="1:22">
      <c r="A195" s="170"/>
      <c r="B195" s="171"/>
      <c r="C195" s="171"/>
      <c r="D195" s="171"/>
      <c r="E195" s="170"/>
      <c r="F195" s="170"/>
      <c r="G195" s="170"/>
      <c r="H195" s="170"/>
      <c r="I195" s="170"/>
      <c r="J195" s="170"/>
      <c r="K195" s="170"/>
      <c r="N195" s="173"/>
      <c r="O195" s="35">
        <f ca="1">MCond(OFFSET($B$12,(ROW(A184)-1)*4,0,3,3))</f>
        <v>4.638002539904412</v>
      </c>
      <c r="P195" s="35" t="str">
        <f ca="1">MCond(OFFSET($B$12,(ROW(B184)-1)*4,0,3,6))</f>
        <v>?</v>
      </c>
      <c r="Q195" s="35">
        <f ca="1">MCond(OFFSET($E$12,(ROW(C184)-1)*4,0,3,3))</f>
        <v>1</v>
      </c>
      <c r="R195" s="35">
        <f ca="1">MCond(OFFSET($I$12,(ROW(D184)-1)*4,0,3,3))</f>
        <v>2.4885523706508024</v>
      </c>
      <c r="S195">
        <v>183</v>
      </c>
      <c r="T195" s="35">
        <f ca="1">MCond(OFFSET($B$12,(ROW(A183)-1)*4,0,3,3))</f>
        <v>7.7074988340721093</v>
      </c>
      <c r="V195">
        <f t="shared" ca="1" si="12"/>
        <v>3.5862710101154877E-3</v>
      </c>
    </row>
    <row r="196" spans="1:22">
      <c r="A196" s="170"/>
      <c r="B196" s="171">
        <v>1.253875629566908</v>
      </c>
      <c r="C196" s="171">
        <v>3.2592166127769939E-2</v>
      </c>
      <c r="D196" s="171">
        <v>-0.73934661383723232</v>
      </c>
      <c r="E196" s="170">
        <v>-1.4990492230334603E-2</v>
      </c>
      <c r="F196" s="170">
        <v>0</v>
      </c>
      <c r="G196" s="170">
        <v>0</v>
      </c>
      <c r="H196" s="170">
        <v>0</v>
      </c>
      <c r="I196" s="170">
        <v>0</v>
      </c>
      <c r="J196" s="170">
        <v>0</v>
      </c>
      <c r="K196" s="170">
        <v>0</v>
      </c>
      <c r="L196">
        <v>1.0599498795536459</v>
      </c>
      <c r="N196" s="172"/>
      <c r="O196" s="35">
        <f ca="1">MCond(OFFSET($B$12,(ROW(A185)-1)*4,0,3,3))</f>
        <v>8.6904484429411184</v>
      </c>
      <c r="P196" s="35" t="str">
        <f ca="1">MCond(OFFSET($B$12,(ROW(B185)-1)*4,0,3,6))</f>
        <v>?</v>
      </c>
      <c r="Q196" s="35">
        <f ca="1">MCond(OFFSET($E$12,(ROW(C185)-1)*4,0,3,3))</f>
        <v>1</v>
      </c>
      <c r="R196" s="35">
        <f ca="1">MCond(OFFSET($I$12,(ROW(D185)-1)*4,0,3,3))</f>
        <v>6.860137569603669</v>
      </c>
      <c r="S196">
        <v>184</v>
      </c>
      <c r="T196" s="35">
        <f ca="1">MCond(OFFSET($B$12,(ROW(A184)-1)*4,0,3,3))</f>
        <v>4.638002539904412</v>
      </c>
      <c r="V196">
        <f t="shared" ca="1" si="12"/>
        <v>2.1580456139898493E-3</v>
      </c>
    </row>
    <row r="197" spans="1:22">
      <c r="A197" s="170" t="s">
        <v>260</v>
      </c>
      <c r="B197" s="171">
        <v>2.6959782234951333</v>
      </c>
      <c r="C197" s="171">
        <v>1.0757798809975587</v>
      </c>
      <c r="D197" s="171">
        <v>4.997772423355884E-2</v>
      </c>
      <c r="E197" s="170">
        <v>0</v>
      </c>
      <c r="F197" s="170">
        <v>-1.4990492230334603E-2</v>
      </c>
      <c r="G197" s="170">
        <v>0</v>
      </c>
      <c r="H197" s="170">
        <v>0</v>
      </c>
      <c r="I197" s="170">
        <v>0</v>
      </c>
      <c r="J197" s="170">
        <v>0</v>
      </c>
      <c r="K197" s="170">
        <v>0</v>
      </c>
      <c r="L197">
        <v>4.2140493534193304</v>
      </c>
      <c r="N197" s="172">
        <f>MCond(B196:D198)</f>
        <v>5.020555181865034</v>
      </c>
      <c r="O197" s="35">
        <f ca="1">MCond(OFFSET($B$12,(ROW(A186)-1)*4,0,3,3))</f>
        <v>10.838976396829279</v>
      </c>
      <c r="P197" s="35" t="str">
        <f ca="1">MCond(OFFSET($B$12,(ROW(B186)-1)*4,0,3,6))</f>
        <v>?</v>
      </c>
      <c r="Q197" s="35">
        <f ca="1">MCond(OFFSET($E$12,(ROW(C186)-1)*4,0,3,3))</f>
        <v>1</v>
      </c>
      <c r="R197" s="35" t="str">
        <f ca="1">MCond(OFFSET($I$12,(ROW(D186)-1)*4,0,3,3))</f>
        <v>?</v>
      </c>
      <c r="S197">
        <v>185</v>
      </c>
      <c r="T197" s="35">
        <f ca="1">MCond(OFFSET($B$12,(ROW(A185)-1)*4,0,3,3))</f>
        <v>8.6904484429411184</v>
      </c>
      <c r="V197">
        <f t="shared" ca="1" si="12"/>
        <v>4.0436338670656524E-3</v>
      </c>
    </row>
    <row r="198" spans="1:22">
      <c r="A198" s="170"/>
      <c r="B198" s="171">
        <v>1.2284177840385118</v>
      </c>
      <c r="C198" s="171">
        <v>2.3993580133895418</v>
      </c>
      <c r="D198" s="171">
        <v>-0.6756623603325641</v>
      </c>
      <c r="E198" s="170">
        <v>0</v>
      </c>
      <c r="F198" s="170">
        <v>0</v>
      </c>
      <c r="G198" s="170">
        <v>-1.4990492230334603E-2</v>
      </c>
      <c r="H198" s="170">
        <v>0</v>
      </c>
      <c r="I198" s="170">
        <v>0</v>
      </c>
      <c r="J198" s="170">
        <v>0</v>
      </c>
      <c r="K198" s="170">
        <v>0</v>
      </c>
      <c r="L198">
        <v>3.8612243768644339</v>
      </c>
      <c r="N198" s="172"/>
      <c r="O198" s="35">
        <f ca="1">MCond(OFFSET($B$12,(ROW(A187)-1)*4,0,3,3))</f>
        <v>12.611025430513319</v>
      </c>
      <c r="P198" s="35" t="str">
        <f ca="1">MCond(OFFSET($B$12,(ROW(B187)-1)*4,0,3,6))</f>
        <v>?</v>
      </c>
      <c r="Q198" s="35">
        <f ca="1">MCond(OFFSET($E$12,(ROW(C187)-1)*4,0,3,3))</f>
        <v>1</v>
      </c>
      <c r="R198" s="35">
        <f ca="1">MCond(OFFSET($I$12,(ROW(D187)-1)*4,0,3,3))</f>
        <v>6.860137569603669</v>
      </c>
      <c r="S198">
        <v>186</v>
      </c>
      <c r="T198" s="35">
        <f ca="1">MCond(OFFSET($B$12,(ROW(A186)-1)*4,0,3,3))</f>
        <v>10.838976396829279</v>
      </c>
      <c r="V198">
        <f t="shared" ca="1" si="12"/>
        <v>5.0433360637614074E-3</v>
      </c>
    </row>
    <row r="199" spans="1:22">
      <c r="A199" s="170"/>
      <c r="B199" s="171"/>
      <c r="C199" s="171"/>
      <c r="D199" s="171"/>
      <c r="E199" s="170"/>
      <c r="F199" s="170"/>
      <c r="G199" s="170"/>
      <c r="H199" s="170"/>
      <c r="I199" s="170"/>
      <c r="J199" s="170"/>
      <c r="K199" s="170"/>
      <c r="N199" s="173"/>
      <c r="O199" s="35">
        <f ca="1">MCond(OFFSET($B$12,(ROW(A188)-1)*4,0,3,3))</f>
        <v>14.023075414159493</v>
      </c>
      <c r="P199" s="35" t="str">
        <f ca="1">MCond(OFFSET($B$12,(ROW(B188)-1)*4,0,3,6))</f>
        <v>?</v>
      </c>
      <c r="Q199" s="35">
        <f ca="1">MCond(OFFSET($E$12,(ROW(C188)-1)*4,0,3,3))</f>
        <v>1</v>
      </c>
      <c r="R199" s="35" t="str">
        <f ca="1">MCond(OFFSET($I$12,(ROW(D188)-1)*4,0,3,3))</f>
        <v>?</v>
      </c>
      <c r="S199">
        <v>187</v>
      </c>
      <c r="T199" s="35">
        <f ca="1">MCond(OFFSET($B$12,(ROW(A187)-1)*4,0,3,3))</f>
        <v>12.611025430513319</v>
      </c>
      <c r="V199">
        <f t="shared" ca="1" si="12"/>
        <v>5.8678639962095871E-3</v>
      </c>
    </row>
    <row r="200" spans="1:22">
      <c r="A200" s="170"/>
      <c r="B200" s="171">
        <v>1.253875629566908</v>
      </c>
      <c r="C200" s="171">
        <v>3.2592166127769939E-2</v>
      </c>
      <c r="D200" s="171">
        <v>-0.73934661383723232</v>
      </c>
      <c r="E200" s="170">
        <v>-1.4990492230334603E-2</v>
      </c>
      <c r="F200" s="170">
        <v>0</v>
      </c>
      <c r="G200" s="170">
        <v>0</v>
      </c>
      <c r="H200" s="170">
        <v>0</v>
      </c>
      <c r="I200" s="170">
        <v>0</v>
      </c>
      <c r="J200" s="170">
        <v>0</v>
      </c>
      <c r="K200" s="170">
        <v>0</v>
      </c>
      <c r="L200">
        <v>1.0599498795536459</v>
      </c>
      <c r="N200" s="172"/>
      <c r="O200" s="35">
        <f ca="1">MCond(OFFSET($B$12,(ROW(A189)-1)*4,0,3,3))</f>
        <v>4.0515953972785423</v>
      </c>
      <c r="P200" s="35" t="str">
        <f ca="1">MCond(OFFSET($B$12,(ROW(B189)-1)*4,0,3,6))</f>
        <v>?</v>
      </c>
      <c r="Q200" s="35">
        <f ca="1">MCond(OFFSET($E$12,(ROW(C189)-1)*4,0,3,3))</f>
        <v>1</v>
      </c>
      <c r="R200" s="35">
        <f ca="1">MCond(OFFSET($I$12,(ROW(D189)-1)*4,0,3,3))</f>
        <v>2.1104366038009723</v>
      </c>
      <c r="S200">
        <v>188</v>
      </c>
      <c r="T200" s="35">
        <f ca="1">MCond(OFFSET($B$12,(ROW(A188)-1)*4,0,3,3))</f>
        <v>14.023075414159493</v>
      </c>
      <c r="V200">
        <f t="shared" ca="1" si="12"/>
        <v>6.5248856877080288E-3</v>
      </c>
    </row>
    <row r="201" spans="1:22">
      <c r="A201" s="170" t="s">
        <v>261</v>
      </c>
      <c r="B201" s="171">
        <v>0.21871711292247331</v>
      </c>
      <c r="C201" s="171">
        <v>2.1363371502498802</v>
      </c>
      <c r="D201" s="171">
        <v>8.9790398854103559E-2</v>
      </c>
      <c r="E201" s="170">
        <v>0</v>
      </c>
      <c r="F201" s="170">
        <v>-1.4990492230334603E-2</v>
      </c>
      <c r="G201" s="170">
        <v>0</v>
      </c>
      <c r="H201" s="170">
        <v>0</v>
      </c>
      <c r="I201" s="170">
        <v>0</v>
      </c>
      <c r="J201" s="170">
        <v>0</v>
      </c>
      <c r="K201" s="170">
        <v>0</v>
      </c>
      <c r="L201">
        <v>2.3099179553746505</v>
      </c>
      <c r="N201" s="172">
        <f>MCond(B200:D202)</f>
        <v>8.0179728515029733</v>
      </c>
      <c r="O201" s="35">
        <f ca="1">MCond(OFFSET($B$12,(ROW(A190)-1)*4,0,3,3))</f>
        <v>4.3704074811251417</v>
      </c>
      <c r="P201" s="35" t="str">
        <f ca="1">MCond(OFFSET($B$12,(ROW(B190)-1)*4,0,3,6))</f>
        <v>?</v>
      </c>
      <c r="Q201" s="35">
        <f ca="1">MCond(OFFSET($E$12,(ROW(C190)-1)*4,0,3,3))</f>
        <v>1</v>
      </c>
      <c r="R201" s="35" t="str">
        <f ca="1">MCond(OFFSET($I$12,(ROW(D190)-1)*4,0,3,3))</f>
        <v>?</v>
      </c>
      <c r="S201">
        <v>189</v>
      </c>
      <c r="T201" s="35">
        <f ca="1">MCond(OFFSET($B$12,(ROW(A189)-1)*4,0,3,3))</f>
        <v>4.0515953972785423</v>
      </c>
      <c r="V201">
        <f t="shared" ca="1" si="12"/>
        <v>1.8851925158580489E-3</v>
      </c>
    </row>
    <row r="202" spans="1:22">
      <c r="A202" s="170"/>
      <c r="B202" s="171">
        <v>1.8375474863113905</v>
      </c>
      <c r="C202" s="171">
        <v>2.1167426559988707</v>
      </c>
      <c r="D202" s="171">
        <v>1.2367606559382516E-2</v>
      </c>
      <c r="E202" s="170">
        <v>0</v>
      </c>
      <c r="F202" s="170">
        <v>0</v>
      </c>
      <c r="G202" s="170">
        <v>-1.4990492230334603E-2</v>
      </c>
      <c r="H202" s="170">
        <v>0</v>
      </c>
      <c r="I202" s="170">
        <v>0</v>
      </c>
      <c r="J202" s="170">
        <v>0</v>
      </c>
      <c r="K202" s="170">
        <v>0</v>
      </c>
      <c r="L202">
        <v>3.9286665969332351</v>
      </c>
      <c r="N202" s="172"/>
      <c r="O202" s="35">
        <f ca="1">MCond(OFFSET($B$12,(ROW(A191)-1)*4,0,3,3))</f>
        <v>83.460835017935977</v>
      </c>
      <c r="P202" s="35" t="str">
        <f ca="1">MCond(OFFSET($B$12,(ROW(B191)-1)*4,0,3,6))</f>
        <v>?</v>
      </c>
      <c r="Q202" s="35">
        <f ca="1">MCond(OFFSET($E$12,(ROW(C191)-1)*4,0,3,3))</f>
        <v>1</v>
      </c>
      <c r="R202" s="35" t="str">
        <f ca="1">MCond(OFFSET($I$12,(ROW(D191)-1)*4,0,3,3))</f>
        <v>?</v>
      </c>
      <c r="S202">
        <v>190</v>
      </c>
      <c r="T202" s="35">
        <f ca="1">MCond(OFFSET($B$12,(ROW(A190)-1)*4,0,3,3))</f>
        <v>4.3704074811251417</v>
      </c>
      <c r="V202">
        <f t="shared" ca="1" si="12"/>
        <v>2.0335346121188019E-3</v>
      </c>
    </row>
    <row r="203" spans="1:22">
      <c r="A203" s="170"/>
      <c r="B203" s="171"/>
      <c r="C203" s="171"/>
      <c r="D203" s="171"/>
      <c r="E203" s="170"/>
      <c r="F203" s="170"/>
      <c r="G203" s="170"/>
      <c r="H203" s="170"/>
      <c r="I203" s="170"/>
      <c r="J203" s="170"/>
      <c r="K203" s="170"/>
      <c r="N203" s="173"/>
      <c r="O203" s="35">
        <f ca="1">MCond(OFFSET($B$12,(ROW(A192)-1)*4,0,3,3))</f>
        <v>204.78346391597921</v>
      </c>
      <c r="P203" s="35" t="str">
        <f ca="1">MCond(OFFSET($B$12,(ROW(B192)-1)*4,0,3,6))</f>
        <v>?</v>
      </c>
      <c r="Q203" s="35">
        <f ca="1">MCond(OFFSET($E$12,(ROW(C192)-1)*4,0,3,3))</f>
        <v>1</v>
      </c>
      <c r="R203" s="35" t="str">
        <f ca="1">MCond(OFFSET($I$12,(ROW(D192)-1)*4,0,3,3))</f>
        <v>?</v>
      </c>
      <c r="S203">
        <v>191</v>
      </c>
      <c r="T203" s="35">
        <f ca="1">MCond(OFFSET($B$12,(ROW(A191)-1)*4,0,3,3))</f>
        <v>83.460835017935977</v>
      </c>
      <c r="V203">
        <f t="shared" ca="1" si="12"/>
        <v>3.8834021197862306E-2</v>
      </c>
    </row>
    <row r="204" spans="1:22">
      <c r="A204" s="170"/>
      <c r="B204" s="171">
        <v>1.253875629566908</v>
      </c>
      <c r="C204" s="171">
        <v>3.2592166127769939E-2</v>
      </c>
      <c r="D204" s="171">
        <v>-0.73934661383723232</v>
      </c>
      <c r="E204" s="170">
        <v>-1.4990492230334603E-2</v>
      </c>
      <c r="F204" s="170">
        <v>0</v>
      </c>
      <c r="G204" s="170">
        <v>0</v>
      </c>
      <c r="H204" s="170">
        <v>0</v>
      </c>
      <c r="I204" s="170">
        <v>0</v>
      </c>
      <c r="J204" s="170">
        <v>0</v>
      </c>
      <c r="K204" s="170">
        <v>0</v>
      </c>
      <c r="L204">
        <v>1.0599498795536459</v>
      </c>
      <c r="N204" s="172"/>
      <c r="O204" s="35">
        <f ca="1">MCond(OFFSET($B$12,(ROW(A193)-1)*4,0,3,3))</f>
        <v>49.247927504726903</v>
      </c>
      <c r="P204" s="35" t="str">
        <f ca="1">MCond(OFFSET($B$12,(ROW(B193)-1)*4,0,3,6))</f>
        <v>?</v>
      </c>
      <c r="Q204" s="35">
        <f ca="1">MCond(OFFSET($E$12,(ROW(C193)-1)*4,0,3,3))</f>
        <v>1</v>
      </c>
      <c r="R204" s="35" t="str">
        <f ca="1">MCond(OFFSET($I$12,(ROW(D193)-1)*4,0,3,3))</f>
        <v>?</v>
      </c>
      <c r="S204">
        <v>192</v>
      </c>
      <c r="T204" s="35">
        <f ca="1">MCond(OFFSET($B$12,(ROW(A192)-1)*4,0,3,3))</f>
        <v>204.78346391597921</v>
      </c>
      <c r="V204">
        <f t="shared" ca="1" si="12"/>
        <v>9.5284996573252331E-2</v>
      </c>
    </row>
    <row r="205" spans="1:22">
      <c r="A205" s="170" t="s">
        <v>262</v>
      </c>
      <c r="B205" s="171">
        <v>0.21871711292247331</v>
      </c>
      <c r="C205" s="171">
        <v>2.1363371502498802</v>
      </c>
      <c r="D205" s="171">
        <v>8.9790398854103559E-2</v>
      </c>
      <c r="E205" s="170">
        <v>0</v>
      </c>
      <c r="F205" s="170">
        <v>-1.4990492230334603E-2</v>
      </c>
      <c r="G205" s="170">
        <v>0</v>
      </c>
      <c r="H205" s="170">
        <v>0</v>
      </c>
      <c r="I205" s="170">
        <v>0</v>
      </c>
      <c r="J205" s="170">
        <v>0</v>
      </c>
      <c r="K205" s="170">
        <v>0</v>
      </c>
      <c r="L205">
        <v>2.3099179553746505</v>
      </c>
      <c r="N205" s="172">
        <f>MCond(B204:D206)</f>
        <v>35.843588743019239</v>
      </c>
      <c r="O205" s="35">
        <f ca="1">MCond(OFFSET($B$12,(ROW(A194)-1)*4,0,3,3))</f>
        <v>5.3867085530333512</v>
      </c>
      <c r="P205" s="35" t="str">
        <f ca="1">MCond(OFFSET($B$12,(ROW(B194)-1)*4,0,3,6))</f>
        <v>?</v>
      </c>
      <c r="Q205" s="35">
        <f ca="1">MCond(OFFSET($E$12,(ROW(C194)-1)*4,0,3,3))</f>
        <v>1</v>
      </c>
      <c r="R205" s="35" t="str">
        <f ca="1">MCond(OFFSET($I$12,(ROW(D194)-1)*4,0,3,3))</f>
        <v>?</v>
      </c>
      <c r="S205">
        <v>193</v>
      </c>
      <c r="T205" s="35">
        <f ca="1">MCond(OFFSET($B$12,(ROW(A193)-1)*4,0,3,3))</f>
        <v>49.247927504726903</v>
      </c>
      <c r="V205">
        <f t="shared" ca="1" si="12"/>
        <v>2.2914880497641198E-2</v>
      </c>
    </row>
    <row r="206" spans="1:22">
      <c r="A206" s="170"/>
      <c r="B206" s="171">
        <v>1.2284177840385118</v>
      </c>
      <c r="C206" s="171">
        <v>2.3993580133895418</v>
      </c>
      <c r="D206" s="171">
        <v>-0.6756623603325641</v>
      </c>
      <c r="E206" s="170">
        <v>0</v>
      </c>
      <c r="F206" s="170">
        <v>0</v>
      </c>
      <c r="G206" s="170">
        <v>-1.4990492230334603E-2</v>
      </c>
      <c r="H206" s="170">
        <v>0</v>
      </c>
      <c r="I206" s="170">
        <v>0</v>
      </c>
      <c r="J206" s="170">
        <v>0</v>
      </c>
      <c r="K206" s="170">
        <v>0</v>
      </c>
      <c r="L206">
        <v>3.8612243768644339</v>
      </c>
      <c r="N206" s="172"/>
      <c r="O206" s="35">
        <f ca="1">MCond(OFFSET($B$12,(ROW(A195)-1)*4,0,3,3))</f>
        <v>63.944981854448542</v>
      </c>
      <c r="P206" s="35" t="str">
        <f ca="1">MCond(OFFSET($B$12,(ROW(B195)-1)*4,0,3,6))</f>
        <v>?</v>
      </c>
      <c r="Q206" s="35">
        <f ca="1">MCond(OFFSET($E$12,(ROW(C195)-1)*4,0,3,3))</f>
        <v>1</v>
      </c>
      <c r="R206" s="35" t="str">
        <f ca="1">MCond(OFFSET($I$12,(ROW(D195)-1)*4,0,3,3))</f>
        <v>?</v>
      </c>
      <c r="S206">
        <v>194</v>
      </c>
      <c r="T206" s="35">
        <f ca="1">MCond(OFFSET($B$12,(ROW(A194)-1)*4,0,3,3))</f>
        <v>5.3867085530333512</v>
      </c>
      <c r="V206">
        <f t="shared" ref="V206:V269" ca="1" si="13">T206/$U$13</f>
        <v>2.50641578280697E-3</v>
      </c>
    </row>
    <row r="207" spans="1:22">
      <c r="A207" s="170"/>
      <c r="B207" s="171"/>
      <c r="C207" s="171"/>
      <c r="D207" s="171"/>
      <c r="E207" s="170"/>
      <c r="F207" s="170"/>
      <c r="G207" s="170"/>
      <c r="H207" s="170"/>
      <c r="I207" s="170"/>
      <c r="J207" s="170"/>
      <c r="K207" s="170"/>
      <c r="N207" s="173"/>
      <c r="O207" s="35">
        <f ca="1">MCond(OFFSET($B$12,(ROW(A196)-1)*4,0,3,3))</f>
        <v>45.152375765832033</v>
      </c>
      <c r="P207" s="35" t="str">
        <f ca="1">MCond(OFFSET($B$12,(ROW(B196)-1)*4,0,3,6))</f>
        <v>?</v>
      </c>
      <c r="Q207" s="35">
        <f ca="1">MCond(OFFSET($E$12,(ROW(C196)-1)*4,0,3,3))</f>
        <v>1</v>
      </c>
      <c r="R207" s="35" t="str">
        <f ca="1">MCond(OFFSET($I$12,(ROW(D196)-1)*4,0,3,3))</f>
        <v>?</v>
      </c>
      <c r="S207">
        <v>195</v>
      </c>
      <c r="T207" s="35">
        <f ca="1">MCond(OFFSET($B$12,(ROW(A195)-1)*4,0,3,3))</f>
        <v>63.944981854448542</v>
      </c>
      <c r="V207">
        <f t="shared" ca="1" si="13"/>
        <v>2.9753366118358625E-2</v>
      </c>
    </row>
    <row r="208" spans="1:22">
      <c r="A208" s="170"/>
      <c r="B208" s="171">
        <v>1.253875629566908</v>
      </c>
      <c r="C208" s="171">
        <v>3.2592166127769939E-2</v>
      </c>
      <c r="D208" s="171">
        <v>-0.73934661383723232</v>
      </c>
      <c r="E208" s="170">
        <v>-1.4990492230334603E-2</v>
      </c>
      <c r="F208" s="170">
        <v>0</v>
      </c>
      <c r="G208" s="170">
        <v>0</v>
      </c>
      <c r="H208" s="170">
        <v>0</v>
      </c>
      <c r="I208" s="170">
        <v>0</v>
      </c>
      <c r="J208" s="170">
        <v>0</v>
      </c>
      <c r="K208" s="170">
        <v>0</v>
      </c>
      <c r="L208">
        <v>1.0599498795536459</v>
      </c>
      <c r="N208" s="172"/>
      <c r="O208" s="35">
        <f ca="1">MCond(OFFSET($B$12,(ROW(A197)-1)*4,0,3,3))</f>
        <v>15.911611789340494</v>
      </c>
      <c r="P208" s="35" t="str">
        <f ca="1">MCond(OFFSET($B$12,(ROW(B197)-1)*4,0,3,6))</f>
        <v>?</v>
      </c>
      <c r="Q208" s="35">
        <f ca="1">MCond(OFFSET($E$12,(ROW(C197)-1)*4,0,3,3))</f>
        <v>1</v>
      </c>
      <c r="R208" s="35" t="str">
        <f ca="1">MCond(OFFSET($I$12,(ROW(D197)-1)*4,0,3,3))</f>
        <v>?</v>
      </c>
      <c r="S208">
        <v>196</v>
      </c>
      <c r="T208" s="35">
        <f ca="1">MCond(OFFSET($B$12,(ROW(A196)-1)*4,0,3,3))</f>
        <v>45.152375765832033</v>
      </c>
      <c r="V208">
        <f t="shared" ca="1" si="13"/>
        <v>2.1009235256840463E-2</v>
      </c>
    </row>
    <row r="209" spans="1:22">
      <c r="A209" s="170" t="s">
        <v>263</v>
      </c>
      <c r="B209" s="171">
        <v>1.8375474863113905</v>
      </c>
      <c r="C209" s="171">
        <v>2.1167426559988707</v>
      </c>
      <c r="D209" s="171">
        <v>1.2367606559382516E-2</v>
      </c>
      <c r="E209" s="170">
        <v>0</v>
      </c>
      <c r="F209" s="170">
        <v>-1.4990492230334603E-2</v>
      </c>
      <c r="G209" s="170">
        <v>0</v>
      </c>
      <c r="H209" s="170">
        <v>0</v>
      </c>
      <c r="I209" s="170">
        <v>0</v>
      </c>
      <c r="J209" s="170">
        <v>0</v>
      </c>
      <c r="K209" s="170">
        <v>0</v>
      </c>
      <c r="L209">
        <v>3.9286665969332351</v>
      </c>
      <c r="N209" s="172">
        <f>MCond(B208:D210)</f>
        <v>6.0262694639012206</v>
      </c>
      <c r="O209" s="35">
        <f ca="1">MCond(OFFSET($B$12,(ROW(A198)-1)*4,0,3,3))</f>
        <v>48.308554874402986</v>
      </c>
      <c r="P209" s="35" t="str">
        <f ca="1">MCond(OFFSET($B$12,(ROW(B198)-1)*4,0,3,6))</f>
        <v>?</v>
      </c>
      <c r="Q209" s="35">
        <f ca="1">MCond(OFFSET($E$12,(ROW(C198)-1)*4,0,3,3))</f>
        <v>1</v>
      </c>
      <c r="R209" s="35" t="str">
        <f ca="1">MCond(OFFSET($I$12,(ROW(D198)-1)*4,0,3,3))</f>
        <v>?</v>
      </c>
      <c r="S209">
        <v>197</v>
      </c>
      <c r="T209" s="35">
        <f ca="1">MCond(OFFSET($B$12,(ROW(A197)-1)*4,0,3,3))</f>
        <v>15.911611789340494</v>
      </c>
      <c r="V209">
        <f t="shared" ca="1" si="13"/>
        <v>7.4036147539934573E-3</v>
      </c>
    </row>
    <row r="210" spans="1:22">
      <c r="A210" s="170"/>
      <c r="B210" s="171">
        <v>1.2284177840385118</v>
      </c>
      <c r="C210" s="171">
        <v>2.3993580133895418</v>
      </c>
      <c r="D210" s="171">
        <v>-0.6756623603325641</v>
      </c>
      <c r="E210" s="170">
        <v>0</v>
      </c>
      <c r="F210" s="170">
        <v>0</v>
      </c>
      <c r="G210" s="170">
        <v>-1.4990492230334603E-2</v>
      </c>
      <c r="H210" s="170">
        <v>0</v>
      </c>
      <c r="I210" s="170">
        <v>0</v>
      </c>
      <c r="J210" s="170">
        <v>0</v>
      </c>
      <c r="K210" s="170">
        <v>0</v>
      </c>
      <c r="L210">
        <v>3.8612243768644339</v>
      </c>
      <c r="N210" s="172"/>
      <c r="O210" s="35">
        <f ca="1">MCond(OFFSET($B$12,(ROW(A199)-1)*4,0,3,3))</f>
        <v>4.2325598033353158</v>
      </c>
      <c r="P210" s="35" t="str">
        <f ca="1">MCond(OFFSET($B$12,(ROW(B199)-1)*4,0,3,6))</f>
        <v>?</v>
      </c>
      <c r="Q210" s="35">
        <f ca="1">MCond(OFFSET($E$12,(ROW(C199)-1)*4,0,3,3))</f>
        <v>1</v>
      </c>
      <c r="R210" s="35" t="str">
        <f ca="1">MCond(OFFSET($I$12,(ROW(D199)-1)*4,0,3,3))</f>
        <v>?</v>
      </c>
      <c r="S210">
        <v>198</v>
      </c>
      <c r="T210" s="35">
        <f ca="1">MCond(OFFSET($B$12,(ROW(A198)-1)*4,0,3,3))</f>
        <v>48.308554874402986</v>
      </c>
      <c r="V210">
        <f t="shared" ca="1" si="13"/>
        <v>2.2477793849384552E-2</v>
      </c>
    </row>
    <row r="211" spans="1:22">
      <c r="A211" s="170"/>
      <c r="B211" s="171"/>
      <c r="C211" s="171"/>
      <c r="D211" s="171"/>
      <c r="E211" s="170"/>
      <c r="F211" s="170"/>
      <c r="G211" s="170"/>
      <c r="H211" s="170"/>
      <c r="I211" s="170"/>
      <c r="J211" s="170"/>
      <c r="K211" s="170"/>
      <c r="N211" s="173"/>
      <c r="O211" s="35">
        <f ca="1">MCond(OFFSET($B$12,(ROW(A200)-1)*4,0,3,3))</f>
        <v>3.743001491301829</v>
      </c>
      <c r="P211" s="35" t="str">
        <f ca="1">MCond(OFFSET($B$12,(ROW(B200)-1)*4,0,3,6))</f>
        <v>?</v>
      </c>
      <c r="Q211" s="35">
        <f ca="1">MCond(OFFSET($E$12,(ROW(C200)-1)*4,0,3,3))</f>
        <v>1</v>
      </c>
      <c r="R211" s="35" t="str">
        <f ca="1">MCond(OFFSET($I$12,(ROW(D200)-1)*4,0,3,3))</f>
        <v>?</v>
      </c>
      <c r="S211">
        <v>199</v>
      </c>
      <c r="T211" s="35">
        <f ca="1">MCond(OFFSET($B$12,(ROW(A199)-1)*4,0,3,3))</f>
        <v>4.2325598033353158</v>
      </c>
      <c r="V211">
        <f t="shared" ca="1" si="13"/>
        <v>1.9693945919498717E-3</v>
      </c>
    </row>
    <row r="212" spans="1:22">
      <c r="A212" s="170"/>
      <c r="B212" s="171">
        <v>2.2957880185781296</v>
      </c>
      <c r="C212" s="171">
        <v>-8.2263663034425338E-3</v>
      </c>
      <c r="D212" s="171">
        <v>3.3137218009327896E-2</v>
      </c>
      <c r="E212" s="170">
        <v>-1.4990492230334603E-2</v>
      </c>
      <c r="F212" s="170">
        <v>0</v>
      </c>
      <c r="G212" s="170">
        <v>0</v>
      </c>
      <c r="H212" s="170">
        <v>0</v>
      </c>
      <c r="I212" s="170">
        <v>0</v>
      </c>
      <c r="J212" s="170">
        <v>0</v>
      </c>
      <c r="K212" s="170">
        <v>0</v>
      </c>
      <c r="L212">
        <v>2.6359041872834252</v>
      </c>
      <c r="N212" s="172"/>
      <c r="O212" s="35">
        <f ca="1">MCond(OFFSET($B$12,(ROW(A201)-1)*4,0,3,3))</f>
        <v>84.872649675684883</v>
      </c>
      <c r="P212" s="35" t="str">
        <f ca="1">MCond(OFFSET($B$12,(ROW(B201)-1)*4,0,3,6))</f>
        <v>?</v>
      </c>
      <c r="Q212" s="35">
        <f ca="1">MCond(OFFSET($E$12,(ROW(C201)-1)*4,0,3,3))</f>
        <v>1</v>
      </c>
      <c r="R212" s="35">
        <f ca="1">MCond(OFFSET($I$12,(ROW(D201)-1)*4,0,3,3))</f>
        <v>3.2505774195009289</v>
      </c>
      <c r="S212">
        <v>200</v>
      </c>
      <c r="T212" s="35">
        <f ca="1">MCond(OFFSET($B$12,(ROW(A200)-1)*4,0,3,3))</f>
        <v>3.743001491301829</v>
      </c>
      <c r="V212">
        <f t="shared" ca="1" si="13"/>
        <v>1.7416049003776211E-3</v>
      </c>
    </row>
    <row r="213" spans="1:22">
      <c r="A213" s="170" t="s">
        <v>264</v>
      </c>
      <c r="B213" s="171">
        <v>-0.14897154656832046</v>
      </c>
      <c r="C213" s="171">
        <v>0.84725762547333594</v>
      </c>
      <c r="D213" s="171">
        <v>-1.9759438806851826E-2</v>
      </c>
      <c r="E213" s="170">
        <v>0</v>
      </c>
      <c r="F213" s="170">
        <v>-1.4990492230334603E-2</v>
      </c>
      <c r="G213" s="170">
        <v>0</v>
      </c>
      <c r="H213" s="170">
        <v>0</v>
      </c>
      <c r="I213" s="170">
        <v>0</v>
      </c>
      <c r="J213" s="170">
        <v>0</v>
      </c>
      <c r="K213" s="170">
        <v>0</v>
      </c>
      <c r="L213">
        <v>0.37021422051581732</v>
      </c>
      <c r="N213" s="172">
        <f>MCond(B212:D214)</f>
        <v>222.32523405718308</v>
      </c>
      <c r="O213" s="35">
        <f ca="1">MCond(OFFSET($B$12,(ROW(A202)-1)*4,0,3,3))</f>
        <v>33.069426713699293</v>
      </c>
      <c r="P213" s="35" t="str">
        <f ca="1">MCond(OFFSET($B$12,(ROW(B202)-1)*4,0,3,6))</f>
        <v>?</v>
      </c>
      <c r="Q213" s="35">
        <f ca="1">MCond(OFFSET($E$12,(ROW(C202)-1)*4,0,3,3))</f>
        <v>1</v>
      </c>
      <c r="R213" s="35" t="str">
        <f ca="1">MCond(OFFSET($I$12,(ROW(D202)-1)*4,0,3,3))</f>
        <v>?</v>
      </c>
      <c r="S213">
        <v>201</v>
      </c>
      <c r="T213" s="35">
        <f ca="1">MCond(OFFSET($B$12,(ROW(A201)-1)*4,0,3,3))</f>
        <v>84.872649675684883</v>
      </c>
      <c r="V213">
        <f t="shared" ca="1" si="13"/>
        <v>3.9490933393081677E-2</v>
      </c>
    </row>
    <row r="214" spans="1:22">
      <c r="A214" s="170"/>
      <c r="B214" s="171">
        <v>2.6959782234951333</v>
      </c>
      <c r="C214" s="171">
        <v>1.0757798809975587</v>
      </c>
      <c r="D214" s="171">
        <v>4.997772423355884E-2</v>
      </c>
      <c r="E214" s="170">
        <v>0</v>
      </c>
      <c r="F214" s="170">
        <v>0</v>
      </c>
      <c r="G214" s="170">
        <v>-1.4990492230334603E-2</v>
      </c>
      <c r="H214" s="170">
        <v>0</v>
      </c>
      <c r="I214" s="170">
        <v>0</v>
      </c>
      <c r="J214" s="170">
        <v>0</v>
      </c>
      <c r="K214" s="170">
        <v>0</v>
      </c>
      <c r="L214">
        <v>4.2140493534193304</v>
      </c>
      <c r="N214" s="172"/>
      <c r="O214" s="35">
        <f ca="1">MCond(OFFSET($B$12,(ROW(A203)-1)*4,0,3,3))</f>
        <v>5.155149298810846</v>
      </c>
      <c r="P214" s="35" t="str">
        <f ca="1">MCond(OFFSET($B$12,(ROW(B203)-1)*4,0,3,6))</f>
        <v>?</v>
      </c>
      <c r="Q214" s="35">
        <f ca="1">MCond(OFFSET($E$12,(ROW(C203)-1)*4,0,3,3))</f>
        <v>1</v>
      </c>
      <c r="R214" s="35">
        <f ca="1">MCond(OFFSET($I$12,(ROW(D203)-1)*4,0,3,3))</f>
        <v>4.2363530294191181</v>
      </c>
      <c r="S214">
        <v>202</v>
      </c>
      <c r="T214" s="35">
        <f ca="1">MCond(OFFSET($B$12,(ROW(A202)-1)*4,0,3,3))</f>
        <v>33.069426713699293</v>
      </c>
      <c r="V214">
        <f t="shared" ca="1" si="13"/>
        <v>1.5387083267558612E-2</v>
      </c>
    </row>
    <row r="215" spans="1:22">
      <c r="A215" s="170"/>
      <c r="B215" s="171"/>
      <c r="C215" s="171"/>
      <c r="D215" s="171"/>
      <c r="E215" s="170"/>
      <c r="F215" s="170"/>
      <c r="G215" s="170"/>
      <c r="H215" s="170"/>
      <c r="I215" s="170"/>
      <c r="J215" s="170"/>
      <c r="K215" s="170"/>
      <c r="N215" s="173"/>
      <c r="O215" s="35">
        <f ca="1">MCond(OFFSET($B$12,(ROW(A204)-1)*4,0,3,3))</f>
        <v>103.43008876337434</v>
      </c>
      <c r="P215" s="35" t="str">
        <f ca="1">MCond(OFFSET($B$12,(ROW(B204)-1)*4,0,3,6))</f>
        <v>?</v>
      </c>
      <c r="Q215" s="35">
        <f ca="1">MCond(OFFSET($E$12,(ROW(C204)-1)*4,0,3,3))</f>
        <v>1</v>
      </c>
      <c r="R215" s="35" t="str">
        <f ca="1">MCond(OFFSET($I$12,(ROW(D204)-1)*4,0,3,3))</f>
        <v>?</v>
      </c>
      <c r="S215">
        <v>203</v>
      </c>
      <c r="T215" s="35">
        <f ca="1">MCond(OFFSET($B$12,(ROW(A203)-1)*4,0,3,3))</f>
        <v>5.155149298810846</v>
      </c>
      <c r="V215">
        <f t="shared" ca="1" si="13"/>
        <v>2.3986721089615613E-3</v>
      </c>
    </row>
    <row r="216" spans="1:22">
      <c r="A216" s="170"/>
      <c r="B216" s="171">
        <v>2.2957880185781296</v>
      </c>
      <c r="C216" s="171">
        <v>-8.2263663034425338E-3</v>
      </c>
      <c r="D216" s="171">
        <v>3.3137218009327896E-2</v>
      </c>
      <c r="E216" s="170">
        <v>-1.4990492230334603E-2</v>
      </c>
      <c r="F216" s="170">
        <v>0</v>
      </c>
      <c r="G216" s="170">
        <v>0</v>
      </c>
      <c r="H216" s="170">
        <v>0</v>
      </c>
      <c r="I216" s="170">
        <v>0</v>
      </c>
      <c r="J216" s="170">
        <v>0</v>
      </c>
      <c r="K216" s="170">
        <v>0</v>
      </c>
      <c r="L216">
        <v>2.6359041872834252</v>
      </c>
      <c r="N216" s="172"/>
      <c r="O216" s="35">
        <f ca="1">MCond(OFFSET($B$12,(ROW(A205)-1)*4,0,3,3))</f>
        <v>8.5031850746050246</v>
      </c>
      <c r="P216" s="35" t="str">
        <f ca="1">MCond(OFFSET($B$12,(ROW(B205)-1)*4,0,3,6))</f>
        <v>?</v>
      </c>
      <c r="Q216" s="35">
        <f ca="1">MCond(OFFSET($E$12,(ROW(C205)-1)*4,0,3,3))</f>
        <v>1</v>
      </c>
      <c r="R216" s="35">
        <f ca="1">MCond(OFFSET($I$12,(ROW(D205)-1)*4,0,3,3))</f>
        <v>1.5367601986564421</v>
      </c>
      <c r="S216">
        <v>204</v>
      </c>
      <c r="T216" s="35">
        <f ca="1">MCond(OFFSET($B$12,(ROW(A204)-1)*4,0,3,3))</f>
        <v>103.43008876337434</v>
      </c>
      <c r="V216">
        <f t="shared" ca="1" si="13"/>
        <v>4.8125641909411508E-2</v>
      </c>
    </row>
    <row r="217" spans="1:22">
      <c r="A217" s="170" t="s">
        <v>265</v>
      </c>
      <c r="B217" s="171">
        <v>-0.14897154656832046</v>
      </c>
      <c r="C217" s="171">
        <v>0.84725762547333594</v>
      </c>
      <c r="D217" s="171">
        <v>-1.9759438806851826E-2</v>
      </c>
      <c r="E217" s="170">
        <v>0</v>
      </c>
      <c r="F217" s="170">
        <v>-1.4990492230334603E-2</v>
      </c>
      <c r="G217" s="170">
        <v>0</v>
      </c>
      <c r="H217" s="170">
        <v>0</v>
      </c>
      <c r="I217" s="170">
        <v>0</v>
      </c>
      <c r="J217" s="170">
        <v>0</v>
      </c>
      <c r="K217" s="170">
        <v>0</v>
      </c>
      <c r="L217">
        <v>0.37021422051581732</v>
      </c>
      <c r="N217" s="172">
        <f>MCond(B216:D218)</f>
        <v>49.448565792947846</v>
      </c>
      <c r="O217" s="35">
        <f ca="1">MCond(OFFSET($B$12,(ROW(A206)-1)*4,0,3,3))</f>
        <v>6.3921465350608555</v>
      </c>
      <c r="P217" s="35" t="str">
        <f ca="1">MCond(OFFSET($B$12,(ROW(B206)-1)*4,0,3,6))</f>
        <v>?</v>
      </c>
      <c r="Q217" s="35">
        <f ca="1">MCond(OFFSET($E$12,(ROW(C206)-1)*4,0,3,3))</f>
        <v>1</v>
      </c>
      <c r="R217" s="35" t="str">
        <f ca="1">MCond(OFFSET($I$12,(ROW(D206)-1)*4,0,3,3))</f>
        <v>?</v>
      </c>
      <c r="S217">
        <v>205</v>
      </c>
      <c r="T217" s="35">
        <f ca="1">MCond(OFFSET($B$12,(ROW(A205)-1)*4,0,3,3))</f>
        <v>8.5031850746050246</v>
      </c>
      <c r="V217">
        <f t="shared" ca="1" si="13"/>
        <v>3.9565009068696019E-3</v>
      </c>
    </row>
    <row r="218" spans="1:22">
      <c r="A218" s="170"/>
      <c r="B218" s="171">
        <v>0.21871711292247331</v>
      </c>
      <c r="C218" s="171">
        <v>2.1363371502498802</v>
      </c>
      <c r="D218" s="171">
        <v>8.9790398854103559E-2</v>
      </c>
      <c r="E218" s="170">
        <v>0</v>
      </c>
      <c r="F218" s="170">
        <v>0</v>
      </c>
      <c r="G218" s="170">
        <v>-1.4990492230334603E-2</v>
      </c>
      <c r="H218" s="170">
        <v>0</v>
      </c>
      <c r="I218" s="170">
        <v>0</v>
      </c>
      <c r="J218" s="170">
        <v>0</v>
      </c>
      <c r="K218" s="170">
        <v>0</v>
      </c>
      <c r="L218">
        <v>2.3099179553746505</v>
      </c>
      <c r="N218" s="172"/>
      <c r="O218" s="35">
        <f ca="1">MCond(OFFSET($B$12,(ROW(A207)-1)*4,0,3,3))</f>
        <v>36.849822091727596</v>
      </c>
      <c r="P218" s="35" t="str">
        <f ca="1">MCond(OFFSET($B$12,(ROW(B207)-1)*4,0,3,6))</f>
        <v>?</v>
      </c>
      <c r="Q218" s="35">
        <f ca="1">MCond(OFFSET($E$12,(ROW(C207)-1)*4,0,3,3))</f>
        <v>1</v>
      </c>
      <c r="R218" s="35" t="str">
        <f ca="1">MCond(OFFSET($I$12,(ROW(D207)-1)*4,0,3,3))</f>
        <v>?</v>
      </c>
      <c r="S218">
        <v>206</v>
      </c>
      <c r="T218" s="35">
        <f ca="1">MCond(OFFSET($B$12,(ROW(A206)-1)*4,0,3,3))</f>
        <v>6.3921465350608555</v>
      </c>
      <c r="V218">
        <f t="shared" ca="1" si="13"/>
        <v>2.9742423975155463E-3</v>
      </c>
    </row>
    <row r="219" spans="1:22">
      <c r="A219" s="170"/>
      <c r="B219" s="171"/>
      <c r="C219" s="171"/>
      <c r="D219" s="171"/>
      <c r="E219" s="170"/>
      <c r="F219" s="170"/>
      <c r="G219" s="170"/>
      <c r="H219" s="170"/>
      <c r="I219" s="170"/>
      <c r="J219" s="170"/>
      <c r="K219" s="170"/>
      <c r="N219" s="173"/>
      <c r="O219" s="35">
        <f ca="1">MCond(OFFSET($B$12,(ROW(A208)-1)*4,0,3,3))</f>
        <v>4.1630934361703984</v>
      </c>
      <c r="P219" s="35" t="str">
        <f ca="1">MCond(OFFSET($B$12,(ROW(B208)-1)*4,0,3,6))</f>
        <v>?</v>
      </c>
      <c r="Q219" s="35">
        <f ca="1">MCond(OFFSET($E$12,(ROW(C208)-1)*4,0,3,3))</f>
        <v>1</v>
      </c>
      <c r="R219" s="35">
        <f ca="1">MCond(OFFSET($I$12,(ROW(D208)-1)*4,0,3,3))</f>
        <v>4.2363530294191181</v>
      </c>
      <c r="S219">
        <v>207</v>
      </c>
      <c r="T219" s="35">
        <f ca="1">MCond(OFFSET($B$12,(ROW(A207)-1)*4,0,3,3))</f>
        <v>36.849822091727596</v>
      </c>
      <c r="V219">
        <f t="shared" ca="1" si="13"/>
        <v>1.7146087406626983E-2</v>
      </c>
    </row>
    <row r="220" spans="1:22">
      <c r="A220" s="170"/>
      <c r="B220" s="171">
        <v>2.2957880185781296</v>
      </c>
      <c r="C220" s="171">
        <v>-8.2263663034425338E-3</v>
      </c>
      <c r="D220" s="171">
        <v>3.3137218009327896E-2</v>
      </c>
      <c r="E220" s="170">
        <v>-1.4990492230334603E-2</v>
      </c>
      <c r="F220" s="170">
        <v>0</v>
      </c>
      <c r="G220" s="170">
        <v>0</v>
      </c>
      <c r="H220" s="170">
        <v>0</v>
      </c>
      <c r="I220" s="170">
        <v>0</v>
      </c>
      <c r="J220" s="170">
        <v>0</v>
      </c>
      <c r="K220" s="170">
        <v>0</v>
      </c>
      <c r="L220">
        <v>2.6359041872834252</v>
      </c>
      <c r="N220" s="172"/>
      <c r="O220" s="35">
        <f ca="1">MCond(OFFSET($B$12,(ROW(A209)-1)*4,0,3,3))</f>
        <v>3.3413406696182579</v>
      </c>
      <c r="P220" s="35" t="str">
        <f ca="1">MCond(OFFSET($B$12,(ROW(B209)-1)*4,0,3,6))</f>
        <v>?</v>
      </c>
      <c r="Q220" s="35">
        <f ca="1">MCond(OFFSET($E$12,(ROW(C209)-1)*4,0,3,3))</f>
        <v>1</v>
      </c>
      <c r="R220" s="35" t="str">
        <f ca="1">MCond(OFFSET($I$12,(ROW(D209)-1)*4,0,3,3))</f>
        <v>?</v>
      </c>
      <c r="S220">
        <v>208</v>
      </c>
      <c r="T220" s="35">
        <f ca="1">MCond(OFFSET($B$12,(ROW(A208)-1)*4,0,3,3))</f>
        <v>4.1630934361703984</v>
      </c>
      <c r="V220">
        <f t="shared" ca="1" si="13"/>
        <v>1.9370721454461774E-3</v>
      </c>
    </row>
    <row r="221" spans="1:22">
      <c r="A221" s="170" t="s">
        <v>266</v>
      </c>
      <c r="B221" s="171">
        <v>-0.14897154656832046</v>
      </c>
      <c r="C221" s="171">
        <v>0.84725762547333594</v>
      </c>
      <c r="D221" s="171">
        <v>-1.9759438806851826E-2</v>
      </c>
      <c r="E221" s="170">
        <v>0</v>
      </c>
      <c r="F221" s="170">
        <v>-1.4990492230334603E-2</v>
      </c>
      <c r="G221" s="170">
        <v>0</v>
      </c>
      <c r="H221" s="170">
        <v>0</v>
      </c>
      <c r="I221" s="170">
        <v>0</v>
      </c>
      <c r="J221" s="170">
        <v>0</v>
      </c>
      <c r="K221" s="170">
        <v>0</v>
      </c>
      <c r="L221">
        <v>0.37021422051581732</v>
      </c>
      <c r="N221" s="172">
        <f>MCond(B220:D222)</f>
        <v>317.80209627578216</v>
      </c>
      <c r="O221" s="35">
        <f ca="1">MCond(OFFSET($B$12,(ROW(A210)-1)*4,0,3,3))</f>
        <v>8.7645356999874178</v>
      </c>
      <c r="P221" s="35" t="str">
        <f ca="1">MCond(OFFSET($B$12,(ROW(B210)-1)*4,0,3,6))</f>
        <v>?</v>
      </c>
      <c r="Q221" s="35">
        <f ca="1">MCond(OFFSET($E$12,(ROW(C210)-1)*4,0,3,3))</f>
        <v>1</v>
      </c>
      <c r="R221" s="35" t="str">
        <f ca="1">MCond(OFFSET($I$12,(ROW(D210)-1)*4,0,3,3))</f>
        <v>?</v>
      </c>
      <c r="S221">
        <v>209</v>
      </c>
      <c r="T221" s="35">
        <f ca="1">MCond(OFFSET($B$12,(ROW(A209)-1)*4,0,3,3))</f>
        <v>3.3413406696182579</v>
      </c>
      <c r="V221">
        <f t="shared" ca="1" si="13"/>
        <v>1.5547135894979911E-3</v>
      </c>
    </row>
    <row r="222" spans="1:22">
      <c r="A222" s="170"/>
      <c r="B222" s="171">
        <v>1.8375474863113905</v>
      </c>
      <c r="C222" s="171">
        <v>2.1167426559988707</v>
      </c>
      <c r="D222" s="171">
        <v>1.2367606559382516E-2</v>
      </c>
      <c r="E222" s="170">
        <v>0</v>
      </c>
      <c r="F222" s="170">
        <v>0</v>
      </c>
      <c r="G222" s="170">
        <v>-1.4990492230334603E-2</v>
      </c>
      <c r="H222" s="170">
        <v>0</v>
      </c>
      <c r="I222" s="170">
        <v>0</v>
      </c>
      <c r="J222" s="170">
        <v>0</v>
      </c>
      <c r="K222" s="170">
        <v>0</v>
      </c>
      <c r="L222">
        <v>3.9286665969332351</v>
      </c>
      <c r="N222" s="172"/>
      <c r="O222" s="35">
        <f ca="1">MCond(OFFSET($B$12,(ROW(A211)-1)*4,0,3,3))</f>
        <v>6.2959412294601558</v>
      </c>
      <c r="P222" s="35" t="str">
        <f ca="1">MCond(OFFSET($B$12,(ROW(B211)-1)*4,0,3,6))</f>
        <v>?</v>
      </c>
      <c r="Q222" s="35">
        <f ca="1">MCond(OFFSET($E$12,(ROW(C211)-1)*4,0,3,3))</f>
        <v>1</v>
      </c>
      <c r="R222" s="35" t="str">
        <f ca="1">MCond(OFFSET($I$12,(ROW(D211)-1)*4,0,3,3))</f>
        <v>?</v>
      </c>
      <c r="S222">
        <v>210</v>
      </c>
      <c r="T222" s="35">
        <f ca="1">MCond(OFFSET($B$12,(ROW(A210)-1)*4,0,3,3))</f>
        <v>8.7645356999874178</v>
      </c>
      <c r="V222">
        <f t="shared" ca="1" si="13"/>
        <v>4.0781063967259314E-3</v>
      </c>
    </row>
    <row r="223" spans="1:22">
      <c r="A223" s="170"/>
      <c r="B223" s="171"/>
      <c r="C223" s="171"/>
      <c r="D223" s="171"/>
      <c r="E223" s="170"/>
      <c r="F223" s="170"/>
      <c r="G223" s="170"/>
      <c r="H223" s="170"/>
      <c r="I223" s="170"/>
      <c r="J223" s="170"/>
      <c r="K223" s="170"/>
      <c r="N223" s="173"/>
      <c r="O223" s="35">
        <f ca="1">MCond(OFFSET($B$12,(ROW(A212)-1)*4,0,3,3))</f>
        <v>14.956503161585864</v>
      </c>
      <c r="P223" s="35" t="str">
        <f ca="1">MCond(OFFSET($B$12,(ROW(B212)-1)*4,0,3,6))</f>
        <v>?</v>
      </c>
      <c r="Q223" s="35">
        <f ca="1">MCond(OFFSET($E$12,(ROW(C212)-1)*4,0,3,3))</f>
        <v>1</v>
      </c>
      <c r="R223" s="35" t="str">
        <f ca="1">MCond(OFFSET($I$12,(ROW(D212)-1)*4,0,3,3))</f>
        <v>?</v>
      </c>
      <c r="S223">
        <v>211</v>
      </c>
      <c r="T223" s="35">
        <f ca="1">MCond(OFFSET($B$12,(ROW(A211)-1)*4,0,3,3))</f>
        <v>6.2959412294601558</v>
      </c>
      <c r="V223">
        <f t="shared" ca="1" si="13"/>
        <v>2.9294784207803326E-3</v>
      </c>
    </row>
    <row r="224" spans="1:22">
      <c r="A224" s="170"/>
      <c r="B224" s="171">
        <v>2.2957880185781296</v>
      </c>
      <c r="C224" s="171">
        <v>-8.2263663034425338E-3</v>
      </c>
      <c r="D224" s="171">
        <v>3.3137218009327896E-2</v>
      </c>
      <c r="E224" s="170">
        <v>-1.4990492230334603E-2</v>
      </c>
      <c r="F224" s="170">
        <v>0</v>
      </c>
      <c r="G224" s="170">
        <v>0</v>
      </c>
      <c r="H224" s="170">
        <v>0</v>
      </c>
      <c r="I224" s="170">
        <v>0</v>
      </c>
      <c r="J224" s="170">
        <v>0</v>
      </c>
      <c r="K224" s="170">
        <v>0</v>
      </c>
      <c r="L224">
        <v>2.6359041872834252</v>
      </c>
      <c r="N224" s="172"/>
      <c r="O224" s="35">
        <f ca="1">MCond(OFFSET($B$12,(ROW(A213)-1)*4,0,3,3))</f>
        <v>6.4314927648957179</v>
      </c>
      <c r="P224" s="35" t="str">
        <f ca="1">MCond(OFFSET($B$12,(ROW(B213)-1)*4,0,3,6))</f>
        <v>?</v>
      </c>
      <c r="Q224" s="35">
        <f ca="1">MCond(OFFSET($E$12,(ROW(C213)-1)*4,0,3,3))</f>
        <v>1</v>
      </c>
      <c r="R224" s="35" t="str">
        <f ca="1">MCond(OFFSET($I$12,(ROW(D213)-1)*4,0,3,3))</f>
        <v>?</v>
      </c>
      <c r="S224">
        <v>212</v>
      </c>
      <c r="T224" s="35">
        <f ca="1">MCond(OFFSET($B$12,(ROW(A212)-1)*4,0,3,3))</f>
        <v>14.956503161585864</v>
      </c>
      <c r="V224">
        <f t="shared" ca="1" si="13"/>
        <v>6.9592062037014124E-3</v>
      </c>
    </row>
    <row r="225" spans="1:22">
      <c r="A225" s="170" t="s">
        <v>267</v>
      </c>
      <c r="B225" s="171">
        <v>-0.14897154656832046</v>
      </c>
      <c r="C225" s="171">
        <v>0.84725762547333594</v>
      </c>
      <c r="D225" s="171">
        <v>-1.9759438806851826E-2</v>
      </c>
      <c r="E225" s="170">
        <v>0</v>
      </c>
      <c r="F225" s="170">
        <v>-1.4990492230334603E-2</v>
      </c>
      <c r="G225" s="170">
        <v>0</v>
      </c>
      <c r="H225" s="170">
        <v>0</v>
      </c>
      <c r="I225" s="170">
        <v>0</v>
      </c>
      <c r="J225" s="170">
        <v>0</v>
      </c>
      <c r="K225" s="170">
        <v>0</v>
      </c>
      <c r="L225">
        <v>0.37021422051581732</v>
      </c>
      <c r="N225" s="172">
        <f>MCond(B224:D226)</f>
        <v>15.482311838444748</v>
      </c>
      <c r="O225" s="35">
        <f ca="1">MCond(OFFSET($B$12,(ROW(A214)-1)*4,0,3,3))</f>
        <v>8.8485901024953062</v>
      </c>
      <c r="P225" s="35" t="str">
        <f ca="1">MCond(OFFSET($B$12,(ROW(B214)-1)*4,0,3,6))</f>
        <v>?</v>
      </c>
      <c r="Q225" s="35">
        <f ca="1">MCond(OFFSET($E$12,(ROW(C214)-1)*4,0,3,3))</f>
        <v>1</v>
      </c>
      <c r="R225" s="35" t="str">
        <f ca="1">MCond(OFFSET($I$12,(ROW(D214)-1)*4,0,3,3))</f>
        <v>?</v>
      </c>
      <c r="S225">
        <v>213</v>
      </c>
      <c r="T225" s="35">
        <f ca="1">MCond(OFFSET($B$12,(ROW(A213)-1)*4,0,3,3))</f>
        <v>6.4314927648957179</v>
      </c>
      <c r="V225">
        <f t="shared" ca="1" si="13"/>
        <v>2.9925500543121104E-3</v>
      </c>
    </row>
    <row r="226" spans="1:22">
      <c r="A226" s="170"/>
      <c r="B226" s="171">
        <v>1.2284177840385118</v>
      </c>
      <c r="C226" s="171">
        <v>2.3993580133895418</v>
      </c>
      <c r="D226" s="171">
        <v>-0.6756623603325641</v>
      </c>
      <c r="E226" s="170">
        <v>0</v>
      </c>
      <c r="F226" s="170">
        <v>0</v>
      </c>
      <c r="G226" s="170">
        <v>-1.4990492230334603E-2</v>
      </c>
      <c r="H226" s="170">
        <v>0</v>
      </c>
      <c r="I226" s="170">
        <v>0</v>
      </c>
      <c r="J226" s="170">
        <v>0</v>
      </c>
      <c r="K226" s="170">
        <v>0</v>
      </c>
      <c r="L226">
        <v>3.8612243768644339</v>
      </c>
      <c r="N226" s="172"/>
      <c r="O226" s="35">
        <f ca="1">MCond(OFFSET($B$12,(ROW(A215)-1)*4,0,3,3))</f>
        <v>3.9236550276169364</v>
      </c>
      <c r="P226" s="35" t="str">
        <f ca="1">MCond(OFFSET($B$12,(ROW(B215)-1)*4,0,3,6))</f>
        <v>?</v>
      </c>
      <c r="Q226" s="35">
        <f ca="1">MCond(OFFSET($E$12,(ROW(C215)-1)*4,0,3,3))</f>
        <v>1</v>
      </c>
      <c r="R226" s="35" t="str">
        <f ca="1">MCond(OFFSET($I$12,(ROW(D215)-1)*4,0,3,3))</f>
        <v>?</v>
      </c>
      <c r="S226">
        <v>214</v>
      </c>
      <c r="T226" s="35">
        <f ca="1">MCond(OFFSET($B$12,(ROW(A214)-1)*4,0,3,3))</f>
        <v>8.8485901024953062</v>
      </c>
      <c r="V226">
        <f t="shared" ca="1" si="13"/>
        <v>4.1172166027053413E-3</v>
      </c>
    </row>
    <row r="227" spans="1:22">
      <c r="A227" s="170"/>
      <c r="B227" s="171"/>
      <c r="C227" s="171"/>
      <c r="D227" s="171"/>
      <c r="E227" s="170"/>
      <c r="F227" s="170"/>
      <c r="G227" s="170"/>
      <c r="H227" s="170"/>
      <c r="I227" s="170"/>
      <c r="J227" s="170"/>
      <c r="K227" s="170"/>
      <c r="N227" s="173"/>
      <c r="O227" s="35">
        <f ca="1">MCond(OFFSET($B$12,(ROW(A216)-1)*4,0,3,3))</f>
        <v>6.037916237878159</v>
      </c>
      <c r="P227" s="35" t="str">
        <f ca="1">MCond(OFFSET($B$12,(ROW(B216)-1)*4,0,3,6))</f>
        <v>?</v>
      </c>
      <c r="Q227" s="35">
        <f ca="1">MCond(OFFSET($E$12,(ROW(C216)-1)*4,0,3,3))</f>
        <v>1</v>
      </c>
      <c r="R227" s="35" t="str">
        <f ca="1">MCond(OFFSET($I$12,(ROW(D216)-1)*4,0,3,3))</f>
        <v>?</v>
      </c>
      <c r="S227">
        <v>215</v>
      </c>
      <c r="T227" s="35">
        <f ca="1">MCond(OFFSET($B$12,(ROW(A215)-1)*4,0,3,3))</f>
        <v>3.9236550276169364</v>
      </c>
      <c r="V227">
        <f t="shared" ca="1" si="13"/>
        <v>1.8256623299159431E-3</v>
      </c>
    </row>
    <row r="228" spans="1:22">
      <c r="A228" s="170"/>
      <c r="B228" s="171">
        <v>2.2957880185781296</v>
      </c>
      <c r="C228" s="171">
        <v>-8.2263663034425338E-3</v>
      </c>
      <c r="D228" s="171">
        <v>3.3137218009327896E-2</v>
      </c>
      <c r="E228" s="170">
        <v>-1.4990492230334603E-2</v>
      </c>
      <c r="F228" s="170">
        <v>0</v>
      </c>
      <c r="G228" s="170">
        <v>0</v>
      </c>
      <c r="H228" s="170">
        <v>0</v>
      </c>
      <c r="I228" s="170">
        <v>0</v>
      </c>
      <c r="J228" s="170">
        <v>0</v>
      </c>
      <c r="K228" s="170">
        <v>0</v>
      </c>
      <c r="L228">
        <v>2.6359041872834252</v>
      </c>
      <c r="N228" s="172"/>
      <c r="O228" s="35">
        <f ca="1">MCond(OFFSET($B$12,(ROW(A217)-1)*4,0,3,3))</f>
        <v>12.875006476495159</v>
      </c>
      <c r="P228" s="35" t="str">
        <f ca="1">MCond(OFFSET($B$12,(ROW(B217)-1)*4,0,3,6))</f>
        <v>?</v>
      </c>
      <c r="Q228" s="35">
        <f ca="1">MCond(OFFSET($E$12,(ROW(C217)-1)*4,0,3,3))</f>
        <v>1</v>
      </c>
      <c r="R228" s="35" t="str">
        <f ca="1">MCond(OFFSET($I$12,(ROW(D217)-1)*4,0,3,3))</f>
        <v>?</v>
      </c>
      <c r="S228">
        <v>216</v>
      </c>
      <c r="T228" s="35">
        <f ca="1">MCond(OFFSET($B$12,(ROW(A216)-1)*4,0,3,3))</f>
        <v>6.037916237878159</v>
      </c>
      <c r="V228">
        <f t="shared" ca="1" si="13"/>
        <v>2.8094203361647145E-3</v>
      </c>
    </row>
    <row r="229" spans="1:22">
      <c r="A229" s="170" t="s">
        <v>268</v>
      </c>
      <c r="B229" s="171">
        <v>2.6959782234951333</v>
      </c>
      <c r="C229" s="171">
        <v>1.0757798809975587</v>
      </c>
      <c r="D229" s="171">
        <v>4.997772423355884E-2</v>
      </c>
      <c r="E229" s="170">
        <v>0</v>
      </c>
      <c r="F229" s="170">
        <v>-1.4990492230334603E-2</v>
      </c>
      <c r="G229" s="170">
        <v>0</v>
      </c>
      <c r="H229" s="170">
        <v>0</v>
      </c>
      <c r="I229" s="170">
        <v>0</v>
      </c>
      <c r="J229" s="170">
        <v>0</v>
      </c>
      <c r="K229" s="170">
        <v>0</v>
      </c>
      <c r="L229">
        <v>4.2140493534193304</v>
      </c>
      <c r="N229" s="172">
        <f>MCond(B228:D230)</f>
        <v>180.39381408191585</v>
      </c>
      <c r="O229" s="35">
        <f ca="1">MCond(OFFSET($B$12,(ROW(A218)-1)*4,0,3,3))</f>
        <v>5.7889076511012911</v>
      </c>
      <c r="P229" s="35" t="str">
        <f ca="1">MCond(OFFSET($B$12,(ROW(B218)-1)*4,0,3,6))</f>
        <v>?</v>
      </c>
      <c r="Q229" s="35">
        <f ca="1">MCond(OFFSET($E$12,(ROW(C218)-1)*4,0,3,3))</f>
        <v>1</v>
      </c>
      <c r="R229" s="35" t="str">
        <f ca="1">MCond(OFFSET($I$12,(ROW(D218)-1)*4,0,3,3))</f>
        <v>?</v>
      </c>
      <c r="S229">
        <v>217</v>
      </c>
      <c r="T229" s="35">
        <f ca="1">MCond(OFFSET($B$12,(ROW(A217)-1)*4,0,3,3))</f>
        <v>12.875006476495159</v>
      </c>
      <c r="V229">
        <f t="shared" ca="1" si="13"/>
        <v>5.9906934111476186E-3</v>
      </c>
    </row>
    <row r="230" spans="1:22">
      <c r="A230" s="170"/>
      <c r="B230" s="171">
        <v>0.21871711292247331</v>
      </c>
      <c r="C230" s="171">
        <v>2.1363371502498802</v>
      </c>
      <c r="D230" s="171">
        <v>8.9790398854103559E-2</v>
      </c>
      <c r="E230" s="170">
        <v>0</v>
      </c>
      <c r="F230" s="170">
        <v>0</v>
      </c>
      <c r="G230" s="170">
        <v>-1.4990492230334603E-2</v>
      </c>
      <c r="H230" s="170">
        <v>0</v>
      </c>
      <c r="I230" s="170">
        <v>0</v>
      </c>
      <c r="J230" s="170">
        <v>0</v>
      </c>
      <c r="K230" s="170">
        <v>0</v>
      </c>
      <c r="L230">
        <v>2.3099179553746505</v>
      </c>
      <c r="N230" s="172"/>
      <c r="O230" s="35">
        <f ca="1">MCond(OFFSET($B$12,(ROW(A219)-1)*4,0,3,3))</f>
        <v>19.829028382126939</v>
      </c>
      <c r="P230" s="35" t="str">
        <f ca="1">MCond(OFFSET($B$12,(ROW(B219)-1)*4,0,3,6))</f>
        <v>?</v>
      </c>
      <c r="Q230" s="35">
        <f ca="1">MCond(OFFSET($E$12,(ROW(C219)-1)*4,0,3,3))</f>
        <v>1</v>
      </c>
      <c r="R230" s="35" t="str">
        <f ca="1">MCond(OFFSET($I$12,(ROW(D219)-1)*4,0,3,3))</f>
        <v>?</v>
      </c>
      <c r="S230">
        <v>218</v>
      </c>
      <c r="T230" s="35">
        <f ca="1">MCond(OFFSET($B$12,(ROW(A218)-1)*4,0,3,3))</f>
        <v>5.7889076511012911</v>
      </c>
      <c r="V230">
        <f t="shared" ca="1" si="13"/>
        <v>2.6935575517189982E-3</v>
      </c>
    </row>
    <row r="231" spans="1:22">
      <c r="A231" s="170"/>
      <c r="B231" s="171"/>
      <c r="C231" s="171"/>
      <c r="D231" s="171"/>
      <c r="E231" s="170"/>
      <c r="F231" s="170"/>
      <c r="G231" s="170"/>
      <c r="H231" s="170"/>
      <c r="I231" s="170"/>
      <c r="J231" s="170"/>
      <c r="K231" s="170"/>
      <c r="N231" s="173"/>
      <c r="O231" s="35">
        <f ca="1">MCond(OFFSET($B$12,(ROW(A220)-1)*4,0,3,3))</f>
        <v>6.768419778847786</v>
      </c>
      <c r="P231" s="35" t="str">
        <f ca="1">MCond(OFFSET($B$12,(ROW(B220)-1)*4,0,3,6))</f>
        <v>?</v>
      </c>
      <c r="Q231" s="35">
        <f ca="1">MCond(OFFSET($E$12,(ROW(C220)-1)*4,0,3,3))</f>
        <v>1</v>
      </c>
      <c r="R231" s="35" t="str">
        <f ca="1">MCond(OFFSET($I$12,(ROW(D220)-1)*4,0,3,3))</f>
        <v>?</v>
      </c>
      <c r="S231">
        <v>219</v>
      </c>
      <c r="T231" s="35">
        <f ca="1">MCond(OFFSET($B$12,(ROW(A219)-1)*4,0,3,3))</f>
        <v>19.829028382126939</v>
      </c>
      <c r="V231">
        <f t="shared" ca="1" si="13"/>
        <v>9.2263743630056766E-3</v>
      </c>
    </row>
    <row r="232" spans="1:22">
      <c r="A232" s="170"/>
      <c r="B232" s="171">
        <v>2.2957880185781296</v>
      </c>
      <c r="C232" s="171">
        <v>-8.2263663034425338E-3</v>
      </c>
      <c r="D232" s="171">
        <v>3.3137218009327896E-2</v>
      </c>
      <c r="E232" s="170">
        <v>-1.4990492230334603E-2</v>
      </c>
      <c r="F232" s="170">
        <v>0</v>
      </c>
      <c r="G232" s="170">
        <v>0</v>
      </c>
      <c r="H232" s="170">
        <v>0</v>
      </c>
      <c r="I232" s="170">
        <v>0</v>
      </c>
      <c r="J232" s="170">
        <v>0</v>
      </c>
      <c r="K232" s="170">
        <v>0</v>
      </c>
      <c r="L232">
        <v>2.6359041872834252</v>
      </c>
      <c r="N232" s="172"/>
      <c r="O232" s="35">
        <f ca="1">MCond(OFFSET($B$12,(ROW(A221)-1)*4,0,3,3))</f>
        <v>15.003266209049313</v>
      </c>
      <c r="P232" s="35" t="str">
        <f ca="1">MCond(OFFSET($B$12,(ROW(B221)-1)*4,0,3,6))</f>
        <v>?</v>
      </c>
      <c r="Q232" s="35">
        <f ca="1">MCond(OFFSET($E$12,(ROW(C221)-1)*4,0,3,3))</f>
        <v>1</v>
      </c>
      <c r="R232" s="35" t="str">
        <f ca="1">MCond(OFFSET($I$12,(ROW(D221)-1)*4,0,3,3))</f>
        <v>?</v>
      </c>
      <c r="S232">
        <v>220</v>
      </c>
      <c r="T232" s="35">
        <f ca="1">MCond(OFFSET($B$12,(ROW(A220)-1)*4,0,3,3))</f>
        <v>6.768419778847786</v>
      </c>
      <c r="V232">
        <f t="shared" ca="1" si="13"/>
        <v>3.1493209612786558E-3</v>
      </c>
    </row>
    <row r="233" spans="1:22">
      <c r="A233" s="170" t="s">
        <v>269</v>
      </c>
      <c r="B233" s="171">
        <v>2.6959782234951333</v>
      </c>
      <c r="C233" s="171">
        <v>1.0757798809975587</v>
      </c>
      <c r="D233" s="171">
        <v>4.997772423355884E-2</v>
      </c>
      <c r="E233" s="170">
        <v>0</v>
      </c>
      <c r="F233" s="170">
        <v>-1.4990492230334603E-2</v>
      </c>
      <c r="G233" s="170">
        <v>0</v>
      </c>
      <c r="H233" s="170">
        <v>0</v>
      </c>
      <c r="I233" s="170">
        <v>0</v>
      </c>
      <c r="J233" s="170">
        <v>0</v>
      </c>
      <c r="K233" s="170">
        <v>0</v>
      </c>
      <c r="L233">
        <v>4.2140493534193304</v>
      </c>
      <c r="N233" s="172">
        <f>MCond(B232:D234)</f>
        <v>326.12223160360338</v>
      </c>
      <c r="O233" s="35">
        <f ca="1">MCond(OFFSET($B$12,(ROW(A222)-1)*4,0,3,3))</f>
        <v>3.7367318839826384</v>
      </c>
      <c r="P233" s="35" t="str">
        <f ca="1">MCond(OFFSET($B$12,(ROW(B222)-1)*4,0,3,6))</f>
        <v>?</v>
      </c>
      <c r="Q233" s="35">
        <f ca="1">MCond(OFFSET($E$12,(ROW(C222)-1)*4,0,3,3))</f>
        <v>1</v>
      </c>
      <c r="R233" s="35" t="str">
        <f ca="1">MCond(OFFSET($I$12,(ROW(D222)-1)*4,0,3,3))</f>
        <v>?</v>
      </c>
      <c r="S233">
        <v>221</v>
      </c>
      <c r="T233" s="35">
        <f ca="1">MCond(OFFSET($B$12,(ROW(A221)-1)*4,0,3,3))</f>
        <v>15.003266209049313</v>
      </c>
      <c r="V233">
        <f t="shared" ca="1" si="13"/>
        <v>6.9809648786066172E-3</v>
      </c>
    </row>
    <row r="234" spans="1:22">
      <c r="A234" s="170"/>
      <c r="B234" s="171">
        <v>1.8375474863113905</v>
      </c>
      <c r="C234" s="171">
        <v>2.1167426559988707</v>
      </c>
      <c r="D234" s="171">
        <v>1.2367606559382516E-2</v>
      </c>
      <c r="E234" s="170">
        <v>0</v>
      </c>
      <c r="F234" s="170">
        <v>0</v>
      </c>
      <c r="G234" s="170">
        <v>-1.4990492230334603E-2</v>
      </c>
      <c r="H234" s="170">
        <v>0</v>
      </c>
      <c r="I234" s="170">
        <v>0</v>
      </c>
      <c r="J234" s="170">
        <v>0</v>
      </c>
      <c r="K234" s="170">
        <v>0</v>
      </c>
      <c r="L234">
        <v>3.9286665969332351</v>
      </c>
      <c r="N234" s="172"/>
      <c r="O234" s="35">
        <f ca="1">MCond(OFFSET($B$12,(ROW(A223)-1)*4,0,3,3))</f>
        <v>7.2355412286088452</v>
      </c>
      <c r="P234" s="35" t="str">
        <f ca="1">MCond(OFFSET($B$12,(ROW(B223)-1)*4,0,3,6))</f>
        <v>?</v>
      </c>
      <c r="Q234" s="35">
        <f ca="1">MCond(OFFSET($E$12,(ROW(C223)-1)*4,0,3,3))</f>
        <v>1</v>
      </c>
      <c r="R234" s="35" t="str">
        <f ca="1">MCond(OFFSET($I$12,(ROW(D223)-1)*4,0,3,3))</f>
        <v>?</v>
      </c>
      <c r="S234">
        <v>222</v>
      </c>
      <c r="T234" s="35">
        <f ca="1">MCond(OFFSET($B$12,(ROW(A222)-1)*4,0,3,3))</f>
        <v>3.7367318839826384</v>
      </c>
      <c r="V234">
        <f t="shared" ca="1" si="13"/>
        <v>1.7386876750289484E-3</v>
      </c>
    </row>
    <row r="235" spans="1:22">
      <c r="A235" s="170"/>
      <c r="B235" s="171"/>
      <c r="C235" s="171"/>
      <c r="D235" s="171"/>
      <c r="E235" s="170"/>
      <c r="F235" s="170"/>
      <c r="G235" s="170"/>
      <c r="H235" s="170"/>
      <c r="I235" s="170"/>
      <c r="J235" s="170"/>
      <c r="K235" s="170"/>
      <c r="N235" s="173"/>
      <c r="O235" s="35">
        <f ca="1">MCond(OFFSET($B$12,(ROW(A224)-1)*4,0,3,3))</f>
        <v>6.3260146733038898</v>
      </c>
      <c r="P235" s="35" t="str">
        <f ca="1">MCond(OFFSET($B$12,(ROW(B224)-1)*4,0,3,6))</f>
        <v>?</v>
      </c>
      <c r="Q235" s="35">
        <f ca="1">MCond(OFFSET($E$12,(ROW(C224)-1)*4,0,3,3))</f>
        <v>1</v>
      </c>
      <c r="R235" s="35" t="str">
        <f ca="1">MCond(OFFSET($I$12,(ROW(D224)-1)*4,0,3,3))</f>
        <v>?</v>
      </c>
      <c r="S235">
        <v>223</v>
      </c>
      <c r="T235" s="35">
        <f ca="1">MCond(OFFSET($B$12,(ROW(A223)-1)*4,0,3,3))</f>
        <v>7.2355412286088452</v>
      </c>
      <c r="V235">
        <f t="shared" ca="1" si="13"/>
        <v>3.3666708629193328E-3</v>
      </c>
    </row>
    <row r="236" spans="1:22">
      <c r="A236" s="170"/>
      <c r="B236" s="171">
        <v>2.2957880185781296</v>
      </c>
      <c r="C236" s="171">
        <v>-8.2263663034425338E-3</v>
      </c>
      <c r="D236" s="171">
        <v>3.3137218009327896E-2</v>
      </c>
      <c r="E236" s="170">
        <v>-1.4990492230334603E-2</v>
      </c>
      <c r="F236" s="170">
        <v>0</v>
      </c>
      <c r="G236" s="170">
        <v>0</v>
      </c>
      <c r="H236" s="170">
        <v>0</v>
      </c>
      <c r="I236" s="170">
        <v>0</v>
      </c>
      <c r="J236" s="170">
        <v>0</v>
      </c>
      <c r="K236" s="170">
        <v>0</v>
      </c>
      <c r="L236">
        <v>2.6359041872834252</v>
      </c>
      <c r="N236" s="172"/>
      <c r="O236" s="35">
        <f ca="1">MCond(OFFSET($B$12,(ROW(A225)-1)*4,0,3,3))</f>
        <v>3.3124115126012943</v>
      </c>
      <c r="P236" s="35" t="str">
        <f ca="1">MCond(OFFSET($B$12,(ROW(B225)-1)*4,0,3,6))</f>
        <v>?</v>
      </c>
      <c r="Q236" s="35">
        <f ca="1">MCond(OFFSET($E$12,(ROW(C225)-1)*4,0,3,3))</f>
        <v>1</v>
      </c>
      <c r="R236" s="35" t="str">
        <f ca="1">MCond(OFFSET($I$12,(ROW(D225)-1)*4,0,3,3))</f>
        <v>?</v>
      </c>
      <c r="S236">
        <v>224</v>
      </c>
      <c r="T236" s="35">
        <f ca="1">MCond(OFFSET($B$12,(ROW(A224)-1)*4,0,3,3))</f>
        <v>6.3260146733038898</v>
      </c>
      <c r="V236">
        <f t="shared" ca="1" si="13"/>
        <v>2.9434714841791031E-3</v>
      </c>
    </row>
    <row r="237" spans="1:22">
      <c r="A237" s="170" t="s">
        <v>270</v>
      </c>
      <c r="B237" s="171">
        <v>2.6959782234951333</v>
      </c>
      <c r="C237" s="171">
        <v>1.0757798809975587</v>
      </c>
      <c r="D237" s="171">
        <v>4.997772423355884E-2</v>
      </c>
      <c r="E237" s="170">
        <v>0</v>
      </c>
      <c r="F237" s="170">
        <v>-1.4990492230334603E-2</v>
      </c>
      <c r="G237" s="170">
        <v>0</v>
      </c>
      <c r="H237" s="170">
        <v>0</v>
      </c>
      <c r="I237" s="170">
        <v>0</v>
      </c>
      <c r="J237" s="170">
        <v>0</v>
      </c>
      <c r="K237" s="170">
        <v>0</v>
      </c>
      <c r="L237">
        <v>4.2140493534193304</v>
      </c>
      <c r="N237" s="172">
        <f>MCond(B236:D238)</f>
        <v>19.373118971201439</v>
      </c>
      <c r="O237" s="35">
        <f ca="1">MCond(OFFSET($B$12,(ROW(A226)-1)*4,0,3,3))</f>
        <v>466.83042019142619</v>
      </c>
      <c r="P237" s="35" t="str">
        <f ca="1">MCond(OFFSET($B$12,(ROW(B226)-1)*4,0,3,6))</f>
        <v>?</v>
      </c>
      <c r="Q237" s="35">
        <f ca="1">MCond(OFFSET($E$12,(ROW(C226)-1)*4,0,3,3))</f>
        <v>1</v>
      </c>
      <c r="R237" s="35" t="str">
        <f ca="1">MCond(OFFSET($I$12,(ROW(D226)-1)*4,0,3,3))</f>
        <v>?</v>
      </c>
      <c r="S237">
        <v>225</v>
      </c>
      <c r="T237" s="35">
        <f ca="1">MCond(OFFSET($B$12,(ROW(A225)-1)*4,0,3,3))</f>
        <v>3.3124115126012943</v>
      </c>
      <c r="V237">
        <f t="shared" ca="1" si="13"/>
        <v>1.5412529585734187E-3</v>
      </c>
    </row>
    <row r="238" spans="1:22">
      <c r="A238" s="170"/>
      <c r="B238" s="171">
        <v>1.2284177840385118</v>
      </c>
      <c r="C238" s="171">
        <v>2.3993580133895418</v>
      </c>
      <c r="D238" s="171">
        <v>-0.6756623603325641</v>
      </c>
      <c r="E238" s="170">
        <v>0</v>
      </c>
      <c r="F238" s="170">
        <v>0</v>
      </c>
      <c r="G238" s="170">
        <v>-1.4990492230334603E-2</v>
      </c>
      <c r="H238" s="170">
        <v>0</v>
      </c>
      <c r="I238" s="170">
        <v>0</v>
      </c>
      <c r="J238" s="170">
        <v>0</v>
      </c>
      <c r="K238" s="170">
        <v>0</v>
      </c>
      <c r="L238">
        <v>3.8612243768644339</v>
      </c>
      <c r="N238" s="172"/>
      <c r="O238" s="35">
        <f ca="1">MCond(OFFSET($B$12,(ROW(A227)-1)*4,0,3,3))</f>
        <v>230.68313650592344</v>
      </c>
      <c r="P238" s="35" t="str">
        <f ca="1">MCond(OFFSET($B$12,(ROW(B227)-1)*4,0,3,6))</f>
        <v>?</v>
      </c>
      <c r="Q238" s="35">
        <f ca="1">MCond(OFFSET($E$12,(ROW(C227)-1)*4,0,3,3))</f>
        <v>1</v>
      </c>
      <c r="R238" s="35" t="str">
        <f ca="1">MCond(OFFSET($I$12,(ROW(D227)-1)*4,0,3,3))</f>
        <v>?</v>
      </c>
      <c r="S238">
        <v>226</v>
      </c>
      <c r="T238" s="35">
        <f ca="1">MCond(OFFSET($B$12,(ROW(A226)-1)*4,0,3,3))</f>
        <v>466.83042019142619</v>
      </c>
      <c r="V238">
        <f t="shared" ca="1" si="13"/>
        <v>0.21721448664663923</v>
      </c>
    </row>
    <row r="239" spans="1:22">
      <c r="A239" s="170"/>
      <c r="B239" s="171"/>
      <c r="C239" s="171"/>
      <c r="D239" s="171"/>
      <c r="E239" s="170"/>
      <c r="F239" s="170"/>
      <c r="G239" s="170"/>
      <c r="H239" s="170"/>
      <c r="I239" s="170"/>
      <c r="J239" s="170"/>
      <c r="K239" s="170"/>
      <c r="N239" s="173"/>
      <c r="O239" s="35">
        <f ca="1">MCond(OFFSET($B$12,(ROW(A228)-1)*4,0,3,3))</f>
        <v>46.088572117461673</v>
      </c>
      <c r="P239" s="35" t="str">
        <f ca="1">MCond(OFFSET($B$12,(ROW(B228)-1)*4,0,3,6))</f>
        <v>?</v>
      </c>
      <c r="Q239" s="35">
        <f ca="1">MCond(OFFSET($E$12,(ROW(C228)-1)*4,0,3,3))</f>
        <v>1</v>
      </c>
      <c r="R239" s="35" t="str">
        <f ca="1">MCond(OFFSET($I$12,(ROW(D228)-1)*4,0,3,3))</f>
        <v>?</v>
      </c>
      <c r="S239">
        <v>227</v>
      </c>
      <c r="T239" s="35">
        <f ca="1">MCond(OFFSET($B$12,(ROW(A227)-1)*4,0,3,3))</f>
        <v>230.68313650592344</v>
      </c>
      <c r="V239">
        <f t="shared" ca="1" si="13"/>
        <v>0.10733601947710228</v>
      </c>
    </row>
    <row r="240" spans="1:22">
      <c r="A240" s="170"/>
      <c r="B240" s="171">
        <v>2.2957880185781296</v>
      </c>
      <c r="C240" s="171">
        <v>-8.2263663034425338E-3</v>
      </c>
      <c r="D240" s="171">
        <v>3.3137218009327896E-2</v>
      </c>
      <c r="E240" s="170">
        <v>-1.4990492230334603E-2</v>
      </c>
      <c r="F240" s="170">
        <v>0</v>
      </c>
      <c r="G240" s="170">
        <v>0</v>
      </c>
      <c r="H240" s="170">
        <v>0</v>
      </c>
      <c r="I240" s="170">
        <v>0</v>
      </c>
      <c r="J240" s="170">
        <v>0</v>
      </c>
      <c r="K240" s="170">
        <v>0</v>
      </c>
      <c r="L240">
        <v>2.6359041872834252</v>
      </c>
      <c r="N240" s="172"/>
      <c r="O240" s="35">
        <f ca="1">MCond(OFFSET($B$12,(ROW(A229)-1)*4,0,3,3))</f>
        <v>5.2672257276525398</v>
      </c>
      <c r="P240" s="35" t="str">
        <f ca="1">MCond(OFFSET($B$12,(ROW(B229)-1)*4,0,3,6))</f>
        <v>?</v>
      </c>
      <c r="Q240" s="35">
        <f ca="1">MCond(OFFSET($E$12,(ROW(C229)-1)*4,0,3,3))</f>
        <v>1</v>
      </c>
      <c r="R240" s="35" t="str">
        <f ca="1">MCond(OFFSET($I$12,(ROW(D229)-1)*4,0,3,3))</f>
        <v>?</v>
      </c>
      <c r="S240">
        <v>228</v>
      </c>
      <c r="T240" s="35">
        <f ca="1">MCond(OFFSET($B$12,(ROW(A228)-1)*4,0,3,3))</f>
        <v>46.088572117461673</v>
      </c>
      <c r="V240">
        <f t="shared" ca="1" si="13"/>
        <v>2.1444843994240868E-2</v>
      </c>
    </row>
    <row r="241" spans="1:22">
      <c r="A241" s="170" t="s">
        <v>271</v>
      </c>
      <c r="B241" s="171">
        <v>0.21871711292247331</v>
      </c>
      <c r="C241" s="171">
        <v>2.1363371502498802</v>
      </c>
      <c r="D241" s="171">
        <v>8.9790398854103559E-2</v>
      </c>
      <c r="E241" s="170">
        <v>0</v>
      </c>
      <c r="F241" s="170">
        <v>-1.4990492230334603E-2</v>
      </c>
      <c r="G241" s="170">
        <v>0</v>
      </c>
      <c r="H241" s="170">
        <v>0</v>
      </c>
      <c r="I241" s="170">
        <v>0</v>
      </c>
      <c r="J241" s="170">
        <v>0</v>
      </c>
      <c r="K241" s="170">
        <v>0</v>
      </c>
      <c r="L241">
        <v>2.3099179553746505</v>
      </c>
      <c r="N241" s="172">
        <f>MCond(B240:D242)</f>
        <v>57.193413755542728</v>
      </c>
      <c r="O241" s="35">
        <f ca="1">MCond(OFFSET($B$12,(ROW(A230)-1)*4,0,3,3))</f>
        <v>1832.2683886248421</v>
      </c>
      <c r="P241" s="35" t="str">
        <f ca="1">MCond(OFFSET($B$12,(ROW(B230)-1)*4,0,3,6))</f>
        <v>?</v>
      </c>
      <c r="Q241" s="35">
        <f ca="1">MCond(OFFSET($E$12,(ROW(C230)-1)*4,0,3,3))</f>
        <v>1</v>
      </c>
      <c r="R241" s="35" t="str">
        <f ca="1">MCond(OFFSET($I$12,(ROW(D230)-1)*4,0,3,3))</f>
        <v>?</v>
      </c>
      <c r="S241">
        <v>229</v>
      </c>
      <c r="T241" s="35">
        <f ca="1">MCond(OFFSET($B$12,(ROW(A229)-1)*4,0,3,3))</f>
        <v>5.2672257276525398</v>
      </c>
      <c r="V241">
        <f t="shared" ca="1" si="13"/>
        <v>2.4508208612773474E-3</v>
      </c>
    </row>
    <row r="242" spans="1:22">
      <c r="A242" s="170"/>
      <c r="B242" s="171">
        <v>1.8375474863113905</v>
      </c>
      <c r="C242" s="171">
        <v>2.1167426559988707</v>
      </c>
      <c r="D242" s="171">
        <v>1.2367606559382516E-2</v>
      </c>
      <c r="E242" s="170">
        <v>0</v>
      </c>
      <c r="F242" s="170">
        <v>0</v>
      </c>
      <c r="G242" s="170">
        <v>-1.4990492230334603E-2</v>
      </c>
      <c r="H242" s="170">
        <v>0</v>
      </c>
      <c r="I242" s="170">
        <v>0</v>
      </c>
      <c r="J242" s="170">
        <v>0</v>
      </c>
      <c r="K242" s="170">
        <v>0</v>
      </c>
      <c r="L242">
        <v>3.9286665969332351</v>
      </c>
      <c r="N242" s="172"/>
      <c r="O242" s="35">
        <f ca="1">MCond(OFFSET($B$12,(ROW(A231)-1)*4,0,3,3))</f>
        <v>74.307372366081026</v>
      </c>
      <c r="P242" s="35" t="str">
        <f ca="1">MCond(OFFSET($B$12,(ROW(B231)-1)*4,0,3,6))</f>
        <v>?</v>
      </c>
      <c r="Q242" s="35">
        <f ca="1">MCond(OFFSET($E$12,(ROW(C231)-1)*4,0,3,3))</f>
        <v>1</v>
      </c>
      <c r="R242" s="35" t="str">
        <f ca="1">MCond(OFFSET($I$12,(ROW(D231)-1)*4,0,3,3))</f>
        <v>?</v>
      </c>
      <c r="S242">
        <v>230</v>
      </c>
      <c r="T242" s="35">
        <f ca="1">MCond(OFFSET($B$12,(ROW(A230)-1)*4,0,3,3))</f>
        <v>1832.2683886248421</v>
      </c>
      <c r="V242">
        <f t="shared" ca="1" si="13"/>
        <v>0.8525477779935805</v>
      </c>
    </row>
    <row r="243" spans="1:22">
      <c r="A243" s="170"/>
      <c r="B243" s="171"/>
      <c r="C243" s="171"/>
      <c r="D243" s="171"/>
      <c r="E243" s="170"/>
      <c r="F243" s="170"/>
      <c r="G243" s="170"/>
      <c r="H243" s="170"/>
      <c r="I243" s="170"/>
      <c r="J243" s="170"/>
      <c r="K243" s="170"/>
      <c r="N243" s="173"/>
      <c r="O243" s="35">
        <f ca="1">MCond(OFFSET($B$12,(ROW(A232)-1)*4,0,3,3))</f>
        <v>10.595880661889572</v>
      </c>
      <c r="P243" s="35" t="str">
        <f ca="1">MCond(OFFSET($B$12,(ROW(B232)-1)*4,0,3,6))</f>
        <v>?</v>
      </c>
      <c r="Q243" s="35">
        <f ca="1">MCond(OFFSET($E$12,(ROW(C232)-1)*4,0,3,3))</f>
        <v>1</v>
      </c>
      <c r="R243" s="35" t="str">
        <f ca="1">MCond(OFFSET($I$12,(ROW(D232)-1)*4,0,3,3))</f>
        <v>?</v>
      </c>
      <c r="S243">
        <v>231</v>
      </c>
      <c r="T243" s="35">
        <f ca="1">MCond(OFFSET($B$12,(ROW(A231)-1)*4,0,3,3))</f>
        <v>74.307372366081026</v>
      </c>
      <c r="V243">
        <f t="shared" ca="1" si="13"/>
        <v>3.4574948513296122E-2</v>
      </c>
    </row>
    <row r="244" spans="1:22">
      <c r="A244" s="170"/>
      <c r="B244" s="171">
        <v>2.2957880185781296</v>
      </c>
      <c r="C244" s="171">
        <v>-8.2263663034425338E-3</v>
      </c>
      <c r="D244" s="171">
        <v>3.3137218009327896E-2</v>
      </c>
      <c r="E244" s="170">
        <v>-1.4990492230334603E-2</v>
      </c>
      <c r="F244" s="170">
        <v>0</v>
      </c>
      <c r="G244" s="170">
        <v>0</v>
      </c>
      <c r="H244" s="170">
        <v>0</v>
      </c>
      <c r="I244" s="170">
        <v>0</v>
      </c>
      <c r="J244" s="170">
        <v>0</v>
      </c>
      <c r="K244" s="170">
        <v>0</v>
      </c>
      <c r="L244">
        <v>2.6359041872834252</v>
      </c>
      <c r="N244" s="172"/>
      <c r="O244" s="35">
        <f ca="1">MCond(OFFSET($B$12,(ROW(A233)-1)*4,0,3,3))</f>
        <v>36.89616878253937</v>
      </c>
      <c r="P244" s="35" t="str">
        <f ca="1">MCond(OFFSET($B$12,(ROW(B233)-1)*4,0,3,6))</f>
        <v>?</v>
      </c>
      <c r="Q244" s="35">
        <f ca="1">MCond(OFFSET($E$12,(ROW(C233)-1)*4,0,3,3))</f>
        <v>1</v>
      </c>
      <c r="R244" s="35" t="str">
        <f ca="1">MCond(OFFSET($I$12,(ROW(D233)-1)*4,0,3,3))</f>
        <v>?</v>
      </c>
      <c r="S244">
        <v>232</v>
      </c>
      <c r="T244" s="35">
        <f ca="1">MCond(OFFSET($B$12,(ROW(A232)-1)*4,0,3,3))</f>
        <v>10.595880661889572</v>
      </c>
      <c r="V244">
        <f t="shared" ca="1" si="13"/>
        <v>4.9302245076437417E-3</v>
      </c>
    </row>
    <row r="245" spans="1:22">
      <c r="A245" s="170" t="s">
        <v>272</v>
      </c>
      <c r="B245" s="171">
        <v>0.21871711292247331</v>
      </c>
      <c r="C245" s="171">
        <v>2.1363371502498802</v>
      </c>
      <c r="D245" s="171">
        <v>8.9790398854103559E-2</v>
      </c>
      <c r="E245" s="170">
        <v>0</v>
      </c>
      <c r="F245" s="170">
        <v>-1.4990492230334603E-2</v>
      </c>
      <c r="G245" s="170">
        <v>0</v>
      </c>
      <c r="H245" s="170">
        <v>0</v>
      </c>
      <c r="I245" s="170">
        <v>0</v>
      </c>
      <c r="J245" s="170">
        <v>0</v>
      </c>
      <c r="K245" s="170">
        <v>0</v>
      </c>
      <c r="L245">
        <v>2.3099179553746505</v>
      </c>
      <c r="N245" s="172">
        <f>MCond(B244:D246)</f>
        <v>7.0862524060099732</v>
      </c>
      <c r="O245" s="35">
        <f ca="1">MCond(OFFSET($B$12,(ROW(A234)-1)*4,0,3,3))</f>
        <v>4.8522872767527137</v>
      </c>
      <c r="P245" s="35" t="str">
        <f ca="1">MCond(OFFSET($B$12,(ROW(B234)-1)*4,0,3,6))</f>
        <v>?</v>
      </c>
      <c r="Q245" s="35">
        <f ca="1">MCond(OFFSET($E$12,(ROW(C234)-1)*4,0,3,3))</f>
        <v>1</v>
      </c>
      <c r="R245" s="35" t="str">
        <f ca="1">MCond(OFFSET($I$12,(ROW(D234)-1)*4,0,3,3))</f>
        <v>?</v>
      </c>
      <c r="S245">
        <v>233</v>
      </c>
      <c r="T245" s="35">
        <f ca="1">MCond(OFFSET($B$12,(ROW(A233)-1)*4,0,3,3))</f>
        <v>36.89616878253937</v>
      </c>
      <c r="V245">
        <f t="shared" ca="1" si="13"/>
        <v>1.7167652352305374E-2</v>
      </c>
    </row>
    <row r="246" spans="1:22">
      <c r="A246" s="170"/>
      <c r="B246" s="171">
        <v>1.2284177840385118</v>
      </c>
      <c r="C246" s="171">
        <v>2.3993580133895418</v>
      </c>
      <c r="D246" s="171">
        <v>-0.6756623603325641</v>
      </c>
      <c r="E246" s="170">
        <v>0</v>
      </c>
      <c r="F246" s="170">
        <v>0</v>
      </c>
      <c r="G246" s="170">
        <v>-1.4990492230334603E-2</v>
      </c>
      <c r="H246" s="170">
        <v>0</v>
      </c>
      <c r="I246" s="170">
        <v>0</v>
      </c>
      <c r="J246" s="170">
        <v>0</v>
      </c>
      <c r="K246" s="170">
        <v>0</v>
      </c>
      <c r="L246">
        <v>3.8612243768644339</v>
      </c>
      <c r="N246" s="172"/>
      <c r="O246" s="35">
        <f ca="1">MCond(OFFSET($B$12,(ROW(A235)-1)*4,0,3,3))</f>
        <v>4.8511161019732283</v>
      </c>
      <c r="P246" s="35" t="str">
        <f ca="1">MCond(OFFSET($B$12,(ROW(B235)-1)*4,0,3,6))</f>
        <v>?</v>
      </c>
      <c r="Q246" s="35">
        <f ca="1">MCond(OFFSET($E$12,(ROW(C235)-1)*4,0,3,3))</f>
        <v>1</v>
      </c>
      <c r="R246" s="35" t="str">
        <f ca="1">MCond(OFFSET($I$12,(ROW(D235)-1)*4,0,3,3))</f>
        <v>?</v>
      </c>
      <c r="S246">
        <v>234</v>
      </c>
      <c r="T246" s="35">
        <f ca="1">MCond(OFFSET($B$12,(ROW(A234)-1)*4,0,3,3))</f>
        <v>4.8522872767527137</v>
      </c>
      <c r="V246">
        <f t="shared" ca="1" si="13"/>
        <v>2.2577515180987285E-3</v>
      </c>
    </row>
    <row r="247" spans="1:22">
      <c r="A247" s="170"/>
      <c r="B247" s="171"/>
      <c r="C247" s="171"/>
      <c r="D247" s="171"/>
      <c r="E247" s="170"/>
      <c r="F247" s="170"/>
      <c r="G247" s="170"/>
      <c r="H247" s="170"/>
      <c r="I247" s="170"/>
      <c r="J247" s="170"/>
      <c r="K247" s="170"/>
      <c r="N247" s="173"/>
      <c r="O247" s="35">
        <f ca="1">MCond(OFFSET($B$12,(ROW(A236)-1)*4,0,3,3))</f>
        <v>223.5443970413034</v>
      </c>
      <c r="P247" s="35" t="str">
        <f ca="1">MCond(OFFSET($B$12,(ROW(B236)-1)*4,0,3,6))</f>
        <v>?</v>
      </c>
      <c r="Q247" s="35">
        <f ca="1">MCond(OFFSET($E$12,(ROW(C236)-1)*4,0,3,3))</f>
        <v>1</v>
      </c>
      <c r="R247" s="35" t="str">
        <f ca="1">MCond(OFFSET($I$12,(ROW(D236)-1)*4,0,3,3))</f>
        <v>?</v>
      </c>
      <c r="S247">
        <v>235</v>
      </c>
      <c r="T247" s="35">
        <f ca="1">MCond(OFFSET($B$12,(ROW(A235)-1)*4,0,3,3))</f>
        <v>4.8511161019732283</v>
      </c>
      <c r="V247">
        <f t="shared" ca="1" si="13"/>
        <v>2.2572065747584998E-3</v>
      </c>
    </row>
    <row r="248" spans="1:22">
      <c r="A248" s="170"/>
      <c r="B248" s="171">
        <v>2.2957880185781296</v>
      </c>
      <c r="C248" s="171">
        <v>-8.2263663034425338E-3</v>
      </c>
      <c r="D248" s="171">
        <v>3.3137218009327896E-2</v>
      </c>
      <c r="E248" s="170">
        <v>-1.4990492230334603E-2</v>
      </c>
      <c r="F248" s="170">
        <v>0</v>
      </c>
      <c r="G248" s="170">
        <v>0</v>
      </c>
      <c r="H248" s="170">
        <v>0</v>
      </c>
      <c r="I248" s="170">
        <v>0</v>
      </c>
      <c r="J248" s="170">
        <v>0</v>
      </c>
      <c r="K248" s="170">
        <v>0</v>
      </c>
      <c r="L248">
        <v>2.6359041872834252</v>
      </c>
      <c r="N248" s="172"/>
      <c r="O248" s="35">
        <f ca="1">MCond(OFFSET($B$12,(ROW(A237)-1)*4,0,3,3))</f>
        <v>33.712309903347119</v>
      </c>
      <c r="P248" s="35" t="str">
        <f ca="1">MCond(OFFSET($B$12,(ROW(B237)-1)*4,0,3,6))</f>
        <v>?</v>
      </c>
      <c r="Q248" s="35">
        <f ca="1">MCond(OFFSET($E$12,(ROW(C237)-1)*4,0,3,3))</f>
        <v>1</v>
      </c>
      <c r="R248" s="35" t="str">
        <f ca="1">MCond(OFFSET($I$12,(ROW(D237)-1)*4,0,3,3))</f>
        <v>?</v>
      </c>
      <c r="S248">
        <v>236</v>
      </c>
      <c r="T248" s="35">
        <f ca="1">MCond(OFFSET($B$12,(ROW(A236)-1)*4,0,3,3))</f>
        <v>223.5443970413034</v>
      </c>
      <c r="V248">
        <f t="shared" ca="1" si="13"/>
        <v>0.10401439012082403</v>
      </c>
    </row>
    <row r="249" spans="1:22">
      <c r="A249" s="170" t="s">
        <v>273</v>
      </c>
      <c r="B249" s="171">
        <v>1.8375474863113905</v>
      </c>
      <c r="C249" s="171">
        <v>2.1167426559988707</v>
      </c>
      <c r="D249" s="171">
        <v>1.2367606559382516E-2</v>
      </c>
      <c r="E249" s="170">
        <v>0</v>
      </c>
      <c r="F249" s="170">
        <v>-1.4990492230334603E-2</v>
      </c>
      <c r="G249" s="170">
        <v>0</v>
      </c>
      <c r="H249" s="170">
        <v>0</v>
      </c>
      <c r="I249" s="170">
        <v>0</v>
      </c>
      <c r="J249" s="170">
        <v>0</v>
      </c>
      <c r="K249" s="170">
        <v>0</v>
      </c>
      <c r="L249">
        <v>3.9286665969332351</v>
      </c>
      <c r="N249" s="172">
        <f>MCond(B248:D250)</f>
        <v>9.7216302727657062</v>
      </c>
      <c r="O249" s="35">
        <f ca="1">MCond(OFFSET($B$12,(ROW(A238)-1)*4,0,3,3))</f>
        <v>4.2207727224315219</v>
      </c>
      <c r="P249" s="35" t="str">
        <f ca="1">MCond(OFFSET($B$12,(ROW(B238)-1)*4,0,3,6))</f>
        <v>?</v>
      </c>
      <c r="Q249" s="35">
        <f ca="1">MCond(OFFSET($E$12,(ROW(C238)-1)*4,0,3,3))</f>
        <v>1</v>
      </c>
      <c r="R249" s="35" t="str">
        <f ca="1">MCond(OFFSET($I$12,(ROW(D238)-1)*4,0,3,3))</f>
        <v>?</v>
      </c>
      <c r="S249">
        <v>237</v>
      </c>
      <c r="T249" s="35">
        <f ca="1">MCond(OFFSET($B$12,(ROW(A237)-1)*4,0,3,3))</f>
        <v>33.712309903347119</v>
      </c>
      <c r="V249">
        <f t="shared" ca="1" si="13"/>
        <v>1.5686214463755819E-2</v>
      </c>
    </row>
    <row r="250" spans="1:22">
      <c r="A250" s="170"/>
      <c r="B250" s="171">
        <v>1.2284177840385118</v>
      </c>
      <c r="C250" s="171">
        <v>2.3993580133895418</v>
      </c>
      <c r="D250" s="171">
        <v>-0.6756623603325641</v>
      </c>
      <c r="E250" s="170">
        <v>0</v>
      </c>
      <c r="F250" s="170">
        <v>0</v>
      </c>
      <c r="G250" s="170">
        <v>-1.4990492230334603E-2</v>
      </c>
      <c r="H250" s="170">
        <v>0</v>
      </c>
      <c r="I250" s="170">
        <v>0</v>
      </c>
      <c r="J250" s="170">
        <v>0</v>
      </c>
      <c r="K250" s="170">
        <v>0</v>
      </c>
      <c r="L250">
        <v>3.8612243768644339</v>
      </c>
      <c r="N250" s="172"/>
      <c r="O250" s="35">
        <f ca="1">MCond(OFFSET($B$12,(ROW(A239)-1)*4,0,3,3))</f>
        <v>52.914300823005625</v>
      </c>
      <c r="P250" s="35" t="str">
        <f ca="1">MCond(OFFSET($B$12,(ROW(B239)-1)*4,0,3,6))</f>
        <v>?</v>
      </c>
      <c r="Q250" s="35">
        <f ca="1">MCond(OFFSET($E$12,(ROW(C239)-1)*4,0,3,3))</f>
        <v>1</v>
      </c>
      <c r="R250" s="35" t="str">
        <f ca="1">MCond(OFFSET($I$12,(ROW(D239)-1)*4,0,3,3))</f>
        <v>?</v>
      </c>
      <c r="S250">
        <v>238</v>
      </c>
      <c r="T250" s="35">
        <f ca="1">MCond(OFFSET($B$12,(ROW(A238)-1)*4,0,3,3))</f>
        <v>4.2207727224315219</v>
      </c>
      <c r="V250">
        <f t="shared" ca="1" si="13"/>
        <v>1.9639101063275975E-3</v>
      </c>
    </row>
    <row r="251" spans="1:22">
      <c r="A251" s="170"/>
      <c r="B251" s="171"/>
      <c r="C251" s="171"/>
      <c r="D251" s="171"/>
      <c r="E251" s="170"/>
      <c r="F251" s="170"/>
      <c r="G251" s="170"/>
      <c r="H251" s="170"/>
      <c r="I251" s="170"/>
      <c r="J251" s="170"/>
      <c r="K251" s="170"/>
      <c r="N251" s="173"/>
      <c r="O251" s="35">
        <f ca="1">MCond(OFFSET($B$12,(ROW(A240)-1)*4,0,3,3))</f>
        <v>6.5646293729706269</v>
      </c>
      <c r="P251" s="35" t="str">
        <f ca="1">MCond(OFFSET($B$12,(ROW(B240)-1)*4,0,3,6))</f>
        <v>?</v>
      </c>
      <c r="Q251" s="35">
        <f ca="1">MCond(OFFSET($E$12,(ROW(C240)-1)*4,0,3,3))</f>
        <v>1</v>
      </c>
      <c r="R251" s="35" t="str">
        <f ca="1">MCond(OFFSET($I$12,(ROW(D240)-1)*4,0,3,3))</f>
        <v>?</v>
      </c>
      <c r="S251">
        <v>239</v>
      </c>
      <c r="T251" s="35">
        <f ca="1">MCond(OFFSET($B$12,(ROW(A239)-1)*4,0,3,3))</f>
        <v>52.914300823005625</v>
      </c>
      <c r="V251">
        <f t="shared" ca="1" si="13"/>
        <v>2.4620830589450308E-2</v>
      </c>
    </row>
    <row r="252" spans="1:22">
      <c r="A252" s="170"/>
      <c r="B252" s="171">
        <v>-0.14897154656832046</v>
      </c>
      <c r="C252" s="171">
        <v>0.84725762547333594</v>
      </c>
      <c r="D252" s="171">
        <v>-1.9759438806851826E-2</v>
      </c>
      <c r="E252" s="170">
        <v>-1.4990492230334603E-2</v>
      </c>
      <c r="F252" s="170">
        <v>0</v>
      </c>
      <c r="G252" s="170">
        <v>0</v>
      </c>
      <c r="H252" s="170">
        <v>0</v>
      </c>
      <c r="I252" s="170">
        <v>0</v>
      </c>
      <c r="J252" s="170">
        <v>0</v>
      </c>
      <c r="K252" s="170">
        <v>0</v>
      </c>
      <c r="L252">
        <v>0.37021422051581732</v>
      </c>
      <c r="N252" s="172"/>
      <c r="O252" s="35">
        <f ca="1">MCond(OFFSET($B$12,(ROW(A241)-1)*4,0,3,3))</f>
        <v>3.455632551064447</v>
      </c>
      <c r="P252" s="35" t="str">
        <f ca="1">MCond(OFFSET($B$12,(ROW(B241)-1)*4,0,3,6))</f>
        <v>?</v>
      </c>
      <c r="Q252" s="35">
        <f ca="1">MCond(OFFSET($E$12,(ROW(C241)-1)*4,0,3,3))</f>
        <v>1</v>
      </c>
      <c r="R252" s="35" t="str">
        <f ca="1">MCond(OFFSET($I$12,(ROW(D241)-1)*4,0,3,3))</f>
        <v>?</v>
      </c>
      <c r="S252">
        <v>240</v>
      </c>
      <c r="T252" s="35">
        <f ca="1">MCond(OFFSET($B$12,(ROW(A240)-1)*4,0,3,3))</f>
        <v>6.5646293729706269</v>
      </c>
      <c r="V252">
        <f t="shared" ca="1" si="13"/>
        <v>3.0544980309778289E-3</v>
      </c>
    </row>
    <row r="253" spans="1:22">
      <c r="A253" s="170" t="s">
        <v>274</v>
      </c>
      <c r="B253" s="171">
        <v>2.6959782234951333</v>
      </c>
      <c r="C253" s="171">
        <v>1.0757798809975587</v>
      </c>
      <c r="D253" s="171">
        <v>4.997772423355884E-2</v>
      </c>
      <c r="E253" s="170">
        <v>0</v>
      </c>
      <c r="F253" s="170">
        <v>-1.4990492230334603E-2</v>
      </c>
      <c r="G253" s="170">
        <v>0</v>
      </c>
      <c r="H253" s="170">
        <v>0</v>
      </c>
      <c r="I253" s="170">
        <v>0</v>
      </c>
      <c r="J253" s="170">
        <v>0</v>
      </c>
      <c r="K253" s="170">
        <v>0</v>
      </c>
      <c r="L253">
        <v>4.2140493534193304</v>
      </c>
      <c r="N253" s="172">
        <f>MCond(B252:D254)</f>
        <v>63.728386371176278</v>
      </c>
      <c r="O253" s="35">
        <f ca="1">MCond(OFFSET($B$12,(ROW(A242)-1)*4,0,3,3))</f>
        <v>30.68925723895747</v>
      </c>
      <c r="P253" s="35" t="str">
        <f ca="1">MCond(OFFSET($B$12,(ROW(B242)-1)*4,0,3,6))</f>
        <v>?</v>
      </c>
      <c r="Q253" s="35">
        <f ca="1">MCond(OFFSET($E$12,(ROW(C242)-1)*4,0,3,3))</f>
        <v>1</v>
      </c>
      <c r="R253" s="35" t="str">
        <f ca="1">MCond(OFFSET($I$12,(ROW(D242)-1)*4,0,3,3))</f>
        <v>?</v>
      </c>
      <c r="S253">
        <v>241</v>
      </c>
      <c r="T253" s="35">
        <f ca="1">MCond(OFFSET($B$12,(ROW(A241)-1)*4,0,3,3))</f>
        <v>3.455632551064447</v>
      </c>
      <c r="V253">
        <f t="shared" ca="1" si="13"/>
        <v>1.607893183805561E-3</v>
      </c>
    </row>
    <row r="254" spans="1:22">
      <c r="A254" s="170"/>
      <c r="B254" s="171">
        <v>0.21871711292247331</v>
      </c>
      <c r="C254" s="171">
        <v>2.1363371502498802</v>
      </c>
      <c r="D254" s="171">
        <v>8.9790398854103559E-2</v>
      </c>
      <c r="E254" s="170">
        <v>0</v>
      </c>
      <c r="F254" s="170">
        <v>0</v>
      </c>
      <c r="G254" s="170">
        <v>-1.4990492230334603E-2</v>
      </c>
      <c r="H254" s="170">
        <v>0</v>
      </c>
      <c r="I254" s="170">
        <v>0</v>
      </c>
      <c r="J254" s="170">
        <v>0</v>
      </c>
      <c r="K254" s="170">
        <v>0</v>
      </c>
      <c r="L254">
        <v>2.3099179553746505</v>
      </c>
      <c r="N254" s="172"/>
      <c r="O254" s="35">
        <f ca="1">MCond(OFFSET($B$12,(ROW(A243)-1)*4,0,3,3))</f>
        <v>4.0321439196075497</v>
      </c>
      <c r="P254" s="35" t="str">
        <f ca="1">MCond(OFFSET($B$12,(ROW(B243)-1)*4,0,3,6))</f>
        <v>?</v>
      </c>
      <c r="Q254" s="35">
        <f ca="1">MCond(OFFSET($E$12,(ROW(C243)-1)*4,0,3,3))</f>
        <v>1</v>
      </c>
      <c r="R254" s="35" t="str">
        <f ca="1">MCond(OFFSET($I$12,(ROW(D243)-1)*4,0,3,3))</f>
        <v>?</v>
      </c>
      <c r="S254">
        <v>242</v>
      </c>
      <c r="T254" s="35">
        <f ca="1">MCond(OFFSET($B$12,(ROW(A242)-1)*4,0,3,3))</f>
        <v>30.68925723895747</v>
      </c>
      <c r="V254">
        <f t="shared" ca="1" si="13"/>
        <v>1.4279599118654937E-2</v>
      </c>
    </row>
    <row r="255" spans="1:22">
      <c r="A255" s="170"/>
      <c r="B255" s="171"/>
      <c r="C255" s="171"/>
      <c r="D255" s="171"/>
      <c r="E255" s="170"/>
      <c r="F255" s="170"/>
      <c r="G255" s="170"/>
      <c r="H255" s="170"/>
      <c r="I255" s="170"/>
      <c r="J255" s="170"/>
      <c r="K255" s="170"/>
      <c r="N255" s="173"/>
      <c r="O255" s="35">
        <f ca="1">MCond(OFFSET($B$12,(ROW(A244)-1)*4,0,3,3))</f>
        <v>4.9236532994760909</v>
      </c>
      <c r="P255" s="35" t="str">
        <f ca="1">MCond(OFFSET($B$12,(ROW(B244)-1)*4,0,3,6))</f>
        <v>?</v>
      </c>
      <c r="Q255" s="35">
        <f ca="1">MCond(OFFSET($E$12,(ROW(C244)-1)*4,0,3,3))</f>
        <v>1</v>
      </c>
      <c r="R255" s="35" t="str">
        <f ca="1">MCond(OFFSET($I$12,(ROW(D244)-1)*4,0,3,3))</f>
        <v>?</v>
      </c>
      <c r="S255">
        <v>243</v>
      </c>
      <c r="T255" s="35">
        <f ca="1">MCond(OFFSET($B$12,(ROW(A243)-1)*4,0,3,3))</f>
        <v>4.0321439196075497</v>
      </c>
      <c r="V255">
        <f t="shared" ca="1" si="13"/>
        <v>1.8761418144596896E-3</v>
      </c>
    </row>
    <row r="256" spans="1:22">
      <c r="A256" s="170"/>
      <c r="B256" s="171">
        <v>-0.14897154656832046</v>
      </c>
      <c r="C256" s="171">
        <v>0.84725762547333594</v>
      </c>
      <c r="D256" s="171">
        <v>-1.9759438806851826E-2</v>
      </c>
      <c r="E256" s="170">
        <v>-1.4990492230334603E-2</v>
      </c>
      <c r="F256" s="170">
        <v>0</v>
      </c>
      <c r="G256" s="170">
        <v>0</v>
      </c>
      <c r="H256" s="170">
        <v>0</v>
      </c>
      <c r="I256" s="170">
        <v>0</v>
      </c>
      <c r="J256" s="170">
        <v>0</v>
      </c>
      <c r="K256" s="170">
        <v>0</v>
      </c>
      <c r="L256">
        <v>0.37021422051581732</v>
      </c>
      <c r="N256" s="172"/>
      <c r="O256" s="35">
        <f ca="1">MCond(OFFSET($B$12,(ROW(A245)-1)*4,0,3,3))</f>
        <v>3.1934764631216082</v>
      </c>
      <c r="P256" s="35" t="str">
        <f ca="1">MCond(OFFSET($B$12,(ROW(B245)-1)*4,0,3,6))</f>
        <v>?</v>
      </c>
      <c r="Q256" s="35">
        <f ca="1">MCond(OFFSET($E$12,(ROW(C245)-1)*4,0,3,3))</f>
        <v>1</v>
      </c>
      <c r="R256" s="35" t="str">
        <f ca="1">MCond(OFFSET($I$12,(ROW(D245)-1)*4,0,3,3))</f>
        <v>?</v>
      </c>
      <c r="S256">
        <v>244</v>
      </c>
      <c r="T256" s="35">
        <f ca="1">MCond(OFFSET($B$12,(ROW(A244)-1)*4,0,3,3))</f>
        <v>4.9236532994760909</v>
      </c>
      <c r="V256">
        <f t="shared" ca="1" si="13"/>
        <v>2.290957867384009E-3</v>
      </c>
    </row>
    <row r="257" spans="1:22">
      <c r="A257" s="170" t="s">
        <v>275</v>
      </c>
      <c r="B257" s="171">
        <v>2.6959782234951333</v>
      </c>
      <c r="C257" s="171">
        <v>1.0757798809975587</v>
      </c>
      <c r="D257" s="171">
        <v>4.997772423355884E-2</v>
      </c>
      <c r="E257" s="170">
        <v>0</v>
      </c>
      <c r="F257" s="170">
        <v>-1.4990492230334603E-2</v>
      </c>
      <c r="G257" s="170">
        <v>0</v>
      </c>
      <c r="H257" s="170">
        <v>0</v>
      </c>
      <c r="I257" s="170">
        <v>0</v>
      </c>
      <c r="J257" s="170">
        <v>0</v>
      </c>
      <c r="K257" s="170">
        <v>0</v>
      </c>
      <c r="L257">
        <v>4.2140493534193304</v>
      </c>
      <c r="N257" s="172">
        <f>MCond(B256:D258)</f>
        <v>1839.1895225872963</v>
      </c>
      <c r="O257" s="35">
        <f ca="1">MCond(OFFSET($B$12,(ROW(A246)-1)*4,0,3,3))</f>
        <v>7.0062729721822521</v>
      </c>
      <c r="P257" s="35" t="str">
        <f ca="1">MCond(OFFSET($B$12,(ROW(B246)-1)*4,0,3,6))</f>
        <v>?</v>
      </c>
      <c r="Q257" s="35">
        <f ca="1">MCond(OFFSET($E$12,(ROW(C246)-1)*4,0,3,3))</f>
        <v>1</v>
      </c>
      <c r="R257" s="35" t="str">
        <f ca="1">MCond(OFFSET($I$12,(ROW(D246)-1)*4,0,3,3))</f>
        <v>?</v>
      </c>
      <c r="S257">
        <v>245</v>
      </c>
      <c r="T257" s="35">
        <f ca="1">MCond(OFFSET($B$12,(ROW(A245)-1)*4,0,3,3))</f>
        <v>3.1934764631216082</v>
      </c>
      <c r="V257">
        <f t="shared" ca="1" si="13"/>
        <v>1.4859129151665877E-3</v>
      </c>
    </row>
    <row r="258" spans="1:22">
      <c r="A258" s="170"/>
      <c r="B258" s="171">
        <v>1.8375474863113905</v>
      </c>
      <c r="C258" s="171">
        <v>2.1167426559988707</v>
      </c>
      <c r="D258" s="171">
        <v>1.2367606559382516E-2</v>
      </c>
      <c r="E258" s="170">
        <v>0</v>
      </c>
      <c r="F258" s="170">
        <v>0</v>
      </c>
      <c r="G258" s="170">
        <v>-1.4990492230334603E-2</v>
      </c>
      <c r="H258" s="170">
        <v>0</v>
      </c>
      <c r="I258" s="170">
        <v>0</v>
      </c>
      <c r="J258" s="170">
        <v>0</v>
      </c>
      <c r="K258" s="170">
        <v>0</v>
      </c>
      <c r="L258">
        <v>3.9286665969332351</v>
      </c>
      <c r="N258" s="172"/>
      <c r="O258" s="35">
        <f ca="1">MCond(OFFSET($B$12,(ROW(A247)-1)*4,0,3,3))</f>
        <v>57.301482607717354</v>
      </c>
      <c r="P258" s="35" t="str">
        <f ca="1">MCond(OFFSET($B$12,(ROW(B247)-1)*4,0,3,6))</f>
        <v>?</v>
      </c>
      <c r="Q258" s="35">
        <f ca="1">MCond(OFFSET($E$12,(ROW(C247)-1)*4,0,3,3))</f>
        <v>1</v>
      </c>
      <c r="R258" s="35" t="str">
        <f ca="1">MCond(OFFSET($I$12,(ROW(D247)-1)*4,0,3,3))</f>
        <v>?</v>
      </c>
      <c r="S258">
        <v>246</v>
      </c>
      <c r="T258" s="35">
        <f ca="1">MCond(OFFSET($B$12,(ROW(A246)-1)*4,0,3,3))</f>
        <v>7.0062729721822521</v>
      </c>
      <c r="V258">
        <f t="shared" ca="1" si="13"/>
        <v>3.2599931819668974E-3</v>
      </c>
    </row>
    <row r="259" spans="1:22">
      <c r="A259" s="170"/>
      <c r="B259" s="171"/>
      <c r="C259" s="171"/>
      <c r="D259" s="171"/>
      <c r="E259" s="170"/>
      <c r="F259" s="170"/>
      <c r="G259" s="170"/>
      <c r="H259" s="170"/>
      <c r="I259" s="170"/>
      <c r="J259" s="170"/>
      <c r="K259" s="170"/>
      <c r="N259" s="173"/>
      <c r="O259" s="35">
        <f ca="1">MCond(OFFSET($B$12,(ROW(A248)-1)*4,0,3,3))</f>
        <v>5.4207004825352429</v>
      </c>
      <c r="P259" s="35" t="str">
        <f ca="1">MCond(OFFSET($B$12,(ROW(B248)-1)*4,0,3,6))</f>
        <v>?</v>
      </c>
      <c r="Q259" s="35">
        <f ca="1">MCond(OFFSET($E$12,(ROW(C248)-1)*4,0,3,3))</f>
        <v>1</v>
      </c>
      <c r="R259" s="35" t="str">
        <f ca="1">MCond(OFFSET($I$12,(ROW(D248)-1)*4,0,3,3))</f>
        <v>?</v>
      </c>
      <c r="S259">
        <v>247</v>
      </c>
      <c r="T259" s="35">
        <f ca="1">MCond(OFFSET($B$12,(ROW(A247)-1)*4,0,3,3))</f>
        <v>57.301482607717354</v>
      </c>
      <c r="V259">
        <f t="shared" ca="1" si="13"/>
        <v>2.6662170223660259E-2</v>
      </c>
    </row>
    <row r="260" spans="1:22">
      <c r="A260" s="170"/>
      <c r="B260" s="171">
        <v>-0.14897154656832046</v>
      </c>
      <c r="C260" s="171">
        <v>0.84725762547333594</v>
      </c>
      <c r="D260" s="171">
        <v>-1.9759438806851826E-2</v>
      </c>
      <c r="E260" s="170">
        <v>-1.4990492230334603E-2</v>
      </c>
      <c r="F260" s="170">
        <v>0</v>
      </c>
      <c r="G260" s="170">
        <v>0</v>
      </c>
      <c r="H260" s="170">
        <v>0</v>
      </c>
      <c r="I260" s="170">
        <v>0</v>
      </c>
      <c r="J260" s="170">
        <v>0</v>
      </c>
      <c r="K260" s="170">
        <v>0</v>
      </c>
      <c r="L260">
        <v>0.37021422051581732</v>
      </c>
      <c r="N260" s="172"/>
      <c r="O260" s="35">
        <f ca="1">MCond(OFFSET($B$12,(ROW(A249)-1)*4,0,3,3))</f>
        <v>36.492219185194912</v>
      </c>
      <c r="P260" s="35" t="str">
        <f ca="1">MCond(OFFSET($B$12,(ROW(B249)-1)*4,0,3,6))</f>
        <v>?</v>
      </c>
      <c r="Q260" s="35">
        <f ca="1">MCond(OFFSET($E$12,(ROW(C249)-1)*4,0,3,3))</f>
        <v>1</v>
      </c>
      <c r="R260" s="35" t="str">
        <f ca="1">MCond(OFFSET($I$12,(ROW(D249)-1)*4,0,3,3))</f>
        <v>?</v>
      </c>
      <c r="S260">
        <v>248</v>
      </c>
      <c r="T260" s="35">
        <f ca="1">MCond(OFFSET($B$12,(ROW(A248)-1)*4,0,3,3))</f>
        <v>5.4207004825352429</v>
      </c>
      <c r="V260">
        <f t="shared" ca="1" si="13"/>
        <v>2.5222321032469584E-3</v>
      </c>
    </row>
    <row r="261" spans="1:22">
      <c r="A261" s="170" t="s">
        <v>276</v>
      </c>
      <c r="B261" s="171">
        <v>2.6959782234951333</v>
      </c>
      <c r="C261" s="171">
        <v>1.0757798809975587</v>
      </c>
      <c r="D261" s="171">
        <v>4.997772423355884E-2</v>
      </c>
      <c r="E261" s="170">
        <v>0</v>
      </c>
      <c r="F261" s="170">
        <v>-1.4990492230334603E-2</v>
      </c>
      <c r="G261" s="170">
        <v>0</v>
      </c>
      <c r="H261" s="170">
        <v>0</v>
      </c>
      <c r="I261" s="170">
        <v>0</v>
      </c>
      <c r="J261" s="170">
        <v>0</v>
      </c>
      <c r="K261" s="170">
        <v>0</v>
      </c>
      <c r="L261">
        <v>4.2140493534193304</v>
      </c>
      <c r="N261" s="172">
        <f>MCond(B260:D262)</f>
        <v>14.280317337938845</v>
      </c>
      <c r="O261" s="35">
        <f ca="1">MCond(OFFSET($B$12,(ROW(A250)-1)*4,0,3,3))</f>
        <v>4.2840265157871062</v>
      </c>
      <c r="P261" s="35" t="str">
        <f ca="1">MCond(OFFSET($B$12,(ROW(B250)-1)*4,0,3,6))</f>
        <v>?</v>
      </c>
      <c r="Q261" s="35">
        <f ca="1">MCond(OFFSET($E$12,(ROW(C250)-1)*4,0,3,3))</f>
        <v>1</v>
      </c>
      <c r="R261" s="35" t="str">
        <f ca="1">MCond(OFFSET($I$12,(ROW(D250)-1)*4,0,3,3))</f>
        <v>?</v>
      </c>
      <c r="S261">
        <v>249</v>
      </c>
      <c r="T261" s="35">
        <f ca="1">MCond(OFFSET($B$12,(ROW(A249)-1)*4,0,3,3))</f>
        <v>36.492219185194912</v>
      </c>
      <c r="V261">
        <f t="shared" ca="1" si="13"/>
        <v>1.6979696082484071E-2</v>
      </c>
    </row>
    <row r="262" spans="1:22">
      <c r="A262" s="170"/>
      <c r="B262" s="171">
        <v>1.2284177840385118</v>
      </c>
      <c r="C262" s="171">
        <v>2.3993580133895418</v>
      </c>
      <c r="D262" s="171">
        <v>-0.6756623603325641</v>
      </c>
      <c r="E262" s="170">
        <v>0</v>
      </c>
      <c r="F262" s="170">
        <v>0</v>
      </c>
      <c r="G262" s="170">
        <v>-1.4990492230334603E-2</v>
      </c>
      <c r="H262" s="170">
        <v>0</v>
      </c>
      <c r="I262" s="170">
        <v>0</v>
      </c>
      <c r="J262" s="170">
        <v>0</v>
      </c>
      <c r="K262" s="170">
        <v>0</v>
      </c>
      <c r="L262">
        <v>3.8612243768644339</v>
      </c>
      <c r="N262" s="172"/>
      <c r="O262" s="35">
        <f ca="1">MCond(OFFSET($B$12,(ROW(A251)-1)*4,0,3,3))</f>
        <v>5.8454524208722907</v>
      </c>
      <c r="P262" s="35" t="str">
        <f ca="1">MCond(OFFSET($B$12,(ROW(B251)-1)*4,0,3,6))</f>
        <v>?</v>
      </c>
      <c r="Q262" s="35">
        <f ca="1">MCond(OFFSET($E$12,(ROW(C251)-1)*4,0,3,3))</f>
        <v>1</v>
      </c>
      <c r="R262" s="35">
        <f ca="1">MCond(OFFSET($I$12,(ROW(D251)-1)*4,0,3,3))</f>
        <v>6.860137569603669</v>
      </c>
      <c r="S262">
        <v>250</v>
      </c>
      <c r="T262" s="35">
        <f ca="1">MCond(OFFSET($B$12,(ROW(A250)-1)*4,0,3,3))</f>
        <v>4.2840265157871062</v>
      </c>
      <c r="V262">
        <f t="shared" ca="1" si="13"/>
        <v>1.9933418649661027E-3</v>
      </c>
    </row>
    <row r="263" spans="1:22">
      <c r="A263" s="170"/>
      <c r="B263" s="171"/>
      <c r="C263" s="171"/>
      <c r="D263" s="171"/>
      <c r="E263" s="170"/>
      <c r="F263" s="170"/>
      <c r="G263" s="170"/>
      <c r="H263" s="170"/>
      <c r="I263" s="170"/>
      <c r="J263" s="170"/>
      <c r="K263" s="170"/>
      <c r="N263" s="173"/>
      <c r="O263" s="35">
        <f ca="1">MCond(OFFSET($B$12,(ROW(A252)-1)*4,0,3,3))</f>
        <v>27.264608409535779</v>
      </c>
      <c r="P263" s="35" t="str">
        <f ca="1">MCond(OFFSET($B$12,(ROW(B252)-1)*4,0,3,6))</f>
        <v>?</v>
      </c>
      <c r="Q263" s="35">
        <f ca="1">MCond(OFFSET($E$12,(ROW(C252)-1)*4,0,3,3))</f>
        <v>1</v>
      </c>
      <c r="R263" s="35">
        <f ca="1">MCond(OFFSET($I$12,(ROW(D252)-1)*4,0,3,3))</f>
        <v>2.4885523706508024</v>
      </c>
      <c r="S263">
        <v>251</v>
      </c>
      <c r="T263" s="35">
        <f ca="1">MCond(OFFSET($B$12,(ROW(A251)-1)*4,0,3,3))</f>
        <v>5.8454524208722907</v>
      </c>
      <c r="V263">
        <f t="shared" ca="1" si="13"/>
        <v>2.7198676262281179E-3</v>
      </c>
    </row>
    <row r="264" spans="1:22">
      <c r="A264" s="170"/>
      <c r="B264" s="171">
        <v>-0.14897154656832046</v>
      </c>
      <c r="C264" s="171">
        <v>0.84725762547333594</v>
      </c>
      <c r="D264" s="171">
        <v>-1.9759438806851826E-2</v>
      </c>
      <c r="E264" s="170">
        <v>-1.4990492230334603E-2</v>
      </c>
      <c r="F264" s="170">
        <v>0</v>
      </c>
      <c r="G264" s="170">
        <v>0</v>
      </c>
      <c r="H264" s="170">
        <v>0</v>
      </c>
      <c r="I264" s="170">
        <v>0</v>
      </c>
      <c r="J264" s="170">
        <v>0</v>
      </c>
      <c r="K264" s="170">
        <v>0</v>
      </c>
      <c r="L264">
        <v>0.37021422051581732</v>
      </c>
      <c r="N264" s="172"/>
      <c r="O264" s="35">
        <f ca="1">MCond(OFFSET($B$12,(ROW(A253)-1)*4,0,3,3))</f>
        <v>4.3649803826438793</v>
      </c>
      <c r="P264" s="35" t="str">
        <f ca="1">MCond(OFFSET($B$12,(ROW(B253)-1)*4,0,3,6))</f>
        <v>?</v>
      </c>
      <c r="Q264" s="35">
        <f ca="1">MCond(OFFSET($E$12,(ROW(C253)-1)*4,0,3,3))</f>
        <v>1</v>
      </c>
      <c r="R264" s="35">
        <f ca="1">MCond(OFFSET($I$12,(ROW(D253)-1)*4,0,3,3))</f>
        <v>3.1166314305849192</v>
      </c>
      <c r="S264">
        <v>252</v>
      </c>
      <c r="T264" s="35">
        <f ca="1">MCond(OFFSET($B$12,(ROW(A252)-1)*4,0,3,3))</f>
        <v>27.264608409535779</v>
      </c>
      <c r="V264">
        <f t="shared" ca="1" si="13"/>
        <v>1.2686122547177841E-2</v>
      </c>
    </row>
    <row r="265" spans="1:22">
      <c r="A265" s="170" t="s">
        <v>277</v>
      </c>
      <c r="B265" s="171">
        <v>0.21871711292247331</v>
      </c>
      <c r="C265" s="171">
        <v>2.1363371502498802</v>
      </c>
      <c r="D265" s="171">
        <v>8.9790398854103559E-2</v>
      </c>
      <c r="E265" s="170">
        <v>0</v>
      </c>
      <c r="F265" s="170">
        <v>-1.4990492230334603E-2</v>
      </c>
      <c r="G265" s="170">
        <v>0</v>
      </c>
      <c r="H265" s="170">
        <v>0</v>
      </c>
      <c r="I265" s="170">
        <v>0</v>
      </c>
      <c r="J265" s="170">
        <v>0</v>
      </c>
      <c r="K265" s="170">
        <v>0</v>
      </c>
      <c r="L265">
        <v>2.3099179553746505</v>
      </c>
      <c r="N265" s="172">
        <f>MCond(B264:D266)</f>
        <v>59.461695313516891</v>
      </c>
      <c r="O265" s="35">
        <f ca="1">MCond(OFFSET($B$12,(ROW(A254)-1)*4,0,3,3))</f>
        <v>24.489132951843487</v>
      </c>
      <c r="P265" s="35" t="str">
        <f ca="1">MCond(OFFSET($B$12,(ROW(B254)-1)*4,0,3,6))</f>
        <v>?</v>
      </c>
      <c r="Q265" s="35">
        <f ca="1">MCond(OFFSET($E$12,(ROW(C254)-1)*4,0,3,3))</f>
        <v>1</v>
      </c>
      <c r="R265" s="35" t="str">
        <f ca="1">MCond(OFFSET($I$12,(ROW(D254)-1)*4,0,3,3))</f>
        <v>?</v>
      </c>
      <c r="S265">
        <v>253</v>
      </c>
      <c r="T265" s="35">
        <f ca="1">MCond(OFFSET($B$12,(ROW(A253)-1)*4,0,3,3))</f>
        <v>4.3649803826438793</v>
      </c>
      <c r="V265">
        <f t="shared" ca="1" si="13"/>
        <v>2.0310094030501539E-3</v>
      </c>
    </row>
    <row r="266" spans="1:22">
      <c r="A266" s="170"/>
      <c r="B266" s="171">
        <v>1.8375474863113905</v>
      </c>
      <c r="C266" s="171">
        <v>2.1167426559988707</v>
      </c>
      <c r="D266" s="171">
        <v>1.2367606559382516E-2</v>
      </c>
      <c r="E266" s="170">
        <v>0</v>
      </c>
      <c r="F266" s="170">
        <v>0</v>
      </c>
      <c r="G266" s="170">
        <v>-1.4990492230334603E-2</v>
      </c>
      <c r="H266" s="170">
        <v>0</v>
      </c>
      <c r="I266" s="170">
        <v>0</v>
      </c>
      <c r="J266" s="170">
        <v>0</v>
      </c>
      <c r="K266" s="170">
        <v>0</v>
      </c>
      <c r="L266">
        <v>3.9286665969332351</v>
      </c>
      <c r="N266" s="172"/>
      <c r="O266" s="35">
        <f ca="1">MCond(OFFSET($B$12,(ROW(A255)-1)*4,0,3,3))</f>
        <v>4.155062022143496</v>
      </c>
      <c r="P266" s="35" t="str">
        <f ca="1">MCond(OFFSET($B$12,(ROW(B255)-1)*4,0,3,6))</f>
        <v>?</v>
      </c>
      <c r="Q266" s="35">
        <f ca="1">MCond(OFFSET($E$12,(ROW(C255)-1)*4,0,3,3))</f>
        <v>1</v>
      </c>
      <c r="R266" s="35">
        <f ca="1">MCond(OFFSET($I$12,(ROW(D255)-1)*4,0,3,3))</f>
        <v>6.860137569603669</v>
      </c>
      <c r="S266">
        <v>254</v>
      </c>
      <c r="T266" s="35">
        <f ca="1">MCond(OFFSET($B$12,(ROW(A254)-1)*4,0,3,3))</f>
        <v>24.489132951843487</v>
      </c>
      <c r="V266">
        <f t="shared" ca="1" si="13"/>
        <v>1.1394703970608289E-2</v>
      </c>
    </row>
    <row r="267" spans="1:22">
      <c r="A267" s="170"/>
      <c r="B267" s="171"/>
      <c r="C267" s="171"/>
      <c r="D267" s="171"/>
      <c r="E267" s="170"/>
      <c r="F267" s="170"/>
      <c r="G267" s="170"/>
      <c r="H267" s="170"/>
      <c r="I267" s="170"/>
      <c r="J267" s="170"/>
      <c r="K267" s="170"/>
      <c r="N267" s="173"/>
      <c r="O267" s="35">
        <f ca="1">MCond(OFFSET($B$12,(ROW(A256)-1)*4,0,3,3))</f>
        <v>17.378066776989606</v>
      </c>
      <c r="P267" s="35" t="str">
        <f ca="1">MCond(OFFSET($B$12,(ROW(B256)-1)*4,0,3,6))</f>
        <v>?</v>
      </c>
      <c r="Q267" s="35">
        <f ca="1">MCond(OFFSET($E$12,(ROW(C256)-1)*4,0,3,3))</f>
        <v>1</v>
      </c>
      <c r="R267" s="35">
        <f ca="1">MCond(OFFSET($I$12,(ROW(D256)-1)*4,0,3,3))</f>
        <v>8.591549295774648</v>
      </c>
      <c r="S267">
        <v>255</v>
      </c>
      <c r="T267" s="35">
        <f ca="1">MCond(OFFSET($B$12,(ROW(A255)-1)*4,0,3,3))</f>
        <v>4.155062022143496</v>
      </c>
      <c r="V267">
        <f t="shared" ca="1" si="13"/>
        <v>1.9333351578818604E-3</v>
      </c>
    </row>
    <row r="268" spans="1:22">
      <c r="A268" s="170"/>
      <c r="B268" s="171">
        <v>-0.14897154656832046</v>
      </c>
      <c r="C268" s="171">
        <v>0.84725762547333594</v>
      </c>
      <c r="D268" s="171">
        <v>-1.9759438806851826E-2</v>
      </c>
      <c r="E268" s="170">
        <v>-1.4990492230334603E-2</v>
      </c>
      <c r="F268" s="170">
        <v>0</v>
      </c>
      <c r="G268" s="170">
        <v>0</v>
      </c>
      <c r="H268" s="170">
        <v>0</v>
      </c>
      <c r="I268" s="170">
        <v>0</v>
      </c>
      <c r="J268" s="170">
        <v>0</v>
      </c>
      <c r="K268" s="170">
        <v>0</v>
      </c>
      <c r="L268">
        <v>0.37021422051581732</v>
      </c>
      <c r="N268" s="172"/>
      <c r="O268" s="35">
        <f ca="1">MCond(OFFSET($B$12,(ROW(A257)-1)*4,0,3,3))</f>
        <v>3.5193506190429562</v>
      </c>
      <c r="P268" s="35" t="str">
        <f ca="1">MCond(OFFSET($B$12,(ROW(B257)-1)*4,0,3,6))</f>
        <v>?</v>
      </c>
      <c r="Q268" s="35">
        <f ca="1">MCond(OFFSET($E$12,(ROW(C257)-1)*4,0,3,3))</f>
        <v>1</v>
      </c>
      <c r="R268" s="35" t="str">
        <f ca="1">MCond(OFFSET($I$12,(ROW(D257)-1)*4,0,3,3))</f>
        <v>?</v>
      </c>
      <c r="S268">
        <v>256</v>
      </c>
      <c r="T268" s="35">
        <f ca="1">MCond(OFFSET($B$12,(ROW(A256)-1)*4,0,3,3))</f>
        <v>17.378066776989606</v>
      </c>
      <c r="V268">
        <f t="shared" ca="1" si="13"/>
        <v>8.0859508948173311E-3</v>
      </c>
    </row>
    <row r="269" spans="1:22">
      <c r="A269" s="170" t="s">
        <v>278</v>
      </c>
      <c r="B269" s="171">
        <v>0.21871711292247331</v>
      </c>
      <c r="C269" s="171">
        <v>2.1363371502498802</v>
      </c>
      <c r="D269" s="171">
        <v>8.9790398854103559E-2</v>
      </c>
      <c r="E269" s="170">
        <v>0</v>
      </c>
      <c r="F269" s="170">
        <v>-1.4990492230334603E-2</v>
      </c>
      <c r="G269" s="170">
        <v>0</v>
      </c>
      <c r="H269" s="170">
        <v>0</v>
      </c>
      <c r="I269" s="170">
        <v>0</v>
      </c>
      <c r="J269" s="170">
        <v>0</v>
      </c>
      <c r="K269" s="170">
        <v>0</v>
      </c>
      <c r="L269">
        <v>2.3099179553746505</v>
      </c>
      <c r="N269" s="172">
        <f>MCond(B268:D270)</f>
        <v>21.170385241601402</v>
      </c>
      <c r="O269" s="35">
        <f ca="1">MCond(OFFSET($B$12,(ROW(A258)-1)*4,0,3,3))</f>
        <v>2.9250187817951137</v>
      </c>
      <c r="P269" s="35" t="str">
        <f ca="1">MCond(OFFSET($B$12,(ROW(B258)-1)*4,0,3,6))</f>
        <v>?</v>
      </c>
      <c r="Q269" s="35">
        <f ca="1">MCond(OFFSET($E$12,(ROW(C258)-1)*4,0,3,3))</f>
        <v>1</v>
      </c>
      <c r="R269" s="35">
        <f ca="1">MCond(OFFSET($I$12,(ROW(D258)-1)*4,0,3,3))</f>
        <v>2.6430840392331696</v>
      </c>
      <c r="S269">
        <v>257</v>
      </c>
      <c r="T269" s="35">
        <f ca="1">MCond(OFFSET($B$12,(ROW(A257)-1)*4,0,3,3))</f>
        <v>3.5193506190429562</v>
      </c>
      <c r="V269">
        <f t="shared" ca="1" si="13"/>
        <v>1.6375409677275947E-3</v>
      </c>
    </row>
    <row r="270" spans="1:22">
      <c r="A270" s="170"/>
      <c r="B270" s="171">
        <v>1.2284177840385118</v>
      </c>
      <c r="C270" s="171">
        <v>2.3993580133895418</v>
      </c>
      <c r="D270" s="171">
        <v>-0.6756623603325641</v>
      </c>
      <c r="E270" s="170">
        <v>0</v>
      </c>
      <c r="F270" s="170">
        <v>0</v>
      </c>
      <c r="G270" s="170">
        <v>-1.4990492230334603E-2</v>
      </c>
      <c r="H270" s="170">
        <v>0</v>
      </c>
      <c r="I270" s="170">
        <v>0</v>
      </c>
      <c r="J270" s="170">
        <v>0</v>
      </c>
      <c r="K270" s="170">
        <v>0</v>
      </c>
      <c r="L270">
        <v>3.8612243768644339</v>
      </c>
      <c r="N270" s="172"/>
      <c r="O270" s="35">
        <f ca="1">MCond(OFFSET($B$12,(ROW(A259)-1)*4,0,3,3))</f>
        <v>10.029851549914012</v>
      </c>
      <c r="P270" s="35" t="str">
        <f ca="1">MCond(OFFSET($B$12,(ROW(B259)-1)*4,0,3,6))</f>
        <v>?</v>
      </c>
      <c r="Q270" s="35">
        <f ca="1">MCond(OFFSET($E$12,(ROW(C259)-1)*4,0,3,3))</f>
        <v>1</v>
      </c>
      <c r="R270" s="35" t="str">
        <f ca="1">MCond(OFFSET($I$12,(ROW(D259)-1)*4,0,3,3))</f>
        <v>?</v>
      </c>
      <c r="S270">
        <v>258</v>
      </c>
      <c r="T270" s="35">
        <f ca="1">MCond(OFFSET($B$12,(ROW(A258)-1)*4,0,3,3))</f>
        <v>2.9250187817951137</v>
      </c>
      <c r="V270">
        <f t="shared" ref="V270:V292" ca="1" si="14">T270/$U$13</f>
        <v>1.3610005381801652E-3</v>
      </c>
    </row>
    <row r="271" spans="1:22">
      <c r="A271" s="170"/>
      <c r="B271" s="171"/>
      <c r="C271" s="171"/>
      <c r="D271" s="171"/>
      <c r="E271" s="170"/>
      <c r="F271" s="170"/>
      <c r="G271" s="170"/>
      <c r="H271" s="170"/>
      <c r="I271" s="170"/>
      <c r="J271" s="170"/>
      <c r="K271" s="170"/>
      <c r="N271" s="173"/>
      <c r="O271" s="35">
        <f ca="1">MCond(OFFSET($B$12,(ROW(A260)-1)*4,0,3,3))</f>
        <v>2.6374470926098281</v>
      </c>
      <c r="P271" s="35" t="str">
        <f ca="1">MCond(OFFSET($B$12,(ROW(B260)-1)*4,0,3,6))</f>
        <v>?</v>
      </c>
      <c r="Q271" s="35">
        <f ca="1">MCond(OFFSET($E$12,(ROW(C260)-1)*4,0,3,3))</f>
        <v>1</v>
      </c>
      <c r="R271" s="35" t="str">
        <f ca="1">MCond(OFFSET($I$12,(ROW(D260)-1)*4,0,3,3))</f>
        <v>?</v>
      </c>
      <c r="S271">
        <v>259</v>
      </c>
      <c r="T271" s="35">
        <f ca="1">MCond(OFFSET($B$12,(ROW(A259)-1)*4,0,3,3))</f>
        <v>10.029851549914012</v>
      </c>
      <c r="V271">
        <f t="shared" ca="1" si="14"/>
        <v>4.666853232621844E-3</v>
      </c>
    </row>
    <row r="272" spans="1:22">
      <c r="A272" s="170"/>
      <c r="B272" s="171">
        <v>-0.14897154656832046</v>
      </c>
      <c r="C272" s="171">
        <v>0.84725762547333594</v>
      </c>
      <c r="D272" s="171">
        <v>-1.9759438806851826E-2</v>
      </c>
      <c r="E272" s="170">
        <v>-1.4990492230334603E-2</v>
      </c>
      <c r="F272" s="170">
        <v>0</v>
      </c>
      <c r="G272" s="170">
        <v>0</v>
      </c>
      <c r="H272" s="170">
        <v>0</v>
      </c>
      <c r="I272" s="170">
        <v>0</v>
      </c>
      <c r="J272" s="170">
        <v>0</v>
      </c>
      <c r="K272" s="170">
        <v>0</v>
      </c>
      <c r="L272">
        <v>0.37021422051581732</v>
      </c>
      <c r="N272" s="172"/>
      <c r="O272" s="35">
        <f ca="1">MCond(OFFSET($B$12,(ROW(A261)-1)*4,0,3,3))</f>
        <v>25.249585470075854</v>
      </c>
      <c r="P272" s="35" t="str">
        <f ca="1">MCond(OFFSET($B$12,(ROW(B261)-1)*4,0,3,6))</f>
        <v>?</v>
      </c>
      <c r="Q272" s="35">
        <f ca="1">MCond(OFFSET($E$12,(ROW(C261)-1)*4,0,3,3))</f>
        <v>1</v>
      </c>
      <c r="R272" s="35" t="str">
        <f ca="1">MCond(OFFSET($I$12,(ROW(D261)-1)*4,0,3,3))</f>
        <v>?</v>
      </c>
      <c r="S272">
        <v>260</v>
      </c>
      <c r="T272" s="35">
        <f ca="1">MCond(OFFSET($B$12,(ROW(A260)-1)*4,0,3,3))</f>
        <v>2.6374470926098281</v>
      </c>
      <c r="V272">
        <f t="shared" ca="1" si="14"/>
        <v>1.2271944832643893E-3</v>
      </c>
    </row>
    <row r="273" spans="1:22">
      <c r="A273" s="170" t="s">
        <v>279</v>
      </c>
      <c r="B273" s="171">
        <v>1.8375474863113905</v>
      </c>
      <c r="C273" s="171">
        <v>2.1167426559988707</v>
      </c>
      <c r="D273" s="171">
        <v>1.2367606559382516E-2</v>
      </c>
      <c r="E273" s="170">
        <v>0</v>
      </c>
      <c r="F273" s="170">
        <v>-1.4990492230334603E-2</v>
      </c>
      <c r="G273" s="170">
        <v>0</v>
      </c>
      <c r="H273" s="170">
        <v>0</v>
      </c>
      <c r="I273" s="170">
        <v>0</v>
      </c>
      <c r="J273" s="170">
        <v>0</v>
      </c>
      <c r="K273" s="170">
        <v>0</v>
      </c>
      <c r="L273">
        <v>3.9286665969332351</v>
      </c>
      <c r="N273" s="172">
        <f>MCond(B272:D274)</f>
        <v>10.1367998366946</v>
      </c>
      <c r="O273" s="35">
        <f ca="1">MCond(OFFSET($B$12,(ROW(A262)-1)*4,0,3,3))</f>
        <v>17.866956947533616</v>
      </c>
      <c r="P273" s="35" t="str">
        <f ca="1">MCond(OFFSET($B$12,(ROW(B262)-1)*4,0,3,6))</f>
        <v>?</v>
      </c>
      <c r="Q273" s="35">
        <f ca="1">MCond(OFFSET($E$12,(ROW(C262)-1)*4,0,3,3))</f>
        <v>1</v>
      </c>
      <c r="R273" s="35" t="str">
        <f ca="1">MCond(OFFSET($I$12,(ROW(D262)-1)*4,0,3,3))</f>
        <v>?</v>
      </c>
      <c r="S273">
        <v>261</v>
      </c>
      <c r="T273" s="35">
        <f ca="1">MCond(OFFSET($B$12,(ROW(A261)-1)*4,0,3,3))</f>
        <v>25.249585470075854</v>
      </c>
      <c r="V273">
        <f t="shared" ca="1" si="14"/>
        <v>1.1748539745276216E-2</v>
      </c>
    </row>
    <row r="274" spans="1:22">
      <c r="A274" s="170"/>
      <c r="B274" s="171">
        <v>1.2284177840385118</v>
      </c>
      <c r="C274" s="171">
        <v>2.3993580133895418</v>
      </c>
      <c r="D274" s="171">
        <v>-0.6756623603325641</v>
      </c>
      <c r="E274" s="170">
        <v>0</v>
      </c>
      <c r="F274" s="170">
        <v>0</v>
      </c>
      <c r="G274" s="170">
        <v>-1.4990492230334603E-2</v>
      </c>
      <c r="H274" s="170">
        <v>0</v>
      </c>
      <c r="I274" s="170">
        <v>0</v>
      </c>
      <c r="J274" s="170">
        <v>0</v>
      </c>
      <c r="K274" s="170">
        <v>0</v>
      </c>
      <c r="L274">
        <v>3.8612243768644339</v>
      </c>
      <c r="N274" s="172"/>
      <c r="O274" s="35">
        <f ca="1">MCond(OFFSET($B$12,(ROW(A263)-1)*4,0,3,3))</f>
        <v>6.3541258749953187</v>
      </c>
      <c r="P274" s="35" t="str">
        <f ca="1">MCond(OFFSET($B$12,(ROW(B263)-1)*4,0,3,6))</f>
        <v>?</v>
      </c>
      <c r="Q274" s="35">
        <f ca="1">MCond(OFFSET($E$12,(ROW(C263)-1)*4,0,3,3))</f>
        <v>1</v>
      </c>
      <c r="R274" s="35" t="str">
        <f ca="1">MCond(OFFSET($I$12,(ROW(D263)-1)*4,0,3,3))</f>
        <v>?</v>
      </c>
      <c r="S274">
        <v>262</v>
      </c>
      <c r="T274" s="35">
        <f ca="1">MCond(OFFSET($B$12,(ROW(A262)-1)*4,0,3,3))</f>
        <v>17.866956947533616</v>
      </c>
      <c r="V274">
        <f t="shared" ca="1" si="14"/>
        <v>8.3134297025988808E-3</v>
      </c>
    </row>
    <row r="275" spans="1:22">
      <c r="A275" s="170"/>
      <c r="B275" s="171"/>
      <c r="C275" s="171"/>
      <c r="D275" s="171"/>
      <c r="E275" s="170"/>
      <c r="F275" s="170"/>
      <c r="G275" s="170"/>
      <c r="H275" s="170"/>
      <c r="I275" s="170"/>
      <c r="J275" s="170"/>
      <c r="K275" s="170"/>
      <c r="N275" s="173"/>
      <c r="O275" s="35">
        <f ca="1">MCond(OFFSET($B$12,(ROW(A264)-1)*4,0,3,3))</f>
        <v>6.7607681639683301</v>
      </c>
      <c r="P275" s="35" t="str">
        <f ca="1">MCond(OFFSET($B$12,(ROW(B264)-1)*4,0,3,6))</f>
        <v>?</v>
      </c>
      <c r="Q275" s="35">
        <f ca="1">MCond(OFFSET($E$12,(ROW(C264)-1)*4,0,3,3))</f>
        <v>1</v>
      </c>
      <c r="R275" s="35" t="str">
        <f ca="1">MCond(OFFSET($I$12,(ROW(D264)-1)*4,0,3,3))</f>
        <v>?</v>
      </c>
      <c r="S275">
        <v>263</v>
      </c>
      <c r="T275" s="35">
        <f ca="1">MCond(OFFSET($B$12,(ROW(A263)-1)*4,0,3,3))</f>
        <v>6.3541258749953187</v>
      </c>
      <c r="V275">
        <f t="shared" ca="1" si="14"/>
        <v>2.9565515234831396E-3</v>
      </c>
    </row>
    <row r="276" spans="1:22">
      <c r="A276" s="170"/>
      <c r="B276" s="171">
        <v>2.6959782234951333</v>
      </c>
      <c r="C276" s="171">
        <v>1.0757798809975587</v>
      </c>
      <c r="D276" s="171">
        <v>4.997772423355884E-2</v>
      </c>
      <c r="E276" s="170">
        <v>-1.4990492230334603E-2</v>
      </c>
      <c r="F276" s="170">
        <v>0</v>
      </c>
      <c r="G276" s="170">
        <v>0</v>
      </c>
      <c r="H276" s="170">
        <v>0</v>
      </c>
      <c r="I276" s="170">
        <v>0</v>
      </c>
      <c r="J276" s="170">
        <v>0</v>
      </c>
      <c r="K276" s="170">
        <v>0</v>
      </c>
      <c r="L276">
        <v>4.2140493534193304</v>
      </c>
      <c r="N276" s="172"/>
      <c r="O276" s="35">
        <f ca="1">MCond(OFFSET($B$12,(ROW(A265)-1)*4,0,3,3))</f>
        <v>15.979311741978162</v>
      </c>
      <c r="P276" s="35" t="str">
        <f ca="1">MCond(OFFSET($B$12,(ROW(B265)-1)*4,0,3,6))</f>
        <v>?</v>
      </c>
      <c r="Q276" s="35">
        <f ca="1">MCond(OFFSET($E$12,(ROW(C265)-1)*4,0,3,3))</f>
        <v>1</v>
      </c>
      <c r="R276" s="35" t="str">
        <f ca="1">MCond(OFFSET($I$12,(ROW(D265)-1)*4,0,3,3))</f>
        <v>?</v>
      </c>
      <c r="S276">
        <v>264</v>
      </c>
      <c r="T276" s="35">
        <f ca="1">MCond(OFFSET($B$12,(ROW(A264)-1)*4,0,3,3))</f>
        <v>6.7607681639683301</v>
      </c>
      <c r="V276">
        <f t="shared" ca="1" si="14"/>
        <v>3.1457606928681756E-3</v>
      </c>
    </row>
    <row r="277" spans="1:22">
      <c r="A277" s="170" t="s">
        <v>280</v>
      </c>
      <c r="B277" s="171">
        <v>0.21871711292247331</v>
      </c>
      <c r="C277" s="171">
        <v>2.1363371502498802</v>
      </c>
      <c r="D277" s="171">
        <v>8.9790398854103559E-2</v>
      </c>
      <c r="E277" s="170">
        <v>0</v>
      </c>
      <c r="F277" s="170">
        <v>-1.4990492230334603E-2</v>
      </c>
      <c r="G277" s="170">
        <v>0</v>
      </c>
      <c r="H277" s="170">
        <v>0</v>
      </c>
      <c r="I277" s="170">
        <v>0</v>
      </c>
      <c r="J277" s="170">
        <v>0</v>
      </c>
      <c r="K277" s="170">
        <v>0</v>
      </c>
      <c r="L277">
        <v>2.3099179553746505</v>
      </c>
      <c r="N277" s="172">
        <f>MCond(B276:D278)</f>
        <v>71.937522903691658</v>
      </c>
      <c r="O277" s="35">
        <f ca="1">MCond(OFFSET($B$12,(ROW(A266)-1)*4,0,3,3))</f>
        <v>24.622553140187737</v>
      </c>
      <c r="P277" s="35" t="str">
        <f ca="1">MCond(OFFSET($B$12,(ROW(B266)-1)*4,0,3,6))</f>
        <v>?</v>
      </c>
      <c r="Q277" s="35">
        <f ca="1">MCond(OFFSET($E$12,(ROW(C266)-1)*4,0,3,3))</f>
        <v>1</v>
      </c>
      <c r="R277" s="35" t="str">
        <f ca="1">MCond(OFFSET($I$12,(ROW(D266)-1)*4,0,3,3))</f>
        <v>?</v>
      </c>
      <c r="S277">
        <v>265</v>
      </c>
      <c r="T277" s="35">
        <f ca="1">MCond(OFFSET($B$12,(ROW(A265)-1)*4,0,3,3))</f>
        <v>15.979311741978162</v>
      </c>
      <c r="V277">
        <f t="shared" ca="1" si="14"/>
        <v>7.4351152942799337E-3</v>
      </c>
    </row>
    <row r="278" spans="1:22">
      <c r="A278" s="170"/>
      <c r="B278" s="171">
        <v>1.8375474863113905</v>
      </c>
      <c r="C278" s="171">
        <v>2.1167426559988707</v>
      </c>
      <c r="D278" s="171">
        <v>1.2367606559382516E-2</v>
      </c>
      <c r="E278" s="170">
        <v>0</v>
      </c>
      <c r="F278" s="170">
        <v>0</v>
      </c>
      <c r="G278" s="170">
        <v>-1.4990492230334603E-2</v>
      </c>
      <c r="H278" s="170">
        <v>0</v>
      </c>
      <c r="I278" s="170">
        <v>0</v>
      </c>
      <c r="J278" s="170">
        <v>0</v>
      </c>
      <c r="K278" s="170">
        <v>0</v>
      </c>
      <c r="L278">
        <v>3.9286665969332351</v>
      </c>
      <c r="N278" s="172"/>
      <c r="O278" s="35">
        <f ca="1">MCond(OFFSET($B$12,(ROW(A267)-1)*4,0,3,3))</f>
        <v>9.6873396835531249</v>
      </c>
      <c r="P278" s="35" t="str">
        <f ca="1">MCond(OFFSET($B$12,(ROW(B267)-1)*4,0,3,6))</f>
        <v>?</v>
      </c>
      <c r="Q278" s="35">
        <f ca="1">MCond(OFFSET($E$12,(ROW(C267)-1)*4,0,3,3))</f>
        <v>1</v>
      </c>
      <c r="R278" s="35" t="str">
        <f ca="1">MCond(OFFSET($I$12,(ROW(D267)-1)*4,0,3,3))</f>
        <v>?</v>
      </c>
      <c r="S278">
        <v>266</v>
      </c>
      <c r="T278" s="35">
        <f ca="1">MCond(OFFSET($B$12,(ROW(A266)-1)*4,0,3,3))</f>
        <v>24.622553140187737</v>
      </c>
      <c r="V278">
        <f t="shared" ca="1" si="14"/>
        <v>1.1456783896135872E-2</v>
      </c>
    </row>
    <row r="279" spans="1:22">
      <c r="A279" s="170"/>
      <c r="B279" s="171"/>
      <c r="C279" s="171"/>
      <c r="D279" s="171"/>
      <c r="E279" s="170"/>
      <c r="F279" s="170"/>
      <c r="G279" s="170"/>
      <c r="H279" s="170"/>
      <c r="I279" s="170"/>
      <c r="J279" s="170"/>
      <c r="K279" s="170"/>
      <c r="N279" s="173"/>
      <c r="O279" s="35">
        <f ca="1">MCond(OFFSET($B$12,(ROW(A268)-1)*4,0,3,3))</f>
        <v>4.3639483646416055</v>
      </c>
      <c r="P279" s="35" t="str">
        <f ca="1">MCond(OFFSET($B$12,(ROW(B268)-1)*4,0,3,6))</f>
        <v>?</v>
      </c>
      <c r="Q279" s="35">
        <f ca="1">MCond(OFFSET($E$12,(ROW(C268)-1)*4,0,3,3))</f>
        <v>1</v>
      </c>
      <c r="R279" s="35" t="str">
        <f ca="1">MCond(OFFSET($I$12,(ROW(D268)-1)*4,0,3,3))</f>
        <v>?</v>
      </c>
      <c r="S279">
        <v>267</v>
      </c>
      <c r="T279" s="35">
        <f ca="1">MCond(OFFSET($B$12,(ROW(A267)-1)*4,0,3,3))</f>
        <v>9.6873396835531249</v>
      </c>
      <c r="V279">
        <f t="shared" ca="1" si="14"/>
        <v>4.5074837142612904E-3</v>
      </c>
    </row>
    <row r="280" spans="1:22">
      <c r="A280" s="170"/>
      <c r="B280" s="171">
        <v>2.6959782234951333</v>
      </c>
      <c r="C280" s="171">
        <v>1.0757798809975587</v>
      </c>
      <c r="D280" s="171">
        <v>4.997772423355884E-2</v>
      </c>
      <c r="E280" s="170">
        <v>-1.4990492230334603E-2</v>
      </c>
      <c r="F280" s="170">
        <v>0</v>
      </c>
      <c r="G280" s="170">
        <v>0</v>
      </c>
      <c r="H280" s="170">
        <v>0</v>
      </c>
      <c r="I280" s="170">
        <v>0</v>
      </c>
      <c r="J280" s="170">
        <v>0</v>
      </c>
      <c r="K280" s="170">
        <v>0</v>
      </c>
      <c r="L280">
        <v>4.2140493534193304</v>
      </c>
      <c r="N280" s="172"/>
      <c r="O280" s="35">
        <f ca="1">MCond(OFFSET($B$12,(ROW(A269)-1)*4,0,3,3))</f>
        <v>7.1573490093416128</v>
      </c>
      <c r="P280" s="35" t="str">
        <f ca="1">MCond(OFFSET($B$12,(ROW(B269)-1)*4,0,3,6))</f>
        <v>?</v>
      </c>
      <c r="Q280" s="35">
        <f ca="1">MCond(OFFSET($E$12,(ROW(C269)-1)*4,0,3,3))</f>
        <v>1</v>
      </c>
      <c r="R280" s="35" t="str">
        <f ca="1">MCond(OFFSET($I$12,(ROW(D269)-1)*4,0,3,3))</f>
        <v>?</v>
      </c>
      <c r="S280">
        <v>268</v>
      </c>
      <c r="T280" s="35">
        <f ca="1">MCond(OFFSET($B$12,(ROW(A268)-1)*4,0,3,3))</f>
        <v>4.3639483646416055</v>
      </c>
      <c r="V280">
        <f t="shared" ca="1" si="14"/>
        <v>2.0305292088492661E-3</v>
      </c>
    </row>
    <row r="281" spans="1:22">
      <c r="A281" s="170" t="s">
        <v>281</v>
      </c>
      <c r="B281" s="171">
        <v>0.21871711292247331</v>
      </c>
      <c r="C281" s="171">
        <v>2.1363371502498802</v>
      </c>
      <c r="D281" s="171">
        <v>8.9790398854103559E-2</v>
      </c>
      <c r="E281" s="170">
        <v>0</v>
      </c>
      <c r="F281" s="170">
        <v>-1.4990492230334603E-2</v>
      </c>
      <c r="G281" s="170">
        <v>0</v>
      </c>
      <c r="H281" s="170">
        <v>0</v>
      </c>
      <c r="I281" s="170">
        <v>0</v>
      </c>
      <c r="J281" s="170">
        <v>0</v>
      </c>
      <c r="K281" s="170">
        <v>0</v>
      </c>
      <c r="L281">
        <v>2.3099179553746505</v>
      </c>
      <c r="N281" s="172">
        <f>MCond(B280:D282)</f>
        <v>7.5230904443487656</v>
      </c>
      <c r="O281" s="35">
        <f ca="1">MCond(OFFSET($B$12,(ROW(A270)-1)*4,0,3,3))</f>
        <v>3.4265372448109996</v>
      </c>
      <c r="P281" s="35" t="str">
        <f ca="1">MCond(OFFSET($B$12,(ROW(B270)-1)*4,0,3,6))</f>
        <v>?</v>
      </c>
      <c r="Q281" s="35">
        <f ca="1">MCond(OFFSET($E$12,(ROW(C270)-1)*4,0,3,3))</f>
        <v>1</v>
      </c>
      <c r="R281" s="35" t="str">
        <f ca="1">MCond(OFFSET($I$12,(ROW(D270)-1)*4,0,3,3))</f>
        <v>?</v>
      </c>
      <c r="S281">
        <v>269</v>
      </c>
      <c r="T281" s="35">
        <f ca="1">MCond(OFFSET($B$12,(ROW(A269)-1)*4,0,3,3))</f>
        <v>7.1573490093416128</v>
      </c>
      <c r="V281">
        <f t="shared" ca="1" si="14"/>
        <v>3.3302883093553884E-3</v>
      </c>
    </row>
    <row r="282" spans="1:22">
      <c r="A282" s="170"/>
      <c r="B282" s="171">
        <v>1.2284177840385118</v>
      </c>
      <c r="C282" s="171">
        <v>2.3993580133895418</v>
      </c>
      <c r="D282" s="171">
        <v>-0.6756623603325641</v>
      </c>
      <c r="E282" s="170">
        <v>0</v>
      </c>
      <c r="F282" s="170">
        <v>0</v>
      </c>
      <c r="G282" s="170">
        <v>-1.4990492230334603E-2</v>
      </c>
      <c r="H282" s="170">
        <v>0</v>
      </c>
      <c r="I282" s="170">
        <v>0</v>
      </c>
      <c r="J282" s="170">
        <v>0</v>
      </c>
      <c r="K282" s="170">
        <v>0</v>
      </c>
      <c r="L282">
        <v>3.8612243768644339</v>
      </c>
      <c r="N282" s="172"/>
      <c r="O282" s="35">
        <f ca="1">MCond(OFFSET($B$12,(ROW(A271)-1)*4,0,3,3))</f>
        <v>12.100449578887144</v>
      </c>
      <c r="P282" s="35" t="str">
        <f ca="1">MCond(OFFSET($B$12,(ROW(B271)-1)*4,0,3,6))</f>
        <v>?</v>
      </c>
      <c r="Q282" s="35">
        <f ca="1">MCond(OFFSET($E$12,(ROW(C271)-1)*4,0,3,3))</f>
        <v>1</v>
      </c>
      <c r="R282" s="35">
        <f ca="1">MCond(OFFSET($I$12,(ROW(D271)-1)*4,0,3,3))</f>
        <v>3.2505774195009289</v>
      </c>
      <c r="S282">
        <v>270</v>
      </c>
      <c r="T282" s="35">
        <f ca="1">MCond(OFFSET($B$12,(ROW(A270)-1)*4,0,3,3))</f>
        <v>3.4265372448109996</v>
      </c>
      <c r="V282">
        <f t="shared" ca="1" si="14"/>
        <v>1.594355244249099E-3</v>
      </c>
    </row>
    <row r="283" spans="1:22">
      <c r="A283" s="170"/>
      <c r="B283" s="171"/>
      <c r="C283" s="171"/>
      <c r="D283" s="171"/>
      <c r="E283" s="170"/>
      <c r="F283" s="170"/>
      <c r="G283" s="170"/>
      <c r="H283" s="170"/>
      <c r="I283" s="170"/>
      <c r="J283" s="170"/>
      <c r="K283" s="170"/>
      <c r="N283" s="173"/>
      <c r="O283" s="35">
        <f ca="1">MCond(OFFSET($B$12,(ROW(A272)-1)*4,0,3,3))</f>
        <v>6.7197741867997447</v>
      </c>
      <c r="P283" s="35" t="str">
        <f ca="1">MCond(OFFSET($B$12,(ROW(B272)-1)*4,0,3,6))</f>
        <v>?</v>
      </c>
      <c r="Q283" s="35">
        <f ca="1">MCond(OFFSET($E$12,(ROW(C272)-1)*4,0,3,3))</f>
        <v>1</v>
      </c>
      <c r="R283" s="35">
        <f ca="1">MCond(OFFSET($I$12,(ROW(D272)-1)*4,0,3,3))</f>
        <v>8.591549295774648</v>
      </c>
      <c r="S283">
        <v>271</v>
      </c>
      <c r="T283" s="35">
        <f ca="1">MCond(OFFSET($B$12,(ROW(A271)-1)*4,0,3,3))</f>
        <v>12.100449578887144</v>
      </c>
      <c r="V283">
        <f t="shared" ca="1" si="14"/>
        <v>5.6302949203561473E-3</v>
      </c>
    </row>
    <row r="284" spans="1:22">
      <c r="A284" s="170"/>
      <c r="B284" s="171">
        <v>2.6959782234951333</v>
      </c>
      <c r="C284" s="171">
        <v>1.0757798809975587</v>
      </c>
      <c r="D284" s="171">
        <v>4.997772423355884E-2</v>
      </c>
      <c r="E284" s="170">
        <v>-1.4990492230334603E-2</v>
      </c>
      <c r="F284" s="170">
        <v>0</v>
      </c>
      <c r="G284" s="170">
        <v>0</v>
      </c>
      <c r="H284" s="170">
        <v>0</v>
      </c>
      <c r="I284" s="170">
        <v>0</v>
      </c>
      <c r="J284" s="170">
        <v>0</v>
      </c>
      <c r="K284" s="170">
        <v>0</v>
      </c>
      <c r="L284">
        <v>4.2140493534193304</v>
      </c>
      <c r="N284" s="172"/>
      <c r="O284" s="35">
        <f ca="1">MCond(OFFSET($B$12,(ROW(A273)-1)*4,0,3,3))</f>
        <v>5.3162933238372769</v>
      </c>
      <c r="P284" s="35" t="str">
        <f ca="1">MCond(OFFSET($B$12,(ROW(B273)-1)*4,0,3,6))</f>
        <v>?</v>
      </c>
      <c r="Q284" s="35">
        <f ca="1">MCond(OFFSET($E$12,(ROW(C273)-1)*4,0,3,3))</f>
        <v>1</v>
      </c>
      <c r="R284" s="35" t="str">
        <f ca="1">MCond(OFFSET($I$12,(ROW(D273)-1)*4,0,3,3))</f>
        <v>?</v>
      </c>
      <c r="S284">
        <v>272</v>
      </c>
      <c r="T284" s="35">
        <f ca="1">MCond(OFFSET($B$12,(ROW(A272)-1)*4,0,3,3))</f>
        <v>6.7197741867997447</v>
      </c>
      <c r="V284">
        <f t="shared" ca="1" si="14"/>
        <v>3.1266863452654057E-3</v>
      </c>
    </row>
    <row r="285" spans="1:22">
      <c r="A285" s="170" t="s">
        <v>282</v>
      </c>
      <c r="B285" s="171">
        <v>1.8375474863113905</v>
      </c>
      <c r="C285" s="171">
        <v>2.1167426559988707</v>
      </c>
      <c r="D285" s="171">
        <v>1.2367606559382516E-2</v>
      </c>
      <c r="E285" s="170">
        <v>0</v>
      </c>
      <c r="F285" s="170">
        <v>-1.4990492230334603E-2</v>
      </c>
      <c r="G285" s="170">
        <v>0</v>
      </c>
      <c r="H285" s="170">
        <v>0</v>
      </c>
      <c r="I285" s="170">
        <v>0</v>
      </c>
      <c r="J285" s="170">
        <v>0</v>
      </c>
      <c r="K285" s="170">
        <v>0</v>
      </c>
      <c r="L285">
        <v>3.9286665969332351</v>
      </c>
      <c r="N285" s="172">
        <f>MCond(B284:D286)</f>
        <v>13.005132427828926</v>
      </c>
      <c r="O285" s="35">
        <f ca="1">MCond(OFFSET($B$12,(ROW(A274)-1)*4,0,3,3))</f>
        <v>6.5721137062563466</v>
      </c>
      <c r="P285" s="35" t="str">
        <f ca="1">MCond(OFFSET($B$12,(ROW(B274)-1)*4,0,3,6))</f>
        <v>?</v>
      </c>
      <c r="Q285" s="35">
        <f ca="1">MCond(OFFSET($E$12,(ROW(C274)-1)*4,0,3,3))</f>
        <v>1</v>
      </c>
      <c r="R285" s="35">
        <f ca="1">MCond(OFFSET($I$12,(ROW(D274)-1)*4,0,3,3))</f>
        <v>3.1166314305849192</v>
      </c>
      <c r="S285">
        <v>273</v>
      </c>
      <c r="T285" s="35">
        <f ca="1">MCond(OFFSET($B$12,(ROW(A273)-1)*4,0,3,3))</f>
        <v>5.3162933238372769</v>
      </c>
      <c r="V285">
        <f t="shared" ca="1" si="14"/>
        <v>2.4736518342715276E-3</v>
      </c>
    </row>
    <row r="286" spans="1:22">
      <c r="A286" s="170"/>
      <c r="B286" s="171">
        <v>1.2284177840385118</v>
      </c>
      <c r="C286" s="171">
        <v>2.3993580133895418</v>
      </c>
      <c r="D286" s="171">
        <v>-0.6756623603325641</v>
      </c>
      <c r="E286" s="170">
        <v>0</v>
      </c>
      <c r="F286" s="170">
        <v>0</v>
      </c>
      <c r="G286" s="170">
        <v>-1.4990492230334603E-2</v>
      </c>
      <c r="H286" s="170">
        <v>0</v>
      </c>
      <c r="I286" s="170">
        <v>0</v>
      </c>
      <c r="J286" s="170">
        <v>0</v>
      </c>
      <c r="K286" s="170">
        <v>0</v>
      </c>
      <c r="L286">
        <v>3.8612243768644339</v>
      </c>
      <c r="N286" s="172"/>
      <c r="O286" s="35">
        <f ca="1">MCond(OFFSET($B$12,(ROW(A275)-1)*4,0,3,3))</f>
        <v>11.385227489967416</v>
      </c>
      <c r="P286" s="35" t="str">
        <f ca="1">MCond(OFFSET($B$12,(ROW(B275)-1)*4,0,3,6))</f>
        <v>?</v>
      </c>
      <c r="Q286" s="35">
        <f ca="1">MCond(OFFSET($E$12,(ROW(C275)-1)*4,0,3,3))</f>
        <v>1</v>
      </c>
      <c r="R286" s="35" t="str">
        <f ca="1">MCond(OFFSET($I$12,(ROW(D275)-1)*4,0,3,3))</f>
        <v>?</v>
      </c>
      <c r="S286">
        <v>274</v>
      </c>
      <c r="T286" s="35">
        <f ca="1">MCond(OFFSET($B$12,(ROW(A274)-1)*4,0,3,3))</f>
        <v>6.5721137062563466</v>
      </c>
      <c r="V286">
        <f t="shared" ca="1" si="14"/>
        <v>3.0579804638747325E-3</v>
      </c>
    </row>
    <row r="287" spans="1:22">
      <c r="A287" s="170"/>
      <c r="B287" s="171"/>
      <c r="C287" s="171"/>
      <c r="D287" s="171"/>
      <c r="E287" s="170"/>
      <c r="F287" s="170"/>
      <c r="G287" s="170"/>
      <c r="H287" s="170"/>
      <c r="I287" s="170"/>
      <c r="J287" s="170"/>
      <c r="K287" s="170"/>
      <c r="N287" s="173"/>
      <c r="O287" s="35">
        <f ca="1">MCond(OFFSET($B$12,(ROW(A276)-1)*4,0,3,3))</f>
        <v>4.1936501463501141</v>
      </c>
      <c r="P287" s="35" t="str">
        <f ca="1">MCond(OFFSET($B$12,(ROW(B276)-1)*4,0,3,6))</f>
        <v>?</v>
      </c>
      <c r="Q287" s="35">
        <f ca="1">MCond(OFFSET($E$12,(ROW(C276)-1)*4,0,3,3))</f>
        <v>1</v>
      </c>
      <c r="R287" s="35" t="str">
        <f ca="1">MCond(OFFSET($I$12,(ROW(D276)-1)*4,0,3,3))</f>
        <v>?</v>
      </c>
      <c r="S287">
        <v>275</v>
      </c>
      <c r="T287" s="35">
        <f ca="1">MCond(OFFSET($B$12,(ROW(A275)-1)*4,0,3,3))</f>
        <v>11.385227489967416</v>
      </c>
      <c r="V287">
        <f t="shared" ca="1" si="14"/>
        <v>5.2975046989748352E-3</v>
      </c>
    </row>
    <row r="288" spans="1:22">
      <c r="A288" s="170"/>
      <c r="B288" s="171">
        <v>0.21871711292247331</v>
      </c>
      <c r="C288" s="171">
        <v>2.1363371502498802</v>
      </c>
      <c r="D288" s="171">
        <v>8.9790398854103559E-2</v>
      </c>
      <c r="E288" s="170">
        <v>-1.4990492230334603E-2</v>
      </c>
      <c r="F288" s="170">
        <v>0</v>
      </c>
      <c r="G288" s="170">
        <v>0</v>
      </c>
      <c r="H288" s="170">
        <v>0</v>
      </c>
      <c r="I288" s="170">
        <v>0</v>
      </c>
      <c r="J288" s="170">
        <v>0</v>
      </c>
      <c r="K288" s="170">
        <v>0</v>
      </c>
      <c r="L288">
        <v>2.3099179553746505</v>
      </c>
      <c r="N288" s="172"/>
      <c r="O288" s="35">
        <f ca="1">MCond(OFFSET($B$12,(ROW(A277)-1)*4,0,3,3))</f>
        <v>4.4300562065933597</v>
      </c>
      <c r="P288" s="35" t="str">
        <f ca="1">MCond(OFFSET($B$12,(ROW(B277)-1)*4,0,3,6))</f>
        <v>?</v>
      </c>
      <c r="Q288" s="35">
        <f ca="1">MCond(OFFSET($E$12,(ROW(C277)-1)*4,0,3,3))</f>
        <v>1</v>
      </c>
      <c r="R288" s="35">
        <f ca="1">MCond(OFFSET($I$12,(ROW(D277)-1)*4,0,3,3))</f>
        <v>8.591549295774648</v>
      </c>
      <c r="S288">
        <v>276</v>
      </c>
      <c r="T288" s="35">
        <f ca="1">MCond(OFFSET($B$12,(ROW(A276)-1)*4,0,3,3))</f>
        <v>4.1936501463501141</v>
      </c>
      <c r="V288">
        <f t="shared" ca="1" si="14"/>
        <v>1.9512900709030819E-3</v>
      </c>
    </row>
    <row r="289" spans="1:22">
      <c r="A289" s="170" t="s">
        <v>283</v>
      </c>
      <c r="B289" s="171">
        <v>1.8375474863113905</v>
      </c>
      <c r="C289" s="171">
        <v>2.1167426559988707</v>
      </c>
      <c r="D289" s="171">
        <v>1.2367606559382516E-2</v>
      </c>
      <c r="E289" s="170">
        <v>0</v>
      </c>
      <c r="F289" s="170">
        <v>-1.4990492230334603E-2</v>
      </c>
      <c r="G289" s="170">
        <v>0</v>
      </c>
      <c r="H289" s="170">
        <v>0</v>
      </c>
      <c r="I289" s="170">
        <v>0</v>
      </c>
      <c r="J289" s="170">
        <v>0</v>
      </c>
      <c r="K289" s="170">
        <v>0</v>
      </c>
      <c r="L289">
        <v>3.9286665969332351</v>
      </c>
      <c r="N289" s="172">
        <f>MCond(B288:D290)</f>
        <v>7.6469926989996724</v>
      </c>
      <c r="O289" s="35">
        <f ca="1">MCond(OFFSET($B$12,(ROW(A278)-1)*4,0,3,3))</f>
        <v>5.4697357909735507</v>
      </c>
      <c r="P289" s="35" t="str">
        <f ca="1">MCond(OFFSET($B$12,(ROW(B278)-1)*4,0,3,6))</f>
        <v>?</v>
      </c>
      <c r="Q289" s="35">
        <f ca="1">MCond(OFFSET($E$12,(ROW(C278)-1)*4,0,3,3))</f>
        <v>1</v>
      </c>
      <c r="R289" s="35" t="str">
        <f ca="1">MCond(OFFSET($I$12,(ROW(D278)-1)*4,0,3,3))</f>
        <v>?</v>
      </c>
      <c r="S289">
        <v>277</v>
      </c>
      <c r="T289" s="35">
        <f ca="1">MCond(OFFSET($B$12,(ROW(A277)-1)*4,0,3,3))</f>
        <v>4.4300562065933597</v>
      </c>
      <c r="V289">
        <f t="shared" ca="1" si="14"/>
        <v>2.0612889458582195E-3</v>
      </c>
    </row>
    <row r="290" spans="1:22">
      <c r="A290" s="170"/>
      <c r="B290" s="171">
        <v>1.2284177840385118</v>
      </c>
      <c r="C290" s="171">
        <v>2.3993580133895418</v>
      </c>
      <c r="D290" s="171">
        <v>-0.6756623603325641</v>
      </c>
      <c r="E290" s="170">
        <v>0</v>
      </c>
      <c r="F290" s="170">
        <v>0</v>
      </c>
      <c r="G290" s="170">
        <v>-1.4990492230334603E-2</v>
      </c>
      <c r="H290" s="170">
        <v>0</v>
      </c>
      <c r="I290" s="170">
        <v>0</v>
      </c>
      <c r="J290" s="170">
        <v>0</v>
      </c>
      <c r="K290" s="170">
        <v>0</v>
      </c>
      <c r="L290">
        <v>3.8612243768644339</v>
      </c>
      <c r="N290" s="172"/>
      <c r="O290" s="35">
        <f ca="1">MCond(OFFSET($B$12,(ROW(A279)-1)*4,0,3,3))</f>
        <v>3.6876331792039538</v>
      </c>
      <c r="P290" s="35" t="str">
        <f ca="1">MCond(OFFSET($B$12,(ROW(B279)-1)*4,0,3,6))</f>
        <v>?</v>
      </c>
      <c r="Q290" s="35">
        <f ca="1">MCond(OFFSET($E$12,(ROW(C279)-1)*4,0,3,3))</f>
        <v>1</v>
      </c>
      <c r="R290" s="35" t="str">
        <f ca="1">MCond(OFFSET($I$12,(ROW(D279)-1)*4,0,3,3))</f>
        <v>?</v>
      </c>
      <c r="S290">
        <v>278</v>
      </c>
      <c r="T290" s="35">
        <f ca="1">MCond(OFFSET($B$12,(ROW(A278)-1)*4,0,3,3))</f>
        <v>5.4697357909735507</v>
      </c>
      <c r="V290">
        <f t="shared" ca="1" si="14"/>
        <v>2.5450480528708477E-3</v>
      </c>
    </row>
    <row r="291" spans="1:22">
      <c r="A291" s="170"/>
      <c r="B291" s="171"/>
      <c r="C291" s="171"/>
      <c r="D291" s="171"/>
      <c r="E291" s="170"/>
      <c r="F291" s="170"/>
      <c r="G291" s="170"/>
      <c r="H291" s="170"/>
      <c r="I291" s="170"/>
      <c r="J291" s="170"/>
      <c r="K291" s="170"/>
      <c r="N291" s="173"/>
      <c r="O291" s="35">
        <f ca="1">MCond(OFFSET($B$12,(ROW(A280)-1)*4,0,3,3))</f>
        <v>5.7586173410951851</v>
      </c>
      <c r="P291" s="35" t="str">
        <f ca="1">MCond(OFFSET($B$12,(ROW(B280)-1)*4,0,3,6))</f>
        <v>?</v>
      </c>
      <c r="Q291" s="35">
        <f ca="1">MCond(OFFSET($E$12,(ROW(C280)-1)*4,0,3,3))</f>
        <v>1</v>
      </c>
      <c r="R291" s="35" t="str">
        <f ca="1">MCond(OFFSET($I$12,(ROW(D280)-1)*4,0,3,3))</f>
        <v>?</v>
      </c>
      <c r="S291">
        <v>279</v>
      </c>
      <c r="T291" s="35">
        <f ca="1">MCond(OFFSET($B$12,(ROW(A279)-1)*4,0,3,3))</f>
        <v>3.6876331792039538</v>
      </c>
      <c r="V291">
        <f t="shared" ca="1" si="14"/>
        <v>1.7158422273198131E-3</v>
      </c>
    </row>
    <row r="292" spans="1:22">
      <c r="A292" s="170"/>
      <c r="B292" s="171">
        <v>-1.0419123890112216</v>
      </c>
      <c r="C292" s="171">
        <v>4.0818532431212473E-2</v>
      </c>
      <c r="D292" s="171">
        <v>-0.77248383184656022</v>
      </c>
      <c r="E292" s="170">
        <v>-1.4990492230334603E-2</v>
      </c>
      <c r="F292" s="170">
        <v>0</v>
      </c>
      <c r="G292" s="170">
        <v>0</v>
      </c>
      <c r="H292" s="170">
        <v>0</v>
      </c>
      <c r="I292" s="170">
        <v>0</v>
      </c>
      <c r="J292" s="170">
        <v>0</v>
      </c>
      <c r="K292" s="170">
        <v>0</v>
      </c>
      <c r="L292">
        <v>0.8419894247146269</v>
      </c>
      <c r="N292" s="172"/>
      <c r="O292" s="35"/>
      <c r="P292" s="35"/>
      <c r="Q292" s="35"/>
      <c r="R292" s="35"/>
      <c r="S292">
        <v>280</v>
      </c>
      <c r="T292" s="35">
        <f ca="1">MCond(OFFSET($B$12,(ROW(A280)-1)*4,0,3,3))</f>
        <v>5.7586173410951851</v>
      </c>
      <c r="V292">
        <f t="shared" ca="1" si="14"/>
        <v>2.6794635812882666E-3</v>
      </c>
    </row>
    <row r="293" spans="1:22">
      <c r="A293" s="170" t="s">
        <v>284</v>
      </c>
      <c r="B293" s="171">
        <v>-2.2957880185781296</v>
      </c>
      <c r="C293" s="171">
        <v>8.2263663034425338E-3</v>
      </c>
      <c r="D293" s="171">
        <v>-3.3137218009327896E-2</v>
      </c>
      <c r="E293" s="170">
        <v>0</v>
      </c>
      <c r="F293" s="170">
        <v>-1.4990492230334603E-2</v>
      </c>
      <c r="G293" s="170">
        <v>0</v>
      </c>
      <c r="H293" s="170">
        <v>0</v>
      </c>
      <c r="I293" s="170">
        <v>0</v>
      </c>
      <c r="J293" s="170">
        <v>0</v>
      </c>
      <c r="K293" s="170">
        <v>0</v>
      </c>
      <c r="L293">
        <v>2.6359041872834252</v>
      </c>
      <c r="N293" s="172">
        <f>MCond(B292:D294)</f>
        <v>6.5447871116906784</v>
      </c>
      <c r="T293" s="35"/>
    </row>
    <row r="294" spans="1:22">
      <c r="A294" s="170"/>
      <c r="B294" s="171">
        <v>-2.44475956514645</v>
      </c>
      <c r="C294" s="171">
        <v>0.85548399177677847</v>
      </c>
      <c r="D294" s="171">
        <v>-5.2896656816179721E-2</v>
      </c>
      <c r="E294" s="170">
        <v>0</v>
      </c>
      <c r="F294" s="170">
        <v>0</v>
      </c>
      <c r="G294" s="170">
        <v>-1.4990492230334603E-2</v>
      </c>
      <c r="H294" s="170">
        <v>0</v>
      </c>
      <c r="I294" s="170">
        <v>0</v>
      </c>
      <c r="J294" s="170">
        <v>0</v>
      </c>
      <c r="K294" s="170">
        <v>0</v>
      </c>
      <c r="L294">
        <v>3.3557501239318595</v>
      </c>
      <c r="N294" s="172"/>
      <c r="S294">
        <v>1</v>
      </c>
      <c r="T294" s="35">
        <v>4.136985868324337</v>
      </c>
    </row>
    <row r="295" spans="1:22">
      <c r="A295" s="170"/>
      <c r="B295" s="171"/>
      <c r="C295" s="171"/>
      <c r="D295" s="171"/>
      <c r="E295" s="170"/>
      <c r="F295" s="170"/>
      <c r="G295" s="170"/>
      <c r="H295" s="170"/>
      <c r="I295" s="170"/>
      <c r="J295" s="170"/>
      <c r="K295" s="170"/>
      <c r="N295" s="173"/>
      <c r="S295" s="175">
        <v>161</v>
      </c>
      <c r="T295" s="176">
        <v>2149.1679832149403</v>
      </c>
    </row>
    <row r="296" spans="1:22">
      <c r="A296" s="170"/>
      <c r="B296" s="171">
        <v>-1.0419123890112216</v>
      </c>
      <c r="C296" s="171">
        <v>4.0818532431212473E-2</v>
      </c>
      <c r="D296" s="171">
        <v>-0.77248383184656022</v>
      </c>
      <c r="E296" s="170">
        <v>-1.4990492230334603E-2</v>
      </c>
      <c r="F296" s="170">
        <v>0</v>
      </c>
      <c r="G296" s="170">
        <v>0</v>
      </c>
      <c r="H296" s="170">
        <v>0</v>
      </c>
      <c r="I296" s="170">
        <v>0</v>
      </c>
      <c r="J296" s="170">
        <v>0</v>
      </c>
      <c r="K296" s="170">
        <v>0</v>
      </c>
      <c r="L296">
        <v>0.8419894247146269</v>
      </c>
      <c r="N296" s="172"/>
      <c r="S296" s="175">
        <v>62</v>
      </c>
      <c r="T296" s="176">
        <v>1839.1895225872963</v>
      </c>
    </row>
    <row r="297" spans="1:22">
      <c r="A297" s="170" t="s">
        <v>285</v>
      </c>
      <c r="B297" s="171">
        <v>-2.2957880185781296</v>
      </c>
      <c r="C297" s="171">
        <v>8.2263663034425338E-3</v>
      </c>
      <c r="D297" s="171">
        <v>-3.3137218009327896E-2</v>
      </c>
      <c r="E297" s="170">
        <v>0</v>
      </c>
      <c r="F297" s="170">
        <v>-1.4990492230334603E-2</v>
      </c>
      <c r="G297" s="170">
        <v>0</v>
      </c>
      <c r="H297" s="170">
        <v>0</v>
      </c>
      <c r="I297" s="170">
        <v>0</v>
      </c>
      <c r="J297" s="170">
        <v>0</v>
      </c>
      <c r="K297" s="170">
        <v>0</v>
      </c>
      <c r="L297">
        <v>2.6359041872834252</v>
      </c>
      <c r="N297" s="172">
        <f>MCond(B296:D298)</f>
        <v>3.8029292847047502</v>
      </c>
      <c r="S297" s="175">
        <v>230</v>
      </c>
      <c r="T297" s="176">
        <v>1832.2683886248421</v>
      </c>
    </row>
    <row r="298" spans="1:22">
      <c r="A298" s="170"/>
      <c r="B298" s="171">
        <v>0.40019020491700363</v>
      </c>
      <c r="C298" s="171">
        <v>1.0840062473010013</v>
      </c>
      <c r="D298" s="171">
        <v>1.6840506224230944E-2</v>
      </c>
      <c r="E298" s="170">
        <v>0</v>
      </c>
      <c r="F298" s="170">
        <v>0</v>
      </c>
      <c r="G298" s="170">
        <v>-1.4990492230334603E-2</v>
      </c>
      <c r="H298" s="170">
        <v>0</v>
      </c>
      <c r="I298" s="170">
        <v>0</v>
      </c>
      <c r="J298" s="170">
        <v>0</v>
      </c>
      <c r="K298" s="170">
        <v>0</v>
      </c>
      <c r="L298">
        <v>0.66775267347450074</v>
      </c>
      <c r="N298" s="172"/>
      <c r="S298" s="175">
        <v>126</v>
      </c>
      <c r="T298" s="176">
        <v>1531.9211719884818</v>
      </c>
    </row>
    <row r="299" spans="1:22">
      <c r="A299" s="170"/>
      <c r="B299" s="171"/>
      <c r="C299" s="171"/>
      <c r="D299" s="171"/>
      <c r="E299" s="170"/>
      <c r="F299" s="170"/>
      <c r="G299" s="170"/>
      <c r="H299" s="170"/>
      <c r="I299" s="170"/>
      <c r="J299" s="170"/>
      <c r="K299" s="170"/>
      <c r="N299" s="173"/>
      <c r="S299" s="175">
        <v>226</v>
      </c>
      <c r="T299" s="176">
        <v>466.83042019142619</v>
      </c>
    </row>
    <row r="300" spans="1:22">
      <c r="A300" s="170"/>
      <c r="B300" s="171">
        <v>-1.0419123890112216</v>
      </c>
      <c r="C300" s="171">
        <v>4.0818532431212473E-2</v>
      </c>
      <c r="D300" s="171">
        <v>-0.77248383184656022</v>
      </c>
      <c r="E300" s="170">
        <v>-1.4990492230334603E-2</v>
      </c>
      <c r="F300" s="170">
        <v>0</v>
      </c>
      <c r="G300" s="170">
        <v>0</v>
      </c>
      <c r="H300" s="170">
        <v>0</v>
      </c>
      <c r="I300" s="170">
        <v>0</v>
      </c>
      <c r="J300" s="170">
        <v>0</v>
      </c>
      <c r="K300" s="170">
        <v>0</v>
      </c>
      <c r="L300">
        <v>0.8419894247146269</v>
      </c>
      <c r="N300" s="172"/>
      <c r="S300">
        <v>88</v>
      </c>
      <c r="T300" s="35">
        <v>435.33148403717917</v>
      </c>
    </row>
    <row r="301" spans="1:22">
      <c r="A301" s="170" t="s">
        <v>286</v>
      </c>
      <c r="B301" s="171">
        <v>-2.2957880185781296</v>
      </c>
      <c r="C301" s="171">
        <v>8.2263663034425338E-3</v>
      </c>
      <c r="D301" s="171">
        <v>-3.3137218009327896E-2</v>
      </c>
      <c r="E301" s="170">
        <v>0</v>
      </c>
      <c r="F301" s="170">
        <v>-1.4990492230334603E-2</v>
      </c>
      <c r="G301" s="170">
        <v>0</v>
      </c>
      <c r="H301" s="170">
        <v>0</v>
      </c>
      <c r="I301" s="170">
        <v>0</v>
      </c>
      <c r="J301" s="170">
        <v>0</v>
      </c>
      <c r="K301" s="170">
        <v>0</v>
      </c>
      <c r="L301">
        <v>2.6359041872834252</v>
      </c>
      <c r="N301" s="172">
        <f>MCond(B300:D302)</f>
        <v>5.3446407282175681</v>
      </c>
      <c r="S301">
        <v>132</v>
      </c>
      <c r="T301" s="35">
        <v>384.18771801649655</v>
      </c>
    </row>
    <row r="302" spans="1:22">
      <c r="A302" s="170"/>
      <c r="B302" s="171">
        <v>-2.0770709056556562</v>
      </c>
      <c r="C302" s="171">
        <v>2.1445635165533226</v>
      </c>
      <c r="D302" s="171">
        <v>5.6653180844775664E-2</v>
      </c>
      <c r="E302" s="170">
        <v>0</v>
      </c>
      <c r="F302" s="170">
        <v>0</v>
      </c>
      <c r="G302" s="170">
        <v>-1.4990492230334603E-2</v>
      </c>
      <c r="H302" s="170">
        <v>0</v>
      </c>
      <c r="I302" s="170">
        <v>0</v>
      </c>
      <c r="J302" s="170">
        <v>0</v>
      </c>
      <c r="K302" s="170">
        <v>0</v>
      </c>
      <c r="L302">
        <v>4.4582929032762966</v>
      </c>
      <c r="N302" s="172"/>
      <c r="S302">
        <v>56</v>
      </c>
      <c r="T302" s="35">
        <v>326.12223160360338</v>
      </c>
    </row>
    <row r="303" spans="1:22">
      <c r="A303" s="170"/>
      <c r="B303" s="171"/>
      <c r="C303" s="171"/>
      <c r="D303" s="171"/>
      <c r="E303" s="170"/>
      <c r="F303" s="170"/>
      <c r="G303" s="170"/>
      <c r="H303" s="170"/>
      <c r="I303" s="170"/>
      <c r="J303" s="170"/>
      <c r="K303" s="170"/>
      <c r="N303" s="173"/>
      <c r="S303">
        <v>53</v>
      </c>
      <c r="T303" s="35">
        <v>317.80209627578216</v>
      </c>
    </row>
    <row r="304" spans="1:22">
      <c r="A304" s="170"/>
      <c r="B304" s="171">
        <v>-1.0419123890112216</v>
      </c>
      <c r="C304" s="171">
        <v>4.0818532431212473E-2</v>
      </c>
      <c r="D304" s="171">
        <v>-0.77248383184656022</v>
      </c>
      <c r="E304" s="170">
        <v>-1.4990492230334603E-2</v>
      </c>
      <c r="F304" s="170">
        <v>0</v>
      </c>
      <c r="G304" s="170">
        <v>0</v>
      </c>
      <c r="H304" s="170">
        <v>0</v>
      </c>
      <c r="I304" s="170">
        <v>0</v>
      </c>
      <c r="J304" s="170">
        <v>0</v>
      </c>
      <c r="K304" s="170">
        <v>0</v>
      </c>
      <c r="L304">
        <v>0.8419894247146269</v>
      </c>
      <c r="N304" s="172"/>
      <c r="S304">
        <v>123</v>
      </c>
      <c r="T304" s="35">
        <v>298.22841835546393</v>
      </c>
    </row>
    <row r="305" spans="1:20">
      <c r="A305" s="170" t="s">
        <v>287</v>
      </c>
      <c r="B305" s="171">
        <v>-2.2957880185781296</v>
      </c>
      <c r="C305" s="171">
        <v>8.2263663034425338E-3</v>
      </c>
      <c r="D305" s="171">
        <v>-3.3137218009327896E-2</v>
      </c>
      <c r="E305" s="170">
        <v>0</v>
      </c>
      <c r="F305" s="170">
        <v>-1.4990492230334603E-2</v>
      </c>
      <c r="G305" s="170">
        <v>0</v>
      </c>
      <c r="H305" s="170">
        <v>0</v>
      </c>
      <c r="I305" s="170">
        <v>0</v>
      </c>
      <c r="J305" s="170">
        <v>0</v>
      </c>
      <c r="K305" s="170">
        <v>0</v>
      </c>
      <c r="L305">
        <v>2.6359041872834252</v>
      </c>
      <c r="N305" s="172">
        <f>MCond(B304:D306)</f>
        <v>3.9026598544515507</v>
      </c>
      <c r="S305">
        <v>156</v>
      </c>
      <c r="T305" s="35">
        <v>286.9294314386575</v>
      </c>
    </row>
    <row r="306" spans="1:20">
      <c r="A306" s="170"/>
      <c r="B306" s="171">
        <v>-0.45824053226673911</v>
      </c>
      <c r="C306" s="171">
        <v>2.124969022302313</v>
      </c>
      <c r="D306" s="171">
        <v>-2.076961144994538E-2</v>
      </c>
      <c r="E306" s="170">
        <v>0</v>
      </c>
      <c r="F306" s="170">
        <v>0</v>
      </c>
      <c r="G306" s="170">
        <v>-1.4990492230334603E-2</v>
      </c>
      <c r="H306" s="170">
        <v>0</v>
      </c>
      <c r="I306" s="170">
        <v>0</v>
      </c>
      <c r="J306" s="170">
        <v>0</v>
      </c>
      <c r="K306" s="170">
        <v>0</v>
      </c>
      <c r="L306">
        <v>2.3629545539581671</v>
      </c>
      <c r="N306" s="172"/>
      <c r="S306">
        <v>121</v>
      </c>
      <c r="T306" s="35">
        <v>250.1521200358882</v>
      </c>
    </row>
    <row r="307" spans="1:20">
      <c r="A307" s="170"/>
      <c r="B307" s="171"/>
      <c r="C307" s="171"/>
      <c r="D307" s="171"/>
      <c r="E307" s="170"/>
      <c r="F307" s="170"/>
      <c r="G307" s="170"/>
      <c r="H307" s="170"/>
      <c r="I307" s="170"/>
      <c r="J307" s="170"/>
      <c r="K307" s="170"/>
      <c r="N307" s="173"/>
      <c r="S307">
        <v>97</v>
      </c>
      <c r="T307" s="35">
        <v>243.43943945414657</v>
      </c>
    </row>
    <row r="308" spans="1:20">
      <c r="A308" s="170"/>
      <c r="B308" s="171">
        <v>-1.0419123890112216</v>
      </c>
      <c r="C308" s="171">
        <v>4.0818532431212473E-2</v>
      </c>
      <c r="D308" s="171">
        <v>-0.77248383184656022</v>
      </c>
      <c r="E308" s="170">
        <v>-1.4990492230334603E-2</v>
      </c>
      <c r="F308" s="170">
        <v>0</v>
      </c>
      <c r="G308" s="170">
        <v>0</v>
      </c>
      <c r="H308" s="170">
        <v>0</v>
      </c>
      <c r="I308" s="170">
        <v>0</v>
      </c>
      <c r="J308" s="170">
        <v>0</v>
      </c>
      <c r="K308" s="170">
        <v>0</v>
      </c>
      <c r="L308">
        <v>0.8419894247146269</v>
      </c>
      <c r="N308" s="172"/>
      <c r="S308">
        <v>227</v>
      </c>
      <c r="T308" s="35">
        <v>230.68313650592344</v>
      </c>
    </row>
    <row r="309" spans="1:20">
      <c r="A309" s="170" t="s">
        <v>288</v>
      </c>
      <c r="B309" s="171">
        <v>-2.2957880185781296</v>
      </c>
      <c r="C309" s="171">
        <v>8.2263663034425338E-3</v>
      </c>
      <c r="D309" s="171">
        <v>-3.3137218009327896E-2</v>
      </c>
      <c r="E309" s="170">
        <v>0</v>
      </c>
      <c r="F309" s="170">
        <v>-1.4990492230334603E-2</v>
      </c>
      <c r="G309" s="170">
        <v>0</v>
      </c>
      <c r="H309" s="170">
        <v>0</v>
      </c>
      <c r="I309" s="170">
        <v>0</v>
      </c>
      <c r="J309" s="170">
        <v>0</v>
      </c>
      <c r="K309" s="170">
        <v>0</v>
      </c>
      <c r="L309">
        <v>2.6359041872834252</v>
      </c>
      <c r="N309" s="172">
        <f>MCond(B308:D310)</f>
        <v>4.8270811041221897</v>
      </c>
      <c r="S309">
        <v>86</v>
      </c>
      <c r="T309" s="35">
        <v>227.7065416836075</v>
      </c>
    </row>
    <row r="310" spans="1:20">
      <c r="A310" s="170"/>
      <c r="B310" s="171">
        <v>-1.0673702345396179</v>
      </c>
      <c r="C310" s="171">
        <v>2.4075843796929846</v>
      </c>
      <c r="D310" s="171">
        <v>-0.708799578341892</v>
      </c>
      <c r="E310" s="170">
        <v>0</v>
      </c>
      <c r="F310" s="170">
        <v>0</v>
      </c>
      <c r="G310" s="170">
        <v>-1.4990492230334603E-2</v>
      </c>
      <c r="H310" s="170">
        <v>0</v>
      </c>
      <c r="I310" s="170">
        <v>0</v>
      </c>
      <c r="J310" s="170">
        <v>0</v>
      </c>
      <c r="K310" s="170">
        <v>0</v>
      </c>
      <c r="L310">
        <v>3.7190693025902282</v>
      </c>
      <c r="N310" s="172"/>
      <c r="S310">
        <v>236</v>
      </c>
      <c r="T310" s="35">
        <v>223.5443970413034</v>
      </c>
    </row>
    <row r="311" spans="1:20">
      <c r="A311" s="170"/>
      <c r="B311" s="171"/>
      <c r="C311" s="171"/>
      <c r="D311" s="171"/>
      <c r="E311" s="170"/>
      <c r="F311" s="170"/>
      <c r="G311" s="170"/>
      <c r="H311" s="170"/>
      <c r="I311" s="170"/>
      <c r="J311" s="170"/>
      <c r="K311" s="170"/>
      <c r="N311" s="173"/>
      <c r="S311">
        <v>51</v>
      </c>
      <c r="T311" s="35">
        <v>222.32523405718308</v>
      </c>
    </row>
    <row r="312" spans="1:20">
      <c r="A312" s="170"/>
      <c r="B312" s="171">
        <v>-1.0419123890112216</v>
      </c>
      <c r="C312" s="171">
        <v>4.0818532431212473E-2</v>
      </c>
      <c r="D312" s="171">
        <v>-0.77248383184656022</v>
      </c>
      <c r="E312" s="170">
        <v>-1.4990492230334603E-2</v>
      </c>
      <c r="F312" s="170">
        <v>0</v>
      </c>
      <c r="G312" s="170">
        <v>0</v>
      </c>
      <c r="H312" s="170">
        <v>5.8370098634356792E-2</v>
      </c>
      <c r="I312" s="170">
        <v>-0.14525704733164976</v>
      </c>
      <c r="J312" s="170">
        <v>0</v>
      </c>
      <c r="K312" s="170">
        <v>0</v>
      </c>
      <c r="L312">
        <v>0.8419894247146269</v>
      </c>
      <c r="N312" s="172"/>
      <c r="S312">
        <v>192</v>
      </c>
      <c r="T312" s="35">
        <v>204.78346391597921</v>
      </c>
    </row>
    <row r="313" spans="1:20">
      <c r="A313" s="170" t="s">
        <v>289</v>
      </c>
      <c r="B313" s="171">
        <v>-2.44475956514645</v>
      </c>
      <c r="C313" s="171">
        <v>0.85548399177677847</v>
      </c>
      <c r="D313" s="171">
        <v>-5.2896656816179721E-2</v>
      </c>
      <c r="E313" s="170">
        <v>0</v>
      </c>
      <c r="F313" s="170">
        <v>-1.4990492230334603E-2</v>
      </c>
      <c r="G313" s="170">
        <v>0</v>
      </c>
      <c r="H313" s="170">
        <v>5.8370098634356792E-2</v>
      </c>
      <c r="I313" s="170">
        <v>0</v>
      </c>
      <c r="J313" s="170">
        <v>-2.1174072073315828E-2</v>
      </c>
      <c r="K313" s="170">
        <v>0</v>
      </c>
      <c r="L313">
        <v>3.3557501239318595</v>
      </c>
      <c r="N313" s="172">
        <f>MCond(B312:D314)</f>
        <v>4.2243239500446652</v>
      </c>
      <c r="S313">
        <v>167</v>
      </c>
      <c r="T313" s="35">
        <v>190.43474137765517</v>
      </c>
    </row>
    <row r="314" spans="1:20">
      <c r="A314" s="170"/>
      <c r="B314" s="171">
        <v>0.40019020491700363</v>
      </c>
      <c r="C314" s="171">
        <v>1.0840062473010013</v>
      </c>
      <c r="D314" s="171">
        <v>1.6840506224230944E-2</v>
      </c>
      <c r="E314" s="170">
        <v>0</v>
      </c>
      <c r="F314" s="170">
        <v>0</v>
      </c>
      <c r="G314" s="170">
        <v>-1.4990492230334603E-2</v>
      </c>
      <c r="H314" s="170">
        <v>5.8370098634356792E-2</v>
      </c>
      <c r="I314" s="170">
        <v>0</v>
      </c>
      <c r="J314" s="170">
        <v>0</v>
      </c>
      <c r="K314" s="170">
        <v>6.8827960560405646E-2</v>
      </c>
      <c r="L314">
        <v>0.66775267347450074</v>
      </c>
      <c r="N314" s="172"/>
      <c r="S314">
        <v>55</v>
      </c>
      <c r="T314" s="35">
        <v>180.39381408191585</v>
      </c>
    </row>
    <row r="315" spans="1:20">
      <c r="A315" s="170"/>
      <c r="B315" s="171"/>
      <c r="C315" s="171"/>
      <c r="D315" s="171"/>
      <c r="E315" s="170"/>
      <c r="F315" s="170"/>
      <c r="G315" s="170"/>
      <c r="H315" s="170"/>
      <c r="I315" s="170"/>
      <c r="J315" s="170"/>
      <c r="K315" s="170"/>
      <c r="N315" s="173"/>
      <c r="S315">
        <v>158</v>
      </c>
      <c r="T315" s="35">
        <v>159.28604006876967</v>
      </c>
    </row>
    <row r="316" spans="1:20">
      <c r="A316" s="170"/>
      <c r="B316" s="171">
        <v>-1.0419123890112216</v>
      </c>
      <c r="C316" s="171">
        <v>4.0818532431212473E-2</v>
      </c>
      <c r="D316" s="171">
        <v>-0.77248383184656022</v>
      </c>
      <c r="E316" s="170">
        <v>-1.4990492230334603E-2</v>
      </c>
      <c r="F316" s="170">
        <v>0</v>
      </c>
      <c r="G316" s="170">
        <v>0</v>
      </c>
      <c r="H316" s="170">
        <v>5.8370098634356792E-2</v>
      </c>
      <c r="I316" s="170">
        <v>-0.14525704733164976</v>
      </c>
      <c r="J316" s="170">
        <v>0</v>
      </c>
      <c r="K316" s="170">
        <v>0</v>
      </c>
      <c r="L316">
        <v>0.8419894247146269</v>
      </c>
      <c r="N316" s="172"/>
      <c r="S316">
        <v>91</v>
      </c>
      <c r="T316" s="35">
        <v>157.71990388339927</v>
      </c>
    </row>
    <row r="317" spans="1:20">
      <c r="A317" s="170" t="s">
        <v>290</v>
      </c>
      <c r="B317" s="171">
        <v>-2.44475956514645</v>
      </c>
      <c r="C317" s="171">
        <v>0.85548399177677847</v>
      </c>
      <c r="D317" s="171">
        <v>-5.2896656816179721E-2</v>
      </c>
      <c r="E317" s="170">
        <v>0</v>
      </c>
      <c r="F317" s="170">
        <v>-1.4990492230334603E-2</v>
      </c>
      <c r="G317" s="170">
        <v>0</v>
      </c>
      <c r="H317" s="170">
        <v>5.8370098634356792E-2</v>
      </c>
      <c r="I317" s="170">
        <v>0</v>
      </c>
      <c r="J317" s="170">
        <v>-2.1174072073315828E-2</v>
      </c>
      <c r="K317" s="170">
        <v>0</v>
      </c>
      <c r="L317">
        <v>3.3557501239318595</v>
      </c>
      <c r="N317" s="172">
        <f>MCond(B316:D318)</f>
        <v>7.309134947611736</v>
      </c>
      <c r="S317">
        <v>157</v>
      </c>
      <c r="T317" s="35">
        <v>155.61168544988374</v>
      </c>
    </row>
    <row r="318" spans="1:20">
      <c r="A318" s="170"/>
      <c r="B318" s="171">
        <v>-2.0770709056556562</v>
      </c>
      <c r="C318" s="171">
        <v>2.1445635165533226</v>
      </c>
      <c r="D318" s="171">
        <v>5.6653180844775664E-2</v>
      </c>
      <c r="E318" s="170">
        <v>0</v>
      </c>
      <c r="F318" s="170">
        <v>0</v>
      </c>
      <c r="G318" s="170">
        <v>-1.4990492230334603E-2</v>
      </c>
      <c r="H318" s="170">
        <v>5.8370098634356792E-2</v>
      </c>
      <c r="I318" s="170">
        <v>0</v>
      </c>
      <c r="J318" s="170">
        <v>0</v>
      </c>
      <c r="K318" s="170">
        <v>0.18191808401017825</v>
      </c>
      <c r="L318">
        <v>4.4582929032762966</v>
      </c>
      <c r="N318" s="172"/>
      <c r="S318">
        <v>90</v>
      </c>
      <c r="T318" s="35">
        <v>137.0330195917372</v>
      </c>
    </row>
    <row r="319" spans="1:20">
      <c r="A319" s="170"/>
      <c r="B319" s="171"/>
      <c r="C319" s="171"/>
      <c r="D319" s="171"/>
      <c r="E319" s="170"/>
      <c r="F319" s="170"/>
      <c r="G319" s="170"/>
      <c r="H319" s="170"/>
      <c r="I319" s="170"/>
      <c r="J319" s="170"/>
      <c r="K319" s="170"/>
      <c r="N319" s="173"/>
      <c r="S319">
        <v>160</v>
      </c>
      <c r="T319" s="35">
        <v>107.5399530016923</v>
      </c>
    </row>
    <row r="320" spans="1:20">
      <c r="A320" s="170"/>
      <c r="B320" s="171">
        <v>-1.0419123890112216</v>
      </c>
      <c r="C320" s="171">
        <v>4.0818532431212473E-2</v>
      </c>
      <c r="D320" s="171">
        <v>-0.77248383184656022</v>
      </c>
      <c r="E320" s="170">
        <v>-1.4990492230334603E-2</v>
      </c>
      <c r="F320" s="170">
        <v>0</v>
      </c>
      <c r="G320" s="170">
        <v>0</v>
      </c>
      <c r="H320" s="170">
        <v>0</v>
      </c>
      <c r="I320" s="170">
        <v>0</v>
      </c>
      <c r="J320" s="170">
        <v>0</v>
      </c>
      <c r="K320" s="170">
        <v>0</v>
      </c>
      <c r="L320">
        <v>0.8419894247146269</v>
      </c>
      <c r="N320" s="172"/>
      <c r="S320">
        <v>87</v>
      </c>
      <c r="T320" s="35">
        <v>107.48734647321321</v>
      </c>
    </row>
    <row r="321" spans="1:20">
      <c r="A321" s="170" t="s">
        <v>291</v>
      </c>
      <c r="B321" s="171">
        <v>-2.44475956514645</v>
      </c>
      <c r="C321" s="171">
        <v>0.85548399177677847</v>
      </c>
      <c r="D321" s="171">
        <v>-5.2896656816179721E-2</v>
      </c>
      <c r="E321" s="170">
        <v>0</v>
      </c>
      <c r="F321" s="170">
        <v>-1.4990492230334603E-2</v>
      </c>
      <c r="G321" s="170">
        <v>0</v>
      </c>
      <c r="H321" s="170">
        <v>0</v>
      </c>
      <c r="I321" s="170">
        <v>0</v>
      </c>
      <c r="J321" s="170">
        <v>0</v>
      </c>
      <c r="K321" s="170">
        <v>0</v>
      </c>
      <c r="L321">
        <v>3.3557501239318595</v>
      </c>
      <c r="N321" s="172">
        <f>MCond(B320:D322)</f>
        <v>4.6643551181710254</v>
      </c>
      <c r="S321">
        <v>204</v>
      </c>
      <c r="T321" s="35">
        <v>103.43008876337434</v>
      </c>
    </row>
    <row r="322" spans="1:20">
      <c r="A322" s="170"/>
      <c r="B322" s="171">
        <v>-0.45824053226673911</v>
      </c>
      <c r="C322" s="171">
        <v>2.124969022302313</v>
      </c>
      <c r="D322" s="171">
        <v>-2.076961144994538E-2</v>
      </c>
      <c r="E322" s="170">
        <v>0</v>
      </c>
      <c r="F322" s="170">
        <v>0</v>
      </c>
      <c r="G322" s="170">
        <v>-1.4990492230334603E-2</v>
      </c>
      <c r="H322" s="170">
        <v>0</v>
      </c>
      <c r="I322" s="170">
        <v>0</v>
      </c>
      <c r="J322" s="170">
        <v>0</v>
      </c>
      <c r="K322" s="170">
        <v>0</v>
      </c>
      <c r="L322">
        <v>2.3629545539581671</v>
      </c>
      <c r="N322" s="172"/>
      <c r="S322">
        <v>102</v>
      </c>
      <c r="T322" s="35">
        <v>88.262830753422278</v>
      </c>
    </row>
    <row r="323" spans="1:20">
      <c r="A323" s="170"/>
      <c r="B323" s="171"/>
      <c r="C323" s="171"/>
      <c r="D323" s="171"/>
      <c r="E323" s="170"/>
      <c r="F323" s="170"/>
      <c r="G323" s="170"/>
      <c r="H323" s="170"/>
      <c r="I323" s="170"/>
      <c r="J323" s="170"/>
      <c r="K323" s="170"/>
      <c r="N323" s="173"/>
      <c r="S323">
        <v>201</v>
      </c>
      <c r="T323" s="35">
        <v>84.872649675684883</v>
      </c>
    </row>
    <row r="324" spans="1:20">
      <c r="A324" s="170"/>
      <c r="B324" s="171">
        <v>-1.0419123890112216</v>
      </c>
      <c r="C324" s="171">
        <v>4.0818532431212473E-2</v>
      </c>
      <c r="D324" s="171">
        <v>-0.77248383184656022</v>
      </c>
      <c r="E324" s="170">
        <v>-1.4990492230334603E-2</v>
      </c>
      <c r="F324" s="170">
        <v>0</v>
      </c>
      <c r="G324" s="170">
        <v>0</v>
      </c>
      <c r="H324" s="170">
        <v>5.8370098634356792E-2</v>
      </c>
      <c r="I324" s="170">
        <v>-0.14525704733164976</v>
      </c>
      <c r="J324" s="170">
        <v>0</v>
      </c>
      <c r="K324" s="170">
        <v>0</v>
      </c>
      <c r="L324">
        <v>0.8419894247146269</v>
      </c>
      <c r="N324" s="172"/>
      <c r="S324">
        <v>191</v>
      </c>
      <c r="T324" s="35">
        <v>83.460835017935977</v>
      </c>
    </row>
    <row r="325" spans="1:20">
      <c r="A325" s="170" t="s">
        <v>292</v>
      </c>
      <c r="B325" s="171">
        <v>-2.44475956514645</v>
      </c>
      <c r="C325" s="171">
        <v>0.85548399177677847</v>
      </c>
      <c r="D325" s="171">
        <v>-5.2896656816179721E-2</v>
      </c>
      <c r="E325" s="170">
        <v>0</v>
      </c>
      <c r="F325" s="170">
        <v>-1.4990492230334603E-2</v>
      </c>
      <c r="G325" s="170">
        <v>0</v>
      </c>
      <c r="H325" s="170">
        <v>5.8370098634356792E-2</v>
      </c>
      <c r="I325" s="170">
        <v>0</v>
      </c>
      <c r="J325" s="170">
        <v>-2.1174072073315828E-2</v>
      </c>
      <c r="K325" s="170">
        <v>0</v>
      </c>
      <c r="L325">
        <v>3.3557501239318595</v>
      </c>
      <c r="N325" s="172">
        <f>MCond(B324:D326)</f>
        <v>4.8011093563140337</v>
      </c>
      <c r="S325">
        <v>131</v>
      </c>
      <c r="T325" s="35">
        <v>79.914011691529879</v>
      </c>
    </row>
    <row r="326" spans="1:20">
      <c r="A326" s="170"/>
      <c r="B326" s="171">
        <v>-1.0673702345396179</v>
      </c>
      <c r="C326" s="171">
        <v>2.4075843796929846</v>
      </c>
      <c r="D326" s="171">
        <v>-0.708799578341892</v>
      </c>
      <c r="E326" s="170">
        <v>0</v>
      </c>
      <c r="F326" s="170">
        <v>0</v>
      </c>
      <c r="G326" s="170">
        <v>-1.4990492230334603E-2</v>
      </c>
      <c r="H326" s="170">
        <v>5.8370098634356792E-2</v>
      </c>
      <c r="I326" s="170">
        <v>0</v>
      </c>
      <c r="J326" s="170">
        <v>0</v>
      </c>
      <c r="K326" s="170">
        <v>-8.9700844372930258E-2</v>
      </c>
      <c r="L326">
        <v>3.7190693025902282</v>
      </c>
      <c r="N326" s="172"/>
      <c r="S326">
        <v>166</v>
      </c>
      <c r="T326" s="35">
        <v>77.784722012998088</v>
      </c>
    </row>
    <row r="327" spans="1:20">
      <c r="A327" s="170"/>
      <c r="B327" s="171"/>
      <c r="C327" s="171"/>
      <c r="D327" s="171"/>
      <c r="E327" s="170"/>
      <c r="F327" s="170"/>
      <c r="G327" s="170"/>
      <c r="H327" s="170"/>
      <c r="I327" s="170"/>
      <c r="J327" s="170"/>
      <c r="K327" s="170"/>
      <c r="N327" s="173"/>
      <c r="S327">
        <v>96</v>
      </c>
      <c r="T327" s="35">
        <v>77.582923469237784</v>
      </c>
    </row>
    <row r="328" spans="1:20">
      <c r="A328" s="170"/>
      <c r="B328" s="171">
        <v>-1.0419123890112216</v>
      </c>
      <c r="C328" s="171">
        <v>4.0818532431212473E-2</v>
      </c>
      <c r="D328" s="171">
        <v>-0.77248383184656022</v>
      </c>
      <c r="E328" s="170">
        <v>-1.4990492230334603E-2</v>
      </c>
      <c r="F328" s="170">
        <v>0</v>
      </c>
      <c r="G328" s="170">
        <v>0</v>
      </c>
      <c r="H328" s="170">
        <v>5.8370098634356792E-2</v>
      </c>
      <c r="I328" s="170">
        <v>-0.14525704733164976</v>
      </c>
      <c r="J328" s="170">
        <v>0</v>
      </c>
      <c r="K328" s="170">
        <v>0</v>
      </c>
      <c r="L328">
        <v>0.8419894247146269</v>
      </c>
      <c r="N328" s="172"/>
      <c r="S328">
        <v>231</v>
      </c>
      <c r="T328" s="35">
        <v>74.307372366081026</v>
      </c>
    </row>
    <row r="329" spans="1:20">
      <c r="A329" s="170" t="s">
        <v>293</v>
      </c>
      <c r="B329" s="171">
        <v>0.40019020491700363</v>
      </c>
      <c r="C329" s="171">
        <v>1.0840062473010013</v>
      </c>
      <c r="D329" s="171">
        <v>1.6840506224230944E-2</v>
      </c>
      <c r="E329" s="170">
        <v>0</v>
      </c>
      <c r="F329" s="170">
        <v>-1.4990492230334603E-2</v>
      </c>
      <c r="G329" s="170">
        <v>0</v>
      </c>
      <c r="H329" s="170">
        <v>5.8370098634356792E-2</v>
      </c>
      <c r="I329" s="170">
        <v>0</v>
      </c>
      <c r="J329" s="170">
        <v>6.8827960560405646E-2</v>
      </c>
      <c r="K329" s="170">
        <v>0</v>
      </c>
      <c r="L329">
        <v>0.66775267347450074</v>
      </c>
      <c r="N329" s="172">
        <f>MCond(B328:D330)</f>
        <v>5.4695394540896514</v>
      </c>
      <c r="S329">
        <v>67</v>
      </c>
      <c r="T329" s="35">
        <v>71.937522903691658</v>
      </c>
    </row>
    <row r="330" spans="1:20">
      <c r="A330" s="170"/>
      <c r="B330" s="171">
        <v>-2.0770709056556562</v>
      </c>
      <c r="C330" s="171">
        <v>2.1445635165533226</v>
      </c>
      <c r="D330" s="171">
        <v>5.6653180844775664E-2</v>
      </c>
      <c r="E330" s="170">
        <v>0</v>
      </c>
      <c r="F330" s="170">
        <v>0</v>
      </c>
      <c r="G330" s="170">
        <v>-1.4990492230334603E-2</v>
      </c>
      <c r="H330" s="170">
        <v>5.8370098634356792E-2</v>
      </c>
      <c r="I330" s="170">
        <v>0</v>
      </c>
      <c r="J330" s="170">
        <v>0</v>
      </c>
      <c r="K330" s="170">
        <v>0.18191808401017825</v>
      </c>
      <c r="L330">
        <v>4.4582929032762966</v>
      </c>
      <c r="N330" s="172"/>
      <c r="S330">
        <v>195</v>
      </c>
      <c r="T330" s="35">
        <v>63.944981854448542</v>
      </c>
    </row>
    <row r="331" spans="1:20">
      <c r="A331" s="170"/>
      <c r="B331" s="171"/>
      <c r="C331" s="171"/>
      <c r="D331" s="171"/>
      <c r="E331" s="170"/>
      <c r="F331" s="170"/>
      <c r="G331" s="170"/>
      <c r="H331" s="170"/>
      <c r="I331" s="170"/>
      <c r="J331" s="170"/>
      <c r="K331" s="170"/>
      <c r="N331" s="173"/>
      <c r="S331">
        <v>61</v>
      </c>
      <c r="T331" s="35">
        <v>63.728386371176278</v>
      </c>
    </row>
    <row r="332" spans="1:20">
      <c r="A332" s="170"/>
      <c r="B332" s="171">
        <v>-1.0419123890112216</v>
      </c>
      <c r="C332" s="171">
        <v>4.0818532431212473E-2</v>
      </c>
      <c r="D332" s="171">
        <v>-0.77248383184656022</v>
      </c>
      <c r="E332" s="170">
        <v>-1.4990492230334603E-2</v>
      </c>
      <c r="F332" s="170">
        <v>0</v>
      </c>
      <c r="G332" s="170">
        <v>0</v>
      </c>
      <c r="H332" s="170">
        <v>0</v>
      </c>
      <c r="I332" s="170">
        <v>0</v>
      </c>
      <c r="J332" s="170">
        <v>0</v>
      </c>
      <c r="K332" s="170">
        <v>0</v>
      </c>
      <c r="L332">
        <v>0.8419894247146269</v>
      </c>
      <c r="N332" s="172"/>
      <c r="S332">
        <v>93</v>
      </c>
      <c r="T332" s="35">
        <v>60.630725200579725</v>
      </c>
    </row>
    <row r="333" spans="1:20">
      <c r="A333" s="170" t="s">
        <v>294</v>
      </c>
      <c r="B333" s="171">
        <v>0.40019020491700363</v>
      </c>
      <c r="C333" s="171">
        <v>1.0840062473010013</v>
      </c>
      <c r="D333" s="171">
        <v>1.6840506224230944E-2</v>
      </c>
      <c r="E333" s="170">
        <v>0</v>
      </c>
      <c r="F333" s="170">
        <v>-1.4990492230334603E-2</v>
      </c>
      <c r="G333" s="170">
        <v>0</v>
      </c>
      <c r="H333" s="170">
        <v>0</v>
      </c>
      <c r="I333" s="170">
        <v>0</v>
      </c>
      <c r="J333" s="170">
        <v>0</v>
      </c>
      <c r="K333" s="170">
        <v>0</v>
      </c>
      <c r="L333">
        <v>0.66775267347450074</v>
      </c>
      <c r="N333" s="172">
        <f>MCond(B332:D334)</f>
        <v>8.0842653543142653</v>
      </c>
      <c r="S333">
        <v>64</v>
      </c>
      <c r="T333" s="35">
        <v>59.461695313516891</v>
      </c>
    </row>
    <row r="334" spans="1:20">
      <c r="A334" s="170"/>
      <c r="B334" s="171">
        <v>-0.45824053226673911</v>
      </c>
      <c r="C334" s="171">
        <v>2.124969022302313</v>
      </c>
      <c r="D334" s="171">
        <v>-2.076961144994538E-2</v>
      </c>
      <c r="E334" s="170">
        <v>0</v>
      </c>
      <c r="F334" s="170">
        <v>0</v>
      </c>
      <c r="G334" s="170">
        <v>-1.4990492230334603E-2</v>
      </c>
      <c r="H334" s="170">
        <v>0</v>
      </c>
      <c r="I334" s="170">
        <v>0</v>
      </c>
      <c r="J334" s="170">
        <v>0</v>
      </c>
      <c r="K334" s="170">
        <v>0</v>
      </c>
      <c r="L334">
        <v>2.3629545539581671</v>
      </c>
      <c r="N334" s="172"/>
      <c r="S334">
        <v>163</v>
      </c>
      <c r="T334" s="35">
        <v>58.858855955017582</v>
      </c>
    </row>
    <row r="335" spans="1:20">
      <c r="A335" s="170"/>
      <c r="B335" s="171"/>
      <c r="C335" s="171"/>
      <c r="D335" s="171"/>
      <c r="E335" s="170"/>
      <c r="F335" s="170"/>
      <c r="G335" s="170"/>
      <c r="H335" s="170"/>
      <c r="I335" s="170"/>
      <c r="J335" s="170"/>
      <c r="K335" s="170"/>
      <c r="N335" s="173"/>
      <c r="S335">
        <v>247</v>
      </c>
      <c r="T335" s="35">
        <v>57.301482607717354</v>
      </c>
    </row>
    <row r="336" spans="1:20">
      <c r="A336" s="170"/>
      <c r="B336" s="171">
        <v>-1.0419123890112216</v>
      </c>
      <c r="C336" s="171">
        <v>4.0818532431212473E-2</v>
      </c>
      <c r="D336" s="171">
        <v>-0.77248383184656022</v>
      </c>
      <c r="E336" s="170">
        <v>-1.4990492230334603E-2</v>
      </c>
      <c r="F336" s="170">
        <v>0</v>
      </c>
      <c r="G336" s="170">
        <v>0</v>
      </c>
      <c r="H336" s="170">
        <v>5.8370098634356792E-2</v>
      </c>
      <c r="I336" s="170">
        <v>-0.14525704733164976</v>
      </c>
      <c r="J336" s="170">
        <v>0</v>
      </c>
      <c r="K336" s="170">
        <v>0</v>
      </c>
      <c r="L336">
        <v>0.8419894247146269</v>
      </c>
      <c r="N336" s="172"/>
      <c r="S336">
        <v>58</v>
      </c>
      <c r="T336" s="35">
        <v>57.193413755542728</v>
      </c>
    </row>
    <row r="337" spans="1:20">
      <c r="A337" s="170" t="s">
        <v>295</v>
      </c>
      <c r="B337" s="171">
        <v>0.40019020491700363</v>
      </c>
      <c r="C337" s="171">
        <v>1.0840062473010013</v>
      </c>
      <c r="D337" s="171">
        <v>1.6840506224230944E-2</v>
      </c>
      <c r="E337" s="170">
        <v>0</v>
      </c>
      <c r="F337" s="170">
        <v>-1.4990492230334603E-2</v>
      </c>
      <c r="G337" s="170">
        <v>0</v>
      </c>
      <c r="H337" s="170">
        <v>5.8370098634356792E-2</v>
      </c>
      <c r="I337" s="170">
        <v>0</v>
      </c>
      <c r="J337" s="170">
        <v>6.8827960560405646E-2</v>
      </c>
      <c r="K337" s="170">
        <v>0</v>
      </c>
      <c r="L337">
        <v>0.66775267347450074</v>
      </c>
      <c r="N337" s="172">
        <f>MCond(B336:D338)</f>
        <v>15.029251889619651</v>
      </c>
      <c r="S337">
        <v>169</v>
      </c>
      <c r="T337" s="35">
        <v>56.386053470483816</v>
      </c>
    </row>
    <row r="338" spans="1:20">
      <c r="A338" s="170"/>
      <c r="B338" s="171">
        <v>-1.0673702345396179</v>
      </c>
      <c r="C338" s="171">
        <v>2.4075843796929846</v>
      </c>
      <c r="D338" s="171">
        <v>-0.708799578341892</v>
      </c>
      <c r="E338" s="170">
        <v>0</v>
      </c>
      <c r="F338" s="170">
        <v>0</v>
      </c>
      <c r="G338" s="170">
        <v>-1.4990492230334603E-2</v>
      </c>
      <c r="H338" s="170">
        <v>5.8370098634356792E-2</v>
      </c>
      <c r="I338" s="170">
        <v>0</v>
      </c>
      <c r="J338" s="170">
        <v>0</v>
      </c>
      <c r="K338" s="170">
        <v>-8.9700844372930258E-2</v>
      </c>
      <c r="L338">
        <v>3.7190693025902282</v>
      </c>
      <c r="N338" s="172"/>
      <c r="S338">
        <v>99</v>
      </c>
      <c r="T338" s="35">
        <v>54.798719298337076</v>
      </c>
    </row>
    <row r="339" spans="1:20">
      <c r="A339" s="170"/>
      <c r="B339" s="171"/>
      <c r="C339" s="171"/>
      <c r="D339" s="171"/>
      <c r="E339" s="170"/>
      <c r="F339" s="170"/>
      <c r="G339" s="170"/>
      <c r="H339" s="170"/>
      <c r="I339" s="170"/>
      <c r="J339" s="170"/>
      <c r="K339" s="170"/>
      <c r="N339" s="173"/>
      <c r="S339">
        <v>172</v>
      </c>
      <c r="T339" s="35">
        <v>53.026975700344195</v>
      </c>
    </row>
    <row r="340" spans="1:20">
      <c r="A340" s="170"/>
      <c r="B340" s="171">
        <v>-1.0419123890112216</v>
      </c>
      <c r="C340" s="171">
        <v>4.0818532431212473E-2</v>
      </c>
      <c r="D340" s="171">
        <v>-0.77248383184656022</v>
      </c>
      <c r="E340" s="170">
        <v>-1.4990492230334603E-2</v>
      </c>
      <c r="F340" s="170">
        <v>0</v>
      </c>
      <c r="G340" s="170">
        <v>0</v>
      </c>
      <c r="H340" s="170">
        <v>0</v>
      </c>
      <c r="I340" s="170">
        <v>0</v>
      </c>
      <c r="J340" s="170">
        <v>0</v>
      </c>
      <c r="K340" s="170">
        <v>0</v>
      </c>
      <c r="L340">
        <v>0.8419894247146269</v>
      </c>
      <c r="N340" s="172"/>
      <c r="S340">
        <v>239</v>
      </c>
      <c r="T340" s="35">
        <v>52.914300823005625</v>
      </c>
    </row>
    <row r="341" spans="1:20">
      <c r="A341" s="170" t="s">
        <v>296</v>
      </c>
      <c r="B341" s="171">
        <v>-2.0770709056556562</v>
      </c>
      <c r="C341" s="171">
        <v>2.1445635165533226</v>
      </c>
      <c r="D341" s="171">
        <v>5.6653180844775664E-2</v>
      </c>
      <c r="E341" s="170">
        <v>0</v>
      </c>
      <c r="F341" s="170">
        <v>-1.4990492230334603E-2</v>
      </c>
      <c r="G341" s="170">
        <v>0</v>
      </c>
      <c r="H341" s="170">
        <v>0</v>
      </c>
      <c r="I341" s="170">
        <v>0</v>
      </c>
      <c r="J341" s="170">
        <v>0</v>
      </c>
      <c r="K341" s="170">
        <v>0</v>
      </c>
      <c r="L341">
        <v>4.4582929032762966</v>
      </c>
      <c r="N341" s="172">
        <f>MCond(B340:D342)</f>
        <v>6.3906270108779077</v>
      </c>
      <c r="S341">
        <v>137</v>
      </c>
      <c r="T341" s="35">
        <v>50.896502091007278</v>
      </c>
    </row>
    <row r="342" spans="1:20">
      <c r="A342" s="170"/>
      <c r="B342" s="171">
        <v>-0.45824053226673911</v>
      </c>
      <c r="C342" s="171">
        <v>2.124969022302313</v>
      </c>
      <c r="D342" s="171">
        <v>-2.076961144994538E-2</v>
      </c>
      <c r="E342" s="170">
        <v>0</v>
      </c>
      <c r="F342" s="170">
        <v>0</v>
      </c>
      <c r="G342" s="170">
        <v>-1.4990492230334603E-2</v>
      </c>
      <c r="H342" s="170">
        <v>0</v>
      </c>
      <c r="I342" s="170">
        <v>0</v>
      </c>
      <c r="J342" s="170">
        <v>0</v>
      </c>
      <c r="K342" s="170">
        <v>0</v>
      </c>
      <c r="L342">
        <v>2.3629545539581671</v>
      </c>
      <c r="N342" s="172"/>
      <c r="S342">
        <v>52</v>
      </c>
      <c r="T342" s="35">
        <v>49.448565792947846</v>
      </c>
    </row>
    <row r="343" spans="1:20">
      <c r="A343" s="170"/>
      <c r="B343" s="171"/>
      <c r="C343" s="171"/>
      <c r="D343" s="171"/>
      <c r="E343" s="170"/>
      <c r="F343" s="170"/>
      <c r="G343" s="170"/>
      <c r="H343" s="170"/>
      <c r="I343" s="170"/>
      <c r="J343" s="170"/>
      <c r="K343" s="170"/>
      <c r="N343" s="173"/>
      <c r="S343">
        <v>193</v>
      </c>
      <c r="T343" s="35">
        <v>49.247927504726903</v>
      </c>
    </row>
    <row r="344" spans="1:20">
      <c r="A344" s="170"/>
      <c r="B344" s="171">
        <v>-1.0419123890112216</v>
      </c>
      <c r="C344" s="171">
        <v>4.0818532431212473E-2</v>
      </c>
      <c r="D344" s="171">
        <v>-0.77248383184656022</v>
      </c>
      <c r="E344" s="170">
        <v>-1.4990492230334603E-2</v>
      </c>
      <c r="F344" s="170">
        <v>0</v>
      </c>
      <c r="G344" s="170">
        <v>0</v>
      </c>
      <c r="H344" s="170">
        <v>5.8370098634356792E-2</v>
      </c>
      <c r="I344" s="170">
        <v>-0.14525704733164976</v>
      </c>
      <c r="J344" s="170">
        <v>0</v>
      </c>
      <c r="K344" s="170">
        <v>0</v>
      </c>
      <c r="L344">
        <v>0.8419894247146269</v>
      </c>
      <c r="N344" s="172"/>
      <c r="S344">
        <v>198</v>
      </c>
      <c r="T344" s="35">
        <v>48.308554874402986</v>
      </c>
    </row>
    <row r="345" spans="1:20">
      <c r="A345" s="170" t="s">
        <v>297</v>
      </c>
      <c r="B345" s="171">
        <v>-2.0770709056556562</v>
      </c>
      <c r="C345" s="171">
        <v>2.1445635165533226</v>
      </c>
      <c r="D345" s="171">
        <v>5.6653180844775664E-2</v>
      </c>
      <c r="E345" s="170">
        <v>0</v>
      </c>
      <c r="F345" s="170">
        <v>-1.4990492230334603E-2</v>
      </c>
      <c r="G345" s="170">
        <v>0</v>
      </c>
      <c r="H345" s="170">
        <v>5.8370098634356792E-2</v>
      </c>
      <c r="I345" s="170">
        <v>0</v>
      </c>
      <c r="J345" s="170">
        <v>0.18191808401017825</v>
      </c>
      <c r="K345" s="170">
        <v>0</v>
      </c>
      <c r="L345">
        <v>4.4582929032762966</v>
      </c>
      <c r="N345" s="172">
        <f>MCond(B344:D346)</f>
        <v>4.7098691394570427</v>
      </c>
      <c r="S345">
        <v>228</v>
      </c>
      <c r="T345" s="35">
        <v>46.088572117461673</v>
      </c>
    </row>
    <row r="346" spans="1:20">
      <c r="A346" s="170"/>
      <c r="B346" s="171">
        <v>-1.0673702345396179</v>
      </c>
      <c r="C346" s="171">
        <v>2.4075843796929846</v>
      </c>
      <c r="D346" s="171">
        <v>-0.708799578341892</v>
      </c>
      <c r="E346" s="170">
        <v>0</v>
      </c>
      <c r="F346" s="170">
        <v>0</v>
      </c>
      <c r="G346" s="170">
        <v>-1.4990492230334603E-2</v>
      </c>
      <c r="H346" s="170">
        <v>5.8370098634356792E-2</v>
      </c>
      <c r="I346" s="170">
        <v>0</v>
      </c>
      <c r="J346" s="170">
        <v>0</v>
      </c>
      <c r="K346" s="170">
        <v>-8.9700844372930258E-2</v>
      </c>
      <c r="L346">
        <v>3.7190693025902282</v>
      </c>
      <c r="N346" s="172"/>
      <c r="S346">
        <v>196</v>
      </c>
      <c r="T346" s="35">
        <v>45.152375765832033</v>
      </c>
    </row>
    <row r="347" spans="1:20">
      <c r="A347" s="170"/>
      <c r="B347" s="171"/>
      <c r="C347" s="171"/>
      <c r="D347" s="171"/>
      <c r="E347" s="170"/>
      <c r="F347" s="170"/>
      <c r="G347" s="170"/>
      <c r="H347" s="170"/>
      <c r="I347" s="170"/>
      <c r="J347" s="170"/>
      <c r="K347" s="170"/>
      <c r="N347" s="173"/>
      <c r="S347">
        <v>125</v>
      </c>
      <c r="T347" s="35">
        <v>41.827755997562726</v>
      </c>
    </row>
    <row r="348" spans="1:20">
      <c r="A348" s="170"/>
      <c r="B348" s="171">
        <v>-1.0419123890112216</v>
      </c>
      <c r="C348" s="171">
        <v>4.0818532431212473E-2</v>
      </c>
      <c r="D348" s="171">
        <v>-0.77248383184656022</v>
      </c>
      <c r="E348" s="170">
        <v>-1.4990492230334603E-2</v>
      </c>
      <c r="F348" s="170">
        <v>0</v>
      </c>
      <c r="G348" s="170">
        <v>0</v>
      </c>
      <c r="H348" s="170">
        <v>0</v>
      </c>
      <c r="I348" s="170">
        <v>0</v>
      </c>
      <c r="J348" s="170">
        <v>0</v>
      </c>
      <c r="K348" s="170">
        <v>0</v>
      </c>
      <c r="L348">
        <v>0.8419894247146269</v>
      </c>
      <c r="N348" s="172"/>
      <c r="S348">
        <v>122</v>
      </c>
      <c r="T348" s="35">
        <v>41.479009433576415</v>
      </c>
    </row>
    <row r="349" spans="1:20">
      <c r="A349" s="170" t="s">
        <v>298</v>
      </c>
      <c r="B349" s="171">
        <v>-0.45824053226673911</v>
      </c>
      <c r="C349" s="171">
        <v>2.124969022302313</v>
      </c>
      <c r="D349" s="171">
        <v>-2.076961144994538E-2</v>
      </c>
      <c r="E349" s="170">
        <v>0</v>
      </c>
      <c r="F349" s="170">
        <v>-1.4990492230334603E-2</v>
      </c>
      <c r="G349" s="170">
        <v>0</v>
      </c>
      <c r="H349" s="170">
        <v>0</v>
      </c>
      <c r="I349" s="170">
        <v>0</v>
      </c>
      <c r="J349" s="170">
        <v>0</v>
      </c>
      <c r="K349" s="170">
        <v>0</v>
      </c>
      <c r="L349">
        <v>2.3629545539581671</v>
      </c>
      <c r="N349" s="172">
        <f>MCond(B348:D350)</f>
        <v>26.01158928757074</v>
      </c>
      <c r="S349">
        <v>134</v>
      </c>
      <c r="T349" s="35">
        <v>38.193455921208319</v>
      </c>
    </row>
    <row r="350" spans="1:20">
      <c r="A350" s="170"/>
      <c r="B350" s="171">
        <v>-1.0673702345396179</v>
      </c>
      <c r="C350" s="171">
        <v>2.4075843796929846</v>
      </c>
      <c r="D350" s="171">
        <v>-0.708799578341892</v>
      </c>
      <c r="E350" s="170">
        <v>0</v>
      </c>
      <c r="F350" s="170">
        <v>0</v>
      </c>
      <c r="G350" s="170">
        <v>-1.4990492230334603E-2</v>
      </c>
      <c r="H350" s="170">
        <v>0</v>
      </c>
      <c r="I350" s="170">
        <v>0</v>
      </c>
      <c r="J350" s="170">
        <v>0</v>
      </c>
      <c r="K350" s="170">
        <v>0</v>
      </c>
      <c r="L350">
        <v>3.7190693025902282</v>
      </c>
      <c r="N350" s="172"/>
      <c r="S350">
        <v>9</v>
      </c>
      <c r="T350" s="35">
        <v>37.099744408603527</v>
      </c>
    </row>
    <row r="351" spans="1:20">
      <c r="A351" s="170"/>
      <c r="B351" s="171"/>
      <c r="C351" s="171"/>
      <c r="D351" s="171"/>
      <c r="E351" s="170"/>
      <c r="F351" s="170"/>
      <c r="G351" s="170"/>
      <c r="H351" s="170"/>
      <c r="I351" s="170"/>
      <c r="J351" s="170"/>
      <c r="K351" s="170"/>
      <c r="N351" s="173"/>
      <c r="S351">
        <v>233</v>
      </c>
      <c r="T351" s="35">
        <v>36.89616878253937</v>
      </c>
    </row>
    <row r="352" spans="1:20">
      <c r="A352" s="170"/>
      <c r="B352" s="171">
        <v>-2.2957880185781296</v>
      </c>
      <c r="C352" s="171">
        <v>8.2263663034425338E-3</v>
      </c>
      <c r="D352" s="171">
        <v>-3.3137218009327896E-2</v>
      </c>
      <c r="E352" s="170">
        <v>-1.4990492230334603E-2</v>
      </c>
      <c r="F352" s="170">
        <v>0</v>
      </c>
      <c r="G352" s="170">
        <v>0</v>
      </c>
      <c r="H352" s="170">
        <v>0</v>
      </c>
      <c r="I352" s="170">
        <v>0</v>
      </c>
      <c r="J352" s="170">
        <v>0</v>
      </c>
      <c r="K352" s="170">
        <v>0</v>
      </c>
      <c r="L352">
        <v>2.6359041872834252</v>
      </c>
      <c r="N352" s="172"/>
      <c r="S352">
        <v>207</v>
      </c>
      <c r="T352" s="35">
        <v>36.849822091727596</v>
      </c>
    </row>
    <row r="353" spans="1:20">
      <c r="A353" s="170" t="s">
        <v>299</v>
      </c>
      <c r="B353" s="171">
        <v>-2.44475956514645</v>
      </c>
      <c r="C353" s="171">
        <v>0.85548399177677847</v>
      </c>
      <c r="D353" s="171">
        <v>-5.2896656816179721E-2</v>
      </c>
      <c r="E353" s="170">
        <v>0</v>
      </c>
      <c r="F353" s="170">
        <v>-1.4990492230334603E-2</v>
      </c>
      <c r="G353" s="170">
        <v>0</v>
      </c>
      <c r="H353" s="170">
        <v>0</v>
      </c>
      <c r="I353" s="170">
        <v>0</v>
      </c>
      <c r="J353" s="170">
        <v>0</v>
      </c>
      <c r="K353" s="170">
        <v>0</v>
      </c>
      <c r="L353">
        <v>3.3557501239318595</v>
      </c>
      <c r="N353" s="172">
        <f>MCond(B352:D354)</f>
        <v>227.7065416836075</v>
      </c>
      <c r="S353">
        <v>249</v>
      </c>
      <c r="T353" s="35">
        <v>36.492219185194912</v>
      </c>
    </row>
    <row r="354" spans="1:20">
      <c r="A354" s="170"/>
      <c r="B354" s="171">
        <v>0.40019020491700363</v>
      </c>
      <c r="C354" s="171">
        <v>1.0840062473010013</v>
      </c>
      <c r="D354" s="171">
        <v>1.6840506224230944E-2</v>
      </c>
      <c r="E354" s="170">
        <v>0</v>
      </c>
      <c r="F354" s="170">
        <v>0</v>
      </c>
      <c r="G354" s="170">
        <v>-1.4990492230334603E-2</v>
      </c>
      <c r="H354" s="170">
        <v>0</v>
      </c>
      <c r="I354" s="170">
        <v>0</v>
      </c>
      <c r="J354" s="170">
        <v>0</v>
      </c>
      <c r="K354" s="170">
        <v>0</v>
      </c>
      <c r="L354">
        <v>0.66775267347450074</v>
      </c>
      <c r="N354" s="172"/>
      <c r="S354">
        <v>49</v>
      </c>
      <c r="T354" s="35">
        <v>35.843588743019239</v>
      </c>
    </row>
    <row r="355" spans="1:20">
      <c r="A355" s="170"/>
      <c r="B355" s="171"/>
      <c r="C355" s="171"/>
      <c r="D355" s="171"/>
      <c r="E355" s="170"/>
      <c r="F355" s="170"/>
      <c r="G355" s="170"/>
      <c r="H355" s="170"/>
      <c r="I355" s="170"/>
      <c r="J355" s="170"/>
      <c r="K355" s="170"/>
      <c r="N355" s="173"/>
      <c r="S355">
        <v>14</v>
      </c>
      <c r="T355" s="35">
        <v>35.570359419370689</v>
      </c>
    </row>
    <row r="356" spans="1:20">
      <c r="A356" s="170"/>
      <c r="B356" s="171">
        <v>-2.2957880185781296</v>
      </c>
      <c r="C356" s="171">
        <v>8.2263663034425338E-3</v>
      </c>
      <c r="D356" s="171">
        <v>-3.3137218009327896E-2</v>
      </c>
      <c r="E356" s="170">
        <v>-1.4990492230334603E-2</v>
      </c>
      <c r="F356" s="170">
        <v>0</v>
      </c>
      <c r="G356" s="170">
        <v>0</v>
      </c>
      <c r="H356" s="170">
        <v>0</v>
      </c>
      <c r="I356" s="170">
        <v>0</v>
      </c>
      <c r="J356" s="170">
        <v>0</v>
      </c>
      <c r="K356" s="170">
        <v>0</v>
      </c>
      <c r="L356">
        <v>2.6359041872834252</v>
      </c>
      <c r="N356" s="172"/>
      <c r="S356">
        <v>237</v>
      </c>
      <c r="T356" s="35">
        <v>33.712309903347119</v>
      </c>
    </row>
    <row r="357" spans="1:20">
      <c r="A357" s="170" t="s">
        <v>300</v>
      </c>
      <c r="B357" s="171">
        <v>-2.44475956514645</v>
      </c>
      <c r="C357" s="171">
        <v>0.85548399177677847</v>
      </c>
      <c r="D357" s="171">
        <v>-5.2896656816179721E-2</v>
      </c>
      <c r="E357" s="170">
        <v>0</v>
      </c>
      <c r="F357" s="170">
        <v>-1.4990492230334603E-2</v>
      </c>
      <c r="G357" s="170">
        <v>0</v>
      </c>
      <c r="H357" s="170">
        <v>0</v>
      </c>
      <c r="I357" s="170">
        <v>0</v>
      </c>
      <c r="J357" s="170">
        <v>0</v>
      </c>
      <c r="K357" s="170">
        <v>0</v>
      </c>
      <c r="L357">
        <v>3.3557501239318595</v>
      </c>
      <c r="N357" s="172">
        <f>MCond(B356:D358)</f>
        <v>107.48734647321321</v>
      </c>
      <c r="S357">
        <v>202</v>
      </c>
      <c r="T357" s="35">
        <v>33.069426713699293</v>
      </c>
    </row>
    <row r="358" spans="1:20">
      <c r="A358" s="170"/>
      <c r="B358" s="171">
        <v>-2.0770709056556562</v>
      </c>
      <c r="C358" s="171">
        <v>2.1445635165533226</v>
      </c>
      <c r="D358" s="171">
        <v>5.6653180844775664E-2</v>
      </c>
      <c r="E358" s="170">
        <v>0</v>
      </c>
      <c r="F358" s="170">
        <v>0</v>
      </c>
      <c r="G358" s="170">
        <v>-1.4990492230334603E-2</v>
      </c>
      <c r="H358" s="170">
        <v>0</v>
      </c>
      <c r="I358" s="170">
        <v>0</v>
      </c>
      <c r="J358" s="170">
        <v>0</v>
      </c>
      <c r="K358" s="170">
        <v>0</v>
      </c>
      <c r="L358">
        <v>4.4582929032762966</v>
      </c>
      <c r="N358" s="172"/>
      <c r="S358">
        <v>128</v>
      </c>
      <c r="T358" s="35">
        <v>32.637782807572336</v>
      </c>
    </row>
    <row r="359" spans="1:20">
      <c r="A359" s="170"/>
      <c r="B359" s="171"/>
      <c r="C359" s="171"/>
      <c r="D359" s="171"/>
      <c r="E359" s="170"/>
      <c r="F359" s="170"/>
      <c r="G359" s="170"/>
      <c r="H359" s="170"/>
      <c r="I359" s="170"/>
      <c r="J359" s="170"/>
      <c r="K359" s="170"/>
      <c r="N359" s="173"/>
      <c r="S359">
        <v>44</v>
      </c>
      <c r="T359" s="35">
        <v>31.543651568563895</v>
      </c>
    </row>
    <row r="360" spans="1:20">
      <c r="A360" s="170"/>
      <c r="B360" s="171">
        <v>-2.2957880185781296</v>
      </c>
      <c r="C360" s="171">
        <v>8.2263663034425338E-3</v>
      </c>
      <c r="D360" s="171">
        <v>-3.3137218009327896E-2</v>
      </c>
      <c r="E360" s="170">
        <v>-1.4990492230334603E-2</v>
      </c>
      <c r="F360" s="170">
        <v>0</v>
      </c>
      <c r="G360" s="170">
        <v>0</v>
      </c>
      <c r="H360" s="170">
        <v>0</v>
      </c>
      <c r="I360" s="170">
        <v>0</v>
      </c>
      <c r="J360" s="170">
        <v>0</v>
      </c>
      <c r="K360" s="170">
        <v>0</v>
      </c>
      <c r="L360">
        <v>2.6359041872834252</v>
      </c>
      <c r="N360" s="172"/>
      <c r="S360">
        <v>180</v>
      </c>
      <c r="T360" s="35">
        <v>30.732928259329775</v>
      </c>
    </row>
    <row r="361" spans="1:20">
      <c r="A361" s="170" t="s">
        <v>301</v>
      </c>
      <c r="B361" s="171">
        <v>-2.44475956514645</v>
      </c>
      <c r="C361" s="171">
        <v>0.85548399177677847</v>
      </c>
      <c r="D361" s="171">
        <v>-5.2896656816179721E-2</v>
      </c>
      <c r="E361" s="170">
        <v>0</v>
      </c>
      <c r="F361" s="170">
        <v>-1.4990492230334603E-2</v>
      </c>
      <c r="G361" s="170">
        <v>0</v>
      </c>
      <c r="H361" s="170">
        <v>0</v>
      </c>
      <c r="I361" s="170">
        <v>0</v>
      </c>
      <c r="J361" s="170">
        <v>0</v>
      </c>
      <c r="K361" s="170">
        <v>0</v>
      </c>
      <c r="L361">
        <v>3.3557501239318595</v>
      </c>
      <c r="N361" s="172">
        <f>MCond(B360:D362)</f>
        <v>435.33148403717917</v>
      </c>
      <c r="S361">
        <v>242</v>
      </c>
      <c r="T361" s="35">
        <v>30.68925723895747</v>
      </c>
    </row>
    <row r="362" spans="1:20">
      <c r="A362" s="170"/>
      <c r="B362" s="171">
        <v>-0.45824053226673911</v>
      </c>
      <c r="C362" s="171">
        <v>2.124969022302313</v>
      </c>
      <c r="D362" s="171">
        <v>-2.076961144994538E-2</v>
      </c>
      <c r="E362" s="170">
        <v>0</v>
      </c>
      <c r="F362" s="170">
        <v>0</v>
      </c>
      <c r="G362" s="170">
        <v>-1.4990492230334603E-2</v>
      </c>
      <c r="H362" s="170">
        <v>0</v>
      </c>
      <c r="I362" s="170">
        <v>0</v>
      </c>
      <c r="J362" s="170">
        <v>0</v>
      </c>
      <c r="K362" s="170">
        <v>0</v>
      </c>
      <c r="L362">
        <v>2.3629545539581671</v>
      </c>
      <c r="N362" s="172"/>
      <c r="S362">
        <v>252</v>
      </c>
      <c r="T362" s="35">
        <v>27.264608409535779</v>
      </c>
    </row>
    <row r="363" spans="1:20">
      <c r="A363" s="170"/>
      <c r="B363" s="171"/>
      <c r="C363" s="171"/>
      <c r="D363" s="171"/>
      <c r="E363" s="170"/>
      <c r="F363" s="170"/>
      <c r="G363" s="170"/>
      <c r="H363" s="170"/>
      <c r="I363" s="170"/>
      <c r="J363" s="170"/>
      <c r="K363" s="170"/>
      <c r="N363" s="173"/>
      <c r="S363">
        <v>110</v>
      </c>
      <c r="T363" s="35">
        <v>26.099112239465395</v>
      </c>
    </row>
    <row r="364" spans="1:20">
      <c r="A364" s="170"/>
      <c r="B364" s="171">
        <v>-2.2957880185781296</v>
      </c>
      <c r="C364" s="171">
        <v>8.2263663034425338E-3</v>
      </c>
      <c r="D364" s="171">
        <v>-3.3137218009327896E-2</v>
      </c>
      <c r="E364" s="170">
        <v>-1.4990492230334603E-2</v>
      </c>
      <c r="F364" s="170">
        <v>0</v>
      </c>
      <c r="G364" s="170">
        <v>0</v>
      </c>
      <c r="H364" s="170">
        <v>0</v>
      </c>
      <c r="I364" s="170">
        <v>0</v>
      </c>
      <c r="J364" s="170">
        <v>0</v>
      </c>
      <c r="K364" s="170">
        <v>0</v>
      </c>
      <c r="L364">
        <v>2.6359041872834252</v>
      </c>
      <c r="N364" s="172"/>
      <c r="S364">
        <v>85</v>
      </c>
      <c r="T364" s="35">
        <v>26.01158928757074</v>
      </c>
    </row>
    <row r="365" spans="1:20">
      <c r="A365" s="170" t="s">
        <v>302</v>
      </c>
      <c r="B365" s="171">
        <v>-2.44475956514645</v>
      </c>
      <c r="C365" s="171">
        <v>0.85548399177677847</v>
      </c>
      <c r="D365" s="171">
        <v>-5.2896656816179721E-2</v>
      </c>
      <c r="E365" s="170">
        <v>0</v>
      </c>
      <c r="F365" s="170">
        <v>-1.4990492230334603E-2</v>
      </c>
      <c r="G365" s="170">
        <v>0</v>
      </c>
      <c r="H365" s="170">
        <v>0</v>
      </c>
      <c r="I365" s="170">
        <v>0</v>
      </c>
      <c r="J365" s="170">
        <v>0</v>
      </c>
      <c r="K365" s="170">
        <v>0</v>
      </c>
      <c r="L365">
        <v>3.3557501239318595</v>
      </c>
      <c r="N365" s="172">
        <f>MCond(B364:D366)</f>
        <v>24.930718886766446</v>
      </c>
      <c r="S365">
        <v>261</v>
      </c>
      <c r="T365" s="35">
        <v>25.249585470075854</v>
      </c>
    </row>
    <row r="366" spans="1:20">
      <c r="A366" s="170"/>
      <c r="B366" s="171">
        <v>-1.0673702345396179</v>
      </c>
      <c r="C366" s="171">
        <v>2.4075843796929846</v>
      </c>
      <c r="D366" s="171">
        <v>-0.708799578341892</v>
      </c>
      <c r="E366" s="170">
        <v>0</v>
      </c>
      <c r="F366" s="170">
        <v>0</v>
      </c>
      <c r="G366" s="170">
        <v>-1.4990492230334603E-2</v>
      </c>
      <c r="H366" s="170">
        <v>0</v>
      </c>
      <c r="I366" s="170">
        <v>0</v>
      </c>
      <c r="J366" s="170">
        <v>0</v>
      </c>
      <c r="K366" s="170">
        <v>0</v>
      </c>
      <c r="L366">
        <v>3.7190693025902282</v>
      </c>
      <c r="N366" s="172"/>
      <c r="S366">
        <v>177</v>
      </c>
      <c r="T366" s="35">
        <v>25.009188868397612</v>
      </c>
    </row>
    <row r="367" spans="1:20">
      <c r="A367" s="170"/>
      <c r="B367" s="171"/>
      <c r="C367" s="171"/>
      <c r="D367" s="171"/>
      <c r="E367" s="170"/>
      <c r="F367" s="170"/>
      <c r="G367" s="170"/>
      <c r="H367" s="170"/>
      <c r="I367" s="170"/>
      <c r="J367" s="170"/>
      <c r="K367" s="170"/>
      <c r="N367" s="173"/>
      <c r="S367">
        <v>89</v>
      </c>
      <c r="T367" s="35">
        <v>24.930718886766446</v>
      </c>
    </row>
    <row r="368" spans="1:20">
      <c r="A368" s="170"/>
      <c r="B368" s="171">
        <v>-2.2957880185781296</v>
      </c>
      <c r="C368" s="171">
        <v>8.2263663034425338E-3</v>
      </c>
      <c r="D368" s="171">
        <v>-3.3137218009327896E-2</v>
      </c>
      <c r="E368" s="170">
        <v>-1.4990492230334603E-2</v>
      </c>
      <c r="F368" s="170">
        <v>0</v>
      </c>
      <c r="G368" s="170">
        <v>0</v>
      </c>
      <c r="H368" s="170">
        <v>0</v>
      </c>
      <c r="I368" s="170">
        <v>0</v>
      </c>
      <c r="J368" s="170">
        <v>0</v>
      </c>
      <c r="K368" s="170">
        <v>0</v>
      </c>
      <c r="L368">
        <v>2.6359041872834252</v>
      </c>
      <c r="N368" s="172"/>
      <c r="S368">
        <v>25</v>
      </c>
      <c r="T368" s="35">
        <v>24.848605975354669</v>
      </c>
    </row>
    <row r="369" spans="1:20">
      <c r="A369" s="170" t="s">
        <v>303</v>
      </c>
      <c r="B369" s="171">
        <v>0.40019020491700363</v>
      </c>
      <c r="C369" s="171">
        <v>1.0840062473010013</v>
      </c>
      <c r="D369" s="171">
        <v>1.6840506224230944E-2</v>
      </c>
      <c r="E369" s="170">
        <v>0</v>
      </c>
      <c r="F369" s="170">
        <v>-1.4990492230334603E-2</v>
      </c>
      <c r="G369" s="170">
        <v>0</v>
      </c>
      <c r="H369" s="170">
        <v>0</v>
      </c>
      <c r="I369" s="170">
        <v>0</v>
      </c>
      <c r="J369" s="170">
        <v>0</v>
      </c>
      <c r="K369" s="170">
        <v>0</v>
      </c>
      <c r="L369">
        <v>0.66775267347450074</v>
      </c>
      <c r="N369" s="172">
        <f>MCond(B368:D370)</f>
        <v>137.0330195917372</v>
      </c>
      <c r="S369">
        <v>266</v>
      </c>
      <c r="T369" s="35">
        <v>24.622553140187737</v>
      </c>
    </row>
    <row r="370" spans="1:20">
      <c r="A370" s="170"/>
      <c r="B370" s="171">
        <v>-2.0770709056556562</v>
      </c>
      <c r="C370" s="171">
        <v>2.1445635165533226</v>
      </c>
      <c r="D370" s="171">
        <v>5.6653180844775664E-2</v>
      </c>
      <c r="E370" s="170">
        <v>0</v>
      </c>
      <c r="F370" s="170">
        <v>0</v>
      </c>
      <c r="G370" s="170">
        <v>-1.4990492230334603E-2</v>
      </c>
      <c r="H370" s="170">
        <v>0</v>
      </c>
      <c r="I370" s="170">
        <v>0</v>
      </c>
      <c r="J370" s="170">
        <v>0</v>
      </c>
      <c r="K370" s="170">
        <v>0</v>
      </c>
      <c r="L370">
        <v>4.4582929032762966</v>
      </c>
      <c r="N370" s="172"/>
      <c r="S370">
        <v>254</v>
      </c>
      <c r="T370" s="35">
        <v>24.489132951843487</v>
      </c>
    </row>
    <row r="371" spans="1:20">
      <c r="A371" s="170"/>
      <c r="B371" s="171"/>
      <c r="C371" s="171"/>
      <c r="D371" s="171"/>
      <c r="E371" s="170"/>
      <c r="F371" s="170"/>
      <c r="G371" s="170"/>
      <c r="H371" s="170"/>
      <c r="I371" s="170"/>
      <c r="J371" s="170"/>
      <c r="K371" s="170"/>
      <c r="N371" s="173"/>
      <c r="S371">
        <v>7</v>
      </c>
      <c r="T371" s="35">
        <v>24.281240562435144</v>
      </c>
    </row>
    <row r="372" spans="1:20">
      <c r="A372" s="170"/>
      <c r="B372" s="171">
        <v>-2.2957880185781296</v>
      </c>
      <c r="C372" s="171">
        <v>8.2263663034425338E-3</v>
      </c>
      <c r="D372" s="171">
        <v>-3.3137218009327896E-2</v>
      </c>
      <c r="E372" s="170">
        <v>-1.4990492230334603E-2</v>
      </c>
      <c r="F372" s="170">
        <v>0</v>
      </c>
      <c r="G372" s="170">
        <v>0</v>
      </c>
      <c r="H372" s="170">
        <v>0</v>
      </c>
      <c r="I372" s="170">
        <v>0</v>
      </c>
      <c r="J372" s="170">
        <v>0</v>
      </c>
      <c r="K372" s="170">
        <v>0</v>
      </c>
      <c r="L372">
        <v>2.6359041872834252</v>
      </c>
      <c r="N372" s="172"/>
      <c r="S372">
        <v>30</v>
      </c>
      <c r="T372" s="35">
        <v>21.390548698925272</v>
      </c>
    </row>
    <row r="373" spans="1:20">
      <c r="A373" s="170" t="s">
        <v>304</v>
      </c>
      <c r="B373" s="171">
        <v>0.40019020491700363</v>
      </c>
      <c r="C373" s="171">
        <v>1.0840062473010013</v>
      </c>
      <c r="D373" s="171">
        <v>1.6840506224230944E-2</v>
      </c>
      <c r="E373" s="170">
        <v>0</v>
      </c>
      <c r="F373" s="170">
        <v>-1.4990492230334603E-2</v>
      </c>
      <c r="G373" s="170">
        <v>0</v>
      </c>
      <c r="H373" s="170">
        <v>0</v>
      </c>
      <c r="I373" s="170">
        <v>0</v>
      </c>
      <c r="J373" s="170">
        <v>0</v>
      </c>
      <c r="K373" s="170">
        <v>0</v>
      </c>
      <c r="L373">
        <v>0.66775267347450074</v>
      </c>
      <c r="N373" s="172">
        <f>MCond(B372:D374)</f>
        <v>157.71990388339927</v>
      </c>
      <c r="S373">
        <v>65</v>
      </c>
      <c r="T373" s="35">
        <v>21.170385241601402</v>
      </c>
    </row>
    <row r="374" spans="1:20">
      <c r="A374" s="170"/>
      <c r="B374" s="171">
        <v>-0.45824053226673911</v>
      </c>
      <c r="C374" s="171">
        <v>2.124969022302313</v>
      </c>
      <c r="D374" s="171">
        <v>-2.076961144994538E-2</v>
      </c>
      <c r="E374" s="170">
        <v>0</v>
      </c>
      <c r="F374" s="170">
        <v>0</v>
      </c>
      <c r="G374" s="170">
        <v>-1.4990492230334603E-2</v>
      </c>
      <c r="H374" s="170">
        <v>0</v>
      </c>
      <c r="I374" s="170">
        <v>0</v>
      </c>
      <c r="J374" s="170">
        <v>0</v>
      </c>
      <c r="K374" s="170">
        <v>0</v>
      </c>
      <c r="L374">
        <v>2.3629545539581671</v>
      </c>
      <c r="N374" s="172"/>
      <c r="S374">
        <v>219</v>
      </c>
      <c r="T374" s="35">
        <v>19.829028382126939</v>
      </c>
    </row>
    <row r="375" spans="1:20">
      <c r="A375" s="170"/>
      <c r="B375" s="171"/>
      <c r="C375" s="171"/>
      <c r="D375" s="171"/>
      <c r="E375" s="170"/>
      <c r="F375" s="170"/>
      <c r="G375" s="170"/>
      <c r="H375" s="170"/>
      <c r="I375" s="170"/>
      <c r="J375" s="170"/>
      <c r="K375" s="170"/>
      <c r="N375" s="173"/>
      <c r="S375">
        <v>162</v>
      </c>
      <c r="T375" s="35">
        <v>19.571411138788417</v>
      </c>
    </row>
    <row r="376" spans="1:20">
      <c r="A376" s="170"/>
      <c r="B376" s="171">
        <v>-2.2957880185781296</v>
      </c>
      <c r="C376" s="171">
        <v>8.2263663034425338E-3</v>
      </c>
      <c r="D376" s="171">
        <v>-3.3137218009327896E-2</v>
      </c>
      <c r="E376" s="170">
        <v>-1.4990492230334603E-2</v>
      </c>
      <c r="F376" s="170">
        <v>0</v>
      </c>
      <c r="G376" s="170">
        <v>0</v>
      </c>
      <c r="H376" s="170">
        <v>0</v>
      </c>
      <c r="I376" s="170">
        <v>0</v>
      </c>
      <c r="J376" s="170">
        <v>0</v>
      </c>
      <c r="K376" s="170">
        <v>0</v>
      </c>
      <c r="L376">
        <v>2.6359041872834252</v>
      </c>
      <c r="N376" s="172"/>
      <c r="S376">
        <v>57</v>
      </c>
      <c r="T376" s="35">
        <v>19.373118971201439</v>
      </c>
    </row>
    <row r="377" spans="1:20">
      <c r="A377" s="170" t="s">
        <v>305</v>
      </c>
      <c r="B377" s="171">
        <v>0.40019020491700363</v>
      </c>
      <c r="C377" s="171">
        <v>1.0840062473010013</v>
      </c>
      <c r="D377" s="171">
        <v>1.6840506224230944E-2</v>
      </c>
      <c r="E377" s="170">
        <v>0</v>
      </c>
      <c r="F377" s="170">
        <v>-1.4990492230334603E-2</v>
      </c>
      <c r="G377" s="170">
        <v>0</v>
      </c>
      <c r="H377" s="170">
        <v>0</v>
      </c>
      <c r="I377" s="170">
        <v>0</v>
      </c>
      <c r="J377" s="170">
        <v>0</v>
      </c>
      <c r="K377" s="170">
        <v>0</v>
      </c>
      <c r="L377">
        <v>0.66775267347450074</v>
      </c>
      <c r="N377" s="172">
        <f>MCond(B376:D378)</f>
        <v>11.236298448789524</v>
      </c>
      <c r="S377">
        <v>22</v>
      </c>
      <c r="T377" s="35">
        <v>18.020767054039418</v>
      </c>
    </row>
    <row r="378" spans="1:20">
      <c r="A378" s="170"/>
      <c r="B378" s="171">
        <v>-1.0673702345396179</v>
      </c>
      <c r="C378" s="171">
        <v>2.4075843796929846</v>
      </c>
      <c r="D378" s="171">
        <v>-0.708799578341892</v>
      </c>
      <c r="E378" s="170">
        <v>0</v>
      </c>
      <c r="F378" s="170">
        <v>0</v>
      </c>
      <c r="G378" s="170">
        <v>-1.4990492230334603E-2</v>
      </c>
      <c r="H378" s="170">
        <v>0</v>
      </c>
      <c r="I378" s="170">
        <v>0</v>
      </c>
      <c r="J378" s="170">
        <v>0</v>
      </c>
      <c r="K378" s="170">
        <v>0</v>
      </c>
      <c r="L378">
        <v>3.7190693025902282</v>
      </c>
      <c r="N378" s="172"/>
      <c r="S378">
        <v>262</v>
      </c>
      <c r="T378" s="35">
        <v>17.866956947533616</v>
      </c>
    </row>
    <row r="379" spans="1:20">
      <c r="A379" s="170"/>
      <c r="B379" s="171"/>
      <c r="C379" s="171"/>
      <c r="D379" s="171"/>
      <c r="E379" s="170"/>
      <c r="F379" s="170"/>
      <c r="G379" s="170"/>
      <c r="H379" s="170"/>
      <c r="I379" s="170"/>
      <c r="J379" s="170"/>
      <c r="K379" s="170"/>
      <c r="N379" s="173"/>
      <c r="S379">
        <v>256</v>
      </c>
      <c r="T379" s="35">
        <v>17.378066776989606</v>
      </c>
    </row>
    <row r="380" spans="1:20">
      <c r="A380" s="170"/>
      <c r="B380" s="171">
        <v>-2.2957880185781296</v>
      </c>
      <c r="C380" s="171">
        <v>8.2263663034425338E-3</v>
      </c>
      <c r="D380" s="171">
        <v>-3.3137218009327896E-2</v>
      </c>
      <c r="E380" s="170">
        <v>-1.4990492230334603E-2</v>
      </c>
      <c r="F380" s="170">
        <v>0</v>
      </c>
      <c r="G380" s="170">
        <v>0</v>
      </c>
      <c r="H380" s="170">
        <v>0</v>
      </c>
      <c r="I380" s="170">
        <v>0</v>
      </c>
      <c r="J380" s="170">
        <v>0</v>
      </c>
      <c r="K380" s="170">
        <v>0</v>
      </c>
      <c r="L380">
        <v>2.6359041872834252</v>
      </c>
      <c r="N380" s="172"/>
      <c r="S380">
        <v>29</v>
      </c>
      <c r="T380" s="35">
        <v>16.234426054507814</v>
      </c>
    </row>
    <row r="381" spans="1:20">
      <c r="A381" s="170" t="s">
        <v>306</v>
      </c>
      <c r="B381" s="171">
        <v>-2.0770709056556562</v>
      </c>
      <c r="C381" s="171">
        <v>2.1445635165533226</v>
      </c>
      <c r="D381" s="171">
        <v>5.6653180844775664E-2</v>
      </c>
      <c r="E381" s="170">
        <v>0</v>
      </c>
      <c r="F381" s="170">
        <v>-1.4990492230334603E-2</v>
      </c>
      <c r="G381" s="170">
        <v>0</v>
      </c>
      <c r="H381" s="170">
        <v>0</v>
      </c>
      <c r="I381" s="170">
        <v>0</v>
      </c>
      <c r="J381" s="170">
        <v>0</v>
      </c>
      <c r="K381" s="170">
        <v>0</v>
      </c>
      <c r="L381">
        <v>4.4582929032762966</v>
      </c>
      <c r="N381" s="172">
        <f>MCond(B380:D382)</f>
        <v>60.630725200579725</v>
      </c>
      <c r="S381">
        <v>265</v>
      </c>
      <c r="T381" s="35">
        <v>15.979311741978162</v>
      </c>
    </row>
    <row r="382" spans="1:20">
      <c r="A382" s="170"/>
      <c r="B382" s="171">
        <v>-0.45824053226673911</v>
      </c>
      <c r="C382" s="171">
        <v>2.124969022302313</v>
      </c>
      <c r="D382" s="171">
        <v>-2.076961144994538E-2</v>
      </c>
      <c r="E382" s="170">
        <v>0</v>
      </c>
      <c r="F382" s="170">
        <v>0</v>
      </c>
      <c r="G382" s="170">
        <v>-1.4990492230334603E-2</v>
      </c>
      <c r="H382" s="170">
        <v>0</v>
      </c>
      <c r="I382" s="170">
        <v>0</v>
      </c>
      <c r="J382" s="170">
        <v>0</v>
      </c>
      <c r="K382" s="170">
        <v>0</v>
      </c>
      <c r="L382">
        <v>2.3629545539581671</v>
      </c>
      <c r="N382" s="172"/>
      <c r="S382">
        <v>197</v>
      </c>
      <c r="T382" s="35">
        <v>15.911611789340494</v>
      </c>
    </row>
    <row r="383" spans="1:20">
      <c r="A383" s="170"/>
      <c r="B383" s="171"/>
      <c r="C383" s="171"/>
      <c r="D383" s="171"/>
      <c r="E383" s="170"/>
      <c r="F383" s="170"/>
      <c r="G383" s="170"/>
      <c r="H383" s="170"/>
      <c r="I383" s="170"/>
      <c r="J383" s="170"/>
      <c r="K383" s="170"/>
      <c r="N383" s="173"/>
      <c r="S383">
        <v>54</v>
      </c>
      <c r="T383" s="35">
        <v>15.482311838444748</v>
      </c>
    </row>
    <row r="384" spans="1:20">
      <c r="A384" s="170"/>
      <c r="B384" s="171">
        <v>-2.2957880185781296</v>
      </c>
      <c r="C384" s="171">
        <v>8.2263663034425338E-3</v>
      </c>
      <c r="D384" s="171">
        <v>-3.3137218009327896E-2</v>
      </c>
      <c r="E384" s="170">
        <v>-1.4990492230334603E-2</v>
      </c>
      <c r="F384" s="170">
        <v>0</v>
      </c>
      <c r="G384" s="170">
        <v>0</v>
      </c>
      <c r="H384" s="170">
        <v>0</v>
      </c>
      <c r="I384" s="170">
        <v>0</v>
      </c>
      <c r="J384" s="170">
        <v>0</v>
      </c>
      <c r="K384" s="170">
        <v>0</v>
      </c>
      <c r="L384">
        <v>2.6359041872834252</v>
      </c>
      <c r="N384" s="172"/>
      <c r="S384">
        <v>82</v>
      </c>
      <c r="T384" s="35">
        <v>15.029251889619651</v>
      </c>
    </row>
    <row r="385" spans="1:20">
      <c r="A385" s="170" t="s">
        <v>307</v>
      </c>
      <c r="B385" s="171">
        <v>-2.0770709056556562</v>
      </c>
      <c r="C385" s="171">
        <v>2.1445635165533226</v>
      </c>
      <c r="D385" s="171">
        <v>5.6653180844775664E-2</v>
      </c>
      <c r="E385" s="170">
        <v>0</v>
      </c>
      <c r="F385" s="170">
        <v>-1.4990492230334603E-2</v>
      </c>
      <c r="G385" s="170">
        <v>0</v>
      </c>
      <c r="H385" s="170">
        <v>0</v>
      </c>
      <c r="I385" s="170">
        <v>0</v>
      </c>
      <c r="J385" s="170">
        <v>0</v>
      </c>
      <c r="K385" s="170">
        <v>0</v>
      </c>
      <c r="L385">
        <v>4.4582929032762966</v>
      </c>
      <c r="N385" s="172">
        <f>MCond(B384:D386)</f>
        <v>8.7267189339788906</v>
      </c>
      <c r="S385">
        <v>221</v>
      </c>
      <c r="T385" s="35">
        <v>15.003266209049313</v>
      </c>
    </row>
    <row r="386" spans="1:20">
      <c r="A386" s="170"/>
      <c r="B386" s="171">
        <v>-1.0673702345396179</v>
      </c>
      <c r="C386" s="171">
        <v>2.4075843796929846</v>
      </c>
      <c r="D386" s="171">
        <v>-0.708799578341892</v>
      </c>
      <c r="E386" s="170">
        <v>0</v>
      </c>
      <c r="F386" s="170">
        <v>0</v>
      </c>
      <c r="G386" s="170">
        <v>-1.4990492230334603E-2</v>
      </c>
      <c r="H386" s="170">
        <v>0</v>
      </c>
      <c r="I386" s="170">
        <v>0</v>
      </c>
      <c r="J386" s="170">
        <v>0</v>
      </c>
      <c r="K386" s="170">
        <v>0</v>
      </c>
      <c r="L386">
        <v>3.7190693025902282</v>
      </c>
      <c r="N386" s="172"/>
      <c r="S386">
        <v>212</v>
      </c>
      <c r="T386" s="35">
        <v>14.956503161585864</v>
      </c>
    </row>
    <row r="387" spans="1:20">
      <c r="A387" s="170"/>
      <c r="B387" s="171"/>
      <c r="C387" s="171"/>
      <c r="D387" s="171"/>
      <c r="E387" s="170"/>
      <c r="F387" s="170"/>
      <c r="G387" s="170"/>
      <c r="H387" s="170"/>
      <c r="I387" s="170"/>
      <c r="J387" s="170"/>
      <c r="K387" s="170"/>
      <c r="N387" s="173"/>
      <c r="S387">
        <v>42</v>
      </c>
      <c r="T387" s="35">
        <v>14.924598791824929</v>
      </c>
    </row>
    <row r="388" spans="1:20">
      <c r="A388" s="170"/>
      <c r="B388" s="171">
        <v>-2.2957880185781296</v>
      </c>
      <c r="C388" s="171">
        <v>8.2263663034425338E-3</v>
      </c>
      <c r="D388" s="171">
        <v>-3.3137218009327896E-2</v>
      </c>
      <c r="E388" s="170">
        <v>-1.4990492230334603E-2</v>
      </c>
      <c r="F388" s="170">
        <v>0</v>
      </c>
      <c r="G388" s="170">
        <v>0</v>
      </c>
      <c r="H388" s="170">
        <v>0</v>
      </c>
      <c r="I388" s="170">
        <v>0</v>
      </c>
      <c r="J388" s="170">
        <v>0</v>
      </c>
      <c r="K388" s="170">
        <v>0</v>
      </c>
      <c r="L388">
        <v>2.6359041872834252</v>
      </c>
      <c r="N388" s="172"/>
      <c r="S388">
        <v>133</v>
      </c>
      <c r="T388" s="35">
        <v>14.309656637068336</v>
      </c>
    </row>
    <row r="389" spans="1:20">
      <c r="A389" s="170" t="s">
        <v>308</v>
      </c>
      <c r="B389" s="171">
        <v>-0.45824053226673911</v>
      </c>
      <c r="C389" s="171">
        <v>2.124969022302313</v>
      </c>
      <c r="D389" s="171">
        <v>-2.076961144994538E-2</v>
      </c>
      <c r="E389" s="170">
        <v>0</v>
      </c>
      <c r="F389" s="170">
        <v>-1.4990492230334603E-2</v>
      </c>
      <c r="G389" s="170">
        <v>0</v>
      </c>
      <c r="H389" s="170">
        <v>0</v>
      </c>
      <c r="I389" s="170">
        <v>0</v>
      </c>
      <c r="J389" s="170">
        <v>0</v>
      </c>
      <c r="K389" s="170">
        <v>0</v>
      </c>
      <c r="L389">
        <v>2.3629545539581671</v>
      </c>
      <c r="N389" s="172">
        <f>MCond(B388:D390)</f>
        <v>8.1773167465735472</v>
      </c>
      <c r="S389">
        <v>63</v>
      </c>
      <c r="T389" s="35">
        <v>14.280317337938845</v>
      </c>
    </row>
    <row r="390" spans="1:20">
      <c r="A390" s="170"/>
      <c r="B390" s="171">
        <v>-1.0673702345396179</v>
      </c>
      <c r="C390" s="171">
        <v>2.4075843796929846</v>
      </c>
      <c r="D390" s="171">
        <v>-0.708799578341892</v>
      </c>
      <c r="E390" s="170">
        <v>0</v>
      </c>
      <c r="F390" s="170">
        <v>0</v>
      </c>
      <c r="G390" s="170">
        <v>-1.4990492230334603E-2</v>
      </c>
      <c r="H390" s="170">
        <v>0</v>
      </c>
      <c r="I390" s="170">
        <v>0</v>
      </c>
      <c r="J390" s="170">
        <v>0</v>
      </c>
      <c r="K390" s="170">
        <v>0</v>
      </c>
      <c r="L390">
        <v>3.7190693025902282</v>
      </c>
      <c r="N390" s="172"/>
      <c r="S390">
        <v>149</v>
      </c>
      <c r="T390" s="35">
        <v>14.088858695576636</v>
      </c>
    </row>
    <row r="391" spans="1:20">
      <c r="A391" s="170"/>
      <c r="B391" s="171"/>
      <c r="C391" s="171"/>
      <c r="D391" s="171"/>
      <c r="E391" s="170"/>
      <c r="F391" s="170"/>
      <c r="G391" s="170"/>
      <c r="H391" s="170"/>
      <c r="I391" s="170"/>
      <c r="J391" s="170"/>
      <c r="K391" s="170"/>
      <c r="N391" s="173"/>
      <c r="S391">
        <v>188</v>
      </c>
      <c r="T391" s="35">
        <v>14.023075414159493</v>
      </c>
    </row>
    <row r="392" spans="1:20">
      <c r="A392" s="170"/>
      <c r="B392" s="171">
        <v>-2.44475956514645</v>
      </c>
      <c r="C392" s="171">
        <v>0.85548399177677847</v>
      </c>
      <c r="D392" s="171">
        <v>-5.2896656816179721E-2</v>
      </c>
      <c r="E392" s="170">
        <v>-1.4990492230334603E-2</v>
      </c>
      <c r="F392" s="170">
        <v>0</v>
      </c>
      <c r="G392" s="170">
        <v>0</v>
      </c>
      <c r="H392" s="170">
        <v>5.8370098634356792E-2</v>
      </c>
      <c r="I392" s="170">
        <v>-2.1174072073315828E-2</v>
      </c>
      <c r="J392" s="170">
        <v>0</v>
      </c>
      <c r="K392" s="170">
        <v>0</v>
      </c>
      <c r="L392">
        <v>3.3557501239318595</v>
      </c>
      <c r="N392" s="172"/>
      <c r="S392">
        <v>32</v>
      </c>
      <c r="T392" s="35">
        <v>13.908174758807807</v>
      </c>
    </row>
    <row r="393" spans="1:20">
      <c r="A393" s="170" t="s">
        <v>309</v>
      </c>
      <c r="B393" s="171">
        <v>0.40019020491700363</v>
      </c>
      <c r="C393" s="171">
        <v>1.0840062473010013</v>
      </c>
      <c r="D393" s="171">
        <v>1.6840506224230944E-2</v>
      </c>
      <c r="E393" s="170">
        <v>0</v>
      </c>
      <c r="F393" s="170">
        <v>-1.4990492230334603E-2</v>
      </c>
      <c r="G393" s="170">
        <v>0</v>
      </c>
      <c r="H393" s="170">
        <v>5.8370098634356792E-2</v>
      </c>
      <c r="I393" s="170">
        <v>0</v>
      </c>
      <c r="J393" s="170">
        <v>6.8827960560405646E-2</v>
      </c>
      <c r="K393" s="170">
        <v>0</v>
      </c>
      <c r="L393">
        <v>0.66775267347450074</v>
      </c>
      <c r="N393" s="172">
        <f>MCond(B392:D394)</f>
        <v>77.582923469237784</v>
      </c>
      <c r="S393">
        <v>34</v>
      </c>
      <c r="T393" s="35">
        <v>13.812589110219603</v>
      </c>
    </row>
    <row r="394" spans="1:20">
      <c r="A394" s="170"/>
      <c r="B394" s="171">
        <v>-2.0770709056556562</v>
      </c>
      <c r="C394" s="171">
        <v>2.1445635165533226</v>
      </c>
      <c r="D394" s="171">
        <v>5.6653180844775664E-2</v>
      </c>
      <c r="E394" s="170">
        <v>0</v>
      </c>
      <c r="F394" s="170">
        <v>0</v>
      </c>
      <c r="G394" s="170">
        <v>-1.4990492230334603E-2</v>
      </c>
      <c r="H394" s="170">
        <v>5.8370098634356792E-2</v>
      </c>
      <c r="I394" s="170">
        <v>0</v>
      </c>
      <c r="J394" s="170">
        <v>0</v>
      </c>
      <c r="K394" s="170">
        <v>0.18191808401017825</v>
      </c>
      <c r="L394">
        <v>4.4582929032762966</v>
      </c>
      <c r="N394" s="172"/>
      <c r="S394">
        <v>119</v>
      </c>
      <c r="T394" s="35">
        <v>13.161138632442416</v>
      </c>
    </row>
    <row r="395" spans="1:20">
      <c r="A395" s="170"/>
      <c r="B395" s="171"/>
      <c r="C395" s="171"/>
      <c r="D395" s="171"/>
      <c r="E395" s="170"/>
      <c r="F395" s="170"/>
      <c r="G395" s="170"/>
      <c r="H395" s="170"/>
      <c r="I395" s="170"/>
      <c r="J395" s="170"/>
      <c r="K395" s="170"/>
      <c r="N395" s="173"/>
      <c r="S395">
        <v>124</v>
      </c>
      <c r="T395" s="35">
        <v>13.015143058743432</v>
      </c>
    </row>
    <row r="396" spans="1:20">
      <c r="A396" s="170"/>
      <c r="B396" s="171">
        <v>-2.44475956514645</v>
      </c>
      <c r="C396" s="171">
        <v>0.85548399177677847</v>
      </c>
      <c r="D396" s="171">
        <v>-5.2896656816179721E-2</v>
      </c>
      <c r="E396" s="170">
        <v>-1.4990492230334603E-2</v>
      </c>
      <c r="F396" s="170">
        <v>0</v>
      </c>
      <c r="G396" s="170">
        <v>0</v>
      </c>
      <c r="H396" s="170">
        <v>0</v>
      </c>
      <c r="I396" s="170">
        <v>0</v>
      </c>
      <c r="J396" s="170">
        <v>0</v>
      </c>
      <c r="K396" s="170">
        <v>0</v>
      </c>
      <c r="L396">
        <v>3.3557501239318595</v>
      </c>
      <c r="N396" s="172"/>
      <c r="S396">
        <v>69</v>
      </c>
      <c r="T396" s="35">
        <v>13.005132427828926</v>
      </c>
    </row>
    <row r="397" spans="1:20">
      <c r="A397" s="170" t="s">
        <v>310</v>
      </c>
      <c r="B397" s="171">
        <v>0.40019020491700363</v>
      </c>
      <c r="C397" s="171">
        <v>1.0840062473010013</v>
      </c>
      <c r="D397" s="171">
        <v>1.6840506224230944E-2</v>
      </c>
      <c r="E397" s="170">
        <v>0</v>
      </c>
      <c r="F397" s="170">
        <v>-1.4990492230334603E-2</v>
      </c>
      <c r="G397" s="170">
        <v>0</v>
      </c>
      <c r="H397" s="170">
        <v>0</v>
      </c>
      <c r="I397" s="170">
        <v>0</v>
      </c>
      <c r="J397" s="170">
        <v>0</v>
      </c>
      <c r="K397" s="170">
        <v>0</v>
      </c>
      <c r="L397">
        <v>0.66775267347450074</v>
      </c>
      <c r="N397" s="172">
        <f>MCond(B396:D398)</f>
        <v>243.43943945414657</v>
      </c>
      <c r="S397">
        <v>217</v>
      </c>
      <c r="T397" s="35">
        <v>12.875006476495159</v>
      </c>
    </row>
    <row r="398" spans="1:20">
      <c r="A398" s="170"/>
      <c r="B398" s="171">
        <v>-0.45824053226673911</v>
      </c>
      <c r="C398" s="171">
        <v>2.124969022302313</v>
      </c>
      <c r="D398" s="171">
        <v>-2.076961144994538E-2</v>
      </c>
      <c r="E398" s="170">
        <v>0</v>
      </c>
      <c r="F398" s="170">
        <v>0</v>
      </c>
      <c r="G398" s="170">
        <v>-1.4990492230334603E-2</v>
      </c>
      <c r="H398" s="170">
        <v>0</v>
      </c>
      <c r="I398" s="170">
        <v>0</v>
      </c>
      <c r="J398" s="170">
        <v>0</v>
      </c>
      <c r="K398" s="170">
        <v>0</v>
      </c>
      <c r="L398">
        <v>2.3629545539581671</v>
      </c>
      <c r="N398" s="172"/>
      <c r="S398">
        <v>187</v>
      </c>
      <c r="T398" s="35">
        <v>12.611025430513319</v>
      </c>
    </row>
    <row r="399" spans="1:20">
      <c r="A399" s="170"/>
      <c r="B399" s="171"/>
      <c r="C399" s="171"/>
      <c r="D399" s="171"/>
      <c r="E399" s="170"/>
      <c r="F399" s="170"/>
      <c r="G399" s="170"/>
      <c r="H399" s="170"/>
      <c r="I399" s="170"/>
      <c r="J399" s="170"/>
      <c r="K399" s="170"/>
      <c r="N399" s="173"/>
      <c r="S399">
        <v>104</v>
      </c>
      <c r="T399" s="35">
        <v>12.299736121719162</v>
      </c>
    </row>
    <row r="400" spans="1:20">
      <c r="A400" s="170"/>
      <c r="B400" s="171">
        <v>-2.44475956514645</v>
      </c>
      <c r="C400" s="171">
        <v>0.85548399177677847</v>
      </c>
      <c r="D400" s="171">
        <v>-5.2896656816179721E-2</v>
      </c>
      <c r="E400" s="170">
        <v>-1.4990492230334603E-2</v>
      </c>
      <c r="F400" s="170">
        <v>0</v>
      </c>
      <c r="G400" s="170">
        <v>0</v>
      </c>
      <c r="H400" s="170">
        <v>5.8370098634356792E-2</v>
      </c>
      <c r="I400" s="170">
        <v>-2.1174072073315828E-2</v>
      </c>
      <c r="J400" s="170">
        <v>0</v>
      </c>
      <c r="K400" s="170">
        <v>0</v>
      </c>
      <c r="L400">
        <v>3.3557501239318595</v>
      </c>
      <c r="N400" s="172"/>
      <c r="S400">
        <v>21</v>
      </c>
      <c r="T400" s="35">
        <v>12.13640308765223</v>
      </c>
    </row>
    <row r="401" spans="1:20">
      <c r="A401" s="170" t="s">
        <v>311</v>
      </c>
      <c r="B401" s="171">
        <v>0.40019020491700363</v>
      </c>
      <c r="C401" s="171">
        <v>1.0840062473010013</v>
      </c>
      <c r="D401" s="171">
        <v>1.6840506224230944E-2</v>
      </c>
      <c r="E401" s="170">
        <v>0</v>
      </c>
      <c r="F401" s="170">
        <v>-1.4990492230334603E-2</v>
      </c>
      <c r="G401" s="170">
        <v>0</v>
      </c>
      <c r="H401" s="170">
        <v>5.8370098634356792E-2</v>
      </c>
      <c r="I401" s="170">
        <v>0</v>
      </c>
      <c r="J401" s="170">
        <v>6.8827960560405646E-2</v>
      </c>
      <c r="K401" s="170">
        <v>0</v>
      </c>
      <c r="L401">
        <v>0.66775267347450074</v>
      </c>
      <c r="N401" s="172">
        <f>MCond(B400:D402)</f>
        <v>10.517949300669882</v>
      </c>
      <c r="S401">
        <v>271</v>
      </c>
      <c r="T401" s="35">
        <v>12.100449578887144</v>
      </c>
    </row>
    <row r="402" spans="1:20">
      <c r="A402" s="170"/>
      <c r="B402" s="171">
        <v>-1.0673702345396179</v>
      </c>
      <c r="C402" s="171">
        <v>2.4075843796929846</v>
      </c>
      <c r="D402" s="171">
        <v>-0.708799578341892</v>
      </c>
      <c r="E402" s="170">
        <v>0</v>
      </c>
      <c r="F402" s="170">
        <v>0</v>
      </c>
      <c r="G402" s="170">
        <v>-1.4990492230334603E-2</v>
      </c>
      <c r="H402" s="170">
        <v>5.8370098634356792E-2</v>
      </c>
      <c r="I402" s="170">
        <v>0</v>
      </c>
      <c r="J402" s="170">
        <v>0</v>
      </c>
      <c r="K402" s="170">
        <v>-8.9700844372930258E-2</v>
      </c>
      <c r="L402">
        <v>3.7190693025902282</v>
      </c>
      <c r="N402" s="172"/>
      <c r="S402">
        <v>182</v>
      </c>
      <c r="T402" s="35">
        <v>11.431778758175978</v>
      </c>
    </row>
    <row r="403" spans="1:20">
      <c r="A403" s="170"/>
      <c r="B403" s="171"/>
      <c r="C403" s="171"/>
      <c r="D403" s="171"/>
      <c r="E403" s="170"/>
      <c r="F403" s="170"/>
      <c r="G403" s="170"/>
      <c r="H403" s="170"/>
      <c r="I403" s="170"/>
      <c r="J403" s="170"/>
      <c r="K403" s="170"/>
      <c r="N403" s="173"/>
      <c r="S403">
        <v>275</v>
      </c>
      <c r="T403" s="35">
        <v>11.385227489967416</v>
      </c>
    </row>
    <row r="404" spans="1:20">
      <c r="A404" s="170"/>
      <c r="B404" s="171">
        <v>-2.44475956514645</v>
      </c>
      <c r="C404" s="171">
        <v>0.85548399177677847</v>
      </c>
      <c r="D404" s="171">
        <v>-5.2896656816179721E-2</v>
      </c>
      <c r="E404" s="170">
        <v>-1.4990492230334603E-2</v>
      </c>
      <c r="F404" s="170">
        <v>0</v>
      </c>
      <c r="G404" s="170">
        <v>0</v>
      </c>
      <c r="H404" s="170">
        <v>0</v>
      </c>
      <c r="I404" s="170">
        <v>0</v>
      </c>
      <c r="J404" s="170">
        <v>0</v>
      </c>
      <c r="K404" s="170">
        <v>0</v>
      </c>
      <c r="L404">
        <v>3.3557501239318595</v>
      </c>
      <c r="N404" s="172"/>
      <c r="S404">
        <v>159</v>
      </c>
      <c r="T404" s="35">
        <v>11.339490785679912</v>
      </c>
    </row>
    <row r="405" spans="1:20">
      <c r="A405" s="170" t="s">
        <v>312</v>
      </c>
      <c r="B405" s="171">
        <v>-2.0770709056556562</v>
      </c>
      <c r="C405" s="171">
        <v>2.1445635165533226</v>
      </c>
      <c r="D405" s="171">
        <v>5.6653180844775664E-2</v>
      </c>
      <c r="E405" s="170">
        <v>0</v>
      </c>
      <c r="F405" s="170">
        <v>-1.4990492230334603E-2</v>
      </c>
      <c r="G405" s="170">
        <v>0</v>
      </c>
      <c r="H405" s="170">
        <v>0</v>
      </c>
      <c r="I405" s="170">
        <v>0</v>
      </c>
      <c r="J405" s="170">
        <v>0</v>
      </c>
      <c r="K405" s="170">
        <v>0</v>
      </c>
      <c r="L405">
        <v>4.4582929032762966</v>
      </c>
      <c r="N405" s="172">
        <f>MCond(B404:D406)</f>
        <v>54.798719298337076</v>
      </c>
      <c r="S405">
        <v>92</v>
      </c>
      <c r="T405" s="35">
        <v>11.236298448789524</v>
      </c>
    </row>
    <row r="406" spans="1:20">
      <c r="A406" s="170"/>
      <c r="B406" s="171">
        <v>-0.45824053226673911</v>
      </c>
      <c r="C406" s="171">
        <v>2.124969022302313</v>
      </c>
      <c r="D406" s="171">
        <v>-2.076961144994538E-2</v>
      </c>
      <c r="E406" s="170">
        <v>0</v>
      </c>
      <c r="F406" s="170">
        <v>0</v>
      </c>
      <c r="G406" s="170">
        <v>-1.4990492230334603E-2</v>
      </c>
      <c r="H406" s="170">
        <v>0</v>
      </c>
      <c r="I406" s="170">
        <v>0</v>
      </c>
      <c r="J406" s="170">
        <v>0</v>
      </c>
      <c r="K406" s="170">
        <v>0</v>
      </c>
      <c r="L406">
        <v>2.3629545539581671</v>
      </c>
      <c r="N406" s="172"/>
      <c r="S406">
        <v>150</v>
      </c>
      <c r="T406" s="35">
        <v>10.969037156132696</v>
      </c>
    </row>
    <row r="407" spans="1:20">
      <c r="A407" s="170"/>
      <c r="B407" s="171"/>
      <c r="C407" s="171"/>
      <c r="D407" s="171"/>
      <c r="E407" s="170"/>
      <c r="F407" s="170"/>
      <c r="G407" s="170"/>
      <c r="H407" s="170"/>
      <c r="I407" s="170"/>
      <c r="J407" s="170"/>
      <c r="K407" s="170"/>
      <c r="N407" s="173"/>
      <c r="S407">
        <v>129</v>
      </c>
      <c r="T407" s="35">
        <v>10.964478005785088</v>
      </c>
    </row>
    <row r="408" spans="1:20">
      <c r="A408" s="170"/>
      <c r="B408" s="171">
        <v>-2.44475956514645</v>
      </c>
      <c r="C408" s="171">
        <v>0.85548399177677847</v>
      </c>
      <c r="D408" s="171">
        <v>-5.2896656816179721E-2</v>
      </c>
      <c r="E408" s="170">
        <v>-1.4990492230334603E-2</v>
      </c>
      <c r="F408" s="170">
        <v>0</v>
      </c>
      <c r="G408" s="170">
        <v>0</v>
      </c>
      <c r="H408" s="170">
        <v>5.8370098634356792E-2</v>
      </c>
      <c r="I408" s="170">
        <v>-2.1174072073315828E-2</v>
      </c>
      <c r="J408" s="170">
        <v>0</v>
      </c>
      <c r="K408" s="170">
        <v>0</v>
      </c>
      <c r="L408">
        <v>3.3557501239318595</v>
      </c>
      <c r="N408" s="172"/>
      <c r="S408">
        <v>100</v>
      </c>
      <c r="T408" s="35">
        <v>10.938849692911305</v>
      </c>
    </row>
    <row r="409" spans="1:20">
      <c r="A409" s="170" t="s">
        <v>313</v>
      </c>
      <c r="B409" s="171">
        <v>-2.0770709056556562</v>
      </c>
      <c r="C409" s="171">
        <v>2.1445635165533226</v>
      </c>
      <c r="D409" s="171">
        <v>5.6653180844775664E-2</v>
      </c>
      <c r="E409" s="170">
        <v>0</v>
      </c>
      <c r="F409" s="170">
        <v>-1.4990492230334603E-2</v>
      </c>
      <c r="G409" s="170">
        <v>0</v>
      </c>
      <c r="H409" s="170">
        <v>5.8370098634356792E-2</v>
      </c>
      <c r="I409" s="170">
        <v>0</v>
      </c>
      <c r="J409" s="170">
        <v>0.18191808401017825</v>
      </c>
      <c r="K409" s="170">
        <v>0</v>
      </c>
      <c r="L409">
        <v>4.4582929032762966</v>
      </c>
      <c r="N409" s="172">
        <f>MCond(B408:D410)</f>
        <v>10.938849692911305</v>
      </c>
      <c r="S409">
        <v>139</v>
      </c>
      <c r="T409" s="35">
        <v>10.927909861320535</v>
      </c>
    </row>
    <row r="410" spans="1:20">
      <c r="A410" s="170"/>
      <c r="B410" s="171">
        <v>-1.0673702345396179</v>
      </c>
      <c r="C410" s="171">
        <v>2.4075843796929846</v>
      </c>
      <c r="D410" s="171">
        <v>-0.708799578341892</v>
      </c>
      <c r="E410" s="170">
        <v>0</v>
      </c>
      <c r="F410" s="170">
        <v>0</v>
      </c>
      <c r="G410" s="170">
        <v>-1.4990492230334603E-2</v>
      </c>
      <c r="H410" s="170">
        <v>5.8370098634356792E-2</v>
      </c>
      <c r="I410" s="170">
        <v>0</v>
      </c>
      <c r="J410" s="170">
        <v>0</v>
      </c>
      <c r="K410" s="170">
        <v>-8.9700844372930258E-2</v>
      </c>
      <c r="L410">
        <v>3.7190693025902282</v>
      </c>
      <c r="N410" s="172"/>
      <c r="S410">
        <v>153</v>
      </c>
      <c r="T410" s="35">
        <v>10.911698904326556</v>
      </c>
    </row>
    <row r="411" spans="1:20">
      <c r="A411" s="170"/>
      <c r="B411" s="171"/>
      <c r="C411" s="171"/>
      <c r="D411" s="171"/>
      <c r="E411" s="170"/>
      <c r="F411" s="170"/>
      <c r="G411" s="170"/>
      <c r="H411" s="170"/>
      <c r="I411" s="170"/>
      <c r="J411" s="170"/>
      <c r="K411" s="170"/>
      <c r="N411" s="173"/>
      <c r="S411">
        <v>186</v>
      </c>
      <c r="T411" s="35">
        <v>10.838976396829279</v>
      </c>
    </row>
    <row r="412" spans="1:20">
      <c r="A412" s="170"/>
      <c r="B412" s="171">
        <v>-2.44475956514645</v>
      </c>
      <c r="C412" s="171">
        <v>0.85548399177677847</v>
      </c>
      <c r="D412" s="171">
        <v>-5.2896656816179721E-2</v>
      </c>
      <c r="E412" s="170">
        <v>-1.4990492230334603E-2</v>
      </c>
      <c r="F412" s="170">
        <v>0</v>
      </c>
      <c r="G412" s="170">
        <v>0</v>
      </c>
      <c r="H412" s="170">
        <v>0</v>
      </c>
      <c r="I412" s="170">
        <v>0</v>
      </c>
      <c r="J412" s="170">
        <v>0</v>
      </c>
      <c r="K412" s="170">
        <v>0</v>
      </c>
      <c r="L412">
        <v>3.3557501239318595</v>
      </c>
      <c r="N412" s="172"/>
      <c r="S412">
        <v>118</v>
      </c>
      <c r="T412" s="35">
        <v>10.814350744949346</v>
      </c>
    </row>
    <row r="413" spans="1:20">
      <c r="A413" s="170" t="s">
        <v>314</v>
      </c>
      <c r="B413" s="171">
        <v>-0.45824053226673911</v>
      </c>
      <c r="C413" s="171">
        <v>2.124969022302313</v>
      </c>
      <c r="D413" s="171">
        <v>-2.076961144994538E-2</v>
      </c>
      <c r="E413" s="170">
        <v>0</v>
      </c>
      <c r="F413" s="170">
        <v>-1.4990492230334603E-2</v>
      </c>
      <c r="G413" s="170">
        <v>0</v>
      </c>
      <c r="H413" s="170">
        <v>0</v>
      </c>
      <c r="I413" s="170">
        <v>0</v>
      </c>
      <c r="J413" s="170">
        <v>0</v>
      </c>
      <c r="K413" s="170">
        <v>0</v>
      </c>
      <c r="L413">
        <v>2.3629545539581671</v>
      </c>
      <c r="N413" s="172">
        <f>MCond(B412:D414)</f>
        <v>8.6070566754854791</v>
      </c>
      <c r="S413">
        <v>127</v>
      </c>
      <c r="T413" s="35">
        <v>10.782827837381458</v>
      </c>
    </row>
    <row r="414" spans="1:20">
      <c r="A414" s="170"/>
      <c r="B414" s="171">
        <v>-1.0673702345396179</v>
      </c>
      <c r="C414" s="171">
        <v>2.4075843796929846</v>
      </c>
      <c r="D414" s="171">
        <v>-0.708799578341892</v>
      </c>
      <c r="E414" s="170">
        <v>0</v>
      </c>
      <c r="F414" s="170">
        <v>0</v>
      </c>
      <c r="G414" s="170">
        <v>-1.4990492230334603E-2</v>
      </c>
      <c r="H414" s="170">
        <v>0</v>
      </c>
      <c r="I414" s="170">
        <v>0</v>
      </c>
      <c r="J414" s="170">
        <v>0</v>
      </c>
      <c r="K414" s="170">
        <v>0</v>
      </c>
      <c r="L414">
        <v>3.7190693025902282</v>
      </c>
      <c r="N414" s="172"/>
      <c r="S414">
        <v>232</v>
      </c>
      <c r="T414" s="35">
        <v>10.595880661889572</v>
      </c>
    </row>
    <row r="415" spans="1:20">
      <c r="A415" s="170"/>
      <c r="B415" s="171"/>
      <c r="C415" s="171"/>
      <c r="D415" s="171"/>
      <c r="E415" s="170"/>
      <c r="F415" s="170"/>
      <c r="G415" s="170"/>
      <c r="H415" s="170"/>
      <c r="I415" s="170"/>
      <c r="J415" s="170"/>
      <c r="K415" s="170"/>
      <c r="N415" s="173"/>
      <c r="S415">
        <v>98</v>
      </c>
      <c r="T415" s="35">
        <v>10.517949300669882</v>
      </c>
    </row>
    <row r="416" spans="1:20">
      <c r="A416" s="170"/>
      <c r="B416" s="171">
        <v>0.40019020491700363</v>
      </c>
      <c r="C416" s="171">
        <v>1.0840062473010013</v>
      </c>
      <c r="D416" s="171">
        <v>1.6840506224230944E-2</v>
      </c>
      <c r="E416" s="170">
        <v>-1.4990492230334603E-2</v>
      </c>
      <c r="F416" s="170">
        <v>0</v>
      </c>
      <c r="G416" s="170">
        <v>0</v>
      </c>
      <c r="H416" s="170">
        <v>0</v>
      </c>
      <c r="I416" s="170">
        <v>0</v>
      </c>
      <c r="J416" s="170">
        <v>0</v>
      </c>
      <c r="K416" s="170">
        <v>0</v>
      </c>
      <c r="L416">
        <v>0.66775267347450074</v>
      </c>
      <c r="N416" s="172"/>
      <c r="S416">
        <v>142</v>
      </c>
      <c r="T416" s="35">
        <v>10.502318144486368</v>
      </c>
    </row>
    <row r="417" spans="1:20">
      <c r="A417" s="170" t="s">
        <v>315</v>
      </c>
      <c r="B417" s="171">
        <v>-2.0770709056556562</v>
      </c>
      <c r="C417" s="171">
        <v>2.1445635165533226</v>
      </c>
      <c r="D417" s="171">
        <v>5.6653180844775664E-2</v>
      </c>
      <c r="E417" s="170">
        <v>0</v>
      </c>
      <c r="F417" s="170">
        <v>-1.4990492230334603E-2</v>
      </c>
      <c r="G417" s="170">
        <v>0</v>
      </c>
      <c r="H417" s="170">
        <v>0</v>
      </c>
      <c r="I417" s="170">
        <v>0</v>
      </c>
      <c r="J417" s="170">
        <v>0</v>
      </c>
      <c r="K417" s="170">
        <v>0</v>
      </c>
      <c r="L417">
        <v>4.4582929032762966</v>
      </c>
      <c r="N417" s="172">
        <f>MCond(B416:D418)</f>
        <v>88.262830753422278</v>
      </c>
      <c r="S417">
        <v>66</v>
      </c>
      <c r="T417" s="35">
        <v>10.1367998366946</v>
      </c>
    </row>
    <row r="418" spans="1:20">
      <c r="A418" s="170"/>
      <c r="B418" s="171">
        <v>-0.45824053226673911</v>
      </c>
      <c r="C418" s="171">
        <v>2.124969022302313</v>
      </c>
      <c r="D418" s="171">
        <v>-2.076961144994538E-2</v>
      </c>
      <c r="E418" s="170">
        <v>0</v>
      </c>
      <c r="F418" s="170">
        <v>0</v>
      </c>
      <c r="G418" s="170">
        <v>-1.4990492230334603E-2</v>
      </c>
      <c r="H418" s="170">
        <v>0</v>
      </c>
      <c r="I418" s="170">
        <v>0</v>
      </c>
      <c r="J418" s="170">
        <v>0</v>
      </c>
      <c r="K418" s="170">
        <v>0</v>
      </c>
      <c r="L418">
        <v>2.3629545539581671</v>
      </c>
      <c r="N418" s="172"/>
      <c r="S418">
        <v>259</v>
      </c>
      <c r="T418" s="35">
        <v>10.029851549914012</v>
      </c>
    </row>
    <row r="419" spans="1:20">
      <c r="A419" s="170"/>
      <c r="B419" s="171"/>
      <c r="C419" s="171"/>
      <c r="D419" s="171"/>
      <c r="E419" s="170"/>
      <c r="F419" s="170"/>
      <c r="G419" s="170"/>
      <c r="H419" s="170"/>
      <c r="I419" s="170"/>
      <c r="J419" s="170"/>
      <c r="K419" s="170"/>
      <c r="N419" s="173"/>
      <c r="S419">
        <v>108</v>
      </c>
      <c r="T419" s="35">
        <v>9.9372843807971485</v>
      </c>
    </row>
    <row r="420" spans="1:20">
      <c r="A420" s="170"/>
      <c r="B420" s="171">
        <v>0.40019020491700363</v>
      </c>
      <c r="C420" s="171">
        <v>1.0840062473010013</v>
      </c>
      <c r="D420" s="171">
        <v>1.6840506224230944E-2</v>
      </c>
      <c r="E420" s="170">
        <v>-1.4990492230334603E-2</v>
      </c>
      <c r="F420" s="170">
        <v>0</v>
      </c>
      <c r="G420" s="170">
        <v>0</v>
      </c>
      <c r="H420" s="170">
        <v>5.8370098634356792E-2</v>
      </c>
      <c r="I420" s="170">
        <v>6.8827960560405646E-2</v>
      </c>
      <c r="J420" s="170">
        <v>0</v>
      </c>
      <c r="K420" s="170">
        <v>0</v>
      </c>
      <c r="L420">
        <v>0.66775267347450074</v>
      </c>
      <c r="N420" s="172"/>
      <c r="S420">
        <v>60</v>
      </c>
      <c r="T420" s="35">
        <v>9.7216302727657062</v>
      </c>
    </row>
    <row r="421" spans="1:20">
      <c r="A421" s="170" t="s">
        <v>316</v>
      </c>
      <c r="B421" s="171">
        <v>-2.0770709056556562</v>
      </c>
      <c r="C421" s="171">
        <v>2.1445635165533226</v>
      </c>
      <c r="D421" s="171">
        <v>5.6653180844775664E-2</v>
      </c>
      <c r="E421" s="170">
        <v>0</v>
      </c>
      <c r="F421" s="170">
        <v>-1.4990492230334603E-2</v>
      </c>
      <c r="G421" s="170">
        <v>0</v>
      </c>
      <c r="H421" s="170">
        <v>5.8370098634356792E-2</v>
      </c>
      <c r="I421" s="170">
        <v>0</v>
      </c>
      <c r="J421" s="170">
        <v>0.18191808401017825</v>
      </c>
      <c r="K421" s="170">
        <v>0</v>
      </c>
      <c r="L421">
        <v>4.4582929032762966</v>
      </c>
      <c r="N421" s="172">
        <f>MCond(B420:D422)</f>
        <v>8.1126859890305525</v>
      </c>
      <c r="S421">
        <v>267</v>
      </c>
      <c r="T421" s="35">
        <v>9.6873396835531249</v>
      </c>
    </row>
    <row r="422" spans="1:20">
      <c r="A422" s="170"/>
      <c r="B422" s="171">
        <v>-1.0673702345396179</v>
      </c>
      <c r="C422" s="171">
        <v>2.4075843796929846</v>
      </c>
      <c r="D422" s="171">
        <v>-0.708799578341892</v>
      </c>
      <c r="E422" s="170">
        <v>0</v>
      </c>
      <c r="F422" s="170">
        <v>0</v>
      </c>
      <c r="G422" s="170">
        <v>-1.4990492230334603E-2</v>
      </c>
      <c r="H422" s="170">
        <v>5.8370098634356792E-2</v>
      </c>
      <c r="I422" s="170">
        <v>0</v>
      </c>
      <c r="J422" s="170">
        <v>0</v>
      </c>
      <c r="K422" s="170">
        <v>-8.9700844372930258E-2</v>
      </c>
      <c r="L422">
        <v>3.7190693025902282</v>
      </c>
      <c r="N422" s="172"/>
      <c r="S422">
        <v>155</v>
      </c>
      <c r="T422" s="35">
        <v>9.3131735466476471</v>
      </c>
    </row>
    <row r="423" spans="1:20">
      <c r="A423" s="170"/>
      <c r="B423" s="171"/>
      <c r="C423" s="171"/>
      <c r="D423" s="171"/>
      <c r="E423" s="170"/>
      <c r="F423" s="170"/>
      <c r="G423" s="170"/>
      <c r="H423" s="170"/>
      <c r="I423" s="170"/>
      <c r="J423" s="170"/>
      <c r="K423" s="170"/>
      <c r="N423" s="173"/>
      <c r="S423">
        <v>175</v>
      </c>
      <c r="T423" s="35">
        <v>9.1035115127969473</v>
      </c>
    </row>
    <row r="424" spans="1:20">
      <c r="A424" s="170"/>
      <c r="B424" s="171">
        <v>0.40019020491700363</v>
      </c>
      <c r="C424" s="171">
        <v>1.0840062473010013</v>
      </c>
      <c r="D424" s="171">
        <v>1.6840506224230944E-2</v>
      </c>
      <c r="E424" s="170">
        <v>-1.4990492230334603E-2</v>
      </c>
      <c r="F424" s="170">
        <v>0</v>
      </c>
      <c r="G424" s="170">
        <v>0</v>
      </c>
      <c r="H424" s="170">
        <v>0</v>
      </c>
      <c r="I424" s="170">
        <v>0</v>
      </c>
      <c r="J424" s="170">
        <v>0</v>
      </c>
      <c r="K424" s="170">
        <v>0</v>
      </c>
      <c r="L424">
        <v>0.66775267347450074</v>
      </c>
      <c r="N424" s="172"/>
      <c r="S424">
        <v>116</v>
      </c>
      <c r="T424" s="35">
        <v>8.9992558577730577</v>
      </c>
    </row>
    <row r="425" spans="1:20">
      <c r="A425" s="170" t="s">
        <v>317</v>
      </c>
      <c r="B425" s="171">
        <v>-0.45824053226673911</v>
      </c>
      <c r="C425" s="171">
        <v>2.124969022302313</v>
      </c>
      <c r="D425" s="171">
        <v>-2.076961144994538E-2</v>
      </c>
      <c r="E425" s="170">
        <v>0</v>
      </c>
      <c r="F425" s="170">
        <v>-1.4990492230334603E-2</v>
      </c>
      <c r="G425" s="170">
        <v>0</v>
      </c>
      <c r="H425" s="170">
        <v>0</v>
      </c>
      <c r="I425" s="170">
        <v>0</v>
      </c>
      <c r="J425" s="170">
        <v>0</v>
      </c>
      <c r="K425" s="170">
        <v>0</v>
      </c>
      <c r="L425">
        <v>2.3629545539581671</v>
      </c>
      <c r="N425" s="172">
        <f>MCond(B424:D426)</f>
        <v>12.299736121719162</v>
      </c>
      <c r="S425">
        <v>168</v>
      </c>
      <c r="T425" s="35">
        <v>8.9880513431210201</v>
      </c>
    </row>
    <row r="426" spans="1:20">
      <c r="A426" s="170"/>
      <c r="B426" s="171">
        <v>-1.0673702345396179</v>
      </c>
      <c r="C426" s="171">
        <v>2.4075843796929846</v>
      </c>
      <c r="D426" s="171">
        <v>-0.708799578341892</v>
      </c>
      <c r="E426" s="170">
        <v>0</v>
      </c>
      <c r="F426" s="170">
        <v>0</v>
      </c>
      <c r="G426" s="170">
        <v>-1.4990492230334603E-2</v>
      </c>
      <c r="H426" s="170">
        <v>0</v>
      </c>
      <c r="I426" s="170">
        <v>0</v>
      </c>
      <c r="J426" s="170">
        <v>0</v>
      </c>
      <c r="K426" s="170">
        <v>0</v>
      </c>
      <c r="L426">
        <v>3.7190693025902282</v>
      </c>
      <c r="N426" s="172"/>
      <c r="S426">
        <v>214</v>
      </c>
      <c r="T426" s="35">
        <v>8.8485901024953062</v>
      </c>
    </row>
    <row r="427" spans="1:20">
      <c r="A427" s="170"/>
      <c r="B427" s="171"/>
      <c r="C427" s="171"/>
      <c r="D427" s="171"/>
      <c r="E427" s="170"/>
      <c r="F427" s="170"/>
      <c r="G427" s="170"/>
      <c r="H427" s="170"/>
      <c r="I427" s="170"/>
      <c r="J427" s="170"/>
      <c r="K427" s="170"/>
      <c r="N427" s="173"/>
      <c r="S427">
        <v>174</v>
      </c>
      <c r="T427" s="35">
        <v>8.8256455143170687</v>
      </c>
    </row>
    <row r="428" spans="1:20">
      <c r="A428" s="170"/>
      <c r="B428" s="171">
        <v>-2.0770709056556562</v>
      </c>
      <c r="C428" s="171">
        <v>2.1445635165533226</v>
      </c>
      <c r="D428" s="171">
        <v>5.6653180844775664E-2</v>
      </c>
      <c r="E428" s="170">
        <v>-1.4990492230334603E-2</v>
      </c>
      <c r="F428" s="170">
        <v>0</v>
      </c>
      <c r="G428" s="170">
        <v>0</v>
      </c>
      <c r="H428" s="170">
        <v>0</v>
      </c>
      <c r="I428" s="170">
        <v>0</v>
      </c>
      <c r="J428" s="170">
        <v>0</v>
      </c>
      <c r="K428" s="170">
        <v>0</v>
      </c>
      <c r="L428">
        <v>4.4582929032762966</v>
      </c>
      <c r="N428" s="172"/>
      <c r="S428">
        <v>8</v>
      </c>
      <c r="T428" s="35">
        <v>8.8077991376995399</v>
      </c>
    </row>
    <row r="429" spans="1:20">
      <c r="A429" s="170" t="s">
        <v>318</v>
      </c>
      <c r="B429" s="171">
        <v>-0.45824053226673911</v>
      </c>
      <c r="C429" s="171">
        <v>2.124969022302313</v>
      </c>
      <c r="D429" s="171">
        <v>-2.076961144994538E-2</v>
      </c>
      <c r="E429" s="170">
        <v>0</v>
      </c>
      <c r="F429" s="170">
        <v>-1.4990492230334603E-2</v>
      </c>
      <c r="G429" s="170">
        <v>0</v>
      </c>
      <c r="H429" s="170">
        <v>0</v>
      </c>
      <c r="I429" s="170">
        <v>0</v>
      </c>
      <c r="J429" s="170">
        <v>0</v>
      </c>
      <c r="K429" s="170">
        <v>0</v>
      </c>
      <c r="L429">
        <v>2.3629545539581671</v>
      </c>
      <c r="N429" s="172">
        <f>MCond(B428:D430)</f>
        <v>8.5693135695380551</v>
      </c>
      <c r="S429">
        <v>210</v>
      </c>
      <c r="T429" s="35">
        <v>8.7645356999874178</v>
      </c>
    </row>
    <row r="430" spans="1:20">
      <c r="A430" s="170"/>
      <c r="B430" s="171">
        <v>-1.0673702345396179</v>
      </c>
      <c r="C430" s="171">
        <v>2.4075843796929846</v>
      </c>
      <c r="D430" s="171">
        <v>-0.708799578341892</v>
      </c>
      <c r="E430" s="170">
        <v>0</v>
      </c>
      <c r="F430" s="170">
        <v>0</v>
      </c>
      <c r="G430" s="170">
        <v>-1.4990492230334603E-2</v>
      </c>
      <c r="H430" s="170">
        <v>0</v>
      </c>
      <c r="I430" s="170">
        <v>0</v>
      </c>
      <c r="J430" s="170">
        <v>0</v>
      </c>
      <c r="K430" s="170">
        <v>0</v>
      </c>
      <c r="L430">
        <v>3.7190693025902282</v>
      </c>
      <c r="N430" s="172"/>
      <c r="S430">
        <v>173</v>
      </c>
      <c r="T430" s="35">
        <v>8.7470632700269135</v>
      </c>
    </row>
    <row r="431" spans="1:20">
      <c r="A431" s="170"/>
      <c r="B431" s="171"/>
      <c r="C431" s="171"/>
      <c r="D431" s="171"/>
      <c r="E431" s="170"/>
      <c r="F431" s="170"/>
      <c r="G431" s="170"/>
      <c r="H431" s="170"/>
      <c r="I431" s="170"/>
      <c r="J431" s="170"/>
      <c r="K431" s="170"/>
      <c r="N431" s="173"/>
      <c r="S431">
        <v>94</v>
      </c>
      <c r="T431" s="35">
        <v>8.7267189339788906</v>
      </c>
    </row>
    <row r="432" spans="1:20">
      <c r="A432" s="170"/>
      <c r="B432" s="171">
        <v>1.4028471761352286</v>
      </c>
      <c r="C432" s="171">
        <v>-0.814665459345566</v>
      </c>
      <c r="D432" s="171">
        <v>-0.7195871750303805</v>
      </c>
      <c r="E432" s="170">
        <v>-1.4990492230334603E-2</v>
      </c>
      <c r="F432" s="170">
        <v>0</v>
      </c>
      <c r="G432" s="170">
        <v>0</v>
      </c>
      <c r="H432" s="170">
        <v>0</v>
      </c>
      <c r="I432" s="170">
        <v>0</v>
      </c>
      <c r="J432" s="170">
        <v>0</v>
      </c>
      <c r="K432" s="170">
        <v>0</v>
      </c>
      <c r="L432">
        <v>1.5747328563547551</v>
      </c>
      <c r="N432" s="172"/>
      <c r="S432">
        <v>185</v>
      </c>
      <c r="T432" s="35">
        <v>8.6904484429411184</v>
      </c>
    </row>
    <row r="433" spans="1:20">
      <c r="A433" s="170" t="s">
        <v>319</v>
      </c>
      <c r="B433" s="171">
        <v>0.14897154656832046</v>
      </c>
      <c r="C433" s="171">
        <v>-0.84725762547333594</v>
      </c>
      <c r="D433" s="171">
        <v>1.9759438806851826E-2</v>
      </c>
      <c r="E433" s="170">
        <v>0</v>
      </c>
      <c r="F433" s="170">
        <v>-1.4990492230334603E-2</v>
      </c>
      <c r="G433" s="170">
        <v>0</v>
      </c>
      <c r="H433" s="170">
        <v>0</v>
      </c>
      <c r="I433" s="170">
        <v>0</v>
      </c>
      <c r="J433" s="170">
        <v>0</v>
      </c>
      <c r="K433" s="170">
        <v>0</v>
      </c>
      <c r="L433">
        <v>0.37021422051581732</v>
      </c>
      <c r="N433" s="172">
        <f>MCond(B432:D434)</f>
        <v>5.2226620862837869</v>
      </c>
      <c r="S433">
        <v>101</v>
      </c>
      <c r="T433" s="35">
        <v>8.6070566754854791</v>
      </c>
    </row>
    <row r="434" spans="1:20">
      <c r="A434" s="170"/>
      <c r="B434" s="171">
        <v>2.44475956514645</v>
      </c>
      <c r="C434" s="171">
        <v>-0.85548399177677847</v>
      </c>
      <c r="D434" s="171">
        <v>5.2896656816179721E-2</v>
      </c>
      <c r="E434" s="170">
        <v>0</v>
      </c>
      <c r="F434" s="170">
        <v>0</v>
      </c>
      <c r="G434" s="170">
        <v>-1.4990492230334603E-2</v>
      </c>
      <c r="H434" s="170">
        <v>0</v>
      </c>
      <c r="I434" s="170">
        <v>0</v>
      </c>
      <c r="J434" s="170">
        <v>0</v>
      </c>
      <c r="K434" s="170">
        <v>0</v>
      </c>
      <c r="L434">
        <v>3.3557501239318595</v>
      </c>
      <c r="N434" s="172"/>
      <c r="S434">
        <v>105</v>
      </c>
      <c r="T434" s="35">
        <v>8.5693135695380551</v>
      </c>
    </row>
    <row r="435" spans="1:20">
      <c r="A435" s="170"/>
      <c r="B435" s="171"/>
      <c r="C435" s="171"/>
      <c r="D435" s="171"/>
      <c r="E435" s="170"/>
      <c r="F435" s="170"/>
      <c r="G435" s="170"/>
      <c r="H435" s="170"/>
      <c r="I435" s="170"/>
      <c r="J435" s="170"/>
      <c r="K435" s="170"/>
      <c r="N435" s="173"/>
      <c r="S435">
        <v>205</v>
      </c>
      <c r="T435" s="35">
        <v>8.5031850746050246</v>
      </c>
    </row>
    <row r="436" spans="1:20">
      <c r="A436" s="170"/>
      <c r="B436" s="171">
        <v>1.4028471761352286</v>
      </c>
      <c r="C436" s="171">
        <v>-0.814665459345566</v>
      </c>
      <c r="D436" s="171">
        <v>-0.7195871750303805</v>
      </c>
      <c r="E436" s="170">
        <v>-1.4990492230334603E-2</v>
      </c>
      <c r="F436" s="170">
        <v>0</v>
      </c>
      <c r="G436" s="170">
        <v>0</v>
      </c>
      <c r="H436" s="170">
        <v>0</v>
      </c>
      <c r="I436" s="170">
        <v>0</v>
      </c>
      <c r="J436" s="170">
        <v>0</v>
      </c>
      <c r="K436" s="170">
        <v>0</v>
      </c>
      <c r="L436">
        <v>1.5747328563547551</v>
      </c>
      <c r="N436" s="172"/>
      <c r="S436">
        <v>165</v>
      </c>
      <c r="T436" s="35">
        <v>8.5028993454699311</v>
      </c>
    </row>
    <row r="437" spans="1:20">
      <c r="A437" s="170" t="s">
        <v>320</v>
      </c>
      <c r="B437" s="171">
        <v>0.14897154656832046</v>
      </c>
      <c r="C437" s="171">
        <v>-0.84725762547333594</v>
      </c>
      <c r="D437" s="171">
        <v>1.9759438806851826E-2</v>
      </c>
      <c r="E437" s="170">
        <v>0</v>
      </c>
      <c r="F437" s="170">
        <v>-1.4990492230334603E-2</v>
      </c>
      <c r="G437" s="170">
        <v>0</v>
      </c>
      <c r="H437" s="170">
        <v>0</v>
      </c>
      <c r="I437" s="170">
        <v>0</v>
      </c>
      <c r="J437" s="170">
        <v>0</v>
      </c>
      <c r="K437" s="170">
        <v>0</v>
      </c>
      <c r="L437">
        <v>0.37021422051581732</v>
      </c>
      <c r="N437" s="172">
        <f>MCond(B436:D438)</f>
        <v>6.8946518551856064</v>
      </c>
      <c r="S437">
        <v>111</v>
      </c>
      <c r="T437" s="35">
        <v>8.2529665998791568</v>
      </c>
    </row>
    <row r="438" spans="1:20">
      <c r="A438" s="170"/>
      <c r="B438" s="171">
        <v>2.8449497700634536</v>
      </c>
      <c r="C438" s="171">
        <v>0.22852225552422287</v>
      </c>
      <c r="D438" s="171">
        <v>6.9737163040410666E-2</v>
      </c>
      <c r="E438" s="170">
        <v>0</v>
      </c>
      <c r="F438" s="170">
        <v>0</v>
      </c>
      <c r="G438" s="170">
        <v>-1.4990492230334603E-2</v>
      </c>
      <c r="H438" s="170">
        <v>0</v>
      </c>
      <c r="I438" s="170">
        <v>0</v>
      </c>
      <c r="J438" s="170">
        <v>0</v>
      </c>
      <c r="K438" s="170">
        <v>0</v>
      </c>
      <c r="L438">
        <v>4.0754124436814498</v>
      </c>
      <c r="N438" s="172"/>
      <c r="S438">
        <v>95</v>
      </c>
      <c r="T438" s="35">
        <v>8.1773167465735472</v>
      </c>
    </row>
    <row r="439" spans="1:20">
      <c r="A439" s="170"/>
      <c r="B439" s="171"/>
      <c r="C439" s="171"/>
      <c r="D439" s="171"/>
      <c r="E439" s="170"/>
      <c r="F439" s="170"/>
      <c r="G439" s="170"/>
      <c r="H439" s="170"/>
      <c r="I439" s="170"/>
      <c r="J439" s="170"/>
      <c r="K439" s="170"/>
      <c r="N439" s="173"/>
      <c r="S439">
        <v>103</v>
      </c>
      <c r="T439" s="35">
        <v>8.1126859890305525</v>
      </c>
    </row>
    <row r="440" spans="1:20">
      <c r="A440" s="170"/>
      <c r="B440" s="171">
        <v>1.4028471761352286</v>
      </c>
      <c r="C440" s="171">
        <v>-0.814665459345566</v>
      </c>
      <c r="D440" s="171">
        <v>-0.7195871750303805</v>
      </c>
      <c r="E440" s="170">
        <v>-1.4990492230334603E-2</v>
      </c>
      <c r="F440" s="170">
        <v>0</v>
      </c>
      <c r="G440" s="170">
        <v>0</v>
      </c>
      <c r="H440" s="170">
        <v>0</v>
      </c>
      <c r="I440" s="170">
        <v>0</v>
      </c>
      <c r="J440" s="170">
        <v>0</v>
      </c>
      <c r="K440" s="170">
        <v>0</v>
      </c>
      <c r="L440">
        <v>1.5747328563547551</v>
      </c>
      <c r="N440" s="172"/>
      <c r="S440">
        <v>81</v>
      </c>
      <c r="T440" s="35">
        <v>8.0842653543142653</v>
      </c>
    </row>
    <row r="441" spans="1:20">
      <c r="A441" s="170" t="s">
        <v>321</v>
      </c>
      <c r="B441" s="171">
        <v>0.14897154656832046</v>
      </c>
      <c r="C441" s="171">
        <v>-0.84725762547333594</v>
      </c>
      <c r="D441" s="171">
        <v>1.9759438806851826E-2</v>
      </c>
      <c r="E441" s="170">
        <v>0</v>
      </c>
      <c r="F441" s="170">
        <v>-1.4990492230334603E-2</v>
      </c>
      <c r="G441" s="170">
        <v>0</v>
      </c>
      <c r="H441" s="170">
        <v>0</v>
      </c>
      <c r="I441" s="170">
        <v>0</v>
      </c>
      <c r="J441" s="170">
        <v>0</v>
      </c>
      <c r="K441" s="170">
        <v>0</v>
      </c>
      <c r="L441">
        <v>0.37021422051581732</v>
      </c>
      <c r="N441" s="172">
        <f>MCond(B440:D442)</f>
        <v>9.9372843807971485</v>
      </c>
      <c r="S441">
        <v>48</v>
      </c>
      <c r="T441" s="35">
        <v>8.0179728515029733</v>
      </c>
    </row>
    <row r="442" spans="1:20">
      <c r="A442" s="170"/>
      <c r="B442" s="171">
        <v>0.36768865949079377</v>
      </c>
      <c r="C442" s="171">
        <v>1.2890795247765441</v>
      </c>
      <c r="D442" s="171">
        <v>0.10954983766095538</v>
      </c>
      <c r="E442" s="170">
        <v>0</v>
      </c>
      <c r="F442" s="170">
        <v>0</v>
      </c>
      <c r="G442" s="170">
        <v>-1.4990492230334603E-2</v>
      </c>
      <c r="H442" s="170">
        <v>0</v>
      </c>
      <c r="I442" s="170">
        <v>0</v>
      </c>
      <c r="J442" s="170">
        <v>0</v>
      </c>
      <c r="K442" s="170">
        <v>0</v>
      </c>
      <c r="L442">
        <v>0.90446106922389957</v>
      </c>
      <c r="N442" s="172"/>
      <c r="S442">
        <v>136</v>
      </c>
      <c r="T442" s="35">
        <v>7.9300802487334305</v>
      </c>
    </row>
    <row r="443" spans="1:20">
      <c r="A443" s="170"/>
      <c r="B443" s="171"/>
      <c r="C443" s="171"/>
      <c r="D443" s="171"/>
      <c r="E443" s="170"/>
      <c r="F443" s="170"/>
      <c r="G443" s="170"/>
      <c r="H443" s="170"/>
      <c r="I443" s="170"/>
      <c r="J443" s="170"/>
      <c r="K443" s="170"/>
      <c r="N443" s="173"/>
      <c r="S443">
        <v>43</v>
      </c>
      <c r="T443" s="35">
        <v>7.888357243357154</v>
      </c>
    </row>
    <row r="444" spans="1:20">
      <c r="A444" s="170"/>
      <c r="B444" s="171">
        <v>1.4028471761352286</v>
      </c>
      <c r="C444" s="171">
        <v>-0.814665459345566</v>
      </c>
      <c r="D444" s="171">
        <v>-0.7195871750303805</v>
      </c>
      <c r="E444" s="170">
        <v>-1.4990492230334603E-2</v>
      </c>
      <c r="F444" s="170">
        <v>0</v>
      </c>
      <c r="G444" s="170">
        <v>0</v>
      </c>
      <c r="H444" s="170">
        <v>0</v>
      </c>
      <c r="I444" s="170">
        <v>0</v>
      </c>
      <c r="J444" s="170">
        <v>0</v>
      </c>
      <c r="K444" s="170">
        <v>0</v>
      </c>
      <c r="L444">
        <v>1.5747328563547551</v>
      </c>
      <c r="N444" s="172"/>
      <c r="S444">
        <v>183</v>
      </c>
      <c r="T444" s="35">
        <v>7.7074988340721093</v>
      </c>
    </row>
    <row r="445" spans="1:20">
      <c r="A445" s="170" t="s">
        <v>322</v>
      </c>
      <c r="B445" s="171">
        <v>0.14897154656832046</v>
      </c>
      <c r="C445" s="171">
        <v>-0.84725762547333594</v>
      </c>
      <c r="D445" s="171">
        <v>1.9759438806851826E-2</v>
      </c>
      <c r="E445" s="170">
        <v>0</v>
      </c>
      <c r="F445" s="170">
        <v>-1.4990492230334603E-2</v>
      </c>
      <c r="G445" s="170">
        <v>0</v>
      </c>
      <c r="H445" s="170">
        <v>0</v>
      </c>
      <c r="I445" s="170">
        <v>0</v>
      </c>
      <c r="J445" s="170">
        <v>0</v>
      </c>
      <c r="K445" s="170">
        <v>0</v>
      </c>
      <c r="L445">
        <v>0.37021422051581732</v>
      </c>
      <c r="N445" s="172">
        <f>MCond(B444:D446)</f>
        <v>7.5591544987062864</v>
      </c>
      <c r="S445">
        <v>179</v>
      </c>
      <c r="T445" s="35">
        <v>7.648214420981799</v>
      </c>
    </row>
    <row r="446" spans="1:20">
      <c r="A446" s="170"/>
      <c r="B446" s="171">
        <v>1.9865190328797109</v>
      </c>
      <c r="C446" s="171">
        <v>1.2694850305255347</v>
      </c>
      <c r="D446" s="171">
        <v>3.2127045366234341E-2</v>
      </c>
      <c r="E446" s="170">
        <v>0</v>
      </c>
      <c r="F446" s="170">
        <v>0</v>
      </c>
      <c r="G446" s="170">
        <v>-1.4990492230334603E-2</v>
      </c>
      <c r="H446" s="170">
        <v>0</v>
      </c>
      <c r="I446" s="170">
        <v>0</v>
      </c>
      <c r="J446" s="170">
        <v>0</v>
      </c>
      <c r="K446" s="170">
        <v>0</v>
      </c>
      <c r="L446">
        <v>2.779441128882862</v>
      </c>
      <c r="N446" s="172"/>
      <c r="S446">
        <v>70</v>
      </c>
      <c r="T446" s="35">
        <v>7.6469926989996724</v>
      </c>
    </row>
    <row r="447" spans="1:20">
      <c r="A447" s="170"/>
      <c r="B447" s="171"/>
      <c r="C447" s="171"/>
      <c r="D447" s="171"/>
      <c r="E447" s="170"/>
      <c r="F447" s="170"/>
      <c r="G447" s="170"/>
      <c r="H447" s="170"/>
      <c r="I447" s="170"/>
      <c r="J447" s="170"/>
      <c r="K447" s="170"/>
      <c r="N447" s="173"/>
      <c r="S447">
        <v>13</v>
      </c>
      <c r="T447" s="35">
        <v>7.6413054265435116</v>
      </c>
    </row>
    <row r="448" spans="1:20">
      <c r="A448" s="170"/>
      <c r="B448" s="171">
        <v>1.4028471761352286</v>
      </c>
      <c r="C448" s="171">
        <v>-0.814665459345566</v>
      </c>
      <c r="D448" s="171">
        <v>-0.7195871750303805</v>
      </c>
      <c r="E448" s="170">
        <v>-1.4990492230334603E-2</v>
      </c>
      <c r="F448" s="170">
        <v>0</v>
      </c>
      <c r="G448" s="170">
        <v>0</v>
      </c>
      <c r="H448" s="170">
        <v>0</v>
      </c>
      <c r="I448" s="170">
        <v>0</v>
      </c>
      <c r="J448" s="170">
        <v>0</v>
      </c>
      <c r="K448" s="170">
        <v>0</v>
      </c>
      <c r="L448">
        <v>1.5747328563547551</v>
      </c>
      <c r="N448" s="172"/>
      <c r="S448">
        <v>171</v>
      </c>
      <c r="T448" s="35">
        <v>7.5782362388487288</v>
      </c>
    </row>
    <row r="449" spans="1:20">
      <c r="A449" s="170" t="s">
        <v>323</v>
      </c>
      <c r="B449" s="171">
        <v>0.14897154656832046</v>
      </c>
      <c r="C449" s="171">
        <v>-0.84725762547333594</v>
      </c>
      <c r="D449" s="171">
        <v>1.9759438806851826E-2</v>
      </c>
      <c r="E449" s="170">
        <v>0</v>
      </c>
      <c r="F449" s="170">
        <v>-1.4990492230334603E-2</v>
      </c>
      <c r="G449" s="170">
        <v>0</v>
      </c>
      <c r="H449" s="170">
        <v>0</v>
      </c>
      <c r="I449" s="170">
        <v>0</v>
      </c>
      <c r="J449" s="170">
        <v>0</v>
      </c>
      <c r="K449" s="170">
        <v>0</v>
      </c>
      <c r="L449">
        <v>0.37021422051581732</v>
      </c>
      <c r="N449" s="172">
        <f>MCond(B448:D450)</f>
        <v>26.099112239465395</v>
      </c>
      <c r="S449">
        <v>109</v>
      </c>
      <c r="T449" s="35">
        <v>7.5591544987062864</v>
      </c>
    </row>
    <row r="450" spans="1:20">
      <c r="A450" s="170"/>
      <c r="B450" s="171">
        <v>1.3773893306068323</v>
      </c>
      <c r="C450" s="171">
        <v>1.5521003879162059</v>
      </c>
      <c r="D450" s="171">
        <v>-0.65590292152571228</v>
      </c>
      <c r="E450" s="170">
        <v>0</v>
      </c>
      <c r="F450" s="170">
        <v>0</v>
      </c>
      <c r="G450" s="170">
        <v>-1.4990492230334603E-2</v>
      </c>
      <c r="H450" s="170">
        <v>0</v>
      </c>
      <c r="I450" s="170">
        <v>0</v>
      </c>
      <c r="J450" s="170">
        <v>0</v>
      </c>
      <c r="K450" s="170">
        <v>0</v>
      </c>
      <c r="L450">
        <v>2.3682128123525694</v>
      </c>
      <c r="N450" s="172"/>
      <c r="S450">
        <v>68</v>
      </c>
      <c r="T450" s="35">
        <v>7.5230904443487656</v>
      </c>
    </row>
    <row r="451" spans="1:20">
      <c r="A451" s="170"/>
      <c r="B451" s="171"/>
      <c r="C451" s="171"/>
      <c r="D451" s="171"/>
      <c r="E451" s="170"/>
      <c r="F451" s="170"/>
      <c r="G451" s="170"/>
      <c r="H451" s="170"/>
      <c r="I451" s="170"/>
      <c r="J451" s="170"/>
      <c r="K451" s="170"/>
      <c r="N451" s="173"/>
      <c r="S451">
        <v>181</v>
      </c>
      <c r="T451" s="35">
        <v>7.3967963927114955</v>
      </c>
    </row>
    <row r="452" spans="1:20">
      <c r="A452" s="170"/>
      <c r="B452" s="171">
        <v>1.4028471761352286</v>
      </c>
      <c r="C452" s="171">
        <v>-0.814665459345566</v>
      </c>
      <c r="D452" s="171">
        <v>-0.7195871750303805</v>
      </c>
      <c r="E452" s="170">
        <v>-1.4990492230334603E-2</v>
      </c>
      <c r="F452" s="170">
        <v>0</v>
      </c>
      <c r="G452" s="170">
        <v>0</v>
      </c>
      <c r="H452" s="170">
        <v>2.1174072073315828E-2</v>
      </c>
      <c r="I452" s="170">
        <v>-0.14525704733164976</v>
      </c>
      <c r="J452" s="170">
        <v>0</v>
      </c>
      <c r="K452" s="170">
        <v>0</v>
      </c>
      <c r="L452">
        <v>1.5747328563547551</v>
      </c>
      <c r="N452" s="172"/>
      <c r="S452">
        <v>26</v>
      </c>
      <c r="T452" s="35">
        <v>7.3654400484483462</v>
      </c>
    </row>
    <row r="453" spans="1:20">
      <c r="A453" s="170" t="s">
        <v>324</v>
      </c>
      <c r="B453" s="171">
        <v>2.44475956514645</v>
      </c>
      <c r="C453" s="171">
        <v>-0.85548399177677847</v>
      </c>
      <c r="D453" s="171">
        <v>5.2896656816179721E-2</v>
      </c>
      <c r="E453" s="170">
        <v>0</v>
      </c>
      <c r="F453" s="170">
        <v>-1.4990492230334603E-2</v>
      </c>
      <c r="G453" s="170">
        <v>0</v>
      </c>
      <c r="H453" s="170">
        <v>2.1174072073315828E-2</v>
      </c>
      <c r="I453" s="170">
        <v>0</v>
      </c>
      <c r="J453" s="170">
        <v>-5.8370098634356792E-2</v>
      </c>
      <c r="K453" s="170">
        <v>0</v>
      </c>
      <c r="L453">
        <v>3.3557501239318595</v>
      </c>
      <c r="N453" s="172">
        <f>MCond(B452:D454)</f>
        <v>8.2529665998791568</v>
      </c>
      <c r="S453">
        <v>164</v>
      </c>
      <c r="T453" s="35">
        <v>7.33302063772613</v>
      </c>
    </row>
    <row r="454" spans="1:20">
      <c r="A454" s="170"/>
      <c r="B454" s="171">
        <v>2.8449497700634536</v>
      </c>
      <c r="C454" s="171">
        <v>0.22852225552422287</v>
      </c>
      <c r="D454" s="171">
        <v>6.9737163040410666E-2</v>
      </c>
      <c r="E454" s="170">
        <v>0</v>
      </c>
      <c r="F454" s="170">
        <v>0</v>
      </c>
      <c r="G454" s="170">
        <v>-1.4990492230334603E-2</v>
      </c>
      <c r="H454" s="170">
        <v>2.1174072073315828E-2</v>
      </c>
      <c r="I454" s="170">
        <v>0</v>
      </c>
      <c r="J454" s="170">
        <v>0</v>
      </c>
      <c r="K454" s="170">
        <v>6.8827960560405646E-2</v>
      </c>
      <c r="L454">
        <v>4.0754124436814498</v>
      </c>
      <c r="N454" s="172"/>
      <c r="S454">
        <v>77</v>
      </c>
      <c r="T454" s="35">
        <v>7.309134947611736</v>
      </c>
    </row>
    <row r="455" spans="1:20">
      <c r="A455" s="170"/>
      <c r="B455" s="171"/>
      <c r="C455" s="171"/>
      <c r="D455" s="171"/>
      <c r="E455" s="170"/>
      <c r="F455" s="170"/>
      <c r="G455" s="170"/>
      <c r="H455" s="170"/>
      <c r="I455" s="170"/>
      <c r="J455" s="170"/>
      <c r="K455" s="170"/>
      <c r="N455" s="173"/>
      <c r="S455">
        <v>223</v>
      </c>
      <c r="T455" s="35">
        <v>7.2355412286088452</v>
      </c>
    </row>
    <row r="456" spans="1:20">
      <c r="A456" s="170"/>
      <c r="B456" s="171">
        <v>1.4028471761352286</v>
      </c>
      <c r="C456" s="171">
        <v>-0.814665459345566</v>
      </c>
      <c r="D456" s="171">
        <v>-0.7195871750303805</v>
      </c>
      <c r="E456" s="170">
        <v>-1.4990492230334603E-2</v>
      </c>
      <c r="F456" s="170">
        <v>0</v>
      </c>
      <c r="G456" s="170">
        <v>0</v>
      </c>
      <c r="H456" s="170">
        <v>2.1174072073315828E-2</v>
      </c>
      <c r="I456" s="170">
        <v>-0.14525704733164976</v>
      </c>
      <c r="J456" s="170">
        <v>0</v>
      </c>
      <c r="K456" s="170">
        <v>0</v>
      </c>
      <c r="L456">
        <v>1.5747328563547551</v>
      </c>
      <c r="N456" s="172"/>
      <c r="S456">
        <v>130</v>
      </c>
      <c r="T456" s="35">
        <v>7.2055376032001162</v>
      </c>
    </row>
    <row r="457" spans="1:20">
      <c r="A457" s="170" t="s">
        <v>325</v>
      </c>
      <c r="B457" s="171">
        <v>2.44475956514645</v>
      </c>
      <c r="C457" s="171">
        <v>-0.85548399177677847</v>
      </c>
      <c r="D457" s="171">
        <v>5.2896656816179721E-2</v>
      </c>
      <c r="E457" s="170">
        <v>0</v>
      </c>
      <c r="F457" s="170">
        <v>-1.4990492230334603E-2</v>
      </c>
      <c r="G457" s="170">
        <v>0</v>
      </c>
      <c r="H457" s="170">
        <v>2.1174072073315828E-2</v>
      </c>
      <c r="I457" s="170">
        <v>0</v>
      </c>
      <c r="J457" s="170">
        <v>-5.8370098634356792E-2</v>
      </c>
      <c r="K457" s="170">
        <v>0</v>
      </c>
      <c r="L457">
        <v>3.3557501239318595</v>
      </c>
      <c r="N457" s="172">
        <f>MCond(B456:D458)</f>
        <v>5.1437331426071831</v>
      </c>
      <c r="S457">
        <v>46</v>
      </c>
      <c r="T457" s="35">
        <v>7.1675826345810227</v>
      </c>
    </row>
    <row r="458" spans="1:20">
      <c r="A458" s="170"/>
      <c r="B458" s="171">
        <v>0.36768865949079377</v>
      </c>
      <c r="C458" s="171">
        <v>1.2890795247765441</v>
      </c>
      <c r="D458" s="171">
        <v>0.10954983766095538</v>
      </c>
      <c r="E458" s="170">
        <v>0</v>
      </c>
      <c r="F458" s="170">
        <v>0</v>
      </c>
      <c r="G458" s="170">
        <v>-1.4990492230334603E-2</v>
      </c>
      <c r="H458" s="170">
        <v>2.1174072073315828E-2</v>
      </c>
      <c r="I458" s="170">
        <v>0</v>
      </c>
      <c r="J458" s="170">
        <v>0</v>
      </c>
      <c r="K458" s="170">
        <v>0.18191808401017825</v>
      </c>
      <c r="L458">
        <v>0.90446106922389957</v>
      </c>
      <c r="N458" s="172"/>
      <c r="S458">
        <v>269</v>
      </c>
      <c r="T458" s="35">
        <v>7.1573490093416128</v>
      </c>
    </row>
    <row r="459" spans="1:20">
      <c r="A459" s="170"/>
      <c r="B459" s="171"/>
      <c r="C459" s="171"/>
      <c r="D459" s="171"/>
      <c r="E459" s="170"/>
      <c r="F459" s="170"/>
      <c r="G459" s="170"/>
      <c r="H459" s="170"/>
      <c r="I459" s="170"/>
      <c r="J459" s="170"/>
      <c r="K459" s="170"/>
      <c r="N459" s="173"/>
      <c r="S459">
        <v>59</v>
      </c>
      <c r="T459" s="35">
        <v>7.0862524060099732</v>
      </c>
    </row>
    <row r="460" spans="1:20">
      <c r="A460" s="170"/>
      <c r="B460" s="171">
        <v>1.4028471761352286</v>
      </c>
      <c r="C460" s="171">
        <v>-0.814665459345566</v>
      </c>
      <c r="D460" s="171">
        <v>-0.7195871750303805</v>
      </c>
      <c r="E460" s="170">
        <v>-1.4990492230334603E-2</v>
      </c>
      <c r="F460" s="170">
        <v>0</v>
      </c>
      <c r="G460" s="170">
        <v>0</v>
      </c>
      <c r="H460" s="170">
        <v>0</v>
      </c>
      <c r="I460" s="170">
        <v>0</v>
      </c>
      <c r="J460" s="170">
        <v>0</v>
      </c>
      <c r="K460" s="170">
        <v>0</v>
      </c>
      <c r="L460">
        <v>1.5747328563547551</v>
      </c>
      <c r="N460" s="172"/>
      <c r="S460">
        <v>148</v>
      </c>
      <c r="T460" s="35">
        <v>7.0402993519910142</v>
      </c>
    </row>
    <row r="461" spans="1:20">
      <c r="A461" s="170" t="s">
        <v>326</v>
      </c>
      <c r="B461" s="171">
        <v>2.44475956514645</v>
      </c>
      <c r="C461" s="171">
        <v>-0.85548399177677847</v>
      </c>
      <c r="D461" s="171">
        <v>5.2896656816179721E-2</v>
      </c>
      <c r="E461" s="170">
        <v>0</v>
      </c>
      <c r="F461" s="170">
        <v>-1.4990492230334603E-2</v>
      </c>
      <c r="G461" s="170">
        <v>0</v>
      </c>
      <c r="H461" s="170">
        <v>0</v>
      </c>
      <c r="I461" s="170">
        <v>0</v>
      </c>
      <c r="J461" s="170">
        <v>0</v>
      </c>
      <c r="K461" s="170">
        <v>0</v>
      </c>
      <c r="L461">
        <v>3.3557501239318595</v>
      </c>
      <c r="N461" s="172">
        <f>MCond(B460:D462)</f>
        <v>5.8121432217475695</v>
      </c>
      <c r="S461">
        <v>143</v>
      </c>
      <c r="T461" s="35">
        <v>7.0264412742510673</v>
      </c>
    </row>
    <row r="462" spans="1:20">
      <c r="A462" s="170"/>
      <c r="B462" s="171">
        <v>1.9865190328797109</v>
      </c>
      <c r="C462" s="171">
        <v>1.2694850305255347</v>
      </c>
      <c r="D462" s="171">
        <v>3.2127045366234341E-2</v>
      </c>
      <c r="E462" s="170">
        <v>0</v>
      </c>
      <c r="F462" s="170">
        <v>0</v>
      </c>
      <c r="G462" s="170">
        <v>-1.4990492230334603E-2</v>
      </c>
      <c r="H462" s="170">
        <v>0</v>
      </c>
      <c r="I462" s="170">
        <v>0</v>
      </c>
      <c r="J462" s="170">
        <v>0</v>
      </c>
      <c r="K462" s="170">
        <v>0</v>
      </c>
      <c r="L462">
        <v>2.779441128882862</v>
      </c>
      <c r="N462" s="172"/>
      <c r="S462">
        <v>246</v>
      </c>
      <c r="T462" s="35">
        <v>7.0062729721822521</v>
      </c>
    </row>
    <row r="463" spans="1:20">
      <c r="A463" s="170"/>
      <c r="B463" s="171"/>
      <c r="C463" s="171"/>
      <c r="D463" s="171"/>
      <c r="E463" s="170"/>
      <c r="F463" s="170"/>
      <c r="G463" s="170"/>
      <c r="H463" s="170"/>
      <c r="I463" s="170"/>
      <c r="J463" s="170"/>
      <c r="K463" s="170"/>
      <c r="N463" s="173"/>
      <c r="S463">
        <v>151</v>
      </c>
      <c r="T463" s="35">
        <v>6.9688671966435978</v>
      </c>
    </row>
    <row r="464" spans="1:20">
      <c r="A464" s="170"/>
      <c r="B464" s="171">
        <v>1.4028471761352286</v>
      </c>
      <c r="C464" s="171">
        <v>-0.814665459345566</v>
      </c>
      <c r="D464" s="171">
        <v>-0.7195871750303805</v>
      </c>
      <c r="E464" s="170">
        <v>-1.4990492230334603E-2</v>
      </c>
      <c r="F464" s="170">
        <v>0</v>
      </c>
      <c r="G464" s="170">
        <v>0</v>
      </c>
      <c r="H464" s="170">
        <v>2.1174072073315828E-2</v>
      </c>
      <c r="I464" s="170">
        <v>-0.14525704733164976</v>
      </c>
      <c r="J464" s="170">
        <v>0</v>
      </c>
      <c r="K464" s="170">
        <v>0</v>
      </c>
      <c r="L464">
        <v>1.5747328563547551</v>
      </c>
      <c r="N464" s="172"/>
      <c r="S464">
        <v>107</v>
      </c>
      <c r="T464" s="35">
        <v>6.8946518551856064</v>
      </c>
    </row>
    <row r="465" spans="1:20">
      <c r="A465" s="170" t="s">
        <v>327</v>
      </c>
      <c r="B465" s="171">
        <v>2.44475956514645</v>
      </c>
      <c r="C465" s="171">
        <v>-0.85548399177677847</v>
      </c>
      <c r="D465" s="171">
        <v>5.2896656816179721E-2</v>
      </c>
      <c r="E465" s="170">
        <v>0</v>
      </c>
      <c r="F465" s="170">
        <v>-1.4990492230334603E-2</v>
      </c>
      <c r="G465" s="170">
        <v>0</v>
      </c>
      <c r="H465" s="170">
        <v>2.1174072073315828E-2</v>
      </c>
      <c r="I465" s="170">
        <v>0</v>
      </c>
      <c r="J465" s="170">
        <v>-5.8370098634356792E-2</v>
      </c>
      <c r="K465" s="170">
        <v>0</v>
      </c>
      <c r="L465">
        <v>3.3557501239318595</v>
      </c>
      <c r="N465" s="172">
        <f>MCond(B464:D466)</f>
        <v>4.7138939593144054</v>
      </c>
      <c r="S465">
        <v>115</v>
      </c>
      <c r="T465" s="35">
        <v>6.8287657968734292</v>
      </c>
    </row>
    <row r="466" spans="1:20">
      <c r="A466" s="170"/>
      <c r="B466" s="171">
        <v>1.3773893306068323</v>
      </c>
      <c r="C466" s="171">
        <v>1.5521003879162059</v>
      </c>
      <c r="D466" s="171">
        <v>-0.65590292152571228</v>
      </c>
      <c r="E466" s="170">
        <v>0</v>
      </c>
      <c r="F466" s="170">
        <v>0</v>
      </c>
      <c r="G466" s="170">
        <v>-1.4990492230334603E-2</v>
      </c>
      <c r="H466" s="170">
        <v>2.1174072073315828E-2</v>
      </c>
      <c r="I466" s="170">
        <v>0</v>
      </c>
      <c r="J466" s="170">
        <v>0</v>
      </c>
      <c r="K466" s="170">
        <v>-8.9700844372930258E-2</v>
      </c>
      <c r="L466">
        <v>2.3682128123525694</v>
      </c>
      <c r="N466" s="172"/>
      <c r="S466">
        <v>220</v>
      </c>
      <c r="T466" s="35">
        <v>6.768419778847786</v>
      </c>
    </row>
    <row r="467" spans="1:20">
      <c r="A467" s="170"/>
      <c r="B467" s="171"/>
      <c r="C467" s="171"/>
      <c r="D467" s="171"/>
      <c r="E467" s="170"/>
      <c r="F467" s="170"/>
      <c r="G467" s="170"/>
      <c r="H467" s="170"/>
      <c r="I467" s="170"/>
      <c r="J467" s="170"/>
      <c r="K467" s="170"/>
      <c r="N467" s="173"/>
      <c r="S467">
        <v>178</v>
      </c>
      <c r="T467" s="35">
        <v>6.7625217711569316</v>
      </c>
    </row>
    <row r="468" spans="1:20">
      <c r="A468" s="170"/>
      <c r="B468" s="171">
        <v>1.4028471761352286</v>
      </c>
      <c r="C468" s="171">
        <v>-0.814665459345566</v>
      </c>
      <c r="D468" s="171">
        <v>-0.7195871750303805</v>
      </c>
      <c r="E468" s="170">
        <v>-1.4990492230334603E-2</v>
      </c>
      <c r="F468" s="170">
        <v>0</v>
      </c>
      <c r="G468" s="170">
        <v>0</v>
      </c>
      <c r="H468" s="170">
        <v>2.1174072073315828E-2</v>
      </c>
      <c r="I468" s="170">
        <v>-0.14525704733164976</v>
      </c>
      <c r="J468" s="170">
        <v>0</v>
      </c>
      <c r="K468" s="170">
        <v>0</v>
      </c>
      <c r="L468">
        <v>1.5747328563547551</v>
      </c>
      <c r="N468" s="172"/>
      <c r="S468">
        <v>264</v>
      </c>
      <c r="T468" s="35">
        <v>6.7607681639683301</v>
      </c>
    </row>
    <row r="469" spans="1:20">
      <c r="A469" s="170" t="s">
        <v>328</v>
      </c>
      <c r="B469" s="171">
        <v>2.8449497700634536</v>
      </c>
      <c r="C469" s="171">
        <v>0.22852225552422287</v>
      </c>
      <c r="D469" s="171">
        <v>6.9737163040410666E-2</v>
      </c>
      <c r="E469" s="170">
        <v>0</v>
      </c>
      <c r="F469" s="170">
        <v>-1.4990492230334603E-2</v>
      </c>
      <c r="G469" s="170">
        <v>0</v>
      </c>
      <c r="H469" s="170">
        <v>2.1174072073315828E-2</v>
      </c>
      <c r="I469" s="170">
        <v>0</v>
      </c>
      <c r="J469" s="170">
        <v>6.8827960560405646E-2</v>
      </c>
      <c r="K469" s="170">
        <v>0</v>
      </c>
      <c r="L469">
        <v>4.0754124436814498</v>
      </c>
      <c r="N469" s="172">
        <f>MCond(B468:D470)</f>
        <v>6.8287657968734292</v>
      </c>
      <c r="S469">
        <v>138</v>
      </c>
      <c r="T469" s="35">
        <v>6.7566483524299317</v>
      </c>
    </row>
    <row r="470" spans="1:20">
      <c r="A470" s="170"/>
      <c r="B470" s="171">
        <v>0.36768865949079377</v>
      </c>
      <c r="C470" s="171">
        <v>1.2890795247765441</v>
      </c>
      <c r="D470" s="171">
        <v>0.10954983766095538</v>
      </c>
      <c r="E470" s="170">
        <v>0</v>
      </c>
      <c r="F470" s="170">
        <v>0</v>
      </c>
      <c r="G470" s="170">
        <v>-1.4990492230334603E-2</v>
      </c>
      <c r="H470" s="170">
        <v>2.1174072073315828E-2</v>
      </c>
      <c r="I470" s="170">
        <v>0</v>
      </c>
      <c r="J470" s="170">
        <v>0</v>
      </c>
      <c r="K470" s="170">
        <v>0.18191808401017825</v>
      </c>
      <c r="L470">
        <v>0.90446106922389957</v>
      </c>
      <c r="N470" s="172"/>
      <c r="S470">
        <v>176</v>
      </c>
      <c r="T470" s="35">
        <v>6.7459428276848676</v>
      </c>
    </row>
    <row r="471" spans="1:20">
      <c r="A471" s="170"/>
      <c r="B471" s="171"/>
      <c r="C471" s="171"/>
      <c r="D471" s="171"/>
      <c r="E471" s="170"/>
      <c r="F471" s="170"/>
      <c r="G471" s="170"/>
      <c r="H471" s="170"/>
      <c r="I471" s="170"/>
      <c r="J471" s="170"/>
      <c r="K471" s="170"/>
      <c r="N471" s="173"/>
      <c r="S471">
        <v>272</v>
      </c>
      <c r="T471" s="35">
        <v>6.7197741867997447</v>
      </c>
    </row>
    <row r="472" spans="1:20">
      <c r="A472" s="170"/>
      <c r="B472" s="171">
        <v>1.4028471761352286</v>
      </c>
      <c r="C472" s="171">
        <v>-0.814665459345566</v>
      </c>
      <c r="D472" s="171">
        <v>-0.7195871750303805</v>
      </c>
      <c r="E472" s="170">
        <v>-1.4990492230334603E-2</v>
      </c>
      <c r="F472" s="170">
        <v>0</v>
      </c>
      <c r="G472" s="170">
        <v>0</v>
      </c>
      <c r="H472" s="170">
        <v>0</v>
      </c>
      <c r="I472" s="170">
        <v>0</v>
      </c>
      <c r="J472" s="170">
        <v>0</v>
      </c>
      <c r="K472" s="170">
        <v>0</v>
      </c>
      <c r="L472">
        <v>1.5747328563547551</v>
      </c>
      <c r="N472" s="172"/>
      <c r="S472">
        <v>147</v>
      </c>
      <c r="T472" s="35">
        <v>6.7148325139077363</v>
      </c>
    </row>
    <row r="473" spans="1:20">
      <c r="A473" s="170" t="s">
        <v>329</v>
      </c>
      <c r="B473" s="171">
        <v>2.8449497700634536</v>
      </c>
      <c r="C473" s="171">
        <v>0.22852225552422287</v>
      </c>
      <c r="D473" s="171">
        <v>6.9737163040410666E-2</v>
      </c>
      <c r="E473" s="170">
        <v>0</v>
      </c>
      <c r="F473" s="170">
        <v>-1.4990492230334603E-2</v>
      </c>
      <c r="G473" s="170">
        <v>0</v>
      </c>
      <c r="H473" s="170">
        <v>0</v>
      </c>
      <c r="I473" s="170">
        <v>0</v>
      </c>
      <c r="J473" s="170">
        <v>0</v>
      </c>
      <c r="K473" s="170">
        <v>0</v>
      </c>
      <c r="L473">
        <v>4.0754124436814498</v>
      </c>
      <c r="N473" s="172">
        <f>MCond(B472:D474)</f>
        <v>8.9992558577730577</v>
      </c>
      <c r="S473">
        <v>146</v>
      </c>
      <c r="T473" s="35">
        <v>6.5952649754803758</v>
      </c>
    </row>
    <row r="474" spans="1:20">
      <c r="A474" s="170"/>
      <c r="B474" s="171">
        <v>1.9865190328797109</v>
      </c>
      <c r="C474" s="171">
        <v>1.2694850305255347</v>
      </c>
      <c r="D474" s="171">
        <v>3.2127045366234341E-2</v>
      </c>
      <c r="E474" s="170">
        <v>0</v>
      </c>
      <c r="F474" s="170">
        <v>0</v>
      </c>
      <c r="G474" s="170">
        <v>-1.4990492230334603E-2</v>
      </c>
      <c r="H474" s="170">
        <v>0</v>
      </c>
      <c r="I474" s="170">
        <v>0</v>
      </c>
      <c r="J474" s="170">
        <v>0</v>
      </c>
      <c r="K474" s="170">
        <v>0</v>
      </c>
      <c r="L474">
        <v>2.779441128882862</v>
      </c>
      <c r="N474" s="172"/>
      <c r="S474">
        <v>27</v>
      </c>
      <c r="T474" s="35">
        <v>6.5826761170413119</v>
      </c>
    </row>
    <row r="475" spans="1:20">
      <c r="A475" s="170"/>
      <c r="B475" s="171"/>
      <c r="C475" s="171"/>
      <c r="D475" s="171"/>
      <c r="E475" s="170"/>
      <c r="F475" s="170"/>
      <c r="G475" s="170"/>
      <c r="H475" s="170"/>
      <c r="I475" s="170"/>
      <c r="J475" s="170"/>
      <c r="K475" s="170"/>
      <c r="N475" s="173"/>
      <c r="S475">
        <v>274</v>
      </c>
      <c r="T475" s="35">
        <v>6.5721137062563466</v>
      </c>
    </row>
    <row r="476" spans="1:20">
      <c r="A476" s="170"/>
      <c r="B476" s="171">
        <v>1.4028471761352286</v>
      </c>
      <c r="C476" s="171">
        <v>-0.814665459345566</v>
      </c>
      <c r="D476" s="171">
        <v>-0.7195871750303805</v>
      </c>
      <c r="E476" s="170">
        <v>-1.4990492230334603E-2</v>
      </c>
      <c r="F476" s="170">
        <v>0</v>
      </c>
      <c r="G476" s="170">
        <v>0</v>
      </c>
      <c r="H476" s="170">
        <v>2.1174072073315828E-2</v>
      </c>
      <c r="I476" s="170">
        <v>-0.14525704733164976</v>
      </c>
      <c r="J476" s="170">
        <v>0</v>
      </c>
      <c r="K476" s="170">
        <v>0</v>
      </c>
      <c r="L476">
        <v>1.5747328563547551</v>
      </c>
      <c r="N476" s="172"/>
      <c r="S476">
        <v>240</v>
      </c>
      <c r="T476" s="35">
        <v>6.5646293729706269</v>
      </c>
    </row>
    <row r="477" spans="1:20">
      <c r="A477" s="170" t="s">
        <v>330</v>
      </c>
      <c r="B477" s="171">
        <v>2.8449497700634536</v>
      </c>
      <c r="C477" s="171">
        <v>0.22852225552422287</v>
      </c>
      <c r="D477" s="171">
        <v>6.9737163040410666E-2</v>
      </c>
      <c r="E477" s="170">
        <v>0</v>
      </c>
      <c r="F477" s="170">
        <v>-1.4990492230334603E-2</v>
      </c>
      <c r="G477" s="170">
        <v>0</v>
      </c>
      <c r="H477" s="170">
        <v>2.1174072073315828E-2</v>
      </c>
      <c r="I477" s="170">
        <v>0</v>
      </c>
      <c r="J477" s="170">
        <v>6.8827960560405646E-2</v>
      </c>
      <c r="K477" s="170">
        <v>0</v>
      </c>
      <c r="L477">
        <v>4.0754124436814498</v>
      </c>
      <c r="N477" s="172">
        <f>MCond(B476:D478)</f>
        <v>4.292123906712999</v>
      </c>
      <c r="S477">
        <v>37</v>
      </c>
      <c r="T477" s="35">
        <v>6.5562246319096911</v>
      </c>
    </row>
    <row r="478" spans="1:20">
      <c r="A478" s="170"/>
      <c r="B478" s="171">
        <v>1.3773893306068323</v>
      </c>
      <c r="C478" s="171">
        <v>1.5521003879162059</v>
      </c>
      <c r="D478" s="171">
        <v>-0.65590292152571228</v>
      </c>
      <c r="E478" s="170">
        <v>0</v>
      </c>
      <c r="F478" s="170">
        <v>0</v>
      </c>
      <c r="G478" s="170">
        <v>-1.4990492230334603E-2</v>
      </c>
      <c r="H478" s="170">
        <v>2.1174072073315828E-2</v>
      </c>
      <c r="I478" s="170">
        <v>0</v>
      </c>
      <c r="J478" s="170">
        <v>0</v>
      </c>
      <c r="K478" s="170">
        <v>-8.9700844372930258E-2</v>
      </c>
      <c r="L478">
        <v>2.3682128123525694</v>
      </c>
      <c r="N478" s="172"/>
      <c r="S478">
        <v>71</v>
      </c>
      <c r="T478" s="35">
        <v>6.5447871116906784</v>
      </c>
    </row>
    <row r="479" spans="1:20">
      <c r="A479" s="170"/>
      <c r="B479" s="171"/>
      <c r="C479" s="171"/>
      <c r="D479" s="171"/>
      <c r="E479" s="170"/>
      <c r="F479" s="170"/>
      <c r="G479" s="170"/>
      <c r="H479" s="170"/>
      <c r="I479" s="170"/>
      <c r="J479" s="170"/>
      <c r="K479" s="170"/>
      <c r="N479" s="173"/>
      <c r="S479">
        <v>213</v>
      </c>
      <c r="T479" s="35">
        <v>6.4314927648957179</v>
      </c>
    </row>
    <row r="480" spans="1:20">
      <c r="A480" s="170"/>
      <c r="B480" s="171">
        <v>1.4028471761352286</v>
      </c>
      <c r="C480" s="171">
        <v>-0.814665459345566</v>
      </c>
      <c r="D480" s="171">
        <v>-0.7195871750303805</v>
      </c>
      <c r="E480" s="170">
        <v>-1.4990492230334603E-2</v>
      </c>
      <c r="F480" s="170">
        <v>0</v>
      </c>
      <c r="G480" s="170">
        <v>0</v>
      </c>
      <c r="H480" s="170">
        <v>0</v>
      </c>
      <c r="I480" s="170">
        <v>0</v>
      </c>
      <c r="J480" s="170">
        <v>0</v>
      </c>
      <c r="K480" s="170">
        <v>0</v>
      </c>
      <c r="L480">
        <v>1.5747328563547551</v>
      </c>
      <c r="N480" s="172"/>
      <c r="S480">
        <v>35</v>
      </c>
      <c r="T480" s="35">
        <v>6.4227760464603234</v>
      </c>
    </row>
    <row r="481" spans="1:20">
      <c r="A481" s="170" t="s">
        <v>331</v>
      </c>
      <c r="B481" s="171">
        <v>0.36768865949079377</v>
      </c>
      <c r="C481" s="171">
        <v>1.2890795247765441</v>
      </c>
      <c r="D481" s="171">
        <v>0.10954983766095538</v>
      </c>
      <c r="E481" s="170">
        <v>0</v>
      </c>
      <c r="F481" s="170">
        <v>-1.4990492230334603E-2</v>
      </c>
      <c r="G481" s="170">
        <v>0</v>
      </c>
      <c r="H481" s="170">
        <v>0</v>
      </c>
      <c r="I481" s="170">
        <v>0</v>
      </c>
      <c r="J481" s="170">
        <v>0</v>
      </c>
      <c r="K481" s="170">
        <v>0</v>
      </c>
      <c r="L481">
        <v>0.90446106922389957</v>
      </c>
      <c r="N481" s="172">
        <f>MCond(B480:D482)</f>
        <v>10.814350744949346</v>
      </c>
      <c r="S481">
        <v>206</v>
      </c>
      <c r="T481" s="35">
        <v>6.3921465350608555</v>
      </c>
    </row>
    <row r="482" spans="1:20">
      <c r="A482" s="170"/>
      <c r="B482" s="171">
        <v>1.9865190328797109</v>
      </c>
      <c r="C482" s="171">
        <v>1.2694850305255347</v>
      </c>
      <c r="D482" s="171">
        <v>3.2127045366234341E-2</v>
      </c>
      <c r="E482" s="170">
        <v>0</v>
      </c>
      <c r="F482" s="170">
        <v>0</v>
      </c>
      <c r="G482" s="170">
        <v>-1.4990492230334603E-2</v>
      </c>
      <c r="H482" s="170">
        <v>0</v>
      </c>
      <c r="I482" s="170">
        <v>0</v>
      </c>
      <c r="J482" s="170">
        <v>0</v>
      </c>
      <c r="K482" s="170">
        <v>0</v>
      </c>
      <c r="L482">
        <v>2.779441128882862</v>
      </c>
      <c r="N482" s="172"/>
      <c r="S482">
        <v>83</v>
      </c>
      <c r="T482" s="35">
        <v>6.3906270108779077</v>
      </c>
    </row>
    <row r="483" spans="1:20">
      <c r="A483" s="170"/>
      <c r="B483" s="171"/>
      <c r="C483" s="171"/>
      <c r="D483" s="171"/>
      <c r="E483" s="170"/>
      <c r="F483" s="170"/>
      <c r="G483" s="170"/>
      <c r="H483" s="170"/>
      <c r="I483" s="170"/>
      <c r="J483" s="170"/>
      <c r="K483" s="170"/>
      <c r="N483" s="173"/>
      <c r="S483">
        <v>263</v>
      </c>
      <c r="T483" s="35">
        <v>6.3541258749953187</v>
      </c>
    </row>
    <row r="484" spans="1:20">
      <c r="A484" s="170"/>
      <c r="B484" s="171">
        <v>1.4028471761352286</v>
      </c>
      <c r="C484" s="171">
        <v>-0.814665459345566</v>
      </c>
      <c r="D484" s="171">
        <v>-0.7195871750303805</v>
      </c>
      <c r="E484" s="170">
        <v>-1.4990492230334603E-2</v>
      </c>
      <c r="F484" s="170">
        <v>0</v>
      </c>
      <c r="G484" s="170">
        <v>0</v>
      </c>
      <c r="H484" s="170">
        <v>2.1174072073315828E-2</v>
      </c>
      <c r="I484" s="170">
        <v>-0.14525704733164976</v>
      </c>
      <c r="J484" s="170">
        <v>0</v>
      </c>
      <c r="K484" s="170">
        <v>0</v>
      </c>
      <c r="L484">
        <v>1.5747328563547551</v>
      </c>
      <c r="N484" s="172"/>
      <c r="S484">
        <v>224</v>
      </c>
      <c r="T484" s="35">
        <v>6.3260146733038898</v>
      </c>
    </row>
    <row r="485" spans="1:20">
      <c r="A485" s="170" t="s">
        <v>332</v>
      </c>
      <c r="B485" s="171">
        <v>0.36768865949079377</v>
      </c>
      <c r="C485" s="171">
        <v>1.2890795247765441</v>
      </c>
      <c r="D485" s="171">
        <v>0.10954983766095538</v>
      </c>
      <c r="E485" s="170">
        <v>0</v>
      </c>
      <c r="F485" s="170">
        <v>-1.4990492230334603E-2</v>
      </c>
      <c r="G485" s="170">
        <v>0</v>
      </c>
      <c r="H485" s="170">
        <v>2.1174072073315828E-2</v>
      </c>
      <c r="I485" s="170">
        <v>0</v>
      </c>
      <c r="J485" s="170">
        <v>0.18191808401017825</v>
      </c>
      <c r="K485" s="170">
        <v>0</v>
      </c>
      <c r="L485">
        <v>0.90446106922389957</v>
      </c>
      <c r="N485" s="172">
        <f>MCond(B484:D486)</f>
        <v>13.161138632442416</v>
      </c>
      <c r="S485">
        <v>211</v>
      </c>
      <c r="T485" s="35">
        <v>6.2959412294601558</v>
      </c>
    </row>
    <row r="486" spans="1:20">
      <c r="A486" s="170"/>
      <c r="B486" s="171">
        <v>1.3773893306068323</v>
      </c>
      <c r="C486" s="171">
        <v>1.5521003879162059</v>
      </c>
      <c r="D486" s="171">
        <v>-0.65590292152571228</v>
      </c>
      <c r="E486" s="170">
        <v>0</v>
      </c>
      <c r="F486" s="170">
        <v>0</v>
      </c>
      <c r="G486" s="170">
        <v>-1.4990492230334603E-2</v>
      </c>
      <c r="H486" s="170">
        <v>2.1174072073315828E-2</v>
      </c>
      <c r="I486" s="170">
        <v>0</v>
      </c>
      <c r="J486" s="170">
        <v>0</v>
      </c>
      <c r="K486" s="170">
        <v>-8.9700844372930258E-2</v>
      </c>
      <c r="L486">
        <v>2.3682128123525694</v>
      </c>
      <c r="N486" s="172"/>
      <c r="S486">
        <v>135</v>
      </c>
      <c r="T486" s="35">
        <v>6.2639720915040158</v>
      </c>
    </row>
    <row r="487" spans="1:20">
      <c r="A487" s="170"/>
      <c r="B487" s="171"/>
      <c r="C487" s="171"/>
      <c r="D487" s="171"/>
      <c r="E487" s="170"/>
      <c r="F487" s="170"/>
      <c r="G487" s="170"/>
      <c r="H487" s="170"/>
      <c r="I487" s="170"/>
      <c r="J487" s="170"/>
      <c r="K487" s="170"/>
      <c r="N487" s="173"/>
      <c r="S487">
        <v>20</v>
      </c>
      <c r="T487" s="35">
        <v>6.0546724397063105</v>
      </c>
    </row>
    <row r="488" spans="1:20">
      <c r="A488" s="170"/>
      <c r="B488" s="171">
        <v>1.4028471761352286</v>
      </c>
      <c r="C488" s="171">
        <v>-0.814665459345566</v>
      </c>
      <c r="D488" s="171">
        <v>-0.7195871750303805</v>
      </c>
      <c r="E488" s="170">
        <v>-1.4990492230334603E-2</v>
      </c>
      <c r="F488" s="170">
        <v>0</v>
      </c>
      <c r="G488" s="170">
        <v>0</v>
      </c>
      <c r="H488" s="170">
        <v>0</v>
      </c>
      <c r="I488" s="170">
        <v>0</v>
      </c>
      <c r="J488" s="170">
        <v>0</v>
      </c>
      <c r="K488" s="170">
        <v>0</v>
      </c>
      <c r="L488">
        <v>1.5747328563547551</v>
      </c>
      <c r="N488" s="172"/>
      <c r="S488">
        <v>216</v>
      </c>
      <c r="T488" s="35">
        <v>6.037916237878159</v>
      </c>
    </row>
    <row r="489" spans="1:20">
      <c r="A489" s="170" t="s">
        <v>333</v>
      </c>
      <c r="B489" s="171">
        <v>1.9865190328797109</v>
      </c>
      <c r="C489" s="171">
        <v>1.2694850305255347</v>
      </c>
      <c r="D489" s="171">
        <v>3.2127045366234341E-2</v>
      </c>
      <c r="E489" s="170">
        <v>0</v>
      </c>
      <c r="F489" s="170">
        <v>-1.4990492230334603E-2</v>
      </c>
      <c r="G489" s="170">
        <v>0</v>
      </c>
      <c r="H489" s="170">
        <v>0</v>
      </c>
      <c r="I489" s="170">
        <v>0</v>
      </c>
      <c r="J489" s="170">
        <v>0</v>
      </c>
      <c r="K489" s="170">
        <v>0</v>
      </c>
      <c r="L489">
        <v>2.779441128882862</v>
      </c>
      <c r="N489" s="172">
        <f>MCond(B488:D490)</f>
        <v>5.1208665031360203</v>
      </c>
      <c r="S489">
        <v>50</v>
      </c>
      <c r="T489" s="35">
        <v>6.0262694639012206</v>
      </c>
    </row>
    <row r="490" spans="1:20">
      <c r="A490" s="170"/>
      <c r="B490" s="171">
        <v>1.3773893306068323</v>
      </c>
      <c r="C490" s="171">
        <v>1.5521003879162059</v>
      </c>
      <c r="D490" s="171">
        <v>-0.65590292152571228</v>
      </c>
      <c r="E490" s="170">
        <v>0</v>
      </c>
      <c r="F490" s="170">
        <v>0</v>
      </c>
      <c r="G490" s="170">
        <v>-1.4990492230334603E-2</v>
      </c>
      <c r="H490" s="170">
        <v>0</v>
      </c>
      <c r="I490" s="170">
        <v>0</v>
      </c>
      <c r="J490" s="170">
        <v>0</v>
      </c>
      <c r="K490" s="170">
        <v>0</v>
      </c>
      <c r="L490">
        <v>2.3682128123525694</v>
      </c>
      <c r="N490" s="172"/>
      <c r="S490">
        <v>170</v>
      </c>
      <c r="T490" s="35">
        <v>5.9659507309582951</v>
      </c>
    </row>
    <row r="491" spans="1:20">
      <c r="A491" s="170"/>
      <c r="B491" s="171"/>
      <c r="C491" s="171"/>
      <c r="D491" s="171"/>
      <c r="E491" s="170"/>
      <c r="F491" s="170"/>
      <c r="G491" s="170"/>
      <c r="H491" s="170"/>
      <c r="I491" s="170"/>
      <c r="J491" s="170"/>
      <c r="K491" s="170"/>
      <c r="N491" s="173"/>
      <c r="S491">
        <v>140</v>
      </c>
      <c r="T491" s="35">
        <v>5.9522483324166</v>
      </c>
    </row>
    <row r="492" spans="1:20">
      <c r="A492" s="170"/>
      <c r="B492" s="171">
        <v>0.14897154656832046</v>
      </c>
      <c r="C492" s="171">
        <v>-0.84725762547333594</v>
      </c>
      <c r="D492" s="171">
        <v>1.9759438806851826E-2</v>
      </c>
      <c r="E492" s="170">
        <v>-1.4990492230334603E-2</v>
      </c>
      <c r="F492" s="170">
        <v>0</v>
      </c>
      <c r="G492" s="170">
        <v>0</v>
      </c>
      <c r="H492" s="170">
        <v>0</v>
      </c>
      <c r="I492" s="170">
        <v>0</v>
      </c>
      <c r="J492" s="170">
        <v>0</v>
      </c>
      <c r="K492" s="170">
        <v>0</v>
      </c>
      <c r="L492">
        <v>0.37021422051581732</v>
      </c>
      <c r="N492" s="172"/>
      <c r="S492">
        <v>141</v>
      </c>
      <c r="T492" s="35">
        <v>5.9241424686026916</v>
      </c>
    </row>
    <row r="493" spans="1:20">
      <c r="A493" s="170" t="s">
        <v>334</v>
      </c>
      <c r="B493" s="171">
        <v>2.44475956514645</v>
      </c>
      <c r="C493" s="171">
        <v>-0.85548399177677847</v>
      </c>
      <c r="D493" s="171">
        <v>5.2896656816179721E-2</v>
      </c>
      <c r="E493" s="170">
        <v>0</v>
      </c>
      <c r="F493" s="170">
        <v>-1.4990492230334603E-2</v>
      </c>
      <c r="G493" s="170">
        <v>0</v>
      </c>
      <c r="H493" s="170">
        <v>0</v>
      </c>
      <c r="I493" s="170">
        <v>0</v>
      </c>
      <c r="J493" s="170">
        <v>0</v>
      </c>
      <c r="K493" s="170">
        <v>0</v>
      </c>
      <c r="L493">
        <v>3.3557501239318595</v>
      </c>
      <c r="N493" s="172">
        <f>MCond(B492:D494)</f>
        <v>250.1521200358882</v>
      </c>
      <c r="S493">
        <v>23</v>
      </c>
      <c r="T493" s="35">
        <v>5.8822782062311054</v>
      </c>
    </row>
    <row r="494" spans="1:20">
      <c r="A494" s="170"/>
      <c r="B494" s="171">
        <v>2.8449497700634536</v>
      </c>
      <c r="C494" s="171">
        <v>0.22852225552422287</v>
      </c>
      <c r="D494" s="171">
        <v>6.9737163040410666E-2</v>
      </c>
      <c r="E494" s="170">
        <v>0</v>
      </c>
      <c r="F494" s="170">
        <v>0</v>
      </c>
      <c r="G494" s="170">
        <v>-1.4990492230334603E-2</v>
      </c>
      <c r="H494" s="170">
        <v>0</v>
      </c>
      <c r="I494" s="170">
        <v>0</v>
      </c>
      <c r="J494" s="170">
        <v>0</v>
      </c>
      <c r="K494" s="170">
        <v>0</v>
      </c>
      <c r="L494">
        <v>4.0754124436814498</v>
      </c>
      <c r="N494" s="172"/>
      <c r="S494">
        <v>251</v>
      </c>
      <c r="T494" s="35">
        <v>5.8454524208722907</v>
      </c>
    </row>
    <row r="495" spans="1:20">
      <c r="A495" s="170"/>
      <c r="B495" s="171"/>
      <c r="C495" s="171"/>
      <c r="D495" s="171"/>
      <c r="E495" s="170"/>
      <c r="F495" s="170"/>
      <c r="G495" s="170"/>
      <c r="H495" s="170"/>
      <c r="I495" s="170"/>
      <c r="J495" s="170"/>
      <c r="K495" s="170"/>
      <c r="N495" s="173"/>
      <c r="S495">
        <v>113</v>
      </c>
      <c r="T495" s="35">
        <v>5.8121432217475695</v>
      </c>
    </row>
    <row r="496" spans="1:20">
      <c r="A496" s="170"/>
      <c r="B496" s="171">
        <v>0.14897154656832046</v>
      </c>
      <c r="C496" s="171">
        <v>-0.84725762547333594</v>
      </c>
      <c r="D496" s="171">
        <v>1.9759438806851826E-2</v>
      </c>
      <c r="E496" s="170">
        <v>-1.4990492230334603E-2</v>
      </c>
      <c r="F496" s="170">
        <v>0</v>
      </c>
      <c r="G496" s="170">
        <v>0</v>
      </c>
      <c r="H496" s="170">
        <v>0</v>
      </c>
      <c r="I496" s="170">
        <v>0</v>
      </c>
      <c r="J496" s="170">
        <v>0</v>
      </c>
      <c r="K496" s="170">
        <v>0</v>
      </c>
      <c r="L496">
        <v>0.37021422051581732</v>
      </c>
      <c r="N496" s="172"/>
      <c r="S496">
        <v>218</v>
      </c>
      <c r="T496" s="35">
        <v>5.7889076511012911</v>
      </c>
    </row>
    <row r="497" spans="1:20">
      <c r="A497" s="170" t="s">
        <v>335</v>
      </c>
      <c r="B497" s="171">
        <v>2.44475956514645</v>
      </c>
      <c r="C497" s="171">
        <v>-0.85548399177677847</v>
      </c>
      <c r="D497" s="171">
        <v>5.2896656816179721E-2</v>
      </c>
      <c r="E497" s="170">
        <v>0</v>
      </c>
      <c r="F497" s="170">
        <v>-1.4990492230334603E-2</v>
      </c>
      <c r="G497" s="170">
        <v>0</v>
      </c>
      <c r="H497" s="170">
        <v>0</v>
      </c>
      <c r="I497" s="170">
        <v>0</v>
      </c>
      <c r="J497" s="170">
        <v>0</v>
      </c>
      <c r="K497" s="170">
        <v>0</v>
      </c>
      <c r="L497">
        <v>3.3557501239318595</v>
      </c>
      <c r="N497" s="172">
        <f>MCond(B496:D498)</f>
        <v>41.479009433576415</v>
      </c>
      <c r="S497">
        <v>280</v>
      </c>
      <c r="T497" s="35">
        <v>5.7586173410951851</v>
      </c>
    </row>
    <row r="498" spans="1:20">
      <c r="A498" s="170"/>
      <c r="B498" s="171">
        <v>0.36768865949079377</v>
      </c>
      <c r="C498" s="171">
        <v>1.2890795247765441</v>
      </c>
      <c r="D498" s="171">
        <v>0.10954983766095538</v>
      </c>
      <c r="E498" s="170">
        <v>0</v>
      </c>
      <c r="F498" s="170">
        <v>0</v>
      </c>
      <c r="G498" s="170">
        <v>-1.4990492230334603E-2</v>
      </c>
      <c r="H498" s="170">
        <v>0</v>
      </c>
      <c r="I498" s="170">
        <v>0</v>
      </c>
      <c r="J498" s="170">
        <v>0</v>
      </c>
      <c r="K498" s="170">
        <v>0</v>
      </c>
      <c r="L498">
        <v>0.90446106922389957</v>
      </c>
      <c r="N498" s="172"/>
      <c r="S498">
        <v>144</v>
      </c>
      <c r="T498" s="35">
        <v>5.6287738318733966</v>
      </c>
    </row>
    <row r="499" spans="1:20">
      <c r="A499" s="170"/>
      <c r="B499" s="171"/>
      <c r="C499" s="171"/>
      <c r="D499" s="171"/>
      <c r="E499" s="170"/>
      <c r="F499" s="170"/>
      <c r="G499" s="170"/>
      <c r="H499" s="170"/>
      <c r="I499" s="170"/>
      <c r="J499" s="170"/>
      <c r="K499" s="170"/>
      <c r="N499" s="173"/>
      <c r="S499">
        <v>278</v>
      </c>
      <c r="T499" s="35">
        <v>5.4697357909735507</v>
      </c>
    </row>
    <row r="500" spans="1:20">
      <c r="A500" s="170"/>
      <c r="B500" s="171">
        <v>0.14897154656832046</v>
      </c>
      <c r="C500" s="171">
        <v>-0.84725762547333594</v>
      </c>
      <c r="D500" s="171">
        <v>1.9759438806851826E-2</v>
      </c>
      <c r="E500" s="170">
        <v>-1.4990492230334603E-2</v>
      </c>
      <c r="F500" s="170">
        <v>0</v>
      </c>
      <c r="G500" s="170">
        <v>0</v>
      </c>
      <c r="H500" s="170">
        <v>0</v>
      </c>
      <c r="I500" s="170">
        <v>0</v>
      </c>
      <c r="J500" s="170">
        <v>0</v>
      </c>
      <c r="K500" s="170">
        <v>0</v>
      </c>
      <c r="L500">
        <v>0.37021422051581732</v>
      </c>
      <c r="N500" s="172"/>
      <c r="S500">
        <v>80</v>
      </c>
      <c r="T500" s="35">
        <v>5.4695394540896514</v>
      </c>
    </row>
    <row r="501" spans="1:20">
      <c r="A501" s="170" t="s">
        <v>336</v>
      </c>
      <c r="B501" s="171">
        <v>2.44475956514645</v>
      </c>
      <c r="C501" s="171">
        <v>-0.85548399177677847</v>
      </c>
      <c r="D501" s="171">
        <v>5.2896656816179721E-2</v>
      </c>
      <c r="E501" s="170">
        <v>0</v>
      </c>
      <c r="F501" s="170">
        <v>-1.4990492230334603E-2</v>
      </c>
      <c r="G501" s="170">
        <v>0</v>
      </c>
      <c r="H501" s="170">
        <v>0</v>
      </c>
      <c r="I501" s="170">
        <v>0</v>
      </c>
      <c r="J501" s="170">
        <v>0</v>
      </c>
      <c r="K501" s="170">
        <v>0</v>
      </c>
      <c r="L501">
        <v>3.3557501239318595</v>
      </c>
      <c r="N501" s="172">
        <f>MCond(B500:D502)</f>
        <v>298.22841835546393</v>
      </c>
      <c r="S501">
        <v>248</v>
      </c>
      <c r="T501" s="35">
        <v>5.4207004825352429</v>
      </c>
    </row>
    <row r="502" spans="1:20">
      <c r="A502" s="170"/>
      <c r="B502" s="171">
        <v>1.9865190328797109</v>
      </c>
      <c r="C502" s="171">
        <v>1.2694850305255347</v>
      </c>
      <c r="D502" s="171">
        <v>3.2127045366234341E-2</v>
      </c>
      <c r="E502" s="170">
        <v>0</v>
      </c>
      <c r="F502" s="170">
        <v>0</v>
      </c>
      <c r="G502" s="170">
        <v>-1.4990492230334603E-2</v>
      </c>
      <c r="H502" s="170">
        <v>0</v>
      </c>
      <c r="I502" s="170">
        <v>0</v>
      </c>
      <c r="J502" s="170">
        <v>0</v>
      </c>
      <c r="K502" s="170">
        <v>0</v>
      </c>
      <c r="L502">
        <v>2.779441128882862</v>
      </c>
      <c r="N502" s="172"/>
      <c r="S502">
        <v>194</v>
      </c>
      <c r="T502" s="35">
        <v>5.3867085530333512</v>
      </c>
    </row>
    <row r="503" spans="1:20">
      <c r="A503" s="170"/>
      <c r="B503" s="171"/>
      <c r="C503" s="171"/>
      <c r="D503" s="171"/>
      <c r="E503" s="170"/>
      <c r="F503" s="170"/>
      <c r="G503" s="170"/>
      <c r="H503" s="170"/>
      <c r="I503" s="170"/>
      <c r="J503" s="170"/>
      <c r="K503" s="170"/>
      <c r="N503" s="173"/>
      <c r="S503">
        <v>6</v>
      </c>
      <c r="T503" s="35">
        <v>5.3803548414248699</v>
      </c>
    </row>
    <row r="504" spans="1:20">
      <c r="A504" s="170"/>
      <c r="B504" s="171">
        <v>0.14897154656832046</v>
      </c>
      <c r="C504" s="171">
        <v>-0.84725762547333594</v>
      </c>
      <c r="D504" s="171">
        <v>1.9759438806851826E-2</v>
      </c>
      <c r="E504" s="170">
        <v>-1.4990492230334603E-2</v>
      </c>
      <c r="F504" s="170">
        <v>0</v>
      </c>
      <c r="G504" s="170">
        <v>0</v>
      </c>
      <c r="H504" s="170">
        <v>0</v>
      </c>
      <c r="I504" s="170">
        <v>0</v>
      </c>
      <c r="J504" s="170">
        <v>0</v>
      </c>
      <c r="K504" s="170">
        <v>0</v>
      </c>
      <c r="L504">
        <v>0.37021422051581732</v>
      </c>
      <c r="N504" s="172"/>
      <c r="S504">
        <v>73</v>
      </c>
      <c r="T504" s="35">
        <v>5.3446407282175681</v>
      </c>
    </row>
    <row r="505" spans="1:20">
      <c r="A505" s="170" t="s">
        <v>337</v>
      </c>
      <c r="B505" s="171">
        <v>2.44475956514645</v>
      </c>
      <c r="C505" s="171">
        <v>-0.85548399177677847</v>
      </c>
      <c r="D505" s="171">
        <v>5.2896656816179721E-2</v>
      </c>
      <c r="E505" s="170">
        <v>0</v>
      </c>
      <c r="F505" s="170">
        <v>-1.4990492230334603E-2</v>
      </c>
      <c r="G505" s="170">
        <v>0</v>
      </c>
      <c r="H505" s="170">
        <v>0</v>
      </c>
      <c r="I505" s="170">
        <v>0</v>
      </c>
      <c r="J505" s="170">
        <v>0</v>
      </c>
      <c r="K505" s="170">
        <v>0</v>
      </c>
      <c r="L505">
        <v>3.3557501239318595</v>
      </c>
      <c r="N505" s="172">
        <f>MCond(B504:D506)</f>
        <v>13.015143058743432</v>
      </c>
      <c r="S505">
        <v>41</v>
      </c>
      <c r="T505" s="35">
        <v>5.3206171986713269</v>
      </c>
    </row>
    <row r="506" spans="1:20">
      <c r="A506" s="170"/>
      <c r="B506" s="171">
        <v>1.3773893306068323</v>
      </c>
      <c r="C506" s="171">
        <v>1.5521003879162059</v>
      </c>
      <c r="D506" s="171">
        <v>-0.65590292152571228</v>
      </c>
      <c r="E506" s="170">
        <v>0</v>
      </c>
      <c r="F506" s="170">
        <v>0</v>
      </c>
      <c r="G506" s="170">
        <v>-1.4990492230334603E-2</v>
      </c>
      <c r="H506" s="170">
        <v>0</v>
      </c>
      <c r="I506" s="170">
        <v>0</v>
      </c>
      <c r="J506" s="170">
        <v>0</v>
      </c>
      <c r="K506" s="170">
        <v>0</v>
      </c>
      <c r="L506">
        <v>2.3682128123525694</v>
      </c>
      <c r="N506" s="172"/>
      <c r="S506">
        <v>39</v>
      </c>
      <c r="T506" s="35">
        <v>5.3172710655545243</v>
      </c>
    </row>
    <row r="507" spans="1:20">
      <c r="A507" s="170"/>
      <c r="B507" s="171"/>
      <c r="C507" s="171"/>
      <c r="D507" s="171"/>
      <c r="E507" s="170"/>
      <c r="F507" s="170"/>
      <c r="G507" s="170"/>
      <c r="H507" s="170"/>
      <c r="I507" s="170"/>
      <c r="J507" s="170"/>
      <c r="K507" s="170"/>
      <c r="N507" s="173"/>
      <c r="S507">
        <v>273</v>
      </c>
      <c r="T507" s="35">
        <v>5.3162933238372769</v>
      </c>
    </row>
    <row r="508" spans="1:20">
      <c r="A508" s="170"/>
      <c r="B508" s="171">
        <v>0.14897154656832046</v>
      </c>
      <c r="C508" s="171">
        <v>-0.84725762547333594</v>
      </c>
      <c r="D508" s="171">
        <v>1.9759438806851826E-2</v>
      </c>
      <c r="E508" s="170">
        <v>-1.4990492230334603E-2</v>
      </c>
      <c r="F508" s="170">
        <v>0</v>
      </c>
      <c r="G508" s="170">
        <v>0</v>
      </c>
      <c r="H508" s="170">
        <v>0</v>
      </c>
      <c r="I508" s="170">
        <v>0</v>
      </c>
      <c r="J508" s="170">
        <v>0</v>
      </c>
      <c r="K508" s="170">
        <v>0</v>
      </c>
      <c r="L508">
        <v>0.37021422051581732</v>
      </c>
      <c r="N508" s="172"/>
      <c r="S508">
        <v>31</v>
      </c>
      <c r="T508" s="35">
        <v>5.3134649198272017</v>
      </c>
    </row>
    <row r="509" spans="1:20">
      <c r="A509" s="170" t="s">
        <v>338</v>
      </c>
      <c r="B509" s="171">
        <v>2.8449497700634536</v>
      </c>
      <c r="C509" s="171">
        <v>0.22852225552422287</v>
      </c>
      <c r="D509" s="171">
        <v>6.9737163040410666E-2</v>
      </c>
      <c r="E509" s="170">
        <v>0</v>
      </c>
      <c r="F509" s="170">
        <v>-1.4990492230334603E-2</v>
      </c>
      <c r="G509" s="170">
        <v>0</v>
      </c>
      <c r="H509" s="170">
        <v>0</v>
      </c>
      <c r="I509" s="170">
        <v>0</v>
      </c>
      <c r="J509" s="170">
        <v>0</v>
      </c>
      <c r="K509" s="170">
        <v>0</v>
      </c>
      <c r="L509">
        <v>4.0754124436814498</v>
      </c>
      <c r="N509" s="172">
        <f>MCond(B508:D510)</f>
        <v>41.827755997562726</v>
      </c>
      <c r="S509">
        <v>229</v>
      </c>
      <c r="T509" s="35">
        <v>5.2672257276525398</v>
      </c>
    </row>
    <row r="510" spans="1:20">
      <c r="A510" s="170"/>
      <c r="B510" s="171">
        <v>0.36768865949079377</v>
      </c>
      <c r="C510" s="171">
        <v>1.2890795247765441</v>
      </c>
      <c r="D510" s="171">
        <v>0.10954983766095538</v>
      </c>
      <c r="E510" s="170">
        <v>0</v>
      </c>
      <c r="F510" s="170">
        <v>0</v>
      </c>
      <c r="G510" s="170">
        <v>-1.4990492230334603E-2</v>
      </c>
      <c r="H510" s="170">
        <v>0</v>
      </c>
      <c r="I510" s="170">
        <v>0</v>
      </c>
      <c r="J510" s="170">
        <v>0</v>
      </c>
      <c r="K510" s="170">
        <v>0</v>
      </c>
      <c r="L510">
        <v>0.90446106922389957</v>
      </c>
      <c r="N510" s="172"/>
      <c r="S510">
        <v>106</v>
      </c>
      <c r="T510" s="35">
        <v>5.2226620862837869</v>
      </c>
    </row>
    <row r="511" spans="1:20">
      <c r="A511" s="170"/>
      <c r="B511" s="171"/>
      <c r="C511" s="171"/>
      <c r="D511" s="171"/>
      <c r="E511" s="170"/>
      <c r="F511" s="170"/>
      <c r="G511" s="170"/>
      <c r="H511" s="170"/>
      <c r="I511" s="170"/>
      <c r="J511" s="170"/>
      <c r="K511" s="170"/>
      <c r="N511" s="173"/>
      <c r="S511">
        <v>40</v>
      </c>
      <c r="T511" s="35">
        <v>5.1746470606257837</v>
      </c>
    </row>
    <row r="512" spans="1:20">
      <c r="A512" s="170"/>
      <c r="B512" s="171">
        <v>0.14897154656832046</v>
      </c>
      <c r="C512" s="171">
        <v>-0.84725762547333594</v>
      </c>
      <c r="D512" s="171">
        <v>1.9759438806851826E-2</v>
      </c>
      <c r="E512" s="170">
        <v>-1.4990492230334603E-2</v>
      </c>
      <c r="F512" s="170">
        <v>0</v>
      </c>
      <c r="G512" s="170">
        <v>0</v>
      </c>
      <c r="H512" s="170">
        <v>0</v>
      </c>
      <c r="I512" s="170">
        <v>0</v>
      </c>
      <c r="J512" s="170">
        <v>0</v>
      </c>
      <c r="K512" s="170">
        <v>0</v>
      </c>
      <c r="L512">
        <v>0.37021422051581732</v>
      </c>
      <c r="N512" s="172"/>
      <c r="S512">
        <v>45</v>
      </c>
      <c r="T512" s="35">
        <v>5.1709959027855508</v>
      </c>
    </row>
    <row r="513" spans="1:20">
      <c r="A513" s="170" t="s">
        <v>339</v>
      </c>
      <c r="B513" s="171">
        <v>2.8449497700634536</v>
      </c>
      <c r="C513" s="171">
        <v>0.22852225552422287</v>
      </c>
      <c r="D513" s="171">
        <v>6.9737163040410666E-2</v>
      </c>
      <c r="E513" s="170">
        <v>0</v>
      </c>
      <c r="F513" s="170">
        <v>-1.4990492230334603E-2</v>
      </c>
      <c r="G513" s="170">
        <v>0</v>
      </c>
      <c r="H513" s="170">
        <v>0</v>
      </c>
      <c r="I513" s="170">
        <v>0</v>
      </c>
      <c r="J513" s="170">
        <v>0</v>
      </c>
      <c r="K513" s="170">
        <v>0</v>
      </c>
      <c r="L513">
        <v>4.0754124436814498</v>
      </c>
      <c r="N513" s="172">
        <f>MCond(B512:D514)</f>
        <v>1531.9211719884818</v>
      </c>
      <c r="S513">
        <v>203</v>
      </c>
      <c r="T513" s="35">
        <v>5.155149298810846</v>
      </c>
    </row>
    <row r="514" spans="1:20">
      <c r="A514" s="170"/>
      <c r="B514" s="171">
        <v>1.9865190328797109</v>
      </c>
      <c r="C514" s="171">
        <v>1.2694850305255347</v>
      </c>
      <c r="D514" s="171">
        <v>3.2127045366234341E-2</v>
      </c>
      <c r="E514" s="170">
        <v>0</v>
      </c>
      <c r="F514" s="170">
        <v>0</v>
      </c>
      <c r="G514" s="170">
        <v>-1.4990492230334603E-2</v>
      </c>
      <c r="H514" s="170">
        <v>0</v>
      </c>
      <c r="I514" s="170">
        <v>0</v>
      </c>
      <c r="J514" s="170">
        <v>0</v>
      </c>
      <c r="K514" s="170">
        <v>0</v>
      </c>
      <c r="L514">
        <v>2.779441128882862</v>
      </c>
      <c r="N514" s="172"/>
      <c r="S514">
        <v>112</v>
      </c>
      <c r="T514" s="35">
        <v>5.1437331426071831</v>
      </c>
    </row>
    <row r="515" spans="1:20">
      <c r="A515" s="170"/>
      <c r="B515" s="171"/>
      <c r="C515" s="171"/>
      <c r="D515" s="171"/>
      <c r="E515" s="170"/>
      <c r="F515" s="170"/>
      <c r="G515" s="170"/>
      <c r="H515" s="170"/>
      <c r="I515" s="170"/>
      <c r="J515" s="170"/>
      <c r="K515" s="170"/>
      <c r="N515" s="173"/>
      <c r="S515">
        <v>120</v>
      </c>
      <c r="T515" s="35">
        <v>5.1208665031360203</v>
      </c>
    </row>
    <row r="516" spans="1:20">
      <c r="A516" s="170"/>
      <c r="B516" s="171">
        <v>0.14897154656832046</v>
      </c>
      <c r="C516" s="171">
        <v>-0.84725762547333594</v>
      </c>
      <c r="D516" s="171">
        <v>1.9759438806851826E-2</v>
      </c>
      <c r="E516" s="170">
        <v>-1.4990492230334603E-2</v>
      </c>
      <c r="F516" s="170">
        <v>0</v>
      </c>
      <c r="G516" s="170">
        <v>0</v>
      </c>
      <c r="H516" s="170">
        <v>0</v>
      </c>
      <c r="I516" s="170">
        <v>0</v>
      </c>
      <c r="J516" s="170">
        <v>0</v>
      </c>
      <c r="K516" s="170">
        <v>0</v>
      </c>
      <c r="L516">
        <v>0.37021422051581732</v>
      </c>
      <c r="N516" s="172"/>
      <c r="S516">
        <v>47</v>
      </c>
      <c r="T516" s="35">
        <v>5.020555181865034</v>
      </c>
    </row>
    <row r="517" spans="1:20">
      <c r="A517" s="170" t="s">
        <v>340</v>
      </c>
      <c r="B517" s="171">
        <v>2.8449497700634536</v>
      </c>
      <c r="C517" s="171">
        <v>0.22852225552422287</v>
      </c>
      <c r="D517" s="171">
        <v>6.9737163040410666E-2</v>
      </c>
      <c r="E517" s="170">
        <v>0</v>
      </c>
      <c r="F517" s="170">
        <v>-1.4990492230334603E-2</v>
      </c>
      <c r="G517" s="170">
        <v>0</v>
      </c>
      <c r="H517" s="170">
        <v>0</v>
      </c>
      <c r="I517" s="170">
        <v>0</v>
      </c>
      <c r="J517" s="170">
        <v>0</v>
      </c>
      <c r="K517" s="170">
        <v>0</v>
      </c>
      <c r="L517">
        <v>4.0754124436814498</v>
      </c>
      <c r="N517" s="172">
        <f>MCond(B516:D518)</f>
        <v>10.782827837381458</v>
      </c>
      <c r="S517">
        <v>244</v>
      </c>
      <c r="T517" s="35">
        <v>4.9236532994760909</v>
      </c>
    </row>
    <row r="518" spans="1:20">
      <c r="A518" s="170"/>
      <c r="B518" s="171">
        <v>1.3773893306068323</v>
      </c>
      <c r="C518" s="171">
        <v>1.5521003879162059</v>
      </c>
      <c r="D518" s="171">
        <v>-0.65590292152571228</v>
      </c>
      <c r="E518" s="170">
        <v>0</v>
      </c>
      <c r="F518" s="170">
        <v>0</v>
      </c>
      <c r="G518" s="170">
        <v>-1.4990492230334603E-2</v>
      </c>
      <c r="H518" s="170">
        <v>0</v>
      </c>
      <c r="I518" s="170">
        <v>0</v>
      </c>
      <c r="J518" s="170">
        <v>0</v>
      </c>
      <c r="K518" s="170">
        <v>0</v>
      </c>
      <c r="L518">
        <v>2.3682128123525694</v>
      </c>
      <c r="N518" s="172"/>
      <c r="S518">
        <v>145</v>
      </c>
      <c r="T518" s="35">
        <v>4.9007064832167684</v>
      </c>
    </row>
    <row r="519" spans="1:20">
      <c r="A519" s="170"/>
      <c r="B519" s="171"/>
      <c r="C519" s="171"/>
      <c r="D519" s="171"/>
      <c r="E519" s="170"/>
      <c r="F519" s="170"/>
      <c r="G519" s="170"/>
      <c r="H519" s="170"/>
      <c r="I519" s="170"/>
      <c r="J519" s="170"/>
      <c r="K519" s="170"/>
      <c r="N519" s="173"/>
      <c r="S519">
        <v>15</v>
      </c>
      <c r="T519" s="35">
        <v>4.8602217427722341</v>
      </c>
    </row>
    <row r="520" spans="1:20">
      <c r="A520" s="170"/>
      <c r="B520" s="171">
        <v>0.14897154656832046</v>
      </c>
      <c r="C520" s="171">
        <v>-0.84725762547333594</v>
      </c>
      <c r="D520" s="171">
        <v>1.9759438806851826E-2</v>
      </c>
      <c r="E520" s="170">
        <v>-1.4990492230334603E-2</v>
      </c>
      <c r="F520" s="170">
        <v>0</v>
      </c>
      <c r="G520" s="170">
        <v>0</v>
      </c>
      <c r="H520" s="170">
        <v>0</v>
      </c>
      <c r="I520" s="170">
        <v>0</v>
      </c>
      <c r="J520" s="170">
        <v>0</v>
      </c>
      <c r="K520" s="170">
        <v>0</v>
      </c>
      <c r="L520">
        <v>0.37021422051581732</v>
      </c>
      <c r="N520" s="172"/>
      <c r="S520">
        <v>234</v>
      </c>
      <c r="T520" s="35">
        <v>4.8522872767527137</v>
      </c>
    </row>
    <row r="521" spans="1:20">
      <c r="A521" s="170" t="s">
        <v>341</v>
      </c>
      <c r="B521" s="171">
        <v>0.36768865949079377</v>
      </c>
      <c r="C521" s="171">
        <v>1.2890795247765441</v>
      </c>
      <c r="D521" s="171">
        <v>0.10954983766095538</v>
      </c>
      <c r="E521" s="170">
        <v>0</v>
      </c>
      <c r="F521" s="170">
        <v>-1.4990492230334603E-2</v>
      </c>
      <c r="G521" s="170">
        <v>0</v>
      </c>
      <c r="H521" s="170">
        <v>0</v>
      </c>
      <c r="I521" s="170">
        <v>0</v>
      </c>
      <c r="J521" s="170">
        <v>0</v>
      </c>
      <c r="K521" s="170">
        <v>0</v>
      </c>
      <c r="L521">
        <v>0.90446106922389957</v>
      </c>
      <c r="N521" s="172">
        <f>MCond(B520:D522)</f>
        <v>32.637782807572336</v>
      </c>
      <c r="S521">
        <v>235</v>
      </c>
      <c r="T521" s="35">
        <v>4.8511161019732283</v>
      </c>
    </row>
    <row r="522" spans="1:20">
      <c r="A522" s="170"/>
      <c r="B522" s="171">
        <v>1.9865190328797109</v>
      </c>
      <c r="C522" s="171">
        <v>1.2694850305255347</v>
      </c>
      <c r="D522" s="171">
        <v>3.2127045366234341E-2</v>
      </c>
      <c r="E522" s="170">
        <v>0</v>
      </c>
      <c r="F522" s="170">
        <v>0</v>
      </c>
      <c r="G522" s="170">
        <v>-1.4990492230334603E-2</v>
      </c>
      <c r="H522" s="170">
        <v>0</v>
      </c>
      <c r="I522" s="170">
        <v>0</v>
      </c>
      <c r="J522" s="170">
        <v>0</v>
      </c>
      <c r="K522" s="170">
        <v>0</v>
      </c>
      <c r="L522">
        <v>2.779441128882862</v>
      </c>
      <c r="N522" s="172"/>
      <c r="S522">
        <v>75</v>
      </c>
      <c r="T522" s="35">
        <v>4.8270811041221897</v>
      </c>
    </row>
    <row r="523" spans="1:20">
      <c r="A523" s="170"/>
      <c r="B523" s="171"/>
      <c r="C523" s="171"/>
      <c r="D523" s="171"/>
      <c r="E523" s="170"/>
      <c r="F523" s="170"/>
      <c r="G523" s="170"/>
      <c r="H523" s="170"/>
      <c r="I523" s="170"/>
      <c r="J523" s="170"/>
      <c r="K523" s="170"/>
      <c r="N523" s="173"/>
      <c r="S523">
        <v>79</v>
      </c>
      <c r="T523" s="35">
        <v>4.8011093563140337</v>
      </c>
    </row>
    <row r="524" spans="1:20">
      <c r="A524" s="170"/>
      <c r="B524" s="171">
        <v>0.14897154656832046</v>
      </c>
      <c r="C524" s="171">
        <v>-0.84725762547333594</v>
      </c>
      <c r="D524" s="171">
        <v>1.9759438806851826E-2</v>
      </c>
      <c r="E524" s="170">
        <v>-1.4990492230334603E-2</v>
      </c>
      <c r="F524" s="170">
        <v>0</v>
      </c>
      <c r="G524" s="170">
        <v>0</v>
      </c>
      <c r="H524" s="170">
        <v>0</v>
      </c>
      <c r="I524" s="170">
        <v>0</v>
      </c>
      <c r="J524" s="170">
        <v>0</v>
      </c>
      <c r="K524" s="170">
        <v>0</v>
      </c>
      <c r="L524">
        <v>0.37021422051581732</v>
      </c>
      <c r="N524" s="172"/>
      <c r="S524">
        <v>33</v>
      </c>
      <c r="T524" s="35">
        <v>4.7248309144760778</v>
      </c>
    </row>
    <row r="525" spans="1:20">
      <c r="A525" s="170" t="s">
        <v>342</v>
      </c>
      <c r="B525" s="171">
        <v>0.36768865949079377</v>
      </c>
      <c r="C525" s="171">
        <v>1.2890795247765441</v>
      </c>
      <c r="D525" s="171">
        <v>0.10954983766095538</v>
      </c>
      <c r="E525" s="170">
        <v>0</v>
      </c>
      <c r="F525" s="170">
        <v>-1.4990492230334603E-2</v>
      </c>
      <c r="G525" s="170">
        <v>0</v>
      </c>
      <c r="H525" s="170">
        <v>0</v>
      </c>
      <c r="I525" s="170">
        <v>0</v>
      </c>
      <c r="J525" s="170">
        <v>0</v>
      </c>
      <c r="K525" s="170">
        <v>0</v>
      </c>
      <c r="L525">
        <v>0.90446106922389957</v>
      </c>
      <c r="N525" s="172">
        <f>MCond(B524:D526)</f>
        <v>10.964478005785088</v>
      </c>
      <c r="S525">
        <v>114</v>
      </c>
      <c r="T525" s="35">
        <v>4.7138939593144054</v>
      </c>
    </row>
    <row r="526" spans="1:20">
      <c r="A526" s="170"/>
      <c r="B526" s="171">
        <v>1.3773893306068323</v>
      </c>
      <c r="C526" s="171">
        <v>1.5521003879162059</v>
      </c>
      <c r="D526" s="171">
        <v>-0.65590292152571228</v>
      </c>
      <c r="E526" s="170">
        <v>0</v>
      </c>
      <c r="F526" s="170">
        <v>0</v>
      </c>
      <c r="G526" s="170">
        <v>-1.4990492230334603E-2</v>
      </c>
      <c r="H526" s="170">
        <v>0</v>
      </c>
      <c r="I526" s="170">
        <v>0</v>
      </c>
      <c r="J526" s="170">
        <v>0</v>
      </c>
      <c r="K526" s="170">
        <v>0</v>
      </c>
      <c r="L526">
        <v>2.3682128123525694</v>
      </c>
      <c r="N526" s="172"/>
      <c r="S526">
        <v>84</v>
      </c>
      <c r="T526" s="35">
        <v>4.7098691394570427</v>
      </c>
    </row>
    <row r="527" spans="1:20">
      <c r="A527" s="170"/>
      <c r="B527" s="171"/>
      <c r="C527" s="171"/>
      <c r="D527" s="171"/>
      <c r="E527" s="170"/>
      <c r="F527" s="170"/>
      <c r="G527" s="170"/>
      <c r="H527" s="170"/>
      <c r="I527" s="170"/>
      <c r="J527" s="170"/>
      <c r="K527" s="170"/>
      <c r="N527" s="173"/>
      <c r="S527">
        <v>78</v>
      </c>
      <c r="T527" s="35">
        <v>4.6643551181710254</v>
      </c>
    </row>
    <row r="528" spans="1:20">
      <c r="A528" s="170"/>
      <c r="B528" s="171">
        <v>0.14897154656832046</v>
      </c>
      <c r="C528" s="171">
        <v>-0.84725762547333594</v>
      </c>
      <c r="D528" s="171">
        <v>1.9759438806851826E-2</v>
      </c>
      <c r="E528" s="170">
        <v>-1.4990492230334603E-2</v>
      </c>
      <c r="F528" s="170">
        <v>0</v>
      </c>
      <c r="G528" s="170">
        <v>0</v>
      </c>
      <c r="H528" s="170">
        <v>0</v>
      </c>
      <c r="I528" s="170">
        <v>0</v>
      </c>
      <c r="J528" s="170">
        <v>0</v>
      </c>
      <c r="K528" s="170">
        <v>0</v>
      </c>
      <c r="L528">
        <v>0.37021422051581732</v>
      </c>
      <c r="N528" s="172"/>
      <c r="S528">
        <v>17</v>
      </c>
      <c r="T528" s="35">
        <v>4.6589206831506358</v>
      </c>
    </row>
    <row r="529" spans="1:20">
      <c r="A529" s="170" t="s">
        <v>343</v>
      </c>
      <c r="B529" s="171">
        <v>1.9865190328797109</v>
      </c>
      <c r="C529" s="171">
        <v>1.2694850305255347</v>
      </c>
      <c r="D529" s="171">
        <v>3.2127045366234341E-2</v>
      </c>
      <c r="E529" s="170">
        <v>0</v>
      </c>
      <c r="F529" s="170">
        <v>-1.4990492230334603E-2</v>
      </c>
      <c r="G529" s="170">
        <v>0</v>
      </c>
      <c r="H529" s="170">
        <v>0</v>
      </c>
      <c r="I529" s="170">
        <v>0</v>
      </c>
      <c r="J529" s="170">
        <v>0</v>
      </c>
      <c r="K529" s="170">
        <v>0</v>
      </c>
      <c r="L529">
        <v>2.779441128882862</v>
      </c>
      <c r="N529" s="172">
        <f>MCond(B528:D530)</f>
        <v>7.2055376032001162</v>
      </c>
      <c r="S529">
        <v>184</v>
      </c>
      <c r="T529" s="35">
        <v>4.638002539904412</v>
      </c>
    </row>
    <row r="530" spans="1:20">
      <c r="A530" s="170"/>
      <c r="B530" s="171">
        <v>1.3773893306068323</v>
      </c>
      <c r="C530" s="171">
        <v>1.5521003879162059</v>
      </c>
      <c r="D530" s="171">
        <v>-0.65590292152571228</v>
      </c>
      <c r="E530" s="170">
        <v>0</v>
      </c>
      <c r="F530" s="170">
        <v>0</v>
      </c>
      <c r="G530" s="170">
        <v>-1.4990492230334603E-2</v>
      </c>
      <c r="H530" s="170">
        <v>0</v>
      </c>
      <c r="I530" s="170">
        <v>0</v>
      </c>
      <c r="J530" s="170">
        <v>0</v>
      </c>
      <c r="K530" s="170">
        <v>0</v>
      </c>
      <c r="L530">
        <v>2.3682128123525694</v>
      </c>
      <c r="N530" s="172"/>
      <c r="S530">
        <v>154</v>
      </c>
      <c r="T530" s="35">
        <v>4.5861496106463111</v>
      </c>
    </row>
    <row r="531" spans="1:20">
      <c r="A531" s="170"/>
      <c r="B531" s="171"/>
      <c r="C531" s="171"/>
      <c r="D531" s="171"/>
      <c r="E531" s="170"/>
      <c r="F531" s="170"/>
      <c r="G531" s="170"/>
      <c r="H531" s="170"/>
      <c r="I531" s="170"/>
      <c r="J531" s="170"/>
      <c r="K531" s="170"/>
      <c r="N531" s="173"/>
      <c r="S531">
        <v>11</v>
      </c>
      <c r="T531" s="35">
        <v>4.497468867237159</v>
      </c>
    </row>
    <row r="532" spans="1:20">
      <c r="A532" s="170"/>
      <c r="B532" s="171">
        <v>2.44475956514645</v>
      </c>
      <c r="C532" s="171">
        <v>-0.85548399177677847</v>
      </c>
      <c r="D532" s="171">
        <v>5.2896656816179721E-2</v>
      </c>
      <c r="E532" s="170">
        <v>-1.4990492230334603E-2</v>
      </c>
      <c r="F532" s="170">
        <v>0</v>
      </c>
      <c r="G532" s="170">
        <v>0</v>
      </c>
      <c r="H532" s="170">
        <v>2.1174072073315828E-2</v>
      </c>
      <c r="I532" s="170">
        <v>-5.8370098634356792E-2</v>
      </c>
      <c r="J532" s="170">
        <v>0</v>
      </c>
      <c r="K532" s="170">
        <v>0</v>
      </c>
      <c r="L532">
        <v>3.3557501239318595</v>
      </c>
      <c r="N532" s="172"/>
      <c r="S532">
        <v>152</v>
      </c>
      <c r="T532" s="35">
        <v>4.4471433415054369</v>
      </c>
    </row>
    <row r="533" spans="1:20">
      <c r="A533" s="170" t="s">
        <v>344</v>
      </c>
      <c r="B533" s="171">
        <v>2.8449497700634536</v>
      </c>
      <c r="C533" s="171">
        <v>0.22852225552422287</v>
      </c>
      <c r="D533" s="171">
        <v>6.9737163040410666E-2</v>
      </c>
      <c r="E533" s="170">
        <v>0</v>
      </c>
      <c r="F533" s="170">
        <v>-1.4990492230334603E-2</v>
      </c>
      <c r="G533" s="170">
        <v>0</v>
      </c>
      <c r="H533" s="170">
        <v>2.1174072073315828E-2</v>
      </c>
      <c r="I533" s="170">
        <v>0</v>
      </c>
      <c r="J533" s="170">
        <v>6.8827960560405646E-2</v>
      </c>
      <c r="K533" s="170">
        <v>0</v>
      </c>
      <c r="L533">
        <v>4.0754124436814498</v>
      </c>
      <c r="N533" s="172">
        <f>MCond(B532:D534)</f>
        <v>79.914011691529879</v>
      </c>
      <c r="S533">
        <v>277</v>
      </c>
      <c r="T533" s="35">
        <v>4.4300562065933597</v>
      </c>
    </row>
    <row r="534" spans="1:20">
      <c r="A534" s="170"/>
      <c r="B534" s="171">
        <v>0.36768865949079377</v>
      </c>
      <c r="C534" s="171">
        <v>1.2890795247765441</v>
      </c>
      <c r="D534" s="171">
        <v>0.10954983766095538</v>
      </c>
      <c r="E534" s="170">
        <v>0</v>
      </c>
      <c r="F534" s="170">
        <v>0</v>
      </c>
      <c r="G534" s="170">
        <v>-1.4990492230334603E-2</v>
      </c>
      <c r="H534" s="170">
        <v>2.1174072073315828E-2</v>
      </c>
      <c r="I534" s="170">
        <v>0</v>
      </c>
      <c r="J534" s="170">
        <v>0</v>
      </c>
      <c r="K534" s="170">
        <v>0.18191808401017825</v>
      </c>
      <c r="L534">
        <v>0.90446106922389957</v>
      </c>
      <c r="N534" s="172"/>
      <c r="S534">
        <v>190</v>
      </c>
      <c r="T534" s="35">
        <v>4.3704074811251417</v>
      </c>
    </row>
    <row r="535" spans="1:20">
      <c r="A535" s="170"/>
      <c r="B535" s="171"/>
      <c r="C535" s="171"/>
      <c r="D535" s="171"/>
      <c r="E535" s="170"/>
      <c r="F535" s="170"/>
      <c r="G535" s="170"/>
      <c r="H535" s="170"/>
      <c r="I535" s="170"/>
      <c r="J535" s="170"/>
      <c r="K535" s="170"/>
      <c r="N535" s="173"/>
      <c r="S535">
        <v>253</v>
      </c>
      <c r="T535" s="35">
        <v>4.3649803826438793</v>
      </c>
    </row>
    <row r="536" spans="1:20">
      <c r="A536" s="170"/>
      <c r="B536" s="171">
        <v>2.44475956514645</v>
      </c>
      <c r="C536" s="171">
        <v>-0.85548399177677847</v>
      </c>
      <c r="D536" s="171">
        <v>5.2896656816179721E-2</v>
      </c>
      <c r="E536" s="170">
        <v>-1.4990492230334603E-2</v>
      </c>
      <c r="F536" s="170">
        <v>0</v>
      </c>
      <c r="G536" s="170">
        <v>0</v>
      </c>
      <c r="H536" s="170">
        <v>0</v>
      </c>
      <c r="I536" s="170">
        <v>0</v>
      </c>
      <c r="J536" s="170">
        <v>0</v>
      </c>
      <c r="K536" s="170">
        <v>0</v>
      </c>
      <c r="L536">
        <v>3.3557501239318595</v>
      </c>
      <c r="N536" s="172"/>
      <c r="S536">
        <v>268</v>
      </c>
      <c r="T536" s="35">
        <v>4.3639483646416055</v>
      </c>
    </row>
    <row r="537" spans="1:20">
      <c r="A537" s="170" t="s">
        <v>345</v>
      </c>
      <c r="B537" s="171">
        <v>2.8449497700634536</v>
      </c>
      <c r="C537" s="171">
        <v>0.22852225552422287</v>
      </c>
      <c r="D537" s="171">
        <v>6.9737163040410666E-2</v>
      </c>
      <c r="E537" s="170">
        <v>0</v>
      </c>
      <c r="F537" s="170">
        <v>-1.4990492230334603E-2</v>
      </c>
      <c r="G537" s="170">
        <v>0</v>
      </c>
      <c r="H537" s="170">
        <v>0</v>
      </c>
      <c r="I537" s="170">
        <v>0</v>
      </c>
      <c r="J537" s="170">
        <v>0</v>
      </c>
      <c r="K537" s="170">
        <v>0</v>
      </c>
      <c r="L537">
        <v>4.0754124436814498</v>
      </c>
      <c r="N537" s="172">
        <f>MCond(B536:D538)</f>
        <v>384.18771801649655</v>
      </c>
      <c r="S537">
        <v>117</v>
      </c>
      <c r="T537" s="35">
        <v>4.292123906712999</v>
      </c>
    </row>
    <row r="538" spans="1:20">
      <c r="A538" s="170"/>
      <c r="B538" s="171">
        <v>1.9865190328797109</v>
      </c>
      <c r="C538" s="171">
        <v>1.2694850305255347</v>
      </c>
      <c r="D538" s="171">
        <v>3.2127045366234341E-2</v>
      </c>
      <c r="E538" s="170">
        <v>0</v>
      </c>
      <c r="F538" s="170">
        <v>0</v>
      </c>
      <c r="G538" s="170">
        <v>-1.4990492230334603E-2</v>
      </c>
      <c r="H538" s="170">
        <v>0</v>
      </c>
      <c r="I538" s="170">
        <v>0</v>
      </c>
      <c r="J538" s="170">
        <v>0</v>
      </c>
      <c r="K538" s="170">
        <v>0</v>
      </c>
      <c r="L538">
        <v>2.779441128882862</v>
      </c>
      <c r="N538" s="172"/>
      <c r="S538">
        <v>250</v>
      </c>
      <c r="T538" s="35">
        <v>4.2840265157871062</v>
      </c>
    </row>
    <row r="539" spans="1:20">
      <c r="A539" s="170"/>
      <c r="B539" s="171"/>
      <c r="C539" s="171"/>
      <c r="D539" s="171"/>
      <c r="E539" s="170"/>
      <c r="F539" s="170"/>
      <c r="G539" s="170"/>
      <c r="H539" s="170"/>
      <c r="I539" s="170"/>
      <c r="J539" s="170"/>
      <c r="K539" s="170"/>
      <c r="N539" s="173"/>
      <c r="S539">
        <v>199</v>
      </c>
      <c r="T539" s="35">
        <v>4.2325598033353158</v>
      </c>
    </row>
    <row r="540" spans="1:20">
      <c r="A540" s="170"/>
      <c r="B540" s="171">
        <v>2.44475956514645</v>
      </c>
      <c r="C540" s="171">
        <v>-0.85548399177677847</v>
      </c>
      <c r="D540" s="171">
        <v>5.2896656816179721E-2</v>
      </c>
      <c r="E540" s="170">
        <v>-1.4990492230334603E-2</v>
      </c>
      <c r="F540" s="170">
        <v>0</v>
      </c>
      <c r="G540" s="170">
        <v>0</v>
      </c>
      <c r="H540" s="170">
        <v>2.1174072073315828E-2</v>
      </c>
      <c r="I540" s="170">
        <v>-5.8370098634356792E-2</v>
      </c>
      <c r="J540" s="170">
        <v>0</v>
      </c>
      <c r="K540" s="170">
        <v>0</v>
      </c>
      <c r="L540">
        <v>3.3557501239318595</v>
      </c>
      <c r="N540" s="172"/>
      <c r="S540">
        <v>76</v>
      </c>
      <c r="T540" s="35">
        <v>4.2243239500446652</v>
      </c>
    </row>
    <row r="541" spans="1:20">
      <c r="A541" s="170" t="s">
        <v>346</v>
      </c>
      <c r="B541" s="171">
        <v>2.8449497700634536</v>
      </c>
      <c r="C541" s="171">
        <v>0.22852225552422287</v>
      </c>
      <c r="D541" s="171">
        <v>6.9737163040410666E-2</v>
      </c>
      <c r="E541" s="170">
        <v>0</v>
      </c>
      <c r="F541" s="170">
        <v>-1.4990492230334603E-2</v>
      </c>
      <c r="G541" s="170">
        <v>0</v>
      </c>
      <c r="H541" s="170">
        <v>2.1174072073315828E-2</v>
      </c>
      <c r="I541" s="170">
        <v>0</v>
      </c>
      <c r="J541" s="170">
        <v>6.8827960560405646E-2</v>
      </c>
      <c r="K541" s="170">
        <v>0</v>
      </c>
      <c r="L541">
        <v>4.0754124436814498</v>
      </c>
      <c r="N541" s="172">
        <f>MCond(B540:D542)</f>
        <v>14.309656637068336</v>
      </c>
      <c r="S541">
        <v>238</v>
      </c>
      <c r="T541" s="35">
        <v>4.2207727224315219</v>
      </c>
    </row>
    <row r="542" spans="1:20">
      <c r="A542" s="170"/>
      <c r="B542" s="171">
        <v>1.3773893306068323</v>
      </c>
      <c r="C542" s="171">
        <v>1.5521003879162059</v>
      </c>
      <c r="D542" s="171">
        <v>-0.65590292152571228</v>
      </c>
      <c r="E542" s="170">
        <v>0</v>
      </c>
      <c r="F542" s="170">
        <v>0</v>
      </c>
      <c r="G542" s="170">
        <v>-1.4990492230334603E-2</v>
      </c>
      <c r="H542" s="170">
        <v>2.1174072073315828E-2</v>
      </c>
      <c r="I542" s="170">
        <v>0</v>
      </c>
      <c r="J542" s="170">
        <v>0</v>
      </c>
      <c r="K542" s="170">
        <v>-8.9700844372930258E-2</v>
      </c>
      <c r="L542">
        <v>2.3682128123525694</v>
      </c>
      <c r="N542" s="172"/>
      <c r="S542">
        <v>276</v>
      </c>
      <c r="T542" s="35">
        <v>4.1936501463501141</v>
      </c>
    </row>
    <row r="543" spans="1:20">
      <c r="A543" s="170"/>
      <c r="B543" s="171"/>
      <c r="C543" s="171"/>
      <c r="D543" s="171"/>
      <c r="E543" s="170"/>
      <c r="F543" s="170"/>
      <c r="G543" s="170"/>
      <c r="H543" s="170"/>
      <c r="I543" s="170"/>
      <c r="J543" s="170"/>
      <c r="K543" s="170"/>
      <c r="N543" s="173"/>
      <c r="S543">
        <v>208</v>
      </c>
      <c r="T543" s="35">
        <v>4.1630934361703984</v>
      </c>
    </row>
    <row r="544" spans="1:20">
      <c r="A544" s="170"/>
      <c r="B544" s="171">
        <v>2.44475956514645</v>
      </c>
      <c r="C544" s="171">
        <v>-0.85548399177677847</v>
      </c>
      <c r="D544" s="171">
        <v>5.2896656816179721E-2</v>
      </c>
      <c r="E544" s="170">
        <v>-1.4990492230334603E-2</v>
      </c>
      <c r="F544" s="170">
        <v>0</v>
      </c>
      <c r="G544" s="170">
        <v>0</v>
      </c>
      <c r="H544" s="170">
        <v>0</v>
      </c>
      <c r="I544" s="170">
        <v>0</v>
      </c>
      <c r="J544" s="170">
        <v>0</v>
      </c>
      <c r="K544" s="170">
        <v>0</v>
      </c>
      <c r="L544">
        <v>3.3557501239318595</v>
      </c>
      <c r="N544" s="172"/>
      <c r="S544">
        <v>255</v>
      </c>
      <c r="T544" s="35">
        <v>4.155062022143496</v>
      </c>
    </row>
    <row r="545" spans="1:20">
      <c r="A545" s="170" t="s">
        <v>347</v>
      </c>
      <c r="B545" s="171">
        <v>0.36768865949079377</v>
      </c>
      <c r="C545" s="171">
        <v>1.2890795247765441</v>
      </c>
      <c r="D545" s="171">
        <v>0.10954983766095538</v>
      </c>
      <c r="E545" s="170">
        <v>0</v>
      </c>
      <c r="F545" s="170">
        <v>-1.4990492230334603E-2</v>
      </c>
      <c r="G545" s="170">
        <v>0</v>
      </c>
      <c r="H545" s="170">
        <v>0</v>
      </c>
      <c r="I545" s="170">
        <v>0</v>
      </c>
      <c r="J545" s="170">
        <v>0</v>
      </c>
      <c r="K545" s="170">
        <v>0</v>
      </c>
      <c r="L545">
        <v>0.90446106922389957</v>
      </c>
      <c r="N545" s="172">
        <f>MCond(B544:D546)</f>
        <v>38.193455921208319</v>
      </c>
      <c r="S545">
        <v>16</v>
      </c>
      <c r="T545" s="35">
        <v>4.1121618081555962</v>
      </c>
    </row>
    <row r="546" spans="1:20">
      <c r="A546" s="170"/>
      <c r="B546" s="171">
        <v>1.9865190328797109</v>
      </c>
      <c r="C546" s="171">
        <v>1.2694850305255347</v>
      </c>
      <c r="D546" s="171">
        <v>3.2127045366234341E-2</v>
      </c>
      <c r="E546" s="170">
        <v>0</v>
      </c>
      <c r="F546" s="170">
        <v>0</v>
      </c>
      <c r="G546" s="170">
        <v>-1.4990492230334603E-2</v>
      </c>
      <c r="H546" s="170">
        <v>0</v>
      </c>
      <c r="I546" s="170">
        <v>0</v>
      </c>
      <c r="J546" s="170">
        <v>0</v>
      </c>
      <c r="K546" s="170">
        <v>0</v>
      </c>
      <c r="L546">
        <v>2.779441128882862</v>
      </c>
      <c r="N546" s="172"/>
      <c r="S546">
        <v>189</v>
      </c>
      <c r="T546" s="35">
        <v>4.0515953972785423</v>
      </c>
    </row>
    <row r="547" spans="1:20">
      <c r="A547" s="170"/>
      <c r="B547" s="171"/>
      <c r="C547" s="171"/>
      <c r="D547" s="171"/>
      <c r="E547" s="170"/>
      <c r="F547" s="170"/>
      <c r="G547" s="170"/>
      <c r="H547" s="170"/>
      <c r="I547" s="170"/>
      <c r="J547" s="170"/>
      <c r="K547" s="170"/>
      <c r="N547" s="173"/>
      <c r="S547">
        <v>36</v>
      </c>
      <c r="T547" s="35">
        <v>4.0468810703453864</v>
      </c>
    </row>
    <row r="548" spans="1:20">
      <c r="A548" s="170"/>
      <c r="B548" s="171">
        <v>2.44475956514645</v>
      </c>
      <c r="C548" s="171">
        <v>-0.85548399177677847</v>
      </c>
      <c r="D548" s="171">
        <v>5.2896656816179721E-2</v>
      </c>
      <c r="E548" s="170">
        <v>-1.4990492230334603E-2</v>
      </c>
      <c r="F548" s="170">
        <v>0</v>
      </c>
      <c r="G548" s="170">
        <v>0</v>
      </c>
      <c r="H548" s="170">
        <v>2.1174072073315828E-2</v>
      </c>
      <c r="I548" s="170">
        <v>-5.8370098634356792E-2</v>
      </c>
      <c r="J548" s="170">
        <v>0</v>
      </c>
      <c r="K548" s="170">
        <v>0</v>
      </c>
      <c r="L548">
        <v>3.3557501239318595</v>
      </c>
      <c r="N548" s="172"/>
      <c r="S548">
        <v>243</v>
      </c>
      <c r="T548" s="35">
        <v>4.0321439196075497</v>
      </c>
    </row>
    <row r="549" spans="1:20">
      <c r="A549" s="170" t="s">
        <v>348</v>
      </c>
      <c r="B549" s="171">
        <v>0.36768865949079377</v>
      </c>
      <c r="C549" s="171">
        <v>1.2890795247765441</v>
      </c>
      <c r="D549" s="171">
        <v>0.10954983766095538</v>
      </c>
      <c r="E549" s="170">
        <v>0</v>
      </c>
      <c r="F549" s="170">
        <v>-1.4990492230334603E-2</v>
      </c>
      <c r="G549" s="170">
        <v>0</v>
      </c>
      <c r="H549" s="170">
        <v>2.1174072073315828E-2</v>
      </c>
      <c r="I549" s="170">
        <v>0</v>
      </c>
      <c r="J549" s="170">
        <v>0.18191808401017825</v>
      </c>
      <c r="K549" s="170">
        <v>0</v>
      </c>
      <c r="L549">
        <v>0.90446106922389957</v>
      </c>
      <c r="N549" s="172">
        <f>MCond(B548:D550)</f>
        <v>6.2639720915040158</v>
      </c>
      <c r="S549">
        <v>38</v>
      </c>
      <c r="T549" s="35">
        <v>4.0319098330014373</v>
      </c>
    </row>
    <row r="550" spans="1:20">
      <c r="A550" s="170"/>
      <c r="B550" s="171">
        <v>1.3773893306068323</v>
      </c>
      <c r="C550" s="171">
        <v>1.5521003879162059</v>
      </c>
      <c r="D550" s="171">
        <v>-0.65590292152571228</v>
      </c>
      <c r="E550" s="170">
        <v>0</v>
      </c>
      <c r="F550" s="170">
        <v>0</v>
      </c>
      <c r="G550" s="170">
        <v>-1.4990492230334603E-2</v>
      </c>
      <c r="H550" s="170">
        <v>2.1174072073315828E-2</v>
      </c>
      <c r="I550" s="170">
        <v>0</v>
      </c>
      <c r="J550" s="170">
        <v>0</v>
      </c>
      <c r="K550" s="170">
        <v>-8.9700844372930258E-2</v>
      </c>
      <c r="L550">
        <v>2.3682128123525694</v>
      </c>
      <c r="N550" s="172"/>
      <c r="S550">
        <v>215</v>
      </c>
      <c r="T550" s="35">
        <v>3.9236550276169364</v>
      </c>
    </row>
    <row r="551" spans="1:20">
      <c r="A551" s="170"/>
      <c r="B551" s="171"/>
      <c r="C551" s="171"/>
      <c r="D551" s="171"/>
      <c r="E551" s="170"/>
      <c r="F551" s="170"/>
      <c r="G551" s="170"/>
      <c r="H551" s="170"/>
      <c r="I551" s="170"/>
      <c r="J551" s="170"/>
      <c r="K551" s="170"/>
      <c r="N551" s="173"/>
      <c r="S551">
        <v>74</v>
      </c>
      <c r="T551" s="35">
        <v>3.9026598544515507</v>
      </c>
    </row>
    <row r="552" spans="1:20">
      <c r="A552" s="170"/>
      <c r="B552" s="171">
        <v>2.44475956514645</v>
      </c>
      <c r="C552" s="171">
        <v>-0.85548399177677847</v>
      </c>
      <c r="D552" s="171">
        <v>5.2896656816179721E-2</v>
      </c>
      <c r="E552" s="170">
        <v>-1.4990492230334603E-2</v>
      </c>
      <c r="F552" s="170">
        <v>0</v>
      </c>
      <c r="G552" s="170">
        <v>0</v>
      </c>
      <c r="H552" s="170">
        <v>0</v>
      </c>
      <c r="I552" s="170">
        <v>0</v>
      </c>
      <c r="J552" s="170">
        <v>0</v>
      </c>
      <c r="K552" s="170">
        <v>0</v>
      </c>
      <c r="L552">
        <v>3.3557501239318595</v>
      </c>
      <c r="N552" s="172"/>
      <c r="S552">
        <v>24</v>
      </c>
      <c r="T552" s="35">
        <v>3.8811004351956018</v>
      </c>
    </row>
    <row r="553" spans="1:20">
      <c r="A553" s="170" t="s">
        <v>349</v>
      </c>
      <c r="B553" s="171">
        <v>1.9865190328797109</v>
      </c>
      <c r="C553" s="171">
        <v>1.2694850305255347</v>
      </c>
      <c r="D553" s="171">
        <v>3.2127045366234341E-2</v>
      </c>
      <c r="E553" s="170">
        <v>0</v>
      </c>
      <c r="F553" s="170">
        <v>-1.4990492230334603E-2</v>
      </c>
      <c r="G553" s="170">
        <v>0</v>
      </c>
      <c r="H553" s="170">
        <v>0</v>
      </c>
      <c r="I553" s="170">
        <v>0</v>
      </c>
      <c r="J553" s="170">
        <v>0</v>
      </c>
      <c r="K553" s="170">
        <v>0</v>
      </c>
      <c r="L553">
        <v>2.779441128882862</v>
      </c>
      <c r="N553" s="172">
        <f>MCond(B552:D554)</f>
        <v>7.9300802487334305</v>
      </c>
      <c r="S553">
        <v>72</v>
      </c>
      <c r="T553" s="35">
        <v>3.8029292847047502</v>
      </c>
    </row>
    <row r="554" spans="1:20">
      <c r="A554" s="170"/>
      <c r="B554" s="171">
        <v>1.3773893306068323</v>
      </c>
      <c r="C554" s="171">
        <v>1.5521003879162059</v>
      </c>
      <c r="D554" s="171">
        <v>-0.65590292152571228</v>
      </c>
      <c r="E554" s="170">
        <v>0</v>
      </c>
      <c r="F554" s="170">
        <v>0</v>
      </c>
      <c r="G554" s="170">
        <v>-1.4990492230334603E-2</v>
      </c>
      <c r="H554" s="170">
        <v>0</v>
      </c>
      <c r="I554" s="170">
        <v>0</v>
      </c>
      <c r="J554" s="170">
        <v>0</v>
      </c>
      <c r="K554" s="170">
        <v>0</v>
      </c>
      <c r="L554">
        <v>2.3682128123525694</v>
      </c>
      <c r="N554" s="172"/>
      <c r="S554">
        <v>200</v>
      </c>
      <c r="T554" s="35">
        <v>3.743001491301829</v>
      </c>
    </row>
    <row r="555" spans="1:20">
      <c r="A555" s="170"/>
      <c r="B555" s="171"/>
      <c r="C555" s="171"/>
      <c r="D555" s="171"/>
      <c r="E555" s="170"/>
      <c r="F555" s="170"/>
      <c r="G555" s="170"/>
      <c r="H555" s="170"/>
      <c r="I555" s="170"/>
      <c r="J555" s="170"/>
      <c r="K555" s="170"/>
      <c r="N555" s="173"/>
      <c r="S555">
        <v>222</v>
      </c>
      <c r="T555" s="35">
        <v>3.7367318839826384</v>
      </c>
    </row>
    <row r="556" spans="1:20">
      <c r="A556" s="170"/>
      <c r="B556" s="171">
        <v>2.8449497700634536</v>
      </c>
      <c r="C556" s="171">
        <v>0.22852225552422287</v>
      </c>
      <c r="D556" s="171">
        <v>6.9737163040410666E-2</v>
      </c>
      <c r="E556" s="170">
        <v>-1.4990492230334603E-2</v>
      </c>
      <c r="F556" s="170">
        <v>0</v>
      </c>
      <c r="G556" s="170">
        <v>0</v>
      </c>
      <c r="H556" s="170">
        <v>0</v>
      </c>
      <c r="I556" s="170">
        <v>0</v>
      </c>
      <c r="J556" s="170">
        <v>0</v>
      </c>
      <c r="K556" s="170">
        <v>0</v>
      </c>
      <c r="L556">
        <v>4.0754124436814498</v>
      </c>
      <c r="N556" s="172"/>
      <c r="S556">
        <v>2</v>
      </c>
      <c r="T556" s="35">
        <v>3.6962112341108457</v>
      </c>
    </row>
    <row r="557" spans="1:20">
      <c r="A557" s="170" t="s">
        <v>350</v>
      </c>
      <c r="B557" s="171">
        <v>0.36768865949079377</v>
      </c>
      <c r="C557" s="171">
        <v>1.2890795247765441</v>
      </c>
      <c r="D557" s="171">
        <v>0.10954983766095538</v>
      </c>
      <c r="E557" s="170">
        <v>0</v>
      </c>
      <c r="F557" s="170">
        <v>-1.4990492230334603E-2</v>
      </c>
      <c r="G557" s="170">
        <v>0</v>
      </c>
      <c r="H557" s="170">
        <v>0</v>
      </c>
      <c r="I557" s="170">
        <v>0</v>
      </c>
      <c r="J557" s="170">
        <v>0</v>
      </c>
      <c r="K557" s="170">
        <v>0</v>
      </c>
      <c r="L557">
        <v>0.90446106922389957</v>
      </c>
      <c r="N557" s="172">
        <f>MCond(B556:D558)</f>
        <v>50.896502091007278</v>
      </c>
      <c r="S557">
        <v>279</v>
      </c>
      <c r="T557" s="35">
        <v>3.6876331792039538</v>
      </c>
    </row>
    <row r="558" spans="1:20">
      <c r="A558" s="170"/>
      <c r="B558" s="171">
        <v>1.9865190328797109</v>
      </c>
      <c r="C558" s="171">
        <v>1.2694850305255347</v>
      </c>
      <c r="D558" s="171">
        <v>3.2127045366234341E-2</v>
      </c>
      <c r="E558" s="170">
        <v>0</v>
      </c>
      <c r="F558" s="170">
        <v>0</v>
      </c>
      <c r="G558" s="170">
        <v>-1.4990492230334603E-2</v>
      </c>
      <c r="H558" s="170">
        <v>0</v>
      </c>
      <c r="I558" s="170">
        <v>0</v>
      </c>
      <c r="J558" s="170">
        <v>0</v>
      </c>
      <c r="K558" s="170">
        <v>0</v>
      </c>
      <c r="L558">
        <v>2.779441128882862</v>
      </c>
      <c r="N558" s="172"/>
      <c r="S558">
        <v>10</v>
      </c>
      <c r="T558" s="35">
        <v>3.6568969588621991</v>
      </c>
    </row>
    <row r="559" spans="1:20">
      <c r="A559" s="170"/>
      <c r="B559" s="171"/>
      <c r="C559" s="171"/>
      <c r="D559" s="171"/>
      <c r="E559" s="170"/>
      <c r="F559" s="170"/>
      <c r="G559" s="170"/>
      <c r="H559" s="170"/>
      <c r="I559" s="170"/>
      <c r="J559" s="170"/>
      <c r="K559" s="170"/>
      <c r="N559" s="173"/>
      <c r="S559">
        <v>257</v>
      </c>
      <c r="T559" s="35">
        <v>3.5193506190429562</v>
      </c>
    </row>
    <row r="560" spans="1:20">
      <c r="A560" s="170"/>
      <c r="B560" s="171">
        <v>2.8449497700634536</v>
      </c>
      <c r="C560" s="171">
        <v>0.22852225552422287</v>
      </c>
      <c r="D560" s="171">
        <v>6.9737163040410666E-2</v>
      </c>
      <c r="E560" s="170">
        <v>-1.4990492230334603E-2</v>
      </c>
      <c r="F560" s="170">
        <v>0</v>
      </c>
      <c r="G560" s="170">
        <v>0</v>
      </c>
      <c r="H560" s="170">
        <v>2.1174072073315828E-2</v>
      </c>
      <c r="I560" s="170">
        <v>6.8827960560405646E-2</v>
      </c>
      <c r="J560" s="170">
        <v>0</v>
      </c>
      <c r="K560" s="170">
        <v>0</v>
      </c>
      <c r="L560">
        <v>4.0754124436814498</v>
      </c>
      <c r="N560" s="172"/>
      <c r="S560">
        <v>241</v>
      </c>
      <c r="T560" s="35">
        <v>3.455632551064447</v>
      </c>
    </row>
    <row r="561" spans="1:20">
      <c r="A561" s="170" t="s">
        <v>351</v>
      </c>
      <c r="B561" s="171">
        <v>0.36768865949079377</v>
      </c>
      <c r="C561" s="171">
        <v>1.2890795247765441</v>
      </c>
      <c r="D561" s="171">
        <v>0.10954983766095538</v>
      </c>
      <c r="E561" s="170">
        <v>0</v>
      </c>
      <c r="F561" s="170">
        <v>-1.4990492230334603E-2</v>
      </c>
      <c r="G561" s="170">
        <v>0</v>
      </c>
      <c r="H561" s="170">
        <v>2.1174072073315828E-2</v>
      </c>
      <c r="I561" s="170">
        <v>0</v>
      </c>
      <c r="J561" s="170">
        <v>0.18191808401017825</v>
      </c>
      <c r="K561" s="170">
        <v>0</v>
      </c>
      <c r="L561">
        <v>0.90446106922389957</v>
      </c>
      <c r="N561" s="172">
        <f>MCond(B560:D562)</f>
        <v>6.7566483524299317</v>
      </c>
      <c r="S561">
        <v>270</v>
      </c>
      <c r="T561" s="35">
        <v>3.4265372448109996</v>
      </c>
    </row>
    <row r="562" spans="1:20">
      <c r="A562" s="170"/>
      <c r="B562" s="171">
        <v>1.3773893306068323</v>
      </c>
      <c r="C562" s="171">
        <v>1.5521003879162059</v>
      </c>
      <c r="D562" s="171">
        <v>-0.65590292152571228</v>
      </c>
      <c r="E562" s="170">
        <v>0</v>
      </c>
      <c r="F562" s="170">
        <v>0</v>
      </c>
      <c r="G562" s="170">
        <v>-1.4990492230334603E-2</v>
      </c>
      <c r="H562" s="170">
        <v>2.1174072073315828E-2</v>
      </c>
      <c r="I562" s="170">
        <v>0</v>
      </c>
      <c r="J562" s="170">
        <v>0</v>
      </c>
      <c r="K562" s="170">
        <v>-8.9700844372930258E-2</v>
      </c>
      <c r="L562">
        <v>2.3682128123525694</v>
      </c>
      <c r="N562" s="172"/>
      <c r="S562">
        <v>209</v>
      </c>
      <c r="T562" s="35">
        <v>3.3413406696182579</v>
      </c>
    </row>
    <row r="563" spans="1:20">
      <c r="A563" s="170"/>
      <c r="B563" s="171"/>
      <c r="C563" s="171"/>
      <c r="D563" s="171"/>
      <c r="E563" s="170"/>
      <c r="F563" s="170"/>
      <c r="G563" s="170"/>
      <c r="H563" s="170"/>
      <c r="I563" s="170"/>
      <c r="J563" s="170"/>
      <c r="K563" s="170"/>
      <c r="N563" s="173"/>
      <c r="S563">
        <v>225</v>
      </c>
      <c r="T563" s="35">
        <v>3.3124115126012943</v>
      </c>
    </row>
    <row r="564" spans="1:20">
      <c r="A564" s="170"/>
      <c r="B564" s="171">
        <v>2.8449497700634536</v>
      </c>
      <c r="C564" s="171">
        <v>0.22852225552422287</v>
      </c>
      <c r="D564" s="171">
        <v>6.9737163040410666E-2</v>
      </c>
      <c r="E564" s="170">
        <v>-1.4990492230334603E-2</v>
      </c>
      <c r="F564" s="170">
        <v>0</v>
      </c>
      <c r="G564" s="170">
        <v>0</v>
      </c>
      <c r="H564" s="170">
        <v>0</v>
      </c>
      <c r="I564" s="170">
        <v>0</v>
      </c>
      <c r="J564" s="170">
        <v>0</v>
      </c>
      <c r="K564" s="170">
        <v>0</v>
      </c>
      <c r="L564">
        <v>4.0754124436814498</v>
      </c>
      <c r="N564" s="172"/>
      <c r="S564">
        <v>245</v>
      </c>
      <c r="T564" s="35">
        <v>3.1934764631216082</v>
      </c>
    </row>
    <row r="565" spans="1:20">
      <c r="A565" s="170" t="s">
        <v>352</v>
      </c>
      <c r="B565" s="171">
        <v>1.9865190328797109</v>
      </c>
      <c r="C565" s="171">
        <v>1.2694850305255347</v>
      </c>
      <c r="D565" s="171">
        <v>3.2127045366234341E-2</v>
      </c>
      <c r="E565" s="170">
        <v>0</v>
      </c>
      <c r="F565" s="170">
        <v>-1.4990492230334603E-2</v>
      </c>
      <c r="G565" s="170">
        <v>0</v>
      </c>
      <c r="H565" s="170">
        <v>0</v>
      </c>
      <c r="I565" s="170">
        <v>0</v>
      </c>
      <c r="J565" s="170">
        <v>0</v>
      </c>
      <c r="K565" s="170">
        <v>0</v>
      </c>
      <c r="L565">
        <v>2.779441128882862</v>
      </c>
      <c r="N565" s="172">
        <f>MCond(B564:D566)</f>
        <v>10.927909861320535</v>
      </c>
      <c r="S565">
        <v>28</v>
      </c>
      <c r="T565" s="35">
        <v>3.1648692167093064</v>
      </c>
    </row>
    <row r="566" spans="1:20">
      <c r="A566" s="170"/>
      <c r="B566" s="171">
        <v>1.3773893306068323</v>
      </c>
      <c r="C566" s="171">
        <v>1.5521003879162059</v>
      </c>
      <c r="D566" s="171">
        <v>-0.65590292152571228</v>
      </c>
      <c r="E566" s="170">
        <v>0</v>
      </c>
      <c r="F566" s="170">
        <v>0</v>
      </c>
      <c r="G566" s="170">
        <v>-1.4990492230334603E-2</v>
      </c>
      <c r="H566" s="170">
        <v>0</v>
      </c>
      <c r="I566" s="170">
        <v>0</v>
      </c>
      <c r="J566" s="170">
        <v>0</v>
      </c>
      <c r="K566" s="170">
        <v>0</v>
      </c>
      <c r="L566">
        <v>2.3682128123525694</v>
      </c>
      <c r="N566" s="172"/>
      <c r="S566">
        <v>18</v>
      </c>
      <c r="T566" s="35">
        <v>3.0892013418031681</v>
      </c>
    </row>
    <row r="567" spans="1:20">
      <c r="A567" s="170"/>
      <c r="B567" s="171"/>
      <c r="C567" s="171"/>
      <c r="D567" s="171"/>
      <c r="E567" s="170"/>
      <c r="F567" s="170"/>
      <c r="G567" s="170"/>
      <c r="H567" s="170"/>
      <c r="I567" s="170"/>
      <c r="J567" s="170"/>
      <c r="K567" s="170"/>
      <c r="N567" s="173"/>
      <c r="S567">
        <v>258</v>
      </c>
      <c r="T567" s="35">
        <v>2.9250187817951137</v>
      </c>
    </row>
    <row r="568" spans="1:20">
      <c r="A568" s="170"/>
      <c r="B568" s="171">
        <v>0.36768865949079377</v>
      </c>
      <c r="C568" s="171">
        <v>1.2890795247765441</v>
      </c>
      <c r="D568" s="171">
        <v>0.10954983766095538</v>
      </c>
      <c r="E568" s="170">
        <v>-1.4990492230334603E-2</v>
      </c>
      <c r="F568" s="170">
        <v>0</v>
      </c>
      <c r="G568" s="170">
        <v>0</v>
      </c>
      <c r="H568" s="170">
        <v>0</v>
      </c>
      <c r="I568" s="170">
        <v>0</v>
      </c>
      <c r="J568" s="170">
        <v>0</v>
      </c>
      <c r="K568" s="170">
        <v>0</v>
      </c>
      <c r="L568">
        <v>0.90446106922389957</v>
      </c>
      <c r="N568" s="172"/>
      <c r="S568">
        <v>12</v>
      </c>
      <c r="T568" s="35">
        <v>2.7091989128856673</v>
      </c>
    </row>
    <row r="569" spans="1:20">
      <c r="A569" s="170" t="s">
        <v>353</v>
      </c>
      <c r="B569" s="171">
        <v>1.9865190328797109</v>
      </c>
      <c r="C569" s="171">
        <v>1.2694850305255347</v>
      </c>
      <c r="D569" s="171">
        <v>3.2127045366234341E-2</v>
      </c>
      <c r="E569" s="170">
        <v>0</v>
      </c>
      <c r="F569" s="170">
        <v>-1.4990492230334603E-2</v>
      </c>
      <c r="G569" s="170">
        <v>0</v>
      </c>
      <c r="H569" s="170">
        <v>0</v>
      </c>
      <c r="I569" s="170">
        <v>0</v>
      </c>
      <c r="J569" s="170">
        <v>0</v>
      </c>
      <c r="K569" s="170">
        <v>0</v>
      </c>
      <c r="L569">
        <v>2.779441128882862</v>
      </c>
      <c r="N569" s="172">
        <f>MCond(B568:D570)</f>
        <v>5.9522483324166</v>
      </c>
      <c r="S569">
        <v>3</v>
      </c>
      <c r="T569" s="35">
        <v>2.6538713862709233</v>
      </c>
    </row>
    <row r="570" spans="1:20">
      <c r="A570" s="170"/>
      <c r="B570" s="171">
        <v>1.3773893306068323</v>
      </c>
      <c r="C570" s="171">
        <v>1.5521003879162059</v>
      </c>
      <c r="D570" s="171">
        <v>-0.65590292152571228</v>
      </c>
      <c r="E570" s="170">
        <v>0</v>
      </c>
      <c r="F570" s="170">
        <v>0</v>
      </c>
      <c r="G570" s="170">
        <v>-1.4990492230334603E-2</v>
      </c>
      <c r="H570" s="170">
        <v>0</v>
      </c>
      <c r="I570" s="170">
        <v>0</v>
      </c>
      <c r="J570" s="170">
        <v>0</v>
      </c>
      <c r="K570" s="170">
        <v>0</v>
      </c>
      <c r="L570">
        <v>2.3682128123525694</v>
      </c>
      <c r="N570" s="172"/>
      <c r="S570">
        <v>260</v>
      </c>
      <c r="T570" s="35">
        <v>2.6374470926098281</v>
      </c>
    </row>
    <row r="571" spans="1:20">
      <c r="A571" s="170"/>
      <c r="B571" s="171"/>
      <c r="C571" s="171"/>
      <c r="D571" s="171"/>
      <c r="E571" s="170"/>
      <c r="F571" s="170"/>
      <c r="G571" s="170"/>
      <c r="H571" s="170"/>
      <c r="I571" s="170"/>
      <c r="J571" s="170"/>
      <c r="K571" s="170"/>
      <c r="N571" s="173"/>
      <c r="S571">
        <v>19</v>
      </c>
      <c r="T571" s="35">
        <v>2.5761959575841629</v>
      </c>
    </row>
    <row r="572" spans="1:20">
      <c r="A572" s="170"/>
      <c r="B572" s="171">
        <v>-1.4421025939282253</v>
      </c>
      <c r="C572" s="171">
        <v>-1.0431877148697888</v>
      </c>
      <c r="D572" s="171">
        <v>-0.78932433807079116</v>
      </c>
      <c r="E572" s="170">
        <v>-1.4990492230334603E-2</v>
      </c>
      <c r="F572" s="170">
        <v>0</v>
      </c>
      <c r="G572" s="170">
        <v>0</v>
      </c>
      <c r="H572" s="170">
        <v>0</v>
      </c>
      <c r="I572" s="170">
        <v>0</v>
      </c>
      <c r="J572" s="170">
        <v>0</v>
      </c>
      <c r="K572" s="170">
        <v>0</v>
      </c>
      <c r="L572">
        <v>1.8954667052703302</v>
      </c>
      <c r="N572" s="172"/>
      <c r="S572">
        <v>4</v>
      </c>
      <c r="T572" s="35">
        <v>2.3783411134574881</v>
      </c>
    </row>
    <row r="573" spans="1:20">
      <c r="A573" s="170" t="s">
        <v>354</v>
      </c>
      <c r="B573" s="171">
        <v>-2.6959782234951333</v>
      </c>
      <c r="C573" s="171">
        <v>-1.0757798809975587</v>
      </c>
      <c r="D573" s="171">
        <v>-4.997772423355884E-2</v>
      </c>
      <c r="E573" s="170">
        <v>0</v>
      </c>
      <c r="F573" s="170">
        <v>-1.4990492230334603E-2</v>
      </c>
      <c r="G573" s="170">
        <v>0</v>
      </c>
      <c r="H573" s="170">
        <v>0</v>
      </c>
      <c r="I573" s="170">
        <v>0</v>
      </c>
      <c r="J573" s="170">
        <v>0</v>
      </c>
      <c r="K573" s="170">
        <v>0</v>
      </c>
      <c r="L573">
        <v>4.2140493534193304</v>
      </c>
      <c r="N573" s="172">
        <f>MCond(B572:D574)</f>
        <v>5.9241424686026916</v>
      </c>
      <c r="S573">
        <v>5</v>
      </c>
      <c r="T573" s="35">
        <v>2.2222525155344348</v>
      </c>
    </row>
    <row r="574" spans="1:20">
      <c r="A574" s="170"/>
      <c r="B574" s="171">
        <v>-0.40019020491700363</v>
      </c>
      <c r="C574" s="171">
        <v>-1.0840062473010013</v>
      </c>
      <c r="D574" s="171">
        <v>-1.6840506224230944E-2</v>
      </c>
      <c r="E574" s="170">
        <v>0</v>
      </c>
      <c r="F574" s="170">
        <v>0</v>
      </c>
      <c r="G574" s="170">
        <v>-1.4990492230334603E-2</v>
      </c>
      <c r="H574" s="170">
        <v>0</v>
      </c>
      <c r="I574" s="170">
        <v>0</v>
      </c>
      <c r="J574" s="170">
        <v>0</v>
      </c>
      <c r="K574" s="170">
        <v>0</v>
      </c>
      <c r="L574">
        <v>0.66775267347450074</v>
      </c>
      <c r="N574" s="172"/>
      <c r="T574" s="35"/>
    </row>
    <row r="575" spans="1:20">
      <c r="A575" s="170"/>
      <c r="B575" s="171"/>
      <c r="C575" s="171"/>
      <c r="D575" s="171"/>
      <c r="E575" s="170"/>
      <c r="F575" s="170"/>
      <c r="G575" s="170"/>
      <c r="H575" s="170"/>
      <c r="I575" s="170"/>
      <c r="J575" s="170"/>
      <c r="K575" s="170"/>
      <c r="N575" s="173"/>
      <c r="T575" s="35"/>
    </row>
    <row r="576" spans="1:20">
      <c r="A576" s="170"/>
      <c r="B576" s="171">
        <v>-1.4421025939282253</v>
      </c>
      <c r="C576" s="171">
        <v>-1.0431877148697888</v>
      </c>
      <c r="D576" s="171">
        <v>-0.78932433807079116</v>
      </c>
      <c r="E576" s="170">
        <v>-1.4990492230334603E-2</v>
      </c>
      <c r="F576" s="170">
        <v>0</v>
      </c>
      <c r="G576" s="170">
        <v>0</v>
      </c>
      <c r="H576" s="170">
        <v>0</v>
      </c>
      <c r="I576" s="170">
        <v>0</v>
      </c>
      <c r="J576" s="170">
        <v>0</v>
      </c>
      <c r="K576" s="170">
        <v>0</v>
      </c>
      <c r="L576">
        <v>1.8954667052703302</v>
      </c>
      <c r="N576" s="172"/>
      <c r="T576" s="35"/>
    </row>
    <row r="577" spans="1:20">
      <c r="A577" s="170" t="s">
        <v>355</v>
      </c>
      <c r="B577" s="171">
        <v>-2.6959782234951333</v>
      </c>
      <c r="C577" s="171">
        <v>-1.0757798809975587</v>
      </c>
      <c r="D577" s="171">
        <v>-4.997772423355884E-2</v>
      </c>
      <c r="E577" s="170">
        <v>0</v>
      </c>
      <c r="F577" s="170">
        <v>-1.4990492230334603E-2</v>
      </c>
      <c r="G577" s="170">
        <v>0</v>
      </c>
      <c r="H577" s="170">
        <v>0</v>
      </c>
      <c r="I577" s="170">
        <v>0</v>
      </c>
      <c r="J577" s="170">
        <v>0</v>
      </c>
      <c r="K577" s="170">
        <v>0</v>
      </c>
      <c r="L577">
        <v>4.2140493534193304</v>
      </c>
      <c r="N577" s="172">
        <f>MCond(B576:D578)</f>
        <v>10.502318144486368</v>
      </c>
      <c r="T577" s="35"/>
    </row>
    <row r="578" spans="1:20">
      <c r="A578" s="170"/>
      <c r="B578" s="171">
        <v>-2.8449497700634536</v>
      </c>
      <c r="C578" s="171">
        <v>-0.22852225552422287</v>
      </c>
      <c r="D578" s="171">
        <v>-6.9737163040410666E-2</v>
      </c>
      <c r="E578" s="170">
        <v>0</v>
      </c>
      <c r="F578" s="170">
        <v>0</v>
      </c>
      <c r="G578" s="170">
        <v>-1.4990492230334603E-2</v>
      </c>
      <c r="H578" s="170">
        <v>0</v>
      </c>
      <c r="I578" s="170">
        <v>0</v>
      </c>
      <c r="J578" s="170">
        <v>0</v>
      </c>
      <c r="K578" s="170">
        <v>0</v>
      </c>
      <c r="L578">
        <v>4.0754124436814498</v>
      </c>
      <c r="N578" s="172"/>
      <c r="T578" s="35"/>
    </row>
    <row r="579" spans="1:20">
      <c r="A579" s="170"/>
      <c r="B579" s="171"/>
      <c r="C579" s="171"/>
      <c r="D579" s="171"/>
      <c r="E579" s="170"/>
      <c r="F579" s="170"/>
      <c r="G579" s="170"/>
      <c r="H579" s="170"/>
      <c r="I579" s="170"/>
      <c r="J579" s="170"/>
      <c r="K579" s="170"/>
      <c r="N579" s="173"/>
      <c r="T579" s="35"/>
    </row>
    <row r="580" spans="1:20">
      <c r="A580" s="170"/>
      <c r="B580" s="171">
        <v>-1.4421025939282253</v>
      </c>
      <c r="C580" s="171">
        <v>-1.0431877148697888</v>
      </c>
      <c r="D580" s="171">
        <v>-0.78932433807079116</v>
      </c>
      <c r="E580" s="170">
        <v>-1.4990492230334603E-2</v>
      </c>
      <c r="F580" s="170">
        <v>0</v>
      </c>
      <c r="G580" s="170">
        <v>0</v>
      </c>
      <c r="H580" s="170">
        <v>0</v>
      </c>
      <c r="I580" s="170">
        <v>0</v>
      </c>
      <c r="J580" s="170">
        <v>0</v>
      </c>
      <c r="K580" s="170">
        <v>0</v>
      </c>
      <c r="L580">
        <v>1.8954667052703302</v>
      </c>
      <c r="N580" s="172"/>
      <c r="T580" s="35"/>
    </row>
    <row r="581" spans="1:20">
      <c r="A581" s="170" t="s">
        <v>356</v>
      </c>
      <c r="B581" s="171">
        <v>-2.6959782234951333</v>
      </c>
      <c r="C581" s="171">
        <v>-1.0757798809975587</v>
      </c>
      <c r="D581" s="171">
        <v>-4.997772423355884E-2</v>
      </c>
      <c r="E581" s="170">
        <v>0</v>
      </c>
      <c r="F581" s="170">
        <v>-1.4990492230334603E-2</v>
      </c>
      <c r="G581" s="170">
        <v>0</v>
      </c>
      <c r="H581" s="170">
        <v>0</v>
      </c>
      <c r="I581" s="170">
        <v>0</v>
      </c>
      <c r="J581" s="170">
        <v>0</v>
      </c>
      <c r="K581" s="170">
        <v>0</v>
      </c>
      <c r="L581">
        <v>4.2140493534193304</v>
      </c>
      <c r="N581" s="172">
        <f>MCond(B580:D582)</f>
        <v>7.0264412742510673</v>
      </c>
      <c r="T581" s="35"/>
    </row>
    <row r="582" spans="1:20">
      <c r="A582" s="170"/>
      <c r="B582" s="171">
        <v>-2.4772611105726599</v>
      </c>
      <c r="C582" s="171">
        <v>1.0605572692523213</v>
      </c>
      <c r="D582" s="171">
        <v>3.9812674620544719E-2</v>
      </c>
      <c r="E582" s="170">
        <v>0</v>
      </c>
      <c r="F582" s="170">
        <v>0</v>
      </c>
      <c r="G582" s="170">
        <v>-1.4990492230334603E-2</v>
      </c>
      <c r="H582" s="170">
        <v>0</v>
      </c>
      <c r="I582" s="170">
        <v>0</v>
      </c>
      <c r="J582" s="170">
        <v>0</v>
      </c>
      <c r="K582" s="170">
        <v>0</v>
      </c>
      <c r="L582">
        <v>3.6315946901900351</v>
      </c>
      <c r="N582" s="172"/>
      <c r="T582" s="35"/>
    </row>
    <row r="583" spans="1:20">
      <c r="A583" s="170"/>
      <c r="B583" s="171"/>
      <c r="C583" s="171"/>
      <c r="D583" s="171"/>
      <c r="E583" s="170"/>
      <c r="F583" s="170"/>
      <c r="G583" s="170"/>
      <c r="H583" s="170"/>
      <c r="I583" s="170"/>
      <c r="J583" s="170"/>
      <c r="K583" s="170"/>
      <c r="N583" s="173"/>
      <c r="T583" s="35"/>
    </row>
    <row r="584" spans="1:20">
      <c r="A584" s="170"/>
      <c r="B584" s="171">
        <v>-1.4421025939282253</v>
      </c>
      <c r="C584" s="171">
        <v>-1.0431877148697888</v>
      </c>
      <c r="D584" s="171">
        <v>-0.78932433807079116</v>
      </c>
      <c r="E584" s="170">
        <v>-1.4990492230334603E-2</v>
      </c>
      <c r="F584" s="170">
        <v>0</v>
      </c>
      <c r="G584" s="170">
        <v>0</v>
      </c>
      <c r="H584" s="170">
        <v>0</v>
      </c>
      <c r="I584" s="170">
        <v>0</v>
      </c>
      <c r="J584" s="170">
        <v>0</v>
      </c>
      <c r="K584" s="170">
        <v>0</v>
      </c>
      <c r="L584">
        <v>1.8954667052703302</v>
      </c>
      <c r="N584" s="172"/>
      <c r="T584" s="35"/>
    </row>
    <row r="585" spans="1:20">
      <c r="A585" s="170" t="s">
        <v>357</v>
      </c>
      <c r="B585" s="171">
        <v>-2.6959782234951333</v>
      </c>
      <c r="C585" s="171">
        <v>-1.0757798809975587</v>
      </c>
      <c r="D585" s="171">
        <v>-4.997772423355884E-2</v>
      </c>
      <c r="E585" s="170">
        <v>0</v>
      </c>
      <c r="F585" s="170">
        <v>-1.4990492230334603E-2</v>
      </c>
      <c r="G585" s="170">
        <v>0</v>
      </c>
      <c r="H585" s="170">
        <v>0</v>
      </c>
      <c r="I585" s="170">
        <v>0</v>
      </c>
      <c r="J585" s="170">
        <v>0</v>
      </c>
      <c r="K585" s="170">
        <v>0</v>
      </c>
      <c r="L585">
        <v>4.2140493534193304</v>
      </c>
      <c r="N585" s="172">
        <f>MCond(B584:D586)</f>
        <v>5.6287738318733966</v>
      </c>
      <c r="T585" s="35"/>
    </row>
    <row r="586" spans="1:20">
      <c r="A586" s="170"/>
      <c r="B586" s="171">
        <v>-0.85843073718374274</v>
      </c>
      <c r="C586" s="171">
        <v>1.040962775001312</v>
      </c>
      <c r="D586" s="171">
        <v>-3.7610117674176324E-2</v>
      </c>
      <c r="E586" s="170">
        <v>0</v>
      </c>
      <c r="F586" s="170">
        <v>0</v>
      </c>
      <c r="G586" s="170">
        <v>-1.4990492230334603E-2</v>
      </c>
      <c r="H586" s="170">
        <v>0</v>
      </c>
      <c r="I586" s="170">
        <v>0</v>
      </c>
      <c r="J586" s="170">
        <v>0</v>
      </c>
      <c r="K586" s="170">
        <v>0</v>
      </c>
      <c r="L586">
        <v>0.91096067521586066</v>
      </c>
      <c r="N586" s="172"/>
      <c r="T586" s="35"/>
    </row>
    <row r="587" spans="1:20">
      <c r="A587" s="170"/>
      <c r="B587" s="171"/>
      <c r="C587" s="171"/>
      <c r="D587" s="171"/>
      <c r="E587" s="170"/>
      <c r="F587" s="170"/>
      <c r="G587" s="170"/>
      <c r="H587" s="170"/>
      <c r="I587" s="170"/>
      <c r="J587" s="170"/>
      <c r="K587" s="170"/>
      <c r="N587" s="173"/>
      <c r="T587" s="35"/>
    </row>
    <row r="588" spans="1:20">
      <c r="A588" s="170"/>
      <c r="B588" s="171">
        <v>-1.4421025939282253</v>
      </c>
      <c r="C588" s="171">
        <v>-1.0431877148697888</v>
      </c>
      <c r="D588" s="171">
        <v>-0.78932433807079116</v>
      </c>
      <c r="E588" s="170">
        <v>-1.4990492230334603E-2</v>
      </c>
      <c r="F588" s="170">
        <v>0</v>
      </c>
      <c r="G588" s="170">
        <v>0</v>
      </c>
      <c r="H588" s="170">
        <v>0</v>
      </c>
      <c r="I588" s="170">
        <v>0</v>
      </c>
      <c r="J588" s="170">
        <v>0</v>
      </c>
      <c r="K588" s="170">
        <v>0</v>
      </c>
      <c r="L588">
        <v>1.8954667052703302</v>
      </c>
      <c r="N588" s="172"/>
      <c r="T588" s="35"/>
    </row>
    <row r="589" spans="1:20">
      <c r="A589" s="170" t="s">
        <v>358</v>
      </c>
      <c r="B589" s="171">
        <v>-2.6959782234951333</v>
      </c>
      <c r="C589" s="171">
        <v>-1.0757798809975587</v>
      </c>
      <c r="D589" s="171">
        <v>-4.997772423355884E-2</v>
      </c>
      <c r="E589" s="170">
        <v>0</v>
      </c>
      <c r="F589" s="170">
        <v>-1.4990492230334603E-2</v>
      </c>
      <c r="G589" s="170">
        <v>0</v>
      </c>
      <c r="H589" s="170">
        <v>0</v>
      </c>
      <c r="I589" s="170">
        <v>0</v>
      </c>
      <c r="J589" s="170">
        <v>0</v>
      </c>
      <c r="K589" s="170">
        <v>0</v>
      </c>
      <c r="L589">
        <v>4.2140493534193304</v>
      </c>
      <c r="N589" s="172">
        <f>MCond(B588:D590)</f>
        <v>4.9007064832167684</v>
      </c>
      <c r="T589" s="35"/>
    </row>
    <row r="590" spans="1:20">
      <c r="A590" s="170"/>
      <c r="B590" s="171">
        <v>-1.4675604394566215</v>
      </c>
      <c r="C590" s="171">
        <v>1.3235781323919831</v>
      </c>
      <c r="D590" s="171">
        <v>-0.72564008456612294</v>
      </c>
      <c r="E590" s="170">
        <v>0</v>
      </c>
      <c r="F590" s="170">
        <v>0</v>
      </c>
      <c r="G590" s="170">
        <v>-1.4990492230334603E-2</v>
      </c>
      <c r="H590" s="170">
        <v>0</v>
      </c>
      <c r="I590" s="170">
        <v>0</v>
      </c>
      <c r="J590" s="170">
        <v>0</v>
      </c>
      <c r="K590" s="170">
        <v>0</v>
      </c>
      <c r="L590">
        <v>2.216073124166746</v>
      </c>
      <c r="N590" s="172"/>
      <c r="T590" s="35"/>
    </row>
    <row r="591" spans="1:20">
      <c r="A591" s="170"/>
      <c r="B591" s="171"/>
      <c r="C591" s="171"/>
      <c r="D591" s="171"/>
      <c r="E591" s="170"/>
      <c r="F591" s="170"/>
      <c r="G591" s="170"/>
      <c r="H591" s="170"/>
      <c r="I591" s="170"/>
      <c r="J591" s="170"/>
      <c r="K591" s="170"/>
      <c r="N591" s="173"/>
      <c r="T591" s="35"/>
    </row>
    <row r="592" spans="1:20">
      <c r="A592" s="170"/>
      <c r="B592" s="171">
        <v>-1.4421025939282253</v>
      </c>
      <c r="C592" s="171">
        <v>-1.0431877148697888</v>
      </c>
      <c r="D592" s="171">
        <v>-0.78932433807079116</v>
      </c>
      <c r="E592" s="170">
        <v>-1.4990492230334603E-2</v>
      </c>
      <c r="F592" s="170">
        <v>0</v>
      </c>
      <c r="G592" s="170">
        <v>0</v>
      </c>
      <c r="H592" s="170">
        <v>-6.8827960560405646E-2</v>
      </c>
      <c r="I592" s="170">
        <v>-0.14525704733164976</v>
      </c>
      <c r="J592" s="170">
        <v>0</v>
      </c>
      <c r="K592" s="170">
        <v>0</v>
      </c>
      <c r="L592">
        <v>1.8954667052703302</v>
      </c>
      <c r="N592" s="172"/>
      <c r="T592" s="35"/>
    </row>
    <row r="593" spans="1:20">
      <c r="A593" s="170" t="s">
        <v>359</v>
      </c>
      <c r="B593" s="171">
        <v>-0.40019020491700363</v>
      </c>
      <c r="C593" s="171">
        <v>-1.0840062473010013</v>
      </c>
      <c r="D593" s="171">
        <v>-1.6840506224230944E-2</v>
      </c>
      <c r="E593" s="170">
        <v>0</v>
      </c>
      <c r="F593" s="170">
        <v>-1.4990492230334603E-2</v>
      </c>
      <c r="G593" s="170">
        <v>0</v>
      </c>
      <c r="H593" s="170">
        <v>-6.8827960560405646E-2</v>
      </c>
      <c r="I593" s="170">
        <v>0</v>
      </c>
      <c r="J593" s="170">
        <v>-5.8370098634356792E-2</v>
      </c>
      <c r="K593" s="170">
        <v>0</v>
      </c>
      <c r="L593">
        <v>0.66775267347450074</v>
      </c>
      <c r="N593" s="172">
        <f>MCond(B592:D594)</f>
        <v>6.5952649754803758</v>
      </c>
      <c r="T593" s="35"/>
    </row>
    <row r="594" spans="1:20">
      <c r="A594" s="170"/>
      <c r="B594" s="171">
        <v>-2.8449497700634536</v>
      </c>
      <c r="C594" s="171">
        <v>-0.22852225552422287</v>
      </c>
      <c r="D594" s="171">
        <v>-6.9737163040410666E-2</v>
      </c>
      <c r="E594" s="170">
        <v>0</v>
      </c>
      <c r="F594" s="170">
        <v>0</v>
      </c>
      <c r="G594" s="170">
        <v>-1.4990492230334603E-2</v>
      </c>
      <c r="H594" s="170">
        <v>-6.8827960560405646E-2</v>
      </c>
      <c r="I594" s="170">
        <v>0</v>
      </c>
      <c r="J594" s="170">
        <v>0</v>
      </c>
      <c r="K594" s="170">
        <v>-2.1174072073315828E-2</v>
      </c>
      <c r="L594">
        <v>4.0754124436814498</v>
      </c>
      <c r="N594" s="172"/>
      <c r="T594" s="35"/>
    </row>
    <row r="595" spans="1:20">
      <c r="A595" s="170"/>
      <c r="B595" s="171"/>
      <c r="C595" s="171"/>
      <c r="D595" s="171"/>
      <c r="E595" s="170"/>
      <c r="F595" s="170"/>
      <c r="G595" s="170"/>
      <c r="H595" s="170"/>
      <c r="I595" s="170"/>
      <c r="J595" s="170"/>
      <c r="K595" s="170"/>
      <c r="N595" s="173"/>
      <c r="T595" s="35"/>
    </row>
    <row r="596" spans="1:20">
      <c r="A596" s="170"/>
      <c r="B596" s="171">
        <v>-1.4421025939282253</v>
      </c>
      <c r="C596" s="171">
        <v>-1.0431877148697888</v>
      </c>
      <c r="D596" s="171">
        <v>-0.78932433807079116</v>
      </c>
      <c r="E596" s="170">
        <v>-1.4990492230334603E-2</v>
      </c>
      <c r="F596" s="170">
        <v>0</v>
      </c>
      <c r="G596" s="170">
        <v>0</v>
      </c>
      <c r="H596" s="170">
        <v>-6.8827960560405646E-2</v>
      </c>
      <c r="I596" s="170">
        <v>-0.14525704733164976</v>
      </c>
      <c r="J596" s="170">
        <v>0</v>
      </c>
      <c r="K596" s="170">
        <v>0</v>
      </c>
      <c r="L596">
        <v>1.8954667052703302</v>
      </c>
      <c r="N596" s="172"/>
      <c r="T596" s="35"/>
    </row>
    <row r="597" spans="1:20">
      <c r="A597" s="170" t="s">
        <v>360</v>
      </c>
      <c r="B597" s="171">
        <v>-0.40019020491700363</v>
      </c>
      <c r="C597" s="171">
        <v>-1.0840062473010013</v>
      </c>
      <c r="D597" s="171">
        <v>-1.6840506224230944E-2</v>
      </c>
      <c r="E597" s="170">
        <v>0</v>
      </c>
      <c r="F597" s="170">
        <v>-1.4990492230334603E-2</v>
      </c>
      <c r="G597" s="170">
        <v>0</v>
      </c>
      <c r="H597" s="170">
        <v>-6.8827960560405646E-2</v>
      </c>
      <c r="I597" s="170">
        <v>0</v>
      </c>
      <c r="J597" s="170">
        <v>-5.8370098634356792E-2</v>
      </c>
      <c r="K597" s="170">
        <v>0</v>
      </c>
      <c r="L597">
        <v>0.66775267347450074</v>
      </c>
      <c r="N597" s="172">
        <f>MCond(B596:D598)</f>
        <v>6.7148325139077363</v>
      </c>
      <c r="T597" s="35"/>
    </row>
    <row r="598" spans="1:20">
      <c r="A598" s="170"/>
      <c r="B598" s="171">
        <v>-2.4772611105726599</v>
      </c>
      <c r="C598" s="171">
        <v>1.0605572692523213</v>
      </c>
      <c r="D598" s="171">
        <v>3.9812674620544719E-2</v>
      </c>
      <c r="E598" s="170">
        <v>0</v>
      </c>
      <c r="F598" s="170">
        <v>0</v>
      </c>
      <c r="G598" s="170">
        <v>-1.4990492230334603E-2</v>
      </c>
      <c r="H598" s="170">
        <v>-6.8827960560405646E-2</v>
      </c>
      <c r="I598" s="170">
        <v>0</v>
      </c>
      <c r="J598" s="170">
        <v>0</v>
      </c>
      <c r="K598" s="170">
        <v>0.18191808401017825</v>
      </c>
      <c r="L598">
        <v>3.6315946901900351</v>
      </c>
      <c r="N598" s="172"/>
      <c r="T598" s="35"/>
    </row>
    <row r="599" spans="1:20">
      <c r="A599" s="170"/>
      <c r="B599" s="171"/>
      <c r="C599" s="171"/>
      <c r="D599" s="171"/>
      <c r="E599" s="170"/>
      <c r="F599" s="170"/>
      <c r="G599" s="170"/>
      <c r="H599" s="170"/>
      <c r="I599" s="170"/>
      <c r="J599" s="170"/>
      <c r="K599" s="170"/>
      <c r="N599" s="173"/>
      <c r="T599" s="35"/>
    </row>
    <row r="600" spans="1:20">
      <c r="A600" s="170"/>
      <c r="B600" s="171">
        <v>-1.4421025939282253</v>
      </c>
      <c r="C600" s="171">
        <v>-1.0431877148697888</v>
      </c>
      <c r="D600" s="171">
        <v>-0.78932433807079116</v>
      </c>
      <c r="E600" s="170">
        <v>-1.4990492230334603E-2</v>
      </c>
      <c r="F600" s="170">
        <v>0</v>
      </c>
      <c r="G600" s="170">
        <v>0</v>
      </c>
      <c r="H600" s="170">
        <v>0</v>
      </c>
      <c r="I600" s="170">
        <v>0</v>
      </c>
      <c r="J600" s="170">
        <v>0</v>
      </c>
      <c r="K600" s="170">
        <v>0</v>
      </c>
      <c r="L600">
        <v>1.8954667052703302</v>
      </c>
      <c r="N600" s="172"/>
      <c r="T600" s="35"/>
    </row>
    <row r="601" spans="1:20">
      <c r="A601" s="170" t="s">
        <v>361</v>
      </c>
      <c r="B601" s="171">
        <v>-0.40019020491700363</v>
      </c>
      <c r="C601" s="171">
        <v>-1.0840062473010013</v>
      </c>
      <c r="D601" s="171">
        <v>-1.6840506224230944E-2</v>
      </c>
      <c r="E601" s="170">
        <v>0</v>
      </c>
      <c r="F601" s="170">
        <v>-1.4990492230334603E-2</v>
      </c>
      <c r="G601" s="170">
        <v>0</v>
      </c>
      <c r="H601" s="170">
        <v>0</v>
      </c>
      <c r="I601" s="170">
        <v>0</v>
      </c>
      <c r="J601" s="170">
        <v>0</v>
      </c>
      <c r="K601" s="170">
        <v>0</v>
      </c>
      <c r="L601">
        <v>0.66775267347450074</v>
      </c>
      <c r="N601" s="172">
        <f>MCond(B600:D602)</f>
        <v>7.0402993519910142</v>
      </c>
      <c r="T601" s="35"/>
    </row>
    <row r="602" spans="1:20">
      <c r="A602" s="170"/>
      <c r="B602" s="171">
        <v>-0.85843073718374274</v>
      </c>
      <c r="C602" s="171">
        <v>1.040962775001312</v>
      </c>
      <c r="D602" s="171">
        <v>-3.7610117674176324E-2</v>
      </c>
      <c r="E602" s="170">
        <v>0</v>
      </c>
      <c r="F602" s="170">
        <v>0</v>
      </c>
      <c r="G602" s="170">
        <v>-1.4990492230334603E-2</v>
      </c>
      <c r="H602" s="170">
        <v>0</v>
      </c>
      <c r="I602" s="170">
        <v>0</v>
      </c>
      <c r="J602" s="170">
        <v>0</v>
      </c>
      <c r="K602" s="170">
        <v>0</v>
      </c>
      <c r="L602">
        <v>0.91096067521586066</v>
      </c>
      <c r="N602" s="172"/>
      <c r="T602" s="35"/>
    </row>
    <row r="603" spans="1:20">
      <c r="A603" s="170"/>
      <c r="B603" s="171"/>
      <c r="C603" s="171"/>
      <c r="D603" s="171"/>
      <c r="E603" s="170"/>
      <c r="F603" s="170"/>
      <c r="G603" s="170"/>
      <c r="H603" s="170"/>
      <c r="I603" s="170"/>
      <c r="J603" s="170"/>
      <c r="K603" s="170"/>
      <c r="N603" s="173"/>
      <c r="T603" s="35"/>
    </row>
    <row r="604" spans="1:20">
      <c r="A604" s="170"/>
      <c r="B604" s="171">
        <v>-1.4421025939282253</v>
      </c>
      <c r="C604" s="171">
        <v>-1.0431877148697888</v>
      </c>
      <c r="D604" s="171">
        <v>-0.78932433807079116</v>
      </c>
      <c r="E604" s="170">
        <v>-1.4990492230334603E-2</v>
      </c>
      <c r="F604" s="170">
        <v>0</v>
      </c>
      <c r="G604" s="170">
        <v>0</v>
      </c>
      <c r="H604" s="170">
        <v>-6.8827960560405646E-2</v>
      </c>
      <c r="I604" s="170">
        <v>-0.14525704733164976</v>
      </c>
      <c r="J604" s="170">
        <v>0</v>
      </c>
      <c r="K604" s="170">
        <v>0</v>
      </c>
      <c r="L604">
        <v>1.8954667052703302</v>
      </c>
      <c r="N604" s="172"/>
      <c r="T604" s="35"/>
    </row>
    <row r="605" spans="1:20">
      <c r="A605" s="170" t="s">
        <v>362</v>
      </c>
      <c r="B605" s="171">
        <v>-0.40019020491700363</v>
      </c>
      <c r="C605" s="171">
        <v>-1.0840062473010013</v>
      </c>
      <c r="D605" s="171">
        <v>-1.6840506224230944E-2</v>
      </c>
      <c r="E605" s="170">
        <v>0</v>
      </c>
      <c r="F605" s="170">
        <v>-1.4990492230334603E-2</v>
      </c>
      <c r="G605" s="170">
        <v>0</v>
      </c>
      <c r="H605" s="170">
        <v>-6.8827960560405646E-2</v>
      </c>
      <c r="I605" s="170">
        <v>0</v>
      </c>
      <c r="J605" s="170">
        <v>-5.8370098634356792E-2</v>
      </c>
      <c r="K605" s="170">
        <v>0</v>
      </c>
      <c r="L605">
        <v>0.66775267347450074</v>
      </c>
      <c r="N605" s="172">
        <f>MCond(B604:D606)</f>
        <v>14.088858695576636</v>
      </c>
      <c r="T605" s="35"/>
    </row>
    <row r="606" spans="1:20">
      <c r="A606" s="170"/>
      <c r="B606" s="171">
        <v>-1.4675604394566215</v>
      </c>
      <c r="C606" s="171">
        <v>1.3235781323919831</v>
      </c>
      <c r="D606" s="171">
        <v>-0.72564008456612294</v>
      </c>
      <c r="E606" s="170">
        <v>0</v>
      </c>
      <c r="F606" s="170">
        <v>0</v>
      </c>
      <c r="G606" s="170">
        <v>-1.4990492230334603E-2</v>
      </c>
      <c r="H606" s="170">
        <v>-6.8827960560405646E-2</v>
      </c>
      <c r="I606" s="170">
        <v>0</v>
      </c>
      <c r="J606" s="170">
        <v>0</v>
      </c>
      <c r="K606" s="170">
        <v>-8.9700844372930258E-2</v>
      </c>
      <c r="L606">
        <v>2.216073124166746</v>
      </c>
      <c r="N606" s="172"/>
      <c r="T606" s="35"/>
    </row>
    <row r="607" spans="1:20">
      <c r="A607" s="170"/>
      <c r="B607" s="171"/>
      <c r="C607" s="171"/>
      <c r="D607" s="171"/>
      <c r="E607" s="170"/>
      <c r="F607" s="170"/>
      <c r="G607" s="170"/>
      <c r="H607" s="170"/>
      <c r="I607" s="170"/>
      <c r="J607" s="170"/>
      <c r="K607" s="170"/>
      <c r="N607" s="173"/>
      <c r="T607" s="35"/>
    </row>
    <row r="608" spans="1:20">
      <c r="A608" s="170"/>
      <c r="B608" s="171">
        <v>-1.4421025939282253</v>
      </c>
      <c r="C608" s="171">
        <v>-1.0431877148697888</v>
      </c>
      <c r="D608" s="171">
        <v>-0.78932433807079116</v>
      </c>
      <c r="E608" s="170">
        <v>-1.4990492230334603E-2</v>
      </c>
      <c r="F608" s="170">
        <v>0</v>
      </c>
      <c r="G608" s="170">
        <v>0</v>
      </c>
      <c r="H608" s="170">
        <v>-6.8827960560405646E-2</v>
      </c>
      <c r="I608" s="170">
        <v>-0.14525704733164976</v>
      </c>
      <c r="J608" s="170">
        <v>0</v>
      </c>
      <c r="K608" s="170">
        <v>0</v>
      </c>
      <c r="L608">
        <v>1.8954667052703302</v>
      </c>
      <c r="N608" s="172"/>
      <c r="T608" s="35"/>
    </row>
    <row r="609" spans="1:20">
      <c r="A609" s="170" t="s">
        <v>363</v>
      </c>
      <c r="B609" s="171">
        <v>-2.8449497700634536</v>
      </c>
      <c r="C609" s="171">
        <v>-0.22852225552422287</v>
      </c>
      <c r="D609" s="171">
        <v>-6.9737163040410666E-2</v>
      </c>
      <c r="E609" s="170">
        <v>0</v>
      </c>
      <c r="F609" s="170">
        <v>-1.4990492230334603E-2</v>
      </c>
      <c r="G609" s="170">
        <v>0</v>
      </c>
      <c r="H609" s="170">
        <v>-6.8827960560405646E-2</v>
      </c>
      <c r="I609" s="170">
        <v>0</v>
      </c>
      <c r="J609" s="170">
        <v>-2.1174072073315828E-2</v>
      </c>
      <c r="K609" s="170">
        <v>0</v>
      </c>
      <c r="L609">
        <v>4.0754124436814498</v>
      </c>
      <c r="N609" s="172">
        <f>MCond(B608:D610)</f>
        <v>10.969037156132696</v>
      </c>
      <c r="T609" s="35"/>
    </row>
    <row r="610" spans="1:20">
      <c r="A610" s="170"/>
      <c r="B610" s="171">
        <v>-2.4772611105726599</v>
      </c>
      <c r="C610" s="171">
        <v>1.0605572692523213</v>
      </c>
      <c r="D610" s="171">
        <v>3.9812674620544719E-2</v>
      </c>
      <c r="E610" s="170">
        <v>0</v>
      </c>
      <c r="F610" s="170">
        <v>0</v>
      </c>
      <c r="G610" s="170">
        <v>-1.4990492230334603E-2</v>
      </c>
      <c r="H610" s="170">
        <v>-6.8827960560405646E-2</v>
      </c>
      <c r="I610" s="170">
        <v>0</v>
      </c>
      <c r="J610" s="170">
        <v>0</v>
      </c>
      <c r="K610" s="170">
        <v>0.18191808401017825</v>
      </c>
      <c r="L610">
        <v>3.6315946901900351</v>
      </c>
      <c r="N610" s="172"/>
      <c r="T610" s="35"/>
    </row>
    <row r="611" spans="1:20">
      <c r="A611" s="170"/>
      <c r="B611" s="171"/>
      <c r="C611" s="171"/>
      <c r="D611" s="171"/>
      <c r="E611" s="170"/>
      <c r="F611" s="170"/>
      <c r="G611" s="170"/>
      <c r="H611" s="170"/>
      <c r="I611" s="170"/>
      <c r="J611" s="170"/>
      <c r="K611" s="170"/>
      <c r="N611" s="173"/>
      <c r="T611" s="35"/>
    </row>
    <row r="612" spans="1:20">
      <c r="A612" s="170"/>
      <c r="B612" s="171">
        <v>-1.4421025939282253</v>
      </c>
      <c r="C612" s="171">
        <v>-1.0431877148697888</v>
      </c>
      <c r="D612" s="171">
        <v>-0.78932433807079116</v>
      </c>
      <c r="E612" s="170">
        <v>-1.4990492230334603E-2</v>
      </c>
      <c r="F612" s="170">
        <v>0</v>
      </c>
      <c r="G612" s="170">
        <v>0</v>
      </c>
      <c r="H612" s="170">
        <v>0</v>
      </c>
      <c r="I612" s="170">
        <v>0</v>
      </c>
      <c r="J612" s="170">
        <v>0</v>
      </c>
      <c r="K612" s="170">
        <v>0</v>
      </c>
      <c r="L612">
        <v>1.8954667052703302</v>
      </c>
      <c r="N612" s="172"/>
      <c r="T612" s="35"/>
    </row>
    <row r="613" spans="1:20">
      <c r="A613" s="170" t="s">
        <v>364</v>
      </c>
      <c r="B613" s="171">
        <v>-2.8449497700634536</v>
      </c>
      <c r="C613" s="171">
        <v>-0.22852225552422287</v>
      </c>
      <c r="D613" s="171">
        <v>-6.9737163040410666E-2</v>
      </c>
      <c r="E613" s="170">
        <v>0</v>
      </c>
      <c r="F613" s="170">
        <v>-1.4990492230334603E-2</v>
      </c>
      <c r="G613" s="170">
        <v>0</v>
      </c>
      <c r="H613" s="170">
        <v>0</v>
      </c>
      <c r="I613" s="170">
        <v>0</v>
      </c>
      <c r="J613" s="170">
        <v>0</v>
      </c>
      <c r="K613" s="170">
        <v>0</v>
      </c>
      <c r="L613">
        <v>4.0754124436814498</v>
      </c>
      <c r="N613" s="172">
        <f>MCond(B612:D614)</f>
        <v>6.9688671966435978</v>
      </c>
      <c r="T613" s="35"/>
    </row>
    <row r="614" spans="1:20">
      <c r="A614" s="170"/>
      <c r="B614" s="171">
        <v>-0.85843073718374274</v>
      </c>
      <c r="C614" s="171">
        <v>1.040962775001312</v>
      </c>
      <c r="D614" s="171">
        <v>-3.7610117674176324E-2</v>
      </c>
      <c r="E614" s="170">
        <v>0</v>
      </c>
      <c r="F614" s="170">
        <v>0</v>
      </c>
      <c r="G614" s="170">
        <v>-1.4990492230334603E-2</v>
      </c>
      <c r="H614" s="170">
        <v>0</v>
      </c>
      <c r="I614" s="170">
        <v>0</v>
      </c>
      <c r="J614" s="170">
        <v>0</v>
      </c>
      <c r="K614" s="170">
        <v>0</v>
      </c>
      <c r="L614">
        <v>0.91096067521586066</v>
      </c>
      <c r="N614" s="172"/>
      <c r="T614" s="35"/>
    </row>
    <row r="615" spans="1:20">
      <c r="A615" s="170"/>
      <c r="B615" s="171"/>
      <c r="C615" s="171"/>
      <c r="D615" s="171"/>
      <c r="E615" s="170"/>
      <c r="F615" s="170"/>
      <c r="G615" s="170"/>
      <c r="H615" s="170"/>
      <c r="I615" s="170"/>
      <c r="J615" s="170"/>
      <c r="K615" s="170"/>
      <c r="N615" s="173"/>
      <c r="T615" s="35"/>
    </row>
    <row r="616" spans="1:20">
      <c r="A616" s="170"/>
      <c r="B616" s="171">
        <v>-1.4421025939282253</v>
      </c>
      <c r="C616" s="171">
        <v>-1.0431877148697888</v>
      </c>
      <c r="D616" s="171">
        <v>-0.78932433807079116</v>
      </c>
      <c r="E616" s="170">
        <v>-1.4990492230334603E-2</v>
      </c>
      <c r="F616" s="170">
        <v>0</v>
      </c>
      <c r="G616" s="170">
        <v>0</v>
      </c>
      <c r="H616" s="170">
        <v>-6.8827960560405646E-2</v>
      </c>
      <c r="I616" s="170">
        <v>-0.14525704733164976</v>
      </c>
      <c r="J616" s="170">
        <v>0</v>
      </c>
      <c r="K616" s="170">
        <v>0</v>
      </c>
      <c r="L616">
        <v>1.8954667052703302</v>
      </c>
      <c r="N616" s="172"/>
      <c r="T616" s="35"/>
    </row>
    <row r="617" spans="1:20">
      <c r="A617" s="170" t="s">
        <v>365</v>
      </c>
      <c r="B617" s="171">
        <v>-2.8449497700634536</v>
      </c>
      <c r="C617" s="171">
        <v>-0.22852225552422287</v>
      </c>
      <c r="D617" s="171">
        <v>-6.9737163040410666E-2</v>
      </c>
      <c r="E617" s="170">
        <v>0</v>
      </c>
      <c r="F617" s="170">
        <v>-1.4990492230334603E-2</v>
      </c>
      <c r="G617" s="170">
        <v>0</v>
      </c>
      <c r="H617" s="170">
        <v>-6.8827960560405646E-2</v>
      </c>
      <c r="I617" s="170">
        <v>0</v>
      </c>
      <c r="J617" s="170">
        <v>-2.1174072073315828E-2</v>
      </c>
      <c r="K617" s="170">
        <v>0</v>
      </c>
      <c r="L617">
        <v>4.0754124436814498</v>
      </c>
      <c r="N617" s="172">
        <f>MCond(B616:D618)</f>
        <v>4.4471433415054369</v>
      </c>
      <c r="T617" s="35"/>
    </row>
    <row r="618" spans="1:20">
      <c r="A618" s="170"/>
      <c r="B618" s="171">
        <v>-1.4675604394566215</v>
      </c>
      <c r="C618" s="171">
        <v>1.3235781323919831</v>
      </c>
      <c r="D618" s="171">
        <v>-0.72564008456612294</v>
      </c>
      <c r="E618" s="170">
        <v>0</v>
      </c>
      <c r="F618" s="170">
        <v>0</v>
      </c>
      <c r="G618" s="170">
        <v>-1.4990492230334603E-2</v>
      </c>
      <c r="H618" s="170">
        <v>-6.8827960560405646E-2</v>
      </c>
      <c r="I618" s="170">
        <v>0</v>
      </c>
      <c r="J618" s="170">
        <v>0</v>
      </c>
      <c r="K618" s="170">
        <v>-8.9700844372930258E-2</v>
      </c>
      <c r="L618">
        <v>2.216073124166746</v>
      </c>
      <c r="N618" s="172"/>
      <c r="T618" s="35"/>
    </row>
    <row r="619" spans="1:20">
      <c r="A619" s="170"/>
      <c r="B619" s="171"/>
      <c r="C619" s="171"/>
      <c r="D619" s="171"/>
      <c r="E619" s="170"/>
      <c r="F619" s="170"/>
      <c r="G619" s="170"/>
      <c r="H619" s="170"/>
      <c r="I619" s="170"/>
      <c r="J619" s="170"/>
      <c r="K619" s="170"/>
      <c r="N619" s="173"/>
      <c r="T619" s="35"/>
    </row>
    <row r="620" spans="1:20">
      <c r="A620" s="170"/>
      <c r="B620" s="171">
        <v>-1.4421025939282253</v>
      </c>
      <c r="C620" s="171">
        <v>-1.0431877148697888</v>
      </c>
      <c r="D620" s="171">
        <v>-0.78932433807079116</v>
      </c>
      <c r="E620" s="170">
        <v>-1.4990492230334603E-2</v>
      </c>
      <c r="F620" s="170">
        <v>0</v>
      </c>
      <c r="G620" s="170">
        <v>0</v>
      </c>
      <c r="H620" s="170">
        <v>0</v>
      </c>
      <c r="I620" s="170">
        <v>0</v>
      </c>
      <c r="J620" s="170">
        <v>0</v>
      </c>
      <c r="K620" s="170">
        <v>0</v>
      </c>
      <c r="L620">
        <v>1.8954667052703302</v>
      </c>
      <c r="N620" s="172"/>
      <c r="T620" s="35"/>
    </row>
    <row r="621" spans="1:20">
      <c r="A621" s="170" t="s">
        <v>366</v>
      </c>
      <c r="B621" s="171">
        <v>-2.4772611105726599</v>
      </c>
      <c r="C621" s="171">
        <v>1.0605572692523213</v>
      </c>
      <c r="D621" s="171">
        <v>3.9812674620544719E-2</v>
      </c>
      <c r="E621" s="170">
        <v>0</v>
      </c>
      <c r="F621" s="170">
        <v>-1.4990492230334603E-2</v>
      </c>
      <c r="G621" s="170">
        <v>0</v>
      </c>
      <c r="H621" s="170">
        <v>0</v>
      </c>
      <c r="I621" s="170">
        <v>0</v>
      </c>
      <c r="J621" s="170">
        <v>0</v>
      </c>
      <c r="K621" s="170">
        <v>0</v>
      </c>
      <c r="L621">
        <v>3.6315946901900351</v>
      </c>
      <c r="N621" s="172">
        <f>MCond(B620:D622)</f>
        <v>10.911698904326556</v>
      </c>
      <c r="T621" s="35"/>
    </row>
    <row r="622" spans="1:20">
      <c r="A622" s="170"/>
      <c r="B622" s="171">
        <v>-0.85843073718374274</v>
      </c>
      <c r="C622" s="171">
        <v>1.040962775001312</v>
      </c>
      <c r="D622" s="171">
        <v>-3.7610117674176324E-2</v>
      </c>
      <c r="E622" s="170">
        <v>0</v>
      </c>
      <c r="F622" s="170">
        <v>0</v>
      </c>
      <c r="G622" s="170">
        <v>-1.4990492230334603E-2</v>
      </c>
      <c r="H622" s="170">
        <v>0</v>
      </c>
      <c r="I622" s="170">
        <v>0</v>
      </c>
      <c r="J622" s="170">
        <v>0</v>
      </c>
      <c r="K622" s="170">
        <v>0</v>
      </c>
      <c r="L622">
        <v>0.91096067521586066</v>
      </c>
      <c r="N622" s="172"/>
      <c r="T622" s="35"/>
    </row>
    <row r="623" spans="1:20">
      <c r="A623" s="170"/>
      <c r="B623" s="171"/>
      <c r="C623" s="171"/>
      <c r="D623" s="171"/>
      <c r="E623" s="170"/>
      <c r="F623" s="170"/>
      <c r="G623" s="170"/>
      <c r="H623" s="170"/>
      <c r="I623" s="170"/>
      <c r="J623" s="170"/>
      <c r="K623" s="170"/>
      <c r="N623" s="173"/>
      <c r="T623" s="35"/>
    </row>
    <row r="624" spans="1:20">
      <c r="A624" s="170"/>
      <c r="B624" s="171">
        <v>-1.4421025939282253</v>
      </c>
      <c r="C624" s="171">
        <v>-1.0431877148697888</v>
      </c>
      <c r="D624" s="171">
        <v>-0.78932433807079116</v>
      </c>
      <c r="E624" s="170">
        <v>-1.4990492230334603E-2</v>
      </c>
      <c r="F624" s="170">
        <v>0</v>
      </c>
      <c r="G624" s="170">
        <v>0</v>
      </c>
      <c r="H624" s="170">
        <v>-6.8827960560405646E-2</v>
      </c>
      <c r="I624" s="170">
        <v>-0.14525704733164976</v>
      </c>
      <c r="J624" s="170">
        <v>0</v>
      </c>
      <c r="K624" s="170">
        <v>0</v>
      </c>
      <c r="L624">
        <v>1.8954667052703302</v>
      </c>
      <c r="N624" s="172"/>
      <c r="T624" s="35"/>
    </row>
    <row r="625" spans="1:20">
      <c r="A625" s="170" t="s">
        <v>367</v>
      </c>
      <c r="B625" s="171">
        <v>-2.4772611105726599</v>
      </c>
      <c r="C625" s="171">
        <v>1.0605572692523213</v>
      </c>
      <c r="D625" s="171">
        <v>3.9812674620544719E-2</v>
      </c>
      <c r="E625" s="170">
        <v>0</v>
      </c>
      <c r="F625" s="170">
        <v>-1.4990492230334603E-2</v>
      </c>
      <c r="G625" s="170">
        <v>0</v>
      </c>
      <c r="H625" s="170">
        <v>-6.8827960560405646E-2</v>
      </c>
      <c r="I625" s="170">
        <v>0</v>
      </c>
      <c r="J625" s="170">
        <v>0.18191808401017825</v>
      </c>
      <c r="K625" s="170">
        <v>0</v>
      </c>
      <c r="L625">
        <v>3.6315946901900351</v>
      </c>
      <c r="N625" s="172">
        <f>MCond(B624:D626)</f>
        <v>4.5861496106463111</v>
      </c>
      <c r="T625" s="35"/>
    </row>
    <row r="626" spans="1:20">
      <c r="A626" s="170"/>
      <c r="B626" s="171">
        <v>-1.4675604394566215</v>
      </c>
      <c r="C626" s="171">
        <v>1.3235781323919831</v>
      </c>
      <c r="D626" s="171">
        <v>-0.72564008456612294</v>
      </c>
      <c r="E626" s="170">
        <v>0</v>
      </c>
      <c r="F626" s="170">
        <v>0</v>
      </c>
      <c r="G626" s="170">
        <v>-1.4990492230334603E-2</v>
      </c>
      <c r="H626" s="170">
        <v>-6.8827960560405646E-2</v>
      </c>
      <c r="I626" s="170">
        <v>0</v>
      </c>
      <c r="J626" s="170">
        <v>0</v>
      </c>
      <c r="K626" s="170">
        <v>-8.9700844372930258E-2</v>
      </c>
      <c r="L626">
        <v>2.216073124166746</v>
      </c>
      <c r="N626" s="172"/>
      <c r="T626" s="35"/>
    </row>
    <row r="627" spans="1:20">
      <c r="A627" s="170"/>
      <c r="B627" s="171"/>
      <c r="C627" s="171"/>
      <c r="D627" s="171"/>
      <c r="E627" s="170"/>
      <c r="F627" s="170"/>
      <c r="G627" s="170"/>
      <c r="H627" s="170"/>
      <c r="I627" s="170"/>
      <c r="J627" s="170"/>
      <c r="K627" s="170"/>
      <c r="N627" s="173"/>
      <c r="T627" s="35"/>
    </row>
    <row r="628" spans="1:20">
      <c r="A628" s="170"/>
      <c r="B628" s="171">
        <v>-1.4421025939282253</v>
      </c>
      <c r="C628" s="171">
        <v>-1.0431877148697888</v>
      </c>
      <c r="D628" s="171">
        <v>-0.78932433807079116</v>
      </c>
      <c r="E628" s="170">
        <v>-1.4990492230334603E-2</v>
      </c>
      <c r="F628" s="170">
        <v>0</v>
      </c>
      <c r="G628" s="170">
        <v>0</v>
      </c>
      <c r="H628" s="170">
        <v>0</v>
      </c>
      <c r="I628" s="170">
        <v>0</v>
      </c>
      <c r="J628" s="170">
        <v>0</v>
      </c>
      <c r="K628" s="170">
        <v>0</v>
      </c>
      <c r="L628">
        <v>1.8954667052703302</v>
      </c>
      <c r="N628" s="172"/>
      <c r="T628" s="35"/>
    </row>
    <row r="629" spans="1:20">
      <c r="A629" s="170" t="s">
        <v>368</v>
      </c>
      <c r="B629" s="171">
        <v>-0.85843073718374274</v>
      </c>
      <c r="C629" s="171">
        <v>1.040962775001312</v>
      </c>
      <c r="D629" s="171">
        <v>-3.7610117674176324E-2</v>
      </c>
      <c r="E629" s="170">
        <v>0</v>
      </c>
      <c r="F629" s="170">
        <v>-1.4990492230334603E-2</v>
      </c>
      <c r="G629" s="170">
        <v>0</v>
      </c>
      <c r="H629" s="170">
        <v>0</v>
      </c>
      <c r="I629" s="170">
        <v>0</v>
      </c>
      <c r="J629" s="170">
        <v>0</v>
      </c>
      <c r="K629" s="170">
        <v>0</v>
      </c>
      <c r="L629">
        <v>0.91096067521586066</v>
      </c>
      <c r="N629" s="172">
        <f>MCond(B628:D630)</f>
        <v>9.3131735466476471</v>
      </c>
      <c r="T629" s="35"/>
    </row>
    <row r="630" spans="1:20">
      <c r="A630" s="170"/>
      <c r="B630" s="171">
        <v>-1.4675604394566215</v>
      </c>
      <c r="C630" s="171">
        <v>1.3235781323919831</v>
      </c>
      <c r="D630" s="171">
        <v>-0.72564008456612294</v>
      </c>
      <c r="E630" s="170">
        <v>0</v>
      </c>
      <c r="F630" s="170">
        <v>0</v>
      </c>
      <c r="G630" s="170">
        <v>-1.4990492230334603E-2</v>
      </c>
      <c r="H630" s="170">
        <v>0</v>
      </c>
      <c r="I630" s="170">
        <v>0</v>
      </c>
      <c r="J630" s="170">
        <v>0</v>
      </c>
      <c r="K630" s="170">
        <v>0</v>
      </c>
      <c r="L630">
        <v>2.216073124166746</v>
      </c>
      <c r="N630" s="172"/>
    </row>
    <row r="631" spans="1:20">
      <c r="A631" s="170"/>
      <c r="B631" s="171"/>
      <c r="C631" s="171"/>
      <c r="D631" s="171"/>
      <c r="E631" s="170"/>
      <c r="F631" s="170"/>
      <c r="G631" s="170"/>
      <c r="H631" s="170"/>
      <c r="I631" s="170"/>
      <c r="J631" s="170"/>
      <c r="K631" s="170"/>
      <c r="N631" s="173"/>
    </row>
    <row r="632" spans="1:20">
      <c r="A632" s="170"/>
      <c r="B632" s="171">
        <v>-2.6959782234951333</v>
      </c>
      <c r="C632" s="171">
        <v>-1.0757798809975587</v>
      </c>
      <c r="D632" s="171">
        <v>-4.997772423355884E-2</v>
      </c>
      <c r="E632" s="170">
        <v>-1.4990492230334603E-2</v>
      </c>
      <c r="F632" s="170">
        <v>0</v>
      </c>
      <c r="G632" s="170">
        <v>0</v>
      </c>
      <c r="H632" s="170">
        <v>0</v>
      </c>
      <c r="I632" s="170">
        <v>0</v>
      </c>
      <c r="J632" s="170">
        <v>0</v>
      </c>
      <c r="K632" s="170">
        <v>0</v>
      </c>
      <c r="L632">
        <v>4.2140493534193304</v>
      </c>
      <c r="N632" s="172"/>
    </row>
    <row r="633" spans="1:20">
      <c r="A633" s="170" t="s">
        <v>369</v>
      </c>
      <c r="B633" s="171">
        <v>-0.40019020491700363</v>
      </c>
      <c r="C633" s="171">
        <v>-1.0840062473010013</v>
      </c>
      <c r="D633" s="171">
        <v>-1.6840506224230944E-2</v>
      </c>
      <c r="E633" s="170">
        <v>0</v>
      </c>
      <c r="F633" s="170">
        <v>-1.4990492230334603E-2</v>
      </c>
      <c r="G633" s="170">
        <v>0</v>
      </c>
      <c r="H633" s="170">
        <v>0</v>
      </c>
      <c r="I633" s="170">
        <v>0</v>
      </c>
      <c r="J633" s="170">
        <v>0</v>
      </c>
      <c r="K633" s="170">
        <v>0</v>
      </c>
      <c r="L633">
        <v>0.66775267347450074</v>
      </c>
      <c r="N633" s="172">
        <f>MCond(B632:D634)</f>
        <v>286.9294314386575</v>
      </c>
    </row>
    <row r="634" spans="1:20">
      <c r="A634" s="170"/>
      <c r="B634" s="171">
        <v>-2.8449497700634536</v>
      </c>
      <c r="C634" s="171">
        <v>-0.22852225552422287</v>
      </c>
      <c r="D634" s="171">
        <v>-6.9737163040410666E-2</v>
      </c>
      <c r="E634" s="170">
        <v>0</v>
      </c>
      <c r="F634" s="170">
        <v>0</v>
      </c>
      <c r="G634" s="170">
        <v>-1.4990492230334603E-2</v>
      </c>
      <c r="H634" s="170">
        <v>0</v>
      </c>
      <c r="I634" s="170">
        <v>0</v>
      </c>
      <c r="J634" s="170">
        <v>0</v>
      </c>
      <c r="K634" s="170">
        <v>0</v>
      </c>
      <c r="L634">
        <v>4.0754124436814498</v>
      </c>
      <c r="N634" s="172"/>
    </row>
    <row r="635" spans="1:20">
      <c r="A635" s="170"/>
      <c r="B635" s="171"/>
      <c r="C635" s="171"/>
      <c r="D635" s="171"/>
      <c r="E635" s="170"/>
      <c r="F635" s="170"/>
      <c r="G635" s="170"/>
      <c r="H635" s="170"/>
      <c r="I635" s="170"/>
      <c r="J635" s="170"/>
      <c r="K635" s="170"/>
      <c r="N635" s="173"/>
    </row>
    <row r="636" spans="1:20">
      <c r="A636" s="170"/>
      <c r="B636" s="171">
        <v>-2.6959782234951333</v>
      </c>
      <c r="C636" s="171">
        <v>-1.0757798809975587</v>
      </c>
      <c r="D636" s="171">
        <v>-4.997772423355884E-2</v>
      </c>
      <c r="E636" s="170">
        <v>-1.4990492230334603E-2</v>
      </c>
      <c r="F636" s="170">
        <v>0</v>
      </c>
      <c r="G636" s="170">
        <v>0</v>
      </c>
      <c r="H636" s="170">
        <v>0</v>
      </c>
      <c r="I636" s="170">
        <v>0</v>
      </c>
      <c r="J636" s="170">
        <v>0</v>
      </c>
      <c r="K636" s="170">
        <v>0</v>
      </c>
      <c r="L636">
        <v>4.2140493534193304</v>
      </c>
      <c r="N636" s="172"/>
    </row>
    <row r="637" spans="1:20">
      <c r="A637" s="170" t="s">
        <v>370</v>
      </c>
      <c r="B637" s="171">
        <v>-0.40019020491700363</v>
      </c>
      <c r="C637" s="171">
        <v>-1.0840062473010013</v>
      </c>
      <c r="D637" s="171">
        <v>-1.6840506224230944E-2</v>
      </c>
      <c r="E637" s="170">
        <v>0</v>
      </c>
      <c r="F637" s="170">
        <v>-1.4990492230334603E-2</v>
      </c>
      <c r="G637" s="170">
        <v>0</v>
      </c>
      <c r="H637" s="170">
        <v>0</v>
      </c>
      <c r="I637" s="170">
        <v>0</v>
      </c>
      <c r="J637" s="170">
        <v>0</v>
      </c>
      <c r="K637" s="170">
        <v>0</v>
      </c>
      <c r="L637">
        <v>0.66775267347450074</v>
      </c>
      <c r="N637" s="172">
        <f>MCond(B636:D638)</f>
        <v>155.61168544988374</v>
      </c>
    </row>
    <row r="638" spans="1:20">
      <c r="A638" s="170"/>
      <c r="B638" s="171">
        <v>-2.4772611105726599</v>
      </c>
      <c r="C638" s="171">
        <v>1.0605572692523213</v>
      </c>
      <c r="D638" s="171">
        <v>3.9812674620544719E-2</v>
      </c>
      <c r="E638" s="170">
        <v>0</v>
      </c>
      <c r="F638" s="170">
        <v>0</v>
      </c>
      <c r="G638" s="170">
        <v>-1.4990492230334603E-2</v>
      </c>
      <c r="H638" s="170">
        <v>0</v>
      </c>
      <c r="I638" s="170">
        <v>0</v>
      </c>
      <c r="J638" s="170">
        <v>0</v>
      </c>
      <c r="K638" s="170">
        <v>0</v>
      </c>
      <c r="L638">
        <v>3.6315946901900351</v>
      </c>
      <c r="N638" s="172"/>
    </row>
    <row r="639" spans="1:20">
      <c r="A639" s="170"/>
      <c r="B639" s="171"/>
      <c r="C639" s="171"/>
      <c r="D639" s="171"/>
      <c r="E639" s="170"/>
      <c r="F639" s="170"/>
      <c r="G639" s="170"/>
      <c r="H639" s="170"/>
      <c r="I639" s="170"/>
      <c r="J639" s="170"/>
      <c r="K639" s="170"/>
      <c r="N639" s="173"/>
    </row>
    <row r="640" spans="1:20">
      <c r="A640" s="170"/>
      <c r="B640" s="171">
        <v>-2.6959782234951333</v>
      </c>
      <c r="C640" s="171">
        <v>-1.0757798809975587</v>
      </c>
      <c r="D640" s="171">
        <v>-4.997772423355884E-2</v>
      </c>
      <c r="E640" s="170">
        <v>-1.4990492230334603E-2</v>
      </c>
      <c r="F640" s="170">
        <v>0</v>
      </c>
      <c r="G640" s="170">
        <v>0</v>
      </c>
      <c r="H640" s="170">
        <v>0</v>
      </c>
      <c r="I640" s="170">
        <v>0</v>
      </c>
      <c r="J640" s="170">
        <v>0</v>
      </c>
      <c r="K640" s="170">
        <v>0</v>
      </c>
      <c r="L640">
        <v>4.2140493534193304</v>
      </c>
      <c r="N640" s="172"/>
    </row>
    <row r="641" spans="1:14">
      <c r="A641" s="170" t="s">
        <v>371</v>
      </c>
      <c r="B641" s="171">
        <v>-0.40019020491700363</v>
      </c>
      <c r="C641" s="171">
        <v>-1.0840062473010013</v>
      </c>
      <c r="D641" s="171">
        <v>-1.6840506224230944E-2</v>
      </c>
      <c r="E641" s="170">
        <v>0</v>
      </c>
      <c r="F641" s="170">
        <v>-1.4990492230334603E-2</v>
      </c>
      <c r="G641" s="170">
        <v>0</v>
      </c>
      <c r="H641" s="170">
        <v>0</v>
      </c>
      <c r="I641" s="170">
        <v>0</v>
      </c>
      <c r="J641" s="170">
        <v>0</v>
      </c>
      <c r="K641" s="170">
        <v>0</v>
      </c>
      <c r="L641">
        <v>0.66775267347450074</v>
      </c>
      <c r="N641" s="172">
        <f>MCond(B640:D642)</f>
        <v>159.28604006876967</v>
      </c>
    </row>
    <row r="642" spans="1:14">
      <c r="A642" s="170"/>
      <c r="B642" s="171">
        <v>-0.85843073718374274</v>
      </c>
      <c r="C642" s="171">
        <v>1.040962775001312</v>
      </c>
      <c r="D642" s="171">
        <v>-3.7610117674176324E-2</v>
      </c>
      <c r="E642" s="170">
        <v>0</v>
      </c>
      <c r="F642" s="170">
        <v>0</v>
      </c>
      <c r="G642" s="170">
        <v>-1.4990492230334603E-2</v>
      </c>
      <c r="H642" s="170">
        <v>0</v>
      </c>
      <c r="I642" s="170">
        <v>0</v>
      </c>
      <c r="J642" s="170">
        <v>0</v>
      </c>
      <c r="K642" s="170">
        <v>0</v>
      </c>
      <c r="L642">
        <v>0.91096067521586066</v>
      </c>
      <c r="N642" s="172"/>
    </row>
    <row r="643" spans="1:14">
      <c r="A643" s="170"/>
      <c r="B643" s="171"/>
      <c r="C643" s="171"/>
      <c r="D643" s="171"/>
      <c r="E643" s="170"/>
      <c r="F643" s="170"/>
      <c r="G643" s="170"/>
      <c r="H643" s="170"/>
      <c r="I643" s="170"/>
      <c r="J643" s="170"/>
      <c r="K643" s="170"/>
      <c r="N643" s="173"/>
    </row>
    <row r="644" spans="1:14">
      <c r="A644" s="170"/>
      <c r="B644" s="171">
        <v>-2.6959782234951333</v>
      </c>
      <c r="C644" s="171">
        <v>-1.0757798809975587</v>
      </c>
      <c r="D644" s="171">
        <v>-4.997772423355884E-2</v>
      </c>
      <c r="E644" s="170">
        <v>-1.4990492230334603E-2</v>
      </c>
      <c r="F644" s="170">
        <v>0</v>
      </c>
      <c r="G644" s="170">
        <v>0</v>
      </c>
      <c r="H644" s="170">
        <v>0</v>
      </c>
      <c r="I644" s="170">
        <v>0</v>
      </c>
      <c r="J644" s="170">
        <v>0</v>
      </c>
      <c r="K644" s="170">
        <v>0</v>
      </c>
      <c r="L644">
        <v>4.2140493534193304</v>
      </c>
      <c r="N644" s="172"/>
    </row>
    <row r="645" spans="1:14">
      <c r="A645" s="170" t="s">
        <v>372</v>
      </c>
      <c r="B645" s="171">
        <v>-0.40019020491700363</v>
      </c>
      <c r="C645" s="171">
        <v>-1.0840062473010013</v>
      </c>
      <c r="D645" s="171">
        <v>-1.6840506224230944E-2</v>
      </c>
      <c r="E645" s="170">
        <v>0</v>
      </c>
      <c r="F645" s="170">
        <v>-1.4990492230334603E-2</v>
      </c>
      <c r="G645" s="170">
        <v>0</v>
      </c>
      <c r="H645" s="170">
        <v>0</v>
      </c>
      <c r="I645" s="170">
        <v>0</v>
      </c>
      <c r="J645" s="170">
        <v>0</v>
      </c>
      <c r="K645" s="170">
        <v>0</v>
      </c>
      <c r="L645">
        <v>0.66775267347450074</v>
      </c>
      <c r="N645" s="172">
        <f>MCond(B644:D646)</f>
        <v>11.339490785679912</v>
      </c>
    </row>
    <row r="646" spans="1:14">
      <c r="A646" s="170"/>
      <c r="B646" s="171">
        <v>-1.4675604394566215</v>
      </c>
      <c r="C646" s="171">
        <v>1.3235781323919831</v>
      </c>
      <c r="D646" s="171">
        <v>-0.72564008456612294</v>
      </c>
      <c r="E646" s="170">
        <v>0</v>
      </c>
      <c r="F646" s="170">
        <v>0</v>
      </c>
      <c r="G646" s="170">
        <v>-1.4990492230334603E-2</v>
      </c>
      <c r="H646" s="170">
        <v>0</v>
      </c>
      <c r="I646" s="170">
        <v>0</v>
      </c>
      <c r="J646" s="170">
        <v>0</v>
      </c>
      <c r="K646" s="170">
        <v>0</v>
      </c>
      <c r="L646">
        <v>2.216073124166746</v>
      </c>
      <c r="N646" s="172"/>
    </row>
    <row r="647" spans="1:14">
      <c r="A647" s="170"/>
      <c r="B647" s="171"/>
      <c r="C647" s="171"/>
      <c r="D647" s="171"/>
      <c r="E647" s="170"/>
      <c r="F647" s="170"/>
      <c r="G647" s="170"/>
      <c r="H647" s="170"/>
      <c r="I647" s="170"/>
      <c r="J647" s="170"/>
      <c r="K647" s="170"/>
      <c r="N647" s="173"/>
    </row>
    <row r="648" spans="1:14">
      <c r="A648" s="170"/>
      <c r="B648" s="171">
        <v>-2.6959782234951333</v>
      </c>
      <c r="C648" s="171">
        <v>-1.0757798809975587</v>
      </c>
      <c r="D648" s="171">
        <v>-4.997772423355884E-2</v>
      </c>
      <c r="E648" s="170">
        <v>-1.4990492230334603E-2</v>
      </c>
      <c r="F648" s="170">
        <v>0</v>
      </c>
      <c r="G648" s="170">
        <v>0</v>
      </c>
      <c r="H648" s="170">
        <v>0</v>
      </c>
      <c r="I648" s="170">
        <v>0</v>
      </c>
      <c r="J648" s="170">
        <v>0</v>
      </c>
      <c r="K648" s="170">
        <v>0</v>
      </c>
      <c r="L648">
        <v>4.2140493534193304</v>
      </c>
      <c r="N648" s="172"/>
    </row>
    <row r="649" spans="1:14">
      <c r="A649" s="170" t="s">
        <v>373</v>
      </c>
      <c r="B649" s="171">
        <v>-2.8449497700634536</v>
      </c>
      <c r="C649" s="171">
        <v>-0.22852225552422287</v>
      </c>
      <c r="D649" s="171">
        <v>-6.9737163040410666E-2</v>
      </c>
      <c r="E649" s="170">
        <v>0</v>
      </c>
      <c r="F649" s="170">
        <v>-1.4990492230334603E-2</v>
      </c>
      <c r="G649" s="170">
        <v>0</v>
      </c>
      <c r="H649" s="170">
        <v>0</v>
      </c>
      <c r="I649" s="170">
        <v>0</v>
      </c>
      <c r="J649" s="170">
        <v>0</v>
      </c>
      <c r="K649" s="170">
        <v>0</v>
      </c>
      <c r="L649">
        <v>4.0754124436814498</v>
      </c>
      <c r="N649" s="172">
        <f>MCond(B648:D650)</f>
        <v>107.5399530016923</v>
      </c>
    </row>
    <row r="650" spans="1:14">
      <c r="A650" s="170"/>
      <c r="B650" s="171">
        <v>-2.4772611105726599</v>
      </c>
      <c r="C650" s="171">
        <v>1.0605572692523213</v>
      </c>
      <c r="D650" s="171">
        <v>3.9812674620544719E-2</v>
      </c>
      <c r="E650" s="170">
        <v>0</v>
      </c>
      <c r="F650" s="170">
        <v>0</v>
      </c>
      <c r="G650" s="170">
        <v>-1.4990492230334603E-2</v>
      </c>
      <c r="H650" s="170">
        <v>0</v>
      </c>
      <c r="I650" s="170">
        <v>0</v>
      </c>
      <c r="J650" s="170">
        <v>0</v>
      </c>
      <c r="K650" s="170">
        <v>0</v>
      </c>
      <c r="L650">
        <v>3.6315946901900351</v>
      </c>
      <c r="N650" s="172"/>
    </row>
    <row r="651" spans="1:14">
      <c r="A651" s="170"/>
      <c r="B651" s="171"/>
      <c r="C651" s="171"/>
      <c r="D651" s="171"/>
      <c r="E651" s="170"/>
      <c r="F651" s="170"/>
      <c r="G651" s="170"/>
      <c r="H651" s="170"/>
      <c r="I651" s="170"/>
      <c r="J651" s="170"/>
      <c r="K651" s="170"/>
      <c r="N651" s="173"/>
    </row>
    <row r="652" spans="1:14">
      <c r="A652" s="170"/>
      <c r="B652" s="171">
        <v>-2.6959782234951333</v>
      </c>
      <c r="C652" s="171">
        <v>-1.0757798809975587</v>
      </c>
      <c r="D652" s="171">
        <v>-4.997772423355884E-2</v>
      </c>
      <c r="E652" s="170">
        <v>-1.4990492230334603E-2</v>
      </c>
      <c r="F652" s="170">
        <v>0</v>
      </c>
      <c r="G652" s="170">
        <v>0</v>
      </c>
      <c r="H652" s="170">
        <v>0</v>
      </c>
      <c r="I652" s="170">
        <v>0</v>
      </c>
      <c r="J652" s="170">
        <v>0</v>
      </c>
      <c r="K652" s="170">
        <v>0</v>
      </c>
      <c r="L652">
        <v>4.2140493534193304</v>
      </c>
      <c r="N652" s="172"/>
    </row>
    <row r="653" spans="1:14">
      <c r="A653" s="170" t="s">
        <v>374</v>
      </c>
      <c r="B653" s="171">
        <v>-2.8449497700634536</v>
      </c>
      <c r="C653" s="171">
        <v>-0.22852225552422287</v>
      </c>
      <c r="D653" s="171">
        <v>-6.9737163040410666E-2</v>
      </c>
      <c r="E653" s="170">
        <v>0</v>
      </c>
      <c r="F653" s="170">
        <v>-1.4990492230334603E-2</v>
      </c>
      <c r="G653" s="170">
        <v>0</v>
      </c>
      <c r="H653" s="170">
        <v>0</v>
      </c>
      <c r="I653" s="170">
        <v>0</v>
      </c>
      <c r="J653" s="170">
        <v>0</v>
      </c>
      <c r="K653" s="170">
        <v>0</v>
      </c>
      <c r="L653">
        <v>4.0754124436814498</v>
      </c>
      <c r="N653" s="172">
        <f>MCond(B652:D654)</f>
        <v>2149.1679832149403</v>
      </c>
    </row>
    <row r="654" spans="1:14">
      <c r="A654" s="170"/>
      <c r="B654" s="171">
        <v>-0.85843073718374274</v>
      </c>
      <c r="C654" s="171">
        <v>1.040962775001312</v>
      </c>
      <c r="D654" s="171">
        <v>-3.7610117674176324E-2</v>
      </c>
      <c r="E654" s="170">
        <v>0</v>
      </c>
      <c r="F654" s="170">
        <v>0</v>
      </c>
      <c r="G654" s="170">
        <v>-1.4990492230334603E-2</v>
      </c>
      <c r="H654" s="170">
        <v>0</v>
      </c>
      <c r="I654" s="170">
        <v>0</v>
      </c>
      <c r="J654" s="170">
        <v>0</v>
      </c>
      <c r="K654" s="170">
        <v>0</v>
      </c>
      <c r="L654">
        <v>0.91096067521586066</v>
      </c>
      <c r="N654" s="172"/>
    </row>
    <row r="655" spans="1:14">
      <c r="A655" s="170"/>
      <c r="B655" s="171"/>
      <c r="C655" s="171"/>
      <c r="D655" s="171"/>
      <c r="E655" s="170"/>
      <c r="F655" s="170"/>
      <c r="G655" s="170"/>
      <c r="H655" s="170"/>
      <c r="I655" s="170"/>
      <c r="J655" s="170"/>
      <c r="K655" s="170"/>
      <c r="N655" s="173"/>
    </row>
    <row r="656" spans="1:14">
      <c r="A656" s="170"/>
      <c r="B656" s="171">
        <v>-2.6959782234951333</v>
      </c>
      <c r="C656" s="171">
        <v>-1.0757798809975587</v>
      </c>
      <c r="D656" s="171">
        <v>-4.997772423355884E-2</v>
      </c>
      <c r="E656" s="170">
        <v>-1.4990492230334603E-2</v>
      </c>
      <c r="F656" s="170">
        <v>0</v>
      </c>
      <c r="G656" s="170">
        <v>0</v>
      </c>
      <c r="H656" s="170">
        <v>0</v>
      </c>
      <c r="I656" s="170">
        <v>0</v>
      </c>
      <c r="J656" s="170">
        <v>0</v>
      </c>
      <c r="K656" s="170">
        <v>0</v>
      </c>
      <c r="L656">
        <v>4.2140493534193304</v>
      </c>
      <c r="N656" s="172"/>
    </row>
    <row r="657" spans="1:14">
      <c r="A657" s="170" t="s">
        <v>375</v>
      </c>
      <c r="B657" s="171">
        <v>-2.8449497700634536</v>
      </c>
      <c r="C657" s="171">
        <v>-0.22852225552422287</v>
      </c>
      <c r="D657" s="171">
        <v>-6.9737163040410666E-2</v>
      </c>
      <c r="E657" s="170">
        <v>0</v>
      </c>
      <c r="F657" s="170">
        <v>-1.4990492230334603E-2</v>
      </c>
      <c r="G657" s="170">
        <v>0</v>
      </c>
      <c r="H657" s="170">
        <v>0</v>
      </c>
      <c r="I657" s="170">
        <v>0</v>
      </c>
      <c r="J657" s="170">
        <v>0</v>
      </c>
      <c r="K657" s="170">
        <v>0</v>
      </c>
      <c r="L657">
        <v>4.0754124436814498</v>
      </c>
      <c r="N657" s="172">
        <f>MCond(B656:D658)</f>
        <v>19.571411138788417</v>
      </c>
    </row>
    <row r="658" spans="1:14">
      <c r="A658" s="170"/>
      <c r="B658" s="171">
        <v>-1.4675604394566215</v>
      </c>
      <c r="C658" s="171">
        <v>1.3235781323919831</v>
      </c>
      <c r="D658" s="171">
        <v>-0.72564008456612294</v>
      </c>
      <c r="E658" s="170">
        <v>0</v>
      </c>
      <c r="F658" s="170">
        <v>0</v>
      </c>
      <c r="G658" s="170">
        <v>-1.4990492230334603E-2</v>
      </c>
      <c r="H658" s="170">
        <v>0</v>
      </c>
      <c r="I658" s="170">
        <v>0</v>
      </c>
      <c r="J658" s="170">
        <v>0</v>
      </c>
      <c r="K658" s="170">
        <v>0</v>
      </c>
      <c r="L658">
        <v>2.216073124166746</v>
      </c>
      <c r="N658" s="172"/>
    </row>
    <row r="659" spans="1:14">
      <c r="A659" s="170"/>
      <c r="B659" s="171"/>
      <c r="C659" s="171"/>
      <c r="D659" s="171"/>
      <c r="E659" s="170"/>
      <c r="F659" s="170"/>
      <c r="G659" s="170"/>
      <c r="H659" s="170"/>
      <c r="I659" s="170"/>
      <c r="J659" s="170"/>
      <c r="K659" s="170"/>
      <c r="N659" s="173"/>
    </row>
    <row r="660" spans="1:14">
      <c r="A660" s="170"/>
      <c r="B660" s="171">
        <v>-2.6959782234951333</v>
      </c>
      <c r="C660" s="171">
        <v>-1.0757798809975587</v>
      </c>
      <c r="D660" s="171">
        <v>-4.997772423355884E-2</v>
      </c>
      <c r="E660" s="170">
        <v>-1.4990492230334603E-2</v>
      </c>
      <c r="F660" s="170">
        <v>0</v>
      </c>
      <c r="G660" s="170">
        <v>0</v>
      </c>
      <c r="H660" s="170">
        <v>0</v>
      </c>
      <c r="I660" s="170">
        <v>0</v>
      </c>
      <c r="J660" s="170">
        <v>0</v>
      </c>
      <c r="K660" s="170">
        <v>0</v>
      </c>
      <c r="L660">
        <v>4.2140493534193304</v>
      </c>
      <c r="N660" s="172"/>
    </row>
    <row r="661" spans="1:14">
      <c r="A661" s="170" t="s">
        <v>376</v>
      </c>
      <c r="B661" s="171">
        <v>-2.4772611105726599</v>
      </c>
      <c r="C661" s="171">
        <v>1.0605572692523213</v>
      </c>
      <c r="D661" s="171">
        <v>3.9812674620544719E-2</v>
      </c>
      <c r="E661" s="170">
        <v>0</v>
      </c>
      <c r="F661" s="170">
        <v>-1.4990492230334603E-2</v>
      </c>
      <c r="G661" s="170">
        <v>0</v>
      </c>
      <c r="H661" s="170">
        <v>0</v>
      </c>
      <c r="I661" s="170">
        <v>0</v>
      </c>
      <c r="J661" s="170">
        <v>0</v>
      </c>
      <c r="K661" s="170">
        <v>0</v>
      </c>
      <c r="L661">
        <v>3.6315946901900351</v>
      </c>
      <c r="N661" s="172">
        <f>MCond(B660:D662)</f>
        <v>58.858855955017582</v>
      </c>
    </row>
    <row r="662" spans="1:14">
      <c r="A662" s="170"/>
      <c r="B662" s="171">
        <v>-0.85843073718374274</v>
      </c>
      <c r="C662" s="171">
        <v>1.040962775001312</v>
      </c>
      <c r="D662" s="171">
        <v>-3.7610117674176324E-2</v>
      </c>
      <c r="E662" s="170">
        <v>0</v>
      </c>
      <c r="F662" s="170">
        <v>0</v>
      </c>
      <c r="G662" s="170">
        <v>-1.4990492230334603E-2</v>
      </c>
      <c r="H662" s="170">
        <v>0</v>
      </c>
      <c r="I662" s="170">
        <v>0</v>
      </c>
      <c r="J662" s="170">
        <v>0</v>
      </c>
      <c r="K662" s="170">
        <v>0</v>
      </c>
      <c r="L662">
        <v>0.91096067521586066</v>
      </c>
      <c r="N662" s="172"/>
    </row>
    <row r="663" spans="1:14">
      <c r="A663" s="170"/>
      <c r="B663" s="171"/>
      <c r="C663" s="171"/>
      <c r="D663" s="171"/>
      <c r="E663" s="170"/>
      <c r="F663" s="170"/>
      <c r="G663" s="170"/>
      <c r="H663" s="170"/>
      <c r="I663" s="170"/>
      <c r="J663" s="170"/>
      <c r="K663" s="170"/>
      <c r="N663" s="173"/>
    </row>
    <row r="664" spans="1:14">
      <c r="A664" s="170"/>
      <c r="B664" s="171">
        <v>-2.6959782234951333</v>
      </c>
      <c r="C664" s="171">
        <v>-1.0757798809975587</v>
      </c>
      <c r="D664" s="171">
        <v>-4.997772423355884E-2</v>
      </c>
      <c r="E664" s="170">
        <v>-1.4990492230334603E-2</v>
      </c>
      <c r="F664" s="170">
        <v>0</v>
      </c>
      <c r="G664" s="170">
        <v>0</v>
      </c>
      <c r="H664" s="170">
        <v>0</v>
      </c>
      <c r="I664" s="170">
        <v>0</v>
      </c>
      <c r="J664" s="170">
        <v>0</v>
      </c>
      <c r="K664" s="170">
        <v>0</v>
      </c>
      <c r="L664">
        <v>4.2140493534193304</v>
      </c>
      <c r="N664" s="172"/>
    </row>
    <row r="665" spans="1:14">
      <c r="A665" s="170" t="s">
        <v>377</v>
      </c>
      <c r="B665" s="171">
        <v>-2.4772611105726599</v>
      </c>
      <c r="C665" s="171">
        <v>1.0605572692523213</v>
      </c>
      <c r="D665" s="171">
        <v>3.9812674620544719E-2</v>
      </c>
      <c r="E665" s="170">
        <v>0</v>
      </c>
      <c r="F665" s="170">
        <v>-1.4990492230334603E-2</v>
      </c>
      <c r="G665" s="170">
        <v>0</v>
      </c>
      <c r="H665" s="170">
        <v>0</v>
      </c>
      <c r="I665" s="170">
        <v>0</v>
      </c>
      <c r="J665" s="170">
        <v>0</v>
      </c>
      <c r="K665" s="170">
        <v>0</v>
      </c>
      <c r="L665">
        <v>3.6315946901900351</v>
      </c>
      <c r="N665" s="172">
        <f>MCond(B664:D666)</f>
        <v>7.33302063772613</v>
      </c>
    </row>
    <row r="666" spans="1:14">
      <c r="A666" s="170"/>
      <c r="B666" s="171">
        <v>-1.4675604394566215</v>
      </c>
      <c r="C666" s="171">
        <v>1.3235781323919831</v>
      </c>
      <c r="D666" s="171">
        <v>-0.72564008456612294</v>
      </c>
      <c r="E666" s="170">
        <v>0</v>
      </c>
      <c r="F666" s="170">
        <v>0</v>
      </c>
      <c r="G666" s="170">
        <v>-1.4990492230334603E-2</v>
      </c>
      <c r="H666" s="170">
        <v>0</v>
      </c>
      <c r="I666" s="170">
        <v>0</v>
      </c>
      <c r="J666" s="170">
        <v>0</v>
      </c>
      <c r="K666" s="170">
        <v>0</v>
      </c>
      <c r="L666">
        <v>2.216073124166746</v>
      </c>
      <c r="N666" s="172"/>
    </row>
    <row r="667" spans="1:14">
      <c r="A667" s="170"/>
      <c r="B667" s="171"/>
      <c r="C667" s="171"/>
      <c r="D667" s="171"/>
      <c r="E667" s="170"/>
      <c r="F667" s="170"/>
      <c r="G667" s="170"/>
      <c r="H667" s="170"/>
      <c r="I667" s="170"/>
      <c r="J667" s="170"/>
      <c r="K667" s="170"/>
      <c r="N667" s="173"/>
    </row>
    <row r="668" spans="1:14">
      <c r="A668" s="170"/>
      <c r="B668" s="171">
        <v>-2.6959782234951333</v>
      </c>
      <c r="C668" s="171">
        <v>-1.0757798809975587</v>
      </c>
      <c r="D668" s="171">
        <v>-4.997772423355884E-2</v>
      </c>
      <c r="E668" s="170">
        <v>-1.4990492230334603E-2</v>
      </c>
      <c r="F668" s="170">
        <v>0</v>
      </c>
      <c r="G668" s="170">
        <v>0</v>
      </c>
      <c r="H668" s="170">
        <v>0</v>
      </c>
      <c r="I668" s="170">
        <v>0</v>
      </c>
      <c r="J668" s="170">
        <v>0</v>
      </c>
      <c r="K668" s="170">
        <v>0</v>
      </c>
      <c r="L668">
        <v>4.2140493534193304</v>
      </c>
      <c r="N668" s="172"/>
    </row>
    <row r="669" spans="1:14">
      <c r="A669" s="170" t="s">
        <v>378</v>
      </c>
      <c r="B669" s="171">
        <v>-0.85843073718374274</v>
      </c>
      <c r="C669" s="171">
        <v>1.040962775001312</v>
      </c>
      <c r="D669" s="171">
        <v>-3.7610117674176324E-2</v>
      </c>
      <c r="E669" s="170">
        <v>0</v>
      </c>
      <c r="F669" s="170">
        <v>-1.4990492230334603E-2</v>
      </c>
      <c r="G669" s="170">
        <v>0</v>
      </c>
      <c r="H669" s="170">
        <v>0</v>
      </c>
      <c r="I669" s="170">
        <v>0</v>
      </c>
      <c r="J669" s="170">
        <v>0</v>
      </c>
      <c r="K669" s="170">
        <v>0</v>
      </c>
      <c r="L669">
        <v>0.91096067521586066</v>
      </c>
      <c r="N669" s="172">
        <f>MCond(B668:D670)</f>
        <v>8.5028993454699311</v>
      </c>
    </row>
    <row r="670" spans="1:14">
      <c r="A670" s="170"/>
      <c r="B670" s="171">
        <v>-1.4675604394566215</v>
      </c>
      <c r="C670" s="171">
        <v>1.3235781323919831</v>
      </c>
      <c r="D670" s="171">
        <v>-0.72564008456612294</v>
      </c>
      <c r="E670" s="170">
        <v>0</v>
      </c>
      <c r="F670" s="170">
        <v>0</v>
      </c>
      <c r="G670" s="170">
        <v>-1.4990492230334603E-2</v>
      </c>
      <c r="H670" s="170">
        <v>0</v>
      </c>
      <c r="I670" s="170">
        <v>0</v>
      </c>
      <c r="J670" s="170">
        <v>0</v>
      </c>
      <c r="K670" s="170">
        <v>0</v>
      </c>
      <c r="L670">
        <v>2.216073124166746</v>
      </c>
      <c r="N670" s="172"/>
    </row>
    <row r="671" spans="1:14">
      <c r="A671" s="170"/>
      <c r="B671" s="171"/>
      <c r="C671" s="171"/>
      <c r="D671" s="171"/>
      <c r="E671" s="170"/>
      <c r="F671" s="170"/>
      <c r="G671" s="170"/>
      <c r="H671" s="170"/>
      <c r="I671" s="170"/>
      <c r="J671" s="170"/>
      <c r="K671" s="170"/>
      <c r="N671" s="173"/>
    </row>
    <row r="672" spans="1:14">
      <c r="A672" s="170"/>
      <c r="B672" s="171">
        <v>-0.40019020491700363</v>
      </c>
      <c r="C672" s="171">
        <v>-1.0840062473010013</v>
      </c>
      <c r="D672" s="171">
        <v>-1.6840506224230944E-2</v>
      </c>
      <c r="E672" s="170">
        <v>-1.4990492230334603E-2</v>
      </c>
      <c r="F672" s="170">
        <v>0</v>
      </c>
      <c r="G672" s="170">
        <v>0</v>
      </c>
      <c r="H672" s="170">
        <v>-6.8827960560405646E-2</v>
      </c>
      <c r="I672" s="170">
        <v>-5.8370098634356792E-2</v>
      </c>
      <c r="J672" s="170">
        <v>0</v>
      </c>
      <c r="K672" s="170">
        <v>0</v>
      </c>
      <c r="L672">
        <v>0.66775267347450074</v>
      </c>
      <c r="N672" s="172"/>
    </row>
    <row r="673" spans="1:14">
      <c r="A673" s="170" t="s">
        <v>379</v>
      </c>
      <c r="B673" s="171">
        <v>-2.8449497700634536</v>
      </c>
      <c r="C673" s="171">
        <v>-0.22852225552422287</v>
      </c>
      <c r="D673" s="171">
        <v>-6.9737163040410666E-2</v>
      </c>
      <c r="E673" s="170">
        <v>0</v>
      </c>
      <c r="F673" s="170">
        <v>-1.4990492230334603E-2</v>
      </c>
      <c r="G673" s="170">
        <v>0</v>
      </c>
      <c r="H673" s="170">
        <v>-6.8827960560405646E-2</v>
      </c>
      <c r="I673" s="170">
        <v>0</v>
      </c>
      <c r="J673" s="170">
        <v>-2.1174072073315828E-2</v>
      </c>
      <c r="K673" s="170">
        <v>0</v>
      </c>
      <c r="L673">
        <v>4.0754124436814498</v>
      </c>
      <c r="N673" s="172">
        <f>MCond(B672:D674)</f>
        <v>77.784722012998088</v>
      </c>
    </row>
    <row r="674" spans="1:14">
      <c r="A674" s="170"/>
      <c r="B674" s="171">
        <v>-2.4772611105726599</v>
      </c>
      <c r="C674" s="171">
        <v>1.0605572692523213</v>
      </c>
      <c r="D674" s="171">
        <v>3.9812674620544719E-2</v>
      </c>
      <c r="E674" s="170">
        <v>0</v>
      </c>
      <c r="F674" s="170">
        <v>0</v>
      </c>
      <c r="G674" s="170">
        <v>-1.4990492230334603E-2</v>
      </c>
      <c r="H674" s="170">
        <v>-6.8827960560405646E-2</v>
      </c>
      <c r="I674" s="170">
        <v>0</v>
      </c>
      <c r="J674" s="170">
        <v>0</v>
      </c>
      <c r="K674" s="170">
        <v>0.18191808401017825</v>
      </c>
      <c r="L674">
        <v>3.6315946901900351</v>
      </c>
      <c r="N674" s="172"/>
    </row>
    <row r="675" spans="1:14">
      <c r="A675" s="170"/>
      <c r="B675" s="171"/>
      <c r="C675" s="171"/>
      <c r="D675" s="171"/>
      <c r="E675" s="170"/>
      <c r="F675" s="170"/>
      <c r="G675" s="170"/>
      <c r="H675" s="170"/>
      <c r="I675" s="170"/>
      <c r="J675" s="170"/>
      <c r="K675" s="170"/>
      <c r="N675" s="173"/>
    </row>
    <row r="676" spans="1:14">
      <c r="A676" s="170"/>
      <c r="B676" s="171">
        <v>-0.40019020491700363</v>
      </c>
      <c r="C676" s="171">
        <v>-1.0840062473010013</v>
      </c>
      <c r="D676" s="171">
        <v>-1.6840506224230944E-2</v>
      </c>
      <c r="E676" s="170">
        <v>-1.4990492230334603E-2</v>
      </c>
      <c r="F676" s="170">
        <v>0</v>
      </c>
      <c r="G676" s="170">
        <v>0</v>
      </c>
      <c r="H676" s="170">
        <v>0</v>
      </c>
      <c r="I676" s="170">
        <v>0</v>
      </c>
      <c r="J676" s="170">
        <v>0</v>
      </c>
      <c r="K676" s="170">
        <v>0</v>
      </c>
      <c r="L676">
        <v>0.66775267347450074</v>
      </c>
      <c r="N676" s="172"/>
    </row>
    <row r="677" spans="1:14">
      <c r="A677" s="170" t="s">
        <v>380</v>
      </c>
      <c r="B677" s="171">
        <v>-2.8449497700634536</v>
      </c>
      <c r="C677" s="171">
        <v>-0.22852225552422287</v>
      </c>
      <c r="D677" s="171">
        <v>-6.9737163040410666E-2</v>
      </c>
      <c r="E677" s="170">
        <v>0</v>
      </c>
      <c r="F677" s="170">
        <v>-1.4990492230334603E-2</v>
      </c>
      <c r="G677" s="170">
        <v>0</v>
      </c>
      <c r="H677" s="170">
        <v>0</v>
      </c>
      <c r="I677" s="170">
        <v>0</v>
      </c>
      <c r="J677" s="170">
        <v>0</v>
      </c>
      <c r="K677" s="170">
        <v>0</v>
      </c>
      <c r="L677">
        <v>4.0754124436814498</v>
      </c>
      <c r="N677" s="172">
        <f>MCond(B676:D678)</f>
        <v>190.43474137765517</v>
      </c>
    </row>
    <row r="678" spans="1:14">
      <c r="A678" s="170"/>
      <c r="B678" s="171">
        <v>-0.85843073718374274</v>
      </c>
      <c r="C678" s="171">
        <v>1.040962775001312</v>
      </c>
      <c r="D678" s="171">
        <v>-3.7610117674176324E-2</v>
      </c>
      <c r="E678" s="170">
        <v>0</v>
      </c>
      <c r="F678" s="170">
        <v>0</v>
      </c>
      <c r="G678" s="170">
        <v>-1.4990492230334603E-2</v>
      </c>
      <c r="H678" s="170">
        <v>0</v>
      </c>
      <c r="I678" s="170">
        <v>0</v>
      </c>
      <c r="J678" s="170">
        <v>0</v>
      </c>
      <c r="K678" s="170">
        <v>0</v>
      </c>
      <c r="L678">
        <v>0.91096067521586066</v>
      </c>
      <c r="N678" s="172"/>
    </row>
    <row r="679" spans="1:14">
      <c r="A679" s="170"/>
      <c r="B679" s="171"/>
      <c r="C679" s="171"/>
      <c r="D679" s="171"/>
      <c r="E679" s="170"/>
      <c r="F679" s="170"/>
      <c r="G679" s="170"/>
      <c r="H679" s="170"/>
      <c r="I679" s="170"/>
      <c r="J679" s="170"/>
      <c r="K679" s="170"/>
      <c r="N679" s="173"/>
    </row>
    <row r="680" spans="1:14">
      <c r="A680" s="170"/>
      <c r="B680" s="171">
        <v>-0.40019020491700363</v>
      </c>
      <c r="C680" s="171">
        <v>-1.0840062473010013</v>
      </c>
      <c r="D680" s="171">
        <v>-1.6840506224230944E-2</v>
      </c>
      <c r="E680" s="170">
        <v>-1.4990492230334603E-2</v>
      </c>
      <c r="F680" s="170">
        <v>0</v>
      </c>
      <c r="G680" s="170">
        <v>0</v>
      </c>
      <c r="H680" s="170">
        <v>-6.8827960560405646E-2</v>
      </c>
      <c r="I680" s="170">
        <v>-5.8370098634356792E-2</v>
      </c>
      <c r="J680" s="170">
        <v>0</v>
      </c>
      <c r="K680" s="170">
        <v>0</v>
      </c>
      <c r="L680">
        <v>0.66775267347450074</v>
      </c>
      <c r="N680" s="172"/>
    </row>
    <row r="681" spans="1:14">
      <c r="A681" s="170" t="s">
        <v>381</v>
      </c>
      <c r="B681" s="171">
        <v>-2.8449497700634536</v>
      </c>
      <c r="C681" s="171">
        <v>-0.22852225552422287</v>
      </c>
      <c r="D681" s="171">
        <v>-6.9737163040410666E-2</v>
      </c>
      <c r="E681" s="170">
        <v>0</v>
      </c>
      <c r="F681" s="170">
        <v>-1.4990492230334603E-2</v>
      </c>
      <c r="G681" s="170">
        <v>0</v>
      </c>
      <c r="H681" s="170">
        <v>-6.8827960560405646E-2</v>
      </c>
      <c r="I681" s="170">
        <v>0</v>
      </c>
      <c r="J681" s="170">
        <v>-2.1174072073315828E-2</v>
      </c>
      <c r="K681" s="170">
        <v>0</v>
      </c>
      <c r="L681">
        <v>4.0754124436814498</v>
      </c>
      <c r="N681" s="172">
        <f>MCond(B680:D682)</f>
        <v>8.9880513431210201</v>
      </c>
    </row>
    <row r="682" spans="1:14">
      <c r="A682" s="170"/>
      <c r="B682" s="171">
        <v>-1.4675604394566215</v>
      </c>
      <c r="C682" s="171">
        <v>1.3235781323919831</v>
      </c>
      <c r="D682" s="171">
        <v>-0.72564008456612294</v>
      </c>
      <c r="E682" s="170">
        <v>0</v>
      </c>
      <c r="F682" s="170">
        <v>0</v>
      </c>
      <c r="G682" s="170">
        <v>-1.4990492230334603E-2</v>
      </c>
      <c r="H682" s="170">
        <v>-6.8827960560405646E-2</v>
      </c>
      <c r="I682" s="170">
        <v>0</v>
      </c>
      <c r="J682" s="170">
        <v>0</v>
      </c>
      <c r="K682" s="170">
        <v>-8.9700844372930258E-2</v>
      </c>
      <c r="L682">
        <v>2.216073124166746</v>
      </c>
      <c r="N682" s="172"/>
    </row>
    <row r="683" spans="1:14">
      <c r="A683" s="170"/>
      <c r="B683" s="171"/>
      <c r="C683" s="171"/>
      <c r="D683" s="171"/>
      <c r="E683" s="170"/>
      <c r="F683" s="170"/>
      <c r="G683" s="170"/>
      <c r="H683" s="170"/>
      <c r="I683" s="170"/>
      <c r="J683" s="170"/>
      <c r="K683" s="170"/>
      <c r="N683" s="173"/>
    </row>
    <row r="684" spans="1:14">
      <c r="A684" s="170"/>
      <c r="B684" s="171">
        <v>-0.40019020491700363</v>
      </c>
      <c r="C684" s="171">
        <v>-1.0840062473010013</v>
      </c>
      <c r="D684" s="171">
        <v>-1.6840506224230944E-2</v>
      </c>
      <c r="E684" s="170">
        <v>-1.4990492230334603E-2</v>
      </c>
      <c r="F684" s="170">
        <v>0</v>
      </c>
      <c r="G684" s="170">
        <v>0</v>
      </c>
      <c r="H684" s="170">
        <v>0</v>
      </c>
      <c r="I684" s="170">
        <v>0</v>
      </c>
      <c r="J684" s="170">
        <v>0</v>
      </c>
      <c r="K684" s="170">
        <v>0</v>
      </c>
      <c r="L684">
        <v>0.66775267347450074</v>
      </c>
      <c r="N684" s="172"/>
    </row>
    <row r="685" spans="1:14">
      <c r="A685" s="170" t="s">
        <v>382</v>
      </c>
      <c r="B685" s="171">
        <v>-2.4772611105726599</v>
      </c>
      <c r="C685" s="171">
        <v>1.0605572692523213</v>
      </c>
      <c r="D685" s="171">
        <v>3.9812674620544719E-2</v>
      </c>
      <c r="E685" s="170">
        <v>0</v>
      </c>
      <c r="F685" s="170">
        <v>-1.4990492230334603E-2</v>
      </c>
      <c r="G685" s="170">
        <v>0</v>
      </c>
      <c r="H685" s="170">
        <v>0</v>
      </c>
      <c r="I685" s="170">
        <v>0</v>
      </c>
      <c r="J685" s="170">
        <v>0</v>
      </c>
      <c r="K685" s="170">
        <v>0</v>
      </c>
      <c r="L685">
        <v>3.6315946901900351</v>
      </c>
      <c r="N685" s="172">
        <f>MCond(B684:D686)</f>
        <v>56.386053470483816</v>
      </c>
    </row>
    <row r="686" spans="1:14">
      <c r="A686" s="170"/>
      <c r="B686" s="171">
        <v>-0.85843073718374274</v>
      </c>
      <c r="C686" s="171">
        <v>1.040962775001312</v>
      </c>
      <c r="D686" s="171">
        <v>-3.7610117674176324E-2</v>
      </c>
      <c r="E686" s="170">
        <v>0</v>
      </c>
      <c r="F686" s="170">
        <v>0</v>
      </c>
      <c r="G686" s="170">
        <v>-1.4990492230334603E-2</v>
      </c>
      <c r="H686" s="170">
        <v>0</v>
      </c>
      <c r="I686" s="170">
        <v>0</v>
      </c>
      <c r="J686" s="170">
        <v>0</v>
      </c>
      <c r="K686" s="170">
        <v>0</v>
      </c>
      <c r="L686">
        <v>0.91096067521586066</v>
      </c>
      <c r="N686" s="172"/>
    </row>
    <row r="687" spans="1:14">
      <c r="A687" s="170"/>
      <c r="B687" s="171"/>
      <c r="C687" s="171"/>
      <c r="D687" s="171"/>
      <c r="E687" s="170"/>
      <c r="F687" s="170"/>
      <c r="G687" s="170"/>
      <c r="H687" s="170"/>
      <c r="I687" s="170"/>
      <c r="J687" s="170"/>
      <c r="K687" s="170"/>
      <c r="N687" s="173"/>
    </row>
    <row r="688" spans="1:14">
      <c r="A688" s="170"/>
      <c r="B688" s="171">
        <v>-0.40019020491700363</v>
      </c>
      <c r="C688" s="171">
        <v>-1.0840062473010013</v>
      </c>
      <c r="D688" s="171">
        <v>-1.6840506224230944E-2</v>
      </c>
      <c r="E688" s="170">
        <v>-1.4990492230334603E-2</v>
      </c>
      <c r="F688" s="170">
        <v>0</v>
      </c>
      <c r="G688" s="170">
        <v>0</v>
      </c>
      <c r="H688" s="170">
        <v>-6.8827960560405646E-2</v>
      </c>
      <c r="I688" s="170">
        <v>-5.8370098634356792E-2</v>
      </c>
      <c r="J688" s="170">
        <v>0</v>
      </c>
      <c r="K688" s="170">
        <v>0</v>
      </c>
      <c r="L688">
        <v>0.66775267347450074</v>
      </c>
      <c r="N688" s="172"/>
    </row>
    <row r="689" spans="1:14">
      <c r="A689" s="170" t="s">
        <v>383</v>
      </c>
      <c r="B689" s="171">
        <v>-2.4772611105726599</v>
      </c>
      <c r="C689" s="171">
        <v>1.0605572692523213</v>
      </c>
      <c r="D689" s="171">
        <v>3.9812674620544719E-2</v>
      </c>
      <c r="E689" s="170">
        <v>0</v>
      </c>
      <c r="F689" s="170">
        <v>-1.4990492230334603E-2</v>
      </c>
      <c r="G689" s="170">
        <v>0</v>
      </c>
      <c r="H689" s="170">
        <v>-6.8827960560405646E-2</v>
      </c>
      <c r="I689" s="170">
        <v>0</v>
      </c>
      <c r="J689" s="170">
        <v>0.18191808401017825</v>
      </c>
      <c r="K689" s="170">
        <v>0</v>
      </c>
      <c r="L689">
        <v>3.6315946901900351</v>
      </c>
      <c r="N689" s="172">
        <f>MCond(B688:D690)</f>
        <v>5.9659507309582951</v>
      </c>
    </row>
    <row r="690" spans="1:14">
      <c r="A690" s="170"/>
      <c r="B690" s="171">
        <v>-1.4675604394566215</v>
      </c>
      <c r="C690" s="171">
        <v>1.3235781323919831</v>
      </c>
      <c r="D690" s="171">
        <v>-0.72564008456612294</v>
      </c>
      <c r="E690" s="170">
        <v>0</v>
      </c>
      <c r="F690" s="170">
        <v>0</v>
      </c>
      <c r="G690" s="170">
        <v>-1.4990492230334603E-2</v>
      </c>
      <c r="H690" s="170">
        <v>-6.8827960560405646E-2</v>
      </c>
      <c r="I690" s="170">
        <v>0</v>
      </c>
      <c r="J690" s="170">
        <v>0</v>
      </c>
      <c r="K690" s="170">
        <v>-8.9700844372930258E-2</v>
      </c>
      <c r="L690">
        <v>2.216073124166746</v>
      </c>
      <c r="N690" s="172"/>
    </row>
    <row r="691" spans="1:14">
      <c r="A691" s="170"/>
      <c r="B691" s="171"/>
      <c r="C691" s="171"/>
      <c r="D691" s="171"/>
      <c r="E691" s="170"/>
      <c r="F691" s="170"/>
      <c r="G691" s="170"/>
      <c r="H691" s="170"/>
      <c r="I691" s="170"/>
      <c r="J691" s="170"/>
      <c r="K691" s="170"/>
      <c r="N691" s="173"/>
    </row>
    <row r="692" spans="1:14">
      <c r="A692" s="170"/>
      <c r="B692" s="171">
        <v>-0.40019020491700363</v>
      </c>
      <c r="C692" s="171">
        <v>-1.0840062473010013</v>
      </c>
      <c r="D692" s="171">
        <v>-1.6840506224230944E-2</v>
      </c>
      <c r="E692" s="170">
        <v>-1.4990492230334603E-2</v>
      </c>
      <c r="F692" s="170">
        <v>0</v>
      </c>
      <c r="G692" s="170">
        <v>0</v>
      </c>
      <c r="H692" s="170">
        <v>0</v>
      </c>
      <c r="I692" s="170">
        <v>0</v>
      </c>
      <c r="J692" s="170">
        <v>0</v>
      </c>
      <c r="K692" s="170">
        <v>0</v>
      </c>
      <c r="L692">
        <v>0.66775267347450074</v>
      </c>
      <c r="N692" s="172"/>
    </row>
    <row r="693" spans="1:14">
      <c r="A693" s="170" t="s">
        <v>384</v>
      </c>
      <c r="B693" s="171">
        <v>-0.85843073718374274</v>
      </c>
      <c r="C693" s="171">
        <v>1.040962775001312</v>
      </c>
      <c r="D693" s="171">
        <v>-3.7610117674176324E-2</v>
      </c>
      <c r="E693" s="170">
        <v>0</v>
      </c>
      <c r="F693" s="170">
        <v>-1.4990492230334603E-2</v>
      </c>
      <c r="G693" s="170">
        <v>0</v>
      </c>
      <c r="H693" s="170">
        <v>0</v>
      </c>
      <c r="I693" s="170">
        <v>0</v>
      </c>
      <c r="J693" s="170">
        <v>0</v>
      </c>
      <c r="K693" s="170">
        <v>0</v>
      </c>
      <c r="L693">
        <v>0.91096067521586066</v>
      </c>
      <c r="N693" s="172">
        <f>MCond(B692:D694)</f>
        <v>7.5782362388487288</v>
      </c>
    </row>
    <row r="694" spans="1:14">
      <c r="A694" s="170"/>
      <c r="B694" s="171">
        <v>-1.4675604394566215</v>
      </c>
      <c r="C694" s="171">
        <v>1.3235781323919831</v>
      </c>
      <c r="D694" s="171">
        <v>-0.72564008456612294</v>
      </c>
      <c r="E694" s="170">
        <v>0</v>
      </c>
      <c r="F694" s="170">
        <v>0</v>
      </c>
      <c r="G694" s="170">
        <v>-1.4990492230334603E-2</v>
      </c>
      <c r="H694" s="170">
        <v>0</v>
      </c>
      <c r="I694" s="170">
        <v>0</v>
      </c>
      <c r="J694" s="170">
        <v>0</v>
      </c>
      <c r="K694" s="170">
        <v>0</v>
      </c>
      <c r="L694">
        <v>2.216073124166746</v>
      </c>
      <c r="N694" s="172"/>
    </row>
    <row r="695" spans="1:14">
      <c r="A695" s="170"/>
      <c r="B695" s="171"/>
      <c r="C695" s="171"/>
      <c r="D695" s="171"/>
      <c r="E695" s="170"/>
      <c r="F695" s="170"/>
      <c r="G695" s="170"/>
      <c r="H695" s="170"/>
      <c r="I695" s="170"/>
      <c r="J695" s="170"/>
      <c r="K695" s="170"/>
      <c r="N695" s="173"/>
    </row>
    <row r="696" spans="1:14">
      <c r="A696" s="170"/>
      <c r="B696" s="171">
        <v>-2.8449497700634536</v>
      </c>
      <c r="C696" s="171">
        <v>-0.22852225552422287</v>
      </c>
      <c r="D696" s="171">
        <v>-6.9737163040410666E-2</v>
      </c>
      <c r="E696" s="170">
        <v>-1.4990492230334603E-2</v>
      </c>
      <c r="F696" s="170">
        <v>0</v>
      </c>
      <c r="G696" s="170">
        <v>0</v>
      </c>
      <c r="H696" s="170">
        <v>0</v>
      </c>
      <c r="I696" s="170">
        <v>0</v>
      </c>
      <c r="J696" s="170">
        <v>0</v>
      </c>
      <c r="K696" s="170">
        <v>0</v>
      </c>
      <c r="L696">
        <v>4.0754124436814498</v>
      </c>
      <c r="N696" s="172"/>
    </row>
    <row r="697" spans="1:14">
      <c r="A697" s="170" t="s">
        <v>385</v>
      </c>
      <c r="B697" s="171">
        <v>-2.4772611105726599</v>
      </c>
      <c r="C697" s="171">
        <v>1.0605572692523213</v>
      </c>
      <c r="D697" s="171">
        <v>3.9812674620544719E-2</v>
      </c>
      <c r="E697" s="170">
        <v>0</v>
      </c>
      <c r="F697" s="170">
        <v>-1.4990492230334603E-2</v>
      </c>
      <c r="G697" s="170">
        <v>0</v>
      </c>
      <c r="H697" s="170">
        <v>0</v>
      </c>
      <c r="I697" s="170">
        <v>0</v>
      </c>
      <c r="J697" s="170">
        <v>0</v>
      </c>
      <c r="K697" s="170">
        <v>0</v>
      </c>
      <c r="L697">
        <v>3.6315946901900351</v>
      </c>
      <c r="N697" s="172">
        <f>MCond(B696:D698)</f>
        <v>53.026975700344195</v>
      </c>
    </row>
    <row r="698" spans="1:14">
      <c r="A698" s="170"/>
      <c r="B698" s="171">
        <v>-0.85843073718374274</v>
      </c>
      <c r="C698" s="171">
        <v>1.040962775001312</v>
      </c>
      <c r="D698" s="171">
        <v>-3.7610117674176324E-2</v>
      </c>
      <c r="E698" s="170">
        <v>0</v>
      </c>
      <c r="F698" s="170">
        <v>0</v>
      </c>
      <c r="G698" s="170">
        <v>-1.4990492230334603E-2</v>
      </c>
      <c r="H698" s="170">
        <v>0</v>
      </c>
      <c r="I698" s="170">
        <v>0</v>
      </c>
      <c r="J698" s="170">
        <v>0</v>
      </c>
      <c r="K698" s="170">
        <v>0</v>
      </c>
      <c r="L698">
        <v>0.91096067521586066</v>
      </c>
      <c r="N698" s="172"/>
    </row>
    <row r="699" spans="1:14">
      <c r="A699" s="170"/>
      <c r="B699" s="171"/>
      <c r="C699" s="171"/>
      <c r="D699" s="171"/>
      <c r="E699" s="170"/>
      <c r="F699" s="170"/>
      <c r="G699" s="170"/>
      <c r="H699" s="170"/>
      <c r="I699" s="170"/>
      <c r="J699" s="170"/>
      <c r="K699" s="170"/>
      <c r="N699" s="173"/>
    </row>
    <row r="700" spans="1:14">
      <c r="A700" s="170"/>
      <c r="B700" s="171">
        <v>-2.8449497700634536</v>
      </c>
      <c r="C700" s="171">
        <v>-0.22852225552422287</v>
      </c>
      <c r="D700" s="171">
        <v>-6.9737163040410666E-2</v>
      </c>
      <c r="E700" s="170">
        <v>-1.4990492230334603E-2</v>
      </c>
      <c r="F700" s="170">
        <v>0</v>
      </c>
      <c r="G700" s="170">
        <v>0</v>
      </c>
      <c r="H700" s="170">
        <v>-6.8827960560405646E-2</v>
      </c>
      <c r="I700" s="170">
        <v>-2.1174072073315828E-2</v>
      </c>
      <c r="J700" s="170">
        <v>0</v>
      </c>
      <c r="K700" s="170">
        <v>0</v>
      </c>
      <c r="L700">
        <v>4.0754124436814498</v>
      </c>
      <c r="N700" s="172"/>
    </row>
    <row r="701" spans="1:14">
      <c r="A701" s="170" t="s">
        <v>386</v>
      </c>
      <c r="B701" s="171">
        <v>-2.4772611105726599</v>
      </c>
      <c r="C701" s="171">
        <v>1.0605572692523213</v>
      </c>
      <c r="D701" s="171">
        <v>3.9812674620544719E-2</v>
      </c>
      <c r="E701" s="170">
        <v>0</v>
      </c>
      <c r="F701" s="170">
        <v>-1.4990492230334603E-2</v>
      </c>
      <c r="G701" s="170">
        <v>0</v>
      </c>
      <c r="H701" s="170">
        <v>-6.8827960560405646E-2</v>
      </c>
      <c r="I701" s="170">
        <v>0</v>
      </c>
      <c r="J701" s="170">
        <v>0.18191808401017825</v>
      </c>
      <c r="K701" s="170">
        <v>0</v>
      </c>
      <c r="L701">
        <v>3.6315946901900351</v>
      </c>
      <c r="N701" s="172">
        <f>MCond(B700:D702)</f>
        <v>8.7470632700269135</v>
      </c>
    </row>
    <row r="702" spans="1:14">
      <c r="A702" s="170"/>
      <c r="B702" s="171">
        <v>-1.4675604394566215</v>
      </c>
      <c r="C702" s="171">
        <v>1.3235781323919831</v>
      </c>
      <c r="D702" s="171">
        <v>-0.72564008456612294</v>
      </c>
      <c r="E702" s="170">
        <v>0</v>
      </c>
      <c r="F702" s="170">
        <v>0</v>
      </c>
      <c r="G702" s="170">
        <v>-1.4990492230334603E-2</v>
      </c>
      <c r="H702" s="170">
        <v>-6.8827960560405646E-2</v>
      </c>
      <c r="I702" s="170">
        <v>0</v>
      </c>
      <c r="J702" s="170">
        <v>0</v>
      </c>
      <c r="K702" s="170">
        <v>-8.9700844372930258E-2</v>
      </c>
      <c r="L702">
        <v>2.216073124166746</v>
      </c>
      <c r="N702" s="172"/>
    </row>
    <row r="703" spans="1:14">
      <c r="A703" s="170"/>
      <c r="B703" s="171"/>
      <c r="C703" s="171"/>
      <c r="D703" s="171"/>
      <c r="E703" s="170"/>
      <c r="F703" s="170"/>
      <c r="G703" s="170"/>
      <c r="H703" s="170"/>
      <c r="I703" s="170"/>
      <c r="J703" s="170"/>
      <c r="K703" s="170"/>
      <c r="N703" s="173"/>
    </row>
    <row r="704" spans="1:14">
      <c r="A704" s="170"/>
      <c r="B704" s="171">
        <v>-2.8449497700634536</v>
      </c>
      <c r="C704" s="171">
        <v>-0.22852225552422287</v>
      </c>
      <c r="D704" s="171">
        <v>-6.9737163040410666E-2</v>
      </c>
      <c r="E704" s="170">
        <v>-1.4990492230334603E-2</v>
      </c>
      <c r="F704" s="170">
        <v>0</v>
      </c>
      <c r="G704" s="170">
        <v>0</v>
      </c>
      <c r="H704" s="170">
        <v>0</v>
      </c>
      <c r="I704" s="170">
        <v>0</v>
      </c>
      <c r="J704" s="170">
        <v>0</v>
      </c>
      <c r="K704" s="170">
        <v>0</v>
      </c>
      <c r="L704">
        <v>4.0754124436814498</v>
      </c>
      <c r="N704" s="172"/>
    </row>
    <row r="705" spans="1:14">
      <c r="A705" s="170" t="s">
        <v>387</v>
      </c>
      <c r="B705" s="171">
        <v>-0.85843073718374274</v>
      </c>
      <c r="C705" s="171">
        <v>1.040962775001312</v>
      </c>
      <c r="D705" s="171">
        <v>-3.7610117674176324E-2</v>
      </c>
      <c r="E705" s="170">
        <v>0</v>
      </c>
      <c r="F705" s="170">
        <v>-1.4990492230334603E-2</v>
      </c>
      <c r="G705" s="170">
        <v>0</v>
      </c>
      <c r="H705" s="170">
        <v>0</v>
      </c>
      <c r="I705" s="170">
        <v>0</v>
      </c>
      <c r="J705" s="170">
        <v>0</v>
      </c>
      <c r="K705" s="170">
        <v>0</v>
      </c>
      <c r="L705">
        <v>0.91096067521586066</v>
      </c>
      <c r="N705" s="172">
        <f>MCond(B704:D706)</f>
        <v>8.8256455143170687</v>
      </c>
    </row>
    <row r="706" spans="1:14">
      <c r="A706" s="170"/>
      <c r="B706" s="171">
        <v>-1.4675604394566215</v>
      </c>
      <c r="C706" s="171">
        <v>1.3235781323919831</v>
      </c>
      <c r="D706" s="171">
        <v>-0.72564008456612294</v>
      </c>
      <c r="E706" s="170">
        <v>0</v>
      </c>
      <c r="F706" s="170">
        <v>0</v>
      </c>
      <c r="G706" s="170">
        <v>-1.4990492230334603E-2</v>
      </c>
      <c r="H706" s="170">
        <v>0</v>
      </c>
      <c r="I706" s="170">
        <v>0</v>
      </c>
      <c r="J706" s="170">
        <v>0</v>
      </c>
      <c r="K706" s="170">
        <v>0</v>
      </c>
      <c r="L706">
        <v>2.216073124166746</v>
      </c>
      <c r="N706" s="172"/>
    </row>
    <row r="707" spans="1:14">
      <c r="A707" s="170"/>
      <c r="B707" s="171"/>
      <c r="C707" s="171"/>
      <c r="D707" s="171"/>
      <c r="E707" s="170"/>
      <c r="F707" s="170"/>
      <c r="G707" s="170"/>
      <c r="H707" s="170"/>
      <c r="I707" s="170"/>
      <c r="J707" s="170"/>
      <c r="K707" s="170"/>
      <c r="N707" s="173"/>
    </row>
    <row r="708" spans="1:14">
      <c r="A708" s="170"/>
      <c r="B708" s="171">
        <v>-2.4772611105726599</v>
      </c>
      <c r="C708" s="171">
        <v>1.0605572692523213</v>
      </c>
      <c r="D708" s="171">
        <v>3.9812674620544719E-2</v>
      </c>
      <c r="E708" s="170">
        <v>-1.4990492230334603E-2</v>
      </c>
      <c r="F708" s="170">
        <v>0</v>
      </c>
      <c r="G708" s="170">
        <v>0</v>
      </c>
      <c r="H708" s="170">
        <v>0</v>
      </c>
      <c r="I708" s="170">
        <v>0</v>
      </c>
      <c r="J708" s="170">
        <v>0</v>
      </c>
      <c r="K708" s="170">
        <v>0</v>
      </c>
      <c r="L708">
        <v>3.6315946901900351</v>
      </c>
      <c r="N708" s="172"/>
    </row>
    <row r="709" spans="1:14">
      <c r="A709" s="170" t="s">
        <v>388</v>
      </c>
      <c r="B709" s="171">
        <v>-0.85843073718374274</v>
      </c>
      <c r="C709" s="171">
        <v>1.040962775001312</v>
      </c>
      <c r="D709" s="171">
        <v>-3.7610117674176324E-2</v>
      </c>
      <c r="E709" s="170">
        <v>0</v>
      </c>
      <c r="F709" s="170">
        <v>-1.4990492230334603E-2</v>
      </c>
      <c r="G709" s="170">
        <v>0</v>
      </c>
      <c r="H709" s="170">
        <v>0</v>
      </c>
      <c r="I709" s="170">
        <v>0</v>
      </c>
      <c r="J709" s="170">
        <v>0</v>
      </c>
      <c r="K709" s="170">
        <v>0</v>
      </c>
      <c r="L709">
        <v>0.91096067521586066</v>
      </c>
      <c r="N709" s="172">
        <f>MCond(B708:D710)</f>
        <v>9.1035115127969473</v>
      </c>
    </row>
    <row r="710" spans="1:14">
      <c r="A710" s="170"/>
      <c r="B710" s="171">
        <v>-1.4675604394566215</v>
      </c>
      <c r="C710" s="171">
        <v>1.3235781323919831</v>
      </c>
      <c r="D710" s="171">
        <v>-0.72564008456612294</v>
      </c>
      <c r="E710" s="170">
        <v>0</v>
      </c>
      <c r="F710" s="170">
        <v>0</v>
      </c>
      <c r="G710" s="170">
        <v>-1.4990492230334603E-2</v>
      </c>
      <c r="H710" s="170">
        <v>0</v>
      </c>
      <c r="I710" s="170">
        <v>0</v>
      </c>
      <c r="J710" s="170">
        <v>0</v>
      </c>
      <c r="K710" s="170">
        <v>0</v>
      </c>
      <c r="L710">
        <v>2.216073124166746</v>
      </c>
      <c r="N710" s="172"/>
    </row>
    <row r="711" spans="1:14">
      <c r="A711" s="170"/>
      <c r="B711" s="171"/>
      <c r="C711" s="171"/>
      <c r="D711" s="171"/>
      <c r="E711" s="170"/>
      <c r="F711" s="170"/>
      <c r="G711" s="170"/>
      <c r="H711" s="170"/>
      <c r="I711" s="170"/>
      <c r="J711" s="170"/>
      <c r="K711" s="170"/>
      <c r="N711" s="173"/>
    </row>
    <row r="712" spans="1:14">
      <c r="A712" s="170"/>
      <c r="B712" s="171">
        <v>1.0351585166444348</v>
      </c>
      <c r="C712" s="171">
        <v>-2.1037449841221099</v>
      </c>
      <c r="D712" s="171">
        <v>-0.82913701269133588</v>
      </c>
      <c r="E712" s="170">
        <v>-1.4990492230334603E-2</v>
      </c>
      <c r="F712" s="170">
        <v>0</v>
      </c>
      <c r="G712" s="170">
        <v>0</v>
      </c>
      <c r="H712" s="170">
        <v>0</v>
      </c>
      <c r="I712" s="170">
        <v>0</v>
      </c>
      <c r="J712" s="170">
        <v>0</v>
      </c>
      <c r="K712" s="170">
        <v>0</v>
      </c>
      <c r="L712">
        <v>3.0923821493075776</v>
      </c>
      <c r="N712" s="172"/>
    </row>
    <row r="713" spans="1:14">
      <c r="A713" s="170" t="s">
        <v>389</v>
      </c>
      <c r="B713" s="171">
        <v>-0.21871711292247331</v>
      </c>
      <c r="C713" s="171">
        <v>-2.1363371502498802</v>
      </c>
      <c r="D713" s="171">
        <v>-8.9790398854103559E-2</v>
      </c>
      <c r="E713" s="170">
        <v>0</v>
      </c>
      <c r="F713" s="170">
        <v>-1.4990492230334603E-2</v>
      </c>
      <c r="G713" s="170">
        <v>0</v>
      </c>
      <c r="H713" s="170">
        <v>0</v>
      </c>
      <c r="I713" s="170">
        <v>0</v>
      </c>
      <c r="J713" s="170">
        <v>0</v>
      </c>
      <c r="K713" s="170">
        <v>0</v>
      </c>
      <c r="L713">
        <v>2.3099179553746505</v>
      </c>
      <c r="N713" s="172">
        <f>MCond(B712:D714)</f>
        <v>6.7459428276848676</v>
      </c>
    </row>
    <row r="714" spans="1:14">
      <c r="A714" s="170"/>
      <c r="B714" s="171">
        <v>2.0770709056556562</v>
      </c>
      <c r="C714" s="171">
        <v>-2.1445635165533226</v>
      </c>
      <c r="D714" s="171">
        <v>-5.6653180844775664E-2</v>
      </c>
      <c r="E714" s="170">
        <v>0</v>
      </c>
      <c r="F714" s="170">
        <v>0</v>
      </c>
      <c r="G714" s="170">
        <v>-1.4990492230334603E-2</v>
      </c>
      <c r="H714" s="170">
        <v>0</v>
      </c>
      <c r="I714" s="170">
        <v>0</v>
      </c>
      <c r="J714" s="170">
        <v>0</v>
      </c>
      <c r="K714" s="170">
        <v>0</v>
      </c>
      <c r="L714">
        <v>4.4582929032762966</v>
      </c>
      <c r="N714" s="172"/>
    </row>
    <row r="715" spans="1:14">
      <c r="A715" s="170"/>
      <c r="B715" s="171"/>
      <c r="C715" s="171"/>
      <c r="D715" s="171"/>
      <c r="E715" s="170"/>
      <c r="F715" s="170"/>
      <c r="G715" s="170"/>
      <c r="H715" s="170"/>
      <c r="I715" s="170"/>
      <c r="J715" s="170"/>
      <c r="K715" s="170"/>
      <c r="N715" s="173"/>
    </row>
    <row r="716" spans="1:14">
      <c r="A716" s="170"/>
      <c r="B716" s="171">
        <v>1.0351585166444348</v>
      </c>
      <c r="C716" s="171">
        <v>-2.1037449841221099</v>
      </c>
      <c r="D716" s="171">
        <v>-0.82913701269133588</v>
      </c>
      <c r="E716" s="170">
        <v>-1.4990492230334603E-2</v>
      </c>
      <c r="F716" s="170">
        <v>0</v>
      </c>
      <c r="G716" s="170">
        <v>0</v>
      </c>
      <c r="H716" s="170">
        <v>0</v>
      </c>
      <c r="I716" s="170">
        <v>0</v>
      </c>
      <c r="J716" s="170">
        <v>0</v>
      </c>
      <c r="K716" s="170">
        <v>0</v>
      </c>
      <c r="L716">
        <v>3.0923821493075776</v>
      </c>
      <c r="N716" s="172"/>
    </row>
    <row r="717" spans="1:14">
      <c r="A717" s="170" t="s">
        <v>390</v>
      </c>
      <c r="B717" s="171">
        <v>-0.21871711292247331</v>
      </c>
      <c r="C717" s="171">
        <v>-2.1363371502498802</v>
      </c>
      <c r="D717" s="171">
        <v>-8.9790398854103559E-2</v>
      </c>
      <c r="E717" s="170">
        <v>0</v>
      </c>
      <c r="F717" s="170">
        <v>-1.4990492230334603E-2</v>
      </c>
      <c r="G717" s="170">
        <v>0</v>
      </c>
      <c r="H717" s="170">
        <v>0</v>
      </c>
      <c r="I717" s="170">
        <v>0</v>
      </c>
      <c r="J717" s="170">
        <v>0</v>
      </c>
      <c r="K717" s="170">
        <v>0</v>
      </c>
      <c r="L717">
        <v>2.3099179553746505</v>
      </c>
      <c r="N717" s="172">
        <f>MCond(B716:D718)</f>
        <v>25.009188868397612</v>
      </c>
    </row>
    <row r="718" spans="1:14">
      <c r="A718" s="170"/>
      <c r="B718" s="171">
        <v>-0.36768865949079377</v>
      </c>
      <c r="C718" s="171">
        <v>-1.2890795247765441</v>
      </c>
      <c r="D718" s="171">
        <v>-0.10954983766095538</v>
      </c>
      <c r="E718" s="170">
        <v>0</v>
      </c>
      <c r="F718" s="170">
        <v>0</v>
      </c>
      <c r="G718" s="170">
        <v>-1.4990492230334603E-2</v>
      </c>
      <c r="H718" s="170">
        <v>0</v>
      </c>
      <c r="I718" s="170">
        <v>0</v>
      </c>
      <c r="J718" s="170">
        <v>0</v>
      </c>
      <c r="K718" s="170">
        <v>0</v>
      </c>
      <c r="L718">
        <v>0.90446106922389957</v>
      </c>
      <c r="N718" s="172"/>
    </row>
    <row r="719" spans="1:14">
      <c r="A719" s="170"/>
      <c r="B719" s="171"/>
      <c r="C719" s="171"/>
      <c r="D719" s="171"/>
      <c r="E719" s="170"/>
      <c r="F719" s="170"/>
      <c r="G719" s="170"/>
      <c r="H719" s="170"/>
      <c r="I719" s="170"/>
      <c r="J719" s="170"/>
      <c r="K719" s="170"/>
      <c r="N719" s="173"/>
    </row>
    <row r="720" spans="1:14">
      <c r="A720" s="170"/>
      <c r="B720" s="171">
        <v>1.0351585166444348</v>
      </c>
      <c r="C720" s="171">
        <v>-2.1037449841221099</v>
      </c>
      <c r="D720" s="171">
        <v>-0.82913701269133588</v>
      </c>
      <c r="E720" s="170">
        <v>-1.4990492230334603E-2</v>
      </c>
      <c r="F720" s="170">
        <v>0</v>
      </c>
      <c r="G720" s="170">
        <v>0</v>
      </c>
      <c r="H720" s="170">
        <v>0</v>
      </c>
      <c r="I720" s="170">
        <v>0</v>
      </c>
      <c r="J720" s="170">
        <v>0</v>
      </c>
      <c r="K720" s="170">
        <v>0</v>
      </c>
      <c r="L720">
        <v>3.0923821493075776</v>
      </c>
      <c r="N720" s="172"/>
    </row>
    <row r="721" spans="1:14">
      <c r="A721" s="170" t="s">
        <v>391</v>
      </c>
      <c r="B721" s="171">
        <v>-0.21871711292247331</v>
      </c>
      <c r="C721" s="171">
        <v>-2.1363371502498802</v>
      </c>
      <c r="D721" s="171">
        <v>-8.9790398854103559E-2</v>
      </c>
      <c r="E721" s="170">
        <v>0</v>
      </c>
      <c r="F721" s="170">
        <v>-1.4990492230334603E-2</v>
      </c>
      <c r="G721" s="170">
        <v>0</v>
      </c>
      <c r="H721" s="170">
        <v>0</v>
      </c>
      <c r="I721" s="170">
        <v>0</v>
      </c>
      <c r="J721" s="170">
        <v>0</v>
      </c>
      <c r="K721" s="170">
        <v>0</v>
      </c>
      <c r="L721">
        <v>2.3099179553746505</v>
      </c>
      <c r="N721" s="172">
        <f>MCond(B720:D722)</f>
        <v>6.7625217711569316</v>
      </c>
    </row>
    <row r="722" spans="1:14">
      <c r="A722" s="170"/>
      <c r="B722" s="171">
        <v>2.4772611105726599</v>
      </c>
      <c r="C722" s="171">
        <v>-1.0605572692523213</v>
      </c>
      <c r="D722" s="171">
        <v>-3.9812674620544719E-2</v>
      </c>
      <c r="E722" s="170">
        <v>0</v>
      </c>
      <c r="F722" s="170">
        <v>0</v>
      </c>
      <c r="G722" s="170">
        <v>-1.4990492230334603E-2</v>
      </c>
      <c r="H722" s="170">
        <v>0</v>
      </c>
      <c r="I722" s="170">
        <v>0</v>
      </c>
      <c r="J722" s="170">
        <v>0</v>
      </c>
      <c r="K722" s="170">
        <v>0</v>
      </c>
      <c r="L722">
        <v>3.6315946901900351</v>
      </c>
      <c r="N722" s="172"/>
    </row>
    <row r="723" spans="1:14">
      <c r="A723" s="170"/>
      <c r="B723" s="171"/>
      <c r="C723" s="171"/>
      <c r="D723" s="171"/>
      <c r="E723" s="170"/>
      <c r="F723" s="170"/>
      <c r="G723" s="170"/>
      <c r="H723" s="170"/>
      <c r="I723" s="170"/>
      <c r="J723" s="170"/>
      <c r="K723" s="170"/>
      <c r="N723" s="173"/>
    </row>
    <row r="724" spans="1:14">
      <c r="A724" s="170"/>
      <c r="B724" s="171">
        <v>1.0351585166444348</v>
      </c>
      <c r="C724" s="171">
        <v>-2.1037449841221099</v>
      </c>
      <c r="D724" s="171">
        <v>-0.82913701269133588</v>
      </c>
      <c r="E724" s="170">
        <v>-1.4990492230334603E-2</v>
      </c>
      <c r="F724" s="170">
        <v>0</v>
      </c>
      <c r="G724" s="170">
        <v>0</v>
      </c>
      <c r="H724" s="170">
        <v>0</v>
      </c>
      <c r="I724" s="170">
        <v>0</v>
      </c>
      <c r="J724" s="170">
        <v>0</v>
      </c>
      <c r="K724" s="170">
        <v>0</v>
      </c>
      <c r="L724">
        <v>3.0923821493075776</v>
      </c>
      <c r="N724" s="172"/>
    </row>
    <row r="725" spans="1:14">
      <c r="A725" s="170" t="s">
        <v>392</v>
      </c>
      <c r="B725" s="171">
        <v>-0.21871711292247331</v>
      </c>
      <c r="C725" s="171">
        <v>-2.1363371502498802</v>
      </c>
      <c r="D725" s="171">
        <v>-8.9790398854103559E-2</v>
      </c>
      <c r="E725" s="170">
        <v>0</v>
      </c>
      <c r="F725" s="170">
        <v>-1.4990492230334603E-2</v>
      </c>
      <c r="G725" s="170">
        <v>0</v>
      </c>
      <c r="H725" s="170">
        <v>0</v>
      </c>
      <c r="I725" s="170">
        <v>0</v>
      </c>
      <c r="J725" s="170">
        <v>0</v>
      </c>
      <c r="K725" s="170">
        <v>0</v>
      </c>
      <c r="L725">
        <v>2.3099179553746505</v>
      </c>
      <c r="N725" s="172">
        <f>MCond(B724:D726)</f>
        <v>7.648214420981799</v>
      </c>
    </row>
    <row r="726" spans="1:14">
      <c r="A726" s="170"/>
      <c r="B726" s="171">
        <v>1.6188303733889171</v>
      </c>
      <c r="C726" s="171">
        <v>-1.9594494251009342E-2</v>
      </c>
      <c r="D726" s="171">
        <v>-7.7422792294721043E-2</v>
      </c>
      <c r="E726" s="170">
        <v>0</v>
      </c>
      <c r="F726" s="170">
        <v>0</v>
      </c>
      <c r="G726" s="170">
        <v>-1.4990492230334603E-2</v>
      </c>
      <c r="H726" s="170">
        <v>0</v>
      </c>
      <c r="I726" s="170">
        <v>0</v>
      </c>
      <c r="J726" s="170">
        <v>0</v>
      </c>
      <c r="K726" s="170">
        <v>0</v>
      </c>
      <c r="L726">
        <v>1.3134950053890826</v>
      </c>
      <c r="N726" s="172"/>
    </row>
    <row r="727" spans="1:14">
      <c r="A727" s="170"/>
      <c r="B727" s="171"/>
      <c r="C727" s="171"/>
      <c r="D727" s="171"/>
      <c r="E727" s="170"/>
      <c r="F727" s="170"/>
      <c r="G727" s="170"/>
      <c r="H727" s="170"/>
      <c r="I727" s="170"/>
      <c r="J727" s="170"/>
      <c r="K727" s="170"/>
      <c r="N727" s="173"/>
    </row>
    <row r="728" spans="1:14">
      <c r="A728" s="170"/>
      <c r="B728" s="171">
        <v>1.0351585166444348</v>
      </c>
      <c r="C728" s="171">
        <v>-2.1037449841221099</v>
      </c>
      <c r="D728" s="171">
        <v>-0.82913701269133588</v>
      </c>
      <c r="E728" s="170">
        <v>-1.4990492230334603E-2</v>
      </c>
      <c r="F728" s="170">
        <v>0</v>
      </c>
      <c r="G728" s="170">
        <v>0</v>
      </c>
      <c r="H728" s="170">
        <v>0</v>
      </c>
      <c r="I728" s="170">
        <v>0</v>
      </c>
      <c r="J728" s="170">
        <v>0</v>
      </c>
      <c r="K728" s="170">
        <v>0</v>
      </c>
      <c r="L728">
        <v>3.0923821493075776</v>
      </c>
      <c r="N728" s="172"/>
    </row>
    <row r="729" spans="1:14">
      <c r="A729" s="170" t="s">
        <v>393</v>
      </c>
      <c r="B729" s="171">
        <v>-0.21871711292247331</v>
      </c>
      <c r="C729" s="171">
        <v>-2.1363371502498802</v>
      </c>
      <c r="D729" s="171">
        <v>-8.9790398854103559E-2</v>
      </c>
      <c r="E729" s="170">
        <v>0</v>
      </c>
      <c r="F729" s="170">
        <v>-1.4990492230334603E-2</v>
      </c>
      <c r="G729" s="170">
        <v>0</v>
      </c>
      <c r="H729" s="170">
        <v>0</v>
      </c>
      <c r="I729" s="170">
        <v>0</v>
      </c>
      <c r="J729" s="170">
        <v>0</v>
      </c>
      <c r="K729" s="170">
        <v>0</v>
      </c>
      <c r="L729">
        <v>2.3099179553746505</v>
      </c>
      <c r="N729" s="172">
        <f>MCond(B728:D730)</f>
        <v>30.732928259329775</v>
      </c>
    </row>
    <row r="730" spans="1:14">
      <c r="A730" s="170"/>
      <c r="B730" s="171">
        <v>1.0097006711160386</v>
      </c>
      <c r="C730" s="171">
        <v>0.26302086313966178</v>
      </c>
      <c r="D730" s="171">
        <v>-0.76545275918666766</v>
      </c>
      <c r="E730" s="170">
        <v>0</v>
      </c>
      <c r="F730" s="170">
        <v>0</v>
      </c>
      <c r="G730" s="170">
        <v>-1.4990492230334603E-2</v>
      </c>
      <c r="H730" s="170">
        <v>0</v>
      </c>
      <c r="I730" s="170">
        <v>0</v>
      </c>
      <c r="J730" s="170">
        <v>0</v>
      </c>
      <c r="K730" s="170">
        <v>0</v>
      </c>
      <c r="L730">
        <v>0.83729667312269707</v>
      </c>
      <c r="N730" s="172"/>
    </row>
    <row r="731" spans="1:14">
      <c r="A731" s="170"/>
      <c r="B731" s="171"/>
      <c r="C731" s="171"/>
      <c r="D731" s="171"/>
      <c r="E731" s="170"/>
      <c r="F731" s="170"/>
      <c r="G731" s="170"/>
      <c r="H731" s="170"/>
      <c r="I731" s="170"/>
      <c r="J731" s="170"/>
      <c r="K731" s="170"/>
      <c r="N731" s="173"/>
    </row>
    <row r="732" spans="1:14">
      <c r="A732" s="170"/>
      <c r="B732" s="171">
        <v>1.0351585166444348</v>
      </c>
      <c r="C732" s="171">
        <v>-2.1037449841221099</v>
      </c>
      <c r="D732" s="171">
        <v>-0.82913701269133588</v>
      </c>
      <c r="E732" s="170">
        <v>-1.4990492230334603E-2</v>
      </c>
      <c r="F732" s="170">
        <v>0</v>
      </c>
      <c r="G732" s="170">
        <v>0</v>
      </c>
      <c r="H732" s="170">
        <v>-0.18191808401017825</v>
      </c>
      <c r="I732" s="170">
        <v>-0.14525704733164976</v>
      </c>
      <c r="J732" s="170">
        <v>0</v>
      </c>
      <c r="K732" s="170">
        <v>0</v>
      </c>
      <c r="L732">
        <v>3.0923821493075776</v>
      </c>
      <c r="N732" s="172"/>
    </row>
    <row r="733" spans="1:14">
      <c r="A733" s="170" t="s">
        <v>394</v>
      </c>
      <c r="B733" s="171">
        <v>2.0770709056556562</v>
      </c>
      <c r="C733" s="171">
        <v>-2.1445635165533226</v>
      </c>
      <c r="D733" s="171">
        <v>-5.6653180844775664E-2</v>
      </c>
      <c r="E733" s="170">
        <v>0</v>
      </c>
      <c r="F733" s="170">
        <v>-1.4990492230334603E-2</v>
      </c>
      <c r="G733" s="170">
        <v>0</v>
      </c>
      <c r="H733" s="170">
        <v>-0.18191808401017825</v>
      </c>
      <c r="I733" s="170">
        <v>0</v>
      </c>
      <c r="J733" s="170">
        <v>-5.8370098634356792E-2</v>
      </c>
      <c r="K733" s="170">
        <v>0</v>
      </c>
      <c r="L733">
        <v>4.4582929032762966</v>
      </c>
      <c r="N733" s="172">
        <f>MCond(B732:D734)</f>
        <v>7.3967963927114955</v>
      </c>
    </row>
    <row r="734" spans="1:14">
      <c r="A734" s="170"/>
      <c r="B734" s="171">
        <v>-0.36768865949079377</v>
      </c>
      <c r="C734" s="171">
        <v>-1.2890795247765441</v>
      </c>
      <c r="D734" s="171">
        <v>-0.10954983766095538</v>
      </c>
      <c r="E734" s="170">
        <v>0</v>
      </c>
      <c r="F734" s="170">
        <v>0</v>
      </c>
      <c r="G734" s="170">
        <v>-1.4990492230334603E-2</v>
      </c>
      <c r="H734" s="170">
        <v>-0.18191808401017825</v>
      </c>
      <c r="I734" s="170">
        <v>0</v>
      </c>
      <c r="J734" s="170">
        <v>0</v>
      </c>
      <c r="K734" s="170">
        <v>-2.1174072073315828E-2</v>
      </c>
      <c r="L734">
        <v>0.90446106922389957</v>
      </c>
      <c r="N734" s="172"/>
    </row>
    <row r="735" spans="1:14">
      <c r="A735" s="170"/>
      <c r="B735" s="171"/>
      <c r="C735" s="171"/>
      <c r="D735" s="171"/>
      <c r="E735" s="170"/>
      <c r="F735" s="170"/>
      <c r="G735" s="170"/>
      <c r="H735" s="170"/>
      <c r="I735" s="170"/>
      <c r="J735" s="170"/>
      <c r="K735" s="170"/>
      <c r="N735" s="173"/>
    </row>
    <row r="736" spans="1:14">
      <c r="A736" s="170"/>
      <c r="B736" s="171">
        <v>1.0351585166444348</v>
      </c>
      <c r="C736" s="171">
        <v>-2.1037449841221099</v>
      </c>
      <c r="D736" s="171">
        <v>-0.82913701269133588</v>
      </c>
      <c r="E736" s="170">
        <v>-1.4990492230334603E-2</v>
      </c>
      <c r="F736" s="170">
        <v>0</v>
      </c>
      <c r="G736" s="170">
        <v>0</v>
      </c>
      <c r="H736" s="170">
        <v>-0.18191808401017825</v>
      </c>
      <c r="I736" s="170">
        <v>-0.14525704733164976</v>
      </c>
      <c r="J736" s="170">
        <v>0</v>
      </c>
      <c r="K736" s="170">
        <v>0</v>
      </c>
      <c r="L736">
        <v>3.0923821493075776</v>
      </c>
      <c r="N736" s="172"/>
    </row>
    <row r="737" spans="1:14">
      <c r="A737" s="170" t="s">
        <v>395</v>
      </c>
      <c r="B737" s="171">
        <v>2.0770709056556562</v>
      </c>
      <c r="C737" s="171">
        <v>-2.1445635165533226</v>
      </c>
      <c r="D737" s="171">
        <v>-5.6653180844775664E-2</v>
      </c>
      <c r="E737" s="170">
        <v>0</v>
      </c>
      <c r="F737" s="170">
        <v>-1.4990492230334603E-2</v>
      </c>
      <c r="G737" s="170">
        <v>0</v>
      </c>
      <c r="H737" s="170">
        <v>-0.18191808401017825</v>
      </c>
      <c r="I737" s="170">
        <v>0</v>
      </c>
      <c r="J737" s="170">
        <v>-5.8370098634356792E-2</v>
      </c>
      <c r="K737" s="170">
        <v>0</v>
      </c>
      <c r="L737">
        <v>4.4582929032762966</v>
      </c>
      <c r="N737" s="172">
        <f>MCond(B736:D738)</f>
        <v>11.431778758175978</v>
      </c>
    </row>
    <row r="738" spans="1:14">
      <c r="A738" s="170"/>
      <c r="B738" s="171">
        <v>2.4772611105726599</v>
      </c>
      <c r="C738" s="171">
        <v>-1.0605572692523213</v>
      </c>
      <c r="D738" s="171">
        <v>-3.9812674620544719E-2</v>
      </c>
      <c r="E738" s="170">
        <v>0</v>
      </c>
      <c r="F738" s="170">
        <v>0</v>
      </c>
      <c r="G738" s="170">
        <v>-1.4990492230334603E-2</v>
      </c>
      <c r="H738" s="170">
        <v>-0.18191808401017825</v>
      </c>
      <c r="I738" s="170">
        <v>0</v>
      </c>
      <c r="J738" s="170">
        <v>0</v>
      </c>
      <c r="K738" s="170">
        <v>6.8827960560405646E-2</v>
      </c>
      <c r="L738">
        <v>3.6315946901900351</v>
      </c>
      <c r="N738" s="172"/>
    </row>
    <row r="739" spans="1:14">
      <c r="A739" s="170"/>
      <c r="B739" s="171"/>
      <c r="C739" s="171"/>
      <c r="D739" s="171"/>
      <c r="E739" s="170"/>
      <c r="F739" s="170"/>
      <c r="G739" s="170"/>
      <c r="H739" s="170"/>
      <c r="I739" s="170"/>
      <c r="J739" s="170"/>
      <c r="K739" s="170"/>
      <c r="N739" s="173"/>
    </row>
    <row r="740" spans="1:14">
      <c r="A740" s="170"/>
      <c r="B740" s="171">
        <v>1.0351585166444348</v>
      </c>
      <c r="C740" s="171">
        <v>-2.1037449841221099</v>
      </c>
      <c r="D740" s="171">
        <v>-0.82913701269133588</v>
      </c>
      <c r="E740" s="170">
        <v>-1.4990492230334603E-2</v>
      </c>
      <c r="F740" s="170">
        <v>0</v>
      </c>
      <c r="G740" s="170">
        <v>0</v>
      </c>
      <c r="H740" s="170">
        <v>0</v>
      </c>
      <c r="I740" s="170">
        <v>0</v>
      </c>
      <c r="J740" s="170">
        <v>0</v>
      </c>
      <c r="K740" s="170">
        <v>0</v>
      </c>
      <c r="L740">
        <v>3.0923821493075776</v>
      </c>
      <c r="N740" s="172"/>
    </row>
    <row r="741" spans="1:14">
      <c r="A741" s="170" t="s">
        <v>396</v>
      </c>
      <c r="B741" s="171">
        <v>2.0770709056556562</v>
      </c>
      <c r="C741" s="171">
        <v>-2.1445635165533226</v>
      </c>
      <c r="D741" s="171">
        <v>-5.6653180844775664E-2</v>
      </c>
      <c r="E741" s="170">
        <v>0</v>
      </c>
      <c r="F741" s="170">
        <v>-1.4990492230334603E-2</v>
      </c>
      <c r="G741" s="170">
        <v>0</v>
      </c>
      <c r="H741" s="170">
        <v>0</v>
      </c>
      <c r="I741" s="170">
        <v>0</v>
      </c>
      <c r="J741" s="170">
        <v>0</v>
      </c>
      <c r="K741" s="170">
        <v>0</v>
      </c>
      <c r="L741">
        <v>4.4582929032762966</v>
      </c>
      <c r="N741" s="172">
        <f>MCond(B740:D742)</f>
        <v>7.7074988340721093</v>
      </c>
    </row>
    <row r="742" spans="1:14">
      <c r="A742" s="170"/>
      <c r="B742" s="171">
        <v>1.6188303733889171</v>
      </c>
      <c r="C742" s="171">
        <v>-1.9594494251009342E-2</v>
      </c>
      <c r="D742" s="171">
        <v>-7.7422792294721043E-2</v>
      </c>
      <c r="E742" s="170">
        <v>0</v>
      </c>
      <c r="F742" s="170">
        <v>0</v>
      </c>
      <c r="G742" s="170">
        <v>-1.4990492230334603E-2</v>
      </c>
      <c r="H742" s="170">
        <v>0</v>
      </c>
      <c r="I742" s="170">
        <v>0</v>
      </c>
      <c r="J742" s="170">
        <v>0</v>
      </c>
      <c r="K742" s="170">
        <v>0</v>
      </c>
      <c r="L742">
        <v>1.3134950053890826</v>
      </c>
      <c r="N742" s="172"/>
    </row>
    <row r="743" spans="1:14">
      <c r="A743" s="170"/>
      <c r="B743" s="171"/>
      <c r="C743" s="171"/>
      <c r="D743" s="171"/>
      <c r="E743" s="170"/>
      <c r="F743" s="170"/>
      <c r="G743" s="170"/>
      <c r="H743" s="170"/>
      <c r="I743" s="170"/>
      <c r="J743" s="170"/>
      <c r="K743" s="170"/>
      <c r="N743" s="173"/>
    </row>
    <row r="744" spans="1:14">
      <c r="A744" s="170"/>
      <c r="B744" s="171">
        <v>1.0351585166444348</v>
      </c>
      <c r="C744" s="171">
        <v>-2.1037449841221099</v>
      </c>
      <c r="D744" s="171">
        <v>-0.82913701269133588</v>
      </c>
      <c r="E744" s="170">
        <v>-1.4990492230334603E-2</v>
      </c>
      <c r="F744" s="170">
        <v>0</v>
      </c>
      <c r="G744" s="170">
        <v>0</v>
      </c>
      <c r="H744" s="170">
        <v>-0.18191808401017825</v>
      </c>
      <c r="I744" s="170">
        <v>-0.14525704733164976</v>
      </c>
      <c r="J744" s="170">
        <v>0</v>
      </c>
      <c r="K744" s="170">
        <v>0</v>
      </c>
      <c r="L744">
        <v>3.0923821493075776</v>
      </c>
      <c r="N744" s="172"/>
    </row>
    <row r="745" spans="1:14">
      <c r="A745" s="170" t="s">
        <v>397</v>
      </c>
      <c r="B745" s="171">
        <v>2.0770709056556562</v>
      </c>
      <c r="C745" s="171">
        <v>-2.1445635165533226</v>
      </c>
      <c r="D745" s="171">
        <v>-5.6653180844775664E-2</v>
      </c>
      <c r="E745" s="170">
        <v>0</v>
      </c>
      <c r="F745" s="170">
        <v>-1.4990492230334603E-2</v>
      </c>
      <c r="G745" s="170">
        <v>0</v>
      </c>
      <c r="H745" s="170">
        <v>-0.18191808401017825</v>
      </c>
      <c r="I745" s="170">
        <v>0</v>
      </c>
      <c r="J745" s="170">
        <v>-5.8370098634356792E-2</v>
      </c>
      <c r="K745" s="170">
        <v>0</v>
      </c>
      <c r="L745">
        <v>4.4582929032762966</v>
      </c>
      <c r="N745" s="172">
        <f>MCond(B744:D746)</f>
        <v>4.638002539904412</v>
      </c>
    </row>
    <row r="746" spans="1:14">
      <c r="A746" s="170"/>
      <c r="B746" s="171">
        <v>1.0097006711160386</v>
      </c>
      <c r="C746" s="171">
        <v>0.26302086313966178</v>
      </c>
      <c r="D746" s="171">
        <v>-0.76545275918666766</v>
      </c>
      <c r="E746" s="170">
        <v>0</v>
      </c>
      <c r="F746" s="170">
        <v>0</v>
      </c>
      <c r="G746" s="170">
        <v>-1.4990492230334603E-2</v>
      </c>
      <c r="H746" s="170">
        <v>-0.18191808401017825</v>
      </c>
      <c r="I746" s="170">
        <v>0</v>
      </c>
      <c r="J746" s="170">
        <v>0</v>
      </c>
      <c r="K746" s="170">
        <v>-8.9700844372930258E-2</v>
      </c>
      <c r="L746">
        <v>0.83729667312269707</v>
      </c>
      <c r="N746" s="172"/>
    </row>
    <row r="747" spans="1:14">
      <c r="A747" s="170"/>
      <c r="B747" s="171"/>
      <c r="C747" s="171"/>
      <c r="D747" s="171"/>
      <c r="E747" s="170"/>
      <c r="F747" s="170"/>
      <c r="G747" s="170"/>
      <c r="H747" s="170"/>
      <c r="I747" s="170"/>
      <c r="J747" s="170"/>
      <c r="K747" s="170"/>
      <c r="N747" s="173"/>
    </row>
    <row r="748" spans="1:14">
      <c r="A748" s="170"/>
      <c r="B748" s="171">
        <v>1.0351585166444348</v>
      </c>
      <c r="C748" s="171">
        <v>-2.1037449841221099</v>
      </c>
      <c r="D748" s="171">
        <v>-0.82913701269133588</v>
      </c>
      <c r="E748" s="170">
        <v>-1.4990492230334603E-2</v>
      </c>
      <c r="F748" s="170">
        <v>0</v>
      </c>
      <c r="G748" s="170">
        <v>0</v>
      </c>
      <c r="H748" s="170">
        <v>-0.18191808401017825</v>
      </c>
      <c r="I748" s="170">
        <v>-0.14525704733164976</v>
      </c>
      <c r="J748" s="170">
        <v>0</v>
      </c>
      <c r="K748" s="170">
        <v>0</v>
      </c>
      <c r="L748">
        <v>3.0923821493075776</v>
      </c>
      <c r="N748" s="172"/>
    </row>
    <row r="749" spans="1:14">
      <c r="A749" s="170" t="s">
        <v>398</v>
      </c>
      <c r="B749" s="171">
        <v>-0.36768865949079377</v>
      </c>
      <c r="C749" s="171">
        <v>-1.2890795247765441</v>
      </c>
      <c r="D749" s="171">
        <v>-0.10954983766095538</v>
      </c>
      <c r="E749" s="170">
        <v>0</v>
      </c>
      <c r="F749" s="170">
        <v>-1.4990492230334603E-2</v>
      </c>
      <c r="G749" s="170">
        <v>0</v>
      </c>
      <c r="H749" s="170">
        <v>-0.18191808401017825</v>
      </c>
      <c r="I749" s="170">
        <v>0</v>
      </c>
      <c r="J749" s="170">
        <v>-2.1174072073315828E-2</v>
      </c>
      <c r="K749" s="170">
        <v>0</v>
      </c>
      <c r="L749">
        <v>0.90446106922389957</v>
      </c>
      <c r="N749" s="172">
        <f>MCond(B748:D750)</f>
        <v>8.6904484429411184</v>
      </c>
    </row>
    <row r="750" spans="1:14">
      <c r="A750" s="170"/>
      <c r="B750" s="171">
        <v>2.4772611105726599</v>
      </c>
      <c r="C750" s="171">
        <v>-1.0605572692523213</v>
      </c>
      <c r="D750" s="171">
        <v>-3.9812674620544719E-2</v>
      </c>
      <c r="E750" s="170">
        <v>0</v>
      </c>
      <c r="F750" s="170">
        <v>0</v>
      </c>
      <c r="G750" s="170">
        <v>-1.4990492230334603E-2</v>
      </c>
      <c r="H750" s="170">
        <v>-0.18191808401017825</v>
      </c>
      <c r="I750" s="170">
        <v>0</v>
      </c>
      <c r="J750" s="170">
        <v>0</v>
      </c>
      <c r="K750" s="170">
        <v>6.8827960560405646E-2</v>
      </c>
      <c r="L750">
        <v>3.6315946901900351</v>
      </c>
      <c r="N750" s="172"/>
    </row>
    <row r="751" spans="1:14">
      <c r="A751" s="170"/>
      <c r="B751" s="171"/>
      <c r="C751" s="171"/>
      <c r="D751" s="171"/>
      <c r="E751" s="170"/>
      <c r="F751" s="170"/>
      <c r="G751" s="170"/>
      <c r="H751" s="170"/>
      <c r="I751" s="170"/>
      <c r="J751" s="170"/>
      <c r="K751" s="170"/>
      <c r="N751" s="173"/>
    </row>
    <row r="752" spans="1:14">
      <c r="A752" s="170"/>
      <c r="B752" s="171">
        <v>1.0351585166444348</v>
      </c>
      <c r="C752" s="171">
        <v>-2.1037449841221099</v>
      </c>
      <c r="D752" s="171">
        <v>-0.82913701269133588</v>
      </c>
      <c r="E752" s="170">
        <v>-1.4990492230334603E-2</v>
      </c>
      <c r="F752" s="170">
        <v>0</v>
      </c>
      <c r="G752" s="170">
        <v>0</v>
      </c>
      <c r="H752" s="170">
        <v>0</v>
      </c>
      <c r="I752" s="170">
        <v>0</v>
      </c>
      <c r="J752" s="170">
        <v>0</v>
      </c>
      <c r="K752" s="170">
        <v>0</v>
      </c>
      <c r="L752">
        <v>3.0923821493075776</v>
      </c>
      <c r="N752" s="172"/>
    </row>
    <row r="753" spans="1:14">
      <c r="A753" s="170" t="s">
        <v>399</v>
      </c>
      <c r="B753" s="171">
        <v>-0.36768865949079377</v>
      </c>
      <c r="C753" s="171">
        <v>-1.2890795247765441</v>
      </c>
      <c r="D753" s="171">
        <v>-0.10954983766095538</v>
      </c>
      <c r="E753" s="170">
        <v>0</v>
      </c>
      <c r="F753" s="170">
        <v>-1.4990492230334603E-2</v>
      </c>
      <c r="G753" s="170">
        <v>0</v>
      </c>
      <c r="H753" s="170">
        <v>0</v>
      </c>
      <c r="I753" s="170">
        <v>0</v>
      </c>
      <c r="J753" s="170">
        <v>0</v>
      </c>
      <c r="K753" s="170">
        <v>0</v>
      </c>
      <c r="L753">
        <v>0.90446106922389957</v>
      </c>
      <c r="N753" s="172">
        <f>MCond(B752:D754)</f>
        <v>10.838976396829279</v>
      </c>
    </row>
    <row r="754" spans="1:14">
      <c r="A754" s="170"/>
      <c r="B754" s="171">
        <v>1.6188303733889171</v>
      </c>
      <c r="C754" s="171">
        <v>-1.9594494251009342E-2</v>
      </c>
      <c r="D754" s="171">
        <v>-7.7422792294721043E-2</v>
      </c>
      <c r="E754" s="170">
        <v>0</v>
      </c>
      <c r="F754" s="170">
        <v>0</v>
      </c>
      <c r="G754" s="170">
        <v>-1.4990492230334603E-2</v>
      </c>
      <c r="H754" s="170">
        <v>0</v>
      </c>
      <c r="I754" s="170">
        <v>0</v>
      </c>
      <c r="J754" s="170">
        <v>0</v>
      </c>
      <c r="K754" s="170">
        <v>0</v>
      </c>
      <c r="L754">
        <v>1.3134950053890826</v>
      </c>
      <c r="N754" s="172"/>
    </row>
    <row r="755" spans="1:14">
      <c r="A755" s="170"/>
      <c r="B755" s="171"/>
      <c r="C755" s="171"/>
      <c r="D755" s="171"/>
      <c r="E755" s="170"/>
      <c r="F755" s="170"/>
      <c r="G755" s="170"/>
      <c r="H755" s="170"/>
      <c r="I755" s="170"/>
      <c r="J755" s="170"/>
      <c r="K755" s="170"/>
      <c r="N755" s="173"/>
    </row>
    <row r="756" spans="1:14">
      <c r="A756" s="170"/>
      <c r="B756" s="171">
        <v>1.0351585166444348</v>
      </c>
      <c r="C756" s="171">
        <v>-2.1037449841221099</v>
      </c>
      <c r="D756" s="171">
        <v>-0.82913701269133588</v>
      </c>
      <c r="E756" s="170">
        <v>-1.4990492230334603E-2</v>
      </c>
      <c r="F756" s="170">
        <v>0</v>
      </c>
      <c r="G756" s="170">
        <v>0</v>
      </c>
      <c r="H756" s="170">
        <v>-0.18191808401017825</v>
      </c>
      <c r="I756" s="170">
        <v>-0.14525704733164976</v>
      </c>
      <c r="J756" s="170">
        <v>0</v>
      </c>
      <c r="K756" s="170">
        <v>0</v>
      </c>
      <c r="L756">
        <v>3.0923821493075776</v>
      </c>
      <c r="N756" s="172"/>
    </row>
    <row r="757" spans="1:14">
      <c r="A757" s="170" t="s">
        <v>400</v>
      </c>
      <c r="B757" s="171">
        <v>-0.36768865949079377</v>
      </c>
      <c r="C757" s="171">
        <v>-1.2890795247765441</v>
      </c>
      <c r="D757" s="171">
        <v>-0.10954983766095538</v>
      </c>
      <c r="E757" s="170">
        <v>0</v>
      </c>
      <c r="F757" s="170">
        <v>-1.4990492230334603E-2</v>
      </c>
      <c r="G757" s="170">
        <v>0</v>
      </c>
      <c r="H757" s="170">
        <v>-0.18191808401017825</v>
      </c>
      <c r="I757" s="170">
        <v>0</v>
      </c>
      <c r="J757" s="170">
        <v>-2.1174072073315828E-2</v>
      </c>
      <c r="K757" s="170">
        <v>0</v>
      </c>
      <c r="L757">
        <v>0.90446106922389957</v>
      </c>
      <c r="N757" s="172">
        <f>MCond(B756:D758)</f>
        <v>12.611025430513319</v>
      </c>
    </row>
    <row r="758" spans="1:14">
      <c r="A758" s="170"/>
      <c r="B758" s="171">
        <v>1.0097006711160386</v>
      </c>
      <c r="C758" s="171">
        <v>0.26302086313966178</v>
      </c>
      <c r="D758" s="171">
        <v>-0.76545275918666766</v>
      </c>
      <c r="E758" s="170">
        <v>0</v>
      </c>
      <c r="F758" s="170">
        <v>0</v>
      </c>
      <c r="G758" s="170">
        <v>-1.4990492230334603E-2</v>
      </c>
      <c r="H758" s="170">
        <v>-0.18191808401017825</v>
      </c>
      <c r="I758" s="170">
        <v>0</v>
      </c>
      <c r="J758" s="170">
        <v>0</v>
      </c>
      <c r="K758" s="170">
        <v>-8.9700844372930258E-2</v>
      </c>
      <c r="L758">
        <v>0.83729667312269707</v>
      </c>
      <c r="N758" s="172"/>
    </row>
    <row r="759" spans="1:14">
      <c r="A759" s="170"/>
      <c r="B759" s="171"/>
      <c r="C759" s="171"/>
      <c r="D759" s="171"/>
      <c r="E759" s="170"/>
      <c r="F759" s="170"/>
      <c r="G759" s="170"/>
      <c r="H759" s="170"/>
      <c r="I759" s="170"/>
      <c r="J759" s="170"/>
      <c r="K759" s="170"/>
      <c r="N759" s="173"/>
    </row>
    <row r="760" spans="1:14">
      <c r="A760" s="170"/>
      <c r="B760" s="171">
        <v>1.0351585166444348</v>
      </c>
      <c r="C760" s="171">
        <v>-2.1037449841221099</v>
      </c>
      <c r="D760" s="171">
        <v>-0.82913701269133588</v>
      </c>
      <c r="E760" s="170">
        <v>-1.4990492230334603E-2</v>
      </c>
      <c r="F760" s="170">
        <v>0</v>
      </c>
      <c r="G760" s="170">
        <v>0</v>
      </c>
      <c r="H760" s="170">
        <v>0</v>
      </c>
      <c r="I760" s="170">
        <v>0</v>
      </c>
      <c r="J760" s="170">
        <v>0</v>
      </c>
      <c r="K760" s="170">
        <v>0</v>
      </c>
      <c r="L760">
        <v>3.0923821493075776</v>
      </c>
      <c r="N760" s="172"/>
    </row>
    <row r="761" spans="1:14">
      <c r="A761" s="170" t="s">
        <v>401</v>
      </c>
      <c r="B761" s="171">
        <v>2.4772611105726599</v>
      </c>
      <c r="C761" s="171">
        <v>-1.0605572692523213</v>
      </c>
      <c r="D761" s="171">
        <v>-3.9812674620544719E-2</v>
      </c>
      <c r="E761" s="170">
        <v>0</v>
      </c>
      <c r="F761" s="170">
        <v>-1.4990492230334603E-2</v>
      </c>
      <c r="G761" s="170">
        <v>0</v>
      </c>
      <c r="H761" s="170">
        <v>0</v>
      </c>
      <c r="I761" s="170">
        <v>0</v>
      </c>
      <c r="J761" s="170">
        <v>0</v>
      </c>
      <c r="K761" s="170">
        <v>0</v>
      </c>
      <c r="L761">
        <v>3.6315946901900351</v>
      </c>
      <c r="N761" s="172">
        <f>MCond(B760:D762)</f>
        <v>14.023075414159493</v>
      </c>
    </row>
    <row r="762" spans="1:14">
      <c r="A762" s="170"/>
      <c r="B762" s="171">
        <v>1.6188303733889171</v>
      </c>
      <c r="C762" s="171">
        <v>-1.9594494251009342E-2</v>
      </c>
      <c r="D762" s="171">
        <v>-7.7422792294721043E-2</v>
      </c>
      <c r="E762" s="170">
        <v>0</v>
      </c>
      <c r="F762" s="170">
        <v>0</v>
      </c>
      <c r="G762" s="170">
        <v>-1.4990492230334603E-2</v>
      </c>
      <c r="H762" s="170">
        <v>0</v>
      </c>
      <c r="I762" s="170">
        <v>0</v>
      </c>
      <c r="J762" s="170">
        <v>0</v>
      </c>
      <c r="K762" s="170">
        <v>0</v>
      </c>
      <c r="L762">
        <v>1.3134950053890826</v>
      </c>
      <c r="N762" s="172"/>
    </row>
    <row r="763" spans="1:14">
      <c r="A763" s="170"/>
      <c r="B763" s="171"/>
      <c r="C763" s="171"/>
      <c r="D763" s="171"/>
      <c r="E763" s="170"/>
      <c r="F763" s="170"/>
      <c r="G763" s="170"/>
      <c r="H763" s="170"/>
      <c r="I763" s="170"/>
      <c r="J763" s="170"/>
      <c r="K763" s="170"/>
      <c r="N763" s="173"/>
    </row>
    <row r="764" spans="1:14">
      <c r="A764" s="170"/>
      <c r="B764" s="171">
        <v>1.0351585166444348</v>
      </c>
      <c r="C764" s="171">
        <v>-2.1037449841221099</v>
      </c>
      <c r="D764" s="171">
        <v>-0.82913701269133588</v>
      </c>
      <c r="E764" s="170">
        <v>-1.4990492230334603E-2</v>
      </c>
      <c r="F764" s="170">
        <v>0</v>
      </c>
      <c r="G764" s="170">
        <v>0</v>
      </c>
      <c r="H764" s="170">
        <v>-0.18191808401017825</v>
      </c>
      <c r="I764" s="170">
        <v>-0.14525704733164976</v>
      </c>
      <c r="J764" s="170">
        <v>0</v>
      </c>
      <c r="K764" s="170">
        <v>0</v>
      </c>
      <c r="L764">
        <v>3.0923821493075776</v>
      </c>
      <c r="N764" s="172"/>
    </row>
    <row r="765" spans="1:14">
      <c r="A765" s="170" t="s">
        <v>402</v>
      </c>
      <c r="B765" s="171">
        <v>2.4772611105726599</v>
      </c>
      <c r="C765" s="171">
        <v>-1.0605572692523213</v>
      </c>
      <c r="D765" s="171">
        <v>-3.9812674620544719E-2</v>
      </c>
      <c r="E765" s="170">
        <v>0</v>
      </c>
      <c r="F765" s="170">
        <v>-1.4990492230334603E-2</v>
      </c>
      <c r="G765" s="170">
        <v>0</v>
      </c>
      <c r="H765" s="170">
        <v>-0.18191808401017825</v>
      </c>
      <c r="I765" s="170">
        <v>0</v>
      </c>
      <c r="J765" s="170">
        <v>6.8827960560405646E-2</v>
      </c>
      <c r="K765" s="170">
        <v>0</v>
      </c>
      <c r="L765">
        <v>3.6315946901900351</v>
      </c>
      <c r="N765" s="172">
        <f>MCond(B764:D766)</f>
        <v>4.0515953972785423</v>
      </c>
    </row>
    <row r="766" spans="1:14">
      <c r="A766" s="170"/>
      <c r="B766" s="171">
        <v>1.0097006711160386</v>
      </c>
      <c r="C766" s="171">
        <v>0.26302086313966178</v>
      </c>
      <c r="D766" s="171">
        <v>-0.76545275918666766</v>
      </c>
      <c r="E766" s="170">
        <v>0</v>
      </c>
      <c r="F766" s="170">
        <v>0</v>
      </c>
      <c r="G766" s="170">
        <v>-1.4990492230334603E-2</v>
      </c>
      <c r="H766" s="170">
        <v>-0.18191808401017825</v>
      </c>
      <c r="I766" s="170">
        <v>0</v>
      </c>
      <c r="J766" s="170">
        <v>0</v>
      </c>
      <c r="K766" s="170">
        <v>-8.9700844372930258E-2</v>
      </c>
      <c r="L766">
        <v>0.83729667312269707</v>
      </c>
      <c r="N766" s="172"/>
    </row>
    <row r="767" spans="1:14">
      <c r="A767" s="170"/>
      <c r="B767" s="171"/>
      <c r="C767" s="171"/>
      <c r="D767" s="171"/>
      <c r="E767" s="170"/>
      <c r="F767" s="170"/>
      <c r="G767" s="170"/>
      <c r="H767" s="170"/>
      <c r="I767" s="170"/>
      <c r="J767" s="170"/>
      <c r="K767" s="170"/>
      <c r="N767" s="173"/>
    </row>
    <row r="768" spans="1:14">
      <c r="A768" s="170"/>
      <c r="B768" s="171">
        <v>1.0351585166444348</v>
      </c>
      <c r="C768" s="171">
        <v>-2.1037449841221099</v>
      </c>
      <c r="D768" s="171">
        <v>-0.82913701269133588</v>
      </c>
      <c r="E768" s="170">
        <v>-1.4990492230334603E-2</v>
      </c>
      <c r="F768" s="170">
        <v>0</v>
      </c>
      <c r="G768" s="170">
        <v>0</v>
      </c>
      <c r="H768" s="170">
        <v>0</v>
      </c>
      <c r="I768" s="170">
        <v>0</v>
      </c>
      <c r="J768" s="170">
        <v>0</v>
      </c>
      <c r="K768" s="170">
        <v>0</v>
      </c>
      <c r="L768">
        <v>3.0923821493075776</v>
      </c>
      <c r="N768" s="172"/>
    </row>
    <row r="769" spans="1:14">
      <c r="A769" s="170" t="s">
        <v>403</v>
      </c>
      <c r="B769" s="171">
        <v>1.6188303733889171</v>
      </c>
      <c r="C769" s="171">
        <v>-1.9594494251009342E-2</v>
      </c>
      <c r="D769" s="171">
        <v>-7.7422792294721043E-2</v>
      </c>
      <c r="E769" s="170">
        <v>0</v>
      </c>
      <c r="F769" s="170">
        <v>-1.4990492230334603E-2</v>
      </c>
      <c r="G769" s="170">
        <v>0</v>
      </c>
      <c r="H769" s="170">
        <v>0</v>
      </c>
      <c r="I769" s="170">
        <v>0</v>
      </c>
      <c r="J769" s="170">
        <v>0</v>
      </c>
      <c r="K769" s="170">
        <v>0</v>
      </c>
      <c r="L769">
        <v>1.3134950053890826</v>
      </c>
      <c r="N769" s="172">
        <f>MCond(B768:D770)</f>
        <v>4.3704074811251417</v>
      </c>
    </row>
    <row r="770" spans="1:14">
      <c r="A770" s="170"/>
      <c r="B770" s="171">
        <v>1.0097006711160386</v>
      </c>
      <c r="C770" s="171">
        <v>0.26302086313966178</v>
      </c>
      <c r="D770" s="171">
        <v>-0.76545275918666766</v>
      </c>
      <c r="E770" s="170">
        <v>0</v>
      </c>
      <c r="F770" s="170">
        <v>0</v>
      </c>
      <c r="G770" s="170">
        <v>-1.4990492230334603E-2</v>
      </c>
      <c r="H770" s="170">
        <v>0</v>
      </c>
      <c r="I770" s="170">
        <v>0</v>
      </c>
      <c r="J770" s="170">
        <v>0</v>
      </c>
      <c r="K770" s="170">
        <v>0</v>
      </c>
      <c r="L770">
        <v>0.83729667312269707</v>
      </c>
      <c r="N770" s="172"/>
    </row>
    <row r="771" spans="1:14">
      <c r="A771" s="170"/>
      <c r="B771" s="171"/>
      <c r="C771" s="171"/>
      <c r="D771" s="171"/>
      <c r="E771" s="170"/>
      <c r="F771" s="170"/>
      <c r="G771" s="170"/>
      <c r="H771" s="170"/>
      <c r="I771" s="170"/>
      <c r="J771" s="170"/>
      <c r="K771" s="170"/>
      <c r="N771" s="173"/>
    </row>
    <row r="772" spans="1:14">
      <c r="A772" s="170"/>
      <c r="B772" s="171">
        <v>-0.21871711292247331</v>
      </c>
      <c r="C772" s="171">
        <v>-2.1363371502498802</v>
      </c>
      <c r="D772" s="171">
        <v>-8.9790398854103559E-2</v>
      </c>
      <c r="E772" s="170">
        <v>-1.4990492230334603E-2</v>
      </c>
      <c r="F772" s="170">
        <v>0</v>
      </c>
      <c r="G772" s="170">
        <v>0</v>
      </c>
      <c r="H772" s="170">
        <v>0</v>
      </c>
      <c r="I772" s="170">
        <v>0</v>
      </c>
      <c r="J772" s="170">
        <v>0</v>
      </c>
      <c r="K772" s="170">
        <v>0</v>
      </c>
      <c r="L772">
        <v>2.3099179553746505</v>
      </c>
      <c r="N772" s="172"/>
    </row>
    <row r="773" spans="1:14">
      <c r="A773" s="170" t="s">
        <v>404</v>
      </c>
      <c r="B773" s="171">
        <v>2.0770709056556562</v>
      </c>
      <c r="C773" s="171">
        <v>-2.1445635165533226</v>
      </c>
      <c r="D773" s="171">
        <v>-5.6653180844775664E-2</v>
      </c>
      <c r="E773" s="170">
        <v>0</v>
      </c>
      <c r="F773" s="170">
        <v>-1.4990492230334603E-2</v>
      </c>
      <c r="G773" s="170">
        <v>0</v>
      </c>
      <c r="H773" s="170">
        <v>0</v>
      </c>
      <c r="I773" s="170">
        <v>0</v>
      </c>
      <c r="J773" s="170">
        <v>0</v>
      </c>
      <c r="K773" s="170">
        <v>0</v>
      </c>
      <c r="L773">
        <v>4.4582929032762966</v>
      </c>
      <c r="N773" s="172">
        <f>MCond(B772:D774)</f>
        <v>83.460835017935977</v>
      </c>
    </row>
    <row r="774" spans="1:14">
      <c r="A774" s="170"/>
      <c r="B774" s="171">
        <v>-0.36768865949079377</v>
      </c>
      <c r="C774" s="171">
        <v>-1.2890795247765441</v>
      </c>
      <c r="D774" s="171">
        <v>-0.10954983766095538</v>
      </c>
      <c r="E774" s="170">
        <v>0</v>
      </c>
      <c r="F774" s="170">
        <v>0</v>
      </c>
      <c r="G774" s="170">
        <v>-1.4990492230334603E-2</v>
      </c>
      <c r="H774" s="170">
        <v>0</v>
      </c>
      <c r="I774" s="170">
        <v>0</v>
      </c>
      <c r="J774" s="170">
        <v>0</v>
      </c>
      <c r="K774" s="170">
        <v>0</v>
      </c>
      <c r="L774">
        <v>0.90446106922389957</v>
      </c>
      <c r="N774" s="172"/>
    </row>
    <row r="775" spans="1:14">
      <c r="A775" s="170"/>
      <c r="B775" s="171"/>
      <c r="C775" s="171"/>
      <c r="D775" s="171"/>
      <c r="E775" s="170"/>
      <c r="F775" s="170"/>
      <c r="G775" s="170"/>
      <c r="H775" s="170"/>
      <c r="I775" s="170"/>
      <c r="J775" s="170"/>
      <c r="K775" s="170"/>
      <c r="N775" s="173"/>
    </row>
    <row r="776" spans="1:14">
      <c r="A776" s="170"/>
      <c r="B776" s="171">
        <v>-0.21871711292247331</v>
      </c>
      <c r="C776" s="171">
        <v>-2.1363371502498802</v>
      </c>
      <c r="D776" s="171">
        <v>-8.9790398854103559E-2</v>
      </c>
      <c r="E776" s="170">
        <v>-1.4990492230334603E-2</v>
      </c>
      <c r="F776" s="170">
        <v>0</v>
      </c>
      <c r="G776" s="170">
        <v>0</v>
      </c>
      <c r="H776" s="170">
        <v>0</v>
      </c>
      <c r="I776" s="170">
        <v>0</v>
      </c>
      <c r="J776" s="170">
        <v>0</v>
      </c>
      <c r="K776" s="170">
        <v>0</v>
      </c>
      <c r="L776">
        <v>2.3099179553746505</v>
      </c>
      <c r="N776" s="172"/>
    </row>
    <row r="777" spans="1:14">
      <c r="A777" s="170" t="s">
        <v>405</v>
      </c>
      <c r="B777" s="171">
        <v>2.0770709056556562</v>
      </c>
      <c r="C777" s="171">
        <v>-2.1445635165533226</v>
      </c>
      <c r="D777" s="171">
        <v>-5.6653180844775664E-2</v>
      </c>
      <c r="E777" s="170">
        <v>0</v>
      </c>
      <c r="F777" s="170">
        <v>-1.4990492230334603E-2</v>
      </c>
      <c r="G777" s="170">
        <v>0</v>
      </c>
      <c r="H777" s="170">
        <v>0</v>
      </c>
      <c r="I777" s="170">
        <v>0</v>
      </c>
      <c r="J777" s="170">
        <v>0</v>
      </c>
      <c r="K777" s="170">
        <v>0</v>
      </c>
      <c r="L777">
        <v>4.4582929032762966</v>
      </c>
      <c r="N777" s="172">
        <f>MCond(B776:D778)</f>
        <v>204.78346391597921</v>
      </c>
    </row>
    <row r="778" spans="1:14">
      <c r="A778" s="170"/>
      <c r="B778" s="171">
        <v>2.4772611105726599</v>
      </c>
      <c r="C778" s="171">
        <v>-1.0605572692523213</v>
      </c>
      <c r="D778" s="171">
        <v>-3.9812674620544719E-2</v>
      </c>
      <c r="E778" s="170">
        <v>0</v>
      </c>
      <c r="F778" s="170">
        <v>0</v>
      </c>
      <c r="G778" s="170">
        <v>-1.4990492230334603E-2</v>
      </c>
      <c r="H778" s="170">
        <v>0</v>
      </c>
      <c r="I778" s="170">
        <v>0</v>
      </c>
      <c r="J778" s="170">
        <v>0</v>
      </c>
      <c r="K778" s="170">
        <v>0</v>
      </c>
      <c r="L778">
        <v>3.6315946901900351</v>
      </c>
      <c r="N778" s="172"/>
    </row>
    <row r="779" spans="1:14">
      <c r="A779" s="170"/>
      <c r="B779" s="171"/>
      <c r="C779" s="171"/>
      <c r="D779" s="171"/>
      <c r="E779" s="170"/>
      <c r="F779" s="170"/>
      <c r="G779" s="170"/>
      <c r="H779" s="170"/>
      <c r="I779" s="170"/>
      <c r="J779" s="170"/>
      <c r="K779" s="170"/>
      <c r="N779" s="173"/>
    </row>
    <row r="780" spans="1:14">
      <c r="A780" s="170"/>
      <c r="B780" s="171">
        <v>-0.21871711292247331</v>
      </c>
      <c r="C780" s="171">
        <v>-2.1363371502498802</v>
      </c>
      <c r="D780" s="171">
        <v>-8.9790398854103559E-2</v>
      </c>
      <c r="E780" s="170">
        <v>-1.4990492230334603E-2</v>
      </c>
      <c r="F780" s="170">
        <v>0</v>
      </c>
      <c r="G780" s="170">
        <v>0</v>
      </c>
      <c r="H780" s="170">
        <v>0</v>
      </c>
      <c r="I780" s="170">
        <v>0</v>
      </c>
      <c r="J780" s="170">
        <v>0</v>
      </c>
      <c r="K780" s="170">
        <v>0</v>
      </c>
      <c r="L780">
        <v>2.3099179553746505</v>
      </c>
      <c r="N780" s="172"/>
    </row>
    <row r="781" spans="1:14">
      <c r="A781" s="170" t="s">
        <v>406</v>
      </c>
      <c r="B781" s="171">
        <v>2.0770709056556562</v>
      </c>
      <c r="C781" s="171">
        <v>-2.1445635165533226</v>
      </c>
      <c r="D781" s="171">
        <v>-5.6653180844775664E-2</v>
      </c>
      <c r="E781" s="170">
        <v>0</v>
      </c>
      <c r="F781" s="170">
        <v>-1.4990492230334603E-2</v>
      </c>
      <c r="G781" s="170">
        <v>0</v>
      </c>
      <c r="H781" s="170">
        <v>0</v>
      </c>
      <c r="I781" s="170">
        <v>0</v>
      </c>
      <c r="J781" s="170">
        <v>0</v>
      </c>
      <c r="K781" s="170">
        <v>0</v>
      </c>
      <c r="L781">
        <v>4.4582929032762966</v>
      </c>
      <c r="N781" s="172">
        <f>MCond(B780:D782)</f>
        <v>49.247927504726903</v>
      </c>
    </row>
    <row r="782" spans="1:14">
      <c r="A782" s="170"/>
      <c r="B782" s="171">
        <v>1.6188303733889171</v>
      </c>
      <c r="C782" s="171">
        <v>-1.9594494251009342E-2</v>
      </c>
      <c r="D782" s="171">
        <v>-7.7422792294721043E-2</v>
      </c>
      <c r="E782" s="170">
        <v>0</v>
      </c>
      <c r="F782" s="170">
        <v>0</v>
      </c>
      <c r="G782" s="170">
        <v>-1.4990492230334603E-2</v>
      </c>
      <c r="H782" s="170">
        <v>0</v>
      </c>
      <c r="I782" s="170">
        <v>0</v>
      </c>
      <c r="J782" s="170">
        <v>0</v>
      </c>
      <c r="K782" s="170">
        <v>0</v>
      </c>
      <c r="L782">
        <v>1.3134950053890826</v>
      </c>
      <c r="N782" s="172"/>
    </row>
    <row r="783" spans="1:14">
      <c r="A783" s="170"/>
      <c r="B783" s="171"/>
      <c r="C783" s="171"/>
      <c r="D783" s="171"/>
      <c r="E783" s="170"/>
      <c r="F783" s="170"/>
      <c r="G783" s="170"/>
      <c r="H783" s="170"/>
      <c r="I783" s="170"/>
      <c r="J783" s="170"/>
      <c r="K783" s="170"/>
      <c r="N783" s="173"/>
    </row>
    <row r="784" spans="1:14">
      <c r="A784" s="170"/>
      <c r="B784" s="171">
        <v>-0.21871711292247331</v>
      </c>
      <c r="C784" s="171">
        <v>-2.1363371502498802</v>
      </c>
      <c r="D784" s="171">
        <v>-8.9790398854103559E-2</v>
      </c>
      <c r="E784" s="170">
        <v>-1.4990492230334603E-2</v>
      </c>
      <c r="F784" s="170">
        <v>0</v>
      </c>
      <c r="G784" s="170">
        <v>0</v>
      </c>
      <c r="H784" s="170">
        <v>0</v>
      </c>
      <c r="I784" s="170">
        <v>0</v>
      </c>
      <c r="J784" s="170">
        <v>0</v>
      </c>
      <c r="K784" s="170">
        <v>0</v>
      </c>
      <c r="L784">
        <v>2.3099179553746505</v>
      </c>
      <c r="N784" s="172"/>
    </row>
    <row r="785" spans="1:14">
      <c r="A785" s="170" t="s">
        <v>407</v>
      </c>
      <c r="B785" s="171">
        <v>2.0770709056556562</v>
      </c>
      <c r="C785" s="171">
        <v>-2.1445635165533226</v>
      </c>
      <c r="D785" s="171">
        <v>-5.6653180844775664E-2</v>
      </c>
      <c r="E785" s="170">
        <v>0</v>
      </c>
      <c r="F785" s="170">
        <v>-1.4990492230334603E-2</v>
      </c>
      <c r="G785" s="170">
        <v>0</v>
      </c>
      <c r="H785" s="170">
        <v>0</v>
      </c>
      <c r="I785" s="170">
        <v>0</v>
      </c>
      <c r="J785" s="170">
        <v>0</v>
      </c>
      <c r="K785" s="170">
        <v>0</v>
      </c>
      <c r="L785">
        <v>4.4582929032762966</v>
      </c>
      <c r="N785" s="172">
        <f>MCond(B784:D786)</f>
        <v>5.3867085530333512</v>
      </c>
    </row>
    <row r="786" spans="1:14">
      <c r="A786" s="170"/>
      <c r="B786" s="171">
        <v>1.0097006711160386</v>
      </c>
      <c r="C786" s="171">
        <v>0.26302086313966178</v>
      </c>
      <c r="D786" s="171">
        <v>-0.76545275918666766</v>
      </c>
      <c r="E786" s="170">
        <v>0</v>
      </c>
      <c r="F786" s="170">
        <v>0</v>
      </c>
      <c r="G786" s="170">
        <v>-1.4990492230334603E-2</v>
      </c>
      <c r="H786" s="170">
        <v>0</v>
      </c>
      <c r="I786" s="170">
        <v>0</v>
      </c>
      <c r="J786" s="170">
        <v>0</v>
      </c>
      <c r="K786" s="170">
        <v>0</v>
      </c>
      <c r="L786">
        <v>0.83729667312269707</v>
      </c>
      <c r="N786" s="172"/>
    </row>
    <row r="787" spans="1:14">
      <c r="A787" s="170"/>
      <c r="B787" s="171"/>
      <c r="C787" s="171"/>
      <c r="D787" s="171"/>
      <c r="E787" s="170"/>
      <c r="F787" s="170"/>
      <c r="G787" s="170"/>
      <c r="H787" s="170"/>
      <c r="I787" s="170"/>
      <c r="J787" s="170"/>
      <c r="K787" s="170"/>
      <c r="N787" s="173"/>
    </row>
    <row r="788" spans="1:14">
      <c r="A788" s="170"/>
      <c r="B788" s="171">
        <v>-0.21871711292247331</v>
      </c>
      <c r="C788" s="171">
        <v>-2.1363371502498802</v>
      </c>
      <c r="D788" s="171">
        <v>-8.9790398854103559E-2</v>
      </c>
      <c r="E788" s="170">
        <v>-1.4990492230334603E-2</v>
      </c>
      <c r="F788" s="170">
        <v>0</v>
      </c>
      <c r="G788" s="170">
        <v>0</v>
      </c>
      <c r="H788" s="170">
        <v>0</v>
      </c>
      <c r="I788" s="170">
        <v>0</v>
      </c>
      <c r="J788" s="170">
        <v>0</v>
      </c>
      <c r="K788" s="170">
        <v>0</v>
      </c>
      <c r="L788">
        <v>2.3099179553746505</v>
      </c>
      <c r="N788" s="172"/>
    </row>
    <row r="789" spans="1:14">
      <c r="A789" s="170" t="s">
        <v>408</v>
      </c>
      <c r="B789" s="171">
        <v>-0.36768865949079377</v>
      </c>
      <c r="C789" s="171">
        <v>-1.2890795247765441</v>
      </c>
      <c r="D789" s="171">
        <v>-0.10954983766095538</v>
      </c>
      <c r="E789" s="170">
        <v>0</v>
      </c>
      <c r="F789" s="170">
        <v>-1.4990492230334603E-2</v>
      </c>
      <c r="G789" s="170">
        <v>0</v>
      </c>
      <c r="H789" s="170">
        <v>0</v>
      </c>
      <c r="I789" s="170">
        <v>0</v>
      </c>
      <c r="J789" s="170">
        <v>0</v>
      </c>
      <c r="K789" s="170">
        <v>0</v>
      </c>
      <c r="L789">
        <v>0.90446106922389957</v>
      </c>
      <c r="N789" s="172">
        <f>MCond(B788:D790)</f>
        <v>63.944981854448542</v>
      </c>
    </row>
    <row r="790" spans="1:14">
      <c r="A790" s="170"/>
      <c r="B790" s="171">
        <v>2.4772611105726599</v>
      </c>
      <c r="C790" s="171">
        <v>-1.0605572692523213</v>
      </c>
      <c r="D790" s="171">
        <v>-3.9812674620544719E-2</v>
      </c>
      <c r="E790" s="170">
        <v>0</v>
      </c>
      <c r="F790" s="170">
        <v>0</v>
      </c>
      <c r="G790" s="170">
        <v>-1.4990492230334603E-2</v>
      </c>
      <c r="H790" s="170">
        <v>0</v>
      </c>
      <c r="I790" s="170">
        <v>0</v>
      </c>
      <c r="J790" s="170">
        <v>0</v>
      </c>
      <c r="K790" s="170">
        <v>0</v>
      </c>
      <c r="L790">
        <v>3.6315946901900351</v>
      </c>
      <c r="N790" s="172"/>
    </row>
    <row r="791" spans="1:14">
      <c r="A791" s="170"/>
      <c r="B791" s="171"/>
      <c r="C791" s="171"/>
      <c r="D791" s="171"/>
      <c r="E791" s="170"/>
      <c r="F791" s="170"/>
      <c r="G791" s="170"/>
      <c r="H791" s="170"/>
      <c r="I791" s="170"/>
      <c r="J791" s="170"/>
      <c r="K791" s="170"/>
      <c r="N791" s="173"/>
    </row>
    <row r="792" spans="1:14">
      <c r="A792" s="170"/>
      <c r="B792" s="171">
        <v>-0.21871711292247331</v>
      </c>
      <c r="C792" s="171">
        <v>-2.1363371502498802</v>
      </c>
      <c r="D792" s="171">
        <v>-8.9790398854103559E-2</v>
      </c>
      <c r="E792" s="170">
        <v>-1.4990492230334603E-2</v>
      </c>
      <c r="F792" s="170">
        <v>0</v>
      </c>
      <c r="G792" s="170">
        <v>0</v>
      </c>
      <c r="H792" s="170">
        <v>0</v>
      </c>
      <c r="I792" s="170">
        <v>0</v>
      </c>
      <c r="J792" s="170">
        <v>0</v>
      </c>
      <c r="K792" s="170">
        <v>0</v>
      </c>
      <c r="L792">
        <v>2.3099179553746505</v>
      </c>
      <c r="N792" s="172"/>
    </row>
    <row r="793" spans="1:14">
      <c r="A793" s="170" t="s">
        <v>409</v>
      </c>
      <c r="B793" s="171">
        <v>-0.36768865949079377</v>
      </c>
      <c r="C793" s="171">
        <v>-1.2890795247765441</v>
      </c>
      <c r="D793" s="171">
        <v>-0.10954983766095538</v>
      </c>
      <c r="E793" s="170">
        <v>0</v>
      </c>
      <c r="F793" s="170">
        <v>-1.4990492230334603E-2</v>
      </c>
      <c r="G793" s="170">
        <v>0</v>
      </c>
      <c r="H793" s="170">
        <v>0</v>
      </c>
      <c r="I793" s="170">
        <v>0</v>
      </c>
      <c r="J793" s="170">
        <v>0</v>
      </c>
      <c r="K793" s="170">
        <v>0</v>
      </c>
      <c r="L793">
        <v>0.90446106922389957</v>
      </c>
      <c r="N793" s="172">
        <f>MCond(B792:D794)</f>
        <v>45.152375765832033</v>
      </c>
    </row>
    <row r="794" spans="1:14">
      <c r="A794" s="170"/>
      <c r="B794" s="171">
        <v>1.6188303733889171</v>
      </c>
      <c r="C794" s="171">
        <v>-1.9594494251009342E-2</v>
      </c>
      <c r="D794" s="171">
        <v>-7.7422792294721043E-2</v>
      </c>
      <c r="E794" s="170">
        <v>0</v>
      </c>
      <c r="F794" s="170">
        <v>0</v>
      </c>
      <c r="G794" s="170">
        <v>-1.4990492230334603E-2</v>
      </c>
      <c r="H794" s="170">
        <v>0</v>
      </c>
      <c r="I794" s="170">
        <v>0</v>
      </c>
      <c r="J794" s="170">
        <v>0</v>
      </c>
      <c r="K794" s="170">
        <v>0</v>
      </c>
      <c r="L794">
        <v>1.3134950053890826</v>
      </c>
      <c r="N794" s="172"/>
    </row>
    <row r="795" spans="1:14">
      <c r="A795" s="170"/>
      <c r="B795" s="171"/>
      <c r="C795" s="171"/>
      <c r="D795" s="171"/>
      <c r="E795" s="170"/>
      <c r="F795" s="170"/>
      <c r="G795" s="170"/>
      <c r="H795" s="170"/>
      <c r="I795" s="170"/>
      <c r="J795" s="170"/>
      <c r="K795" s="170"/>
      <c r="N795" s="173"/>
    </row>
    <row r="796" spans="1:14">
      <c r="A796" s="170"/>
      <c r="B796" s="171">
        <v>-0.21871711292247331</v>
      </c>
      <c r="C796" s="171">
        <v>-2.1363371502498802</v>
      </c>
      <c r="D796" s="171">
        <v>-8.9790398854103559E-2</v>
      </c>
      <c r="E796" s="170">
        <v>-1.4990492230334603E-2</v>
      </c>
      <c r="F796" s="170">
        <v>0</v>
      </c>
      <c r="G796" s="170">
        <v>0</v>
      </c>
      <c r="H796" s="170">
        <v>0</v>
      </c>
      <c r="I796" s="170">
        <v>0</v>
      </c>
      <c r="J796" s="170">
        <v>0</v>
      </c>
      <c r="K796" s="170">
        <v>0</v>
      </c>
      <c r="L796">
        <v>2.3099179553746505</v>
      </c>
      <c r="N796" s="172"/>
    </row>
    <row r="797" spans="1:14">
      <c r="A797" s="170" t="s">
        <v>410</v>
      </c>
      <c r="B797" s="171">
        <v>-0.36768865949079377</v>
      </c>
      <c r="C797" s="171">
        <v>-1.2890795247765441</v>
      </c>
      <c r="D797" s="171">
        <v>-0.10954983766095538</v>
      </c>
      <c r="E797" s="170">
        <v>0</v>
      </c>
      <c r="F797" s="170">
        <v>-1.4990492230334603E-2</v>
      </c>
      <c r="G797" s="170">
        <v>0</v>
      </c>
      <c r="H797" s="170">
        <v>0</v>
      </c>
      <c r="I797" s="170">
        <v>0</v>
      </c>
      <c r="J797" s="170">
        <v>0</v>
      </c>
      <c r="K797" s="170">
        <v>0</v>
      </c>
      <c r="L797">
        <v>0.90446106922389957</v>
      </c>
      <c r="N797" s="172">
        <f>MCond(B796:D798)</f>
        <v>15.911611789340494</v>
      </c>
    </row>
    <row r="798" spans="1:14">
      <c r="A798" s="170"/>
      <c r="B798" s="171">
        <v>1.0097006711160386</v>
      </c>
      <c r="C798" s="171">
        <v>0.26302086313966178</v>
      </c>
      <c r="D798" s="171">
        <v>-0.76545275918666766</v>
      </c>
      <c r="E798" s="170">
        <v>0</v>
      </c>
      <c r="F798" s="170">
        <v>0</v>
      </c>
      <c r="G798" s="170">
        <v>-1.4990492230334603E-2</v>
      </c>
      <c r="H798" s="170">
        <v>0</v>
      </c>
      <c r="I798" s="170">
        <v>0</v>
      </c>
      <c r="J798" s="170">
        <v>0</v>
      </c>
      <c r="K798" s="170">
        <v>0</v>
      </c>
      <c r="L798">
        <v>0.83729667312269707</v>
      </c>
      <c r="N798" s="172"/>
    </row>
    <row r="799" spans="1:14">
      <c r="A799" s="170"/>
      <c r="B799" s="171"/>
      <c r="C799" s="171"/>
      <c r="D799" s="171"/>
      <c r="E799" s="170"/>
      <c r="F799" s="170"/>
      <c r="G799" s="170"/>
      <c r="H799" s="170"/>
      <c r="I799" s="170"/>
      <c r="J799" s="170"/>
      <c r="K799" s="170"/>
      <c r="N799" s="173"/>
    </row>
    <row r="800" spans="1:14">
      <c r="A800" s="170"/>
      <c r="B800" s="171">
        <v>-0.21871711292247331</v>
      </c>
      <c r="C800" s="171">
        <v>-2.1363371502498802</v>
      </c>
      <c r="D800" s="171">
        <v>-8.9790398854103559E-2</v>
      </c>
      <c r="E800" s="170">
        <v>-1.4990492230334603E-2</v>
      </c>
      <c r="F800" s="170">
        <v>0</v>
      </c>
      <c r="G800" s="170">
        <v>0</v>
      </c>
      <c r="H800" s="170">
        <v>0</v>
      </c>
      <c r="I800" s="170">
        <v>0</v>
      </c>
      <c r="J800" s="170">
        <v>0</v>
      </c>
      <c r="K800" s="170">
        <v>0</v>
      </c>
      <c r="L800">
        <v>2.3099179553746505</v>
      </c>
      <c r="N800" s="172"/>
    </row>
    <row r="801" spans="1:14">
      <c r="A801" s="170" t="s">
        <v>411</v>
      </c>
      <c r="B801" s="171">
        <v>2.4772611105726599</v>
      </c>
      <c r="C801" s="171">
        <v>-1.0605572692523213</v>
      </c>
      <c r="D801" s="171">
        <v>-3.9812674620544719E-2</v>
      </c>
      <c r="E801" s="170">
        <v>0</v>
      </c>
      <c r="F801" s="170">
        <v>-1.4990492230334603E-2</v>
      </c>
      <c r="G801" s="170">
        <v>0</v>
      </c>
      <c r="H801" s="170">
        <v>0</v>
      </c>
      <c r="I801" s="170">
        <v>0</v>
      </c>
      <c r="J801" s="170">
        <v>0</v>
      </c>
      <c r="K801" s="170">
        <v>0</v>
      </c>
      <c r="L801">
        <v>3.6315946901900351</v>
      </c>
      <c r="N801" s="172">
        <f>MCond(B800:D802)</f>
        <v>48.308554874402986</v>
      </c>
    </row>
    <row r="802" spans="1:14">
      <c r="A802" s="170"/>
      <c r="B802" s="171">
        <v>1.6188303733889171</v>
      </c>
      <c r="C802" s="171">
        <v>-1.9594494251009342E-2</v>
      </c>
      <c r="D802" s="171">
        <v>-7.7422792294721043E-2</v>
      </c>
      <c r="E802" s="170">
        <v>0</v>
      </c>
      <c r="F802" s="170">
        <v>0</v>
      </c>
      <c r="G802" s="170">
        <v>-1.4990492230334603E-2</v>
      </c>
      <c r="H802" s="170">
        <v>0</v>
      </c>
      <c r="I802" s="170">
        <v>0</v>
      </c>
      <c r="J802" s="170">
        <v>0</v>
      </c>
      <c r="K802" s="170">
        <v>0</v>
      </c>
      <c r="L802">
        <v>1.3134950053890826</v>
      </c>
      <c r="N802" s="172"/>
    </row>
    <row r="803" spans="1:14">
      <c r="A803" s="170"/>
      <c r="B803" s="171"/>
      <c r="C803" s="171"/>
      <c r="D803" s="171"/>
      <c r="E803" s="170"/>
      <c r="F803" s="170"/>
      <c r="G803" s="170"/>
      <c r="H803" s="170"/>
      <c r="I803" s="170"/>
      <c r="J803" s="170"/>
      <c r="K803" s="170"/>
      <c r="N803" s="173"/>
    </row>
    <row r="804" spans="1:14">
      <c r="A804" s="170"/>
      <c r="B804" s="171">
        <v>-0.21871711292247331</v>
      </c>
      <c r="C804" s="171">
        <v>-2.1363371502498802</v>
      </c>
      <c r="D804" s="171">
        <v>-8.9790398854103559E-2</v>
      </c>
      <c r="E804" s="170">
        <v>-1.4990492230334603E-2</v>
      </c>
      <c r="F804" s="170">
        <v>0</v>
      </c>
      <c r="G804" s="170">
        <v>0</v>
      </c>
      <c r="H804" s="170">
        <v>0</v>
      </c>
      <c r="I804" s="170">
        <v>0</v>
      </c>
      <c r="J804" s="170">
        <v>0</v>
      </c>
      <c r="K804" s="170">
        <v>0</v>
      </c>
      <c r="L804">
        <v>2.3099179553746505</v>
      </c>
      <c r="N804" s="172"/>
    </row>
    <row r="805" spans="1:14">
      <c r="A805" s="170" t="s">
        <v>412</v>
      </c>
      <c r="B805" s="171">
        <v>2.4772611105726599</v>
      </c>
      <c r="C805" s="171">
        <v>-1.0605572692523213</v>
      </c>
      <c r="D805" s="171">
        <v>-3.9812674620544719E-2</v>
      </c>
      <c r="E805" s="170">
        <v>0</v>
      </c>
      <c r="F805" s="170">
        <v>-1.4990492230334603E-2</v>
      </c>
      <c r="G805" s="170">
        <v>0</v>
      </c>
      <c r="H805" s="170">
        <v>0</v>
      </c>
      <c r="I805" s="170">
        <v>0</v>
      </c>
      <c r="J805" s="170">
        <v>0</v>
      </c>
      <c r="K805" s="170">
        <v>0</v>
      </c>
      <c r="L805">
        <v>3.6315946901900351</v>
      </c>
      <c r="N805" s="172">
        <f>MCond(B804:D806)</f>
        <v>4.2325598033353158</v>
      </c>
    </row>
    <row r="806" spans="1:14">
      <c r="A806" s="170"/>
      <c r="B806" s="171">
        <v>1.0097006711160386</v>
      </c>
      <c r="C806" s="171">
        <v>0.26302086313966178</v>
      </c>
      <c r="D806" s="171">
        <v>-0.76545275918666766</v>
      </c>
      <c r="E806" s="170">
        <v>0</v>
      </c>
      <c r="F806" s="170">
        <v>0</v>
      </c>
      <c r="G806" s="170">
        <v>-1.4990492230334603E-2</v>
      </c>
      <c r="H806" s="170">
        <v>0</v>
      </c>
      <c r="I806" s="170">
        <v>0</v>
      </c>
      <c r="J806" s="170">
        <v>0</v>
      </c>
      <c r="K806" s="170">
        <v>0</v>
      </c>
      <c r="L806">
        <v>0.83729667312269707</v>
      </c>
      <c r="N806" s="172"/>
    </row>
    <row r="807" spans="1:14">
      <c r="A807" s="170"/>
      <c r="B807" s="171"/>
      <c r="C807" s="171"/>
      <c r="D807" s="171"/>
      <c r="E807" s="170"/>
      <c r="F807" s="170"/>
      <c r="G807" s="170"/>
      <c r="H807" s="170"/>
      <c r="I807" s="170"/>
      <c r="J807" s="170"/>
      <c r="K807" s="170"/>
      <c r="N807" s="173"/>
    </row>
    <row r="808" spans="1:14">
      <c r="A808" s="170"/>
      <c r="B808" s="171">
        <v>-0.21871711292247331</v>
      </c>
      <c r="C808" s="171">
        <v>-2.1363371502498802</v>
      </c>
      <c r="D808" s="171">
        <v>-8.9790398854103559E-2</v>
      </c>
      <c r="E808" s="170">
        <v>-1.4990492230334603E-2</v>
      </c>
      <c r="F808" s="170">
        <v>0</v>
      </c>
      <c r="G808" s="170">
        <v>0</v>
      </c>
      <c r="H808" s="170">
        <v>0</v>
      </c>
      <c r="I808" s="170">
        <v>0</v>
      </c>
      <c r="J808" s="170">
        <v>0</v>
      </c>
      <c r="K808" s="170">
        <v>0</v>
      </c>
      <c r="L808">
        <v>2.3099179553746505</v>
      </c>
      <c r="N808" s="172"/>
    </row>
    <row r="809" spans="1:14">
      <c r="A809" s="170" t="s">
        <v>413</v>
      </c>
      <c r="B809" s="171">
        <v>1.6188303733889171</v>
      </c>
      <c r="C809" s="171">
        <v>-1.9594494251009342E-2</v>
      </c>
      <c r="D809" s="171">
        <v>-7.7422792294721043E-2</v>
      </c>
      <c r="E809" s="170">
        <v>0</v>
      </c>
      <c r="F809" s="170">
        <v>-1.4990492230334603E-2</v>
      </c>
      <c r="G809" s="170">
        <v>0</v>
      </c>
      <c r="H809" s="170">
        <v>0</v>
      </c>
      <c r="I809" s="170">
        <v>0</v>
      </c>
      <c r="J809" s="170">
        <v>0</v>
      </c>
      <c r="K809" s="170">
        <v>0</v>
      </c>
      <c r="L809">
        <v>1.3134950053890826</v>
      </c>
      <c r="N809" s="172">
        <f>MCond(B808:D810)</f>
        <v>3.743001491301829</v>
      </c>
    </row>
    <row r="810" spans="1:14">
      <c r="A810" s="170"/>
      <c r="B810" s="171">
        <v>1.0097006711160386</v>
      </c>
      <c r="C810" s="171">
        <v>0.26302086313966178</v>
      </c>
      <c r="D810" s="171">
        <v>-0.76545275918666766</v>
      </c>
      <c r="E810" s="170">
        <v>0</v>
      </c>
      <c r="F810" s="170">
        <v>0</v>
      </c>
      <c r="G810" s="170">
        <v>-1.4990492230334603E-2</v>
      </c>
      <c r="H810" s="170">
        <v>0</v>
      </c>
      <c r="I810" s="170">
        <v>0</v>
      </c>
      <c r="J810" s="170">
        <v>0</v>
      </c>
      <c r="K810" s="170">
        <v>0</v>
      </c>
      <c r="L810">
        <v>0.83729667312269707</v>
      </c>
      <c r="N810" s="172"/>
    </row>
    <row r="811" spans="1:14">
      <c r="A811" s="170"/>
      <c r="B811" s="171"/>
      <c r="C811" s="171"/>
      <c r="D811" s="171"/>
      <c r="E811" s="170"/>
      <c r="F811" s="170"/>
      <c r="G811" s="170"/>
      <c r="H811" s="170"/>
      <c r="I811" s="170"/>
      <c r="J811" s="170"/>
      <c r="K811" s="170"/>
      <c r="N811" s="173"/>
    </row>
    <row r="812" spans="1:14">
      <c r="A812" s="170"/>
      <c r="B812" s="171">
        <v>2.0770709056556562</v>
      </c>
      <c r="C812" s="171">
        <v>-2.1445635165533226</v>
      </c>
      <c r="D812" s="171">
        <v>-5.6653180844775664E-2</v>
      </c>
      <c r="E812" s="170">
        <v>-1.4990492230334603E-2</v>
      </c>
      <c r="F812" s="170">
        <v>0</v>
      </c>
      <c r="G812" s="170">
        <v>0</v>
      </c>
      <c r="H812" s="170">
        <v>-0.18191808401017825</v>
      </c>
      <c r="I812" s="170">
        <v>-5.8370098634356792E-2</v>
      </c>
      <c r="J812" s="170">
        <v>0</v>
      </c>
      <c r="K812" s="170">
        <v>0</v>
      </c>
      <c r="L812">
        <v>4.4582929032762966</v>
      </c>
      <c r="N812" s="172"/>
    </row>
    <row r="813" spans="1:14">
      <c r="A813" s="170" t="s">
        <v>414</v>
      </c>
      <c r="B813" s="171">
        <v>-0.36768865949079377</v>
      </c>
      <c r="C813" s="171">
        <v>-1.2890795247765441</v>
      </c>
      <c r="D813" s="171">
        <v>-0.10954983766095538</v>
      </c>
      <c r="E813" s="170">
        <v>0</v>
      </c>
      <c r="F813" s="170">
        <v>-1.4990492230334603E-2</v>
      </c>
      <c r="G813" s="170">
        <v>0</v>
      </c>
      <c r="H813" s="170">
        <v>-0.18191808401017825</v>
      </c>
      <c r="I813" s="170">
        <v>0</v>
      </c>
      <c r="J813" s="170">
        <v>-2.1174072073315828E-2</v>
      </c>
      <c r="K813" s="170">
        <v>0</v>
      </c>
      <c r="L813">
        <v>0.90446106922389957</v>
      </c>
      <c r="N813" s="172">
        <f>MCond(B812:D814)</f>
        <v>84.872649675684883</v>
      </c>
    </row>
    <row r="814" spans="1:14">
      <c r="A814" s="170"/>
      <c r="B814" s="171">
        <v>2.4772611105726599</v>
      </c>
      <c r="C814" s="171">
        <v>-1.0605572692523213</v>
      </c>
      <c r="D814" s="171">
        <v>-3.9812674620544719E-2</v>
      </c>
      <c r="E814" s="170">
        <v>0</v>
      </c>
      <c r="F814" s="170">
        <v>0</v>
      </c>
      <c r="G814" s="170">
        <v>-1.4990492230334603E-2</v>
      </c>
      <c r="H814" s="170">
        <v>-0.18191808401017825</v>
      </c>
      <c r="I814" s="170">
        <v>0</v>
      </c>
      <c r="J814" s="170">
        <v>0</v>
      </c>
      <c r="K814" s="170">
        <v>6.8827960560405646E-2</v>
      </c>
      <c r="L814">
        <v>3.6315946901900351</v>
      </c>
      <c r="N814" s="172"/>
    </row>
    <row r="815" spans="1:14">
      <c r="A815" s="170"/>
      <c r="B815" s="171"/>
      <c r="C815" s="171"/>
      <c r="D815" s="171"/>
      <c r="E815" s="170"/>
      <c r="F815" s="170"/>
      <c r="G815" s="170"/>
      <c r="H815" s="170"/>
      <c r="I815" s="170"/>
      <c r="J815" s="170"/>
      <c r="K815" s="170"/>
      <c r="N815" s="173"/>
    </row>
    <row r="816" spans="1:14">
      <c r="A816" s="170"/>
      <c r="B816" s="171">
        <v>2.0770709056556562</v>
      </c>
      <c r="C816" s="171">
        <v>-2.1445635165533226</v>
      </c>
      <c r="D816" s="171">
        <v>-5.6653180844775664E-2</v>
      </c>
      <c r="E816" s="170">
        <v>-1.4990492230334603E-2</v>
      </c>
      <c r="F816" s="170">
        <v>0</v>
      </c>
      <c r="G816" s="170">
        <v>0</v>
      </c>
      <c r="H816" s="170">
        <v>0</v>
      </c>
      <c r="I816" s="170">
        <v>0</v>
      </c>
      <c r="J816" s="170">
        <v>0</v>
      </c>
      <c r="K816" s="170">
        <v>0</v>
      </c>
      <c r="L816">
        <v>4.4582929032762966</v>
      </c>
      <c r="N816" s="172"/>
    </row>
    <row r="817" spans="1:14">
      <c r="A817" s="170" t="s">
        <v>415</v>
      </c>
      <c r="B817" s="171">
        <v>-0.36768865949079377</v>
      </c>
      <c r="C817" s="171">
        <v>-1.2890795247765441</v>
      </c>
      <c r="D817" s="171">
        <v>-0.10954983766095538</v>
      </c>
      <c r="E817" s="170">
        <v>0</v>
      </c>
      <c r="F817" s="170">
        <v>-1.4990492230334603E-2</v>
      </c>
      <c r="G817" s="170">
        <v>0</v>
      </c>
      <c r="H817" s="170">
        <v>0</v>
      </c>
      <c r="I817" s="170">
        <v>0</v>
      </c>
      <c r="J817" s="170">
        <v>0</v>
      </c>
      <c r="K817" s="170">
        <v>0</v>
      </c>
      <c r="L817">
        <v>0.90446106922389957</v>
      </c>
      <c r="N817" s="172">
        <f>MCond(B816:D818)</f>
        <v>33.069426713699293</v>
      </c>
    </row>
    <row r="818" spans="1:14">
      <c r="A818" s="170"/>
      <c r="B818" s="171">
        <v>1.6188303733889171</v>
      </c>
      <c r="C818" s="171">
        <v>-1.9594494251009342E-2</v>
      </c>
      <c r="D818" s="171">
        <v>-7.7422792294721043E-2</v>
      </c>
      <c r="E818" s="170">
        <v>0</v>
      </c>
      <c r="F818" s="170">
        <v>0</v>
      </c>
      <c r="G818" s="170">
        <v>-1.4990492230334603E-2</v>
      </c>
      <c r="H818" s="170">
        <v>0</v>
      </c>
      <c r="I818" s="170">
        <v>0</v>
      </c>
      <c r="J818" s="170">
        <v>0</v>
      </c>
      <c r="K818" s="170">
        <v>0</v>
      </c>
      <c r="L818">
        <v>1.3134950053890826</v>
      </c>
      <c r="N818" s="172"/>
    </row>
    <row r="819" spans="1:14">
      <c r="A819" s="170"/>
      <c r="B819" s="171"/>
      <c r="C819" s="171"/>
      <c r="D819" s="171"/>
      <c r="E819" s="170"/>
      <c r="F819" s="170"/>
      <c r="G819" s="170"/>
      <c r="H819" s="170"/>
      <c r="I819" s="170"/>
      <c r="J819" s="170"/>
      <c r="K819" s="170"/>
      <c r="N819" s="173"/>
    </row>
    <row r="820" spans="1:14">
      <c r="A820" s="170"/>
      <c r="B820" s="171">
        <v>2.0770709056556562</v>
      </c>
      <c r="C820" s="171">
        <v>-2.1445635165533226</v>
      </c>
      <c r="D820" s="171">
        <v>-5.6653180844775664E-2</v>
      </c>
      <c r="E820" s="170">
        <v>-1.4990492230334603E-2</v>
      </c>
      <c r="F820" s="170">
        <v>0</v>
      </c>
      <c r="G820" s="170">
        <v>0</v>
      </c>
      <c r="H820" s="170">
        <v>-0.18191808401017825</v>
      </c>
      <c r="I820" s="170">
        <v>-5.8370098634356792E-2</v>
      </c>
      <c r="J820" s="170">
        <v>0</v>
      </c>
      <c r="K820" s="170">
        <v>0</v>
      </c>
      <c r="L820">
        <v>4.4582929032762966</v>
      </c>
      <c r="N820" s="172"/>
    </row>
    <row r="821" spans="1:14">
      <c r="A821" s="170" t="s">
        <v>416</v>
      </c>
      <c r="B821" s="171">
        <v>-0.36768865949079377</v>
      </c>
      <c r="C821" s="171">
        <v>-1.2890795247765441</v>
      </c>
      <c r="D821" s="171">
        <v>-0.10954983766095538</v>
      </c>
      <c r="E821" s="170">
        <v>0</v>
      </c>
      <c r="F821" s="170">
        <v>-1.4990492230334603E-2</v>
      </c>
      <c r="G821" s="170">
        <v>0</v>
      </c>
      <c r="H821" s="170">
        <v>-0.18191808401017825</v>
      </c>
      <c r="I821" s="170">
        <v>0</v>
      </c>
      <c r="J821" s="170">
        <v>-2.1174072073315828E-2</v>
      </c>
      <c r="K821" s="170">
        <v>0</v>
      </c>
      <c r="L821">
        <v>0.90446106922389957</v>
      </c>
      <c r="N821" s="172">
        <f>MCond(B820:D822)</f>
        <v>5.155149298810846</v>
      </c>
    </row>
    <row r="822" spans="1:14">
      <c r="A822" s="170"/>
      <c r="B822" s="171">
        <v>1.0097006711160386</v>
      </c>
      <c r="C822" s="171">
        <v>0.26302086313966178</v>
      </c>
      <c r="D822" s="171">
        <v>-0.76545275918666766</v>
      </c>
      <c r="E822" s="170">
        <v>0</v>
      </c>
      <c r="F822" s="170">
        <v>0</v>
      </c>
      <c r="G822" s="170">
        <v>-1.4990492230334603E-2</v>
      </c>
      <c r="H822" s="170">
        <v>-0.18191808401017825</v>
      </c>
      <c r="I822" s="170">
        <v>0</v>
      </c>
      <c r="J822" s="170">
        <v>0</v>
      </c>
      <c r="K822" s="170">
        <v>-8.9700844372930258E-2</v>
      </c>
      <c r="L822">
        <v>0.83729667312269707</v>
      </c>
      <c r="N822" s="172"/>
    </row>
    <row r="823" spans="1:14">
      <c r="A823" s="170"/>
      <c r="B823" s="171"/>
      <c r="C823" s="171"/>
      <c r="D823" s="171"/>
      <c r="E823" s="170"/>
      <c r="F823" s="170"/>
      <c r="G823" s="170"/>
      <c r="H823" s="170"/>
      <c r="I823" s="170"/>
      <c r="J823" s="170"/>
      <c r="K823" s="170"/>
      <c r="N823" s="173"/>
    </row>
    <row r="824" spans="1:14">
      <c r="A824" s="170"/>
      <c r="B824" s="171">
        <v>2.0770709056556562</v>
      </c>
      <c r="C824" s="171">
        <v>-2.1445635165533226</v>
      </c>
      <c r="D824" s="171">
        <v>-5.6653180844775664E-2</v>
      </c>
      <c r="E824" s="170">
        <v>-1.4990492230334603E-2</v>
      </c>
      <c r="F824" s="170">
        <v>0</v>
      </c>
      <c r="G824" s="170">
        <v>0</v>
      </c>
      <c r="H824" s="170">
        <v>0</v>
      </c>
      <c r="I824" s="170">
        <v>0</v>
      </c>
      <c r="J824" s="170">
        <v>0</v>
      </c>
      <c r="K824" s="170">
        <v>0</v>
      </c>
      <c r="L824">
        <v>4.4582929032762966</v>
      </c>
      <c r="N824" s="172"/>
    </row>
    <row r="825" spans="1:14">
      <c r="A825" s="170" t="s">
        <v>417</v>
      </c>
      <c r="B825" s="171">
        <v>2.4772611105726599</v>
      </c>
      <c r="C825" s="171">
        <v>-1.0605572692523213</v>
      </c>
      <c r="D825" s="171">
        <v>-3.9812674620544719E-2</v>
      </c>
      <c r="E825" s="170">
        <v>0</v>
      </c>
      <c r="F825" s="170">
        <v>-1.4990492230334603E-2</v>
      </c>
      <c r="G825" s="170">
        <v>0</v>
      </c>
      <c r="H825" s="170">
        <v>0</v>
      </c>
      <c r="I825" s="170">
        <v>0</v>
      </c>
      <c r="J825" s="170">
        <v>0</v>
      </c>
      <c r="K825" s="170">
        <v>0</v>
      </c>
      <c r="L825">
        <v>3.6315946901900351</v>
      </c>
      <c r="N825" s="172">
        <f>MCond(B824:D826)</f>
        <v>103.43008876337434</v>
      </c>
    </row>
    <row r="826" spans="1:14">
      <c r="A826" s="170"/>
      <c r="B826" s="171">
        <v>1.6188303733889171</v>
      </c>
      <c r="C826" s="171">
        <v>-1.9594494251009342E-2</v>
      </c>
      <c r="D826" s="171">
        <v>-7.7422792294721043E-2</v>
      </c>
      <c r="E826" s="170">
        <v>0</v>
      </c>
      <c r="F826" s="170">
        <v>0</v>
      </c>
      <c r="G826" s="170">
        <v>-1.4990492230334603E-2</v>
      </c>
      <c r="H826" s="170">
        <v>0</v>
      </c>
      <c r="I826" s="170">
        <v>0</v>
      </c>
      <c r="J826" s="170">
        <v>0</v>
      </c>
      <c r="K826" s="170">
        <v>0</v>
      </c>
      <c r="L826">
        <v>1.3134950053890826</v>
      </c>
      <c r="N826" s="172"/>
    </row>
    <row r="827" spans="1:14">
      <c r="A827" s="170"/>
      <c r="B827" s="171"/>
      <c r="C827" s="171"/>
      <c r="D827" s="171"/>
      <c r="E827" s="170"/>
      <c r="F827" s="170"/>
      <c r="G827" s="170"/>
      <c r="H827" s="170"/>
      <c r="I827" s="170"/>
      <c r="J827" s="170"/>
      <c r="K827" s="170"/>
      <c r="N827" s="173"/>
    </row>
    <row r="828" spans="1:14">
      <c r="A828" s="170"/>
      <c r="B828" s="171">
        <v>2.0770709056556562</v>
      </c>
      <c r="C828" s="171">
        <v>-2.1445635165533226</v>
      </c>
      <c r="D828" s="171">
        <v>-5.6653180844775664E-2</v>
      </c>
      <c r="E828" s="170">
        <v>-1.4990492230334603E-2</v>
      </c>
      <c r="F828" s="170">
        <v>0</v>
      </c>
      <c r="G828" s="170">
        <v>0</v>
      </c>
      <c r="H828" s="170">
        <v>-0.18191808401017825</v>
      </c>
      <c r="I828" s="170">
        <v>-5.8370098634356792E-2</v>
      </c>
      <c r="J828" s="170">
        <v>0</v>
      </c>
      <c r="K828" s="170">
        <v>0</v>
      </c>
      <c r="L828">
        <v>4.4582929032762966</v>
      </c>
      <c r="N828" s="172"/>
    </row>
    <row r="829" spans="1:14">
      <c r="A829" s="170" t="s">
        <v>418</v>
      </c>
      <c r="B829" s="171">
        <v>2.4772611105726599</v>
      </c>
      <c r="C829" s="171">
        <v>-1.0605572692523213</v>
      </c>
      <c r="D829" s="171">
        <v>-3.9812674620544719E-2</v>
      </c>
      <c r="E829" s="170">
        <v>0</v>
      </c>
      <c r="F829" s="170">
        <v>-1.4990492230334603E-2</v>
      </c>
      <c r="G829" s="170">
        <v>0</v>
      </c>
      <c r="H829" s="170">
        <v>-0.18191808401017825</v>
      </c>
      <c r="I829" s="170">
        <v>0</v>
      </c>
      <c r="J829" s="170">
        <v>6.8827960560405646E-2</v>
      </c>
      <c r="K829" s="170">
        <v>0</v>
      </c>
      <c r="L829">
        <v>3.6315946901900351</v>
      </c>
      <c r="N829" s="172">
        <f>MCond(B828:D830)</f>
        <v>8.5031850746050246</v>
      </c>
    </row>
    <row r="830" spans="1:14">
      <c r="A830" s="170"/>
      <c r="B830" s="171">
        <v>1.0097006711160386</v>
      </c>
      <c r="C830" s="171">
        <v>0.26302086313966178</v>
      </c>
      <c r="D830" s="171">
        <v>-0.76545275918666766</v>
      </c>
      <c r="E830" s="170">
        <v>0</v>
      </c>
      <c r="F830" s="170">
        <v>0</v>
      </c>
      <c r="G830" s="170">
        <v>-1.4990492230334603E-2</v>
      </c>
      <c r="H830" s="170">
        <v>-0.18191808401017825</v>
      </c>
      <c r="I830" s="170">
        <v>0</v>
      </c>
      <c r="J830" s="170">
        <v>0</v>
      </c>
      <c r="K830" s="170">
        <v>-8.9700844372930258E-2</v>
      </c>
      <c r="L830">
        <v>0.83729667312269707</v>
      </c>
      <c r="N830" s="172"/>
    </row>
    <row r="831" spans="1:14">
      <c r="A831" s="170"/>
      <c r="B831" s="171"/>
      <c r="C831" s="171"/>
      <c r="D831" s="171"/>
      <c r="E831" s="170"/>
      <c r="F831" s="170"/>
      <c r="G831" s="170"/>
      <c r="H831" s="170"/>
      <c r="I831" s="170"/>
      <c r="J831" s="170"/>
      <c r="K831" s="170"/>
      <c r="N831" s="173"/>
    </row>
    <row r="832" spans="1:14">
      <c r="A832" s="170"/>
      <c r="B832" s="171">
        <v>2.0770709056556562</v>
      </c>
      <c r="C832" s="171">
        <v>-2.1445635165533226</v>
      </c>
      <c r="D832" s="171">
        <v>-5.6653180844775664E-2</v>
      </c>
      <c r="E832" s="170">
        <v>-1.4990492230334603E-2</v>
      </c>
      <c r="F832" s="170">
        <v>0</v>
      </c>
      <c r="G832" s="170">
        <v>0</v>
      </c>
      <c r="H832" s="170">
        <v>0</v>
      </c>
      <c r="I832" s="170">
        <v>0</v>
      </c>
      <c r="J832" s="170">
        <v>0</v>
      </c>
      <c r="K832" s="170">
        <v>0</v>
      </c>
      <c r="L832">
        <v>4.4582929032762966</v>
      </c>
      <c r="N832" s="172"/>
    </row>
    <row r="833" spans="1:14">
      <c r="A833" s="170" t="s">
        <v>419</v>
      </c>
      <c r="B833" s="171">
        <v>1.6188303733889171</v>
      </c>
      <c r="C833" s="171">
        <v>-1.9594494251009342E-2</v>
      </c>
      <c r="D833" s="171">
        <v>-7.7422792294721043E-2</v>
      </c>
      <c r="E833" s="170">
        <v>0</v>
      </c>
      <c r="F833" s="170">
        <v>-1.4990492230334603E-2</v>
      </c>
      <c r="G833" s="170">
        <v>0</v>
      </c>
      <c r="H833" s="170">
        <v>0</v>
      </c>
      <c r="I833" s="170">
        <v>0</v>
      </c>
      <c r="J833" s="170">
        <v>0</v>
      </c>
      <c r="K833" s="170">
        <v>0</v>
      </c>
      <c r="L833">
        <v>1.3134950053890826</v>
      </c>
      <c r="N833" s="172">
        <f>MCond(B832:D834)</f>
        <v>6.3921465350608555</v>
      </c>
    </row>
    <row r="834" spans="1:14">
      <c r="A834" s="170"/>
      <c r="B834" s="171">
        <v>1.0097006711160386</v>
      </c>
      <c r="C834" s="171">
        <v>0.26302086313966178</v>
      </c>
      <c r="D834" s="171">
        <v>-0.76545275918666766</v>
      </c>
      <c r="E834" s="170">
        <v>0</v>
      </c>
      <c r="F834" s="170">
        <v>0</v>
      </c>
      <c r="G834" s="170">
        <v>-1.4990492230334603E-2</v>
      </c>
      <c r="H834" s="170">
        <v>0</v>
      </c>
      <c r="I834" s="170">
        <v>0</v>
      </c>
      <c r="J834" s="170">
        <v>0</v>
      </c>
      <c r="K834" s="170">
        <v>0</v>
      </c>
      <c r="L834">
        <v>0.83729667312269707</v>
      </c>
      <c r="N834" s="172"/>
    </row>
    <row r="835" spans="1:14">
      <c r="A835" s="170"/>
      <c r="B835" s="171"/>
      <c r="C835" s="171"/>
      <c r="D835" s="171"/>
      <c r="E835" s="170"/>
      <c r="F835" s="170"/>
      <c r="G835" s="170"/>
      <c r="H835" s="170"/>
      <c r="I835" s="170"/>
      <c r="J835" s="170"/>
      <c r="K835" s="170"/>
      <c r="N835" s="173"/>
    </row>
    <row r="836" spans="1:14">
      <c r="A836" s="170"/>
      <c r="B836" s="171">
        <v>-0.36768865949079377</v>
      </c>
      <c r="C836" s="171">
        <v>-1.2890795247765441</v>
      </c>
      <c r="D836" s="171">
        <v>-0.10954983766095538</v>
      </c>
      <c r="E836" s="170">
        <v>-1.4990492230334603E-2</v>
      </c>
      <c r="F836" s="170">
        <v>0</v>
      </c>
      <c r="G836" s="170">
        <v>0</v>
      </c>
      <c r="H836" s="170">
        <v>0</v>
      </c>
      <c r="I836" s="170">
        <v>0</v>
      </c>
      <c r="J836" s="170">
        <v>0</v>
      </c>
      <c r="K836" s="170">
        <v>0</v>
      </c>
      <c r="L836">
        <v>0.90446106922389957</v>
      </c>
      <c r="N836" s="172"/>
    </row>
    <row r="837" spans="1:14">
      <c r="A837" s="170" t="s">
        <v>420</v>
      </c>
      <c r="B837" s="171">
        <v>2.4772611105726599</v>
      </c>
      <c r="C837" s="171">
        <v>-1.0605572692523213</v>
      </c>
      <c r="D837" s="171">
        <v>-3.9812674620544719E-2</v>
      </c>
      <c r="E837" s="170">
        <v>0</v>
      </c>
      <c r="F837" s="170">
        <v>-1.4990492230334603E-2</v>
      </c>
      <c r="G837" s="170">
        <v>0</v>
      </c>
      <c r="H837" s="170">
        <v>0</v>
      </c>
      <c r="I837" s="170">
        <v>0</v>
      </c>
      <c r="J837" s="170">
        <v>0</v>
      </c>
      <c r="K837" s="170">
        <v>0</v>
      </c>
      <c r="L837">
        <v>3.6315946901900351</v>
      </c>
      <c r="N837" s="172">
        <f>MCond(B836:D838)</f>
        <v>36.849822091727596</v>
      </c>
    </row>
    <row r="838" spans="1:14">
      <c r="A838" s="170"/>
      <c r="B838" s="171">
        <v>1.6188303733889171</v>
      </c>
      <c r="C838" s="171">
        <v>-1.9594494251009342E-2</v>
      </c>
      <c r="D838" s="171">
        <v>-7.7422792294721043E-2</v>
      </c>
      <c r="E838" s="170">
        <v>0</v>
      </c>
      <c r="F838" s="170">
        <v>0</v>
      </c>
      <c r="G838" s="170">
        <v>-1.4990492230334603E-2</v>
      </c>
      <c r="H838" s="170">
        <v>0</v>
      </c>
      <c r="I838" s="170">
        <v>0</v>
      </c>
      <c r="J838" s="170">
        <v>0</v>
      </c>
      <c r="K838" s="170">
        <v>0</v>
      </c>
      <c r="L838">
        <v>1.3134950053890826</v>
      </c>
      <c r="N838" s="172"/>
    </row>
    <row r="839" spans="1:14">
      <c r="A839" s="170"/>
      <c r="B839" s="171"/>
      <c r="C839" s="171"/>
      <c r="D839" s="171"/>
      <c r="E839" s="170"/>
      <c r="F839" s="170"/>
      <c r="G839" s="170"/>
      <c r="H839" s="170"/>
      <c r="I839" s="170"/>
      <c r="J839" s="170"/>
      <c r="K839" s="170"/>
      <c r="N839" s="173"/>
    </row>
    <row r="840" spans="1:14">
      <c r="A840" s="170"/>
      <c r="B840" s="171">
        <v>-0.36768865949079377</v>
      </c>
      <c r="C840" s="171">
        <v>-1.2890795247765441</v>
      </c>
      <c r="D840" s="171">
        <v>-0.10954983766095538</v>
      </c>
      <c r="E840" s="170">
        <v>-1.4990492230334603E-2</v>
      </c>
      <c r="F840" s="170">
        <v>0</v>
      </c>
      <c r="G840" s="170">
        <v>0</v>
      </c>
      <c r="H840" s="170">
        <v>-0.18191808401017825</v>
      </c>
      <c r="I840" s="170">
        <v>-2.1174072073315828E-2</v>
      </c>
      <c r="J840" s="170">
        <v>0</v>
      </c>
      <c r="K840" s="170">
        <v>0</v>
      </c>
      <c r="L840">
        <v>0.90446106922389957</v>
      </c>
      <c r="N840" s="172"/>
    </row>
    <row r="841" spans="1:14">
      <c r="A841" s="170" t="s">
        <v>421</v>
      </c>
      <c r="B841" s="171">
        <v>2.4772611105726599</v>
      </c>
      <c r="C841" s="171">
        <v>-1.0605572692523213</v>
      </c>
      <c r="D841" s="171">
        <v>-3.9812674620544719E-2</v>
      </c>
      <c r="E841" s="170">
        <v>0</v>
      </c>
      <c r="F841" s="170">
        <v>-1.4990492230334603E-2</v>
      </c>
      <c r="G841" s="170">
        <v>0</v>
      </c>
      <c r="H841" s="170">
        <v>-0.18191808401017825</v>
      </c>
      <c r="I841" s="170">
        <v>0</v>
      </c>
      <c r="J841" s="170">
        <v>6.8827960560405646E-2</v>
      </c>
      <c r="K841" s="170">
        <v>0</v>
      </c>
      <c r="L841">
        <v>3.6315946901900351</v>
      </c>
      <c r="N841" s="172">
        <f>MCond(B840:D842)</f>
        <v>4.1630934361703984</v>
      </c>
    </row>
    <row r="842" spans="1:14">
      <c r="A842" s="170"/>
      <c r="B842" s="171">
        <v>1.0097006711160386</v>
      </c>
      <c r="C842" s="171">
        <v>0.26302086313966178</v>
      </c>
      <c r="D842" s="171">
        <v>-0.76545275918666766</v>
      </c>
      <c r="E842" s="170">
        <v>0</v>
      </c>
      <c r="F842" s="170">
        <v>0</v>
      </c>
      <c r="G842" s="170">
        <v>-1.4990492230334603E-2</v>
      </c>
      <c r="H842" s="170">
        <v>-0.18191808401017825</v>
      </c>
      <c r="I842" s="170">
        <v>0</v>
      </c>
      <c r="J842" s="170">
        <v>0</v>
      </c>
      <c r="K842" s="170">
        <v>-8.9700844372930258E-2</v>
      </c>
      <c r="L842">
        <v>0.83729667312269707</v>
      </c>
      <c r="N842" s="172"/>
    </row>
    <row r="843" spans="1:14">
      <c r="A843" s="170"/>
      <c r="B843" s="171"/>
      <c r="C843" s="171"/>
      <c r="D843" s="171"/>
      <c r="E843" s="170"/>
      <c r="F843" s="170"/>
      <c r="G843" s="170"/>
      <c r="H843" s="170"/>
      <c r="I843" s="170"/>
      <c r="J843" s="170"/>
      <c r="K843" s="170"/>
      <c r="N843" s="173"/>
    </row>
    <row r="844" spans="1:14">
      <c r="A844" s="170"/>
      <c r="B844" s="171">
        <v>-0.36768865949079377</v>
      </c>
      <c r="C844" s="171">
        <v>-1.2890795247765441</v>
      </c>
      <c r="D844" s="171">
        <v>-0.10954983766095538</v>
      </c>
      <c r="E844" s="170">
        <v>-1.4990492230334603E-2</v>
      </c>
      <c r="F844" s="170">
        <v>0</v>
      </c>
      <c r="G844" s="170">
        <v>0</v>
      </c>
      <c r="H844" s="170">
        <v>0</v>
      </c>
      <c r="I844" s="170">
        <v>0</v>
      </c>
      <c r="J844" s="170">
        <v>0</v>
      </c>
      <c r="K844" s="170">
        <v>0</v>
      </c>
      <c r="L844">
        <v>0.90446106922389957</v>
      </c>
      <c r="N844" s="172"/>
    </row>
    <row r="845" spans="1:14">
      <c r="A845" s="170" t="s">
        <v>422</v>
      </c>
      <c r="B845" s="171">
        <v>1.6188303733889171</v>
      </c>
      <c r="C845" s="171">
        <v>-1.9594494251009342E-2</v>
      </c>
      <c r="D845" s="171">
        <v>-7.7422792294721043E-2</v>
      </c>
      <c r="E845" s="170">
        <v>0</v>
      </c>
      <c r="F845" s="170">
        <v>-1.4990492230334603E-2</v>
      </c>
      <c r="G845" s="170">
        <v>0</v>
      </c>
      <c r="H845" s="170">
        <v>0</v>
      </c>
      <c r="I845" s="170">
        <v>0</v>
      </c>
      <c r="J845" s="170">
        <v>0</v>
      </c>
      <c r="K845" s="170">
        <v>0</v>
      </c>
      <c r="L845">
        <v>1.3134950053890826</v>
      </c>
      <c r="N845" s="172">
        <f>MCond(B844:D846)</f>
        <v>3.3413406696182579</v>
      </c>
    </row>
    <row r="846" spans="1:14">
      <c r="A846" s="170"/>
      <c r="B846" s="171">
        <v>1.0097006711160386</v>
      </c>
      <c r="C846" s="171">
        <v>0.26302086313966178</v>
      </c>
      <c r="D846" s="171">
        <v>-0.76545275918666766</v>
      </c>
      <c r="E846" s="170">
        <v>0</v>
      </c>
      <c r="F846" s="170">
        <v>0</v>
      </c>
      <c r="G846" s="170">
        <v>-1.4990492230334603E-2</v>
      </c>
      <c r="H846" s="170">
        <v>0</v>
      </c>
      <c r="I846" s="170">
        <v>0</v>
      </c>
      <c r="J846" s="170">
        <v>0</v>
      </c>
      <c r="K846" s="170">
        <v>0</v>
      </c>
      <c r="L846">
        <v>0.83729667312269707</v>
      </c>
      <c r="N846" s="172"/>
    </row>
    <row r="847" spans="1:14">
      <c r="A847" s="170"/>
      <c r="B847" s="171"/>
      <c r="C847" s="171"/>
      <c r="D847" s="171"/>
      <c r="E847" s="170"/>
      <c r="F847" s="170"/>
      <c r="G847" s="170"/>
      <c r="H847" s="170"/>
      <c r="I847" s="170"/>
      <c r="J847" s="170"/>
      <c r="K847" s="170"/>
      <c r="N847" s="173"/>
    </row>
    <row r="848" spans="1:14">
      <c r="A848" s="170"/>
      <c r="B848" s="171">
        <v>2.4772611105726599</v>
      </c>
      <c r="C848" s="171">
        <v>-1.0605572692523213</v>
      </c>
      <c r="D848" s="171">
        <v>-3.9812674620544719E-2</v>
      </c>
      <c r="E848" s="170">
        <v>-1.4990492230334603E-2</v>
      </c>
      <c r="F848" s="170">
        <v>0</v>
      </c>
      <c r="G848" s="170">
        <v>0</v>
      </c>
      <c r="H848" s="170">
        <v>0</v>
      </c>
      <c r="I848" s="170">
        <v>0</v>
      </c>
      <c r="J848" s="170">
        <v>0</v>
      </c>
      <c r="K848" s="170">
        <v>0</v>
      </c>
      <c r="L848">
        <v>3.6315946901900351</v>
      </c>
      <c r="N848" s="172"/>
    </row>
    <row r="849" spans="1:14">
      <c r="A849" s="170" t="s">
        <v>423</v>
      </c>
      <c r="B849" s="171">
        <v>1.6188303733889171</v>
      </c>
      <c r="C849" s="171">
        <v>-1.9594494251009342E-2</v>
      </c>
      <c r="D849" s="171">
        <v>-7.7422792294721043E-2</v>
      </c>
      <c r="E849" s="170">
        <v>0</v>
      </c>
      <c r="F849" s="170">
        <v>-1.4990492230334603E-2</v>
      </c>
      <c r="G849" s="170">
        <v>0</v>
      </c>
      <c r="H849" s="170">
        <v>0</v>
      </c>
      <c r="I849" s="170">
        <v>0</v>
      </c>
      <c r="J849" s="170">
        <v>0</v>
      </c>
      <c r="K849" s="170">
        <v>0</v>
      </c>
      <c r="L849">
        <v>1.3134950053890826</v>
      </c>
      <c r="N849" s="172">
        <f>MCond(B848:D850)</f>
        <v>8.7645356999874178</v>
      </c>
    </row>
    <row r="850" spans="1:14">
      <c r="A850" s="170"/>
      <c r="B850" s="171">
        <v>1.0097006711160386</v>
      </c>
      <c r="C850" s="171">
        <v>0.26302086313966178</v>
      </c>
      <c r="D850" s="171">
        <v>-0.76545275918666766</v>
      </c>
      <c r="E850" s="170">
        <v>0</v>
      </c>
      <c r="F850" s="170">
        <v>0</v>
      </c>
      <c r="G850" s="170">
        <v>-1.4990492230334603E-2</v>
      </c>
      <c r="H850" s="170">
        <v>0</v>
      </c>
      <c r="I850" s="170">
        <v>0</v>
      </c>
      <c r="J850" s="170">
        <v>0</v>
      </c>
      <c r="K850" s="170">
        <v>0</v>
      </c>
      <c r="L850">
        <v>0.83729667312269707</v>
      </c>
      <c r="N850" s="172"/>
    </row>
    <row r="851" spans="1:14">
      <c r="A851" s="170"/>
      <c r="B851" s="171"/>
      <c r="C851" s="171"/>
      <c r="D851" s="171"/>
      <c r="E851" s="170"/>
      <c r="F851" s="170"/>
      <c r="G851" s="170"/>
      <c r="H851" s="170"/>
      <c r="I851" s="170"/>
      <c r="J851" s="170"/>
      <c r="K851" s="170"/>
      <c r="N851" s="173"/>
    </row>
    <row r="852" spans="1:14">
      <c r="A852" s="170"/>
      <c r="B852" s="171">
        <v>-0.58367185674448252</v>
      </c>
      <c r="C852" s="171">
        <v>-2.0841504898711007</v>
      </c>
      <c r="D852" s="171">
        <v>-0.75171422039661484</v>
      </c>
      <c r="E852" s="170">
        <v>-1.4990492230334603E-2</v>
      </c>
      <c r="F852" s="170">
        <v>0</v>
      </c>
      <c r="G852" s="170">
        <v>0</v>
      </c>
      <c r="H852" s="170">
        <v>0</v>
      </c>
      <c r="I852" s="170">
        <v>0</v>
      </c>
      <c r="J852" s="170">
        <v>0</v>
      </c>
      <c r="K852" s="170">
        <v>0</v>
      </c>
      <c r="L852">
        <v>2.6247151849659955</v>
      </c>
      <c r="N852" s="172"/>
    </row>
    <row r="853" spans="1:14">
      <c r="A853" s="170" t="s">
        <v>424</v>
      </c>
      <c r="B853" s="171">
        <v>-1.8375474863113905</v>
      </c>
      <c r="C853" s="171">
        <v>-2.1167426559988707</v>
      </c>
      <c r="D853" s="171">
        <v>-1.2367606559382516E-2</v>
      </c>
      <c r="E853" s="170">
        <v>0</v>
      </c>
      <c r="F853" s="170">
        <v>-1.4990492230334603E-2</v>
      </c>
      <c r="G853" s="170">
        <v>0</v>
      </c>
      <c r="H853" s="170">
        <v>0</v>
      </c>
      <c r="I853" s="170">
        <v>0</v>
      </c>
      <c r="J853" s="170">
        <v>0</v>
      </c>
      <c r="K853" s="170">
        <v>0</v>
      </c>
      <c r="L853">
        <v>3.9286665969332351</v>
      </c>
      <c r="N853" s="172">
        <f>MCond(B852:D854)</f>
        <v>6.2959412294601558</v>
      </c>
    </row>
    <row r="854" spans="1:14">
      <c r="A854" s="170"/>
      <c r="B854" s="171">
        <v>0.45824053226673911</v>
      </c>
      <c r="C854" s="171">
        <v>-2.124969022302313</v>
      </c>
      <c r="D854" s="171">
        <v>2.076961144994538E-2</v>
      </c>
      <c r="E854" s="170">
        <v>0</v>
      </c>
      <c r="F854" s="170">
        <v>0</v>
      </c>
      <c r="G854" s="170">
        <v>-1.4990492230334603E-2</v>
      </c>
      <c r="H854" s="170">
        <v>0</v>
      </c>
      <c r="I854" s="170">
        <v>0</v>
      </c>
      <c r="J854" s="170">
        <v>0</v>
      </c>
      <c r="K854" s="170">
        <v>0</v>
      </c>
      <c r="L854">
        <v>2.3629545539581671</v>
      </c>
      <c r="N854" s="172"/>
    </row>
    <row r="855" spans="1:14">
      <c r="A855" s="170"/>
      <c r="B855" s="171"/>
      <c r="C855" s="171"/>
      <c r="D855" s="171"/>
      <c r="E855" s="170"/>
      <c r="F855" s="170"/>
      <c r="G855" s="170"/>
      <c r="H855" s="170"/>
      <c r="I855" s="170"/>
      <c r="J855" s="170"/>
      <c r="K855" s="170"/>
      <c r="N855" s="173"/>
    </row>
    <row r="856" spans="1:14">
      <c r="A856" s="170"/>
      <c r="B856" s="171">
        <v>-0.58367185674448252</v>
      </c>
      <c r="C856" s="171">
        <v>-2.0841504898711007</v>
      </c>
      <c r="D856" s="171">
        <v>-0.75171422039661484</v>
      </c>
      <c r="E856" s="170">
        <v>-1.4990492230334603E-2</v>
      </c>
      <c r="F856" s="170">
        <v>0</v>
      </c>
      <c r="G856" s="170">
        <v>0</v>
      </c>
      <c r="H856" s="170">
        <v>0</v>
      </c>
      <c r="I856" s="170">
        <v>0</v>
      </c>
      <c r="J856" s="170">
        <v>0</v>
      </c>
      <c r="K856" s="170">
        <v>0</v>
      </c>
      <c r="L856">
        <v>2.6247151849659955</v>
      </c>
      <c r="N856" s="172"/>
    </row>
    <row r="857" spans="1:14">
      <c r="A857" s="170" t="s">
        <v>425</v>
      </c>
      <c r="B857" s="171">
        <v>-1.8375474863113905</v>
      </c>
      <c r="C857" s="171">
        <v>-2.1167426559988707</v>
      </c>
      <c r="D857" s="171">
        <v>-1.2367606559382516E-2</v>
      </c>
      <c r="E857" s="170">
        <v>0</v>
      </c>
      <c r="F857" s="170">
        <v>-1.4990492230334603E-2</v>
      </c>
      <c r="G857" s="170">
        <v>0</v>
      </c>
      <c r="H857" s="170">
        <v>0</v>
      </c>
      <c r="I857" s="170">
        <v>0</v>
      </c>
      <c r="J857" s="170">
        <v>0</v>
      </c>
      <c r="K857" s="170">
        <v>0</v>
      </c>
      <c r="L857">
        <v>3.9286665969332351</v>
      </c>
      <c r="N857" s="172">
        <f>MCond(B856:D858)</f>
        <v>14.956503161585864</v>
      </c>
    </row>
    <row r="858" spans="1:14">
      <c r="A858" s="170"/>
      <c r="B858" s="171">
        <v>-1.9865190328797109</v>
      </c>
      <c r="C858" s="171">
        <v>-1.2694850305255347</v>
      </c>
      <c r="D858" s="171">
        <v>-3.2127045366234341E-2</v>
      </c>
      <c r="E858" s="170">
        <v>0</v>
      </c>
      <c r="F858" s="170">
        <v>0</v>
      </c>
      <c r="G858" s="170">
        <v>-1.4990492230334603E-2</v>
      </c>
      <c r="H858" s="170">
        <v>0</v>
      </c>
      <c r="I858" s="170">
        <v>0</v>
      </c>
      <c r="J858" s="170">
        <v>0</v>
      </c>
      <c r="K858" s="170">
        <v>0</v>
      </c>
      <c r="L858">
        <v>2.779441128882862</v>
      </c>
      <c r="N858" s="172"/>
    </row>
    <row r="859" spans="1:14">
      <c r="A859" s="170"/>
      <c r="B859" s="171"/>
      <c r="C859" s="171"/>
      <c r="D859" s="171"/>
      <c r="E859" s="170"/>
      <c r="F859" s="170"/>
      <c r="G859" s="170"/>
      <c r="H859" s="170"/>
      <c r="I859" s="170"/>
      <c r="J859" s="170"/>
      <c r="K859" s="170"/>
      <c r="N859" s="173"/>
    </row>
    <row r="860" spans="1:14">
      <c r="A860" s="170"/>
      <c r="B860" s="171">
        <v>-0.58367185674448252</v>
      </c>
      <c r="C860" s="171">
        <v>-2.0841504898711007</v>
      </c>
      <c r="D860" s="171">
        <v>-0.75171422039661484</v>
      </c>
      <c r="E860" s="170">
        <v>-1.4990492230334603E-2</v>
      </c>
      <c r="F860" s="170">
        <v>0</v>
      </c>
      <c r="G860" s="170">
        <v>0</v>
      </c>
      <c r="H860" s="170">
        <v>0</v>
      </c>
      <c r="I860" s="170">
        <v>0</v>
      </c>
      <c r="J860" s="170">
        <v>0</v>
      </c>
      <c r="K860" s="170">
        <v>0</v>
      </c>
      <c r="L860">
        <v>2.6247151849659955</v>
      </c>
      <c r="N860" s="172"/>
    </row>
    <row r="861" spans="1:14">
      <c r="A861" s="170" t="s">
        <v>426</v>
      </c>
      <c r="B861" s="171">
        <v>-1.8375474863113905</v>
      </c>
      <c r="C861" s="171">
        <v>-2.1167426559988707</v>
      </c>
      <c r="D861" s="171">
        <v>-1.2367606559382516E-2</v>
      </c>
      <c r="E861" s="170">
        <v>0</v>
      </c>
      <c r="F861" s="170">
        <v>-1.4990492230334603E-2</v>
      </c>
      <c r="G861" s="170">
        <v>0</v>
      </c>
      <c r="H861" s="170">
        <v>0</v>
      </c>
      <c r="I861" s="170">
        <v>0</v>
      </c>
      <c r="J861" s="170">
        <v>0</v>
      </c>
      <c r="K861" s="170">
        <v>0</v>
      </c>
      <c r="L861">
        <v>3.9286665969332351</v>
      </c>
      <c r="N861" s="172">
        <f>MCond(B860:D862)</f>
        <v>6.4314927648957179</v>
      </c>
    </row>
    <row r="862" spans="1:14">
      <c r="A862" s="170"/>
      <c r="B862" s="171">
        <v>0.85843073718374274</v>
      </c>
      <c r="C862" s="171">
        <v>-1.040962775001312</v>
      </c>
      <c r="D862" s="171">
        <v>3.7610117674176324E-2</v>
      </c>
      <c r="E862" s="170">
        <v>0</v>
      </c>
      <c r="F862" s="170">
        <v>0</v>
      </c>
      <c r="G862" s="170">
        <v>-1.4990492230334603E-2</v>
      </c>
      <c r="H862" s="170">
        <v>0</v>
      </c>
      <c r="I862" s="170">
        <v>0</v>
      </c>
      <c r="J862" s="170">
        <v>0</v>
      </c>
      <c r="K862" s="170">
        <v>0</v>
      </c>
      <c r="L862">
        <v>0.91096067521586066</v>
      </c>
      <c r="N862" s="172"/>
    </row>
    <row r="863" spans="1:14">
      <c r="A863" s="170"/>
      <c r="B863" s="171"/>
      <c r="C863" s="171"/>
      <c r="D863" s="171"/>
      <c r="E863" s="170"/>
      <c r="F863" s="170"/>
      <c r="G863" s="170"/>
      <c r="H863" s="170"/>
      <c r="I863" s="170"/>
      <c r="J863" s="170"/>
      <c r="K863" s="170"/>
      <c r="N863" s="173"/>
    </row>
    <row r="864" spans="1:14">
      <c r="A864" s="170"/>
      <c r="B864" s="171">
        <v>-0.58367185674448252</v>
      </c>
      <c r="C864" s="171">
        <v>-2.0841504898711007</v>
      </c>
      <c r="D864" s="171">
        <v>-0.75171422039661484</v>
      </c>
      <c r="E864" s="170">
        <v>-1.4990492230334603E-2</v>
      </c>
      <c r="F864" s="170">
        <v>0</v>
      </c>
      <c r="G864" s="170">
        <v>0</v>
      </c>
      <c r="H864" s="170">
        <v>0</v>
      </c>
      <c r="I864" s="170">
        <v>0</v>
      </c>
      <c r="J864" s="170">
        <v>0</v>
      </c>
      <c r="K864" s="170">
        <v>0</v>
      </c>
      <c r="L864">
        <v>2.6247151849659955</v>
      </c>
      <c r="N864" s="172"/>
    </row>
    <row r="865" spans="1:14">
      <c r="A865" s="170" t="s">
        <v>427</v>
      </c>
      <c r="B865" s="171">
        <v>-1.8375474863113905</v>
      </c>
      <c r="C865" s="171">
        <v>-2.1167426559988707</v>
      </c>
      <c r="D865" s="171">
        <v>-1.2367606559382516E-2</v>
      </c>
      <c r="E865" s="170">
        <v>0</v>
      </c>
      <c r="F865" s="170">
        <v>-1.4990492230334603E-2</v>
      </c>
      <c r="G865" s="170">
        <v>0</v>
      </c>
      <c r="H865" s="170">
        <v>0</v>
      </c>
      <c r="I865" s="170">
        <v>0</v>
      </c>
      <c r="J865" s="170">
        <v>0</v>
      </c>
      <c r="K865" s="170">
        <v>0</v>
      </c>
      <c r="L865">
        <v>3.9286665969332351</v>
      </c>
      <c r="N865" s="172">
        <f>MCond(B864:D866)</f>
        <v>8.8485901024953062</v>
      </c>
    </row>
    <row r="866" spans="1:14">
      <c r="A866" s="170"/>
      <c r="B866" s="171">
        <v>-1.6188303733889171</v>
      </c>
      <c r="C866" s="171">
        <v>1.9594494251009342E-2</v>
      </c>
      <c r="D866" s="171">
        <v>7.7422792294721043E-2</v>
      </c>
      <c r="E866" s="170">
        <v>0</v>
      </c>
      <c r="F866" s="170">
        <v>0</v>
      </c>
      <c r="G866" s="170">
        <v>-1.4990492230334603E-2</v>
      </c>
      <c r="H866" s="170">
        <v>0</v>
      </c>
      <c r="I866" s="170">
        <v>0</v>
      </c>
      <c r="J866" s="170">
        <v>0</v>
      </c>
      <c r="K866" s="170">
        <v>0</v>
      </c>
      <c r="L866">
        <v>1.3134950053890826</v>
      </c>
      <c r="N866" s="172"/>
    </row>
    <row r="867" spans="1:14">
      <c r="A867" s="170"/>
      <c r="B867" s="171"/>
      <c r="C867" s="171"/>
      <c r="D867" s="171"/>
      <c r="E867" s="170"/>
      <c r="F867" s="170"/>
      <c r="G867" s="170"/>
      <c r="H867" s="170"/>
      <c r="I867" s="170"/>
      <c r="J867" s="170"/>
      <c r="K867" s="170"/>
      <c r="N867" s="173"/>
    </row>
    <row r="868" spans="1:14">
      <c r="A868" s="170"/>
      <c r="B868" s="171">
        <v>-0.58367185674448252</v>
      </c>
      <c r="C868" s="171">
        <v>-2.0841504898711007</v>
      </c>
      <c r="D868" s="171">
        <v>-0.75171422039661484</v>
      </c>
      <c r="E868" s="170">
        <v>-1.4990492230334603E-2</v>
      </c>
      <c r="F868" s="170">
        <v>0</v>
      </c>
      <c r="G868" s="170">
        <v>0</v>
      </c>
      <c r="H868" s="170">
        <v>0</v>
      </c>
      <c r="I868" s="170">
        <v>0</v>
      </c>
      <c r="J868" s="170">
        <v>0</v>
      </c>
      <c r="K868" s="170">
        <v>0</v>
      </c>
      <c r="L868">
        <v>2.6247151849659955</v>
      </c>
      <c r="N868" s="172"/>
    </row>
    <row r="869" spans="1:14">
      <c r="A869" s="170" t="s">
        <v>428</v>
      </c>
      <c r="B869" s="171">
        <v>-1.8375474863113905</v>
      </c>
      <c r="C869" s="171">
        <v>-2.1167426559988707</v>
      </c>
      <c r="D869" s="171">
        <v>-1.2367606559382516E-2</v>
      </c>
      <c r="E869" s="170">
        <v>0</v>
      </c>
      <c r="F869" s="170">
        <v>-1.4990492230334603E-2</v>
      </c>
      <c r="G869" s="170">
        <v>0</v>
      </c>
      <c r="H869" s="170">
        <v>0</v>
      </c>
      <c r="I869" s="170">
        <v>0</v>
      </c>
      <c r="J869" s="170">
        <v>0</v>
      </c>
      <c r="K869" s="170">
        <v>0</v>
      </c>
      <c r="L869">
        <v>3.9286665969332351</v>
      </c>
      <c r="N869" s="172">
        <f>MCond(B868:D870)</f>
        <v>3.9236550276169364</v>
      </c>
    </row>
    <row r="870" spans="1:14">
      <c r="A870" s="170"/>
      <c r="B870" s="171">
        <v>-0.60912970227287866</v>
      </c>
      <c r="C870" s="171">
        <v>0.28261535739067112</v>
      </c>
      <c r="D870" s="171">
        <v>-0.68802996689194662</v>
      </c>
      <c r="E870" s="170">
        <v>0</v>
      </c>
      <c r="F870" s="170">
        <v>0</v>
      </c>
      <c r="G870" s="170">
        <v>-1.4990492230334603E-2</v>
      </c>
      <c r="H870" s="170">
        <v>0</v>
      </c>
      <c r="I870" s="170">
        <v>0</v>
      </c>
      <c r="J870" s="170">
        <v>0</v>
      </c>
      <c r="K870" s="170">
        <v>0</v>
      </c>
      <c r="L870">
        <v>0.46214783488271782</v>
      </c>
      <c r="N870" s="172"/>
    </row>
    <row r="871" spans="1:14">
      <c r="A871" s="170"/>
      <c r="B871" s="171"/>
      <c r="C871" s="171"/>
      <c r="D871" s="171"/>
      <c r="E871" s="170"/>
      <c r="F871" s="170"/>
      <c r="G871" s="170"/>
      <c r="H871" s="170"/>
      <c r="I871" s="170"/>
      <c r="J871" s="170"/>
      <c r="K871" s="170"/>
      <c r="N871" s="173"/>
    </row>
    <row r="872" spans="1:14">
      <c r="A872" s="170"/>
      <c r="B872" s="171">
        <v>-0.58367185674448252</v>
      </c>
      <c r="C872" s="171">
        <v>-2.0841504898711007</v>
      </c>
      <c r="D872" s="171">
        <v>-0.75171422039661484</v>
      </c>
      <c r="E872" s="170">
        <v>-1.4990492230334603E-2</v>
      </c>
      <c r="F872" s="170">
        <v>0</v>
      </c>
      <c r="G872" s="170">
        <v>0</v>
      </c>
      <c r="H872" s="170">
        <v>0</v>
      </c>
      <c r="I872" s="170">
        <v>0</v>
      </c>
      <c r="J872" s="170">
        <v>0</v>
      </c>
      <c r="K872" s="170">
        <v>0</v>
      </c>
      <c r="L872">
        <v>2.6247151849659955</v>
      </c>
      <c r="N872" s="172"/>
    </row>
    <row r="873" spans="1:14">
      <c r="A873" s="170" t="s">
        <v>429</v>
      </c>
      <c r="B873" s="171">
        <v>0.45824053226673911</v>
      </c>
      <c r="C873" s="171">
        <v>-2.124969022302313</v>
      </c>
      <c r="D873" s="171">
        <v>2.076961144994538E-2</v>
      </c>
      <c r="E873" s="170">
        <v>0</v>
      </c>
      <c r="F873" s="170">
        <v>-1.4990492230334603E-2</v>
      </c>
      <c r="G873" s="170">
        <v>0</v>
      </c>
      <c r="H873" s="170">
        <v>0</v>
      </c>
      <c r="I873" s="170">
        <v>0</v>
      </c>
      <c r="J873" s="170">
        <v>0</v>
      </c>
      <c r="K873" s="170">
        <v>0</v>
      </c>
      <c r="L873">
        <v>2.3629545539581671</v>
      </c>
      <c r="N873" s="172">
        <f>MCond(B872:D874)</f>
        <v>6.037916237878159</v>
      </c>
    </row>
    <row r="874" spans="1:14">
      <c r="A874" s="170"/>
      <c r="B874" s="171">
        <v>-1.9865190328797109</v>
      </c>
      <c r="C874" s="171">
        <v>-1.2694850305255347</v>
      </c>
      <c r="D874" s="171">
        <v>-3.2127045366234341E-2</v>
      </c>
      <c r="E874" s="170">
        <v>0</v>
      </c>
      <c r="F874" s="170">
        <v>0</v>
      </c>
      <c r="G874" s="170">
        <v>-1.4990492230334603E-2</v>
      </c>
      <c r="H874" s="170">
        <v>0</v>
      </c>
      <c r="I874" s="170">
        <v>0</v>
      </c>
      <c r="J874" s="170">
        <v>0</v>
      </c>
      <c r="K874" s="170">
        <v>0</v>
      </c>
      <c r="L874">
        <v>2.779441128882862</v>
      </c>
      <c r="N874" s="172"/>
    </row>
    <row r="875" spans="1:14">
      <c r="A875" s="170"/>
      <c r="B875" s="171"/>
      <c r="C875" s="171"/>
      <c r="D875" s="171"/>
      <c r="E875" s="170"/>
      <c r="F875" s="170"/>
      <c r="G875" s="170"/>
      <c r="H875" s="170"/>
      <c r="I875" s="170"/>
      <c r="J875" s="170"/>
      <c r="K875" s="170"/>
      <c r="N875" s="173"/>
    </row>
    <row r="876" spans="1:14">
      <c r="A876" s="170"/>
      <c r="B876" s="171">
        <v>-0.58367185674448252</v>
      </c>
      <c r="C876" s="171">
        <v>-2.0841504898711007</v>
      </c>
      <c r="D876" s="171">
        <v>-0.75171422039661484</v>
      </c>
      <c r="E876" s="170">
        <v>-1.4990492230334603E-2</v>
      </c>
      <c r="F876" s="170">
        <v>0</v>
      </c>
      <c r="G876" s="170">
        <v>0</v>
      </c>
      <c r="H876" s="170">
        <v>0</v>
      </c>
      <c r="I876" s="170">
        <v>0</v>
      </c>
      <c r="J876" s="170">
        <v>0</v>
      </c>
      <c r="K876" s="170">
        <v>0</v>
      </c>
      <c r="L876">
        <v>2.6247151849659955</v>
      </c>
      <c r="N876" s="172"/>
    </row>
    <row r="877" spans="1:14">
      <c r="A877" s="170" t="s">
        <v>430</v>
      </c>
      <c r="B877" s="171">
        <v>0.45824053226673911</v>
      </c>
      <c r="C877" s="171">
        <v>-2.124969022302313</v>
      </c>
      <c r="D877" s="171">
        <v>2.076961144994538E-2</v>
      </c>
      <c r="E877" s="170">
        <v>0</v>
      </c>
      <c r="F877" s="170">
        <v>-1.4990492230334603E-2</v>
      </c>
      <c r="G877" s="170">
        <v>0</v>
      </c>
      <c r="H877" s="170">
        <v>0</v>
      </c>
      <c r="I877" s="170">
        <v>0</v>
      </c>
      <c r="J877" s="170">
        <v>0</v>
      </c>
      <c r="K877" s="170">
        <v>0</v>
      </c>
      <c r="L877">
        <v>2.3629545539581671</v>
      </c>
      <c r="N877" s="172">
        <f>MCond(B876:D878)</f>
        <v>12.875006476495159</v>
      </c>
    </row>
    <row r="878" spans="1:14">
      <c r="A878" s="170"/>
      <c r="B878" s="171">
        <v>0.85843073718374274</v>
      </c>
      <c r="C878" s="171">
        <v>-1.040962775001312</v>
      </c>
      <c r="D878" s="171">
        <v>3.7610117674176324E-2</v>
      </c>
      <c r="E878" s="170">
        <v>0</v>
      </c>
      <c r="F878" s="170">
        <v>0</v>
      </c>
      <c r="G878" s="170">
        <v>-1.4990492230334603E-2</v>
      </c>
      <c r="H878" s="170">
        <v>0</v>
      </c>
      <c r="I878" s="170">
        <v>0</v>
      </c>
      <c r="J878" s="170">
        <v>0</v>
      </c>
      <c r="K878" s="170">
        <v>0</v>
      </c>
      <c r="L878">
        <v>0.91096067521586066</v>
      </c>
      <c r="N878" s="172"/>
    </row>
    <row r="879" spans="1:14">
      <c r="A879" s="170"/>
      <c r="B879" s="171"/>
      <c r="C879" s="171"/>
      <c r="D879" s="171"/>
      <c r="E879" s="170"/>
      <c r="F879" s="170"/>
      <c r="G879" s="170"/>
      <c r="H879" s="170"/>
      <c r="I879" s="170"/>
      <c r="J879" s="170"/>
      <c r="K879" s="170"/>
      <c r="N879" s="173"/>
    </row>
    <row r="880" spans="1:14">
      <c r="A880" s="170"/>
      <c r="B880" s="171">
        <v>-0.58367185674448252</v>
      </c>
      <c r="C880" s="171">
        <v>-2.0841504898711007</v>
      </c>
      <c r="D880" s="171">
        <v>-0.75171422039661484</v>
      </c>
      <c r="E880" s="170">
        <v>-1.4990492230334603E-2</v>
      </c>
      <c r="F880" s="170">
        <v>0</v>
      </c>
      <c r="G880" s="170">
        <v>0</v>
      </c>
      <c r="H880" s="170">
        <v>0</v>
      </c>
      <c r="I880" s="170">
        <v>0</v>
      </c>
      <c r="J880" s="170">
        <v>0</v>
      </c>
      <c r="K880" s="170">
        <v>0</v>
      </c>
      <c r="L880">
        <v>2.6247151849659955</v>
      </c>
      <c r="N880" s="172"/>
    </row>
    <row r="881" spans="1:14">
      <c r="A881" s="170" t="s">
        <v>431</v>
      </c>
      <c r="B881" s="171">
        <v>0.45824053226673911</v>
      </c>
      <c r="C881" s="171">
        <v>-2.124969022302313</v>
      </c>
      <c r="D881" s="171">
        <v>2.076961144994538E-2</v>
      </c>
      <c r="E881" s="170">
        <v>0</v>
      </c>
      <c r="F881" s="170">
        <v>-1.4990492230334603E-2</v>
      </c>
      <c r="G881" s="170">
        <v>0</v>
      </c>
      <c r="H881" s="170">
        <v>0</v>
      </c>
      <c r="I881" s="170">
        <v>0</v>
      </c>
      <c r="J881" s="170">
        <v>0</v>
      </c>
      <c r="K881" s="170">
        <v>0</v>
      </c>
      <c r="L881">
        <v>2.3629545539581671</v>
      </c>
      <c r="N881" s="172">
        <f>MCond(B880:D882)</f>
        <v>5.7889076511012911</v>
      </c>
    </row>
    <row r="882" spans="1:14">
      <c r="A882" s="170"/>
      <c r="B882" s="171">
        <v>-1.6188303733889171</v>
      </c>
      <c r="C882" s="171">
        <v>1.9594494251009342E-2</v>
      </c>
      <c r="D882" s="171">
        <v>7.7422792294721043E-2</v>
      </c>
      <c r="E882" s="170">
        <v>0</v>
      </c>
      <c r="F882" s="170">
        <v>0</v>
      </c>
      <c r="G882" s="170">
        <v>-1.4990492230334603E-2</v>
      </c>
      <c r="H882" s="170">
        <v>0</v>
      </c>
      <c r="I882" s="170">
        <v>0</v>
      </c>
      <c r="J882" s="170">
        <v>0</v>
      </c>
      <c r="K882" s="170">
        <v>0</v>
      </c>
      <c r="L882">
        <v>1.3134950053890826</v>
      </c>
      <c r="N882" s="172"/>
    </row>
    <row r="883" spans="1:14">
      <c r="A883" s="170"/>
      <c r="B883" s="171"/>
      <c r="C883" s="171"/>
      <c r="D883" s="171"/>
      <c r="E883" s="170"/>
      <c r="F883" s="170"/>
      <c r="G883" s="170"/>
      <c r="H883" s="170"/>
      <c r="I883" s="170"/>
      <c r="J883" s="170"/>
      <c r="K883" s="170"/>
      <c r="N883" s="173"/>
    </row>
    <row r="884" spans="1:14">
      <c r="A884" s="170"/>
      <c r="B884" s="171">
        <v>-0.58367185674448252</v>
      </c>
      <c r="C884" s="171">
        <v>-2.0841504898711007</v>
      </c>
      <c r="D884" s="171">
        <v>-0.75171422039661484</v>
      </c>
      <c r="E884" s="170">
        <v>-1.4990492230334603E-2</v>
      </c>
      <c r="F884" s="170">
        <v>0</v>
      </c>
      <c r="G884" s="170">
        <v>0</v>
      </c>
      <c r="H884" s="170">
        <v>0</v>
      </c>
      <c r="I884" s="170">
        <v>0</v>
      </c>
      <c r="J884" s="170">
        <v>0</v>
      </c>
      <c r="K884" s="170">
        <v>0</v>
      </c>
      <c r="L884">
        <v>2.6247151849659955</v>
      </c>
      <c r="N884" s="172"/>
    </row>
    <row r="885" spans="1:14">
      <c r="A885" s="170" t="s">
        <v>432</v>
      </c>
      <c r="B885" s="171">
        <v>0.45824053226673911</v>
      </c>
      <c r="C885" s="171">
        <v>-2.124969022302313</v>
      </c>
      <c r="D885" s="171">
        <v>2.076961144994538E-2</v>
      </c>
      <c r="E885" s="170">
        <v>0</v>
      </c>
      <c r="F885" s="170">
        <v>-1.4990492230334603E-2</v>
      </c>
      <c r="G885" s="170">
        <v>0</v>
      </c>
      <c r="H885" s="170">
        <v>0</v>
      </c>
      <c r="I885" s="170">
        <v>0</v>
      </c>
      <c r="J885" s="170">
        <v>0</v>
      </c>
      <c r="K885" s="170">
        <v>0</v>
      </c>
      <c r="L885">
        <v>2.3629545539581671</v>
      </c>
      <c r="N885" s="172">
        <f>MCond(B884:D886)</f>
        <v>19.829028382126939</v>
      </c>
    </row>
    <row r="886" spans="1:14">
      <c r="A886" s="170"/>
      <c r="B886" s="171">
        <v>-0.60912970227287866</v>
      </c>
      <c r="C886" s="171">
        <v>0.28261535739067112</v>
      </c>
      <c r="D886" s="171">
        <v>-0.68802996689194662</v>
      </c>
      <c r="E886" s="170">
        <v>0</v>
      </c>
      <c r="F886" s="170">
        <v>0</v>
      </c>
      <c r="G886" s="170">
        <v>-1.4990492230334603E-2</v>
      </c>
      <c r="H886" s="170">
        <v>0</v>
      </c>
      <c r="I886" s="170">
        <v>0</v>
      </c>
      <c r="J886" s="170">
        <v>0</v>
      </c>
      <c r="K886" s="170">
        <v>0</v>
      </c>
      <c r="L886">
        <v>0.46214783488271782</v>
      </c>
      <c r="N886" s="172"/>
    </row>
    <row r="887" spans="1:14">
      <c r="A887" s="170"/>
      <c r="B887" s="171"/>
      <c r="C887" s="171"/>
      <c r="D887" s="171"/>
      <c r="E887" s="170"/>
      <c r="F887" s="170"/>
      <c r="G887" s="170"/>
      <c r="H887" s="170"/>
      <c r="I887" s="170"/>
      <c r="J887" s="170"/>
      <c r="K887" s="170"/>
      <c r="N887" s="173"/>
    </row>
    <row r="888" spans="1:14">
      <c r="A888" s="170"/>
      <c r="B888" s="171">
        <v>-0.58367185674448252</v>
      </c>
      <c r="C888" s="171">
        <v>-2.0841504898711007</v>
      </c>
      <c r="D888" s="171">
        <v>-0.75171422039661484</v>
      </c>
      <c r="E888" s="170">
        <v>-1.4990492230334603E-2</v>
      </c>
      <c r="F888" s="170">
        <v>0</v>
      </c>
      <c r="G888" s="170">
        <v>0</v>
      </c>
      <c r="H888" s="170">
        <v>0</v>
      </c>
      <c r="I888" s="170">
        <v>0</v>
      </c>
      <c r="J888" s="170">
        <v>0</v>
      </c>
      <c r="K888" s="170">
        <v>0</v>
      </c>
      <c r="L888">
        <v>2.6247151849659955</v>
      </c>
      <c r="N888" s="172"/>
    </row>
    <row r="889" spans="1:14">
      <c r="A889" s="170" t="s">
        <v>433</v>
      </c>
      <c r="B889" s="171">
        <v>-1.9865190328797109</v>
      </c>
      <c r="C889" s="171">
        <v>-1.2694850305255347</v>
      </c>
      <c r="D889" s="171">
        <v>-3.2127045366234341E-2</v>
      </c>
      <c r="E889" s="170">
        <v>0</v>
      </c>
      <c r="F889" s="170">
        <v>-1.4990492230334603E-2</v>
      </c>
      <c r="G889" s="170">
        <v>0</v>
      </c>
      <c r="H889" s="170">
        <v>0</v>
      </c>
      <c r="I889" s="170">
        <v>0</v>
      </c>
      <c r="J889" s="170">
        <v>0</v>
      </c>
      <c r="K889" s="170">
        <v>0</v>
      </c>
      <c r="L889">
        <v>2.779441128882862</v>
      </c>
      <c r="N889" s="172">
        <f>MCond(B888:D890)</f>
        <v>6.768419778847786</v>
      </c>
    </row>
    <row r="890" spans="1:14">
      <c r="A890" s="170"/>
      <c r="B890" s="171">
        <v>0.85843073718374274</v>
      </c>
      <c r="C890" s="171">
        <v>-1.040962775001312</v>
      </c>
      <c r="D890" s="171">
        <v>3.7610117674176324E-2</v>
      </c>
      <c r="E890" s="170">
        <v>0</v>
      </c>
      <c r="F890" s="170">
        <v>0</v>
      </c>
      <c r="G890" s="170">
        <v>-1.4990492230334603E-2</v>
      </c>
      <c r="H890" s="170">
        <v>0</v>
      </c>
      <c r="I890" s="170">
        <v>0</v>
      </c>
      <c r="J890" s="170">
        <v>0</v>
      </c>
      <c r="K890" s="170">
        <v>0</v>
      </c>
      <c r="L890">
        <v>0.91096067521586066</v>
      </c>
      <c r="N890" s="172"/>
    </row>
    <row r="891" spans="1:14">
      <c r="A891" s="170"/>
      <c r="B891" s="171"/>
      <c r="C891" s="171"/>
      <c r="D891" s="171"/>
      <c r="E891" s="170"/>
      <c r="F891" s="170"/>
      <c r="G891" s="170"/>
      <c r="H891" s="170"/>
      <c r="I891" s="170"/>
      <c r="J891" s="170"/>
      <c r="K891" s="170"/>
      <c r="N891" s="173"/>
    </row>
    <row r="892" spans="1:14">
      <c r="A892" s="170"/>
      <c r="B892" s="171">
        <v>-0.58367185674448252</v>
      </c>
      <c r="C892" s="171">
        <v>-2.0841504898711007</v>
      </c>
      <c r="D892" s="171">
        <v>-0.75171422039661484</v>
      </c>
      <c r="E892" s="170">
        <v>-1.4990492230334603E-2</v>
      </c>
      <c r="F892" s="170">
        <v>0</v>
      </c>
      <c r="G892" s="170">
        <v>0</v>
      </c>
      <c r="H892" s="170">
        <v>0</v>
      </c>
      <c r="I892" s="170">
        <v>0</v>
      </c>
      <c r="J892" s="170">
        <v>0</v>
      </c>
      <c r="K892" s="170">
        <v>0</v>
      </c>
      <c r="L892">
        <v>2.6247151849659955</v>
      </c>
      <c r="N892" s="172"/>
    </row>
    <row r="893" spans="1:14">
      <c r="A893" s="170" t="s">
        <v>434</v>
      </c>
      <c r="B893" s="171">
        <v>-1.9865190328797109</v>
      </c>
      <c r="C893" s="171">
        <v>-1.2694850305255347</v>
      </c>
      <c r="D893" s="171">
        <v>-3.2127045366234341E-2</v>
      </c>
      <c r="E893" s="170">
        <v>0</v>
      </c>
      <c r="F893" s="170">
        <v>-1.4990492230334603E-2</v>
      </c>
      <c r="G893" s="170">
        <v>0</v>
      </c>
      <c r="H893" s="170">
        <v>0</v>
      </c>
      <c r="I893" s="170">
        <v>0</v>
      </c>
      <c r="J893" s="170">
        <v>0</v>
      </c>
      <c r="K893" s="170">
        <v>0</v>
      </c>
      <c r="L893">
        <v>2.779441128882862</v>
      </c>
      <c r="N893" s="172">
        <f>MCond(B892:D894)</f>
        <v>15.003266209049313</v>
      </c>
    </row>
    <row r="894" spans="1:14">
      <c r="A894" s="170"/>
      <c r="B894" s="171">
        <v>-1.6188303733889171</v>
      </c>
      <c r="C894" s="171">
        <v>1.9594494251009342E-2</v>
      </c>
      <c r="D894" s="171">
        <v>7.7422792294721043E-2</v>
      </c>
      <c r="E894" s="170">
        <v>0</v>
      </c>
      <c r="F894" s="170">
        <v>0</v>
      </c>
      <c r="G894" s="170">
        <v>-1.4990492230334603E-2</v>
      </c>
      <c r="H894" s="170">
        <v>0</v>
      </c>
      <c r="I894" s="170">
        <v>0</v>
      </c>
      <c r="J894" s="170">
        <v>0</v>
      </c>
      <c r="K894" s="170">
        <v>0</v>
      </c>
      <c r="L894">
        <v>1.3134950053890826</v>
      </c>
      <c r="N894" s="172"/>
    </row>
    <row r="895" spans="1:14">
      <c r="A895" s="170"/>
      <c r="B895" s="171"/>
      <c r="C895" s="171"/>
      <c r="D895" s="171"/>
      <c r="E895" s="170"/>
      <c r="F895" s="170"/>
      <c r="G895" s="170"/>
      <c r="H895" s="170"/>
      <c r="I895" s="170"/>
      <c r="J895" s="170"/>
      <c r="K895" s="170"/>
      <c r="N895" s="173"/>
    </row>
    <row r="896" spans="1:14">
      <c r="A896" s="170"/>
      <c r="B896" s="171">
        <v>-0.58367185674448252</v>
      </c>
      <c r="C896" s="171">
        <v>-2.0841504898711007</v>
      </c>
      <c r="D896" s="171">
        <v>-0.75171422039661484</v>
      </c>
      <c r="E896" s="170">
        <v>-1.4990492230334603E-2</v>
      </c>
      <c r="F896" s="170">
        <v>0</v>
      </c>
      <c r="G896" s="170">
        <v>0</v>
      </c>
      <c r="H896" s="170">
        <v>0</v>
      </c>
      <c r="I896" s="170">
        <v>0</v>
      </c>
      <c r="J896" s="170">
        <v>0</v>
      </c>
      <c r="K896" s="170">
        <v>0</v>
      </c>
      <c r="L896">
        <v>2.6247151849659955</v>
      </c>
      <c r="N896" s="172"/>
    </row>
    <row r="897" spans="1:14">
      <c r="A897" s="170" t="s">
        <v>435</v>
      </c>
      <c r="B897" s="171">
        <v>-1.9865190328797109</v>
      </c>
      <c r="C897" s="171">
        <v>-1.2694850305255347</v>
      </c>
      <c r="D897" s="171">
        <v>-3.2127045366234341E-2</v>
      </c>
      <c r="E897" s="170">
        <v>0</v>
      </c>
      <c r="F897" s="170">
        <v>-1.4990492230334603E-2</v>
      </c>
      <c r="G897" s="170">
        <v>0</v>
      </c>
      <c r="H897" s="170">
        <v>0</v>
      </c>
      <c r="I897" s="170">
        <v>0</v>
      </c>
      <c r="J897" s="170">
        <v>0</v>
      </c>
      <c r="K897" s="170">
        <v>0</v>
      </c>
      <c r="L897">
        <v>2.779441128882862</v>
      </c>
      <c r="N897" s="172">
        <f>MCond(B896:D898)</f>
        <v>3.7367318839826384</v>
      </c>
    </row>
    <row r="898" spans="1:14">
      <c r="A898" s="170"/>
      <c r="B898" s="171">
        <v>-0.60912970227287866</v>
      </c>
      <c r="C898" s="171">
        <v>0.28261535739067112</v>
      </c>
      <c r="D898" s="171">
        <v>-0.68802996689194662</v>
      </c>
      <c r="E898" s="170">
        <v>0</v>
      </c>
      <c r="F898" s="170">
        <v>0</v>
      </c>
      <c r="G898" s="170">
        <v>-1.4990492230334603E-2</v>
      </c>
      <c r="H898" s="170">
        <v>0</v>
      </c>
      <c r="I898" s="170">
        <v>0</v>
      </c>
      <c r="J898" s="170">
        <v>0</v>
      </c>
      <c r="K898" s="170">
        <v>0</v>
      </c>
      <c r="L898">
        <v>0.46214783488271782</v>
      </c>
      <c r="N898" s="172"/>
    </row>
    <row r="899" spans="1:14">
      <c r="A899" s="170"/>
      <c r="B899" s="171"/>
      <c r="C899" s="171"/>
      <c r="D899" s="171"/>
      <c r="E899" s="170"/>
      <c r="F899" s="170"/>
      <c r="G899" s="170"/>
      <c r="H899" s="170"/>
      <c r="I899" s="170"/>
      <c r="J899" s="170"/>
      <c r="K899" s="170"/>
      <c r="N899" s="173"/>
    </row>
    <row r="900" spans="1:14">
      <c r="A900" s="170"/>
      <c r="B900" s="171">
        <v>-0.58367185674448252</v>
      </c>
      <c r="C900" s="171">
        <v>-2.0841504898711007</v>
      </c>
      <c r="D900" s="171">
        <v>-0.75171422039661484</v>
      </c>
      <c r="E900" s="170">
        <v>-1.4990492230334603E-2</v>
      </c>
      <c r="F900" s="170">
        <v>0</v>
      </c>
      <c r="G900" s="170">
        <v>0</v>
      </c>
      <c r="H900" s="170">
        <v>0</v>
      </c>
      <c r="I900" s="170">
        <v>0</v>
      </c>
      <c r="J900" s="170">
        <v>0</v>
      </c>
      <c r="K900" s="170">
        <v>0</v>
      </c>
      <c r="L900">
        <v>2.6247151849659955</v>
      </c>
      <c r="N900" s="172"/>
    </row>
    <row r="901" spans="1:14">
      <c r="A901" s="170" t="s">
        <v>436</v>
      </c>
      <c r="B901" s="171">
        <v>0.85843073718374274</v>
      </c>
      <c r="C901" s="171">
        <v>-1.040962775001312</v>
      </c>
      <c r="D901" s="171">
        <v>3.7610117674176324E-2</v>
      </c>
      <c r="E901" s="170">
        <v>0</v>
      </c>
      <c r="F901" s="170">
        <v>-1.4990492230334603E-2</v>
      </c>
      <c r="G901" s="170">
        <v>0</v>
      </c>
      <c r="H901" s="170">
        <v>0</v>
      </c>
      <c r="I901" s="170">
        <v>0</v>
      </c>
      <c r="J901" s="170">
        <v>0</v>
      </c>
      <c r="K901" s="170">
        <v>0</v>
      </c>
      <c r="L901">
        <v>0.91096067521586066</v>
      </c>
      <c r="N901" s="172">
        <f>MCond(B900:D902)</f>
        <v>7.2355412286088452</v>
      </c>
    </row>
    <row r="902" spans="1:14">
      <c r="A902" s="170"/>
      <c r="B902" s="171">
        <v>-1.6188303733889171</v>
      </c>
      <c r="C902" s="171">
        <v>1.9594494251009342E-2</v>
      </c>
      <c r="D902" s="171">
        <v>7.7422792294721043E-2</v>
      </c>
      <c r="E902" s="170">
        <v>0</v>
      </c>
      <c r="F902" s="170">
        <v>0</v>
      </c>
      <c r="G902" s="170">
        <v>-1.4990492230334603E-2</v>
      </c>
      <c r="H902" s="170">
        <v>0</v>
      </c>
      <c r="I902" s="170">
        <v>0</v>
      </c>
      <c r="J902" s="170">
        <v>0</v>
      </c>
      <c r="K902" s="170">
        <v>0</v>
      </c>
      <c r="L902">
        <v>1.3134950053890826</v>
      </c>
      <c r="N902" s="172"/>
    </row>
    <row r="903" spans="1:14">
      <c r="A903" s="170"/>
      <c r="B903" s="171"/>
      <c r="C903" s="171"/>
      <c r="D903" s="171"/>
      <c r="E903" s="170"/>
      <c r="F903" s="170"/>
      <c r="G903" s="170"/>
      <c r="H903" s="170"/>
      <c r="I903" s="170"/>
      <c r="J903" s="170"/>
      <c r="K903" s="170"/>
      <c r="N903" s="173"/>
    </row>
    <row r="904" spans="1:14">
      <c r="A904" s="170"/>
      <c r="B904" s="171">
        <v>-0.58367185674448252</v>
      </c>
      <c r="C904" s="171">
        <v>-2.0841504898711007</v>
      </c>
      <c r="D904" s="171">
        <v>-0.75171422039661484</v>
      </c>
      <c r="E904" s="170">
        <v>-1.4990492230334603E-2</v>
      </c>
      <c r="F904" s="170">
        <v>0</v>
      </c>
      <c r="G904" s="170">
        <v>0</v>
      </c>
      <c r="H904" s="170">
        <v>0</v>
      </c>
      <c r="I904" s="170">
        <v>0</v>
      </c>
      <c r="J904" s="170">
        <v>0</v>
      </c>
      <c r="K904" s="170">
        <v>0</v>
      </c>
      <c r="L904">
        <v>2.6247151849659955</v>
      </c>
      <c r="N904" s="172"/>
    </row>
    <row r="905" spans="1:14">
      <c r="A905" s="170" t="s">
        <v>437</v>
      </c>
      <c r="B905" s="171">
        <v>0.85843073718374274</v>
      </c>
      <c r="C905" s="171">
        <v>-1.040962775001312</v>
      </c>
      <c r="D905" s="171">
        <v>3.7610117674176324E-2</v>
      </c>
      <c r="E905" s="170">
        <v>0</v>
      </c>
      <c r="F905" s="170">
        <v>-1.4990492230334603E-2</v>
      </c>
      <c r="G905" s="170">
        <v>0</v>
      </c>
      <c r="H905" s="170">
        <v>0</v>
      </c>
      <c r="I905" s="170">
        <v>0</v>
      </c>
      <c r="J905" s="170">
        <v>0</v>
      </c>
      <c r="K905" s="170">
        <v>0</v>
      </c>
      <c r="L905">
        <v>0.91096067521586066</v>
      </c>
      <c r="N905" s="172">
        <f>MCond(B904:D906)</f>
        <v>6.3260146733038898</v>
      </c>
    </row>
    <row r="906" spans="1:14">
      <c r="A906" s="170"/>
      <c r="B906" s="171">
        <v>-0.60912970227287866</v>
      </c>
      <c r="C906" s="171">
        <v>0.28261535739067112</v>
      </c>
      <c r="D906" s="171">
        <v>-0.68802996689194662</v>
      </c>
      <c r="E906" s="170">
        <v>0</v>
      </c>
      <c r="F906" s="170">
        <v>0</v>
      </c>
      <c r="G906" s="170">
        <v>-1.4990492230334603E-2</v>
      </c>
      <c r="H906" s="170">
        <v>0</v>
      </c>
      <c r="I906" s="170">
        <v>0</v>
      </c>
      <c r="J906" s="170">
        <v>0</v>
      </c>
      <c r="K906" s="170">
        <v>0</v>
      </c>
      <c r="L906">
        <v>0.46214783488271782</v>
      </c>
      <c r="N906" s="172"/>
    </row>
    <row r="907" spans="1:14">
      <c r="A907" s="170"/>
      <c r="B907" s="171"/>
      <c r="C907" s="171"/>
      <c r="D907" s="171"/>
      <c r="E907" s="170"/>
      <c r="F907" s="170"/>
      <c r="G907" s="170"/>
      <c r="H907" s="170"/>
      <c r="I907" s="170"/>
      <c r="J907" s="170"/>
      <c r="K907" s="170"/>
      <c r="N907" s="173"/>
    </row>
    <row r="908" spans="1:14">
      <c r="A908" s="170"/>
      <c r="B908" s="171">
        <v>-0.58367185674448252</v>
      </c>
      <c r="C908" s="171">
        <v>-2.0841504898711007</v>
      </c>
      <c r="D908" s="171">
        <v>-0.75171422039661484</v>
      </c>
      <c r="E908" s="170">
        <v>-1.4990492230334603E-2</v>
      </c>
      <c r="F908" s="170">
        <v>0</v>
      </c>
      <c r="G908" s="170">
        <v>0</v>
      </c>
      <c r="H908" s="170">
        <v>0</v>
      </c>
      <c r="I908" s="170">
        <v>0</v>
      </c>
      <c r="J908" s="170">
        <v>0</v>
      </c>
      <c r="K908" s="170">
        <v>0</v>
      </c>
      <c r="L908">
        <v>2.6247151849659955</v>
      </c>
      <c r="N908" s="172"/>
    </row>
    <row r="909" spans="1:14">
      <c r="A909" s="170" t="s">
        <v>438</v>
      </c>
      <c r="B909" s="171">
        <v>-1.6188303733889171</v>
      </c>
      <c r="C909" s="171">
        <v>1.9594494251009342E-2</v>
      </c>
      <c r="D909" s="171">
        <v>7.7422792294721043E-2</v>
      </c>
      <c r="E909" s="170">
        <v>0</v>
      </c>
      <c r="F909" s="170">
        <v>-1.4990492230334603E-2</v>
      </c>
      <c r="G909" s="170">
        <v>0</v>
      </c>
      <c r="H909" s="170">
        <v>0</v>
      </c>
      <c r="I909" s="170">
        <v>0</v>
      </c>
      <c r="J909" s="170">
        <v>0</v>
      </c>
      <c r="K909" s="170">
        <v>0</v>
      </c>
      <c r="L909">
        <v>1.3134950053890826</v>
      </c>
      <c r="N909" s="172">
        <f>MCond(B908:D910)</f>
        <v>3.3124115126012943</v>
      </c>
    </row>
    <row r="910" spans="1:14">
      <c r="A910" s="170"/>
      <c r="B910" s="171">
        <v>-0.60912970227287866</v>
      </c>
      <c r="C910" s="171">
        <v>0.28261535739067112</v>
      </c>
      <c r="D910" s="171">
        <v>-0.68802996689194662</v>
      </c>
      <c r="E910" s="170">
        <v>0</v>
      </c>
      <c r="F910" s="170">
        <v>0</v>
      </c>
      <c r="G910" s="170">
        <v>-1.4990492230334603E-2</v>
      </c>
      <c r="H910" s="170">
        <v>0</v>
      </c>
      <c r="I910" s="170">
        <v>0</v>
      </c>
      <c r="J910" s="170">
        <v>0</v>
      </c>
      <c r="K910" s="170">
        <v>0</v>
      </c>
      <c r="L910">
        <v>0.46214783488271782</v>
      </c>
      <c r="N910" s="172"/>
    </row>
    <row r="911" spans="1:14">
      <c r="A911" s="170"/>
      <c r="B911" s="171"/>
      <c r="C911" s="171"/>
      <c r="D911" s="171"/>
      <c r="E911" s="170"/>
      <c r="F911" s="170"/>
      <c r="G911" s="170"/>
      <c r="H911" s="170"/>
      <c r="I911" s="170"/>
      <c r="J911" s="170"/>
      <c r="K911" s="170"/>
      <c r="N911" s="173"/>
    </row>
    <row r="912" spans="1:14">
      <c r="A912" s="170"/>
      <c r="B912" s="171">
        <v>-1.8375474863113905</v>
      </c>
      <c r="C912" s="171">
        <v>-2.1167426559988707</v>
      </c>
      <c r="D912" s="171">
        <v>-1.2367606559382516E-2</v>
      </c>
      <c r="E912" s="170">
        <v>-1.4990492230334603E-2</v>
      </c>
      <c r="F912" s="170">
        <v>0</v>
      </c>
      <c r="G912" s="170">
        <v>0</v>
      </c>
      <c r="H912" s="170">
        <v>0</v>
      </c>
      <c r="I912" s="170">
        <v>0</v>
      </c>
      <c r="J912" s="170">
        <v>0</v>
      </c>
      <c r="K912" s="170">
        <v>0</v>
      </c>
      <c r="L912">
        <v>3.9286665969332351</v>
      </c>
      <c r="N912" s="172"/>
    </row>
    <row r="913" spans="1:14">
      <c r="A913" s="170" t="s">
        <v>439</v>
      </c>
      <c r="B913" s="171">
        <v>0.45824053226673911</v>
      </c>
      <c r="C913" s="171">
        <v>-2.124969022302313</v>
      </c>
      <c r="D913" s="171">
        <v>2.076961144994538E-2</v>
      </c>
      <c r="E913" s="170">
        <v>0</v>
      </c>
      <c r="F913" s="170">
        <v>-1.4990492230334603E-2</v>
      </c>
      <c r="G913" s="170">
        <v>0</v>
      </c>
      <c r="H913" s="170">
        <v>0</v>
      </c>
      <c r="I913" s="170">
        <v>0</v>
      </c>
      <c r="J913" s="170">
        <v>0</v>
      </c>
      <c r="K913" s="170">
        <v>0</v>
      </c>
      <c r="L913">
        <v>2.3629545539581671</v>
      </c>
      <c r="N913" s="172">
        <f>MCond(B912:D914)</f>
        <v>466.83042019142619</v>
      </c>
    </row>
    <row r="914" spans="1:14">
      <c r="A914" s="170"/>
      <c r="B914" s="171">
        <v>-1.9865190328797109</v>
      </c>
      <c r="C914" s="171">
        <v>-1.2694850305255347</v>
      </c>
      <c r="D914" s="171">
        <v>-3.2127045366234341E-2</v>
      </c>
      <c r="E914" s="170">
        <v>0</v>
      </c>
      <c r="F914" s="170">
        <v>0</v>
      </c>
      <c r="G914" s="170">
        <v>-1.4990492230334603E-2</v>
      </c>
      <c r="H914" s="170">
        <v>0</v>
      </c>
      <c r="I914" s="170">
        <v>0</v>
      </c>
      <c r="J914" s="170">
        <v>0</v>
      </c>
      <c r="K914" s="170">
        <v>0</v>
      </c>
      <c r="L914">
        <v>2.779441128882862</v>
      </c>
      <c r="N914" s="172"/>
    </row>
    <row r="915" spans="1:14">
      <c r="A915" s="170"/>
      <c r="B915" s="171"/>
      <c r="C915" s="171"/>
      <c r="D915" s="171"/>
      <c r="E915" s="170"/>
      <c r="F915" s="170"/>
      <c r="G915" s="170"/>
      <c r="H915" s="170"/>
      <c r="I915" s="170"/>
      <c r="J915" s="170"/>
      <c r="K915" s="170"/>
      <c r="N915" s="173"/>
    </row>
    <row r="916" spans="1:14">
      <c r="A916" s="170"/>
      <c r="B916" s="171">
        <v>-1.8375474863113905</v>
      </c>
      <c r="C916" s="171">
        <v>-2.1167426559988707</v>
      </c>
      <c r="D916" s="171">
        <v>-1.2367606559382516E-2</v>
      </c>
      <c r="E916" s="170">
        <v>-1.4990492230334603E-2</v>
      </c>
      <c r="F916" s="170">
        <v>0</v>
      </c>
      <c r="G916" s="170">
        <v>0</v>
      </c>
      <c r="H916" s="170">
        <v>0</v>
      </c>
      <c r="I916" s="170">
        <v>0</v>
      </c>
      <c r="J916" s="170">
        <v>0</v>
      </c>
      <c r="K916" s="170">
        <v>0</v>
      </c>
      <c r="L916">
        <v>3.9286665969332351</v>
      </c>
      <c r="N916" s="172"/>
    </row>
    <row r="917" spans="1:14">
      <c r="A917" s="170" t="s">
        <v>440</v>
      </c>
      <c r="B917" s="171">
        <v>0.45824053226673911</v>
      </c>
      <c r="C917" s="171">
        <v>-2.124969022302313</v>
      </c>
      <c r="D917" s="171">
        <v>2.076961144994538E-2</v>
      </c>
      <c r="E917" s="170">
        <v>0</v>
      </c>
      <c r="F917" s="170">
        <v>-1.4990492230334603E-2</v>
      </c>
      <c r="G917" s="170">
        <v>0</v>
      </c>
      <c r="H917" s="170">
        <v>0</v>
      </c>
      <c r="I917" s="170">
        <v>0</v>
      </c>
      <c r="J917" s="170">
        <v>0</v>
      </c>
      <c r="K917" s="170">
        <v>0</v>
      </c>
      <c r="L917">
        <v>2.3629545539581671</v>
      </c>
      <c r="N917" s="172">
        <f>MCond(B916:D918)</f>
        <v>230.68313650592344</v>
      </c>
    </row>
    <row r="918" spans="1:14">
      <c r="A918" s="170"/>
      <c r="B918" s="171">
        <v>0.85843073718374274</v>
      </c>
      <c r="C918" s="171">
        <v>-1.040962775001312</v>
      </c>
      <c r="D918" s="171">
        <v>3.7610117674176324E-2</v>
      </c>
      <c r="E918" s="170">
        <v>0</v>
      </c>
      <c r="F918" s="170">
        <v>0</v>
      </c>
      <c r="G918" s="170">
        <v>-1.4990492230334603E-2</v>
      </c>
      <c r="H918" s="170">
        <v>0</v>
      </c>
      <c r="I918" s="170">
        <v>0</v>
      </c>
      <c r="J918" s="170">
        <v>0</v>
      </c>
      <c r="K918" s="170">
        <v>0</v>
      </c>
      <c r="L918">
        <v>0.91096067521586066</v>
      </c>
      <c r="N918" s="172"/>
    </row>
    <row r="919" spans="1:14">
      <c r="A919" s="170"/>
      <c r="B919" s="171"/>
      <c r="C919" s="171"/>
      <c r="D919" s="171"/>
      <c r="E919" s="170"/>
      <c r="F919" s="170"/>
      <c r="G919" s="170"/>
      <c r="H919" s="170"/>
      <c r="I919" s="170"/>
      <c r="J919" s="170"/>
      <c r="K919" s="170"/>
      <c r="N919" s="173"/>
    </row>
    <row r="920" spans="1:14">
      <c r="A920" s="170"/>
      <c r="B920" s="171">
        <v>-1.8375474863113905</v>
      </c>
      <c r="C920" s="171">
        <v>-2.1167426559988707</v>
      </c>
      <c r="D920" s="171">
        <v>-1.2367606559382516E-2</v>
      </c>
      <c r="E920" s="170">
        <v>-1.4990492230334603E-2</v>
      </c>
      <c r="F920" s="170">
        <v>0</v>
      </c>
      <c r="G920" s="170">
        <v>0</v>
      </c>
      <c r="H920" s="170">
        <v>0</v>
      </c>
      <c r="I920" s="170">
        <v>0</v>
      </c>
      <c r="J920" s="170">
        <v>0</v>
      </c>
      <c r="K920" s="170">
        <v>0</v>
      </c>
      <c r="L920">
        <v>3.9286665969332351</v>
      </c>
      <c r="N920" s="172"/>
    </row>
    <row r="921" spans="1:14">
      <c r="A921" s="170" t="s">
        <v>441</v>
      </c>
      <c r="B921" s="171">
        <v>0.45824053226673911</v>
      </c>
      <c r="C921" s="171">
        <v>-2.124969022302313</v>
      </c>
      <c r="D921" s="171">
        <v>2.076961144994538E-2</v>
      </c>
      <c r="E921" s="170">
        <v>0</v>
      </c>
      <c r="F921" s="170">
        <v>-1.4990492230334603E-2</v>
      </c>
      <c r="G921" s="170">
        <v>0</v>
      </c>
      <c r="H921" s="170">
        <v>0</v>
      </c>
      <c r="I921" s="170">
        <v>0</v>
      </c>
      <c r="J921" s="170">
        <v>0</v>
      </c>
      <c r="K921" s="170">
        <v>0</v>
      </c>
      <c r="L921">
        <v>2.3629545539581671</v>
      </c>
      <c r="N921" s="172">
        <f>MCond(B920:D922)</f>
        <v>46.088572117461673</v>
      </c>
    </row>
    <row r="922" spans="1:14">
      <c r="A922" s="170"/>
      <c r="B922" s="171">
        <v>-1.6188303733889171</v>
      </c>
      <c r="C922" s="171">
        <v>1.9594494251009342E-2</v>
      </c>
      <c r="D922" s="171">
        <v>7.7422792294721043E-2</v>
      </c>
      <c r="E922" s="170">
        <v>0</v>
      </c>
      <c r="F922" s="170">
        <v>0</v>
      </c>
      <c r="G922" s="170">
        <v>-1.4990492230334603E-2</v>
      </c>
      <c r="H922" s="170">
        <v>0</v>
      </c>
      <c r="I922" s="170">
        <v>0</v>
      </c>
      <c r="J922" s="170">
        <v>0</v>
      </c>
      <c r="K922" s="170">
        <v>0</v>
      </c>
      <c r="L922">
        <v>1.3134950053890826</v>
      </c>
      <c r="N922" s="172"/>
    </row>
    <row r="923" spans="1:14">
      <c r="A923" s="170"/>
      <c r="B923" s="171"/>
      <c r="C923" s="171"/>
      <c r="D923" s="171"/>
      <c r="E923" s="170"/>
      <c r="F923" s="170"/>
      <c r="G923" s="170"/>
      <c r="H923" s="170"/>
      <c r="I923" s="170"/>
      <c r="J923" s="170"/>
      <c r="K923" s="170"/>
      <c r="N923" s="173"/>
    </row>
    <row r="924" spans="1:14">
      <c r="A924" s="170"/>
      <c r="B924" s="171">
        <v>-1.8375474863113905</v>
      </c>
      <c r="C924" s="171">
        <v>-2.1167426559988707</v>
      </c>
      <c r="D924" s="171">
        <v>-1.2367606559382516E-2</v>
      </c>
      <c r="E924" s="170">
        <v>-1.4990492230334603E-2</v>
      </c>
      <c r="F924" s="170">
        <v>0</v>
      </c>
      <c r="G924" s="170">
        <v>0</v>
      </c>
      <c r="H924" s="170">
        <v>0</v>
      </c>
      <c r="I924" s="170">
        <v>0</v>
      </c>
      <c r="J924" s="170">
        <v>0</v>
      </c>
      <c r="K924" s="170">
        <v>0</v>
      </c>
      <c r="L924">
        <v>3.9286665969332351</v>
      </c>
      <c r="N924" s="172"/>
    </row>
    <row r="925" spans="1:14">
      <c r="A925" s="170" t="s">
        <v>442</v>
      </c>
      <c r="B925" s="171">
        <v>0.45824053226673911</v>
      </c>
      <c r="C925" s="171">
        <v>-2.124969022302313</v>
      </c>
      <c r="D925" s="171">
        <v>2.076961144994538E-2</v>
      </c>
      <c r="E925" s="170">
        <v>0</v>
      </c>
      <c r="F925" s="170">
        <v>-1.4990492230334603E-2</v>
      </c>
      <c r="G925" s="170">
        <v>0</v>
      </c>
      <c r="H925" s="170">
        <v>0</v>
      </c>
      <c r="I925" s="170">
        <v>0</v>
      </c>
      <c r="J925" s="170">
        <v>0</v>
      </c>
      <c r="K925" s="170">
        <v>0</v>
      </c>
      <c r="L925">
        <v>2.3629545539581671</v>
      </c>
      <c r="N925" s="172">
        <f>MCond(B924:D926)</f>
        <v>5.2672257276525398</v>
      </c>
    </row>
    <row r="926" spans="1:14">
      <c r="A926" s="170"/>
      <c r="B926" s="171">
        <v>-0.60912970227287866</v>
      </c>
      <c r="C926" s="171">
        <v>0.28261535739067112</v>
      </c>
      <c r="D926" s="171">
        <v>-0.68802996689194662</v>
      </c>
      <c r="E926" s="170">
        <v>0</v>
      </c>
      <c r="F926" s="170">
        <v>0</v>
      </c>
      <c r="G926" s="170">
        <v>-1.4990492230334603E-2</v>
      </c>
      <c r="H926" s="170">
        <v>0</v>
      </c>
      <c r="I926" s="170">
        <v>0</v>
      </c>
      <c r="J926" s="170">
        <v>0</v>
      </c>
      <c r="K926" s="170">
        <v>0</v>
      </c>
      <c r="L926">
        <v>0.46214783488271782</v>
      </c>
      <c r="N926" s="172"/>
    </row>
    <row r="927" spans="1:14">
      <c r="A927" s="170"/>
      <c r="B927" s="171"/>
      <c r="C927" s="171"/>
      <c r="D927" s="171"/>
      <c r="E927" s="170"/>
      <c r="F927" s="170"/>
      <c r="G927" s="170"/>
      <c r="H927" s="170"/>
      <c r="I927" s="170"/>
      <c r="J927" s="170"/>
      <c r="K927" s="170"/>
      <c r="N927" s="173"/>
    </row>
    <row r="928" spans="1:14">
      <c r="A928" s="170"/>
      <c r="B928" s="171">
        <v>-1.8375474863113905</v>
      </c>
      <c r="C928" s="171">
        <v>-2.1167426559988707</v>
      </c>
      <c r="D928" s="171">
        <v>-1.2367606559382516E-2</v>
      </c>
      <c r="E928" s="170">
        <v>-1.4990492230334603E-2</v>
      </c>
      <c r="F928" s="170">
        <v>0</v>
      </c>
      <c r="G928" s="170">
        <v>0</v>
      </c>
      <c r="H928" s="170">
        <v>0</v>
      </c>
      <c r="I928" s="170">
        <v>0</v>
      </c>
      <c r="J928" s="170">
        <v>0</v>
      </c>
      <c r="K928" s="170">
        <v>0</v>
      </c>
      <c r="L928">
        <v>3.9286665969332351</v>
      </c>
      <c r="N928" s="172"/>
    </row>
    <row r="929" spans="1:14">
      <c r="A929" s="170" t="s">
        <v>443</v>
      </c>
      <c r="B929" s="171">
        <v>-1.9865190328797109</v>
      </c>
      <c r="C929" s="171">
        <v>-1.2694850305255347</v>
      </c>
      <c r="D929" s="171">
        <v>-3.2127045366234341E-2</v>
      </c>
      <c r="E929" s="170">
        <v>0</v>
      </c>
      <c r="F929" s="170">
        <v>-1.4990492230334603E-2</v>
      </c>
      <c r="G929" s="170">
        <v>0</v>
      </c>
      <c r="H929" s="170">
        <v>0</v>
      </c>
      <c r="I929" s="170">
        <v>0</v>
      </c>
      <c r="J929" s="170">
        <v>0</v>
      </c>
      <c r="K929" s="170">
        <v>0</v>
      </c>
      <c r="L929">
        <v>2.779441128882862</v>
      </c>
      <c r="N929" s="172">
        <f>MCond(B928:D930)</f>
        <v>1832.2683886248421</v>
      </c>
    </row>
    <row r="930" spans="1:14">
      <c r="A930" s="170"/>
      <c r="B930" s="171">
        <v>0.85843073718374274</v>
      </c>
      <c r="C930" s="171">
        <v>-1.040962775001312</v>
      </c>
      <c r="D930" s="171">
        <v>3.7610117674176324E-2</v>
      </c>
      <c r="E930" s="170">
        <v>0</v>
      </c>
      <c r="F930" s="170">
        <v>0</v>
      </c>
      <c r="G930" s="170">
        <v>-1.4990492230334603E-2</v>
      </c>
      <c r="H930" s="170">
        <v>0</v>
      </c>
      <c r="I930" s="170">
        <v>0</v>
      </c>
      <c r="J930" s="170">
        <v>0</v>
      </c>
      <c r="K930" s="170">
        <v>0</v>
      </c>
      <c r="L930">
        <v>0.91096067521586066</v>
      </c>
      <c r="N930" s="172"/>
    </row>
    <row r="931" spans="1:14">
      <c r="A931" s="170"/>
      <c r="B931" s="171"/>
      <c r="C931" s="171"/>
      <c r="D931" s="171"/>
      <c r="E931" s="170"/>
      <c r="F931" s="170"/>
      <c r="G931" s="170"/>
      <c r="H931" s="170"/>
      <c r="I931" s="170"/>
      <c r="J931" s="170"/>
      <c r="K931" s="170"/>
      <c r="N931" s="173"/>
    </row>
    <row r="932" spans="1:14">
      <c r="A932" s="170"/>
      <c r="B932" s="171">
        <v>-1.8375474863113905</v>
      </c>
      <c r="C932" s="171">
        <v>-2.1167426559988707</v>
      </c>
      <c r="D932" s="171">
        <v>-1.2367606559382516E-2</v>
      </c>
      <c r="E932" s="170">
        <v>-1.4990492230334603E-2</v>
      </c>
      <c r="F932" s="170">
        <v>0</v>
      </c>
      <c r="G932" s="170">
        <v>0</v>
      </c>
      <c r="H932" s="170">
        <v>0</v>
      </c>
      <c r="I932" s="170">
        <v>0</v>
      </c>
      <c r="J932" s="170">
        <v>0</v>
      </c>
      <c r="K932" s="170">
        <v>0</v>
      </c>
      <c r="L932">
        <v>3.9286665969332351</v>
      </c>
      <c r="N932" s="172"/>
    </row>
    <row r="933" spans="1:14">
      <c r="A933" s="170" t="s">
        <v>444</v>
      </c>
      <c r="B933" s="171">
        <v>-1.9865190328797109</v>
      </c>
      <c r="C933" s="171">
        <v>-1.2694850305255347</v>
      </c>
      <c r="D933" s="171">
        <v>-3.2127045366234341E-2</v>
      </c>
      <c r="E933" s="170">
        <v>0</v>
      </c>
      <c r="F933" s="170">
        <v>-1.4990492230334603E-2</v>
      </c>
      <c r="G933" s="170">
        <v>0</v>
      </c>
      <c r="H933" s="170">
        <v>0</v>
      </c>
      <c r="I933" s="170">
        <v>0</v>
      </c>
      <c r="J933" s="170">
        <v>0</v>
      </c>
      <c r="K933" s="170">
        <v>0</v>
      </c>
      <c r="L933">
        <v>2.779441128882862</v>
      </c>
      <c r="N933" s="172">
        <f>MCond(B932:D934)</f>
        <v>74.307372366081026</v>
      </c>
    </row>
    <row r="934" spans="1:14">
      <c r="A934" s="170"/>
      <c r="B934" s="171">
        <v>-1.6188303733889171</v>
      </c>
      <c r="C934" s="171">
        <v>1.9594494251009342E-2</v>
      </c>
      <c r="D934" s="171">
        <v>7.7422792294721043E-2</v>
      </c>
      <c r="E934" s="170">
        <v>0</v>
      </c>
      <c r="F934" s="170">
        <v>0</v>
      </c>
      <c r="G934" s="170">
        <v>-1.4990492230334603E-2</v>
      </c>
      <c r="H934" s="170">
        <v>0</v>
      </c>
      <c r="I934" s="170">
        <v>0</v>
      </c>
      <c r="J934" s="170">
        <v>0</v>
      </c>
      <c r="K934" s="170">
        <v>0</v>
      </c>
      <c r="L934">
        <v>1.3134950053890826</v>
      </c>
      <c r="N934" s="172"/>
    </row>
    <row r="935" spans="1:14">
      <c r="A935" s="170"/>
      <c r="B935" s="171"/>
      <c r="C935" s="171"/>
      <c r="D935" s="171"/>
      <c r="E935" s="170"/>
      <c r="F935" s="170"/>
      <c r="G935" s="170"/>
      <c r="H935" s="170"/>
      <c r="I935" s="170"/>
      <c r="J935" s="170"/>
      <c r="K935" s="170"/>
      <c r="N935" s="173"/>
    </row>
    <row r="936" spans="1:14">
      <c r="A936" s="170"/>
      <c r="B936" s="171">
        <v>-1.8375474863113905</v>
      </c>
      <c r="C936" s="171">
        <v>-2.1167426559988707</v>
      </c>
      <c r="D936" s="171">
        <v>-1.2367606559382516E-2</v>
      </c>
      <c r="E936" s="170">
        <v>-1.4990492230334603E-2</v>
      </c>
      <c r="F936" s="170">
        <v>0</v>
      </c>
      <c r="G936" s="170">
        <v>0</v>
      </c>
      <c r="H936" s="170">
        <v>0</v>
      </c>
      <c r="I936" s="170">
        <v>0</v>
      </c>
      <c r="J936" s="170">
        <v>0</v>
      </c>
      <c r="K936" s="170">
        <v>0</v>
      </c>
      <c r="L936">
        <v>3.9286665969332351</v>
      </c>
      <c r="N936" s="172"/>
    </row>
    <row r="937" spans="1:14">
      <c r="A937" s="170" t="s">
        <v>445</v>
      </c>
      <c r="B937" s="171">
        <v>-1.9865190328797109</v>
      </c>
      <c r="C937" s="171">
        <v>-1.2694850305255347</v>
      </c>
      <c r="D937" s="171">
        <v>-3.2127045366234341E-2</v>
      </c>
      <c r="E937" s="170">
        <v>0</v>
      </c>
      <c r="F937" s="170">
        <v>-1.4990492230334603E-2</v>
      </c>
      <c r="G937" s="170">
        <v>0</v>
      </c>
      <c r="H937" s="170">
        <v>0</v>
      </c>
      <c r="I937" s="170">
        <v>0</v>
      </c>
      <c r="J937" s="170">
        <v>0</v>
      </c>
      <c r="K937" s="170">
        <v>0</v>
      </c>
      <c r="L937">
        <v>2.779441128882862</v>
      </c>
      <c r="N937" s="172">
        <f>MCond(B936:D938)</f>
        <v>10.595880661889572</v>
      </c>
    </row>
    <row r="938" spans="1:14">
      <c r="A938" s="170"/>
      <c r="B938" s="171">
        <v>-0.60912970227287866</v>
      </c>
      <c r="C938" s="171">
        <v>0.28261535739067112</v>
      </c>
      <c r="D938" s="171">
        <v>-0.68802996689194662</v>
      </c>
      <c r="E938" s="170">
        <v>0</v>
      </c>
      <c r="F938" s="170">
        <v>0</v>
      </c>
      <c r="G938" s="170">
        <v>-1.4990492230334603E-2</v>
      </c>
      <c r="H938" s="170">
        <v>0</v>
      </c>
      <c r="I938" s="170">
        <v>0</v>
      </c>
      <c r="J938" s="170">
        <v>0</v>
      </c>
      <c r="K938" s="170">
        <v>0</v>
      </c>
      <c r="L938">
        <v>0.46214783488271782</v>
      </c>
      <c r="N938" s="172"/>
    </row>
    <row r="939" spans="1:14">
      <c r="A939" s="170"/>
      <c r="B939" s="171"/>
      <c r="C939" s="171"/>
      <c r="D939" s="171"/>
      <c r="E939" s="170"/>
      <c r="F939" s="170"/>
      <c r="G939" s="170"/>
      <c r="H939" s="170"/>
      <c r="I939" s="170"/>
      <c r="J939" s="170"/>
      <c r="K939" s="170"/>
      <c r="N939" s="173"/>
    </row>
    <row r="940" spans="1:14">
      <c r="A940" s="170"/>
      <c r="B940" s="171">
        <v>-1.8375474863113905</v>
      </c>
      <c r="C940" s="171">
        <v>-2.1167426559988707</v>
      </c>
      <c r="D940" s="171">
        <v>-1.2367606559382516E-2</v>
      </c>
      <c r="E940" s="170">
        <v>-1.4990492230334603E-2</v>
      </c>
      <c r="F940" s="170">
        <v>0</v>
      </c>
      <c r="G940" s="170">
        <v>0</v>
      </c>
      <c r="H940" s="170">
        <v>0</v>
      </c>
      <c r="I940" s="170">
        <v>0</v>
      </c>
      <c r="J940" s="170">
        <v>0</v>
      </c>
      <c r="K940" s="170">
        <v>0</v>
      </c>
      <c r="L940">
        <v>3.9286665969332351</v>
      </c>
      <c r="N940" s="172"/>
    </row>
    <row r="941" spans="1:14">
      <c r="A941" s="170" t="s">
        <v>446</v>
      </c>
      <c r="B941" s="171">
        <v>0.85843073718374274</v>
      </c>
      <c r="C941" s="171">
        <v>-1.040962775001312</v>
      </c>
      <c r="D941" s="171">
        <v>3.7610117674176324E-2</v>
      </c>
      <c r="E941" s="170">
        <v>0</v>
      </c>
      <c r="F941" s="170">
        <v>-1.4990492230334603E-2</v>
      </c>
      <c r="G941" s="170">
        <v>0</v>
      </c>
      <c r="H941" s="170">
        <v>0</v>
      </c>
      <c r="I941" s="170">
        <v>0</v>
      </c>
      <c r="J941" s="170">
        <v>0</v>
      </c>
      <c r="K941" s="170">
        <v>0</v>
      </c>
      <c r="L941">
        <v>0.91096067521586066</v>
      </c>
      <c r="N941" s="172">
        <f>MCond(B940:D942)</f>
        <v>36.89616878253937</v>
      </c>
    </row>
    <row r="942" spans="1:14">
      <c r="A942" s="170"/>
      <c r="B942" s="171">
        <v>-1.6188303733889171</v>
      </c>
      <c r="C942" s="171">
        <v>1.9594494251009342E-2</v>
      </c>
      <c r="D942" s="171">
        <v>7.7422792294721043E-2</v>
      </c>
      <c r="E942" s="170">
        <v>0</v>
      </c>
      <c r="F942" s="170">
        <v>0</v>
      </c>
      <c r="G942" s="170">
        <v>-1.4990492230334603E-2</v>
      </c>
      <c r="H942" s="170">
        <v>0</v>
      </c>
      <c r="I942" s="170">
        <v>0</v>
      </c>
      <c r="J942" s="170">
        <v>0</v>
      </c>
      <c r="K942" s="170">
        <v>0</v>
      </c>
      <c r="L942">
        <v>1.3134950053890826</v>
      </c>
      <c r="N942" s="172"/>
    </row>
    <row r="943" spans="1:14">
      <c r="A943" s="170"/>
      <c r="B943" s="171"/>
      <c r="C943" s="171"/>
      <c r="D943" s="171"/>
      <c r="E943" s="170"/>
      <c r="F943" s="170"/>
      <c r="G943" s="170"/>
      <c r="H943" s="170"/>
      <c r="I943" s="170"/>
      <c r="J943" s="170"/>
      <c r="K943" s="170"/>
      <c r="N943" s="173"/>
    </row>
    <row r="944" spans="1:14">
      <c r="A944" s="170"/>
      <c r="B944" s="171">
        <v>-1.8375474863113905</v>
      </c>
      <c r="C944" s="171">
        <v>-2.1167426559988707</v>
      </c>
      <c r="D944" s="171">
        <v>-1.2367606559382516E-2</v>
      </c>
      <c r="E944" s="170">
        <v>-1.4990492230334603E-2</v>
      </c>
      <c r="F944" s="170">
        <v>0</v>
      </c>
      <c r="G944" s="170">
        <v>0</v>
      </c>
      <c r="H944" s="170">
        <v>0</v>
      </c>
      <c r="I944" s="170">
        <v>0</v>
      </c>
      <c r="J944" s="170">
        <v>0</v>
      </c>
      <c r="K944" s="170">
        <v>0</v>
      </c>
      <c r="L944">
        <v>3.9286665969332351</v>
      </c>
      <c r="N944" s="172"/>
    </row>
    <row r="945" spans="1:14">
      <c r="A945" s="170" t="s">
        <v>447</v>
      </c>
      <c r="B945" s="171">
        <v>0.85843073718374274</v>
      </c>
      <c r="C945" s="171">
        <v>-1.040962775001312</v>
      </c>
      <c r="D945" s="171">
        <v>3.7610117674176324E-2</v>
      </c>
      <c r="E945" s="170">
        <v>0</v>
      </c>
      <c r="F945" s="170">
        <v>-1.4990492230334603E-2</v>
      </c>
      <c r="G945" s="170">
        <v>0</v>
      </c>
      <c r="H945" s="170">
        <v>0</v>
      </c>
      <c r="I945" s="170">
        <v>0</v>
      </c>
      <c r="J945" s="170">
        <v>0</v>
      </c>
      <c r="K945" s="170">
        <v>0</v>
      </c>
      <c r="L945">
        <v>0.91096067521586066</v>
      </c>
      <c r="N945" s="172">
        <f>MCond(B944:D946)</f>
        <v>4.8522872767527137</v>
      </c>
    </row>
    <row r="946" spans="1:14">
      <c r="A946" s="170"/>
      <c r="B946" s="171">
        <v>-0.60912970227287866</v>
      </c>
      <c r="C946" s="171">
        <v>0.28261535739067112</v>
      </c>
      <c r="D946" s="171">
        <v>-0.68802996689194662</v>
      </c>
      <c r="E946" s="170">
        <v>0</v>
      </c>
      <c r="F946" s="170">
        <v>0</v>
      </c>
      <c r="G946" s="170">
        <v>-1.4990492230334603E-2</v>
      </c>
      <c r="H946" s="170">
        <v>0</v>
      </c>
      <c r="I946" s="170">
        <v>0</v>
      </c>
      <c r="J946" s="170">
        <v>0</v>
      </c>
      <c r="K946" s="170">
        <v>0</v>
      </c>
      <c r="L946">
        <v>0.46214783488271782</v>
      </c>
      <c r="N946" s="172"/>
    </row>
    <row r="947" spans="1:14">
      <c r="A947" s="170"/>
      <c r="B947" s="171"/>
      <c r="C947" s="171"/>
      <c r="D947" s="171"/>
      <c r="E947" s="170"/>
      <c r="F947" s="170"/>
      <c r="G947" s="170"/>
      <c r="H947" s="170"/>
      <c r="I947" s="170"/>
      <c r="J947" s="170"/>
      <c r="K947" s="170"/>
      <c r="N947" s="173"/>
    </row>
    <row r="948" spans="1:14">
      <c r="A948" s="170"/>
      <c r="B948" s="171">
        <v>-1.8375474863113905</v>
      </c>
      <c r="C948" s="171">
        <v>-2.1167426559988707</v>
      </c>
      <c r="D948" s="171">
        <v>-1.2367606559382516E-2</v>
      </c>
      <c r="E948" s="170">
        <v>-1.4990492230334603E-2</v>
      </c>
      <c r="F948" s="170">
        <v>0</v>
      </c>
      <c r="G948" s="170">
        <v>0</v>
      </c>
      <c r="H948" s="170">
        <v>0</v>
      </c>
      <c r="I948" s="170">
        <v>0</v>
      </c>
      <c r="J948" s="170">
        <v>0</v>
      </c>
      <c r="K948" s="170">
        <v>0</v>
      </c>
      <c r="L948">
        <v>3.9286665969332351</v>
      </c>
      <c r="N948" s="172"/>
    </row>
    <row r="949" spans="1:14">
      <c r="A949" s="170" t="s">
        <v>448</v>
      </c>
      <c r="B949" s="171">
        <v>-1.6188303733889171</v>
      </c>
      <c r="C949" s="171">
        <v>1.9594494251009342E-2</v>
      </c>
      <c r="D949" s="171">
        <v>7.7422792294721043E-2</v>
      </c>
      <c r="E949" s="170">
        <v>0</v>
      </c>
      <c r="F949" s="170">
        <v>-1.4990492230334603E-2</v>
      </c>
      <c r="G949" s="170">
        <v>0</v>
      </c>
      <c r="H949" s="170">
        <v>0</v>
      </c>
      <c r="I949" s="170">
        <v>0</v>
      </c>
      <c r="J949" s="170">
        <v>0</v>
      </c>
      <c r="K949" s="170">
        <v>0</v>
      </c>
      <c r="L949">
        <v>1.3134950053890826</v>
      </c>
      <c r="N949" s="172">
        <f>MCond(B948:D950)</f>
        <v>4.8511161019732283</v>
      </c>
    </row>
    <row r="950" spans="1:14">
      <c r="A950" s="170"/>
      <c r="B950" s="171">
        <v>-0.60912970227287866</v>
      </c>
      <c r="C950" s="171">
        <v>0.28261535739067112</v>
      </c>
      <c r="D950" s="171">
        <v>-0.68802996689194662</v>
      </c>
      <c r="E950" s="170">
        <v>0</v>
      </c>
      <c r="F950" s="170">
        <v>0</v>
      </c>
      <c r="G950" s="170">
        <v>-1.4990492230334603E-2</v>
      </c>
      <c r="H950" s="170">
        <v>0</v>
      </c>
      <c r="I950" s="170">
        <v>0</v>
      </c>
      <c r="J950" s="170">
        <v>0</v>
      </c>
      <c r="K950" s="170">
        <v>0</v>
      </c>
      <c r="L950">
        <v>0.46214783488271782</v>
      </c>
      <c r="N950" s="172"/>
    </row>
    <row r="951" spans="1:14">
      <c r="A951" s="170"/>
      <c r="B951" s="171"/>
      <c r="C951" s="171"/>
      <c r="D951" s="171"/>
      <c r="E951" s="170"/>
      <c r="F951" s="170"/>
      <c r="G951" s="170"/>
      <c r="H951" s="170"/>
      <c r="I951" s="170"/>
      <c r="J951" s="170"/>
      <c r="K951" s="170"/>
      <c r="N951" s="173"/>
    </row>
    <row r="952" spans="1:14">
      <c r="A952" s="170"/>
      <c r="B952" s="171">
        <v>0.45824053226673911</v>
      </c>
      <c r="C952" s="171">
        <v>-2.124969022302313</v>
      </c>
      <c r="D952" s="171">
        <v>2.076961144994538E-2</v>
      </c>
      <c r="E952" s="170">
        <v>-1.4990492230334603E-2</v>
      </c>
      <c r="F952" s="170">
        <v>0</v>
      </c>
      <c r="G952" s="170">
        <v>0</v>
      </c>
      <c r="H952" s="170">
        <v>0</v>
      </c>
      <c r="I952" s="170">
        <v>0</v>
      </c>
      <c r="J952" s="170">
        <v>0</v>
      </c>
      <c r="K952" s="170">
        <v>0</v>
      </c>
      <c r="L952">
        <v>2.3629545539581671</v>
      </c>
      <c r="N952" s="172"/>
    </row>
    <row r="953" spans="1:14">
      <c r="A953" s="170" t="s">
        <v>449</v>
      </c>
      <c r="B953" s="171">
        <v>-1.9865190328797109</v>
      </c>
      <c r="C953" s="171">
        <v>-1.2694850305255347</v>
      </c>
      <c r="D953" s="171">
        <v>-3.2127045366234341E-2</v>
      </c>
      <c r="E953" s="170">
        <v>0</v>
      </c>
      <c r="F953" s="170">
        <v>-1.4990492230334603E-2</v>
      </c>
      <c r="G953" s="170">
        <v>0</v>
      </c>
      <c r="H953" s="170">
        <v>0</v>
      </c>
      <c r="I953" s="170">
        <v>0</v>
      </c>
      <c r="J953" s="170">
        <v>0</v>
      </c>
      <c r="K953" s="170">
        <v>0</v>
      </c>
      <c r="L953">
        <v>2.779441128882862</v>
      </c>
      <c r="N953" s="172">
        <f>MCond(B952:D954)</f>
        <v>223.5443970413034</v>
      </c>
    </row>
    <row r="954" spans="1:14">
      <c r="A954" s="170"/>
      <c r="B954" s="171">
        <v>0.85843073718374274</v>
      </c>
      <c r="C954" s="171">
        <v>-1.040962775001312</v>
      </c>
      <c r="D954" s="171">
        <v>3.7610117674176324E-2</v>
      </c>
      <c r="E954" s="170">
        <v>0</v>
      </c>
      <c r="F954" s="170">
        <v>0</v>
      </c>
      <c r="G954" s="170">
        <v>-1.4990492230334603E-2</v>
      </c>
      <c r="H954" s="170">
        <v>0</v>
      </c>
      <c r="I954" s="170">
        <v>0</v>
      </c>
      <c r="J954" s="170">
        <v>0</v>
      </c>
      <c r="K954" s="170">
        <v>0</v>
      </c>
      <c r="L954">
        <v>0.91096067521586066</v>
      </c>
      <c r="N954" s="172"/>
    </row>
    <row r="955" spans="1:14">
      <c r="A955" s="170"/>
      <c r="B955" s="171"/>
      <c r="C955" s="171"/>
      <c r="D955" s="171"/>
      <c r="E955" s="170"/>
      <c r="F955" s="170"/>
      <c r="G955" s="170"/>
      <c r="H955" s="170"/>
      <c r="I955" s="170"/>
      <c r="J955" s="170"/>
      <c r="K955" s="170"/>
      <c r="N955" s="173"/>
    </row>
    <row r="956" spans="1:14">
      <c r="A956" s="170"/>
      <c r="B956" s="171">
        <v>0.45824053226673911</v>
      </c>
      <c r="C956" s="171">
        <v>-2.124969022302313</v>
      </c>
      <c r="D956" s="171">
        <v>2.076961144994538E-2</v>
      </c>
      <c r="E956" s="170">
        <v>-1.4990492230334603E-2</v>
      </c>
      <c r="F956" s="170">
        <v>0</v>
      </c>
      <c r="G956" s="170">
        <v>0</v>
      </c>
      <c r="H956" s="170">
        <v>0</v>
      </c>
      <c r="I956" s="170">
        <v>0</v>
      </c>
      <c r="J956" s="170">
        <v>0</v>
      </c>
      <c r="K956" s="170">
        <v>0</v>
      </c>
      <c r="L956">
        <v>2.3629545539581671</v>
      </c>
      <c r="N956" s="172"/>
    </row>
    <row r="957" spans="1:14">
      <c r="A957" s="170" t="s">
        <v>450</v>
      </c>
      <c r="B957" s="171">
        <v>-1.9865190328797109</v>
      </c>
      <c r="C957" s="171">
        <v>-1.2694850305255347</v>
      </c>
      <c r="D957" s="171">
        <v>-3.2127045366234341E-2</v>
      </c>
      <c r="E957" s="170">
        <v>0</v>
      </c>
      <c r="F957" s="170">
        <v>-1.4990492230334603E-2</v>
      </c>
      <c r="G957" s="170">
        <v>0</v>
      </c>
      <c r="H957" s="170">
        <v>0</v>
      </c>
      <c r="I957" s="170">
        <v>0</v>
      </c>
      <c r="J957" s="170">
        <v>0</v>
      </c>
      <c r="K957" s="170">
        <v>0</v>
      </c>
      <c r="L957">
        <v>2.779441128882862</v>
      </c>
      <c r="N957" s="172">
        <f>MCond(B956:D958)</f>
        <v>33.712309903347119</v>
      </c>
    </row>
    <row r="958" spans="1:14">
      <c r="A958" s="170"/>
      <c r="B958" s="171">
        <v>-1.6188303733889171</v>
      </c>
      <c r="C958" s="171">
        <v>1.9594494251009342E-2</v>
      </c>
      <c r="D958" s="171">
        <v>7.7422792294721043E-2</v>
      </c>
      <c r="E958" s="170">
        <v>0</v>
      </c>
      <c r="F958" s="170">
        <v>0</v>
      </c>
      <c r="G958" s="170">
        <v>-1.4990492230334603E-2</v>
      </c>
      <c r="H958" s="170">
        <v>0</v>
      </c>
      <c r="I958" s="170">
        <v>0</v>
      </c>
      <c r="J958" s="170">
        <v>0</v>
      </c>
      <c r="K958" s="170">
        <v>0</v>
      </c>
      <c r="L958">
        <v>1.3134950053890826</v>
      </c>
      <c r="N958" s="172"/>
    </row>
    <row r="959" spans="1:14">
      <c r="A959" s="170"/>
      <c r="B959" s="171"/>
      <c r="C959" s="171"/>
      <c r="D959" s="171"/>
      <c r="E959" s="170"/>
      <c r="F959" s="170"/>
      <c r="G959" s="170"/>
      <c r="H959" s="170"/>
      <c r="I959" s="170"/>
      <c r="J959" s="170"/>
      <c r="K959" s="170"/>
      <c r="N959" s="173"/>
    </row>
    <row r="960" spans="1:14">
      <c r="A960" s="170"/>
      <c r="B960" s="171">
        <v>0.45824053226673911</v>
      </c>
      <c r="C960" s="171">
        <v>-2.124969022302313</v>
      </c>
      <c r="D960" s="171">
        <v>2.076961144994538E-2</v>
      </c>
      <c r="E960" s="170">
        <v>-1.4990492230334603E-2</v>
      </c>
      <c r="F960" s="170">
        <v>0</v>
      </c>
      <c r="G960" s="170">
        <v>0</v>
      </c>
      <c r="H960" s="170">
        <v>0</v>
      </c>
      <c r="I960" s="170">
        <v>0</v>
      </c>
      <c r="J960" s="170">
        <v>0</v>
      </c>
      <c r="K960" s="170">
        <v>0</v>
      </c>
      <c r="L960">
        <v>2.3629545539581671</v>
      </c>
      <c r="N960" s="172"/>
    </row>
    <row r="961" spans="1:14">
      <c r="A961" s="170" t="s">
        <v>451</v>
      </c>
      <c r="B961" s="171">
        <v>-1.9865190328797109</v>
      </c>
      <c r="C961" s="171">
        <v>-1.2694850305255347</v>
      </c>
      <c r="D961" s="171">
        <v>-3.2127045366234341E-2</v>
      </c>
      <c r="E961" s="170">
        <v>0</v>
      </c>
      <c r="F961" s="170">
        <v>-1.4990492230334603E-2</v>
      </c>
      <c r="G961" s="170">
        <v>0</v>
      </c>
      <c r="H961" s="170">
        <v>0</v>
      </c>
      <c r="I961" s="170">
        <v>0</v>
      </c>
      <c r="J961" s="170">
        <v>0</v>
      </c>
      <c r="K961" s="170">
        <v>0</v>
      </c>
      <c r="L961">
        <v>2.779441128882862</v>
      </c>
      <c r="N961" s="172">
        <f>MCond(B960:D962)</f>
        <v>4.2207727224315219</v>
      </c>
    </row>
    <row r="962" spans="1:14">
      <c r="A962" s="170"/>
      <c r="B962" s="171">
        <v>-0.60912970227287866</v>
      </c>
      <c r="C962" s="171">
        <v>0.28261535739067112</v>
      </c>
      <c r="D962" s="171">
        <v>-0.68802996689194662</v>
      </c>
      <c r="E962" s="170">
        <v>0</v>
      </c>
      <c r="F962" s="170">
        <v>0</v>
      </c>
      <c r="G962" s="170">
        <v>-1.4990492230334603E-2</v>
      </c>
      <c r="H962" s="170">
        <v>0</v>
      </c>
      <c r="I962" s="170">
        <v>0</v>
      </c>
      <c r="J962" s="170">
        <v>0</v>
      </c>
      <c r="K962" s="170">
        <v>0</v>
      </c>
      <c r="L962">
        <v>0.46214783488271782</v>
      </c>
      <c r="N962" s="172"/>
    </row>
    <row r="963" spans="1:14">
      <c r="A963" s="170"/>
      <c r="B963" s="171"/>
      <c r="C963" s="171"/>
      <c r="D963" s="171"/>
      <c r="E963" s="170"/>
      <c r="F963" s="170"/>
      <c r="G963" s="170"/>
      <c r="H963" s="170"/>
      <c r="I963" s="170"/>
      <c r="J963" s="170"/>
      <c r="K963" s="170"/>
      <c r="N963" s="173"/>
    </row>
    <row r="964" spans="1:14">
      <c r="A964" s="170"/>
      <c r="B964" s="171">
        <v>0.45824053226673911</v>
      </c>
      <c r="C964" s="171">
        <v>-2.124969022302313</v>
      </c>
      <c r="D964" s="171">
        <v>2.076961144994538E-2</v>
      </c>
      <c r="E964" s="170">
        <v>-1.4990492230334603E-2</v>
      </c>
      <c r="F964" s="170">
        <v>0</v>
      </c>
      <c r="G964" s="170">
        <v>0</v>
      </c>
      <c r="H964" s="170">
        <v>0</v>
      </c>
      <c r="I964" s="170">
        <v>0</v>
      </c>
      <c r="J964" s="170">
        <v>0</v>
      </c>
      <c r="K964" s="170">
        <v>0</v>
      </c>
      <c r="L964">
        <v>2.3629545539581671</v>
      </c>
      <c r="N964" s="172"/>
    </row>
    <row r="965" spans="1:14">
      <c r="A965" s="170" t="s">
        <v>452</v>
      </c>
      <c r="B965" s="171">
        <v>0.85843073718374274</v>
      </c>
      <c r="C965" s="171">
        <v>-1.040962775001312</v>
      </c>
      <c r="D965" s="171">
        <v>3.7610117674176324E-2</v>
      </c>
      <c r="E965" s="170">
        <v>0</v>
      </c>
      <c r="F965" s="170">
        <v>-1.4990492230334603E-2</v>
      </c>
      <c r="G965" s="170">
        <v>0</v>
      </c>
      <c r="H965" s="170">
        <v>0</v>
      </c>
      <c r="I965" s="170">
        <v>0</v>
      </c>
      <c r="J965" s="170">
        <v>0</v>
      </c>
      <c r="K965" s="170">
        <v>0</v>
      </c>
      <c r="L965">
        <v>0.91096067521586066</v>
      </c>
      <c r="N965" s="172">
        <f>MCond(B964:D966)</f>
        <v>52.914300823005625</v>
      </c>
    </row>
    <row r="966" spans="1:14">
      <c r="A966" s="170"/>
      <c r="B966" s="171">
        <v>-1.6188303733889171</v>
      </c>
      <c r="C966" s="171">
        <v>1.9594494251009342E-2</v>
      </c>
      <c r="D966" s="171">
        <v>7.7422792294721043E-2</v>
      </c>
      <c r="E966" s="170">
        <v>0</v>
      </c>
      <c r="F966" s="170">
        <v>0</v>
      </c>
      <c r="G966" s="170">
        <v>-1.4990492230334603E-2</v>
      </c>
      <c r="H966" s="170">
        <v>0</v>
      </c>
      <c r="I966" s="170">
        <v>0</v>
      </c>
      <c r="J966" s="170">
        <v>0</v>
      </c>
      <c r="K966" s="170">
        <v>0</v>
      </c>
      <c r="L966">
        <v>1.3134950053890826</v>
      </c>
      <c r="N966" s="172"/>
    </row>
    <row r="967" spans="1:14">
      <c r="A967" s="170"/>
      <c r="B967" s="171"/>
      <c r="C967" s="171"/>
      <c r="D967" s="171"/>
      <c r="E967" s="170"/>
      <c r="F967" s="170"/>
      <c r="G967" s="170"/>
      <c r="H967" s="170"/>
      <c r="I967" s="170"/>
      <c r="J967" s="170"/>
      <c r="K967" s="170"/>
      <c r="N967" s="173"/>
    </row>
    <row r="968" spans="1:14">
      <c r="A968" s="170"/>
      <c r="B968" s="171">
        <v>0.45824053226673911</v>
      </c>
      <c r="C968" s="171">
        <v>-2.124969022302313</v>
      </c>
      <c r="D968" s="171">
        <v>2.076961144994538E-2</v>
      </c>
      <c r="E968" s="170">
        <v>-1.4990492230334603E-2</v>
      </c>
      <c r="F968" s="170">
        <v>0</v>
      </c>
      <c r="G968" s="170">
        <v>0</v>
      </c>
      <c r="H968" s="170">
        <v>0</v>
      </c>
      <c r="I968" s="170">
        <v>0</v>
      </c>
      <c r="J968" s="170">
        <v>0</v>
      </c>
      <c r="K968" s="170">
        <v>0</v>
      </c>
      <c r="L968">
        <v>2.3629545539581671</v>
      </c>
      <c r="N968" s="172"/>
    </row>
    <row r="969" spans="1:14">
      <c r="A969" s="170" t="s">
        <v>453</v>
      </c>
      <c r="B969" s="171">
        <v>0.85843073718374274</v>
      </c>
      <c r="C969" s="171">
        <v>-1.040962775001312</v>
      </c>
      <c r="D969" s="171">
        <v>3.7610117674176324E-2</v>
      </c>
      <c r="E969" s="170">
        <v>0</v>
      </c>
      <c r="F969" s="170">
        <v>-1.4990492230334603E-2</v>
      </c>
      <c r="G969" s="170">
        <v>0</v>
      </c>
      <c r="H969" s="170">
        <v>0</v>
      </c>
      <c r="I969" s="170">
        <v>0</v>
      </c>
      <c r="J969" s="170">
        <v>0</v>
      </c>
      <c r="K969" s="170">
        <v>0</v>
      </c>
      <c r="L969">
        <v>0.91096067521586066</v>
      </c>
      <c r="N969" s="172">
        <f>MCond(B968:D970)</f>
        <v>6.5646293729706269</v>
      </c>
    </row>
    <row r="970" spans="1:14">
      <c r="A970" s="170"/>
      <c r="B970" s="171">
        <v>-0.60912970227287866</v>
      </c>
      <c r="C970" s="171">
        <v>0.28261535739067112</v>
      </c>
      <c r="D970" s="171">
        <v>-0.68802996689194662</v>
      </c>
      <c r="E970" s="170">
        <v>0</v>
      </c>
      <c r="F970" s="170">
        <v>0</v>
      </c>
      <c r="G970" s="170">
        <v>-1.4990492230334603E-2</v>
      </c>
      <c r="H970" s="170">
        <v>0</v>
      </c>
      <c r="I970" s="170">
        <v>0</v>
      </c>
      <c r="J970" s="170">
        <v>0</v>
      </c>
      <c r="K970" s="170">
        <v>0</v>
      </c>
      <c r="L970">
        <v>0.46214783488271782</v>
      </c>
      <c r="N970" s="172"/>
    </row>
    <row r="971" spans="1:14">
      <c r="A971" s="170"/>
      <c r="B971" s="171"/>
      <c r="C971" s="171"/>
      <c r="D971" s="171"/>
      <c r="E971" s="170"/>
      <c r="F971" s="170"/>
      <c r="G971" s="170"/>
      <c r="H971" s="170"/>
      <c r="I971" s="170"/>
      <c r="J971" s="170"/>
      <c r="K971" s="170"/>
      <c r="N971" s="173"/>
    </row>
    <row r="972" spans="1:14">
      <c r="A972" s="170"/>
      <c r="B972" s="171">
        <v>0.45824053226673911</v>
      </c>
      <c r="C972" s="171">
        <v>-2.124969022302313</v>
      </c>
      <c r="D972" s="171">
        <v>2.076961144994538E-2</v>
      </c>
      <c r="E972" s="170">
        <v>-1.4990492230334603E-2</v>
      </c>
      <c r="F972" s="170">
        <v>0</v>
      </c>
      <c r="G972" s="170">
        <v>0</v>
      </c>
      <c r="H972" s="170">
        <v>0</v>
      </c>
      <c r="I972" s="170">
        <v>0</v>
      </c>
      <c r="J972" s="170">
        <v>0</v>
      </c>
      <c r="K972" s="170">
        <v>0</v>
      </c>
      <c r="L972">
        <v>2.3629545539581671</v>
      </c>
      <c r="N972" s="172"/>
    </row>
    <row r="973" spans="1:14">
      <c r="A973" s="170" t="s">
        <v>454</v>
      </c>
      <c r="B973" s="171">
        <v>-1.6188303733889171</v>
      </c>
      <c r="C973" s="171">
        <v>1.9594494251009342E-2</v>
      </c>
      <c r="D973" s="171">
        <v>7.7422792294721043E-2</v>
      </c>
      <c r="E973" s="170">
        <v>0</v>
      </c>
      <c r="F973" s="170">
        <v>-1.4990492230334603E-2</v>
      </c>
      <c r="G973" s="170">
        <v>0</v>
      </c>
      <c r="H973" s="170">
        <v>0</v>
      </c>
      <c r="I973" s="170">
        <v>0</v>
      </c>
      <c r="J973" s="170">
        <v>0</v>
      </c>
      <c r="K973" s="170">
        <v>0</v>
      </c>
      <c r="L973">
        <v>1.3134950053890826</v>
      </c>
      <c r="N973" s="172">
        <f>MCond(B972:D974)</f>
        <v>3.455632551064447</v>
      </c>
    </row>
    <row r="974" spans="1:14">
      <c r="A974" s="170"/>
      <c r="B974" s="171">
        <v>-0.60912970227287866</v>
      </c>
      <c r="C974" s="171">
        <v>0.28261535739067112</v>
      </c>
      <c r="D974" s="171">
        <v>-0.68802996689194662</v>
      </c>
      <c r="E974" s="170">
        <v>0</v>
      </c>
      <c r="F974" s="170">
        <v>0</v>
      </c>
      <c r="G974" s="170">
        <v>-1.4990492230334603E-2</v>
      </c>
      <c r="H974" s="170">
        <v>0</v>
      </c>
      <c r="I974" s="170">
        <v>0</v>
      </c>
      <c r="J974" s="170">
        <v>0</v>
      </c>
      <c r="K974" s="170">
        <v>0</v>
      </c>
      <c r="L974">
        <v>0.46214783488271782</v>
      </c>
      <c r="N974" s="172"/>
    </row>
    <row r="975" spans="1:14">
      <c r="A975" s="170"/>
      <c r="B975" s="171"/>
      <c r="C975" s="171"/>
      <c r="D975" s="171"/>
      <c r="E975" s="170"/>
      <c r="F975" s="170"/>
      <c r="G975" s="170"/>
      <c r="H975" s="170"/>
      <c r="I975" s="170"/>
      <c r="J975" s="170"/>
      <c r="K975" s="170"/>
      <c r="N975" s="173"/>
    </row>
    <row r="976" spans="1:14">
      <c r="A976" s="170"/>
      <c r="B976" s="171">
        <v>-1.9865190328797109</v>
      </c>
      <c r="C976" s="171">
        <v>-1.2694850305255347</v>
      </c>
      <c r="D976" s="171">
        <v>-3.2127045366234341E-2</v>
      </c>
      <c r="E976" s="170">
        <v>-1.4990492230334603E-2</v>
      </c>
      <c r="F976" s="170">
        <v>0</v>
      </c>
      <c r="G976" s="170">
        <v>0</v>
      </c>
      <c r="H976" s="170">
        <v>0</v>
      </c>
      <c r="I976" s="170">
        <v>0</v>
      </c>
      <c r="J976" s="170">
        <v>0</v>
      </c>
      <c r="K976" s="170">
        <v>0</v>
      </c>
      <c r="L976">
        <v>2.779441128882862</v>
      </c>
      <c r="N976" s="172"/>
    </row>
    <row r="977" spans="1:14">
      <c r="A977" s="170" t="s">
        <v>455</v>
      </c>
      <c r="B977" s="171">
        <v>0.85843073718374274</v>
      </c>
      <c r="C977" s="171">
        <v>-1.040962775001312</v>
      </c>
      <c r="D977" s="171">
        <v>3.7610117674176324E-2</v>
      </c>
      <c r="E977" s="170">
        <v>0</v>
      </c>
      <c r="F977" s="170">
        <v>-1.4990492230334603E-2</v>
      </c>
      <c r="G977" s="170">
        <v>0</v>
      </c>
      <c r="H977" s="170">
        <v>0</v>
      </c>
      <c r="I977" s="170">
        <v>0</v>
      </c>
      <c r="J977" s="170">
        <v>0</v>
      </c>
      <c r="K977" s="170">
        <v>0</v>
      </c>
      <c r="L977">
        <v>0.91096067521586066</v>
      </c>
      <c r="N977" s="172">
        <f>MCond(B976:D978)</f>
        <v>30.68925723895747</v>
      </c>
    </row>
    <row r="978" spans="1:14">
      <c r="A978" s="170"/>
      <c r="B978" s="171">
        <v>-1.6188303733889171</v>
      </c>
      <c r="C978" s="171">
        <v>1.9594494251009342E-2</v>
      </c>
      <c r="D978" s="171">
        <v>7.7422792294721043E-2</v>
      </c>
      <c r="E978" s="170">
        <v>0</v>
      </c>
      <c r="F978" s="170">
        <v>0</v>
      </c>
      <c r="G978" s="170">
        <v>-1.4990492230334603E-2</v>
      </c>
      <c r="H978" s="170">
        <v>0</v>
      </c>
      <c r="I978" s="170">
        <v>0</v>
      </c>
      <c r="J978" s="170">
        <v>0</v>
      </c>
      <c r="K978" s="170">
        <v>0</v>
      </c>
      <c r="L978">
        <v>1.3134950053890826</v>
      </c>
      <c r="N978" s="172"/>
    </row>
    <row r="979" spans="1:14">
      <c r="A979" s="170"/>
      <c r="B979" s="171"/>
      <c r="C979" s="171"/>
      <c r="D979" s="171"/>
      <c r="E979" s="170"/>
      <c r="F979" s="170"/>
      <c r="G979" s="170"/>
      <c r="H979" s="170"/>
      <c r="I979" s="170"/>
      <c r="J979" s="170"/>
      <c r="K979" s="170"/>
      <c r="N979" s="173"/>
    </row>
    <row r="980" spans="1:14">
      <c r="A980" s="170"/>
      <c r="B980" s="171">
        <v>-1.9865190328797109</v>
      </c>
      <c r="C980" s="171">
        <v>-1.2694850305255347</v>
      </c>
      <c r="D980" s="171">
        <v>-3.2127045366234341E-2</v>
      </c>
      <c r="E980" s="170">
        <v>-1.4990492230334603E-2</v>
      </c>
      <c r="F980" s="170">
        <v>0</v>
      </c>
      <c r="G980" s="170">
        <v>0</v>
      </c>
      <c r="H980" s="170">
        <v>0</v>
      </c>
      <c r="I980" s="170">
        <v>0</v>
      </c>
      <c r="J980" s="170">
        <v>0</v>
      </c>
      <c r="K980" s="170">
        <v>0</v>
      </c>
      <c r="L980">
        <v>2.779441128882862</v>
      </c>
      <c r="N980" s="172"/>
    </row>
    <row r="981" spans="1:14">
      <c r="A981" s="170" t="s">
        <v>456</v>
      </c>
      <c r="B981" s="171">
        <v>0.85843073718374274</v>
      </c>
      <c r="C981" s="171">
        <v>-1.040962775001312</v>
      </c>
      <c r="D981" s="171">
        <v>3.7610117674176324E-2</v>
      </c>
      <c r="E981" s="170">
        <v>0</v>
      </c>
      <c r="F981" s="170">
        <v>-1.4990492230334603E-2</v>
      </c>
      <c r="G981" s="170">
        <v>0</v>
      </c>
      <c r="H981" s="170">
        <v>0</v>
      </c>
      <c r="I981" s="170">
        <v>0</v>
      </c>
      <c r="J981" s="170">
        <v>0</v>
      </c>
      <c r="K981" s="170">
        <v>0</v>
      </c>
      <c r="L981">
        <v>0.91096067521586066</v>
      </c>
      <c r="N981" s="172">
        <f>MCond(B980:D982)</f>
        <v>4.0321439196075497</v>
      </c>
    </row>
    <row r="982" spans="1:14">
      <c r="A982" s="170"/>
      <c r="B982" s="171">
        <v>-0.60912970227287866</v>
      </c>
      <c r="C982" s="171">
        <v>0.28261535739067112</v>
      </c>
      <c r="D982" s="171">
        <v>-0.68802996689194662</v>
      </c>
      <c r="E982" s="170">
        <v>0</v>
      </c>
      <c r="F982" s="170">
        <v>0</v>
      </c>
      <c r="G982" s="170">
        <v>-1.4990492230334603E-2</v>
      </c>
      <c r="H982" s="170">
        <v>0</v>
      </c>
      <c r="I982" s="170">
        <v>0</v>
      </c>
      <c r="J982" s="170">
        <v>0</v>
      </c>
      <c r="K982" s="170">
        <v>0</v>
      </c>
      <c r="L982">
        <v>0.46214783488271782</v>
      </c>
      <c r="N982" s="172"/>
    </row>
    <row r="983" spans="1:14">
      <c r="A983" s="170"/>
      <c r="B983" s="171"/>
      <c r="C983" s="171"/>
      <c r="D983" s="171"/>
      <c r="E983" s="170"/>
      <c r="F983" s="170"/>
      <c r="G983" s="170"/>
      <c r="H983" s="170"/>
      <c r="I983" s="170"/>
      <c r="J983" s="170"/>
      <c r="K983" s="170"/>
      <c r="N983" s="173"/>
    </row>
    <row r="984" spans="1:14">
      <c r="A984" s="170"/>
      <c r="B984" s="171">
        <v>-1.9865190328797109</v>
      </c>
      <c r="C984" s="171">
        <v>-1.2694850305255347</v>
      </c>
      <c r="D984" s="171">
        <v>-3.2127045366234341E-2</v>
      </c>
      <c r="E984" s="170">
        <v>-1.4990492230334603E-2</v>
      </c>
      <c r="F984" s="170">
        <v>0</v>
      </c>
      <c r="G984" s="170">
        <v>0</v>
      </c>
      <c r="H984" s="170">
        <v>0</v>
      </c>
      <c r="I984" s="170">
        <v>0</v>
      </c>
      <c r="J984" s="170">
        <v>0</v>
      </c>
      <c r="K984" s="170">
        <v>0</v>
      </c>
      <c r="L984">
        <v>2.779441128882862</v>
      </c>
      <c r="N984" s="172"/>
    </row>
    <row r="985" spans="1:14">
      <c r="A985" s="170" t="s">
        <v>457</v>
      </c>
      <c r="B985" s="171">
        <v>-1.6188303733889171</v>
      </c>
      <c r="C985" s="171">
        <v>1.9594494251009342E-2</v>
      </c>
      <c r="D985" s="171">
        <v>7.7422792294721043E-2</v>
      </c>
      <c r="E985" s="170">
        <v>0</v>
      </c>
      <c r="F985" s="170">
        <v>-1.4990492230334603E-2</v>
      </c>
      <c r="G985" s="170">
        <v>0</v>
      </c>
      <c r="H985" s="170">
        <v>0</v>
      </c>
      <c r="I985" s="170">
        <v>0</v>
      </c>
      <c r="J985" s="170">
        <v>0</v>
      </c>
      <c r="K985" s="170">
        <v>0</v>
      </c>
      <c r="L985">
        <v>1.3134950053890826</v>
      </c>
      <c r="N985" s="172">
        <f>MCond(B984:D986)</f>
        <v>4.9236532994760909</v>
      </c>
    </row>
    <row r="986" spans="1:14">
      <c r="A986" s="170"/>
      <c r="B986" s="171">
        <v>-0.60912970227287866</v>
      </c>
      <c r="C986" s="171">
        <v>0.28261535739067112</v>
      </c>
      <c r="D986" s="171">
        <v>-0.68802996689194662</v>
      </c>
      <c r="E986" s="170">
        <v>0</v>
      </c>
      <c r="F986" s="170">
        <v>0</v>
      </c>
      <c r="G986" s="170">
        <v>-1.4990492230334603E-2</v>
      </c>
      <c r="H986" s="170">
        <v>0</v>
      </c>
      <c r="I986" s="170">
        <v>0</v>
      </c>
      <c r="J986" s="170">
        <v>0</v>
      </c>
      <c r="K986" s="170">
        <v>0</v>
      </c>
      <c r="L986">
        <v>0.46214783488271782</v>
      </c>
      <c r="N986" s="172"/>
    </row>
    <row r="987" spans="1:14">
      <c r="A987" s="170"/>
      <c r="B987" s="171"/>
      <c r="C987" s="171"/>
      <c r="D987" s="171"/>
      <c r="E987" s="170"/>
      <c r="F987" s="170"/>
      <c r="G987" s="170"/>
      <c r="H987" s="170"/>
      <c r="I987" s="170"/>
      <c r="J987" s="170"/>
      <c r="K987" s="170"/>
      <c r="N987" s="173"/>
    </row>
    <row r="988" spans="1:14">
      <c r="A988" s="170"/>
      <c r="B988" s="171">
        <v>0.85843073718374274</v>
      </c>
      <c r="C988" s="171">
        <v>-1.040962775001312</v>
      </c>
      <c r="D988" s="171">
        <v>3.7610117674176324E-2</v>
      </c>
      <c r="E988" s="170">
        <v>-1.4990492230334603E-2</v>
      </c>
      <c r="F988" s="170">
        <v>0</v>
      </c>
      <c r="G988" s="170">
        <v>0</v>
      </c>
      <c r="H988" s="170">
        <v>0</v>
      </c>
      <c r="I988" s="170">
        <v>0</v>
      </c>
      <c r="J988" s="170">
        <v>0</v>
      </c>
      <c r="K988" s="170">
        <v>0</v>
      </c>
      <c r="L988">
        <v>0.91096067521586066</v>
      </c>
      <c r="N988" s="172"/>
    </row>
    <row r="989" spans="1:14">
      <c r="A989" s="170" t="s">
        <v>458</v>
      </c>
      <c r="B989" s="171">
        <v>-1.6188303733889171</v>
      </c>
      <c r="C989" s="171">
        <v>1.9594494251009342E-2</v>
      </c>
      <c r="D989" s="171">
        <v>7.7422792294721043E-2</v>
      </c>
      <c r="E989" s="170">
        <v>0</v>
      </c>
      <c r="F989" s="170">
        <v>-1.4990492230334603E-2</v>
      </c>
      <c r="G989" s="170">
        <v>0</v>
      </c>
      <c r="H989" s="170">
        <v>0</v>
      </c>
      <c r="I989" s="170">
        <v>0</v>
      </c>
      <c r="J989" s="170">
        <v>0</v>
      </c>
      <c r="K989" s="170">
        <v>0</v>
      </c>
      <c r="L989">
        <v>1.3134950053890826</v>
      </c>
      <c r="N989" s="172">
        <f>MCond(B988:D990)</f>
        <v>3.1934764631216082</v>
      </c>
    </row>
    <row r="990" spans="1:14">
      <c r="A990" s="170"/>
      <c r="B990" s="171">
        <v>-0.60912970227287866</v>
      </c>
      <c r="C990" s="171">
        <v>0.28261535739067112</v>
      </c>
      <c r="D990" s="171">
        <v>-0.68802996689194662</v>
      </c>
      <c r="E990" s="170">
        <v>0</v>
      </c>
      <c r="F990" s="170">
        <v>0</v>
      </c>
      <c r="G990" s="170">
        <v>-1.4990492230334603E-2</v>
      </c>
      <c r="H990" s="170">
        <v>0</v>
      </c>
      <c r="I990" s="170">
        <v>0</v>
      </c>
      <c r="J990" s="170">
        <v>0</v>
      </c>
      <c r="K990" s="170">
        <v>0</v>
      </c>
      <c r="L990">
        <v>0.46214783488271782</v>
      </c>
      <c r="N990" s="172"/>
    </row>
    <row r="991" spans="1:14">
      <c r="A991" s="170"/>
      <c r="B991" s="171"/>
      <c r="C991" s="171"/>
      <c r="D991" s="171"/>
      <c r="E991" s="170"/>
      <c r="F991" s="170"/>
      <c r="G991" s="170"/>
      <c r="H991" s="170"/>
      <c r="I991" s="170"/>
      <c r="J991" s="170"/>
      <c r="K991" s="170"/>
      <c r="N991" s="173"/>
    </row>
    <row r="992" spans="1:14">
      <c r="A992" s="170"/>
      <c r="B992" s="171">
        <v>2.5457845528396139E-2</v>
      </c>
      <c r="C992" s="171">
        <v>-2.3667658472617719</v>
      </c>
      <c r="D992" s="171">
        <v>-6.368425350466822E-2</v>
      </c>
      <c r="E992" s="170">
        <v>-1.4990492230334603E-2</v>
      </c>
      <c r="F992" s="170">
        <v>0</v>
      </c>
      <c r="G992" s="170">
        <v>0</v>
      </c>
      <c r="H992" s="170">
        <v>0</v>
      </c>
      <c r="I992" s="170">
        <v>0</v>
      </c>
      <c r="J992" s="170">
        <v>0</v>
      </c>
      <c r="K992" s="170">
        <v>0</v>
      </c>
      <c r="L992">
        <v>2.803142180904064</v>
      </c>
      <c r="N992" s="172"/>
    </row>
    <row r="993" spans="1:14">
      <c r="A993" s="170" t="s">
        <v>459</v>
      </c>
      <c r="B993" s="171">
        <v>-1.2284177840385118</v>
      </c>
      <c r="C993" s="171">
        <v>-2.3993580133895418</v>
      </c>
      <c r="D993" s="171">
        <v>0.6756623603325641</v>
      </c>
      <c r="E993" s="170">
        <v>0</v>
      </c>
      <c r="F993" s="170">
        <v>-1.4990492230334603E-2</v>
      </c>
      <c r="G993" s="170">
        <v>0</v>
      </c>
      <c r="H993" s="170">
        <v>0</v>
      </c>
      <c r="I993" s="170">
        <v>0</v>
      </c>
      <c r="J993" s="170">
        <v>0</v>
      </c>
      <c r="K993" s="170">
        <v>0</v>
      </c>
      <c r="L993">
        <v>3.8612243768644339</v>
      </c>
      <c r="N993" s="172">
        <f>MCond(B992:D994)</f>
        <v>7.0062729721822521</v>
      </c>
    </row>
    <row r="994" spans="1:14">
      <c r="A994" s="170"/>
      <c r="B994" s="171">
        <v>1.0673702345396179</v>
      </c>
      <c r="C994" s="171">
        <v>-2.4075843796929846</v>
      </c>
      <c r="D994" s="171">
        <v>0.708799578341892</v>
      </c>
      <c r="E994" s="170">
        <v>0</v>
      </c>
      <c r="F994" s="170">
        <v>0</v>
      </c>
      <c r="G994" s="170">
        <v>-1.4990492230334603E-2</v>
      </c>
      <c r="H994" s="170">
        <v>0</v>
      </c>
      <c r="I994" s="170">
        <v>0</v>
      </c>
      <c r="J994" s="170">
        <v>0</v>
      </c>
      <c r="K994" s="170">
        <v>0</v>
      </c>
      <c r="L994">
        <v>3.7190693025902282</v>
      </c>
      <c r="N994" s="172"/>
    </row>
    <row r="995" spans="1:14">
      <c r="A995" s="170"/>
      <c r="B995" s="171"/>
      <c r="C995" s="171"/>
      <c r="D995" s="171"/>
      <c r="E995" s="170"/>
      <c r="F995" s="170"/>
      <c r="G995" s="170"/>
      <c r="H995" s="170"/>
      <c r="I995" s="170"/>
      <c r="J995" s="170"/>
      <c r="K995" s="170"/>
      <c r="N995" s="173"/>
    </row>
    <row r="996" spans="1:14">
      <c r="A996" s="170"/>
      <c r="B996" s="171">
        <v>2.5457845528396139E-2</v>
      </c>
      <c r="C996" s="171">
        <v>-2.3667658472617719</v>
      </c>
      <c r="D996" s="171">
        <v>-6.368425350466822E-2</v>
      </c>
      <c r="E996" s="170">
        <v>-1.4990492230334603E-2</v>
      </c>
      <c r="F996" s="170">
        <v>0</v>
      </c>
      <c r="G996" s="170">
        <v>0</v>
      </c>
      <c r="H996" s="170">
        <v>0</v>
      </c>
      <c r="I996" s="170">
        <v>0</v>
      </c>
      <c r="J996" s="170">
        <v>0</v>
      </c>
      <c r="K996" s="170">
        <v>0</v>
      </c>
      <c r="L996">
        <v>2.803142180904064</v>
      </c>
      <c r="N996" s="172"/>
    </row>
    <row r="997" spans="1:14">
      <c r="A997" s="170" t="s">
        <v>460</v>
      </c>
      <c r="B997" s="171">
        <v>-1.2284177840385118</v>
      </c>
      <c r="C997" s="171">
        <v>-2.3993580133895418</v>
      </c>
      <c r="D997" s="171">
        <v>0.6756623603325641</v>
      </c>
      <c r="E997" s="170">
        <v>0</v>
      </c>
      <c r="F997" s="170">
        <v>-1.4990492230334603E-2</v>
      </c>
      <c r="G997" s="170">
        <v>0</v>
      </c>
      <c r="H997" s="170">
        <v>0</v>
      </c>
      <c r="I997" s="170">
        <v>0</v>
      </c>
      <c r="J997" s="170">
        <v>0</v>
      </c>
      <c r="K997" s="170">
        <v>0</v>
      </c>
      <c r="L997">
        <v>3.8612243768644339</v>
      </c>
      <c r="N997" s="172">
        <f>MCond(B996:D998)</f>
        <v>57.301482607717354</v>
      </c>
    </row>
    <row r="998" spans="1:14">
      <c r="A998" s="170"/>
      <c r="B998" s="171">
        <v>-1.3773893306068323</v>
      </c>
      <c r="C998" s="171">
        <v>-1.5521003879162059</v>
      </c>
      <c r="D998" s="171">
        <v>0.65590292152571228</v>
      </c>
      <c r="E998" s="170">
        <v>0</v>
      </c>
      <c r="F998" s="170">
        <v>0</v>
      </c>
      <c r="G998" s="170">
        <v>-1.4990492230334603E-2</v>
      </c>
      <c r="H998" s="170">
        <v>0</v>
      </c>
      <c r="I998" s="170">
        <v>0</v>
      </c>
      <c r="J998" s="170">
        <v>0</v>
      </c>
      <c r="K998" s="170">
        <v>0</v>
      </c>
      <c r="L998">
        <v>2.3682128123525694</v>
      </c>
      <c r="N998" s="172"/>
    </row>
    <row r="999" spans="1:14">
      <c r="A999" s="170"/>
      <c r="B999" s="171"/>
      <c r="C999" s="171"/>
      <c r="D999" s="171"/>
      <c r="E999" s="170"/>
      <c r="F999" s="170"/>
      <c r="G999" s="170"/>
      <c r="H999" s="170"/>
      <c r="I999" s="170"/>
      <c r="J999" s="170"/>
      <c r="K999" s="170"/>
      <c r="N999" s="173"/>
    </row>
    <row r="1000" spans="1:14">
      <c r="A1000" s="170"/>
      <c r="B1000" s="171">
        <v>2.5457845528396139E-2</v>
      </c>
      <c r="C1000" s="171">
        <v>-2.3667658472617719</v>
      </c>
      <c r="D1000" s="171">
        <v>-6.368425350466822E-2</v>
      </c>
      <c r="E1000" s="170">
        <v>-1.4990492230334603E-2</v>
      </c>
      <c r="F1000" s="170">
        <v>0</v>
      </c>
      <c r="G1000" s="170">
        <v>0</v>
      </c>
      <c r="H1000" s="170">
        <v>0</v>
      </c>
      <c r="I1000" s="170">
        <v>0</v>
      </c>
      <c r="J1000" s="170">
        <v>0</v>
      </c>
      <c r="K1000" s="170">
        <v>0</v>
      </c>
      <c r="L1000">
        <v>2.803142180904064</v>
      </c>
      <c r="N1000" s="172"/>
    </row>
    <row r="1001" spans="1:14">
      <c r="A1001" s="170" t="s">
        <v>461</v>
      </c>
      <c r="B1001" s="171">
        <v>-1.2284177840385118</v>
      </c>
      <c r="C1001" s="171">
        <v>-2.3993580133895418</v>
      </c>
      <c r="D1001" s="171">
        <v>0.6756623603325641</v>
      </c>
      <c r="E1001" s="170">
        <v>0</v>
      </c>
      <c r="F1001" s="170">
        <v>-1.4990492230334603E-2</v>
      </c>
      <c r="G1001" s="170">
        <v>0</v>
      </c>
      <c r="H1001" s="170">
        <v>0</v>
      </c>
      <c r="I1001" s="170">
        <v>0</v>
      </c>
      <c r="J1001" s="170">
        <v>0</v>
      </c>
      <c r="K1001" s="170">
        <v>0</v>
      </c>
      <c r="L1001">
        <v>3.8612243768644339</v>
      </c>
      <c r="N1001" s="172">
        <f>MCond(B1000:D1002)</f>
        <v>5.4207004825352429</v>
      </c>
    </row>
    <row r="1002" spans="1:14">
      <c r="A1002" s="170"/>
      <c r="B1002" s="171">
        <v>1.4675604394566215</v>
      </c>
      <c r="C1002" s="171">
        <v>-1.3235781323919831</v>
      </c>
      <c r="D1002" s="171">
        <v>0.72564008456612294</v>
      </c>
      <c r="E1002" s="170">
        <v>0</v>
      </c>
      <c r="F1002" s="170">
        <v>0</v>
      </c>
      <c r="G1002" s="170">
        <v>-1.4990492230334603E-2</v>
      </c>
      <c r="H1002" s="170">
        <v>0</v>
      </c>
      <c r="I1002" s="170">
        <v>0</v>
      </c>
      <c r="J1002" s="170">
        <v>0</v>
      </c>
      <c r="K1002" s="170">
        <v>0</v>
      </c>
      <c r="L1002">
        <v>2.216073124166746</v>
      </c>
      <c r="N1002" s="172"/>
    </row>
    <row r="1003" spans="1:14">
      <c r="A1003" s="170"/>
      <c r="B1003" s="171"/>
      <c r="C1003" s="171"/>
      <c r="D1003" s="171"/>
      <c r="E1003" s="170"/>
      <c r="F1003" s="170"/>
      <c r="G1003" s="170"/>
      <c r="H1003" s="170"/>
      <c r="I1003" s="170"/>
      <c r="J1003" s="170"/>
      <c r="K1003" s="170"/>
      <c r="N1003" s="173"/>
    </row>
    <row r="1004" spans="1:14">
      <c r="A1004" s="170"/>
      <c r="B1004" s="171">
        <v>2.5457845528396139E-2</v>
      </c>
      <c r="C1004" s="171">
        <v>-2.3667658472617719</v>
      </c>
      <c r="D1004" s="171">
        <v>-6.368425350466822E-2</v>
      </c>
      <c r="E1004" s="170">
        <v>-1.4990492230334603E-2</v>
      </c>
      <c r="F1004" s="170">
        <v>0</v>
      </c>
      <c r="G1004" s="170">
        <v>0</v>
      </c>
      <c r="H1004" s="170">
        <v>0</v>
      </c>
      <c r="I1004" s="170">
        <v>0</v>
      </c>
      <c r="J1004" s="170">
        <v>0</v>
      </c>
      <c r="K1004" s="170">
        <v>0</v>
      </c>
      <c r="L1004">
        <v>2.803142180904064</v>
      </c>
      <c r="N1004" s="172"/>
    </row>
    <row r="1005" spans="1:14">
      <c r="A1005" s="170" t="s">
        <v>462</v>
      </c>
      <c r="B1005" s="171">
        <v>-1.2284177840385118</v>
      </c>
      <c r="C1005" s="171">
        <v>-2.3993580133895418</v>
      </c>
      <c r="D1005" s="171">
        <v>0.6756623603325641</v>
      </c>
      <c r="E1005" s="170">
        <v>0</v>
      </c>
      <c r="F1005" s="170">
        <v>-1.4990492230334603E-2</v>
      </c>
      <c r="G1005" s="170">
        <v>0</v>
      </c>
      <c r="H1005" s="170">
        <v>0</v>
      </c>
      <c r="I1005" s="170">
        <v>0</v>
      </c>
      <c r="J1005" s="170">
        <v>0</v>
      </c>
      <c r="K1005" s="170">
        <v>0</v>
      </c>
      <c r="L1005">
        <v>3.8612243768644339</v>
      </c>
      <c r="N1005" s="172">
        <f>MCond(B1004:D1006)</f>
        <v>36.492219185194912</v>
      </c>
    </row>
    <row r="1006" spans="1:14">
      <c r="A1006" s="170"/>
      <c r="B1006" s="171">
        <v>-1.0097006711160386</v>
      </c>
      <c r="C1006" s="171">
        <v>-0.26302086313966178</v>
      </c>
      <c r="D1006" s="171">
        <v>0.76545275918666766</v>
      </c>
      <c r="E1006" s="170">
        <v>0</v>
      </c>
      <c r="F1006" s="170">
        <v>0</v>
      </c>
      <c r="G1006" s="170">
        <v>-1.4990492230334603E-2</v>
      </c>
      <c r="H1006" s="170">
        <v>0</v>
      </c>
      <c r="I1006" s="170">
        <v>0</v>
      </c>
      <c r="J1006" s="170">
        <v>0</v>
      </c>
      <c r="K1006" s="170">
        <v>0</v>
      </c>
      <c r="L1006">
        <v>0.83729667312269707</v>
      </c>
      <c r="N1006" s="172"/>
    </row>
    <row r="1007" spans="1:14">
      <c r="A1007" s="170"/>
      <c r="B1007" s="171"/>
      <c r="C1007" s="171"/>
      <c r="D1007" s="171"/>
      <c r="E1007" s="170"/>
      <c r="F1007" s="170"/>
      <c r="G1007" s="170"/>
      <c r="H1007" s="170"/>
      <c r="I1007" s="170"/>
      <c r="J1007" s="170"/>
      <c r="K1007" s="170"/>
      <c r="N1007" s="173"/>
    </row>
    <row r="1008" spans="1:14">
      <c r="A1008" s="170"/>
      <c r="B1008" s="171">
        <v>2.5457845528396139E-2</v>
      </c>
      <c r="C1008" s="171">
        <v>-2.3667658472617719</v>
      </c>
      <c r="D1008" s="171">
        <v>-6.368425350466822E-2</v>
      </c>
      <c r="E1008" s="170">
        <v>-1.4990492230334603E-2</v>
      </c>
      <c r="F1008" s="170">
        <v>0</v>
      </c>
      <c r="G1008" s="170">
        <v>0</v>
      </c>
      <c r="H1008" s="170">
        <v>0</v>
      </c>
      <c r="I1008" s="170">
        <v>0</v>
      </c>
      <c r="J1008" s="170">
        <v>0</v>
      </c>
      <c r="K1008" s="170">
        <v>0</v>
      </c>
      <c r="L1008">
        <v>2.803142180904064</v>
      </c>
      <c r="N1008" s="172"/>
    </row>
    <row r="1009" spans="1:14">
      <c r="A1009" s="170" t="s">
        <v>463</v>
      </c>
      <c r="B1009" s="171">
        <v>-1.2284177840385118</v>
      </c>
      <c r="C1009" s="171">
        <v>-2.3993580133895418</v>
      </c>
      <c r="D1009" s="171">
        <v>0.6756623603325641</v>
      </c>
      <c r="E1009" s="170">
        <v>0</v>
      </c>
      <c r="F1009" s="170">
        <v>-1.4990492230334603E-2</v>
      </c>
      <c r="G1009" s="170">
        <v>0</v>
      </c>
      <c r="H1009" s="170">
        <v>0</v>
      </c>
      <c r="I1009" s="170">
        <v>0</v>
      </c>
      <c r="J1009" s="170">
        <v>0</v>
      </c>
      <c r="K1009" s="170">
        <v>0</v>
      </c>
      <c r="L1009">
        <v>3.8612243768644339</v>
      </c>
      <c r="N1009" s="172">
        <f>MCond(B1008:D1010)</f>
        <v>4.2840265157871062</v>
      </c>
    </row>
    <row r="1010" spans="1:14">
      <c r="A1010" s="170"/>
      <c r="B1010" s="171">
        <v>0.60912970227287866</v>
      </c>
      <c r="C1010" s="171">
        <v>-0.28261535739067112</v>
      </c>
      <c r="D1010" s="171">
        <v>0.68802996689194662</v>
      </c>
      <c r="E1010" s="170">
        <v>0</v>
      </c>
      <c r="F1010" s="170">
        <v>0</v>
      </c>
      <c r="G1010" s="170">
        <v>-1.4990492230334603E-2</v>
      </c>
      <c r="H1010" s="170">
        <v>0</v>
      </c>
      <c r="I1010" s="170">
        <v>0</v>
      </c>
      <c r="J1010" s="170">
        <v>0</v>
      </c>
      <c r="K1010" s="170">
        <v>0</v>
      </c>
      <c r="L1010">
        <v>0.46214783488271782</v>
      </c>
      <c r="N1010" s="172"/>
    </row>
    <row r="1011" spans="1:14">
      <c r="A1011" s="170"/>
      <c r="B1011" s="171"/>
      <c r="C1011" s="171"/>
      <c r="D1011" s="171"/>
      <c r="E1011" s="170"/>
      <c r="F1011" s="170"/>
      <c r="G1011" s="170"/>
      <c r="H1011" s="170"/>
      <c r="I1011" s="170"/>
      <c r="J1011" s="170"/>
      <c r="K1011" s="170"/>
      <c r="N1011" s="173"/>
    </row>
    <row r="1012" spans="1:14">
      <c r="A1012" s="170"/>
      <c r="B1012" s="171">
        <v>2.5457845528396139E-2</v>
      </c>
      <c r="C1012" s="171">
        <v>-2.3667658472617719</v>
      </c>
      <c r="D1012" s="171">
        <v>-6.368425350466822E-2</v>
      </c>
      <c r="E1012" s="170">
        <v>-1.4990492230334603E-2</v>
      </c>
      <c r="F1012" s="170">
        <v>0</v>
      </c>
      <c r="G1012" s="170">
        <v>0</v>
      </c>
      <c r="H1012" s="170">
        <v>8.9700844372930258E-2</v>
      </c>
      <c r="I1012" s="170">
        <v>-0.14525704733164976</v>
      </c>
      <c r="J1012" s="170">
        <v>0</v>
      </c>
      <c r="K1012" s="170">
        <v>0</v>
      </c>
      <c r="L1012">
        <v>2.803142180904064</v>
      </c>
      <c r="N1012" s="172"/>
    </row>
    <row r="1013" spans="1:14">
      <c r="A1013" s="170" t="s">
        <v>464</v>
      </c>
      <c r="B1013" s="171">
        <v>1.0673702345396179</v>
      </c>
      <c r="C1013" s="171">
        <v>-2.4075843796929846</v>
      </c>
      <c r="D1013" s="171">
        <v>0.708799578341892</v>
      </c>
      <c r="E1013" s="170">
        <v>0</v>
      </c>
      <c r="F1013" s="170">
        <v>-1.4990492230334603E-2</v>
      </c>
      <c r="G1013" s="170">
        <v>0</v>
      </c>
      <c r="H1013" s="170">
        <v>8.9700844372930258E-2</v>
      </c>
      <c r="I1013" s="170">
        <v>0</v>
      </c>
      <c r="J1013" s="170">
        <v>-5.8370098634356792E-2</v>
      </c>
      <c r="K1013" s="170">
        <v>0</v>
      </c>
      <c r="L1013">
        <v>3.7190693025902282</v>
      </c>
      <c r="N1013" s="172">
        <f>MCond(B1012:D1014)</f>
        <v>5.8454524208722907</v>
      </c>
    </row>
    <row r="1014" spans="1:14">
      <c r="A1014" s="170"/>
      <c r="B1014" s="171">
        <v>-1.3773893306068323</v>
      </c>
      <c r="C1014" s="171">
        <v>-1.5521003879162059</v>
      </c>
      <c r="D1014" s="171">
        <v>0.65590292152571228</v>
      </c>
      <c r="E1014" s="170">
        <v>0</v>
      </c>
      <c r="F1014" s="170">
        <v>0</v>
      </c>
      <c r="G1014" s="170">
        <v>-1.4990492230334603E-2</v>
      </c>
      <c r="H1014" s="170">
        <v>8.9700844372930258E-2</v>
      </c>
      <c r="I1014" s="170">
        <v>0</v>
      </c>
      <c r="J1014" s="170">
        <v>0</v>
      </c>
      <c r="K1014" s="170">
        <v>-2.1174072073315828E-2</v>
      </c>
      <c r="L1014">
        <v>2.3682128123525694</v>
      </c>
      <c r="N1014" s="172"/>
    </row>
    <row r="1015" spans="1:14">
      <c r="A1015" s="170"/>
      <c r="B1015" s="171"/>
      <c r="C1015" s="171"/>
      <c r="D1015" s="171"/>
      <c r="E1015" s="170"/>
      <c r="F1015" s="170"/>
      <c r="G1015" s="170"/>
      <c r="H1015" s="170"/>
      <c r="I1015" s="170"/>
      <c r="J1015" s="170"/>
      <c r="K1015" s="170"/>
      <c r="N1015" s="173"/>
    </row>
    <row r="1016" spans="1:14">
      <c r="A1016" s="170"/>
      <c r="B1016" s="171">
        <v>2.5457845528396139E-2</v>
      </c>
      <c r="C1016" s="171">
        <v>-2.3667658472617719</v>
      </c>
      <c r="D1016" s="171">
        <v>-6.368425350466822E-2</v>
      </c>
      <c r="E1016" s="170">
        <v>-1.4990492230334603E-2</v>
      </c>
      <c r="F1016" s="170">
        <v>0</v>
      </c>
      <c r="G1016" s="170">
        <v>0</v>
      </c>
      <c r="H1016" s="170">
        <v>8.9700844372930258E-2</v>
      </c>
      <c r="I1016" s="170">
        <v>-0.14525704733164976</v>
      </c>
      <c r="J1016" s="170">
        <v>0</v>
      </c>
      <c r="K1016" s="170">
        <v>0</v>
      </c>
      <c r="L1016">
        <v>2.803142180904064</v>
      </c>
      <c r="N1016" s="172"/>
    </row>
    <row r="1017" spans="1:14">
      <c r="A1017" s="170" t="s">
        <v>465</v>
      </c>
      <c r="B1017" s="171">
        <v>1.0673702345396179</v>
      </c>
      <c r="C1017" s="171">
        <v>-2.4075843796929846</v>
      </c>
      <c r="D1017" s="171">
        <v>0.708799578341892</v>
      </c>
      <c r="E1017" s="170">
        <v>0</v>
      </c>
      <c r="F1017" s="170">
        <v>-1.4990492230334603E-2</v>
      </c>
      <c r="G1017" s="170">
        <v>0</v>
      </c>
      <c r="H1017" s="170">
        <v>8.9700844372930258E-2</v>
      </c>
      <c r="I1017" s="170">
        <v>0</v>
      </c>
      <c r="J1017" s="170">
        <v>-5.8370098634356792E-2</v>
      </c>
      <c r="K1017" s="170">
        <v>0</v>
      </c>
      <c r="L1017">
        <v>3.7190693025902282</v>
      </c>
      <c r="N1017" s="172">
        <f>MCond(B1016:D1018)</f>
        <v>27.264608409535779</v>
      </c>
    </row>
    <row r="1018" spans="1:14">
      <c r="A1018" s="170"/>
      <c r="B1018" s="171">
        <v>1.4675604394566215</v>
      </c>
      <c r="C1018" s="171">
        <v>-1.3235781323919831</v>
      </c>
      <c r="D1018" s="171">
        <v>0.72564008456612294</v>
      </c>
      <c r="E1018" s="170">
        <v>0</v>
      </c>
      <c r="F1018" s="170">
        <v>0</v>
      </c>
      <c r="G1018" s="170">
        <v>-1.4990492230334603E-2</v>
      </c>
      <c r="H1018" s="170">
        <v>8.9700844372930258E-2</v>
      </c>
      <c r="I1018" s="170">
        <v>0</v>
      </c>
      <c r="J1018" s="170">
        <v>0</v>
      </c>
      <c r="K1018" s="170">
        <v>6.8827960560405646E-2</v>
      </c>
      <c r="L1018">
        <v>2.216073124166746</v>
      </c>
      <c r="N1018" s="172"/>
    </row>
    <row r="1019" spans="1:14">
      <c r="A1019" s="170"/>
      <c r="B1019" s="171"/>
      <c r="C1019" s="171"/>
      <c r="D1019" s="171"/>
      <c r="E1019" s="170"/>
      <c r="F1019" s="170"/>
      <c r="G1019" s="170"/>
      <c r="H1019" s="170"/>
      <c r="I1019" s="170"/>
      <c r="J1019" s="170"/>
      <c r="K1019" s="170"/>
      <c r="N1019" s="173"/>
    </row>
    <row r="1020" spans="1:14">
      <c r="A1020" s="170"/>
      <c r="B1020" s="171">
        <v>2.5457845528396139E-2</v>
      </c>
      <c r="C1020" s="171">
        <v>-2.3667658472617719</v>
      </c>
      <c r="D1020" s="171">
        <v>-6.368425350466822E-2</v>
      </c>
      <c r="E1020" s="170">
        <v>-1.4990492230334603E-2</v>
      </c>
      <c r="F1020" s="170">
        <v>0</v>
      </c>
      <c r="G1020" s="170">
        <v>0</v>
      </c>
      <c r="H1020" s="170">
        <v>8.9700844372930258E-2</v>
      </c>
      <c r="I1020" s="170">
        <v>-0.14525704733164976</v>
      </c>
      <c r="J1020" s="170">
        <v>0</v>
      </c>
      <c r="K1020" s="170">
        <v>0</v>
      </c>
      <c r="L1020">
        <v>2.803142180904064</v>
      </c>
      <c r="N1020" s="172"/>
    </row>
    <row r="1021" spans="1:14">
      <c r="A1021" s="170" t="s">
        <v>466</v>
      </c>
      <c r="B1021" s="171">
        <v>1.0673702345396179</v>
      </c>
      <c r="C1021" s="171">
        <v>-2.4075843796929846</v>
      </c>
      <c r="D1021" s="171">
        <v>0.708799578341892</v>
      </c>
      <c r="E1021" s="170">
        <v>0</v>
      </c>
      <c r="F1021" s="170">
        <v>-1.4990492230334603E-2</v>
      </c>
      <c r="G1021" s="170">
        <v>0</v>
      </c>
      <c r="H1021" s="170">
        <v>8.9700844372930258E-2</v>
      </c>
      <c r="I1021" s="170">
        <v>0</v>
      </c>
      <c r="J1021" s="170">
        <v>-5.8370098634356792E-2</v>
      </c>
      <c r="K1021" s="170">
        <v>0</v>
      </c>
      <c r="L1021">
        <v>3.7190693025902282</v>
      </c>
      <c r="N1021" s="172">
        <f>MCond(B1020:D1022)</f>
        <v>4.3649803826438793</v>
      </c>
    </row>
    <row r="1022" spans="1:14">
      <c r="A1022" s="170"/>
      <c r="B1022" s="171">
        <v>-1.0097006711160386</v>
      </c>
      <c r="C1022" s="171">
        <v>-0.26302086313966178</v>
      </c>
      <c r="D1022" s="171">
        <v>0.76545275918666766</v>
      </c>
      <c r="E1022" s="170">
        <v>0</v>
      </c>
      <c r="F1022" s="170">
        <v>0</v>
      </c>
      <c r="G1022" s="170">
        <v>-1.4990492230334603E-2</v>
      </c>
      <c r="H1022" s="170">
        <v>8.9700844372930258E-2</v>
      </c>
      <c r="I1022" s="170">
        <v>0</v>
      </c>
      <c r="J1022" s="170">
        <v>0</v>
      </c>
      <c r="K1022" s="170">
        <v>0.18191808401017825</v>
      </c>
      <c r="L1022">
        <v>0.83729667312269707</v>
      </c>
      <c r="N1022" s="172"/>
    </row>
    <row r="1023" spans="1:14">
      <c r="A1023" s="170"/>
      <c r="B1023" s="171"/>
      <c r="C1023" s="171"/>
      <c r="D1023" s="171"/>
      <c r="E1023" s="170"/>
      <c r="F1023" s="170"/>
      <c r="G1023" s="170"/>
      <c r="H1023" s="170"/>
      <c r="I1023" s="170"/>
      <c r="J1023" s="170"/>
      <c r="K1023" s="170"/>
      <c r="N1023" s="173"/>
    </row>
    <row r="1024" spans="1:14">
      <c r="A1024" s="170"/>
      <c r="B1024" s="171">
        <v>2.5457845528396139E-2</v>
      </c>
      <c r="C1024" s="171">
        <v>-2.3667658472617719</v>
      </c>
      <c r="D1024" s="171">
        <v>-6.368425350466822E-2</v>
      </c>
      <c r="E1024" s="170">
        <v>-1.4990492230334603E-2</v>
      </c>
      <c r="F1024" s="170">
        <v>0</v>
      </c>
      <c r="G1024" s="170">
        <v>0</v>
      </c>
      <c r="H1024" s="170">
        <v>0</v>
      </c>
      <c r="I1024" s="170">
        <v>0</v>
      </c>
      <c r="J1024" s="170">
        <v>0</v>
      </c>
      <c r="K1024" s="170">
        <v>0</v>
      </c>
      <c r="L1024">
        <v>2.803142180904064</v>
      </c>
      <c r="N1024" s="172"/>
    </row>
    <row r="1025" spans="1:14">
      <c r="A1025" s="170" t="s">
        <v>467</v>
      </c>
      <c r="B1025" s="171">
        <v>1.0673702345396179</v>
      </c>
      <c r="C1025" s="171">
        <v>-2.4075843796929846</v>
      </c>
      <c r="D1025" s="171">
        <v>0.708799578341892</v>
      </c>
      <c r="E1025" s="170">
        <v>0</v>
      </c>
      <c r="F1025" s="170">
        <v>-1.4990492230334603E-2</v>
      </c>
      <c r="G1025" s="170">
        <v>0</v>
      </c>
      <c r="H1025" s="170">
        <v>0</v>
      </c>
      <c r="I1025" s="170">
        <v>0</v>
      </c>
      <c r="J1025" s="170">
        <v>0</v>
      </c>
      <c r="K1025" s="170">
        <v>0</v>
      </c>
      <c r="L1025">
        <v>3.7190693025902282</v>
      </c>
      <c r="N1025" s="172">
        <f>MCond(B1024:D1026)</f>
        <v>24.489132951843487</v>
      </c>
    </row>
    <row r="1026" spans="1:14">
      <c r="A1026" s="170"/>
      <c r="B1026" s="171">
        <v>0.60912970227287866</v>
      </c>
      <c r="C1026" s="171">
        <v>-0.28261535739067112</v>
      </c>
      <c r="D1026" s="171">
        <v>0.68802996689194662</v>
      </c>
      <c r="E1026" s="170">
        <v>0</v>
      </c>
      <c r="F1026" s="170">
        <v>0</v>
      </c>
      <c r="G1026" s="170">
        <v>-1.4990492230334603E-2</v>
      </c>
      <c r="H1026" s="170">
        <v>0</v>
      </c>
      <c r="I1026" s="170">
        <v>0</v>
      </c>
      <c r="J1026" s="170">
        <v>0</v>
      </c>
      <c r="K1026" s="170">
        <v>0</v>
      </c>
      <c r="L1026">
        <v>0.46214783488271782</v>
      </c>
      <c r="N1026" s="172"/>
    </row>
    <row r="1027" spans="1:14">
      <c r="A1027" s="170"/>
      <c r="B1027" s="171"/>
      <c r="C1027" s="171"/>
      <c r="D1027" s="171"/>
      <c r="E1027" s="170"/>
      <c r="F1027" s="170"/>
      <c r="G1027" s="170"/>
      <c r="H1027" s="170"/>
      <c r="I1027" s="170"/>
      <c r="J1027" s="170"/>
      <c r="K1027" s="170"/>
      <c r="N1027" s="173"/>
    </row>
    <row r="1028" spans="1:14">
      <c r="A1028" s="170"/>
      <c r="B1028" s="171">
        <v>2.5457845528396139E-2</v>
      </c>
      <c r="C1028" s="171">
        <v>-2.3667658472617719</v>
      </c>
      <c r="D1028" s="171">
        <v>-6.368425350466822E-2</v>
      </c>
      <c r="E1028" s="170">
        <v>-1.4990492230334603E-2</v>
      </c>
      <c r="F1028" s="170">
        <v>0</v>
      </c>
      <c r="G1028" s="170">
        <v>0</v>
      </c>
      <c r="H1028" s="170">
        <v>8.9700844372930258E-2</v>
      </c>
      <c r="I1028" s="170">
        <v>-0.14525704733164976</v>
      </c>
      <c r="J1028" s="170">
        <v>0</v>
      </c>
      <c r="K1028" s="170">
        <v>0</v>
      </c>
      <c r="L1028">
        <v>2.803142180904064</v>
      </c>
      <c r="N1028" s="172"/>
    </row>
    <row r="1029" spans="1:14">
      <c r="A1029" s="170" t="s">
        <v>468</v>
      </c>
      <c r="B1029" s="171">
        <v>-1.3773893306068323</v>
      </c>
      <c r="C1029" s="171">
        <v>-1.5521003879162059</v>
      </c>
      <c r="D1029" s="171">
        <v>0.65590292152571228</v>
      </c>
      <c r="E1029" s="170">
        <v>0</v>
      </c>
      <c r="F1029" s="170">
        <v>-1.4990492230334603E-2</v>
      </c>
      <c r="G1029" s="170">
        <v>0</v>
      </c>
      <c r="H1029" s="170">
        <v>8.9700844372930258E-2</v>
      </c>
      <c r="I1029" s="170">
        <v>0</v>
      </c>
      <c r="J1029" s="170">
        <v>-2.1174072073315828E-2</v>
      </c>
      <c r="K1029" s="170">
        <v>0</v>
      </c>
      <c r="L1029">
        <v>2.3682128123525694</v>
      </c>
      <c r="N1029" s="172">
        <f>MCond(B1028:D1030)</f>
        <v>4.155062022143496</v>
      </c>
    </row>
    <row r="1030" spans="1:14">
      <c r="A1030" s="170"/>
      <c r="B1030" s="171">
        <v>1.4675604394566215</v>
      </c>
      <c r="C1030" s="171">
        <v>-1.3235781323919831</v>
      </c>
      <c r="D1030" s="171">
        <v>0.72564008456612294</v>
      </c>
      <c r="E1030" s="170">
        <v>0</v>
      </c>
      <c r="F1030" s="170">
        <v>0</v>
      </c>
      <c r="G1030" s="170">
        <v>-1.4990492230334603E-2</v>
      </c>
      <c r="H1030" s="170">
        <v>8.9700844372930258E-2</v>
      </c>
      <c r="I1030" s="170">
        <v>0</v>
      </c>
      <c r="J1030" s="170">
        <v>0</v>
      </c>
      <c r="K1030" s="170">
        <v>6.8827960560405646E-2</v>
      </c>
      <c r="L1030">
        <v>2.216073124166746</v>
      </c>
      <c r="N1030" s="172"/>
    </row>
    <row r="1031" spans="1:14">
      <c r="A1031" s="170"/>
      <c r="B1031" s="171"/>
      <c r="C1031" s="171"/>
      <c r="D1031" s="171"/>
      <c r="E1031" s="170"/>
      <c r="F1031" s="170"/>
      <c r="G1031" s="170"/>
      <c r="H1031" s="170"/>
      <c r="I1031" s="170"/>
      <c r="J1031" s="170"/>
      <c r="K1031" s="170"/>
      <c r="N1031" s="173"/>
    </row>
    <row r="1032" spans="1:14">
      <c r="A1032" s="170"/>
      <c r="B1032" s="171">
        <v>2.5457845528396139E-2</v>
      </c>
      <c r="C1032" s="171">
        <v>-2.3667658472617719</v>
      </c>
      <c r="D1032" s="171">
        <v>-6.368425350466822E-2</v>
      </c>
      <c r="E1032" s="170">
        <v>-1.4990492230334603E-2</v>
      </c>
      <c r="F1032" s="170">
        <v>0</v>
      </c>
      <c r="G1032" s="170">
        <v>0</v>
      </c>
      <c r="H1032" s="170">
        <v>8.9700844372930258E-2</v>
      </c>
      <c r="I1032" s="170">
        <v>-0.14525704733164976</v>
      </c>
      <c r="J1032" s="170">
        <v>0</v>
      </c>
      <c r="K1032" s="170">
        <v>0</v>
      </c>
      <c r="L1032">
        <v>2.803142180904064</v>
      </c>
      <c r="N1032" s="172"/>
    </row>
    <row r="1033" spans="1:14">
      <c r="A1033" s="170" t="s">
        <v>469</v>
      </c>
      <c r="B1033" s="171">
        <v>-1.3773893306068323</v>
      </c>
      <c r="C1033" s="171">
        <v>-1.5521003879162059</v>
      </c>
      <c r="D1033" s="171">
        <v>0.65590292152571228</v>
      </c>
      <c r="E1033" s="170">
        <v>0</v>
      </c>
      <c r="F1033" s="170">
        <v>-1.4990492230334603E-2</v>
      </c>
      <c r="G1033" s="170">
        <v>0</v>
      </c>
      <c r="H1033" s="170">
        <v>8.9700844372930258E-2</v>
      </c>
      <c r="I1033" s="170">
        <v>0</v>
      </c>
      <c r="J1033" s="170">
        <v>-2.1174072073315828E-2</v>
      </c>
      <c r="K1033" s="170">
        <v>0</v>
      </c>
      <c r="L1033">
        <v>2.3682128123525694</v>
      </c>
      <c r="N1033" s="172">
        <f>MCond(B1032:D1034)</f>
        <v>17.378066776989606</v>
      </c>
    </row>
    <row r="1034" spans="1:14">
      <c r="A1034" s="170"/>
      <c r="B1034" s="171">
        <v>-1.0097006711160386</v>
      </c>
      <c r="C1034" s="171">
        <v>-0.26302086313966178</v>
      </c>
      <c r="D1034" s="171">
        <v>0.76545275918666766</v>
      </c>
      <c r="E1034" s="170">
        <v>0</v>
      </c>
      <c r="F1034" s="170">
        <v>0</v>
      </c>
      <c r="G1034" s="170">
        <v>-1.4990492230334603E-2</v>
      </c>
      <c r="H1034" s="170">
        <v>8.9700844372930258E-2</v>
      </c>
      <c r="I1034" s="170">
        <v>0</v>
      </c>
      <c r="J1034" s="170">
        <v>0</v>
      </c>
      <c r="K1034" s="170">
        <v>0.18191808401017825</v>
      </c>
      <c r="L1034">
        <v>0.83729667312269707</v>
      </c>
      <c r="N1034" s="172"/>
    </row>
    <row r="1035" spans="1:14">
      <c r="A1035" s="170"/>
      <c r="B1035" s="171"/>
      <c r="C1035" s="171"/>
      <c r="D1035" s="171"/>
      <c r="E1035" s="170"/>
      <c r="F1035" s="170"/>
      <c r="G1035" s="170"/>
      <c r="H1035" s="170"/>
      <c r="I1035" s="170"/>
      <c r="J1035" s="170"/>
      <c r="K1035" s="170"/>
      <c r="N1035" s="173"/>
    </row>
    <row r="1036" spans="1:14">
      <c r="A1036" s="170"/>
      <c r="B1036" s="171">
        <v>2.5457845528396139E-2</v>
      </c>
      <c r="C1036" s="171">
        <v>-2.3667658472617719</v>
      </c>
      <c r="D1036" s="171">
        <v>-6.368425350466822E-2</v>
      </c>
      <c r="E1036" s="170">
        <v>-1.4990492230334603E-2</v>
      </c>
      <c r="F1036" s="170">
        <v>0</v>
      </c>
      <c r="G1036" s="170">
        <v>0</v>
      </c>
      <c r="H1036" s="170">
        <v>0</v>
      </c>
      <c r="I1036" s="170">
        <v>0</v>
      </c>
      <c r="J1036" s="170">
        <v>0</v>
      </c>
      <c r="K1036" s="170">
        <v>0</v>
      </c>
      <c r="L1036">
        <v>2.803142180904064</v>
      </c>
      <c r="N1036" s="172"/>
    </row>
    <row r="1037" spans="1:14">
      <c r="A1037" s="170" t="s">
        <v>470</v>
      </c>
      <c r="B1037" s="171">
        <v>-1.3773893306068323</v>
      </c>
      <c r="C1037" s="171">
        <v>-1.5521003879162059</v>
      </c>
      <c r="D1037" s="171">
        <v>0.65590292152571228</v>
      </c>
      <c r="E1037" s="170">
        <v>0</v>
      </c>
      <c r="F1037" s="170">
        <v>-1.4990492230334603E-2</v>
      </c>
      <c r="G1037" s="170">
        <v>0</v>
      </c>
      <c r="H1037" s="170">
        <v>0</v>
      </c>
      <c r="I1037" s="170">
        <v>0</v>
      </c>
      <c r="J1037" s="170">
        <v>0</v>
      </c>
      <c r="K1037" s="170">
        <v>0</v>
      </c>
      <c r="L1037">
        <v>2.3682128123525694</v>
      </c>
      <c r="N1037" s="172">
        <f>MCond(B1036:D1038)</f>
        <v>3.5193506190429562</v>
      </c>
    </row>
    <row r="1038" spans="1:14">
      <c r="A1038" s="170"/>
      <c r="B1038" s="171">
        <v>0.60912970227287866</v>
      </c>
      <c r="C1038" s="171">
        <v>-0.28261535739067112</v>
      </c>
      <c r="D1038" s="171">
        <v>0.68802996689194662</v>
      </c>
      <c r="E1038" s="170">
        <v>0</v>
      </c>
      <c r="F1038" s="170">
        <v>0</v>
      </c>
      <c r="G1038" s="170">
        <v>-1.4990492230334603E-2</v>
      </c>
      <c r="H1038" s="170">
        <v>0</v>
      </c>
      <c r="I1038" s="170">
        <v>0</v>
      </c>
      <c r="J1038" s="170">
        <v>0</v>
      </c>
      <c r="K1038" s="170">
        <v>0</v>
      </c>
      <c r="L1038">
        <v>0.46214783488271782</v>
      </c>
      <c r="N1038" s="172"/>
    </row>
    <row r="1039" spans="1:14">
      <c r="A1039" s="170"/>
      <c r="B1039" s="171"/>
      <c r="C1039" s="171"/>
      <c r="D1039" s="171"/>
      <c r="E1039" s="170"/>
      <c r="F1039" s="170"/>
      <c r="G1039" s="170"/>
      <c r="H1039" s="170"/>
      <c r="I1039" s="170"/>
      <c r="J1039" s="170"/>
      <c r="K1039" s="170"/>
      <c r="N1039" s="173"/>
    </row>
    <row r="1040" spans="1:14">
      <c r="A1040" s="170"/>
      <c r="B1040" s="171">
        <v>2.5457845528396139E-2</v>
      </c>
      <c r="C1040" s="171">
        <v>-2.3667658472617719</v>
      </c>
      <c r="D1040" s="171">
        <v>-6.368425350466822E-2</v>
      </c>
      <c r="E1040" s="170">
        <v>-1.4990492230334603E-2</v>
      </c>
      <c r="F1040" s="170">
        <v>0</v>
      </c>
      <c r="G1040" s="170">
        <v>0</v>
      </c>
      <c r="H1040" s="170">
        <v>8.9700844372930258E-2</v>
      </c>
      <c r="I1040" s="170">
        <v>-0.14525704733164976</v>
      </c>
      <c r="J1040" s="170">
        <v>0</v>
      </c>
      <c r="K1040" s="170">
        <v>0</v>
      </c>
      <c r="L1040">
        <v>2.803142180904064</v>
      </c>
      <c r="N1040" s="172"/>
    </row>
    <row r="1041" spans="1:14">
      <c r="A1041" s="170" t="s">
        <v>471</v>
      </c>
      <c r="B1041" s="171">
        <v>1.4675604394566215</v>
      </c>
      <c r="C1041" s="171">
        <v>-1.3235781323919831</v>
      </c>
      <c r="D1041" s="171">
        <v>0.72564008456612294</v>
      </c>
      <c r="E1041" s="170">
        <v>0</v>
      </c>
      <c r="F1041" s="170">
        <v>-1.4990492230334603E-2</v>
      </c>
      <c r="G1041" s="170">
        <v>0</v>
      </c>
      <c r="H1041" s="170">
        <v>8.9700844372930258E-2</v>
      </c>
      <c r="I1041" s="170">
        <v>0</v>
      </c>
      <c r="J1041" s="170">
        <v>6.8827960560405646E-2</v>
      </c>
      <c r="K1041" s="170">
        <v>0</v>
      </c>
      <c r="L1041">
        <v>2.216073124166746</v>
      </c>
      <c r="N1041" s="172">
        <f>MCond(B1040:D1042)</f>
        <v>2.9250187817951137</v>
      </c>
    </row>
    <row r="1042" spans="1:14">
      <c r="A1042" s="170"/>
      <c r="B1042" s="171">
        <v>-1.0097006711160386</v>
      </c>
      <c r="C1042" s="171">
        <v>-0.26302086313966178</v>
      </c>
      <c r="D1042" s="171">
        <v>0.76545275918666766</v>
      </c>
      <c r="E1042" s="170">
        <v>0</v>
      </c>
      <c r="F1042" s="170">
        <v>0</v>
      </c>
      <c r="G1042" s="170">
        <v>-1.4990492230334603E-2</v>
      </c>
      <c r="H1042" s="170">
        <v>8.9700844372930258E-2</v>
      </c>
      <c r="I1042" s="170">
        <v>0</v>
      </c>
      <c r="J1042" s="170">
        <v>0</v>
      </c>
      <c r="K1042" s="170">
        <v>0.18191808401017825</v>
      </c>
      <c r="L1042">
        <v>0.83729667312269707</v>
      </c>
      <c r="N1042" s="172"/>
    </row>
    <row r="1043" spans="1:14">
      <c r="A1043" s="170"/>
      <c r="B1043" s="171"/>
      <c r="C1043" s="171"/>
      <c r="D1043" s="171"/>
      <c r="E1043" s="170"/>
      <c r="F1043" s="170"/>
      <c r="G1043" s="170"/>
      <c r="H1043" s="170"/>
      <c r="I1043" s="170"/>
      <c r="J1043" s="170"/>
      <c r="K1043" s="170"/>
      <c r="N1043" s="173"/>
    </row>
    <row r="1044" spans="1:14">
      <c r="A1044" s="170"/>
      <c r="B1044" s="171">
        <v>2.5457845528396139E-2</v>
      </c>
      <c r="C1044" s="171">
        <v>-2.3667658472617719</v>
      </c>
      <c r="D1044" s="171">
        <v>-6.368425350466822E-2</v>
      </c>
      <c r="E1044" s="170">
        <v>-1.4990492230334603E-2</v>
      </c>
      <c r="F1044" s="170">
        <v>0</v>
      </c>
      <c r="G1044" s="170">
        <v>0</v>
      </c>
      <c r="H1044" s="170">
        <v>0</v>
      </c>
      <c r="I1044" s="170">
        <v>0</v>
      </c>
      <c r="J1044" s="170">
        <v>0</v>
      </c>
      <c r="K1044" s="170">
        <v>0</v>
      </c>
      <c r="L1044">
        <v>2.803142180904064</v>
      </c>
      <c r="N1044" s="172"/>
    </row>
    <row r="1045" spans="1:14">
      <c r="A1045" s="170" t="s">
        <v>472</v>
      </c>
      <c r="B1045" s="171">
        <v>1.4675604394566215</v>
      </c>
      <c r="C1045" s="171">
        <v>-1.3235781323919831</v>
      </c>
      <c r="D1045" s="171">
        <v>0.72564008456612294</v>
      </c>
      <c r="E1045" s="170">
        <v>0</v>
      </c>
      <c r="F1045" s="170">
        <v>-1.4990492230334603E-2</v>
      </c>
      <c r="G1045" s="170">
        <v>0</v>
      </c>
      <c r="H1045" s="170">
        <v>0</v>
      </c>
      <c r="I1045" s="170">
        <v>0</v>
      </c>
      <c r="J1045" s="170">
        <v>0</v>
      </c>
      <c r="K1045" s="170">
        <v>0</v>
      </c>
      <c r="L1045">
        <v>2.216073124166746</v>
      </c>
      <c r="N1045" s="172">
        <f>MCond(B1044:D1046)</f>
        <v>10.029851549914012</v>
      </c>
    </row>
    <row r="1046" spans="1:14">
      <c r="A1046" s="170"/>
      <c r="B1046" s="171">
        <v>0.60912970227287866</v>
      </c>
      <c r="C1046" s="171">
        <v>-0.28261535739067112</v>
      </c>
      <c r="D1046" s="171">
        <v>0.68802996689194662</v>
      </c>
      <c r="E1046" s="170">
        <v>0</v>
      </c>
      <c r="F1046" s="170">
        <v>0</v>
      </c>
      <c r="G1046" s="170">
        <v>-1.4990492230334603E-2</v>
      </c>
      <c r="H1046" s="170">
        <v>0</v>
      </c>
      <c r="I1046" s="170">
        <v>0</v>
      </c>
      <c r="J1046" s="170">
        <v>0</v>
      </c>
      <c r="K1046" s="170">
        <v>0</v>
      </c>
      <c r="L1046">
        <v>0.46214783488271782</v>
      </c>
      <c r="N1046" s="172"/>
    </row>
    <row r="1047" spans="1:14">
      <c r="A1047" s="170"/>
      <c r="B1047" s="171"/>
      <c r="C1047" s="171"/>
      <c r="D1047" s="171"/>
      <c r="E1047" s="170"/>
      <c r="F1047" s="170"/>
      <c r="G1047" s="170"/>
      <c r="H1047" s="170"/>
      <c r="I1047" s="170"/>
      <c r="J1047" s="170"/>
      <c r="K1047" s="170"/>
      <c r="N1047" s="173"/>
    </row>
    <row r="1048" spans="1:14">
      <c r="A1048" s="170"/>
      <c r="B1048" s="171">
        <v>2.5457845528396139E-2</v>
      </c>
      <c r="C1048" s="171">
        <v>-2.3667658472617719</v>
      </c>
      <c r="D1048" s="171">
        <v>-6.368425350466822E-2</v>
      </c>
      <c r="E1048" s="170">
        <v>-1.4990492230334603E-2</v>
      </c>
      <c r="F1048" s="170">
        <v>0</v>
      </c>
      <c r="G1048" s="170">
        <v>0</v>
      </c>
      <c r="H1048" s="170">
        <v>0</v>
      </c>
      <c r="I1048" s="170">
        <v>0</v>
      </c>
      <c r="J1048" s="170">
        <v>0</v>
      </c>
      <c r="K1048" s="170">
        <v>0</v>
      </c>
      <c r="L1048">
        <v>2.803142180904064</v>
      </c>
      <c r="N1048" s="172"/>
    </row>
    <row r="1049" spans="1:14">
      <c r="A1049" s="170" t="s">
        <v>473</v>
      </c>
      <c r="B1049" s="171">
        <v>-1.0097006711160386</v>
      </c>
      <c r="C1049" s="171">
        <v>-0.26302086313966178</v>
      </c>
      <c r="D1049" s="171">
        <v>0.76545275918666766</v>
      </c>
      <c r="E1049" s="170">
        <v>0</v>
      </c>
      <c r="F1049" s="170">
        <v>-1.4990492230334603E-2</v>
      </c>
      <c r="G1049" s="170">
        <v>0</v>
      </c>
      <c r="H1049" s="170">
        <v>0</v>
      </c>
      <c r="I1049" s="170">
        <v>0</v>
      </c>
      <c r="J1049" s="170">
        <v>0</v>
      </c>
      <c r="K1049" s="170">
        <v>0</v>
      </c>
      <c r="L1049">
        <v>0.83729667312269707</v>
      </c>
      <c r="N1049" s="172">
        <f>MCond(B1048:D1050)</f>
        <v>2.6374470926098281</v>
      </c>
    </row>
    <row r="1050" spans="1:14">
      <c r="A1050" s="170"/>
      <c r="B1050" s="171">
        <v>0.60912970227287866</v>
      </c>
      <c r="C1050" s="171">
        <v>-0.28261535739067112</v>
      </c>
      <c r="D1050" s="171">
        <v>0.68802996689194662</v>
      </c>
      <c r="E1050" s="170">
        <v>0</v>
      </c>
      <c r="F1050" s="170">
        <v>0</v>
      </c>
      <c r="G1050" s="170">
        <v>-1.4990492230334603E-2</v>
      </c>
      <c r="H1050" s="170">
        <v>0</v>
      </c>
      <c r="I1050" s="170">
        <v>0</v>
      </c>
      <c r="J1050" s="170">
        <v>0</v>
      </c>
      <c r="K1050" s="170">
        <v>0</v>
      </c>
      <c r="L1050">
        <v>0.46214783488271782</v>
      </c>
      <c r="N1050" s="172"/>
    </row>
    <row r="1051" spans="1:14">
      <c r="A1051" s="170"/>
      <c r="B1051" s="171"/>
      <c r="C1051" s="171"/>
      <c r="D1051" s="171"/>
      <c r="E1051" s="170"/>
      <c r="F1051" s="170"/>
      <c r="G1051" s="170"/>
      <c r="H1051" s="170"/>
      <c r="I1051" s="170"/>
      <c r="J1051" s="170"/>
      <c r="K1051" s="170"/>
      <c r="N1051" s="173"/>
    </row>
    <row r="1052" spans="1:14">
      <c r="A1052" s="170"/>
      <c r="B1052" s="171">
        <v>-1.2284177840385118</v>
      </c>
      <c r="C1052" s="171">
        <v>-2.3993580133895418</v>
      </c>
      <c r="D1052" s="171">
        <v>0.6756623603325641</v>
      </c>
      <c r="E1052" s="170">
        <v>-1.4990492230334603E-2</v>
      </c>
      <c r="F1052" s="170">
        <v>0</v>
      </c>
      <c r="G1052" s="170">
        <v>0</v>
      </c>
      <c r="H1052" s="170">
        <v>0</v>
      </c>
      <c r="I1052" s="170">
        <v>0</v>
      </c>
      <c r="J1052" s="170">
        <v>0</v>
      </c>
      <c r="K1052" s="170">
        <v>0</v>
      </c>
      <c r="L1052">
        <v>3.8612243768644339</v>
      </c>
      <c r="N1052" s="172"/>
    </row>
    <row r="1053" spans="1:14">
      <c r="A1053" s="170" t="s">
        <v>474</v>
      </c>
      <c r="B1053" s="171">
        <v>1.0673702345396179</v>
      </c>
      <c r="C1053" s="171">
        <v>-2.4075843796929846</v>
      </c>
      <c r="D1053" s="171">
        <v>0.708799578341892</v>
      </c>
      <c r="E1053" s="170">
        <v>0</v>
      </c>
      <c r="F1053" s="170">
        <v>-1.4990492230334603E-2</v>
      </c>
      <c r="G1053" s="170">
        <v>0</v>
      </c>
      <c r="H1053" s="170">
        <v>0</v>
      </c>
      <c r="I1053" s="170">
        <v>0</v>
      </c>
      <c r="J1053" s="170">
        <v>0</v>
      </c>
      <c r="K1053" s="170">
        <v>0</v>
      </c>
      <c r="L1053">
        <v>3.7190693025902282</v>
      </c>
      <c r="N1053" s="172">
        <f>MCond(B1052:D1054)</f>
        <v>25.249585470075854</v>
      </c>
    </row>
    <row r="1054" spans="1:14">
      <c r="A1054" s="170"/>
      <c r="B1054" s="171">
        <v>-1.3773893306068323</v>
      </c>
      <c r="C1054" s="171">
        <v>-1.5521003879162059</v>
      </c>
      <c r="D1054" s="171">
        <v>0.65590292152571228</v>
      </c>
      <c r="E1054" s="170">
        <v>0</v>
      </c>
      <c r="F1054" s="170">
        <v>0</v>
      </c>
      <c r="G1054" s="170">
        <v>-1.4990492230334603E-2</v>
      </c>
      <c r="H1054" s="170">
        <v>0</v>
      </c>
      <c r="I1054" s="170">
        <v>0</v>
      </c>
      <c r="J1054" s="170">
        <v>0</v>
      </c>
      <c r="K1054" s="170">
        <v>0</v>
      </c>
      <c r="L1054">
        <v>2.3682128123525694</v>
      </c>
      <c r="N1054" s="172"/>
    </row>
    <row r="1055" spans="1:14">
      <c r="A1055" s="170"/>
      <c r="B1055" s="171"/>
      <c r="C1055" s="171"/>
      <c r="D1055" s="171"/>
      <c r="E1055" s="170"/>
      <c r="F1055" s="170"/>
      <c r="G1055" s="170"/>
      <c r="H1055" s="170"/>
      <c r="I1055" s="170"/>
      <c r="J1055" s="170"/>
      <c r="K1055" s="170"/>
      <c r="N1055" s="173"/>
    </row>
    <row r="1056" spans="1:14">
      <c r="A1056" s="170"/>
      <c r="B1056" s="171">
        <v>-1.2284177840385118</v>
      </c>
      <c r="C1056" s="171">
        <v>-2.3993580133895418</v>
      </c>
      <c r="D1056" s="171">
        <v>0.6756623603325641</v>
      </c>
      <c r="E1056" s="170">
        <v>-1.4990492230334603E-2</v>
      </c>
      <c r="F1056" s="170">
        <v>0</v>
      </c>
      <c r="G1056" s="170">
        <v>0</v>
      </c>
      <c r="H1056" s="170">
        <v>0</v>
      </c>
      <c r="I1056" s="170">
        <v>0</v>
      </c>
      <c r="J1056" s="170">
        <v>0</v>
      </c>
      <c r="K1056" s="170">
        <v>0</v>
      </c>
      <c r="L1056">
        <v>3.8612243768644339</v>
      </c>
      <c r="N1056" s="172"/>
    </row>
    <row r="1057" spans="1:14">
      <c r="A1057" s="170" t="s">
        <v>475</v>
      </c>
      <c r="B1057" s="171">
        <v>1.0673702345396179</v>
      </c>
      <c r="C1057" s="171">
        <v>-2.4075843796929846</v>
      </c>
      <c r="D1057" s="171">
        <v>0.708799578341892</v>
      </c>
      <c r="E1057" s="170">
        <v>0</v>
      </c>
      <c r="F1057" s="170">
        <v>-1.4990492230334603E-2</v>
      </c>
      <c r="G1057" s="170">
        <v>0</v>
      </c>
      <c r="H1057" s="170">
        <v>0</v>
      </c>
      <c r="I1057" s="170">
        <v>0</v>
      </c>
      <c r="J1057" s="170">
        <v>0</v>
      </c>
      <c r="K1057" s="170">
        <v>0</v>
      </c>
      <c r="L1057">
        <v>3.7190693025902282</v>
      </c>
      <c r="N1057" s="172">
        <f>MCond(B1056:D1058)</f>
        <v>17.866956947533616</v>
      </c>
    </row>
    <row r="1058" spans="1:14">
      <c r="A1058" s="170"/>
      <c r="B1058" s="171">
        <v>1.4675604394566215</v>
      </c>
      <c r="C1058" s="171">
        <v>-1.3235781323919831</v>
      </c>
      <c r="D1058" s="171">
        <v>0.72564008456612294</v>
      </c>
      <c r="E1058" s="170">
        <v>0</v>
      </c>
      <c r="F1058" s="170">
        <v>0</v>
      </c>
      <c r="G1058" s="170">
        <v>-1.4990492230334603E-2</v>
      </c>
      <c r="H1058" s="170">
        <v>0</v>
      </c>
      <c r="I1058" s="170">
        <v>0</v>
      </c>
      <c r="J1058" s="170">
        <v>0</v>
      </c>
      <c r="K1058" s="170">
        <v>0</v>
      </c>
      <c r="L1058">
        <v>2.216073124166746</v>
      </c>
      <c r="N1058" s="172"/>
    </row>
    <row r="1059" spans="1:14">
      <c r="A1059" s="170"/>
      <c r="B1059" s="171"/>
      <c r="C1059" s="171"/>
      <c r="D1059" s="171"/>
      <c r="E1059" s="170"/>
      <c r="F1059" s="170"/>
      <c r="G1059" s="170"/>
      <c r="H1059" s="170"/>
      <c r="I1059" s="170"/>
      <c r="J1059" s="170"/>
      <c r="K1059" s="170"/>
      <c r="N1059" s="173"/>
    </row>
    <row r="1060" spans="1:14">
      <c r="A1060" s="170"/>
      <c r="B1060" s="171">
        <v>-1.2284177840385118</v>
      </c>
      <c r="C1060" s="171">
        <v>-2.3993580133895418</v>
      </c>
      <c r="D1060" s="171">
        <v>0.6756623603325641</v>
      </c>
      <c r="E1060" s="170">
        <v>-1.4990492230334603E-2</v>
      </c>
      <c r="F1060" s="170">
        <v>0</v>
      </c>
      <c r="G1060" s="170">
        <v>0</v>
      </c>
      <c r="H1060" s="170">
        <v>0</v>
      </c>
      <c r="I1060" s="170">
        <v>0</v>
      </c>
      <c r="J1060" s="170">
        <v>0</v>
      </c>
      <c r="K1060" s="170">
        <v>0</v>
      </c>
      <c r="L1060">
        <v>3.8612243768644339</v>
      </c>
      <c r="N1060" s="172"/>
    </row>
    <row r="1061" spans="1:14">
      <c r="A1061" s="170" t="s">
        <v>476</v>
      </c>
      <c r="B1061" s="171">
        <v>1.0673702345396179</v>
      </c>
      <c r="C1061" s="171">
        <v>-2.4075843796929846</v>
      </c>
      <c r="D1061" s="171">
        <v>0.708799578341892</v>
      </c>
      <c r="E1061" s="170">
        <v>0</v>
      </c>
      <c r="F1061" s="170">
        <v>-1.4990492230334603E-2</v>
      </c>
      <c r="G1061" s="170">
        <v>0</v>
      </c>
      <c r="H1061" s="170">
        <v>0</v>
      </c>
      <c r="I1061" s="170">
        <v>0</v>
      </c>
      <c r="J1061" s="170">
        <v>0</v>
      </c>
      <c r="K1061" s="170">
        <v>0</v>
      </c>
      <c r="L1061">
        <v>3.7190693025902282</v>
      </c>
      <c r="N1061" s="172">
        <f>MCond(B1060:D1062)</f>
        <v>6.3541258749953187</v>
      </c>
    </row>
    <row r="1062" spans="1:14">
      <c r="A1062" s="170"/>
      <c r="B1062" s="171">
        <v>-1.0097006711160386</v>
      </c>
      <c r="C1062" s="171">
        <v>-0.26302086313966178</v>
      </c>
      <c r="D1062" s="171">
        <v>0.76545275918666766</v>
      </c>
      <c r="E1062" s="170">
        <v>0</v>
      </c>
      <c r="F1062" s="170">
        <v>0</v>
      </c>
      <c r="G1062" s="170">
        <v>-1.4990492230334603E-2</v>
      </c>
      <c r="H1062" s="170">
        <v>0</v>
      </c>
      <c r="I1062" s="170">
        <v>0</v>
      </c>
      <c r="J1062" s="170">
        <v>0</v>
      </c>
      <c r="K1062" s="170">
        <v>0</v>
      </c>
      <c r="L1062">
        <v>0.83729667312269707</v>
      </c>
      <c r="N1062" s="172"/>
    </row>
    <row r="1063" spans="1:14">
      <c r="A1063" s="170"/>
      <c r="B1063" s="171"/>
      <c r="C1063" s="171"/>
      <c r="D1063" s="171"/>
      <c r="E1063" s="170"/>
      <c r="F1063" s="170"/>
      <c r="G1063" s="170"/>
      <c r="H1063" s="170"/>
      <c r="I1063" s="170"/>
      <c r="J1063" s="170"/>
      <c r="K1063" s="170"/>
      <c r="N1063" s="173"/>
    </row>
    <row r="1064" spans="1:14">
      <c r="A1064" s="170"/>
      <c r="B1064" s="171">
        <v>-1.2284177840385118</v>
      </c>
      <c r="C1064" s="171">
        <v>-2.3993580133895418</v>
      </c>
      <c r="D1064" s="171">
        <v>0.6756623603325641</v>
      </c>
      <c r="E1064" s="170">
        <v>-1.4990492230334603E-2</v>
      </c>
      <c r="F1064" s="170">
        <v>0</v>
      </c>
      <c r="G1064" s="170">
        <v>0</v>
      </c>
      <c r="H1064" s="170">
        <v>0</v>
      </c>
      <c r="I1064" s="170">
        <v>0</v>
      </c>
      <c r="J1064" s="170">
        <v>0</v>
      </c>
      <c r="K1064" s="170">
        <v>0</v>
      </c>
      <c r="L1064">
        <v>3.8612243768644339</v>
      </c>
      <c r="N1064" s="172"/>
    </row>
    <row r="1065" spans="1:14">
      <c r="A1065" s="170" t="s">
        <v>477</v>
      </c>
      <c r="B1065" s="171">
        <v>1.0673702345396179</v>
      </c>
      <c r="C1065" s="171">
        <v>-2.4075843796929846</v>
      </c>
      <c r="D1065" s="171">
        <v>0.708799578341892</v>
      </c>
      <c r="E1065" s="170">
        <v>0</v>
      </c>
      <c r="F1065" s="170">
        <v>-1.4990492230334603E-2</v>
      </c>
      <c r="G1065" s="170">
        <v>0</v>
      </c>
      <c r="H1065" s="170">
        <v>0</v>
      </c>
      <c r="I1065" s="170">
        <v>0</v>
      </c>
      <c r="J1065" s="170">
        <v>0</v>
      </c>
      <c r="K1065" s="170">
        <v>0</v>
      </c>
      <c r="L1065">
        <v>3.7190693025902282</v>
      </c>
      <c r="N1065" s="172">
        <f>MCond(B1064:D1066)</f>
        <v>6.7607681639683301</v>
      </c>
    </row>
    <row r="1066" spans="1:14">
      <c r="A1066" s="170"/>
      <c r="B1066" s="171">
        <v>0.60912970227287866</v>
      </c>
      <c r="C1066" s="171">
        <v>-0.28261535739067112</v>
      </c>
      <c r="D1066" s="171">
        <v>0.68802996689194662</v>
      </c>
      <c r="E1066" s="170">
        <v>0</v>
      </c>
      <c r="F1066" s="170">
        <v>0</v>
      </c>
      <c r="G1066" s="170">
        <v>-1.4990492230334603E-2</v>
      </c>
      <c r="H1066" s="170">
        <v>0</v>
      </c>
      <c r="I1066" s="170">
        <v>0</v>
      </c>
      <c r="J1066" s="170">
        <v>0</v>
      </c>
      <c r="K1066" s="170">
        <v>0</v>
      </c>
      <c r="L1066">
        <v>0.46214783488271782</v>
      </c>
      <c r="N1066" s="172"/>
    </row>
    <row r="1067" spans="1:14">
      <c r="A1067" s="170"/>
      <c r="B1067" s="171"/>
      <c r="C1067" s="171"/>
      <c r="D1067" s="171"/>
      <c r="E1067" s="170"/>
      <c r="F1067" s="170"/>
      <c r="G1067" s="170"/>
      <c r="H1067" s="170"/>
      <c r="I1067" s="170"/>
      <c r="J1067" s="170"/>
      <c r="K1067" s="170"/>
      <c r="N1067" s="173"/>
    </row>
    <row r="1068" spans="1:14">
      <c r="A1068" s="170"/>
      <c r="B1068" s="171">
        <v>-1.2284177840385118</v>
      </c>
      <c r="C1068" s="171">
        <v>-2.3993580133895418</v>
      </c>
      <c r="D1068" s="171">
        <v>0.6756623603325641</v>
      </c>
      <c r="E1068" s="170">
        <v>-1.4990492230334603E-2</v>
      </c>
      <c r="F1068" s="170">
        <v>0</v>
      </c>
      <c r="G1068" s="170">
        <v>0</v>
      </c>
      <c r="H1068" s="170">
        <v>0</v>
      </c>
      <c r="I1068" s="170">
        <v>0</v>
      </c>
      <c r="J1068" s="170">
        <v>0</v>
      </c>
      <c r="K1068" s="170">
        <v>0</v>
      </c>
      <c r="L1068">
        <v>3.8612243768644339</v>
      </c>
      <c r="N1068" s="172"/>
    </row>
    <row r="1069" spans="1:14">
      <c r="A1069" s="170" t="s">
        <v>478</v>
      </c>
      <c r="B1069" s="171">
        <v>-1.3773893306068323</v>
      </c>
      <c r="C1069" s="171">
        <v>-1.5521003879162059</v>
      </c>
      <c r="D1069" s="171">
        <v>0.65590292152571228</v>
      </c>
      <c r="E1069" s="170">
        <v>0</v>
      </c>
      <c r="F1069" s="170">
        <v>-1.4990492230334603E-2</v>
      </c>
      <c r="G1069" s="170">
        <v>0</v>
      </c>
      <c r="H1069" s="170">
        <v>0</v>
      </c>
      <c r="I1069" s="170">
        <v>0</v>
      </c>
      <c r="J1069" s="170">
        <v>0</v>
      </c>
      <c r="K1069" s="170">
        <v>0</v>
      </c>
      <c r="L1069">
        <v>2.3682128123525694</v>
      </c>
      <c r="N1069" s="172">
        <f>MCond(B1068:D1070)</f>
        <v>15.979311741978162</v>
      </c>
    </row>
    <row r="1070" spans="1:14">
      <c r="A1070" s="170"/>
      <c r="B1070" s="171">
        <v>1.4675604394566215</v>
      </c>
      <c r="C1070" s="171">
        <v>-1.3235781323919831</v>
      </c>
      <c r="D1070" s="171">
        <v>0.72564008456612294</v>
      </c>
      <c r="E1070" s="170">
        <v>0</v>
      </c>
      <c r="F1070" s="170">
        <v>0</v>
      </c>
      <c r="G1070" s="170">
        <v>-1.4990492230334603E-2</v>
      </c>
      <c r="H1070" s="170">
        <v>0</v>
      </c>
      <c r="I1070" s="170">
        <v>0</v>
      </c>
      <c r="J1070" s="170">
        <v>0</v>
      </c>
      <c r="K1070" s="170">
        <v>0</v>
      </c>
      <c r="L1070">
        <v>2.216073124166746</v>
      </c>
      <c r="N1070" s="172"/>
    </row>
    <row r="1071" spans="1:14">
      <c r="A1071" s="170"/>
      <c r="B1071" s="171"/>
      <c r="C1071" s="171"/>
      <c r="D1071" s="171"/>
      <c r="E1071" s="170"/>
      <c r="F1071" s="170"/>
      <c r="G1071" s="170"/>
      <c r="H1071" s="170"/>
      <c r="I1071" s="170"/>
      <c r="J1071" s="170"/>
      <c r="K1071" s="170"/>
      <c r="N1071" s="173"/>
    </row>
    <row r="1072" spans="1:14">
      <c r="A1072" s="170"/>
      <c r="B1072" s="171">
        <v>-1.2284177840385118</v>
      </c>
      <c r="C1072" s="171">
        <v>-2.3993580133895418</v>
      </c>
      <c r="D1072" s="171">
        <v>0.6756623603325641</v>
      </c>
      <c r="E1072" s="170">
        <v>-1.4990492230334603E-2</v>
      </c>
      <c r="F1072" s="170">
        <v>0</v>
      </c>
      <c r="G1072" s="170">
        <v>0</v>
      </c>
      <c r="H1072" s="170">
        <v>0</v>
      </c>
      <c r="I1072" s="170">
        <v>0</v>
      </c>
      <c r="J1072" s="170">
        <v>0</v>
      </c>
      <c r="K1072" s="170">
        <v>0</v>
      </c>
      <c r="L1072">
        <v>3.8612243768644339</v>
      </c>
      <c r="N1072" s="172"/>
    </row>
    <row r="1073" spans="1:14">
      <c r="A1073" s="170" t="s">
        <v>479</v>
      </c>
      <c r="B1073" s="171">
        <v>-1.3773893306068323</v>
      </c>
      <c r="C1073" s="171">
        <v>-1.5521003879162059</v>
      </c>
      <c r="D1073" s="171">
        <v>0.65590292152571228</v>
      </c>
      <c r="E1073" s="170">
        <v>0</v>
      </c>
      <c r="F1073" s="170">
        <v>-1.4990492230334603E-2</v>
      </c>
      <c r="G1073" s="170">
        <v>0</v>
      </c>
      <c r="H1073" s="170">
        <v>0</v>
      </c>
      <c r="I1073" s="170">
        <v>0</v>
      </c>
      <c r="J1073" s="170">
        <v>0</v>
      </c>
      <c r="K1073" s="170">
        <v>0</v>
      </c>
      <c r="L1073">
        <v>2.3682128123525694</v>
      </c>
      <c r="N1073" s="172">
        <f>MCond(B1072:D1074)</f>
        <v>24.622553140187737</v>
      </c>
    </row>
    <row r="1074" spans="1:14">
      <c r="A1074" s="170"/>
      <c r="B1074" s="171">
        <v>-1.0097006711160386</v>
      </c>
      <c r="C1074" s="171">
        <v>-0.26302086313966178</v>
      </c>
      <c r="D1074" s="171">
        <v>0.76545275918666766</v>
      </c>
      <c r="E1074" s="170">
        <v>0</v>
      </c>
      <c r="F1074" s="170">
        <v>0</v>
      </c>
      <c r="G1074" s="170">
        <v>-1.4990492230334603E-2</v>
      </c>
      <c r="H1074" s="170">
        <v>0</v>
      </c>
      <c r="I1074" s="170">
        <v>0</v>
      </c>
      <c r="J1074" s="170">
        <v>0</v>
      </c>
      <c r="K1074" s="170">
        <v>0</v>
      </c>
      <c r="L1074">
        <v>0.83729667312269707</v>
      </c>
      <c r="N1074" s="172"/>
    </row>
    <row r="1075" spans="1:14">
      <c r="A1075" s="170"/>
      <c r="B1075" s="171"/>
      <c r="C1075" s="171"/>
      <c r="D1075" s="171"/>
      <c r="E1075" s="170"/>
      <c r="F1075" s="170"/>
      <c r="G1075" s="170"/>
      <c r="H1075" s="170"/>
      <c r="I1075" s="170"/>
      <c r="J1075" s="170"/>
      <c r="K1075" s="170"/>
      <c r="N1075" s="173"/>
    </row>
    <row r="1076" spans="1:14">
      <c r="A1076" s="170"/>
      <c r="B1076" s="171">
        <v>-1.2284177840385118</v>
      </c>
      <c r="C1076" s="171">
        <v>-2.3993580133895418</v>
      </c>
      <c r="D1076" s="171">
        <v>0.6756623603325641</v>
      </c>
      <c r="E1076" s="170">
        <v>-1.4990492230334603E-2</v>
      </c>
      <c r="F1076" s="170">
        <v>0</v>
      </c>
      <c r="G1076" s="170">
        <v>0</v>
      </c>
      <c r="H1076" s="170">
        <v>0</v>
      </c>
      <c r="I1076" s="170">
        <v>0</v>
      </c>
      <c r="J1076" s="170">
        <v>0</v>
      </c>
      <c r="K1076" s="170">
        <v>0</v>
      </c>
      <c r="L1076">
        <v>3.8612243768644339</v>
      </c>
      <c r="N1076" s="172"/>
    </row>
    <row r="1077" spans="1:14">
      <c r="A1077" s="170" t="s">
        <v>480</v>
      </c>
      <c r="B1077" s="171">
        <v>-1.3773893306068323</v>
      </c>
      <c r="C1077" s="171">
        <v>-1.5521003879162059</v>
      </c>
      <c r="D1077" s="171">
        <v>0.65590292152571228</v>
      </c>
      <c r="E1077" s="170">
        <v>0</v>
      </c>
      <c r="F1077" s="170">
        <v>-1.4990492230334603E-2</v>
      </c>
      <c r="G1077" s="170">
        <v>0</v>
      </c>
      <c r="H1077" s="170">
        <v>0</v>
      </c>
      <c r="I1077" s="170">
        <v>0</v>
      </c>
      <c r="J1077" s="170">
        <v>0</v>
      </c>
      <c r="K1077" s="170">
        <v>0</v>
      </c>
      <c r="L1077">
        <v>2.3682128123525694</v>
      </c>
      <c r="N1077" s="172">
        <f>MCond(B1076:D1078)</f>
        <v>9.6873396835531249</v>
      </c>
    </row>
    <row r="1078" spans="1:14">
      <c r="A1078" s="170"/>
      <c r="B1078" s="171">
        <v>0.60912970227287866</v>
      </c>
      <c r="C1078" s="171">
        <v>-0.28261535739067112</v>
      </c>
      <c r="D1078" s="171">
        <v>0.68802996689194662</v>
      </c>
      <c r="E1078" s="170">
        <v>0</v>
      </c>
      <c r="F1078" s="170">
        <v>0</v>
      </c>
      <c r="G1078" s="170">
        <v>-1.4990492230334603E-2</v>
      </c>
      <c r="H1078" s="170">
        <v>0</v>
      </c>
      <c r="I1078" s="170">
        <v>0</v>
      </c>
      <c r="J1078" s="170">
        <v>0</v>
      </c>
      <c r="K1078" s="170">
        <v>0</v>
      </c>
      <c r="L1078">
        <v>0.46214783488271782</v>
      </c>
      <c r="N1078" s="172"/>
    </row>
    <row r="1079" spans="1:14">
      <c r="A1079" s="170"/>
      <c r="B1079" s="171"/>
      <c r="C1079" s="171"/>
      <c r="D1079" s="171"/>
      <c r="E1079" s="170"/>
      <c r="F1079" s="170"/>
      <c r="G1079" s="170"/>
      <c r="H1079" s="170"/>
      <c r="I1079" s="170"/>
      <c r="J1079" s="170"/>
      <c r="K1079" s="170"/>
      <c r="N1079" s="173"/>
    </row>
    <row r="1080" spans="1:14">
      <c r="A1080" s="170"/>
      <c r="B1080" s="171">
        <v>-1.2284177840385118</v>
      </c>
      <c r="C1080" s="171">
        <v>-2.3993580133895418</v>
      </c>
      <c r="D1080" s="171">
        <v>0.6756623603325641</v>
      </c>
      <c r="E1080" s="170">
        <v>-1.4990492230334603E-2</v>
      </c>
      <c r="F1080" s="170">
        <v>0</v>
      </c>
      <c r="G1080" s="170">
        <v>0</v>
      </c>
      <c r="H1080" s="170">
        <v>0</v>
      </c>
      <c r="I1080" s="170">
        <v>0</v>
      </c>
      <c r="J1080" s="170">
        <v>0</v>
      </c>
      <c r="K1080" s="170">
        <v>0</v>
      </c>
      <c r="L1080">
        <v>3.8612243768644339</v>
      </c>
      <c r="N1080" s="172"/>
    </row>
    <row r="1081" spans="1:14">
      <c r="A1081" s="170" t="s">
        <v>481</v>
      </c>
      <c r="B1081" s="171">
        <v>1.4675604394566215</v>
      </c>
      <c r="C1081" s="171">
        <v>-1.3235781323919831</v>
      </c>
      <c r="D1081" s="171">
        <v>0.72564008456612294</v>
      </c>
      <c r="E1081" s="170">
        <v>0</v>
      </c>
      <c r="F1081" s="170">
        <v>-1.4990492230334603E-2</v>
      </c>
      <c r="G1081" s="170">
        <v>0</v>
      </c>
      <c r="H1081" s="170">
        <v>0</v>
      </c>
      <c r="I1081" s="170">
        <v>0</v>
      </c>
      <c r="J1081" s="170">
        <v>0</v>
      </c>
      <c r="K1081" s="170">
        <v>0</v>
      </c>
      <c r="L1081">
        <v>2.216073124166746</v>
      </c>
      <c r="N1081" s="172">
        <f>MCond(B1080:D1082)</f>
        <v>4.3639483646416055</v>
      </c>
    </row>
    <row r="1082" spans="1:14">
      <c r="A1082" s="170"/>
      <c r="B1082" s="171">
        <v>-1.0097006711160386</v>
      </c>
      <c r="C1082" s="171">
        <v>-0.26302086313966178</v>
      </c>
      <c r="D1082" s="171">
        <v>0.76545275918666766</v>
      </c>
      <c r="E1082" s="170">
        <v>0</v>
      </c>
      <c r="F1082" s="170">
        <v>0</v>
      </c>
      <c r="G1082" s="170">
        <v>-1.4990492230334603E-2</v>
      </c>
      <c r="H1082" s="170">
        <v>0</v>
      </c>
      <c r="I1082" s="170">
        <v>0</v>
      </c>
      <c r="J1082" s="170">
        <v>0</v>
      </c>
      <c r="K1082" s="170">
        <v>0</v>
      </c>
      <c r="L1082">
        <v>0.83729667312269707</v>
      </c>
      <c r="N1082" s="172"/>
    </row>
    <row r="1083" spans="1:14">
      <c r="A1083" s="170"/>
      <c r="B1083" s="171"/>
      <c r="C1083" s="171"/>
      <c r="D1083" s="171"/>
      <c r="E1083" s="170"/>
      <c r="F1083" s="170"/>
      <c r="G1083" s="170"/>
      <c r="H1083" s="170"/>
      <c r="I1083" s="170"/>
      <c r="J1083" s="170"/>
      <c r="K1083" s="170"/>
      <c r="N1083" s="173"/>
    </row>
    <row r="1084" spans="1:14">
      <c r="A1084" s="170"/>
      <c r="B1084" s="171">
        <v>-1.2284177840385118</v>
      </c>
      <c r="C1084" s="171">
        <v>-2.3993580133895418</v>
      </c>
      <c r="D1084" s="171">
        <v>0.6756623603325641</v>
      </c>
      <c r="E1084" s="170">
        <v>-1.4990492230334603E-2</v>
      </c>
      <c r="F1084" s="170">
        <v>0</v>
      </c>
      <c r="G1084" s="170">
        <v>0</v>
      </c>
      <c r="H1084" s="170">
        <v>0</v>
      </c>
      <c r="I1084" s="170">
        <v>0</v>
      </c>
      <c r="J1084" s="170">
        <v>0</v>
      </c>
      <c r="K1084" s="170">
        <v>0</v>
      </c>
      <c r="L1084">
        <v>3.8612243768644339</v>
      </c>
      <c r="N1084" s="172"/>
    </row>
    <row r="1085" spans="1:14">
      <c r="A1085" s="170" t="s">
        <v>482</v>
      </c>
      <c r="B1085" s="171">
        <v>1.4675604394566215</v>
      </c>
      <c r="C1085" s="171">
        <v>-1.3235781323919831</v>
      </c>
      <c r="D1085" s="171">
        <v>0.72564008456612294</v>
      </c>
      <c r="E1085" s="170">
        <v>0</v>
      </c>
      <c r="F1085" s="170">
        <v>-1.4990492230334603E-2</v>
      </c>
      <c r="G1085" s="170">
        <v>0</v>
      </c>
      <c r="H1085" s="170">
        <v>0</v>
      </c>
      <c r="I1085" s="170">
        <v>0</v>
      </c>
      <c r="J1085" s="170">
        <v>0</v>
      </c>
      <c r="K1085" s="170">
        <v>0</v>
      </c>
      <c r="L1085">
        <v>2.216073124166746</v>
      </c>
      <c r="N1085" s="172">
        <f>MCond(B1084:D1086)</f>
        <v>7.1573490093416128</v>
      </c>
    </row>
    <row r="1086" spans="1:14">
      <c r="A1086" s="170"/>
      <c r="B1086" s="171">
        <v>0.60912970227287866</v>
      </c>
      <c r="C1086" s="171">
        <v>-0.28261535739067112</v>
      </c>
      <c r="D1086" s="171">
        <v>0.68802996689194662</v>
      </c>
      <c r="E1086" s="170">
        <v>0</v>
      </c>
      <c r="F1086" s="170">
        <v>0</v>
      </c>
      <c r="G1086" s="170">
        <v>-1.4990492230334603E-2</v>
      </c>
      <c r="H1086" s="170">
        <v>0</v>
      </c>
      <c r="I1086" s="170">
        <v>0</v>
      </c>
      <c r="J1086" s="170">
        <v>0</v>
      </c>
      <c r="K1086" s="170">
        <v>0</v>
      </c>
      <c r="L1086">
        <v>0.46214783488271782</v>
      </c>
      <c r="N1086" s="172"/>
    </row>
    <row r="1087" spans="1:14">
      <c r="A1087" s="170"/>
      <c r="B1087" s="171"/>
      <c r="C1087" s="171"/>
      <c r="D1087" s="171"/>
      <c r="E1087" s="170"/>
      <c r="F1087" s="170"/>
      <c r="G1087" s="170"/>
      <c r="H1087" s="170"/>
      <c r="I1087" s="170"/>
      <c r="J1087" s="170"/>
      <c r="K1087" s="170"/>
      <c r="N1087" s="173"/>
    </row>
    <row r="1088" spans="1:14">
      <c r="A1088" s="170"/>
      <c r="B1088" s="171">
        <v>-1.2284177840385118</v>
      </c>
      <c r="C1088" s="171">
        <v>-2.3993580133895418</v>
      </c>
      <c r="D1088" s="171">
        <v>0.6756623603325641</v>
      </c>
      <c r="E1088" s="170">
        <v>-1.4990492230334603E-2</v>
      </c>
      <c r="F1088" s="170">
        <v>0</v>
      </c>
      <c r="G1088" s="170">
        <v>0</v>
      </c>
      <c r="H1088" s="170">
        <v>0</v>
      </c>
      <c r="I1088" s="170">
        <v>0</v>
      </c>
      <c r="J1088" s="170">
        <v>0</v>
      </c>
      <c r="K1088" s="170">
        <v>0</v>
      </c>
      <c r="L1088">
        <v>3.8612243768644339</v>
      </c>
      <c r="N1088" s="172"/>
    </row>
    <row r="1089" spans="1:14">
      <c r="A1089" s="170" t="s">
        <v>483</v>
      </c>
      <c r="B1089" s="171">
        <v>-1.0097006711160386</v>
      </c>
      <c r="C1089" s="171">
        <v>-0.26302086313966178</v>
      </c>
      <c r="D1089" s="171">
        <v>0.76545275918666766</v>
      </c>
      <c r="E1089" s="170">
        <v>0</v>
      </c>
      <c r="F1089" s="170">
        <v>-1.4990492230334603E-2</v>
      </c>
      <c r="G1089" s="170">
        <v>0</v>
      </c>
      <c r="H1089" s="170">
        <v>0</v>
      </c>
      <c r="I1089" s="170">
        <v>0</v>
      </c>
      <c r="J1089" s="170">
        <v>0</v>
      </c>
      <c r="K1089" s="170">
        <v>0</v>
      </c>
      <c r="L1089">
        <v>0.83729667312269707</v>
      </c>
      <c r="N1089" s="172">
        <f>MCond(B1088:D1090)</f>
        <v>3.4265372448109996</v>
      </c>
    </row>
    <row r="1090" spans="1:14">
      <c r="A1090" s="170"/>
      <c r="B1090" s="171">
        <v>0.60912970227287866</v>
      </c>
      <c r="C1090" s="171">
        <v>-0.28261535739067112</v>
      </c>
      <c r="D1090" s="171">
        <v>0.68802996689194662</v>
      </c>
      <c r="E1090" s="170">
        <v>0</v>
      </c>
      <c r="F1090" s="170">
        <v>0</v>
      </c>
      <c r="G1090" s="170">
        <v>-1.4990492230334603E-2</v>
      </c>
      <c r="H1090" s="170">
        <v>0</v>
      </c>
      <c r="I1090" s="170">
        <v>0</v>
      </c>
      <c r="J1090" s="170">
        <v>0</v>
      </c>
      <c r="K1090" s="170">
        <v>0</v>
      </c>
      <c r="L1090">
        <v>0.46214783488271782</v>
      </c>
      <c r="N1090" s="172"/>
    </row>
    <row r="1091" spans="1:14">
      <c r="A1091" s="170"/>
      <c r="B1091" s="171"/>
      <c r="C1091" s="171"/>
      <c r="D1091" s="171"/>
      <c r="E1091" s="170"/>
      <c r="F1091" s="170"/>
      <c r="G1091" s="170"/>
      <c r="H1091" s="170"/>
      <c r="I1091" s="170"/>
      <c r="J1091" s="170"/>
      <c r="K1091" s="170"/>
      <c r="N1091" s="173"/>
    </row>
    <row r="1092" spans="1:14">
      <c r="A1092" s="170"/>
      <c r="B1092" s="171">
        <v>1.0673702345396179</v>
      </c>
      <c r="C1092" s="171">
        <v>-2.4075843796929846</v>
      </c>
      <c r="D1092" s="171">
        <v>0.708799578341892</v>
      </c>
      <c r="E1092" s="170">
        <v>-1.4990492230334603E-2</v>
      </c>
      <c r="F1092" s="170">
        <v>0</v>
      </c>
      <c r="G1092" s="170">
        <v>0</v>
      </c>
      <c r="H1092" s="170">
        <v>8.9700844372930258E-2</v>
      </c>
      <c r="I1092" s="170">
        <v>-5.8370098634356792E-2</v>
      </c>
      <c r="J1092" s="170">
        <v>0</v>
      </c>
      <c r="K1092" s="170">
        <v>0</v>
      </c>
      <c r="L1092">
        <v>3.7190693025902282</v>
      </c>
      <c r="N1092" s="172"/>
    </row>
    <row r="1093" spans="1:14">
      <c r="A1093" s="170" t="s">
        <v>484</v>
      </c>
      <c r="B1093" s="171">
        <v>-1.3773893306068323</v>
      </c>
      <c r="C1093" s="171">
        <v>-1.5521003879162059</v>
      </c>
      <c r="D1093" s="171">
        <v>0.65590292152571228</v>
      </c>
      <c r="E1093" s="170">
        <v>0</v>
      </c>
      <c r="F1093" s="170">
        <v>-1.4990492230334603E-2</v>
      </c>
      <c r="G1093" s="170">
        <v>0</v>
      </c>
      <c r="H1093" s="170">
        <v>8.9700844372930258E-2</v>
      </c>
      <c r="I1093" s="170">
        <v>0</v>
      </c>
      <c r="J1093" s="170">
        <v>-2.1174072073315828E-2</v>
      </c>
      <c r="K1093" s="170">
        <v>0</v>
      </c>
      <c r="L1093">
        <v>2.3682128123525694</v>
      </c>
      <c r="N1093" s="172">
        <f>MCond(B1092:D1094)</f>
        <v>12.100449578887144</v>
      </c>
    </row>
    <row r="1094" spans="1:14">
      <c r="A1094" s="170"/>
      <c r="B1094" s="171">
        <v>1.4675604394566215</v>
      </c>
      <c r="C1094" s="171">
        <v>-1.3235781323919831</v>
      </c>
      <c r="D1094" s="171">
        <v>0.72564008456612294</v>
      </c>
      <c r="E1094" s="170">
        <v>0</v>
      </c>
      <c r="F1094" s="170">
        <v>0</v>
      </c>
      <c r="G1094" s="170">
        <v>-1.4990492230334603E-2</v>
      </c>
      <c r="H1094" s="170">
        <v>8.9700844372930258E-2</v>
      </c>
      <c r="I1094" s="170">
        <v>0</v>
      </c>
      <c r="J1094" s="170">
        <v>0</v>
      </c>
      <c r="K1094" s="170">
        <v>6.8827960560405646E-2</v>
      </c>
      <c r="L1094">
        <v>2.216073124166746</v>
      </c>
      <c r="N1094" s="172"/>
    </row>
    <row r="1095" spans="1:14">
      <c r="A1095" s="170"/>
      <c r="B1095" s="171"/>
      <c r="C1095" s="171"/>
      <c r="D1095" s="171"/>
      <c r="E1095" s="170"/>
      <c r="F1095" s="170"/>
      <c r="G1095" s="170"/>
      <c r="H1095" s="170"/>
      <c r="I1095" s="170"/>
      <c r="J1095" s="170"/>
      <c r="K1095" s="170"/>
      <c r="N1095" s="173"/>
    </row>
    <row r="1096" spans="1:14">
      <c r="A1096" s="170"/>
      <c r="B1096" s="171">
        <v>1.0673702345396179</v>
      </c>
      <c r="C1096" s="171">
        <v>-2.4075843796929846</v>
      </c>
      <c r="D1096" s="171">
        <v>0.708799578341892</v>
      </c>
      <c r="E1096" s="170">
        <v>-1.4990492230334603E-2</v>
      </c>
      <c r="F1096" s="170">
        <v>0</v>
      </c>
      <c r="G1096" s="170">
        <v>0</v>
      </c>
      <c r="H1096" s="170">
        <v>8.9700844372930258E-2</v>
      </c>
      <c r="I1096" s="170">
        <v>-5.8370098634356792E-2</v>
      </c>
      <c r="J1096" s="170">
        <v>0</v>
      </c>
      <c r="K1096" s="170">
        <v>0</v>
      </c>
      <c r="L1096">
        <v>3.7190693025902282</v>
      </c>
      <c r="N1096" s="172"/>
    </row>
    <row r="1097" spans="1:14">
      <c r="A1097" s="170" t="s">
        <v>485</v>
      </c>
      <c r="B1097" s="171">
        <v>-1.3773893306068323</v>
      </c>
      <c r="C1097" s="171">
        <v>-1.5521003879162059</v>
      </c>
      <c r="D1097" s="171">
        <v>0.65590292152571228</v>
      </c>
      <c r="E1097" s="170">
        <v>0</v>
      </c>
      <c r="F1097" s="170">
        <v>-1.4990492230334603E-2</v>
      </c>
      <c r="G1097" s="170">
        <v>0</v>
      </c>
      <c r="H1097" s="170">
        <v>8.9700844372930258E-2</v>
      </c>
      <c r="I1097" s="170">
        <v>0</v>
      </c>
      <c r="J1097" s="170">
        <v>-2.1174072073315828E-2</v>
      </c>
      <c r="K1097" s="170">
        <v>0</v>
      </c>
      <c r="L1097">
        <v>2.3682128123525694</v>
      </c>
      <c r="N1097" s="172">
        <f>MCond(B1096:D1098)</f>
        <v>6.7197741867997447</v>
      </c>
    </row>
    <row r="1098" spans="1:14">
      <c r="A1098" s="170"/>
      <c r="B1098" s="171">
        <v>-1.0097006711160386</v>
      </c>
      <c r="C1098" s="171">
        <v>-0.26302086313966178</v>
      </c>
      <c r="D1098" s="171">
        <v>0.76545275918666766</v>
      </c>
      <c r="E1098" s="170">
        <v>0</v>
      </c>
      <c r="F1098" s="170">
        <v>0</v>
      </c>
      <c r="G1098" s="170">
        <v>-1.4990492230334603E-2</v>
      </c>
      <c r="H1098" s="170">
        <v>8.9700844372930258E-2</v>
      </c>
      <c r="I1098" s="170">
        <v>0</v>
      </c>
      <c r="J1098" s="170">
        <v>0</v>
      </c>
      <c r="K1098" s="170">
        <v>0.18191808401017825</v>
      </c>
      <c r="L1098">
        <v>0.83729667312269707</v>
      </c>
      <c r="N1098" s="172"/>
    </row>
    <row r="1099" spans="1:14">
      <c r="A1099" s="170"/>
      <c r="B1099" s="171"/>
      <c r="C1099" s="171"/>
      <c r="D1099" s="171"/>
      <c r="E1099" s="170"/>
      <c r="F1099" s="170"/>
      <c r="G1099" s="170"/>
      <c r="H1099" s="170"/>
      <c r="I1099" s="170"/>
      <c r="J1099" s="170"/>
      <c r="K1099" s="170"/>
      <c r="N1099" s="173"/>
    </row>
    <row r="1100" spans="1:14">
      <c r="A1100" s="170"/>
      <c r="B1100" s="171">
        <v>1.0673702345396179</v>
      </c>
      <c r="C1100" s="171">
        <v>-2.4075843796929846</v>
      </c>
      <c r="D1100" s="171">
        <v>0.708799578341892</v>
      </c>
      <c r="E1100" s="170">
        <v>-1.4990492230334603E-2</v>
      </c>
      <c r="F1100" s="170">
        <v>0</v>
      </c>
      <c r="G1100" s="170">
        <v>0</v>
      </c>
      <c r="H1100" s="170">
        <v>0</v>
      </c>
      <c r="I1100" s="170">
        <v>0</v>
      </c>
      <c r="J1100" s="170">
        <v>0</v>
      </c>
      <c r="K1100" s="170">
        <v>0</v>
      </c>
      <c r="L1100">
        <v>3.7190693025902282</v>
      </c>
      <c r="N1100" s="172"/>
    </row>
    <row r="1101" spans="1:14">
      <c r="A1101" s="170" t="s">
        <v>486</v>
      </c>
      <c r="B1101" s="171">
        <v>-1.3773893306068323</v>
      </c>
      <c r="C1101" s="171">
        <v>-1.5521003879162059</v>
      </c>
      <c r="D1101" s="171">
        <v>0.65590292152571228</v>
      </c>
      <c r="E1101" s="170">
        <v>0</v>
      </c>
      <c r="F1101" s="170">
        <v>-1.4990492230334603E-2</v>
      </c>
      <c r="G1101" s="170">
        <v>0</v>
      </c>
      <c r="H1101" s="170">
        <v>0</v>
      </c>
      <c r="I1101" s="170">
        <v>0</v>
      </c>
      <c r="J1101" s="170">
        <v>0</v>
      </c>
      <c r="K1101" s="170">
        <v>0</v>
      </c>
      <c r="L1101">
        <v>2.3682128123525694</v>
      </c>
      <c r="N1101" s="172">
        <f>MCond(B1100:D1102)</f>
        <v>5.3162933238372769</v>
      </c>
    </row>
    <row r="1102" spans="1:14">
      <c r="A1102" s="170"/>
      <c r="B1102" s="171">
        <v>0.60912970227287866</v>
      </c>
      <c r="C1102" s="171">
        <v>-0.28261535739067112</v>
      </c>
      <c r="D1102" s="171">
        <v>0.68802996689194662</v>
      </c>
      <c r="E1102" s="170">
        <v>0</v>
      </c>
      <c r="F1102" s="170">
        <v>0</v>
      </c>
      <c r="G1102" s="170">
        <v>-1.4990492230334603E-2</v>
      </c>
      <c r="H1102" s="170">
        <v>0</v>
      </c>
      <c r="I1102" s="170">
        <v>0</v>
      </c>
      <c r="J1102" s="170">
        <v>0</v>
      </c>
      <c r="K1102" s="170">
        <v>0</v>
      </c>
      <c r="L1102">
        <v>0.46214783488271782</v>
      </c>
      <c r="N1102" s="172"/>
    </row>
    <row r="1103" spans="1:14">
      <c r="A1103" s="170"/>
      <c r="B1103" s="171"/>
      <c r="C1103" s="171"/>
      <c r="D1103" s="171"/>
      <c r="E1103" s="170"/>
      <c r="F1103" s="170"/>
      <c r="G1103" s="170"/>
      <c r="H1103" s="170"/>
      <c r="I1103" s="170"/>
      <c r="J1103" s="170"/>
      <c r="K1103" s="170"/>
      <c r="N1103" s="173"/>
    </row>
    <row r="1104" spans="1:14">
      <c r="A1104" s="170"/>
      <c r="B1104" s="171">
        <v>1.0673702345396179</v>
      </c>
      <c r="C1104" s="171">
        <v>-2.4075843796929846</v>
      </c>
      <c r="D1104" s="171">
        <v>0.708799578341892</v>
      </c>
      <c r="E1104" s="170">
        <v>-1.4990492230334603E-2</v>
      </c>
      <c r="F1104" s="170">
        <v>0</v>
      </c>
      <c r="G1104" s="170">
        <v>0</v>
      </c>
      <c r="H1104" s="170">
        <v>8.9700844372930258E-2</v>
      </c>
      <c r="I1104" s="170">
        <v>-5.8370098634356792E-2</v>
      </c>
      <c r="J1104" s="170">
        <v>0</v>
      </c>
      <c r="K1104" s="170">
        <v>0</v>
      </c>
      <c r="L1104">
        <v>3.7190693025902282</v>
      </c>
      <c r="N1104" s="172"/>
    </row>
    <row r="1105" spans="1:14">
      <c r="A1105" s="170" t="s">
        <v>487</v>
      </c>
      <c r="B1105" s="171">
        <v>1.4675604394566215</v>
      </c>
      <c r="C1105" s="171">
        <v>-1.3235781323919831</v>
      </c>
      <c r="D1105" s="171">
        <v>0.72564008456612294</v>
      </c>
      <c r="E1105" s="170">
        <v>0</v>
      </c>
      <c r="F1105" s="170">
        <v>-1.4990492230334603E-2</v>
      </c>
      <c r="G1105" s="170">
        <v>0</v>
      </c>
      <c r="H1105" s="170">
        <v>8.9700844372930258E-2</v>
      </c>
      <c r="I1105" s="170">
        <v>0</v>
      </c>
      <c r="J1105" s="170">
        <v>6.8827960560405646E-2</v>
      </c>
      <c r="K1105" s="170">
        <v>0</v>
      </c>
      <c r="L1105">
        <v>2.216073124166746</v>
      </c>
      <c r="N1105" s="172">
        <f>MCond(B1104:D1106)</f>
        <v>6.5721137062563466</v>
      </c>
    </row>
    <row r="1106" spans="1:14">
      <c r="A1106" s="170"/>
      <c r="B1106" s="171">
        <v>-1.0097006711160386</v>
      </c>
      <c r="C1106" s="171">
        <v>-0.26302086313966178</v>
      </c>
      <c r="D1106" s="171">
        <v>0.76545275918666766</v>
      </c>
      <c r="E1106" s="170">
        <v>0</v>
      </c>
      <c r="F1106" s="170">
        <v>0</v>
      </c>
      <c r="G1106" s="170">
        <v>-1.4990492230334603E-2</v>
      </c>
      <c r="H1106" s="170">
        <v>8.9700844372930258E-2</v>
      </c>
      <c r="I1106" s="170">
        <v>0</v>
      </c>
      <c r="J1106" s="170">
        <v>0</v>
      </c>
      <c r="K1106" s="170">
        <v>0.18191808401017825</v>
      </c>
      <c r="L1106">
        <v>0.83729667312269707</v>
      </c>
      <c r="N1106" s="172"/>
    </row>
    <row r="1107" spans="1:14">
      <c r="A1107" s="170"/>
      <c r="B1107" s="171"/>
      <c r="C1107" s="171"/>
      <c r="D1107" s="171"/>
      <c r="E1107" s="170"/>
      <c r="F1107" s="170"/>
      <c r="G1107" s="170"/>
      <c r="H1107" s="170"/>
      <c r="I1107" s="170"/>
      <c r="J1107" s="170"/>
      <c r="K1107" s="170"/>
      <c r="N1107" s="173"/>
    </row>
    <row r="1108" spans="1:14">
      <c r="A1108" s="170"/>
      <c r="B1108" s="171">
        <v>1.0673702345396179</v>
      </c>
      <c r="C1108" s="171">
        <v>-2.4075843796929846</v>
      </c>
      <c r="D1108" s="171">
        <v>0.708799578341892</v>
      </c>
      <c r="E1108" s="170">
        <v>-1.4990492230334603E-2</v>
      </c>
      <c r="F1108" s="170">
        <v>0</v>
      </c>
      <c r="G1108" s="170">
        <v>0</v>
      </c>
      <c r="H1108" s="170">
        <v>0</v>
      </c>
      <c r="I1108" s="170">
        <v>0</v>
      </c>
      <c r="J1108" s="170">
        <v>0</v>
      </c>
      <c r="K1108" s="170">
        <v>0</v>
      </c>
      <c r="L1108">
        <v>3.7190693025902282</v>
      </c>
      <c r="N1108" s="172"/>
    </row>
    <row r="1109" spans="1:14">
      <c r="A1109" s="170" t="s">
        <v>488</v>
      </c>
      <c r="B1109" s="171">
        <v>1.4675604394566215</v>
      </c>
      <c r="C1109" s="171">
        <v>-1.3235781323919831</v>
      </c>
      <c r="D1109" s="171">
        <v>0.72564008456612294</v>
      </c>
      <c r="E1109" s="170">
        <v>0</v>
      </c>
      <c r="F1109" s="170">
        <v>-1.4990492230334603E-2</v>
      </c>
      <c r="G1109" s="170">
        <v>0</v>
      </c>
      <c r="H1109" s="170">
        <v>0</v>
      </c>
      <c r="I1109" s="170">
        <v>0</v>
      </c>
      <c r="J1109" s="170">
        <v>0</v>
      </c>
      <c r="K1109" s="170">
        <v>0</v>
      </c>
      <c r="L1109">
        <v>2.216073124166746</v>
      </c>
      <c r="N1109" s="172">
        <f>MCond(B1108:D1110)</f>
        <v>11.385227489967416</v>
      </c>
    </row>
    <row r="1110" spans="1:14">
      <c r="A1110" s="170"/>
      <c r="B1110" s="171">
        <v>0.60912970227287866</v>
      </c>
      <c r="C1110" s="171">
        <v>-0.28261535739067112</v>
      </c>
      <c r="D1110" s="171">
        <v>0.68802996689194662</v>
      </c>
      <c r="E1110" s="170">
        <v>0</v>
      </c>
      <c r="F1110" s="170">
        <v>0</v>
      </c>
      <c r="G1110" s="170">
        <v>-1.4990492230334603E-2</v>
      </c>
      <c r="H1110" s="170">
        <v>0</v>
      </c>
      <c r="I1110" s="170">
        <v>0</v>
      </c>
      <c r="J1110" s="170">
        <v>0</v>
      </c>
      <c r="K1110" s="170">
        <v>0</v>
      </c>
      <c r="L1110">
        <v>0.46214783488271782</v>
      </c>
      <c r="N1110" s="172"/>
    </row>
    <row r="1111" spans="1:14">
      <c r="A1111" s="170"/>
      <c r="B1111" s="171"/>
      <c r="C1111" s="171"/>
      <c r="D1111" s="171"/>
      <c r="E1111" s="170"/>
      <c r="F1111" s="170"/>
      <c r="G1111" s="170"/>
      <c r="H1111" s="170"/>
      <c r="I1111" s="170"/>
      <c r="J1111" s="170"/>
      <c r="K1111" s="170"/>
      <c r="N1111" s="173"/>
    </row>
    <row r="1112" spans="1:14">
      <c r="A1112" s="170"/>
      <c r="B1112" s="171">
        <v>1.0673702345396179</v>
      </c>
      <c r="C1112" s="171">
        <v>-2.4075843796929846</v>
      </c>
      <c r="D1112" s="171">
        <v>0.708799578341892</v>
      </c>
      <c r="E1112" s="170">
        <v>-1.4990492230334603E-2</v>
      </c>
      <c r="F1112" s="170">
        <v>0</v>
      </c>
      <c r="G1112" s="170">
        <v>0</v>
      </c>
      <c r="H1112" s="170">
        <v>0</v>
      </c>
      <c r="I1112" s="170">
        <v>0</v>
      </c>
      <c r="J1112" s="170">
        <v>0</v>
      </c>
      <c r="K1112" s="170">
        <v>0</v>
      </c>
      <c r="L1112">
        <v>3.7190693025902282</v>
      </c>
      <c r="N1112" s="172"/>
    </row>
    <row r="1113" spans="1:14">
      <c r="A1113" s="170" t="s">
        <v>489</v>
      </c>
      <c r="B1113" s="171">
        <v>-1.0097006711160386</v>
      </c>
      <c r="C1113" s="171">
        <v>-0.26302086313966178</v>
      </c>
      <c r="D1113" s="171">
        <v>0.76545275918666766</v>
      </c>
      <c r="E1113" s="170">
        <v>0</v>
      </c>
      <c r="F1113" s="170">
        <v>-1.4990492230334603E-2</v>
      </c>
      <c r="G1113" s="170">
        <v>0</v>
      </c>
      <c r="H1113" s="170">
        <v>0</v>
      </c>
      <c r="I1113" s="170">
        <v>0</v>
      </c>
      <c r="J1113" s="170">
        <v>0</v>
      </c>
      <c r="K1113" s="170">
        <v>0</v>
      </c>
      <c r="L1113">
        <v>0.83729667312269707</v>
      </c>
      <c r="N1113" s="172">
        <f>MCond(B1112:D1114)</f>
        <v>4.1936501463501141</v>
      </c>
    </row>
    <row r="1114" spans="1:14">
      <c r="A1114" s="170"/>
      <c r="B1114" s="171">
        <v>0.60912970227287866</v>
      </c>
      <c r="C1114" s="171">
        <v>-0.28261535739067112</v>
      </c>
      <c r="D1114" s="171">
        <v>0.68802996689194662</v>
      </c>
      <c r="E1114" s="170">
        <v>0</v>
      </c>
      <c r="F1114" s="170">
        <v>0</v>
      </c>
      <c r="G1114" s="170">
        <v>-1.4990492230334603E-2</v>
      </c>
      <c r="H1114" s="170">
        <v>0</v>
      </c>
      <c r="I1114" s="170">
        <v>0</v>
      </c>
      <c r="J1114" s="170">
        <v>0</v>
      </c>
      <c r="K1114" s="170">
        <v>0</v>
      </c>
      <c r="L1114">
        <v>0.46214783488271782</v>
      </c>
      <c r="N1114" s="172"/>
    </row>
    <row r="1115" spans="1:14">
      <c r="A1115" s="170"/>
      <c r="B1115" s="171"/>
      <c r="C1115" s="171"/>
      <c r="D1115" s="171"/>
      <c r="E1115" s="170"/>
      <c r="F1115" s="170"/>
      <c r="G1115" s="170"/>
      <c r="H1115" s="170"/>
      <c r="I1115" s="170"/>
      <c r="J1115" s="170"/>
      <c r="K1115" s="170"/>
      <c r="N1115" s="173"/>
    </row>
    <row r="1116" spans="1:14">
      <c r="A1116" s="170"/>
      <c r="B1116" s="171">
        <v>-1.3773893306068323</v>
      </c>
      <c r="C1116" s="171">
        <v>-1.5521003879162059</v>
      </c>
      <c r="D1116" s="171">
        <v>0.65590292152571228</v>
      </c>
      <c r="E1116" s="170">
        <v>-1.4990492230334603E-2</v>
      </c>
      <c r="F1116" s="170">
        <v>0</v>
      </c>
      <c r="G1116" s="170">
        <v>0</v>
      </c>
      <c r="H1116" s="170">
        <v>8.9700844372930258E-2</v>
      </c>
      <c r="I1116" s="170">
        <v>-2.1174072073315828E-2</v>
      </c>
      <c r="J1116" s="170">
        <v>0</v>
      </c>
      <c r="K1116" s="170">
        <v>0</v>
      </c>
      <c r="L1116">
        <v>2.3682128123525694</v>
      </c>
      <c r="N1116" s="172"/>
    </row>
    <row r="1117" spans="1:14">
      <c r="A1117" s="170" t="s">
        <v>490</v>
      </c>
      <c r="B1117" s="171">
        <v>1.4675604394566215</v>
      </c>
      <c r="C1117" s="171">
        <v>-1.3235781323919831</v>
      </c>
      <c r="D1117" s="171">
        <v>0.72564008456612294</v>
      </c>
      <c r="E1117" s="170">
        <v>0</v>
      </c>
      <c r="F1117" s="170">
        <v>-1.4990492230334603E-2</v>
      </c>
      <c r="G1117" s="170">
        <v>0</v>
      </c>
      <c r="H1117" s="170">
        <v>8.9700844372930258E-2</v>
      </c>
      <c r="I1117" s="170">
        <v>0</v>
      </c>
      <c r="J1117" s="170">
        <v>6.8827960560405646E-2</v>
      </c>
      <c r="K1117" s="170">
        <v>0</v>
      </c>
      <c r="L1117">
        <v>2.216073124166746</v>
      </c>
      <c r="N1117" s="172">
        <f>MCond(B1116:D1118)</f>
        <v>4.4300562065933597</v>
      </c>
    </row>
    <row r="1118" spans="1:14">
      <c r="A1118" s="170"/>
      <c r="B1118" s="171">
        <v>-1.0097006711160386</v>
      </c>
      <c r="C1118" s="171">
        <v>-0.26302086313966178</v>
      </c>
      <c r="D1118" s="171">
        <v>0.76545275918666766</v>
      </c>
      <c r="E1118" s="170">
        <v>0</v>
      </c>
      <c r="F1118" s="170">
        <v>0</v>
      </c>
      <c r="G1118" s="170">
        <v>-1.4990492230334603E-2</v>
      </c>
      <c r="H1118" s="170">
        <v>8.9700844372930258E-2</v>
      </c>
      <c r="I1118" s="170">
        <v>0</v>
      </c>
      <c r="J1118" s="170">
        <v>0</v>
      </c>
      <c r="K1118" s="170">
        <v>0.18191808401017825</v>
      </c>
      <c r="L1118">
        <v>0.83729667312269707</v>
      </c>
      <c r="N1118" s="172"/>
    </row>
    <row r="1119" spans="1:14">
      <c r="A1119" s="170"/>
      <c r="B1119" s="171"/>
      <c r="C1119" s="171"/>
      <c r="D1119" s="171"/>
      <c r="E1119" s="170"/>
      <c r="F1119" s="170"/>
      <c r="G1119" s="170"/>
      <c r="H1119" s="170"/>
      <c r="I1119" s="170"/>
      <c r="J1119" s="170"/>
      <c r="K1119" s="170"/>
      <c r="N1119" s="173"/>
    </row>
    <row r="1120" spans="1:14">
      <c r="A1120" s="170"/>
      <c r="B1120" s="171">
        <v>-1.3773893306068323</v>
      </c>
      <c r="C1120" s="171">
        <v>-1.5521003879162059</v>
      </c>
      <c r="D1120" s="171">
        <v>0.65590292152571228</v>
      </c>
      <c r="E1120" s="170">
        <v>-1.4990492230334603E-2</v>
      </c>
      <c r="F1120" s="170">
        <v>0</v>
      </c>
      <c r="G1120" s="170">
        <v>0</v>
      </c>
      <c r="H1120" s="170">
        <v>0</v>
      </c>
      <c r="I1120" s="170">
        <v>0</v>
      </c>
      <c r="J1120" s="170">
        <v>0</v>
      </c>
      <c r="K1120" s="170">
        <v>0</v>
      </c>
      <c r="L1120">
        <v>2.3682128123525694</v>
      </c>
      <c r="N1120" s="172"/>
    </row>
    <row r="1121" spans="1:16">
      <c r="A1121" s="170" t="s">
        <v>491</v>
      </c>
      <c r="B1121" s="171">
        <v>1.4675604394566215</v>
      </c>
      <c r="C1121" s="171">
        <v>-1.3235781323919831</v>
      </c>
      <c r="D1121" s="171">
        <v>0.72564008456612294</v>
      </c>
      <c r="E1121" s="170">
        <v>0</v>
      </c>
      <c r="F1121" s="170">
        <v>-1.4990492230334603E-2</v>
      </c>
      <c r="G1121" s="170">
        <v>0</v>
      </c>
      <c r="H1121" s="170">
        <v>0</v>
      </c>
      <c r="I1121" s="170">
        <v>0</v>
      </c>
      <c r="J1121" s="170">
        <v>0</v>
      </c>
      <c r="K1121" s="170">
        <v>0</v>
      </c>
      <c r="L1121">
        <v>2.216073124166746</v>
      </c>
      <c r="N1121" s="172">
        <f>MCond(B1120:D1122)</f>
        <v>5.4697357909735507</v>
      </c>
    </row>
    <row r="1122" spans="1:16">
      <c r="A1122" s="170"/>
      <c r="B1122" s="171">
        <v>0.60912970227287866</v>
      </c>
      <c r="C1122" s="171">
        <v>-0.28261535739067112</v>
      </c>
      <c r="D1122" s="171">
        <v>0.68802996689194662</v>
      </c>
      <c r="E1122" s="170">
        <v>0</v>
      </c>
      <c r="F1122" s="170">
        <v>0</v>
      </c>
      <c r="G1122" s="170">
        <v>-1.4990492230334603E-2</v>
      </c>
      <c r="H1122" s="170">
        <v>0</v>
      </c>
      <c r="I1122" s="170">
        <v>0</v>
      </c>
      <c r="J1122" s="170">
        <v>0</v>
      </c>
      <c r="K1122" s="170">
        <v>0</v>
      </c>
      <c r="L1122">
        <v>0.46214783488271782</v>
      </c>
      <c r="N1122" s="172"/>
    </row>
    <row r="1123" spans="1:16">
      <c r="A1123" s="170"/>
      <c r="B1123" s="171"/>
      <c r="C1123" s="171"/>
      <c r="D1123" s="171"/>
      <c r="E1123" s="170"/>
      <c r="F1123" s="170"/>
      <c r="G1123" s="170"/>
      <c r="H1123" s="170"/>
      <c r="I1123" s="170"/>
      <c r="J1123" s="170"/>
      <c r="K1123" s="170"/>
      <c r="N1123" s="173"/>
    </row>
    <row r="1124" spans="1:16">
      <c r="A1124" s="170"/>
      <c r="B1124" s="171">
        <v>-1.3773893306068323</v>
      </c>
      <c r="C1124" s="171">
        <v>-1.5521003879162059</v>
      </c>
      <c r="D1124" s="171">
        <v>0.65590292152571228</v>
      </c>
      <c r="E1124" s="170">
        <v>-1.4990492230334603E-2</v>
      </c>
      <c r="F1124" s="170">
        <v>0</v>
      </c>
      <c r="G1124" s="170">
        <v>0</v>
      </c>
      <c r="H1124" s="170">
        <v>0</v>
      </c>
      <c r="I1124" s="170">
        <v>0</v>
      </c>
      <c r="J1124" s="170">
        <v>0</v>
      </c>
      <c r="K1124" s="170">
        <v>0</v>
      </c>
      <c r="L1124">
        <v>2.3682128123525694</v>
      </c>
      <c r="N1124" s="172"/>
    </row>
    <row r="1125" spans="1:16">
      <c r="A1125" s="170" t="s">
        <v>492</v>
      </c>
      <c r="B1125" s="171">
        <v>-1.0097006711160386</v>
      </c>
      <c r="C1125" s="171">
        <v>-0.26302086313966178</v>
      </c>
      <c r="D1125" s="171">
        <v>0.76545275918666766</v>
      </c>
      <c r="E1125" s="170">
        <v>0</v>
      </c>
      <c r="F1125" s="170">
        <v>-1.4990492230334603E-2</v>
      </c>
      <c r="G1125" s="170">
        <v>0</v>
      </c>
      <c r="H1125" s="170">
        <v>0</v>
      </c>
      <c r="I1125" s="170">
        <v>0</v>
      </c>
      <c r="J1125" s="170">
        <v>0</v>
      </c>
      <c r="K1125" s="170">
        <v>0</v>
      </c>
      <c r="L1125">
        <v>0.83729667312269707</v>
      </c>
      <c r="N1125" s="172">
        <f>MCond(B1124:D1126)</f>
        <v>3.6876331792039538</v>
      </c>
    </row>
    <row r="1126" spans="1:16">
      <c r="A1126" s="170"/>
      <c r="B1126" s="171">
        <v>0.60912970227287866</v>
      </c>
      <c r="C1126" s="171">
        <v>-0.28261535739067112</v>
      </c>
      <c r="D1126" s="171">
        <v>0.68802996689194662</v>
      </c>
      <c r="E1126" s="170">
        <v>0</v>
      </c>
      <c r="F1126" s="170">
        <v>0</v>
      </c>
      <c r="G1126" s="170">
        <v>-1.4990492230334603E-2</v>
      </c>
      <c r="H1126" s="170">
        <v>0</v>
      </c>
      <c r="I1126" s="170">
        <v>0</v>
      </c>
      <c r="J1126" s="170">
        <v>0</v>
      </c>
      <c r="K1126" s="170">
        <v>0</v>
      </c>
      <c r="L1126">
        <v>0.46214783488271782</v>
      </c>
      <c r="N1126" s="172"/>
    </row>
    <row r="1127" spans="1:16">
      <c r="A1127" s="170"/>
      <c r="B1127" s="171"/>
      <c r="C1127" s="171"/>
      <c r="D1127" s="171"/>
      <c r="E1127" s="170"/>
      <c r="F1127" s="170"/>
      <c r="G1127" s="170"/>
      <c r="H1127" s="170"/>
      <c r="I1127" s="170"/>
      <c r="J1127" s="170"/>
      <c r="K1127" s="170"/>
      <c r="N1127" s="173"/>
    </row>
    <row r="1128" spans="1:16">
      <c r="A1128" s="170"/>
      <c r="B1128" s="171">
        <v>1.4675604394566215</v>
      </c>
      <c r="C1128" s="171">
        <v>-1.3235781323919831</v>
      </c>
      <c r="D1128" s="171">
        <v>0.72564008456612294</v>
      </c>
      <c r="E1128" s="170">
        <v>-1.4990492230334603E-2</v>
      </c>
      <c r="F1128" s="170">
        <v>0</v>
      </c>
      <c r="G1128" s="170">
        <v>0</v>
      </c>
      <c r="H1128" s="170">
        <v>0</v>
      </c>
      <c r="I1128" s="170">
        <v>0</v>
      </c>
      <c r="J1128" s="170">
        <v>0</v>
      </c>
      <c r="K1128" s="170">
        <v>0</v>
      </c>
      <c r="L1128">
        <v>2.216073124166746</v>
      </c>
      <c r="N1128" s="172"/>
      <c r="O1128" s="35"/>
      <c r="P1128" s="35"/>
    </row>
    <row r="1129" spans="1:16">
      <c r="A1129" s="170" t="s">
        <v>493</v>
      </c>
      <c r="B1129" s="171">
        <v>-1.0097006711160386</v>
      </c>
      <c r="C1129" s="171">
        <v>-0.26302086313966178</v>
      </c>
      <c r="D1129" s="171">
        <v>0.76545275918666766</v>
      </c>
      <c r="E1129" s="170">
        <v>0</v>
      </c>
      <c r="F1129" s="170">
        <v>-1.4990492230334603E-2</v>
      </c>
      <c r="G1129" s="170">
        <v>0</v>
      </c>
      <c r="H1129" s="170">
        <v>0</v>
      </c>
      <c r="I1129" s="170">
        <v>0</v>
      </c>
      <c r="J1129" s="170">
        <v>0</v>
      </c>
      <c r="K1129" s="170">
        <v>0</v>
      </c>
      <c r="L1129">
        <v>0.83729667312269707</v>
      </c>
      <c r="N1129" s="172">
        <f>MCond(B1128:D1130)</f>
        <v>5.7586173410951851</v>
      </c>
      <c r="O1129" s="35"/>
      <c r="P1129" s="35"/>
    </row>
    <row r="1130" spans="1:16">
      <c r="A1130" s="170"/>
      <c r="B1130" s="171">
        <v>0.60912970227287866</v>
      </c>
      <c r="C1130" s="171">
        <v>-0.28261535739067112</v>
      </c>
      <c r="D1130" s="171">
        <v>0.68802996689194662</v>
      </c>
      <c r="E1130" s="170">
        <v>0</v>
      </c>
      <c r="F1130" s="170">
        <v>0</v>
      </c>
      <c r="G1130" s="170">
        <v>-1.4990492230334603E-2</v>
      </c>
      <c r="H1130" s="170">
        <v>0</v>
      </c>
      <c r="I1130" s="170">
        <v>0</v>
      </c>
      <c r="J1130" s="170">
        <v>0</v>
      </c>
      <c r="K1130" s="170">
        <v>0</v>
      </c>
      <c r="L1130">
        <v>0.46214783488271782</v>
      </c>
      <c r="N1130" s="172"/>
      <c r="O1130" s="35"/>
      <c r="P1130" s="35"/>
    </row>
    <row r="1131" spans="1:16">
      <c r="A1131" s="170"/>
      <c r="B1131" s="170"/>
      <c r="C1131" s="170"/>
      <c r="D1131" s="170"/>
      <c r="E1131" s="170"/>
      <c r="F1131" s="170"/>
      <c r="G1131" s="170"/>
      <c r="H1131" s="170"/>
      <c r="I1131" s="170"/>
      <c r="J1131" s="170"/>
      <c r="K1131" s="170"/>
      <c r="N1131" s="174"/>
    </row>
  </sheetData>
  <autoFilter ref="S294:T573">
    <sortState ref="S295:T573">
      <sortCondition descending="1" ref="T294:T573"/>
    </sortState>
  </autoFilter>
  <pageMargins left="0.70866141732283472" right="0.70866141732283472" top="0.78740157480314965" bottom="0.78740157480314965" header="0.31496062992125984" footer="0.31496062992125984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7"/>
  <dimension ref="A1:T158"/>
  <sheetViews>
    <sheetView workbookViewId="0">
      <selection activeCell="G24" sqref="G24"/>
    </sheetView>
  </sheetViews>
  <sheetFormatPr baseColWidth="10" defaultRowHeight="15"/>
  <sheetData>
    <row r="1" spans="1:15">
      <c r="A1" s="185">
        <v>0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</row>
    <row r="2" spans="1:15">
      <c r="B2" s="2" t="s">
        <v>97</v>
      </c>
      <c r="C2" s="47">
        <v>300000000</v>
      </c>
      <c r="D2" s="2" t="s">
        <v>98</v>
      </c>
      <c r="E2" s="2"/>
      <c r="F2" s="2"/>
      <c r="G2" s="2"/>
      <c r="H2" s="2"/>
      <c r="I2" s="2"/>
      <c r="J2" s="2"/>
      <c r="K2" s="2"/>
    </row>
    <row r="3" spans="1:15">
      <c r="B3" s="2" t="s">
        <v>99</v>
      </c>
      <c r="C3" s="47">
        <v>866300000</v>
      </c>
      <c r="D3" s="2" t="s">
        <v>100</v>
      </c>
      <c r="E3" s="2"/>
      <c r="F3" s="2"/>
      <c r="G3" s="2"/>
      <c r="H3" s="2"/>
      <c r="I3" s="2"/>
      <c r="J3" s="2"/>
      <c r="K3" s="2"/>
    </row>
    <row r="4" spans="1:15">
      <c r="B4" s="2" t="s">
        <v>101</v>
      </c>
      <c r="C4" s="2">
        <f>$C$2/$C$3</f>
        <v>0.34630035784370311</v>
      </c>
      <c r="D4" s="2" t="s">
        <v>102</v>
      </c>
      <c r="E4" s="2"/>
      <c r="F4" s="2"/>
      <c r="G4" s="2"/>
      <c r="H4" s="2"/>
      <c r="I4" s="2"/>
      <c r="J4" s="2"/>
      <c r="K4" s="2"/>
    </row>
    <row r="5" spans="1:15">
      <c r="B5" s="2"/>
      <c r="C5" s="2"/>
      <c r="D5" s="2"/>
      <c r="E5" s="2"/>
      <c r="F5" s="2"/>
      <c r="G5" s="2"/>
      <c r="H5" s="2"/>
      <c r="I5" s="2"/>
      <c r="J5" s="2"/>
      <c r="K5" s="2"/>
    </row>
    <row r="6" spans="1:15">
      <c r="A6" s="2"/>
      <c r="B6" s="147" t="s">
        <v>78</v>
      </c>
      <c r="C6" s="2"/>
      <c r="D6" s="26" t="s">
        <v>77</v>
      </c>
      <c r="E6" s="26" t="s">
        <v>75</v>
      </c>
      <c r="F6" s="26" t="s">
        <v>76</v>
      </c>
      <c r="G6" s="26" t="s">
        <v>79</v>
      </c>
      <c r="H6" s="26" t="s">
        <v>80</v>
      </c>
      <c r="I6" s="26"/>
      <c r="J6" s="26"/>
      <c r="K6" s="26"/>
    </row>
    <row r="7" spans="1:15">
      <c r="A7" s="2"/>
      <c r="B7" s="26">
        <v>1</v>
      </c>
      <c r="C7" s="2"/>
      <c r="D7" s="115"/>
      <c r="E7" s="2">
        <f>$C$4^2/8</f>
        <v>1.4990492230334603E-2</v>
      </c>
      <c r="F7" s="2">
        <f>E$7/PI()</f>
        <v>4.7716218756768064E-3</v>
      </c>
      <c r="G7" s="115"/>
      <c r="H7" s="116"/>
      <c r="I7" s="2"/>
      <c r="J7" s="31"/>
      <c r="K7" s="2"/>
      <c r="L7" s="2"/>
      <c r="M7" s="2"/>
      <c r="N7" s="2"/>
      <c r="O7" s="2"/>
    </row>
    <row r="8" spans="1:15">
      <c r="A8" s="2"/>
      <c r="B8" s="26">
        <v>2</v>
      </c>
      <c r="C8" s="2"/>
      <c r="D8" s="115"/>
      <c r="E8" s="61" t="s">
        <v>104</v>
      </c>
      <c r="F8" s="61" t="s">
        <v>104</v>
      </c>
      <c r="G8" s="115"/>
      <c r="H8" s="116"/>
      <c r="I8" s="2"/>
      <c r="J8" s="31"/>
      <c r="K8" s="2"/>
      <c r="L8" s="2"/>
      <c r="M8" s="2"/>
      <c r="N8" s="2"/>
      <c r="O8" s="2"/>
    </row>
    <row r="9" spans="1:15">
      <c r="A9" s="2"/>
      <c r="B9" s="26">
        <v>3</v>
      </c>
      <c r="C9" s="2"/>
      <c r="D9" s="115"/>
      <c r="E9" s="61" t="s">
        <v>104</v>
      </c>
      <c r="F9" s="61" t="s">
        <v>104</v>
      </c>
      <c r="G9" s="115"/>
      <c r="H9" s="116"/>
      <c r="I9" s="2"/>
      <c r="J9" s="31"/>
      <c r="K9" s="2"/>
      <c r="L9" s="2"/>
      <c r="M9" s="2"/>
      <c r="N9" s="2"/>
      <c r="O9" s="2"/>
    </row>
    <row r="10" spans="1:15">
      <c r="A10" s="2"/>
      <c r="B10" s="26">
        <v>0</v>
      </c>
      <c r="C10" s="52"/>
      <c r="D10" s="61"/>
      <c r="E10" s="61"/>
      <c r="F10" s="61"/>
      <c r="G10" s="61"/>
      <c r="H10" s="116"/>
      <c r="I10" s="2"/>
      <c r="J10" s="81"/>
      <c r="K10" s="2"/>
      <c r="L10" s="2"/>
      <c r="M10" s="2"/>
      <c r="N10" s="2"/>
      <c r="O10" s="2"/>
    </row>
    <row r="11" spans="1:15">
      <c r="A11" s="2"/>
      <c r="B11" s="26"/>
      <c r="C11" s="52"/>
      <c r="D11" s="111" t="s">
        <v>77</v>
      </c>
      <c r="E11" s="111"/>
      <c r="F11" s="111"/>
      <c r="G11" s="111"/>
      <c r="H11" s="2"/>
      <c r="I11" s="2"/>
      <c r="J11" s="26" t="s">
        <v>79</v>
      </c>
      <c r="K11" s="26" t="s">
        <v>79</v>
      </c>
      <c r="L11" s="26" t="s">
        <v>79</v>
      </c>
      <c r="M11" s="26" t="s">
        <v>79</v>
      </c>
      <c r="N11" s="2"/>
      <c r="O11" s="2"/>
    </row>
    <row r="12" spans="1:15">
      <c r="A12" s="2"/>
      <c r="B12" s="26"/>
      <c r="C12" s="130">
        <v>1</v>
      </c>
      <c r="D12" s="2">
        <f>0.5*($C$123)^2</f>
        <v>1.0599498795536459</v>
      </c>
      <c r="E12" s="2">
        <f>5*$C$123^2</f>
        <v>10.599498795536459</v>
      </c>
      <c r="F12" s="2"/>
      <c r="G12" s="2"/>
      <c r="H12" s="2"/>
      <c r="I12" s="129">
        <v>1</v>
      </c>
      <c r="J12" s="2">
        <f>A_1*(1/(2*PI())^2)*(T_0^2-T_2^2)</f>
        <v>0.29506271563788528</v>
      </c>
      <c r="K12" s="2">
        <f>A_1*(1/(2*PI())^2)*(T_0^2-T_2^2)</f>
        <v>0.29506271563788528</v>
      </c>
      <c r="L12" s="2">
        <f>A_1*(1/(2*PI())^2)*(T_0^2-T_2^2)</f>
        <v>0.29506271563788528</v>
      </c>
      <c r="M12" s="2">
        <f>A_1*(1/(2*PI())^2)*(T_0^2-T_2^2)</f>
        <v>0.29506271563788528</v>
      </c>
      <c r="N12" s="2">
        <f>A_1*(1/(2*PI())^2)*(T_0^2-T_2^2)</f>
        <v>0.29506271563788528</v>
      </c>
      <c r="O12" s="2"/>
    </row>
    <row r="13" spans="1:15">
      <c r="A13" s="2"/>
      <c r="B13" s="26"/>
      <c r="C13" s="130">
        <v>2</v>
      </c>
      <c r="D13" s="2">
        <f>0.5*($D$123)^2</f>
        <v>0.84198942471462679</v>
      </c>
      <c r="E13" s="2">
        <f>0.5*($D$123)^2</f>
        <v>0.84198942471462679</v>
      </c>
      <c r="F13" s="2"/>
      <c r="G13" s="2"/>
      <c r="H13" s="2"/>
      <c r="I13" s="2">
        <v>2</v>
      </c>
      <c r="J13" s="2">
        <f>A_1*(1/(2*PI())^2)*(T_0^2-T_3^2)</f>
        <v>0.34440611012014449</v>
      </c>
      <c r="K13" s="2">
        <f>A_1*(1/(2*PI())^2)*(T_0^2-T_5^2)</f>
        <v>-0.20003645154081437</v>
      </c>
      <c r="L13" s="2">
        <f>A_1*(1/(2*PI())^2)*(T_0^2-T_4^2)</f>
        <v>0.27287832502747572</v>
      </c>
      <c r="M13" s="2">
        <f>A_1*(1/(2*PI())^2)*(T_0^2-T_3^2)</f>
        <v>0.34440611012014449</v>
      </c>
      <c r="N13" s="2">
        <f>A_1*(1/(2*PI())^2)*(T_0^2-T_3^2)</f>
        <v>0.34440611012014449</v>
      </c>
      <c r="O13" s="2"/>
    </row>
    <row r="14" spans="1:15">
      <c r="A14" s="2"/>
      <c r="B14" s="26">
        <v>-1.4028471761352286</v>
      </c>
      <c r="C14" s="130">
        <v>0.814665459345566</v>
      </c>
      <c r="D14" s="2">
        <f>0.5*($E$123)^2</f>
        <v>1.5747328563547551</v>
      </c>
      <c r="E14" s="2">
        <f>0.5*$E$123^2</f>
        <v>1.5747328563547551</v>
      </c>
      <c r="F14" s="2"/>
      <c r="G14" s="2">
        <v>-1.4990492230334603E-2</v>
      </c>
      <c r="H14" s="2"/>
      <c r="I14" s="2">
        <v>3</v>
      </c>
      <c r="J14" s="2">
        <f>A_1*(1/(2*PI())^2)*(T_0^2-T_4^2)</f>
        <v>0.27287832502747572</v>
      </c>
      <c r="K14" s="2">
        <f>A_1*(1/(2*PI())^2)*(T_0^2-T_7^2)</f>
        <v>0.21769412434432645</v>
      </c>
      <c r="L14" s="2">
        <v>0.88733670507726525</v>
      </c>
      <c r="M14" s="2">
        <f>A_1*(1/(2*PI())^2)*(T_0^2-T_7^2)</f>
        <v>0.21769412434432645</v>
      </c>
      <c r="N14" s="2">
        <f>A_1*(1/(2*PI())^2)*(T_0^2-T_5^2)</f>
        <v>-0.20003645154081437</v>
      </c>
      <c r="O14" s="2"/>
    </row>
    <row r="15" spans="1:15">
      <c r="A15" s="2"/>
      <c r="B15" s="26"/>
      <c r="C15" s="130">
        <v>4</v>
      </c>
      <c r="D15" s="2">
        <f>0.5*($F$123)^2</f>
        <v>1.8954667052703305</v>
      </c>
      <c r="E15" s="2">
        <f>0.5*($F$123)^2</f>
        <v>1.8954667052703305</v>
      </c>
      <c r="F15" s="2"/>
      <c r="G15" s="2"/>
      <c r="H15" s="114"/>
      <c r="I15" s="2"/>
      <c r="J15" s="81"/>
      <c r="K15" s="2"/>
      <c r="L15" s="2"/>
      <c r="M15" s="2"/>
      <c r="N15" s="2"/>
      <c r="O15" s="2"/>
    </row>
    <row r="16" spans="1:15">
      <c r="A16" s="2"/>
      <c r="B16" s="26"/>
      <c r="C16" s="130">
        <v>5</v>
      </c>
      <c r="D16" s="2">
        <f>0.5*($G$123)^2</f>
        <v>3.0923821493075772</v>
      </c>
      <c r="E16" s="2">
        <f>0.5*($G$123)^2</f>
        <v>3.0923821493075772</v>
      </c>
      <c r="F16" s="2"/>
      <c r="G16" s="2"/>
      <c r="H16" s="114"/>
      <c r="I16" s="2"/>
      <c r="J16" s="81"/>
      <c r="K16" s="2"/>
      <c r="L16" s="2"/>
      <c r="M16" s="2"/>
      <c r="N16" s="2"/>
      <c r="O16" s="2"/>
    </row>
    <row r="17" spans="1:20">
      <c r="B17" s="2"/>
      <c r="C17" s="130">
        <v>6</v>
      </c>
      <c r="D17" s="2">
        <f>0.5*($H$123)^2</f>
        <v>2.6247151849659955</v>
      </c>
      <c r="E17" s="2">
        <f>0.5*($H$123)^2</f>
        <v>2.6247151849659955</v>
      </c>
      <c r="F17" s="2"/>
      <c r="G17" s="2"/>
      <c r="H17" s="2"/>
      <c r="I17" s="2"/>
      <c r="J17" s="2"/>
      <c r="K17" s="2"/>
    </row>
    <row r="18" spans="1:20">
      <c r="B18" s="2"/>
      <c r="C18" s="130">
        <v>7</v>
      </c>
      <c r="D18" s="2">
        <f>0.5*($I$123)^2</f>
        <v>2.8031421809040635</v>
      </c>
      <c r="E18" s="2">
        <f>0.5*($I$123)^2</f>
        <v>2.8031421809040635</v>
      </c>
      <c r="F18" s="2"/>
      <c r="G18" s="2"/>
      <c r="H18" s="2"/>
      <c r="I18" s="2"/>
      <c r="J18" s="2"/>
      <c r="K18" s="2"/>
    </row>
    <row r="19" spans="1:20">
      <c r="B19" s="2"/>
      <c r="C19" s="130"/>
      <c r="D19" s="2"/>
      <c r="F19" s="2"/>
      <c r="G19" s="2"/>
      <c r="H19" s="2"/>
      <c r="I19" s="2"/>
      <c r="J19" s="2"/>
      <c r="K19" s="2"/>
    </row>
    <row r="20" spans="1:20">
      <c r="A20" s="23" t="s">
        <v>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20">
      <c r="B21" s="2"/>
      <c r="C21" s="2"/>
      <c r="D21" s="12">
        <v>1</v>
      </c>
      <c r="E21" s="103">
        <v>2</v>
      </c>
      <c r="F21" s="103">
        <v>3</v>
      </c>
      <c r="G21" s="103">
        <v>4</v>
      </c>
      <c r="H21" s="103">
        <v>5</v>
      </c>
      <c r="I21" s="69">
        <v>6</v>
      </c>
      <c r="J21" s="69">
        <v>7</v>
      </c>
      <c r="K21" s="69">
        <v>8</v>
      </c>
    </row>
    <row r="22" spans="1:20">
      <c r="B22" s="2" t="s">
        <v>81</v>
      </c>
      <c r="C22" s="2"/>
      <c r="D22" s="125">
        <v>0.85458424202979733</v>
      </c>
      <c r="E22" s="126">
        <v>0.64455467021033763</v>
      </c>
      <c r="F22" s="126">
        <v>1.0133368612544411</v>
      </c>
      <c r="G22" s="126">
        <v>0.99268105833670606</v>
      </c>
      <c r="H22" s="126">
        <v>0.29997283328352981</v>
      </c>
      <c r="I22" s="70">
        <v>-0.15855509315995797</v>
      </c>
      <c r="J22" s="70">
        <v>-0.85603789680002773</v>
      </c>
      <c r="K22" s="70">
        <v>0.65342120690916317</v>
      </c>
      <c r="L22" s="192" t="s">
        <v>150</v>
      </c>
      <c r="M22" s="78">
        <f ca="1">RAND()</f>
        <v>0.86396987869288355</v>
      </c>
    </row>
    <row r="23" spans="1:20">
      <c r="B23" s="2" t="s">
        <v>82</v>
      </c>
      <c r="C23" s="2"/>
      <c r="D23" s="125">
        <v>0.92722788733770745</v>
      </c>
      <c r="E23" s="126">
        <v>0.9342050161553983</v>
      </c>
      <c r="F23" s="126">
        <v>0.90838073796929419</v>
      </c>
      <c r="G23" s="126">
        <v>0.41491296403517325</v>
      </c>
      <c r="H23" s="126">
        <v>1.6831402632195302E-2</v>
      </c>
      <c r="I23" s="70">
        <v>-0.3582528703161334</v>
      </c>
      <c r="J23" s="70">
        <v>0.54958182007341416</v>
      </c>
      <c r="K23" s="70">
        <v>-0.40737763775813596</v>
      </c>
      <c r="L23" s="192"/>
      <c r="M23" s="78">
        <f ca="1">RAND()</f>
        <v>0.93673628032992351</v>
      </c>
    </row>
    <row r="24" spans="1:20">
      <c r="B24" s="2" t="s">
        <v>83</v>
      </c>
      <c r="C24" s="2"/>
      <c r="D24" s="125">
        <v>0.69029377582473861</v>
      </c>
      <c r="E24" s="126">
        <v>0.15533070590929485</v>
      </c>
      <c r="F24" s="126">
        <v>0.71944004422417751</v>
      </c>
      <c r="G24" s="126">
        <v>0.4575863722549468</v>
      </c>
      <c r="H24" s="126">
        <v>0.50356666411074336</v>
      </c>
      <c r="I24" s="70">
        <v>-2.4909669184959959E-2</v>
      </c>
      <c r="J24" s="70">
        <v>-0.36477405011057273</v>
      </c>
      <c r="K24" s="70">
        <v>0.20797765241452781</v>
      </c>
      <c r="L24" s="192"/>
      <c r="M24" s="78">
        <f ca="1">RAND()</f>
        <v>0.83503054185073489</v>
      </c>
    </row>
    <row r="25" spans="1:20">
      <c r="B25" s="50" t="s">
        <v>84</v>
      </c>
      <c r="C25" s="2" t="s">
        <v>27</v>
      </c>
      <c r="D25" s="125">
        <v>0.21194265144467919</v>
      </c>
      <c r="E25" s="126">
        <v>4.5593986440317424E-2</v>
      </c>
      <c r="F25" s="126">
        <v>0.4272300962233847</v>
      </c>
      <c r="G25" s="126">
        <v>0.70922989182054819</v>
      </c>
      <c r="H25" s="126">
        <v>0.53350283382800889</v>
      </c>
      <c r="I25" s="70">
        <v>-0.60127917735887881</v>
      </c>
      <c r="J25" s="70">
        <v>7.3809363778690518E-2</v>
      </c>
      <c r="K25" s="70">
        <v>0.45904960287541474</v>
      </c>
      <c r="L25" s="192"/>
      <c r="M25" s="78">
        <f ca="1">RAND()</f>
        <v>0.71959147812252588</v>
      </c>
      <c r="P25" s="113">
        <f>D86</f>
        <v>-5.0619948672142812E-2</v>
      </c>
      <c r="Q25" s="113">
        <f>E86</f>
        <v>0.19181229091654917</v>
      </c>
      <c r="R25" s="113">
        <f t="shared" ref="R25:T25" si="0">F86</f>
        <v>-0.20003463786485942</v>
      </c>
      <c r="S25" s="113">
        <f t="shared" si="0"/>
        <v>1.2856933876981502E-2</v>
      </c>
      <c r="T25" s="113">
        <f t="shared" si="0"/>
        <v>0.23179937742545431</v>
      </c>
    </row>
    <row r="26" spans="1:20">
      <c r="B26" s="2" t="s">
        <v>48</v>
      </c>
      <c r="C26" s="2"/>
      <c r="D26" s="125">
        <v>4.1468923282929546E-2</v>
      </c>
      <c r="E26" s="126">
        <v>-0.19924554850395049</v>
      </c>
      <c r="F26" s="126">
        <v>0.14209381586912728</v>
      </c>
      <c r="G26" s="126">
        <v>8.2438205632940853E-2</v>
      </c>
      <c r="H26" s="125">
        <v>0.20472124397906274</v>
      </c>
      <c r="I26" s="70">
        <v>-0.64147819789622496</v>
      </c>
      <c r="J26" s="70">
        <v>-2.6436636559469484E-2</v>
      </c>
      <c r="K26" s="70">
        <v>-1.0305960682470916E-2</v>
      </c>
      <c r="L26" s="192"/>
      <c r="M26" s="78">
        <f t="shared" ref="M26:M28" ca="1" si="1">RAND()-RAND()</f>
        <v>-0.29134763250565054</v>
      </c>
      <c r="P26" s="35">
        <f>D77</f>
        <v>4.1468923282929546E-2</v>
      </c>
      <c r="Q26" s="35">
        <f t="shared" ref="Q26:T28" si="2">E77</f>
        <v>-0.19924554850395049</v>
      </c>
      <c r="R26" s="35">
        <f t="shared" si="2"/>
        <v>0.14209381586912728</v>
      </c>
      <c r="S26" s="35">
        <f t="shared" si="2"/>
        <v>8.2438205632940853E-2</v>
      </c>
      <c r="T26" s="35">
        <f t="shared" si="2"/>
        <v>0.20472124397906274</v>
      </c>
    </row>
    <row r="27" spans="1:20">
      <c r="B27" t="s">
        <v>47</v>
      </c>
      <c r="D27" s="125">
        <v>0.91544047038496057</v>
      </c>
      <c r="E27" s="126">
        <v>1.0288966290571295</v>
      </c>
      <c r="F27" s="126">
        <v>0.84262154604614137</v>
      </c>
      <c r="G27" s="126">
        <v>1.04849925743283</v>
      </c>
      <c r="H27" s="125">
        <v>1.4188070889245614</v>
      </c>
      <c r="I27" s="70">
        <v>4.8639647915487139E-2</v>
      </c>
      <c r="J27" s="70">
        <v>-0.42478485919807984</v>
      </c>
      <c r="K27" s="70">
        <v>5.2954891334215048E-2</v>
      </c>
      <c r="L27" s="192"/>
      <c r="M27" s="78">
        <f t="shared" ca="1" si="1"/>
        <v>-0.13333309883233402</v>
      </c>
      <c r="P27" s="35">
        <f t="shared" ref="P27:P28" si="3">D78</f>
        <v>0.91544047038496057</v>
      </c>
      <c r="Q27" s="35">
        <f t="shared" si="2"/>
        <v>1.0288966290571295</v>
      </c>
      <c r="R27" s="35">
        <f t="shared" si="2"/>
        <v>0.84262154604614137</v>
      </c>
      <c r="S27" s="35">
        <f t="shared" si="2"/>
        <v>1.04849925743283</v>
      </c>
      <c r="T27" s="35">
        <f t="shared" si="2"/>
        <v>1.4188070889245614</v>
      </c>
    </row>
    <row r="28" spans="1:20">
      <c r="B28" t="s">
        <v>52</v>
      </c>
      <c r="C28" s="2"/>
      <c r="D28" s="125">
        <v>0.6073067626325116</v>
      </c>
      <c r="E28" s="126">
        <v>0.9716309734218177</v>
      </c>
      <c r="F28" s="126">
        <v>0.44288943171169937</v>
      </c>
      <c r="G28" s="126">
        <v>0.51269314755985418</v>
      </c>
      <c r="H28" s="125">
        <v>0.4534627602618308</v>
      </c>
      <c r="I28" s="70">
        <v>-0.12219530665103107</v>
      </c>
      <c r="J28" s="70">
        <v>-0.2246402934383831</v>
      </c>
      <c r="K28" s="70">
        <v>-9.8948905880472005E-2</v>
      </c>
      <c r="L28" s="192"/>
      <c r="M28" s="78">
        <f t="shared" ca="1" si="1"/>
        <v>0.52747355339300572</v>
      </c>
      <c r="P28" s="35">
        <f t="shared" si="3"/>
        <v>0.6073067626325116</v>
      </c>
      <c r="Q28" s="35">
        <f t="shared" si="2"/>
        <v>0.9716309734218177</v>
      </c>
      <c r="R28" s="35">
        <f t="shared" si="2"/>
        <v>0.44288943171169937</v>
      </c>
      <c r="S28" s="35">
        <f t="shared" si="2"/>
        <v>0.51269314755985418</v>
      </c>
      <c r="T28" s="35">
        <f t="shared" si="2"/>
        <v>0.4534627602618308</v>
      </c>
    </row>
    <row r="29" spans="1:20">
      <c r="B29" s="2"/>
      <c r="C29" s="2"/>
      <c r="D29" s="2"/>
      <c r="E29" s="2"/>
      <c r="F29" s="2">
        <v>0</v>
      </c>
      <c r="G29" s="2"/>
      <c r="H29" s="2"/>
      <c r="I29" s="2"/>
      <c r="J29" s="2"/>
      <c r="K29" s="2"/>
    </row>
    <row r="30" spans="1:20">
      <c r="A30" s="185" t="s">
        <v>152</v>
      </c>
      <c r="B30" s="185"/>
      <c r="C30" s="185"/>
      <c r="D30" s="185"/>
      <c r="E30" s="185"/>
      <c r="F30" s="185"/>
      <c r="G30" s="185"/>
      <c r="H30" s="185"/>
      <c r="I30" s="185"/>
      <c r="J30" s="185"/>
      <c r="K30" s="185"/>
    </row>
    <row r="31" spans="1:20">
      <c r="A31" s="5"/>
      <c r="B31" s="79">
        <f>C95</f>
        <v>1.0419123890112216</v>
      </c>
      <c r="C31" s="79">
        <f t="shared" ref="C31:D31" si="4">D95</f>
        <v>-4.0818532431212473E-2</v>
      </c>
      <c r="D31" s="85">
        <f t="shared" si="4"/>
        <v>0.77248383184656022</v>
      </c>
      <c r="E31" s="86"/>
      <c r="F31" s="88" t="s">
        <v>48</v>
      </c>
      <c r="G31" s="5"/>
      <c r="H31" s="89" t="s">
        <v>45</v>
      </c>
    </row>
    <row r="32" spans="1:20">
      <c r="A32" s="5" t="s">
        <v>129</v>
      </c>
      <c r="B32" s="79">
        <f t="shared" ref="B32:D33" si="5">C96</f>
        <v>-1.4028471761352286</v>
      </c>
      <c r="C32" s="79">
        <f t="shared" si="5"/>
        <v>0.814665459345566</v>
      </c>
      <c r="D32" s="85">
        <f t="shared" si="5"/>
        <v>0.7195871750303805</v>
      </c>
      <c r="E32" s="87" t="s">
        <v>63</v>
      </c>
      <c r="F32" s="88" t="s">
        <v>47</v>
      </c>
      <c r="G32" s="90" t="s">
        <v>103</v>
      </c>
      <c r="H32" s="89" t="s">
        <v>43</v>
      </c>
      <c r="I32" s="60" t="s">
        <v>27</v>
      </c>
      <c r="J32" s="16">
        <v>0</v>
      </c>
    </row>
    <row r="33" spans="1:16">
      <c r="A33" s="5"/>
      <c r="B33" s="79">
        <f t="shared" si="5"/>
        <v>1.4421025939282253</v>
      </c>
      <c r="C33" s="79">
        <f t="shared" si="5"/>
        <v>1.0431877148697888</v>
      </c>
      <c r="D33" s="85">
        <f t="shared" si="5"/>
        <v>0.78932433807079116</v>
      </c>
      <c r="E33" s="86"/>
      <c r="F33" s="88" t="s">
        <v>52</v>
      </c>
      <c r="G33" s="5"/>
      <c r="H33" s="89" t="s">
        <v>42</v>
      </c>
      <c r="P33" s="35"/>
    </row>
    <row r="34" spans="1:16">
      <c r="D34" s="2"/>
      <c r="E34" s="2"/>
      <c r="F34" s="2"/>
      <c r="G34" s="2"/>
      <c r="H34" s="2"/>
      <c r="P34" s="35"/>
    </row>
    <row r="35" spans="1:16">
      <c r="A35" s="5"/>
      <c r="B35" s="79">
        <f>C99</f>
        <v>1.0419123890112216</v>
      </c>
      <c r="C35" s="79">
        <f t="shared" ref="C35:D35" si="6">D99</f>
        <v>-4.0818532431212473E-2</v>
      </c>
      <c r="D35" s="79">
        <f t="shared" si="6"/>
        <v>0.77248383184656022</v>
      </c>
      <c r="E35" s="137"/>
      <c r="F35" s="68"/>
      <c r="G35" s="2"/>
      <c r="H35" s="66"/>
      <c r="I35" s="2"/>
      <c r="P35" s="35"/>
    </row>
    <row r="36" spans="1:16">
      <c r="A36" s="5" t="s">
        <v>162</v>
      </c>
      <c r="B36" s="79">
        <f t="shared" ref="B36:D37" si="7">C100</f>
        <v>-1.0351585166444344</v>
      </c>
      <c r="C36" s="79">
        <f t="shared" si="7"/>
        <v>2.1037449841221099</v>
      </c>
      <c r="D36" s="79">
        <f t="shared" si="7"/>
        <v>0.82913701269133588</v>
      </c>
      <c r="E36" s="138"/>
      <c r="F36" s="68"/>
      <c r="G36" s="139"/>
      <c r="H36" s="66"/>
      <c r="I36" s="139"/>
      <c r="P36" s="35"/>
    </row>
    <row r="37" spans="1:16">
      <c r="A37" s="5"/>
      <c r="B37" s="79">
        <f t="shared" si="7"/>
        <v>-2.5457845528396139E-2</v>
      </c>
      <c r="C37" s="79">
        <f t="shared" si="7"/>
        <v>2.3667658472617719</v>
      </c>
      <c r="D37" s="79">
        <f t="shared" si="7"/>
        <v>6.368425350466822E-2</v>
      </c>
      <c r="E37" s="137"/>
      <c r="F37" s="68"/>
      <c r="G37" s="2"/>
      <c r="H37" s="66"/>
      <c r="I37" s="2"/>
      <c r="M37" s="31"/>
    </row>
    <row r="38" spans="1:16">
      <c r="D38" s="2"/>
      <c r="E38" s="2"/>
      <c r="F38" s="2"/>
      <c r="G38" s="2"/>
      <c r="H38" s="2"/>
      <c r="I38" s="2"/>
      <c r="M38" s="31"/>
    </row>
    <row r="39" spans="1:16">
      <c r="A39" s="5"/>
      <c r="B39" s="79">
        <f>C103</f>
        <v>1.0419123890112216</v>
      </c>
      <c r="C39" s="79">
        <f t="shared" ref="C39:D41" si="8">D103</f>
        <v>-4.0818532431212473E-2</v>
      </c>
      <c r="D39" s="85">
        <f t="shared" si="8"/>
        <v>0.77248383184656022</v>
      </c>
      <c r="E39" s="137"/>
      <c r="F39" s="68"/>
      <c r="G39" s="2"/>
      <c r="H39" s="66"/>
      <c r="I39" s="2"/>
      <c r="M39" s="31"/>
    </row>
    <row r="40" spans="1:16">
      <c r="A40" s="5" t="s">
        <v>163</v>
      </c>
      <c r="B40" s="79">
        <f t="shared" ref="B40:B41" si="9">C104</f>
        <v>1.4421025939282253</v>
      </c>
      <c r="C40" s="79">
        <f t="shared" si="8"/>
        <v>1.0431877148697888</v>
      </c>
      <c r="D40" s="85">
        <f t="shared" si="8"/>
        <v>0.78932433807079116</v>
      </c>
      <c r="E40" s="138"/>
      <c r="F40" s="68"/>
      <c r="G40" s="139"/>
      <c r="H40" s="66"/>
      <c r="I40" s="139"/>
    </row>
    <row r="41" spans="1:16">
      <c r="A41" s="5"/>
      <c r="B41" s="79">
        <f t="shared" si="9"/>
        <v>-1.0351585166444344</v>
      </c>
      <c r="C41" s="79">
        <f t="shared" si="8"/>
        <v>2.1037449841221099</v>
      </c>
      <c r="D41" s="85">
        <f t="shared" si="8"/>
        <v>0.82913701269133588</v>
      </c>
      <c r="E41" s="137"/>
      <c r="F41" s="68"/>
      <c r="G41" s="2"/>
      <c r="H41" s="66"/>
      <c r="I41" s="2"/>
    </row>
    <row r="42" spans="1:16">
      <c r="A42" s="2"/>
      <c r="B42" s="79"/>
      <c r="C42" s="79"/>
      <c r="D42" s="79"/>
      <c r="E42" s="2"/>
      <c r="F42" s="68"/>
      <c r="G42" s="2"/>
      <c r="H42" s="66"/>
      <c r="I42" s="2"/>
    </row>
    <row r="43" spans="1:16">
      <c r="A43" s="5"/>
      <c r="B43" s="79">
        <f>C107</f>
        <v>1.0419123890112216</v>
      </c>
      <c r="C43" s="79">
        <f t="shared" ref="C43:D43" si="10">D107</f>
        <v>-4.0818532431212473E-2</v>
      </c>
      <c r="D43" s="79">
        <f t="shared" si="10"/>
        <v>0.77248383184656022</v>
      </c>
      <c r="E43" s="137"/>
      <c r="F43" s="68"/>
      <c r="G43" s="2"/>
      <c r="H43" s="66"/>
      <c r="I43" s="2"/>
    </row>
    <row r="44" spans="1:16">
      <c r="A44" s="5" t="s">
        <v>164</v>
      </c>
      <c r="B44" s="79">
        <f t="shared" ref="B44:D49" si="11">C108</f>
        <v>-1.4028471761352286</v>
      </c>
      <c r="C44" s="79">
        <f t="shared" si="11"/>
        <v>0.814665459345566</v>
      </c>
      <c r="D44" s="79">
        <f t="shared" si="11"/>
        <v>0.7195871750303805</v>
      </c>
      <c r="E44" s="138"/>
      <c r="F44" s="68"/>
      <c r="G44" s="139"/>
      <c r="H44" s="66"/>
      <c r="I44" s="139"/>
    </row>
    <row r="45" spans="1:16">
      <c r="A45" s="5"/>
      <c r="B45" s="79">
        <f t="shared" si="11"/>
        <v>-2.5457845528396139E-2</v>
      </c>
      <c r="C45" s="79">
        <f t="shared" si="11"/>
        <v>2.3667658472617719</v>
      </c>
      <c r="D45" s="79">
        <f t="shared" si="11"/>
        <v>6.368425350466822E-2</v>
      </c>
      <c r="E45" s="137"/>
      <c r="F45" s="68"/>
      <c r="G45" s="2"/>
      <c r="H45" s="66"/>
      <c r="I45" s="2"/>
      <c r="J45" s="2"/>
    </row>
    <row r="46" spans="1:16" ht="14.25" customHeight="1">
      <c r="A46" s="2"/>
      <c r="B46" s="79"/>
      <c r="C46" s="79"/>
      <c r="D46" s="79"/>
      <c r="E46" s="2"/>
      <c r="F46" s="68"/>
      <c r="G46" s="2"/>
      <c r="H46" s="66"/>
      <c r="I46" s="2"/>
    </row>
    <row r="47" spans="1:16" ht="14.25" customHeight="1">
      <c r="A47" s="5"/>
      <c r="B47" s="79">
        <f t="shared" si="11"/>
        <v>1.0419123890112216</v>
      </c>
      <c r="C47" s="79">
        <f t="shared" si="11"/>
        <v>-4.0818532431212473E-2</v>
      </c>
      <c r="D47" s="85">
        <f t="shared" si="11"/>
        <v>0.77248383184656022</v>
      </c>
      <c r="H47" s="66"/>
      <c r="I47" s="2"/>
    </row>
    <row r="48" spans="1:16" ht="14.25" customHeight="1">
      <c r="A48" s="5" t="s">
        <v>165</v>
      </c>
      <c r="B48" s="79">
        <f t="shared" si="11"/>
        <v>-1.4028471761352286</v>
      </c>
      <c r="C48" s="79">
        <f t="shared" si="11"/>
        <v>0.814665459345566</v>
      </c>
      <c r="D48" s="85">
        <f t="shared" si="11"/>
        <v>0.7195871750303805</v>
      </c>
      <c r="E48" s="140"/>
      <c r="F48" s="68"/>
      <c r="G48" s="139"/>
      <c r="H48" s="66"/>
      <c r="I48" s="139"/>
    </row>
    <row r="49" spans="1:16">
      <c r="A49" s="5"/>
      <c r="B49" s="79">
        <f t="shared" si="11"/>
        <v>-1.0351585166444344</v>
      </c>
      <c r="C49" s="79">
        <f t="shared" si="11"/>
        <v>2.1037449841221099</v>
      </c>
      <c r="D49" s="79">
        <f t="shared" si="11"/>
        <v>0.82913701269133588</v>
      </c>
      <c r="E49" s="138"/>
      <c r="F49" s="68"/>
      <c r="G49" s="140"/>
      <c r="H49" s="66"/>
      <c r="I49" s="140"/>
      <c r="O49" s="35"/>
      <c r="P49" s="35"/>
    </row>
    <row r="50" spans="1:16">
      <c r="A50" s="2"/>
      <c r="B50" s="148"/>
      <c r="C50" s="148"/>
      <c r="D50" s="148"/>
      <c r="E50" s="2"/>
      <c r="F50" s="68"/>
      <c r="G50" s="2"/>
      <c r="H50" s="66"/>
      <c r="I50" s="2"/>
      <c r="O50" s="35"/>
      <c r="P50" s="35"/>
    </row>
    <row r="51" spans="1:16">
      <c r="A51" s="2"/>
      <c r="B51" s="148"/>
      <c r="C51" s="148"/>
      <c r="D51" s="148"/>
      <c r="E51" s="2"/>
      <c r="F51" s="68"/>
      <c r="G51" s="2"/>
      <c r="H51" s="66"/>
      <c r="I51" s="2"/>
      <c r="O51" s="35"/>
      <c r="P51" s="35"/>
    </row>
    <row r="52" spans="1:16">
      <c r="A52" s="2"/>
      <c r="B52" s="79"/>
      <c r="C52" s="79"/>
      <c r="D52" s="79"/>
      <c r="E52" s="2"/>
      <c r="F52" s="68"/>
      <c r="G52" s="2"/>
      <c r="H52" s="66"/>
      <c r="O52" s="35"/>
      <c r="P52" s="35"/>
    </row>
    <row r="53" spans="1:16">
      <c r="D53" s="84" t="s">
        <v>135</v>
      </c>
      <c r="E53" s="84" t="s">
        <v>136</v>
      </c>
      <c r="F53" s="84" t="s">
        <v>137</v>
      </c>
      <c r="G53" s="84" t="s">
        <v>138</v>
      </c>
      <c r="H53" s="141" t="s">
        <v>161</v>
      </c>
      <c r="I53" s="131" t="s">
        <v>139</v>
      </c>
      <c r="J53" s="69" t="s">
        <v>139</v>
      </c>
      <c r="K53" s="69" t="s">
        <v>139</v>
      </c>
      <c r="O53" s="35"/>
      <c r="P53" s="35"/>
    </row>
    <row r="54" spans="1:16">
      <c r="B54" t="s">
        <v>92</v>
      </c>
      <c r="D54" s="37">
        <f t="array" ref="D54:D56">MMULT($B$31:$D$33,D$26:D$28)</f>
        <v>0.47497470350287924</v>
      </c>
      <c r="E54" s="109">
        <f t="array" ref="E54:E56">MMULT($B$35:$D$37,E$26:E$28)</f>
        <v>0.50097476162655319</v>
      </c>
      <c r="F54" s="109">
        <f t="array" ref="F54:F56">MMULT($B$39:$D$41,F$26:F$28)</f>
        <v>0.4557796575443992</v>
      </c>
      <c r="G54" s="109">
        <f t="array" ref="G54:G56">MMULT($B$43:$D$45,G$26:G$28)</f>
        <v>0.43914235402170165</v>
      </c>
      <c r="H54" s="109">
        <f t="array" ref="H54:H56">MMULT($B$47:$D$49,H$26:H$28)</f>
        <v>0.50568062786945023</v>
      </c>
      <c r="I54" s="71" t="e">
        <f>INDEX(MMULT($B$31:$D$33,I$26:I$28),ROW(#REF!))</f>
        <v>#REF!</v>
      </c>
      <c r="J54" s="71" t="e">
        <f>INDEX(MMULT($B$31:$D$33,J$26:J$28),ROW(#REF!))</f>
        <v>#REF!</v>
      </c>
      <c r="K54" s="71" t="e">
        <f>INDEX(MMULT($B$31:$D$33,K$26:K$28),ROW(#REF!))</f>
        <v>#REF!</v>
      </c>
      <c r="O54" s="35"/>
      <c r="P54" s="35"/>
    </row>
    <row r="55" spans="1:16">
      <c r="B55" t="s">
        <v>93</v>
      </c>
      <c r="D55" s="37">
        <v>1.1246133270844336</v>
      </c>
      <c r="E55" s="109">
        <v>3.1764020517377798</v>
      </c>
      <c r="F55" s="109">
        <v>1.4335097130903367</v>
      </c>
      <c r="G55" s="109">
        <v>1.1074553389122044</v>
      </c>
      <c r="H55" s="109">
        <v>1.1949664964488433</v>
      </c>
      <c r="I55" s="71">
        <f t="shared" ref="I55:K56" si="12">INDEX(MMULT($B$31:$D$33,I$26:I$28),ROW($A1))</f>
        <v>-0.76474337943000381</v>
      </c>
      <c r="J55" s="71">
        <f t="shared" si="12"/>
        <v>-0.18373655926605126</v>
      </c>
      <c r="K55" s="71">
        <f t="shared" si="12"/>
        <v>-8.9335879036617633E-2</v>
      </c>
      <c r="O55" s="35"/>
    </row>
    <row r="56" spans="1:16">
      <c r="B56" t="s">
        <v>94</v>
      </c>
      <c r="D56" s="37">
        <v>1.4941407026547571</v>
      </c>
      <c r="E56" s="109">
        <v>2.502107357635595</v>
      </c>
      <c r="F56" s="109">
        <v>1.9927872477103559</v>
      </c>
      <c r="G56" s="109">
        <v>2.5121040146460172</v>
      </c>
      <c r="H56" s="109">
        <v>3.1488721159292301</v>
      </c>
      <c r="I56" s="71">
        <f t="shared" si="12"/>
        <v>0.85159074406752489</v>
      </c>
      <c r="J56" s="71">
        <f t="shared" si="12"/>
        <v>-0.47061926565100198</v>
      </c>
      <c r="K56" s="71">
        <f t="shared" si="12"/>
        <v>-1.3604154940728003E-2</v>
      </c>
      <c r="O56" s="35"/>
    </row>
    <row r="57" spans="1:16">
      <c r="B57" t="s">
        <v>95</v>
      </c>
      <c r="D57" s="127">
        <f>(D$66-D$54)^2+(D$67-D$55)^2+(D$68-D$56)^2</f>
        <v>1.2524099782494378E-13</v>
      </c>
      <c r="E57" s="127">
        <f>(E$66-E$54)^2+(E$67-E$55)^2+(E$68-E$56)^2</f>
        <v>2.1772832769683672E-12</v>
      </c>
      <c r="F57" s="127">
        <f>(F$66-F$54)^2+(F$67-F$55)^2+(F$68-F$56)^2</f>
        <v>2.7947568208391897E-12</v>
      </c>
      <c r="G57" s="127">
        <f>(G$66-G$54)^2+(G$67-G$55)^2+(G$68-G$56)^2</f>
        <v>2.780596948894264E-13</v>
      </c>
      <c r="H57" s="127">
        <f>(H$66-H$54)^2+(H$67-H$55)^2+(H$68-H$56)^2</f>
        <v>1.050955155435011E-11</v>
      </c>
      <c r="I57" s="128" t="e">
        <f t="shared" ref="I57:K57" si="13">(I$54-I$66)^2+(I$55-I$67)^2+(I$56-I$68)^2</f>
        <v>#REF!</v>
      </c>
      <c r="J57" s="128" t="e">
        <f t="shared" si="13"/>
        <v>#REF!</v>
      </c>
      <c r="K57" s="128" t="e">
        <f t="shared" si="13"/>
        <v>#REF!</v>
      </c>
    </row>
    <row r="58" spans="1:16">
      <c r="D58" s="31"/>
      <c r="E58" s="31"/>
      <c r="F58" s="2"/>
      <c r="G58" s="2"/>
      <c r="H58" s="2"/>
    </row>
    <row r="59" spans="1:16">
      <c r="D59" s="31"/>
      <c r="E59" s="31"/>
      <c r="F59" s="2"/>
      <c r="G59" s="2"/>
      <c r="H59" s="2"/>
    </row>
    <row r="60" spans="1:16" ht="18.75">
      <c r="B60" s="56" t="s">
        <v>87</v>
      </c>
      <c r="C60" s="57"/>
      <c r="D60" s="80">
        <f>A_1*($D$22^2-D23^2)</f>
        <v>-1.9403292646627001E-3</v>
      </c>
      <c r="E60" s="80">
        <f>A_1*($E$22^2-E23^2)</f>
        <v>-6.8549765480737266E-3</v>
      </c>
      <c r="F60" s="80">
        <f t="shared" ref="F60:K62" si="14">A_1*(F$22^2-F23^2)</f>
        <v>3.0235227595617831E-3</v>
      </c>
      <c r="G60" s="80">
        <f t="shared" si="14"/>
        <v>1.219121142135908E-2</v>
      </c>
      <c r="H60" s="80">
        <f t="shared" si="14"/>
        <v>1.3446532181179509E-3</v>
      </c>
      <c r="I60" s="80">
        <f t="shared" si="14"/>
        <v>-1.5470997696558767E-3</v>
      </c>
      <c r="J60" s="80">
        <f t="shared" si="14"/>
        <v>6.4573149834864655E-3</v>
      </c>
      <c r="K60" s="80">
        <f t="shared" si="14"/>
        <v>3.9125594545225302E-3</v>
      </c>
      <c r="L60" s="192" t="s">
        <v>96</v>
      </c>
    </row>
    <row r="61" spans="1:16" ht="18.75">
      <c r="B61" s="56" t="s">
        <v>88</v>
      </c>
      <c r="C61" s="57"/>
      <c r="D61" s="80">
        <f>A_1*($D$22^2-D24^2)</f>
        <v>3.8047177918071841E-3</v>
      </c>
      <c r="E61" s="80">
        <f>A_1*($E$22^2-E24^2)</f>
        <v>5.8661258105260801E-3</v>
      </c>
      <c r="F61" s="80">
        <f t="shared" si="14"/>
        <v>7.6340223530315882E-3</v>
      </c>
      <c r="G61" s="80">
        <f t="shared" si="14"/>
        <v>1.1633077614351773E-2</v>
      </c>
      <c r="H61" s="80">
        <f t="shared" si="14"/>
        <v>-2.4523798373456717E-3</v>
      </c>
      <c r="I61" s="80">
        <f t="shared" si="14"/>
        <v>3.6755526606819416E-4</v>
      </c>
      <c r="J61" s="80">
        <f t="shared" si="14"/>
        <v>8.9904093997263575E-3</v>
      </c>
      <c r="K61" s="80">
        <f t="shared" si="14"/>
        <v>5.7519203713529404E-3</v>
      </c>
      <c r="L61" s="192"/>
    </row>
    <row r="62" spans="1:16" ht="18.75">
      <c r="B62" s="56" t="s">
        <v>89</v>
      </c>
      <c r="C62" s="57"/>
      <c r="D62" s="80">
        <f>A_1*($D$22^2-D25^2)</f>
        <v>1.0274401514954772E-2</v>
      </c>
      <c r="E62" s="80">
        <f>A_1*($E$22^2-E25^2)</f>
        <v>6.196648424437865E-3</v>
      </c>
      <c r="F62" s="80">
        <f t="shared" si="14"/>
        <v>1.2656862931365637E-2</v>
      </c>
      <c r="G62" s="80">
        <f t="shared" si="14"/>
        <v>7.2315430316574726E-3</v>
      </c>
      <c r="H62" s="80">
        <f t="shared" si="14"/>
        <v>-2.9177729876721744E-3</v>
      </c>
      <c r="I62" s="80">
        <f t="shared" si="14"/>
        <v>-5.0427555888347027E-3</v>
      </c>
      <c r="J62" s="80">
        <f t="shared" si="14"/>
        <v>1.0903380373299632E-2</v>
      </c>
      <c r="K62" s="80">
        <f t="shared" si="14"/>
        <v>3.2414351450327505E-3</v>
      </c>
      <c r="L62" s="192"/>
    </row>
    <row r="63" spans="1:16">
      <c r="B63" s="56" t="s">
        <v>86</v>
      </c>
      <c r="C63" s="58"/>
      <c r="D63" s="80">
        <f>A_2*(T_0*D$22-T_2*D23)</f>
        <v>-7.0012000452976036E-2</v>
      </c>
      <c r="E63" s="80">
        <f>A_2*(T_0*$E$22-T_2*E23)</f>
        <v>-3.9096469300877422E-2</v>
      </c>
      <c r="F63" s="80">
        <f>A_2*(T_0*$F$22-T_2*F23)</f>
        <v>-9.4172047145324234E-2</v>
      </c>
      <c r="G63" s="80">
        <f>A_2*(T_0*$G$22-T_2*G23)</f>
        <v>-0.11997540884064069</v>
      </c>
      <c r="H63" s="80">
        <f>A_2*(T_0*$H$22-T_2*H23)</f>
        <v>-4.2590717410678956E-2</v>
      </c>
      <c r="I63" s="80">
        <f t="shared" ref="I63:K65" si="15">A_2*(THETA_0*I$22-THETA_1*I23)</f>
        <v>0</v>
      </c>
      <c r="J63" s="80">
        <f t="shared" si="15"/>
        <v>0</v>
      </c>
      <c r="K63" s="80">
        <f t="shared" si="15"/>
        <v>0</v>
      </c>
      <c r="L63" s="192"/>
    </row>
    <row r="64" spans="1:16">
      <c r="B64" s="56" t="s">
        <v>91</v>
      </c>
      <c r="C64" s="58" t="s">
        <v>27</v>
      </c>
      <c r="D64" s="80">
        <f>A_2*(T_0*D$22-T_3*D24)</f>
        <v>-0.10951805353232996</v>
      </c>
      <c r="E64" s="80">
        <f>A_2*(T_0*$E$22-T_5*E24)</f>
        <v>-0.12188357264554629</v>
      </c>
      <c r="F64" s="80">
        <f>A_2*(T_0*$F$22-T_4*F24)</f>
        <v>-0.19671191140757996</v>
      </c>
      <c r="G64" s="80">
        <f>A_2*(T_0*$G$22-T_3*G24)</f>
        <v>-0.13450495265015372</v>
      </c>
      <c r="H64" s="80">
        <f>A_2*(T_0*$H$22-T_3*H24)</f>
        <v>-3.2910611202874661E-2</v>
      </c>
      <c r="I64" s="80">
        <f t="shared" si="15"/>
        <v>0</v>
      </c>
      <c r="J64" s="80">
        <f t="shared" si="15"/>
        <v>0</v>
      </c>
      <c r="K64" s="80">
        <f t="shared" si="15"/>
        <v>0</v>
      </c>
      <c r="L64" s="192"/>
    </row>
    <row r="65" spans="1:12">
      <c r="B65" s="56" t="s">
        <v>90</v>
      </c>
      <c r="C65" s="58"/>
      <c r="D65" s="80">
        <f>A_2*(T_0*D$22-T_4*D25)</f>
        <v>-0.13872196414810647</v>
      </c>
      <c r="E65" s="80">
        <f>A_2*(T_0*$E$22-T_7*E25)</f>
        <v>-8.9536289156554497E-2</v>
      </c>
      <c r="F65" s="80">
        <f>A_2*(T_0*$F$22-T_5*F25)</f>
        <v>-0.224915200954584</v>
      </c>
      <c r="G65" s="80">
        <f>A_2*(T_0*$G$22-T_7*G25)</f>
        <v>-8.0575399325221939E-2</v>
      </c>
      <c r="H65" s="80">
        <f>A_2*(T_0*$H$22-T_5*H25)</f>
        <v>-0.14062698138646665</v>
      </c>
      <c r="I65" s="80">
        <f t="shared" si="15"/>
        <v>0</v>
      </c>
      <c r="J65" s="80">
        <f t="shared" si="15"/>
        <v>0</v>
      </c>
      <c r="K65" s="80">
        <f t="shared" si="15"/>
        <v>0</v>
      </c>
      <c r="L65" s="192"/>
    </row>
    <row r="66" spans="1:12">
      <c r="B66" t="s">
        <v>45</v>
      </c>
      <c r="C66" s="2"/>
      <c r="D66" s="55">
        <f>D13+D60+D63-J12</f>
        <v>0.47497437935910275</v>
      </c>
      <c r="E66" s="55">
        <f>D13+E60+E63-K12</f>
        <v>0.5009752632277904</v>
      </c>
      <c r="F66" s="55">
        <f>$D13+F60+F63-L12</f>
        <v>0.45577818469097903</v>
      </c>
      <c r="G66" s="55">
        <f>$D13+G60+G63-M12</f>
        <v>0.43914251165745982</v>
      </c>
      <c r="H66" s="55">
        <f t="shared" ref="H66" si="16">$D13+H60+H63-N12</f>
        <v>0.50568064488418041</v>
      </c>
      <c r="I66" s="72">
        <f t="shared" ref="I66:K68" si="17">$D$7+$G$7+I60+I63</f>
        <v>-1.5470997696558767E-3</v>
      </c>
      <c r="J66" s="72">
        <f t="shared" si="17"/>
        <v>6.4573149834864655E-3</v>
      </c>
      <c r="K66" s="72">
        <f t="shared" si="17"/>
        <v>3.9125594545225302E-3</v>
      </c>
      <c r="L66" s="192"/>
    </row>
    <row r="67" spans="1:12">
      <c r="B67" t="s">
        <v>43</v>
      </c>
      <c r="D67" s="55">
        <f>D14+D61+D64-J13</f>
        <v>1.1246134104940879</v>
      </c>
      <c r="E67" s="55">
        <f>D16+E61+E64-K13</f>
        <v>3.1764011540133712</v>
      </c>
      <c r="F67" s="55">
        <f>D15+F61+F64-L13</f>
        <v>1.4335104911883063</v>
      </c>
      <c r="G67" s="55">
        <f>D14+G61+G64-M13</f>
        <v>1.1074548711988086</v>
      </c>
      <c r="H67" s="142">
        <f>D14+H61+H64-N13</f>
        <v>1.1949637551943901</v>
      </c>
      <c r="I67" s="72">
        <f t="shared" si="17"/>
        <v>3.6755526606819416E-4</v>
      </c>
      <c r="J67" s="72">
        <f t="shared" si="17"/>
        <v>8.9904093997263575E-3</v>
      </c>
      <c r="K67" s="72">
        <f t="shared" si="17"/>
        <v>5.7519203713529404E-3</v>
      </c>
      <c r="L67" s="192"/>
    </row>
    <row r="68" spans="1:12">
      <c r="B68" t="s">
        <v>42</v>
      </c>
      <c r="C68" s="2"/>
      <c r="D68" s="55">
        <f>D15+D62+D65-J14</f>
        <v>1.4941408176097029</v>
      </c>
      <c r="E68" s="55">
        <f>D18+E62+E65-K14</f>
        <v>2.5021084158276201</v>
      </c>
      <c r="F68" s="55">
        <f>D16+F62+F65-L14</f>
        <v>1.9927871062070937</v>
      </c>
      <c r="G68" s="55">
        <f>D18+G62+G65-M14</f>
        <v>2.5121042002661724</v>
      </c>
      <c r="H68" s="142">
        <f>D16+H62+H65-N14</f>
        <v>3.1488738464742529</v>
      </c>
      <c r="I68" s="72">
        <f t="shared" si="17"/>
        <v>-5.0427555888347027E-3</v>
      </c>
      <c r="J68" s="72">
        <f t="shared" si="17"/>
        <v>1.0903380373299632E-2</v>
      </c>
      <c r="K68" s="72">
        <f t="shared" si="17"/>
        <v>3.2414351450327505E-3</v>
      </c>
      <c r="L68" s="192"/>
    </row>
    <row r="69" spans="1:12">
      <c r="C69" s="2"/>
      <c r="D69" s="2"/>
      <c r="E69" s="2"/>
      <c r="F69" s="2"/>
      <c r="G69" s="2"/>
      <c r="H69" s="2"/>
      <c r="I69" s="2"/>
      <c r="J69" s="2"/>
      <c r="K69" s="2"/>
    </row>
    <row r="70" spans="1:12">
      <c r="A70" s="185" t="s">
        <v>62</v>
      </c>
      <c r="B70" s="185"/>
      <c r="C70" s="185"/>
      <c r="D70" s="185"/>
      <c r="E70" s="185"/>
      <c r="F70" s="185"/>
      <c r="G70" s="185"/>
      <c r="H70" s="185"/>
      <c r="I70" s="185"/>
      <c r="J70" s="185"/>
      <c r="K70" s="185"/>
    </row>
    <row r="71" spans="1:12">
      <c r="B71" t="s">
        <v>53</v>
      </c>
      <c r="C71" s="2"/>
      <c r="D71" s="35">
        <v>0</v>
      </c>
      <c r="E71" s="35">
        <v>0</v>
      </c>
      <c r="F71" s="35">
        <v>0</v>
      </c>
      <c r="G71" s="35">
        <v>0</v>
      </c>
      <c r="H71" s="2"/>
      <c r="I71" s="2"/>
      <c r="J71" s="2"/>
      <c r="K71" s="2"/>
    </row>
    <row r="72" spans="1:12">
      <c r="B72" t="s">
        <v>54</v>
      </c>
      <c r="C72" s="2" t="s">
        <v>27</v>
      </c>
      <c r="D72" s="35">
        <v>0</v>
      </c>
      <c r="E72" s="35">
        <v>0</v>
      </c>
      <c r="F72" s="35">
        <v>0</v>
      </c>
      <c r="G72" s="35">
        <v>0</v>
      </c>
      <c r="H72" s="2"/>
      <c r="I72" s="2"/>
      <c r="J72" s="2"/>
      <c r="K72" s="2"/>
    </row>
    <row r="73" spans="1:12">
      <c r="B73" t="s">
        <v>55</v>
      </c>
      <c r="C73" s="2"/>
      <c r="D73" s="35">
        <v>0</v>
      </c>
      <c r="E73" s="35">
        <v>0</v>
      </c>
      <c r="F73" s="35">
        <v>0</v>
      </c>
      <c r="G73" s="35">
        <v>0</v>
      </c>
      <c r="H73" s="2"/>
      <c r="I73" s="2"/>
      <c r="J73" s="2"/>
      <c r="K73" s="2"/>
    </row>
    <row r="74" spans="1:12">
      <c r="C74" s="2"/>
      <c r="D74" s="2"/>
      <c r="E74" s="2"/>
      <c r="F74" s="2"/>
      <c r="G74" s="2"/>
      <c r="H74" s="2"/>
      <c r="I74" s="2"/>
      <c r="J74" s="2"/>
      <c r="K74" s="2"/>
    </row>
    <row r="75" spans="1:12">
      <c r="A75" s="185" t="s">
        <v>64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</row>
    <row r="76" spans="1:12">
      <c r="A76" s="23"/>
      <c r="B76" s="21"/>
      <c r="C76" s="21"/>
      <c r="D76" s="12">
        <v>0</v>
      </c>
      <c r="E76" s="103">
        <v>2</v>
      </c>
      <c r="F76" s="103">
        <v>3</v>
      </c>
      <c r="G76" s="103">
        <v>4</v>
      </c>
      <c r="H76" s="103">
        <v>0</v>
      </c>
      <c r="I76" s="69">
        <v>6</v>
      </c>
      <c r="J76" s="69">
        <v>7</v>
      </c>
      <c r="K76" s="69">
        <v>8</v>
      </c>
    </row>
    <row r="77" spans="1:12">
      <c r="B77" s="26" t="s">
        <v>59</v>
      </c>
      <c r="C77" s="26"/>
      <c r="D77" s="32">
        <f>D26+D71</f>
        <v>4.1468923282929546E-2</v>
      </c>
      <c r="E77" s="32">
        <f>E26+E71</f>
        <v>-0.19924554850395049</v>
      </c>
      <c r="F77" s="32">
        <f t="shared" ref="F77:G79" si="18">F26+F71</f>
        <v>0.14209381586912728</v>
      </c>
      <c r="G77" s="32">
        <f t="shared" si="18"/>
        <v>8.2438205632940853E-2</v>
      </c>
      <c r="H77" s="104">
        <f>H26+$D$71</f>
        <v>0.20472124397906274</v>
      </c>
      <c r="I77" s="73">
        <f t="shared" ref="H77:K79" si="19">I26+$D$71</f>
        <v>-0.64147819789622496</v>
      </c>
      <c r="J77" s="73">
        <f t="shared" si="19"/>
        <v>-2.6436636559469484E-2</v>
      </c>
      <c r="K77" s="73">
        <f t="shared" si="19"/>
        <v>-1.0305960682470916E-2</v>
      </c>
    </row>
    <row r="78" spans="1:12">
      <c r="B78" s="26" t="s">
        <v>60</v>
      </c>
      <c r="C78" s="26" t="s">
        <v>27</v>
      </c>
      <c r="D78" s="32">
        <f t="shared" ref="D78:E79" si="20">D27+D72</f>
        <v>0.91544047038496057</v>
      </c>
      <c r="E78" s="32">
        <f t="shared" si="20"/>
        <v>1.0288966290571295</v>
      </c>
      <c r="F78" s="32">
        <f t="shared" si="18"/>
        <v>0.84262154604614137</v>
      </c>
      <c r="G78" s="32">
        <f t="shared" si="18"/>
        <v>1.04849925743283</v>
      </c>
      <c r="H78" s="104">
        <f t="shared" si="19"/>
        <v>1.4188070889245614</v>
      </c>
      <c r="I78" s="73">
        <f t="shared" si="19"/>
        <v>4.8639647915487139E-2</v>
      </c>
      <c r="J78" s="73">
        <f t="shared" si="19"/>
        <v>-0.42478485919807984</v>
      </c>
      <c r="K78" s="73">
        <f t="shared" si="19"/>
        <v>5.2954891334215048E-2</v>
      </c>
    </row>
    <row r="79" spans="1:12">
      <c r="B79" s="26" t="s">
        <v>61</v>
      </c>
      <c r="C79" s="26"/>
      <c r="D79" s="32">
        <f t="shared" si="20"/>
        <v>0.6073067626325116</v>
      </c>
      <c r="E79" s="32">
        <f t="shared" si="20"/>
        <v>0.9716309734218177</v>
      </c>
      <c r="F79" s="32">
        <f t="shared" si="18"/>
        <v>0.44288943171169937</v>
      </c>
      <c r="G79" s="32">
        <f t="shared" si="18"/>
        <v>0.51269314755985418</v>
      </c>
      <c r="H79" s="104">
        <f t="shared" si="19"/>
        <v>0.4534627602618308</v>
      </c>
      <c r="I79" s="73">
        <f t="shared" si="19"/>
        <v>-0.12219530665103107</v>
      </c>
      <c r="J79" s="73">
        <f t="shared" si="19"/>
        <v>-0.2246402934383831</v>
      </c>
      <c r="K79" s="73">
        <f t="shared" si="19"/>
        <v>-9.8948905880472005E-2</v>
      </c>
    </row>
    <row r="80" spans="1:12"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9">
      <c r="A81" s="185" t="s">
        <v>67</v>
      </c>
      <c r="B81" s="185"/>
      <c r="C81" s="185"/>
      <c r="D81" s="185"/>
      <c r="E81" s="185"/>
      <c r="F81" s="185"/>
      <c r="G81" s="185"/>
      <c r="H81" s="185"/>
      <c r="I81" s="185"/>
      <c r="J81" s="185"/>
      <c r="K81" s="185"/>
    </row>
    <row r="82" spans="1:19">
      <c r="A82" t="s">
        <v>151</v>
      </c>
      <c r="B82" s="21"/>
      <c r="C82" s="21"/>
      <c r="D82" s="12">
        <v>0</v>
      </c>
      <c r="E82" s="103">
        <v>2</v>
      </c>
      <c r="F82" s="103">
        <v>3</v>
      </c>
      <c r="G82" s="103">
        <v>4</v>
      </c>
      <c r="H82" s="103">
        <v>0</v>
      </c>
      <c r="I82" s="69">
        <v>6</v>
      </c>
      <c r="J82" s="69">
        <v>7</v>
      </c>
      <c r="K82" s="69">
        <v>8</v>
      </c>
    </row>
    <row r="83" spans="1:19">
      <c r="B83" s="187" t="s">
        <v>71</v>
      </c>
      <c r="C83" s="187"/>
      <c r="D83" s="38">
        <v>1.155</v>
      </c>
      <c r="E83" s="38">
        <v>1.155</v>
      </c>
      <c r="F83" s="38">
        <v>1.155</v>
      </c>
      <c r="G83" s="38">
        <v>1.155</v>
      </c>
      <c r="H83" s="38">
        <v>1.155</v>
      </c>
      <c r="I83" s="74">
        <f>Messaufbau_Messdaten!O30</f>
        <v>1.851</v>
      </c>
      <c r="J83" s="74">
        <f>Messaufbau_Messdaten!P30</f>
        <v>2.0550000000000002</v>
      </c>
      <c r="K83" s="74">
        <f>Messaufbau_Messdaten!Q30</f>
        <v>1.5740000000000001</v>
      </c>
    </row>
    <row r="84" spans="1:19">
      <c r="B84" s="188" t="s">
        <v>70</v>
      </c>
      <c r="C84" s="188"/>
      <c r="D84" s="36">
        <f>SQRT(D77^2+D78^2+D79^2)</f>
        <v>1.0993509132010877</v>
      </c>
      <c r="E84" s="106">
        <f t="shared" ref="E84:K84" si="21">SQRT(E77^2+E78^2+E79^2)</f>
        <v>1.4291234412731442</v>
      </c>
      <c r="F84" s="106">
        <f t="shared" si="21"/>
        <v>0.96247221834780827</v>
      </c>
      <c r="G84" s="106">
        <f t="shared" si="21"/>
        <v>1.1700431676395557</v>
      </c>
      <c r="H84" s="106">
        <f t="shared" si="21"/>
        <v>1.5035134912142298</v>
      </c>
      <c r="I84" s="75">
        <f t="shared" si="21"/>
        <v>0.65482195037511559</v>
      </c>
      <c r="J84" s="75">
        <f t="shared" si="21"/>
        <v>0.48125287925641846</v>
      </c>
      <c r="K84" s="75">
        <f t="shared" si="21"/>
        <v>0.1127001300653627</v>
      </c>
    </row>
    <row r="85" spans="1:19">
      <c r="B85" s="188" t="s">
        <v>69</v>
      </c>
      <c r="C85" s="188"/>
      <c r="D85" s="36">
        <f>D84-D83</f>
        <v>-5.5649086798912339E-2</v>
      </c>
      <c r="E85" s="106">
        <f t="shared" ref="E85:K85" si="22">E84-E83</f>
        <v>0.27412344127314414</v>
      </c>
      <c r="F85" s="106">
        <f t="shared" si="22"/>
        <v>-0.19252778165219175</v>
      </c>
      <c r="G85" s="106">
        <f t="shared" si="22"/>
        <v>1.504316763955571E-2</v>
      </c>
      <c r="H85" s="106">
        <f t="shared" si="22"/>
        <v>0.34851349121422981</v>
      </c>
      <c r="I85" s="75">
        <f t="shared" si="22"/>
        <v>-1.1961780496248844</v>
      </c>
      <c r="J85" s="75">
        <f t="shared" si="22"/>
        <v>-1.5737471207435818</v>
      </c>
      <c r="K85" s="75">
        <f t="shared" si="22"/>
        <v>-1.4612998699346373</v>
      </c>
      <c r="L85" s="35"/>
      <c r="M85" s="35"/>
      <c r="N85" s="35"/>
      <c r="O85" s="35"/>
      <c r="P85" s="35"/>
      <c r="Q85" s="35"/>
      <c r="R85" s="35"/>
      <c r="S85" s="35"/>
    </row>
    <row r="86" spans="1:19">
      <c r="B86" s="189" t="s">
        <v>68</v>
      </c>
      <c r="C86" s="189"/>
      <c r="D86" s="39">
        <f>1-D83/D84</f>
        <v>-5.0619948672142812E-2</v>
      </c>
      <c r="E86" s="107">
        <f t="shared" ref="E86:K86" si="23">1-E83/E84</f>
        <v>0.19181229091654917</v>
      </c>
      <c r="F86" s="107">
        <f t="shared" si="23"/>
        <v>-0.20003463786485942</v>
      </c>
      <c r="G86" s="107">
        <f t="shared" si="23"/>
        <v>1.2856933876981502E-2</v>
      </c>
      <c r="H86" s="107">
        <f t="shared" si="23"/>
        <v>0.23179937742545431</v>
      </c>
      <c r="I86" s="76">
        <f t="shared" si="23"/>
        <v>-1.8267225906823255</v>
      </c>
      <c r="J86" s="76">
        <f t="shared" si="23"/>
        <v>-3.2701043226487725</v>
      </c>
      <c r="K86" s="76">
        <f t="shared" si="23"/>
        <v>-12.966266046783861</v>
      </c>
      <c r="L86" s="35"/>
      <c r="M86" s="35"/>
      <c r="N86" s="35"/>
      <c r="O86" s="35"/>
      <c r="P86" s="35"/>
      <c r="Q86" s="35"/>
      <c r="R86" s="35"/>
      <c r="S86" s="35"/>
    </row>
    <row r="87" spans="1:19">
      <c r="D87">
        <f>D85*D85</f>
        <v>3.0968208615528795E-3</v>
      </c>
      <c r="E87" s="108">
        <f t="shared" ref="E87:K87" si="24">E85*E85</f>
        <v>7.514366105543091E-2</v>
      </c>
      <c r="F87" s="108">
        <f t="shared" si="24"/>
        <v>3.7066946707914022E-2</v>
      </c>
      <c r="G87" s="108">
        <f t="shared" si="24"/>
        <v>2.2629689263177613E-4</v>
      </c>
      <c r="H87" s="108">
        <f t="shared" si="24"/>
        <v>0.12146165355833104</v>
      </c>
      <c r="I87" s="77">
        <f t="shared" si="24"/>
        <v>1.4308419264043923</v>
      </c>
      <c r="J87" s="77">
        <f t="shared" si="24"/>
        <v>2.4766800000487139</v>
      </c>
      <c r="K87" s="77">
        <f t="shared" si="24"/>
        <v>2.1353973098709882</v>
      </c>
      <c r="L87" s="35"/>
      <c r="M87" s="35"/>
      <c r="N87" s="35"/>
      <c r="O87" s="35"/>
      <c r="P87" s="35"/>
      <c r="Q87" s="35"/>
      <c r="R87" s="35"/>
      <c r="S87" s="35"/>
    </row>
    <row r="88" spans="1:19" ht="15.75" thickBo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</row>
    <row r="89" spans="1:19" ht="15.75" thickTop="1">
      <c r="L89" s="35"/>
      <c r="M89" s="35"/>
      <c r="N89" s="35"/>
      <c r="O89" s="35"/>
      <c r="P89" s="35"/>
      <c r="Q89" s="35"/>
      <c r="R89" s="35"/>
      <c r="S89" s="35"/>
    </row>
    <row r="90" spans="1:19">
      <c r="C90">
        <v>1</v>
      </c>
      <c r="D90" s="82">
        <v>2</v>
      </c>
      <c r="E90">
        <v>3</v>
      </c>
      <c r="F90">
        <v>4</v>
      </c>
      <c r="G90">
        <v>5</v>
      </c>
      <c r="H90">
        <v>6</v>
      </c>
      <c r="I90" s="82">
        <v>7</v>
      </c>
      <c r="J90">
        <v>8</v>
      </c>
      <c r="K90" t="s">
        <v>78</v>
      </c>
      <c r="L90" s="16">
        <v>1</v>
      </c>
      <c r="M90" s="16">
        <v>2</v>
      </c>
      <c r="N90" s="16">
        <v>3</v>
      </c>
      <c r="O90" s="16">
        <v>4</v>
      </c>
      <c r="P90" s="16">
        <v>5</v>
      </c>
      <c r="Q90" s="16">
        <v>6</v>
      </c>
      <c r="R90" s="16">
        <v>7</v>
      </c>
      <c r="S90" s="16">
        <v>8</v>
      </c>
    </row>
    <row r="91" spans="1:19">
      <c r="A91" t="s">
        <v>113</v>
      </c>
      <c r="B91" t="s">
        <v>27</v>
      </c>
      <c r="C91" s="35">
        <v>0.47920829337661575</v>
      </c>
      <c r="D91" s="83">
        <v>-0.77466733619029227</v>
      </c>
      <c r="E91" s="35">
        <v>1.5211206823878374</v>
      </c>
      <c r="F91" s="35">
        <v>-0.92363888275861272</v>
      </c>
      <c r="G91" s="35">
        <v>1.921310887304841</v>
      </c>
      <c r="H91" s="35">
        <v>-0.55595022326781851</v>
      </c>
      <c r="I91" s="83">
        <v>1.0628801501210983</v>
      </c>
      <c r="J91" s="35">
        <v>0.45375044784821961</v>
      </c>
      <c r="L91" s="35">
        <v>0</v>
      </c>
      <c r="M91" s="35">
        <f t="shared" ref="M91:S93" si="25">D91-$C91</f>
        <v>-1.253875629566908</v>
      </c>
      <c r="N91" s="35">
        <f t="shared" si="25"/>
        <v>1.0419123890112216</v>
      </c>
      <c r="O91" s="35">
        <f t="shared" si="25"/>
        <v>-1.4028471761352286</v>
      </c>
      <c r="P91" s="35">
        <f t="shared" si="25"/>
        <v>1.4421025939282253</v>
      </c>
      <c r="Q91" s="35">
        <f t="shared" si="25"/>
        <v>-1.0351585166444344</v>
      </c>
      <c r="R91" s="35">
        <f t="shared" si="25"/>
        <v>0.58367185674448252</v>
      </c>
      <c r="S91" s="35">
        <f t="shared" si="25"/>
        <v>-2.5457845528396139E-2</v>
      </c>
    </row>
    <row r="92" spans="1:19">
      <c r="A92" t="s">
        <v>115</v>
      </c>
      <c r="B92" t="s">
        <v>27</v>
      </c>
      <c r="C92" s="35">
        <v>-1.0120183213662168</v>
      </c>
      <c r="D92" s="83">
        <v>-1.0446104874939868</v>
      </c>
      <c r="E92" s="35">
        <v>-1.0528368537974293</v>
      </c>
      <c r="F92" s="35">
        <v>-0.1973528620206508</v>
      </c>
      <c r="G92" s="35">
        <v>3.1169393503572059E-2</v>
      </c>
      <c r="H92" s="35">
        <v>1.0917266627558933</v>
      </c>
      <c r="I92" s="83">
        <v>1.0721321685048839</v>
      </c>
      <c r="J92" s="35">
        <v>1.354747525895555</v>
      </c>
      <c r="L92" s="35">
        <v>0</v>
      </c>
      <c r="M92" s="35">
        <f t="shared" si="25"/>
        <v>-3.2592166127769939E-2</v>
      </c>
      <c r="N92" s="35">
        <f t="shared" si="25"/>
        <v>-4.0818532431212473E-2</v>
      </c>
      <c r="O92" s="35">
        <f t="shared" si="25"/>
        <v>0.814665459345566</v>
      </c>
      <c r="P92" s="35">
        <f t="shared" si="25"/>
        <v>1.0431877148697888</v>
      </c>
      <c r="Q92" s="35">
        <f t="shared" si="25"/>
        <v>2.1037449841221099</v>
      </c>
      <c r="R92" s="35">
        <f t="shared" si="25"/>
        <v>2.0841504898711007</v>
      </c>
      <c r="S92" s="35">
        <f t="shared" si="25"/>
        <v>2.3667658472617719</v>
      </c>
    </row>
    <row r="93" spans="1:19">
      <c r="A93" t="s">
        <v>116</v>
      </c>
      <c r="B93" t="s">
        <v>27</v>
      </c>
      <c r="C93" s="35">
        <v>0.60667574649490386</v>
      </c>
      <c r="D93" s="83">
        <v>1.3460223603321362</v>
      </c>
      <c r="E93" s="35">
        <v>1.3791595783414641</v>
      </c>
      <c r="F93" s="35">
        <v>1.3262629215252844</v>
      </c>
      <c r="G93" s="35">
        <v>1.396000084565695</v>
      </c>
      <c r="H93" s="35">
        <v>1.4358127591862397</v>
      </c>
      <c r="I93" s="83">
        <v>1.3583899668915187</v>
      </c>
      <c r="J93" s="35">
        <v>0.67035999999957208</v>
      </c>
      <c r="L93" s="35">
        <v>0</v>
      </c>
      <c r="M93" s="35">
        <f t="shared" si="25"/>
        <v>0.73934661383723232</v>
      </c>
      <c r="N93" s="35">
        <f t="shared" si="25"/>
        <v>0.77248383184656022</v>
      </c>
      <c r="O93" s="35">
        <f t="shared" si="25"/>
        <v>0.7195871750303805</v>
      </c>
      <c r="P93" s="35">
        <f t="shared" si="25"/>
        <v>0.78932433807079116</v>
      </c>
      <c r="Q93" s="35">
        <f t="shared" si="25"/>
        <v>0.82913701269133588</v>
      </c>
      <c r="R93" s="35">
        <f t="shared" si="25"/>
        <v>0.75171422039661484</v>
      </c>
      <c r="S93" s="35">
        <f t="shared" si="25"/>
        <v>6.368425350466822E-2</v>
      </c>
    </row>
    <row r="94" spans="1:19">
      <c r="E94" s="2"/>
      <c r="F94" s="2"/>
    </row>
    <row r="95" spans="1:19">
      <c r="A95" s="2"/>
      <c r="B95" s="5"/>
      <c r="C95" s="79">
        <f>L$101-L$99</f>
        <v>1.0419123890112216</v>
      </c>
      <c r="D95" s="79">
        <f t="shared" ref="D95:E95" si="26">M$101-M$99</f>
        <v>-4.0818532431212473E-2</v>
      </c>
      <c r="E95" s="85">
        <f t="shared" si="26"/>
        <v>0.77248383184656022</v>
      </c>
      <c r="J95" s="79"/>
      <c r="K95" t="s">
        <v>128</v>
      </c>
      <c r="L95" s="35">
        <f>SQRT(L91^2+L92^2+L93^2)</f>
        <v>0</v>
      </c>
      <c r="M95" s="35">
        <f>SQRT(M91^2+M92^2+M93^2)</f>
        <v>1.4559875545853034</v>
      </c>
      <c r="N95" s="35">
        <f t="shared" ref="N95:S95" si="27">SQRT(N91^2+N92^2+N93^2)</f>
        <v>1.2976821064610753</v>
      </c>
      <c r="O95" s="35">
        <f t="shared" si="27"/>
        <v>1.7746734101545305</v>
      </c>
      <c r="P95" s="35">
        <f t="shared" si="27"/>
        <v>1.9470319490292554</v>
      </c>
      <c r="Q95" s="35">
        <f t="shared" si="27"/>
        <v>2.4869186353025614</v>
      </c>
      <c r="R95" s="35">
        <f t="shared" si="27"/>
        <v>2.2911635406343196</v>
      </c>
      <c r="S95" s="35">
        <f t="shared" si="27"/>
        <v>2.3677593547081863</v>
      </c>
    </row>
    <row r="96" spans="1:19">
      <c r="A96" s="2" t="s">
        <v>129</v>
      </c>
      <c r="B96" s="5" t="s">
        <v>27</v>
      </c>
      <c r="C96" s="79">
        <f>L$102-L$99</f>
        <v>-1.4028471761352286</v>
      </c>
      <c r="D96" s="79">
        <f t="shared" ref="D96:E96" si="28">M$102-M$99</f>
        <v>0.814665459345566</v>
      </c>
      <c r="E96" s="85">
        <f t="shared" si="28"/>
        <v>0.7195871750303805</v>
      </c>
      <c r="J96" s="79"/>
    </row>
    <row r="97" spans="1:14">
      <c r="A97" s="2"/>
      <c r="B97" s="5"/>
      <c r="C97" s="79">
        <f>L$103-L$99</f>
        <v>1.4421025939282253</v>
      </c>
      <c r="D97" s="79">
        <f t="shared" ref="D97:E97" si="29">M$103-M$99</f>
        <v>1.0431877148697888</v>
      </c>
      <c r="E97" s="85">
        <f t="shared" si="29"/>
        <v>0.78932433807079116</v>
      </c>
      <c r="J97" s="79"/>
    </row>
    <row r="98" spans="1:14">
      <c r="A98" s="2"/>
      <c r="L98" t="s">
        <v>56</v>
      </c>
      <c r="M98" t="s">
        <v>57</v>
      </c>
      <c r="N98" t="s">
        <v>58</v>
      </c>
    </row>
    <row r="99" spans="1:14">
      <c r="A99" s="2"/>
      <c r="B99" s="5"/>
      <c r="C99" s="79">
        <f>L$101-L$99</f>
        <v>1.0419123890112216</v>
      </c>
      <c r="D99" s="79">
        <f t="shared" ref="D99:E99" si="30">M$101-M$99</f>
        <v>-4.0818532431212473E-2</v>
      </c>
      <c r="E99" s="85">
        <f t="shared" si="30"/>
        <v>0.77248383184656022</v>
      </c>
      <c r="K99">
        <v>0</v>
      </c>
      <c r="L99" s="35">
        <v>0.47920829337661575</v>
      </c>
      <c r="M99" s="35">
        <v>-1.0120183213662168</v>
      </c>
      <c r="N99" s="35">
        <v>0.60667574649490386</v>
      </c>
    </row>
    <row r="100" spans="1:14">
      <c r="A100" s="2" t="s">
        <v>162</v>
      </c>
      <c r="B100" s="5" t="s">
        <v>27</v>
      </c>
      <c r="C100" s="79">
        <f>L$104-L$99</f>
        <v>-1.0351585166444344</v>
      </c>
      <c r="D100" s="79">
        <f t="shared" ref="D100:E100" si="31">M$104-M$99</f>
        <v>2.1037449841221099</v>
      </c>
      <c r="E100" s="85">
        <f t="shared" si="31"/>
        <v>0.82913701269133588</v>
      </c>
      <c r="K100">
        <v>1</v>
      </c>
      <c r="L100" s="83">
        <v>-0.77466733619029227</v>
      </c>
      <c r="M100" s="83">
        <v>-1.0446104874939868</v>
      </c>
      <c r="N100" s="83">
        <v>1.3460223603321362</v>
      </c>
    </row>
    <row r="101" spans="1:14">
      <c r="A101" s="2"/>
      <c r="B101" s="5"/>
      <c r="C101" s="79">
        <f>L$106-L$99</f>
        <v>-2.5457845528396139E-2</v>
      </c>
      <c r="D101" s="79">
        <f t="shared" ref="D101:E101" si="32">M$106-M$99</f>
        <v>2.3667658472617719</v>
      </c>
      <c r="E101" s="85">
        <f t="shared" si="32"/>
        <v>6.368425350466822E-2</v>
      </c>
      <c r="K101">
        <v>2</v>
      </c>
      <c r="L101" s="35">
        <v>1.5211206823878374</v>
      </c>
      <c r="M101" s="35">
        <v>-1.0528368537974293</v>
      </c>
      <c r="N101" s="35">
        <v>1.3791595783414641</v>
      </c>
    </row>
    <row r="102" spans="1:14">
      <c r="A102" s="2"/>
      <c r="K102">
        <v>3</v>
      </c>
      <c r="L102" s="35">
        <v>-0.92363888275861272</v>
      </c>
      <c r="M102" s="35">
        <v>-0.1973528620206508</v>
      </c>
      <c r="N102" s="35">
        <v>1.3262629215252844</v>
      </c>
    </row>
    <row r="103" spans="1:14">
      <c r="A103" s="2"/>
      <c r="B103" s="5"/>
      <c r="C103" s="79">
        <f>L$101-L$99</f>
        <v>1.0419123890112216</v>
      </c>
      <c r="D103" s="79">
        <f t="shared" ref="D103:E103" si="33">M$101-M$99</f>
        <v>-4.0818532431212473E-2</v>
      </c>
      <c r="E103" s="85">
        <f t="shared" si="33"/>
        <v>0.77248383184656022</v>
      </c>
      <c r="K103">
        <v>4</v>
      </c>
      <c r="L103" s="35">
        <v>1.921310887304841</v>
      </c>
      <c r="M103" s="35">
        <v>3.1169393503572059E-2</v>
      </c>
      <c r="N103" s="35">
        <v>1.396000084565695</v>
      </c>
    </row>
    <row r="104" spans="1:14">
      <c r="A104" s="2" t="s">
        <v>163</v>
      </c>
      <c r="B104" s="5" t="s">
        <v>27</v>
      </c>
      <c r="C104" s="79">
        <f>L$103-L$99</f>
        <v>1.4421025939282253</v>
      </c>
      <c r="D104" s="79">
        <f t="shared" ref="D104:E104" si="34">M$103-M$99</f>
        <v>1.0431877148697888</v>
      </c>
      <c r="E104" s="85">
        <f t="shared" si="34"/>
        <v>0.78932433807079116</v>
      </c>
      <c r="K104">
        <v>5</v>
      </c>
      <c r="L104" s="35">
        <v>-0.55595022326781851</v>
      </c>
      <c r="M104" s="35">
        <v>1.0917266627558933</v>
      </c>
      <c r="N104" s="35">
        <v>1.4358127591862397</v>
      </c>
    </row>
    <row r="105" spans="1:14">
      <c r="A105" s="2"/>
      <c r="B105" s="5"/>
      <c r="C105" s="79">
        <f>L$104-L$99</f>
        <v>-1.0351585166444344</v>
      </c>
      <c r="D105" s="79">
        <f t="shared" ref="D105:E105" si="35">M$104-M$99</f>
        <v>2.1037449841221099</v>
      </c>
      <c r="E105" s="85">
        <f t="shared" si="35"/>
        <v>0.82913701269133588</v>
      </c>
      <c r="K105">
        <v>6</v>
      </c>
      <c r="L105" s="83">
        <v>1.0628801501210983</v>
      </c>
      <c r="M105" s="83">
        <v>1.0721321685048839</v>
      </c>
      <c r="N105" s="83">
        <v>1.3583899668915187</v>
      </c>
    </row>
    <row r="106" spans="1:14">
      <c r="A106" s="2"/>
      <c r="K106">
        <v>7</v>
      </c>
      <c r="L106" s="35">
        <v>0.45375044784821961</v>
      </c>
      <c r="M106" s="35">
        <v>1.354747525895555</v>
      </c>
      <c r="N106" s="35">
        <v>0.67035999999957208</v>
      </c>
    </row>
    <row r="107" spans="1:14">
      <c r="A107" s="2"/>
      <c r="B107" s="5"/>
      <c r="C107" s="79">
        <f>L$101-L$99</f>
        <v>1.0419123890112216</v>
      </c>
      <c r="D107" s="79">
        <f t="shared" ref="D107:E107" si="36">M$101-M$99</f>
        <v>-4.0818532431212473E-2</v>
      </c>
      <c r="E107" s="85">
        <f t="shared" si="36"/>
        <v>0.77248383184656022</v>
      </c>
    </row>
    <row r="108" spans="1:14">
      <c r="A108" s="2" t="s">
        <v>164</v>
      </c>
      <c r="B108" s="5" t="s">
        <v>27</v>
      </c>
      <c r="C108" s="79">
        <f>L$102-L$99</f>
        <v>-1.4028471761352286</v>
      </c>
      <c r="D108" s="79">
        <f t="shared" ref="D108:E108" si="37">M$102-M$99</f>
        <v>0.814665459345566</v>
      </c>
      <c r="E108" s="85">
        <f t="shared" si="37"/>
        <v>0.7195871750303805</v>
      </c>
    </row>
    <row r="109" spans="1:14">
      <c r="A109" s="2"/>
      <c r="B109" s="5"/>
      <c r="C109" s="79">
        <f>L$106-L$99</f>
        <v>-2.5457845528396139E-2</v>
      </c>
      <c r="D109" s="79">
        <f t="shared" ref="D109:E109" si="38">M$106-M$99</f>
        <v>2.3667658472617719</v>
      </c>
      <c r="E109" s="85">
        <f t="shared" si="38"/>
        <v>6.368425350466822E-2</v>
      </c>
    </row>
    <row r="110" spans="1:14">
      <c r="A110" s="2"/>
    </row>
    <row r="111" spans="1:14">
      <c r="A111" s="2"/>
      <c r="B111" s="5"/>
      <c r="C111" s="79">
        <f>L$101-L$99</f>
        <v>1.0419123890112216</v>
      </c>
      <c r="D111" s="79">
        <f t="shared" ref="D111:E111" si="39">M$101-M$99</f>
        <v>-4.0818532431212473E-2</v>
      </c>
      <c r="E111" s="85">
        <f t="shared" si="39"/>
        <v>0.77248383184656022</v>
      </c>
    </row>
    <row r="112" spans="1:14">
      <c r="A112" s="2" t="s">
        <v>165</v>
      </c>
      <c r="B112" s="5" t="s">
        <v>27</v>
      </c>
      <c r="C112" s="79">
        <f>L$102-L$99</f>
        <v>-1.4028471761352286</v>
      </c>
      <c r="D112" s="79">
        <f t="shared" ref="D112:E112" si="40">M$102-M$99</f>
        <v>0.814665459345566</v>
      </c>
      <c r="E112" s="85">
        <f t="shared" si="40"/>
        <v>0.7195871750303805</v>
      </c>
    </row>
    <row r="113" spans="1:13">
      <c r="A113" s="2"/>
      <c r="C113" s="79">
        <f>L$104-L$99</f>
        <v>-1.0351585166444344</v>
      </c>
      <c r="D113" s="79">
        <f t="shared" ref="D113:E113" si="41">M$104-M$99</f>
        <v>2.1037449841221099</v>
      </c>
      <c r="E113" s="85">
        <f t="shared" si="41"/>
        <v>0.82913701269133588</v>
      </c>
    </row>
    <row r="114" spans="1:13">
      <c r="B114" s="2"/>
      <c r="C114" s="148"/>
      <c r="D114" s="148"/>
      <c r="E114" s="148"/>
      <c r="F114" s="2"/>
    </row>
    <row r="115" spans="1:13">
      <c r="B115" s="2"/>
      <c r="C115" s="148"/>
      <c r="D115" s="148"/>
      <c r="E115" s="148"/>
      <c r="F115" s="2"/>
    </row>
    <row r="117" spans="1:13">
      <c r="A117" s="23" t="s">
        <v>143</v>
      </c>
    </row>
    <row r="118" spans="1:13">
      <c r="B118" s="92">
        <v>0</v>
      </c>
      <c r="C118" s="117">
        <v>1</v>
      </c>
      <c r="D118" s="149">
        <v>2</v>
      </c>
      <c r="E118" s="149">
        <v>3</v>
      </c>
      <c r="F118" s="149">
        <v>4</v>
      </c>
      <c r="G118" s="152">
        <v>5</v>
      </c>
      <c r="H118" s="120">
        <v>6</v>
      </c>
      <c r="I118" s="154">
        <v>7</v>
      </c>
    </row>
    <row r="119" spans="1:13">
      <c r="B119" s="94">
        <f>C91-$C91</f>
        <v>0</v>
      </c>
      <c r="C119" s="118">
        <f>D91-$C91</f>
        <v>-1.253875629566908</v>
      </c>
      <c r="D119" s="150">
        <f t="shared" ref="D119:I121" si="42">E91-$C91</f>
        <v>1.0419123890112216</v>
      </c>
      <c r="E119" s="150">
        <f t="shared" si="42"/>
        <v>-1.4028471761352286</v>
      </c>
      <c r="F119" s="150">
        <f t="shared" si="42"/>
        <v>1.4421025939282253</v>
      </c>
      <c r="G119" s="153">
        <f t="shared" si="42"/>
        <v>-1.0351585166444344</v>
      </c>
      <c r="H119" s="118">
        <f t="shared" si="42"/>
        <v>0.58367185674448252</v>
      </c>
      <c r="I119" s="155">
        <f t="shared" si="42"/>
        <v>-2.5457845528396139E-2</v>
      </c>
      <c r="K119" s="99" t="s">
        <v>147</v>
      </c>
    </row>
    <row r="120" spans="1:13">
      <c r="B120" s="94">
        <f t="shared" ref="B120:C121" si="43">C92-$C92</f>
        <v>0</v>
      </c>
      <c r="C120" s="118">
        <f t="shared" si="43"/>
        <v>-3.2592166127769939E-2</v>
      </c>
      <c r="D120" s="150">
        <f t="shared" si="42"/>
        <v>-4.0818532431212473E-2</v>
      </c>
      <c r="E120" s="150">
        <f t="shared" si="42"/>
        <v>0.814665459345566</v>
      </c>
      <c r="F120" s="150">
        <f t="shared" si="42"/>
        <v>1.0431877148697888</v>
      </c>
      <c r="G120" s="153">
        <f t="shared" si="42"/>
        <v>2.1037449841221099</v>
      </c>
      <c r="H120" s="121">
        <f t="shared" si="42"/>
        <v>2.0841504898711007</v>
      </c>
      <c r="I120" s="155">
        <f t="shared" si="42"/>
        <v>2.3667658472617719</v>
      </c>
      <c r="K120" s="100" t="s">
        <v>148</v>
      </c>
    </row>
    <row r="121" spans="1:13">
      <c r="B121" s="94">
        <f t="shared" si="43"/>
        <v>0</v>
      </c>
      <c r="C121" s="118">
        <f t="shared" si="43"/>
        <v>0.73934661383723232</v>
      </c>
      <c r="D121" s="150">
        <f t="shared" si="42"/>
        <v>0.77248383184656022</v>
      </c>
      <c r="E121" s="150">
        <f t="shared" si="42"/>
        <v>0.7195871750303805</v>
      </c>
      <c r="F121" s="150">
        <f t="shared" si="42"/>
        <v>0.78932433807079116</v>
      </c>
      <c r="G121" s="153">
        <f t="shared" si="42"/>
        <v>0.82913701269133588</v>
      </c>
      <c r="H121" s="118">
        <f t="shared" si="42"/>
        <v>0.75171422039661484</v>
      </c>
      <c r="I121" s="155">
        <f t="shared" si="42"/>
        <v>6.368425350466822E-2</v>
      </c>
      <c r="K121" s="101" t="s">
        <v>149</v>
      </c>
    </row>
    <row r="122" spans="1:13">
      <c r="C122" s="119"/>
      <c r="D122" s="151"/>
      <c r="E122" s="151"/>
      <c r="F122" s="151"/>
      <c r="G122" s="151"/>
      <c r="H122" s="119"/>
      <c r="I122" s="151"/>
    </row>
    <row r="123" spans="1:13">
      <c r="A123" s="16" t="s">
        <v>128</v>
      </c>
      <c r="B123" s="96">
        <f>SQRT(B119^2+B120^2+B121^2)</f>
        <v>0</v>
      </c>
      <c r="C123" s="96">
        <f t="shared" ref="C123:I123" si="44">SQRT(C119^2+C120^2+C121^2)</f>
        <v>1.4559875545853034</v>
      </c>
      <c r="D123" s="96">
        <f t="shared" si="44"/>
        <v>1.2976821064610753</v>
      </c>
      <c r="E123" s="96">
        <f t="shared" si="44"/>
        <v>1.7746734101545305</v>
      </c>
      <c r="F123" s="96">
        <f t="shared" si="44"/>
        <v>1.9470319490292554</v>
      </c>
      <c r="G123" s="96">
        <f t="shared" si="44"/>
        <v>2.4869186353025614</v>
      </c>
      <c r="H123" s="96">
        <f t="shared" si="44"/>
        <v>2.2911635406343196</v>
      </c>
      <c r="I123" s="96">
        <f t="shared" si="44"/>
        <v>2.3677593547081863</v>
      </c>
    </row>
    <row r="124" spans="1:13">
      <c r="C124" s="119"/>
      <c r="G124" s="124"/>
      <c r="H124" s="119"/>
      <c r="I124" s="124"/>
    </row>
    <row r="125" spans="1:13">
      <c r="B125" s="93">
        <v>0</v>
      </c>
      <c r="C125" s="117">
        <v>1</v>
      </c>
      <c r="D125" s="92">
        <v>2</v>
      </c>
      <c r="E125" s="93">
        <v>3</v>
      </c>
      <c r="F125" s="93">
        <v>4</v>
      </c>
      <c r="G125" s="122">
        <v>5</v>
      </c>
      <c r="H125" s="117">
        <v>6</v>
      </c>
      <c r="I125" s="122">
        <v>7</v>
      </c>
    </row>
    <row r="126" spans="1:13">
      <c r="B126" s="95">
        <f>C91-$E91</f>
        <v>-1.0419123890112216</v>
      </c>
      <c r="C126" s="118">
        <f>D91-$E91</f>
        <v>-2.2957880185781296</v>
      </c>
      <c r="D126" s="94">
        <f t="shared" ref="D126:I126" si="45">E91-$E91</f>
        <v>0</v>
      </c>
      <c r="E126" s="95">
        <f t="shared" si="45"/>
        <v>-2.44475956514645</v>
      </c>
      <c r="F126" s="95">
        <f t="shared" si="45"/>
        <v>0.40019020491700363</v>
      </c>
      <c r="G126" s="123">
        <f t="shared" si="45"/>
        <v>-2.0770709056556558</v>
      </c>
      <c r="H126" s="118">
        <f t="shared" si="45"/>
        <v>-0.45824053226673911</v>
      </c>
      <c r="I126" s="123">
        <f t="shared" si="45"/>
        <v>-1.0673702345396179</v>
      </c>
    </row>
    <row r="127" spans="1:13">
      <c r="B127" s="95">
        <f t="shared" ref="B127:I128" si="46">C92-$E92</f>
        <v>4.0818532431212473E-2</v>
      </c>
      <c r="C127" s="118">
        <f t="shared" si="46"/>
        <v>8.2263663034425338E-3</v>
      </c>
      <c r="D127" s="94">
        <f t="shared" si="46"/>
        <v>0</v>
      </c>
      <c r="E127" s="95">
        <f t="shared" si="46"/>
        <v>0.85548399177677847</v>
      </c>
      <c r="F127" s="95">
        <f t="shared" si="46"/>
        <v>1.0840062473010013</v>
      </c>
      <c r="G127" s="123">
        <f t="shared" si="46"/>
        <v>2.1445635165533226</v>
      </c>
      <c r="H127" s="118">
        <f t="shared" si="46"/>
        <v>2.124969022302313</v>
      </c>
      <c r="I127" s="123">
        <f t="shared" si="46"/>
        <v>2.4075843796929846</v>
      </c>
    </row>
    <row r="128" spans="1:13">
      <c r="B128" s="95">
        <f t="shared" si="46"/>
        <v>-0.77248383184656022</v>
      </c>
      <c r="C128" s="118">
        <f t="shared" si="46"/>
        <v>-3.3137218009327896E-2</v>
      </c>
      <c r="D128" s="94">
        <f t="shared" si="46"/>
        <v>0</v>
      </c>
      <c r="E128" s="95">
        <f t="shared" si="46"/>
        <v>-5.2896656816179721E-2</v>
      </c>
      <c r="F128" s="95">
        <f t="shared" si="46"/>
        <v>1.6840506224230944E-2</v>
      </c>
      <c r="G128" s="123">
        <f t="shared" si="46"/>
        <v>5.6653180844775664E-2</v>
      </c>
      <c r="H128" s="118">
        <f t="shared" si="46"/>
        <v>-2.076961144994538E-2</v>
      </c>
      <c r="I128" s="123">
        <f t="shared" si="46"/>
        <v>-0.708799578341892</v>
      </c>
      <c r="L128" s="35"/>
      <c r="M128" s="35"/>
    </row>
    <row r="129" spans="1:13">
      <c r="C129" s="119"/>
      <c r="G129" s="124"/>
      <c r="H129" s="119"/>
      <c r="I129" s="124"/>
      <c r="L129" s="35"/>
      <c r="M129" s="35"/>
    </row>
    <row r="130" spans="1:13">
      <c r="A130" s="16" t="s">
        <v>144</v>
      </c>
      <c r="B130" s="98">
        <f>SQRT(B126^2+B127^2+B128^2)</f>
        <v>1.2976821064610753</v>
      </c>
      <c r="C130" s="97">
        <f t="shared" ref="C130:I130" si="47">SQRT(C126^2+C127^2+C128^2)</f>
        <v>2.2960418930339337</v>
      </c>
      <c r="D130" s="96">
        <f t="shared" si="47"/>
        <v>0</v>
      </c>
      <c r="E130" s="98">
        <f t="shared" si="47"/>
        <v>2.5906563353451029</v>
      </c>
      <c r="F130" s="98">
        <f t="shared" si="47"/>
        <v>1.1556406651502886</v>
      </c>
      <c r="G130" s="134">
        <f t="shared" si="47"/>
        <v>2.9860652716497325</v>
      </c>
      <c r="H130" s="97">
        <f t="shared" si="47"/>
        <v>2.1739156165583644</v>
      </c>
      <c r="I130" s="134">
        <f t="shared" si="47"/>
        <v>2.7272951078276177</v>
      </c>
      <c r="L130" s="35"/>
      <c r="M130" s="35"/>
    </row>
    <row r="131" spans="1:13">
      <c r="C131" s="124"/>
      <c r="G131" s="124"/>
      <c r="H131" s="119"/>
      <c r="I131" s="124"/>
    </row>
    <row r="132" spans="1:13">
      <c r="B132" s="93">
        <v>0</v>
      </c>
      <c r="C132" s="117">
        <v>1</v>
      </c>
      <c r="D132" s="93">
        <v>2</v>
      </c>
      <c r="E132" s="92">
        <v>3</v>
      </c>
      <c r="F132" s="93">
        <v>4</v>
      </c>
      <c r="G132" s="122">
        <v>5</v>
      </c>
      <c r="H132" s="117">
        <v>6</v>
      </c>
      <c r="I132" s="122">
        <v>7</v>
      </c>
    </row>
    <row r="133" spans="1:13">
      <c r="B133" s="95">
        <f t="shared" ref="B133:I135" si="48">C91-$F91</f>
        <v>1.4028471761352286</v>
      </c>
      <c r="C133" s="118">
        <f>D91-$F91</f>
        <v>0.14897154656832046</v>
      </c>
      <c r="D133" s="95">
        <f t="shared" ref="D133:I133" si="49">E91-$F91</f>
        <v>2.44475956514645</v>
      </c>
      <c r="E133" s="94">
        <f t="shared" si="49"/>
        <v>0</v>
      </c>
      <c r="F133" s="95">
        <f t="shared" si="49"/>
        <v>2.8449497700634536</v>
      </c>
      <c r="G133" s="123">
        <f t="shared" si="49"/>
        <v>0.36768865949079421</v>
      </c>
      <c r="H133" s="118">
        <f t="shared" si="49"/>
        <v>1.9865190328797109</v>
      </c>
      <c r="I133" s="123">
        <f t="shared" si="49"/>
        <v>1.3773893306068323</v>
      </c>
    </row>
    <row r="134" spans="1:13">
      <c r="B134" s="95">
        <f t="shared" si="48"/>
        <v>-0.814665459345566</v>
      </c>
      <c r="C134" s="118">
        <f t="shared" si="48"/>
        <v>-0.84725762547333594</v>
      </c>
      <c r="D134" s="95">
        <f t="shared" si="48"/>
        <v>-0.85548399177677847</v>
      </c>
      <c r="E134" s="94">
        <f t="shared" si="48"/>
        <v>0</v>
      </c>
      <c r="F134" s="95">
        <f t="shared" si="48"/>
        <v>0.22852225552422287</v>
      </c>
      <c r="G134" s="123">
        <f t="shared" si="48"/>
        <v>1.2890795247765441</v>
      </c>
      <c r="H134" s="118">
        <f t="shared" si="48"/>
        <v>1.2694850305255347</v>
      </c>
      <c r="I134" s="123">
        <f t="shared" si="48"/>
        <v>1.5521003879162059</v>
      </c>
    </row>
    <row r="135" spans="1:13">
      <c r="B135" s="95">
        <f t="shared" si="48"/>
        <v>-0.7195871750303805</v>
      </c>
      <c r="C135" s="118">
        <f t="shared" si="48"/>
        <v>1.9759438806851826E-2</v>
      </c>
      <c r="D135" s="95">
        <f t="shared" si="48"/>
        <v>5.2896656816179721E-2</v>
      </c>
      <c r="E135" s="94">
        <f t="shared" si="48"/>
        <v>0</v>
      </c>
      <c r="F135" s="95">
        <f t="shared" si="48"/>
        <v>6.9737163040410666E-2</v>
      </c>
      <c r="G135" s="123">
        <f t="shared" si="48"/>
        <v>0.10954983766095538</v>
      </c>
      <c r="H135" s="118">
        <f t="shared" si="48"/>
        <v>3.2127045366234341E-2</v>
      </c>
      <c r="I135" s="123">
        <f t="shared" si="48"/>
        <v>-0.65590292152571228</v>
      </c>
    </row>
    <row r="136" spans="1:13">
      <c r="C136" s="119"/>
      <c r="G136" s="124"/>
      <c r="H136" s="119"/>
      <c r="I136" s="124"/>
    </row>
    <row r="137" spans="1:13">
      <c r="A137" s="16" t="s">
        <v>145</v>
      </c>
      <c r="B137" s="98">
        <f>SQRT(B133^2+B134^2+B135^2)</f>
        <v>1.7746734101545305</v>
      </c>
      <c r="C137" s="97">
        <f t="shared" ref="C137:I137" si="50">SQRT(C133^2+C134^2+C135^2)</f>
        <v>0.86048151696107611</v>
      </c>
      <c r="D137" s="98">
        <f t="shared" si="50"/>
        <v>2.5906563353451029</v>
      </c>
      <c r="E137" s="96">
        <f t="shared" si="50"/>
        <v>0</v>
      </c>
      <c r="F137" s="98">
        <f t="shared" si="50"/>
        <v>2.8549649537889077</v>
      </c>
      <c r="G137" s="134">
        <f t="shared" si="50"/>
        <v>1.3449617609611804</v>
      </c>
      <c r="H137" s="97">
        <f t="shared" si="50"/>
        <v>2.3577281984498817</v>
      </c>
      <c r="I137" s="134">
        <f t="shared" si="50"/>
        <v>2.1763330684215454</v>
      </c>
    </row>
    <row r="138" spans="1:13">
      <c r="C138" s="119"/>
      <c r="G138" s="124"/>
      <c r="H138" s="119"/>
      <c r="I138" s="124"/>
    </row>
    <row r="139" spans="1:13">
      <c r="B139" s="93">
        <v>0</v>
      </c>
      <c r="C139" s="117">
        <v>1</v>
      </c>
      <c r="D139" s="93">
        <v>2</v>
      </c>
      <c r="E139" s="93">
        <v>3</v>
      </c>
      <c r="F139" s="92">
        <v>4</v>
      </c>
      <c r="G139" s="122">
        <v>5</v>
      </c>
      <c r="H139" s="117">
        <v>6</v>
      </c>
      <c r="I139" s="122">
        <v>7</v>
      </c>
    </row>
    <row r="140" spans="1:13">
      <c r="B140" s="95">
        <f>C91-$G91</f>
        <v>-1.4421025939282253</v>
      </c>
      <c r="C140" s="118">
        <f t="shared" ref="C140:I140" si="51">D91-$G91</f>
        <v>-2.6959782234951333</v>
      </c>
      <c r="D140" s="95">
        <f t="shared" si="51"/>
        <v>-0.40019020491700363</v>
      </c>
      <c r="E140" s="95">
        <f t="shared" si="51"/>
        <v>-2.8449497700634536</v>
      </c>
      <c r="F140" s="94">
        <f t="shared" si="51"/>
        <v>0</v>
      </c>
      <c r="G140" s="123">
        <f t="shared" si="51"/>
        <v>-2.4772611105726594</v>
      </c>
      <c r="H140" s="118">
        <f t="shared" si="51"/>
        <v>-0.85843073718374274</v>
      </c>
      <c r="I140" s="123">
        <f t="shared" si="51"/>
        <v>-1.4675604394566215</v>
      </c>
    </row>
    <row r="141" spans="1:13">
      <c r="B141" s="95">
        <f t="shared" ref="B141:I142" si="52">C92-$G92</f>
        <v>-1.0431877148697888</v>
      </c>
      <c r="C141" s="118">
        <f t="shared" si="52"/>
        <v>-1.0757798809975587</v>
      </c>
      <c r="D141" s="95">
        <f t="shared" si="52"/>
        <v>-1.0840062473010013</v>
      </c>
      <c r="E141" s="95">
        <f t="shared" si="52"/>
        <v>-0.22852225552422287</v>
      </c>
      <c r="F141" s="94">
        <f t="shared" si="52"/>
        <v>0</v>
      </c>
      <c r="G141" s="123">
        <f t="shared" si="52"/>
        <v>1.0605572692523213</v>
      </c>
      <c r="H141" s="118">
        <f t="shared" si="52"/>
        <v>1.040962775001312</v>
      </c>
      <c r="I141" s="123">
        <f t="shared" si="52"/>
        <v>1.3235781323919831</v>
      </c>
    </row>
    <row r="142" spans="1:13">
      <c r="B142" s="95">
        <f t="shared" si="52"/>
        <v>-0.78932433807079116</v>
      </c>
      <c r="C142" s="118">
        <f t="shared" si="52"/>
        <v>-4.997772423355884E-2</v>
      </c>
      <c r="D142" s="95">
        <f t="shared" si="52"/>
        <v>-1.6840506224230944E-2</v>
      </c>
      <c r="E142" s="95">
        <f t="shared" si="52"/>
        <v>-6.9737163040410666E-2</v>
      </c>
      <c r="F142" s="94">
        <f t="shared" si="52"/>
        <v>0</v>
      </c>
      <c r="G142" s="123">
        <f t="shared" si="52"/>
        <v>3.9812674620544719E-2</v>
      </c>
      <c r="H142" s="118">
        <f t="shared" si="52"/>
        <v>-3.7610117674176324E-2</v>
      </c>
      <c r="I142" s="123">
        <f t="shared" si="52"/>
        <v>-0.72564008456612294</v>
      </c>
    </row>
    <row r="143" spans="1:13">
      <c r="C143" s="119"/>
      <c r="G143" s="124"/>
      <c r="H143" s="119"/>
      <c r="I143" s="124"/>
    </row>
    <row r="144" spans="1:13">
      <c r="A144" s="16" t="s">
        <v>146</v>
      </c>
      <c r="B144" s="98">
        <f>SQRT(B140^2+B141^2+B142^2)</f>
        <v>1.9470319490292554</v>
      </c>
      <c r="C144" s="97">
        <f t="shared" ref="C144:I144" si="53">SQRT(C140^2+C141^2+C142^2)</f>
        <v>2.9031187896534068</v>
      </c>
      <c r="D144" s="98">
        <f t="shared" si="53"/>
        <v>1.1556406651502886</v>
      </c>
      <c r="E144" s="98">
        <f t="shared" si="53"/>
        <v>2.8549649537889077</v>
      </c>
      <c r="F144" s="96">
        <f t="shared" si="53"/>
        <v>0</v>
      </c>
      <c r="G144" s="134">
        <f t="shared" si="53"/>
        <v>2.6950304971150265</v>
      </c>
      <c r="H144" s="97">
        <f t="shared" si="53"/>
        <v>1.3497856683309841</v>
      </c>
      <c r="I144" s="134">
        <f t="shared" si="53"/>
        <v>2.1052663129242086</v>
      </c>
    </row>
    <row r="146" spans="1:9">
      <c r="B146" s="16"/>
      <c r="C146" s="16"/>
      <c r="D146" s="16"/>
      <c r="E146" s="16"/>
      <c r="F146" s="16"/>
      <c r="G146" s="16"/>
      <c r="H146" s="16"/>
      <c r="I146" s="16"/>
    </row>
    <row r="147" spans="1:9">
      <c r="B147" s="35"/>
      <c r="C147" s="35"/>
      <c r="D147" s="35"/>
      <c r="E147" s="35"/>
      <c r="F147" s="35"/>
      <c r="G147" s="35"/>
      <c r="H147" s="35"/>
      <c r="I147" s="35"/>
    </row>
    <row r="148" spans="1:9">
      <c r="A148" s="23" t="s">
        <v>153</v>
      </c>
      <c r="B148" s="35"/>
      <c r="C148" s="35"/>
      <c r="D148" s="35"/>
      <c r="E148" s="35"/>
      <c r="F148" s="35"/>
      <c r="G148" s="35"/>
      <c r="H148" s="35"/>
      <c r="I148" s="35"/>
    </row>
    <row r="149" spans="1:9">
      <c r="A149" t="s">
        <v>120</v>
      </c>
      <c r="B149" s="35">
        <v>-30.441860465116278</v>
      </c>
      <c r="C149" s="35">
        <f>$B$158/$D149</f>
        <v>-3.2849503437738736E-2</v>
      </c>
      <c r="D149">
        <v>-30.441860465116278</v>
      </c>
      <c r="E149">
        <v>1.8584150748580277</v>
      </c>
      <c r="F149" s="35"/>
      <c r="G149" s="35">
        <v>-30.441860465116278</v>
      </c>
      <c r="H149">
        <v>4.1095573256748086</v>
      </c>
      <c r="I149" s="35"/>
    </row>
    <row r="150" spans="1:9">
      <c r="A150" s="112" t="s">
        <v>121</v>
      </c>
      <c r="B150" s="146"/>
      <c r="C150" s="146" t="e">
        <f t="shared" ref="C150:C156" si="54">$B$158/$D150</f>
        <v>#DIV/0!</v>
      </c>
      <c r="D150" s="112"/>
      <c r="E150" t="e">
        <v>#DIV/0!</v>
      </c>
      <c r="F150" s="91"/>
      <c r="G150" s="146"/>
      <c r="H150" t="e">
        <v>#DIV/0!</v>
      </c>
      <c r="I150" s="35"/>
    </row>
    <row r="151" spans="1:9">
      <c r="A151" t="s">
        <v>122</v>
      </c>
      <c r="B151" s="35">
        <v>-12.232758620689655</v>
      </c>
      <c r="C151" s="35">
        <f t="shared" si="54"/>
        <v>-8.1747709654686404E-2</v>
      </c>
      <c r="D151">
        <v>-12.232758620689655</v>
      </c>
      <c r="E151">
        <v>-3.3309859154929575</v>
      </c>
      <c r="F151" s="35"/>
      <c r="G151" s="35">
        <v>-12.232758620689655</v>
      </c>
      <c r="H151">
        <v>2.4604392409065263</v>
      </c>
      <c r="I151" s="35"/>
    </row>
    <row r="152" spans="1:9">
      <c r="A152" t="s">
        <v>123</v>
      </c>
      <c r="B152" s="35">
        <v>-4.4375</v>
      </c>
      <c r="C152" s="35">
        <f t="shared" si="54"/>
        <v>-0.22535211267605634</v>
      </c>
      <c r="D152">
        <v>-4.4375</v>
      </c>
      <c r="E152">
        <v>12.909090909090908</v>
      </c>
      <c r="G152" s="35">
        <v>-4.4375</v>
      </c>
      <c r="H152">
        <v>3.3477753334927605</v>
      </c>
    </row>
    <row r="153" spans="1:9">
      <c r="A153" t="s">
        <v>127</v>
      </c>
      <c r="B153" s="35">
        <v>14.42443729903537</v>
      </c>
      <c r="C153" s="35">
        <f t="shared" si="54"/>
        <v>6.9326794471689698E-2</v>
      </c>
      <c r="D153">
        <v>14.42443729903537</v>
      </c>
      <c r="E153">
        <v>-1.0114994363021421</v>
      </c>
      <c r="G153" s="35">
        <v>14.42443729903537</v>
      </c>
      <c r="H153">
        <v>5.0708347197717192</v>
      </c>
    </row>
    <row r="154" spans="1:9">
      <c r="A154" t="s">
        <v>126</v>
      </c>
      <c r="B154">
        <v>38.125</v>
      </c>
      <c r="C154">
        <f t="shared" si="54"/>
        <v>2.6229508196721311E-2</v>
      </c>
      <c r="D154">
        <v>38.125</v>
      </c>
      <c r="E154">
        <v>-1.2973122919492048</v>
      </c>
      <c r="G154">
        <v>38.125</v>
      </c>
      <c r="H154">
        <v>5.160303901811746</v>
      </c>
    </row>
    <row r="155" spans="1:9">
      <c r="A155" s="112" t="s">
        <v>125</v>
      </c>
      <c r="B155" s="146"/>
      <c r="C155" s="146" t="e">
        <f t="shared" si="54"/>
        <v>#DIV/0!</v>
      </c>
      <c r="D155" s="112"/>
      <c r="E155" t="e">
        <v>#DIV/0!</v>
      </c>
      <c r="G155" s="146"/>
      <c r="H155" t="e">
        <v>#DIV/0!</v>
      </c>
    </row>
    <row r="156" spans="1:9">
      <c r="A156" t="s">
        <v>124</v>
      </c>
      <c r="B156" s="35">
        <v>-18.798816568047336</v>
      </c>
      <c r="C156" s="35">
        <f t="shared" si="54"/>
        <v>-5.3194837897387479E-2</v>
      </c>
      <c r="D156">
        <v>-18.798816568047336</v>
      </c>
      <c r="E156">
        <v>0.61911721718795665</v>
      </c>
      <c r="G156" s="35">
        <v>-18.798816568047336</v>
      </c>
      <c r="H156">
        <v>4.4869829849289369</v>
      </c>
    </row>
    <row r="158" spans="1:9">
      <c r="B158">
        <v>1</v>
      </c>
    </row>
  </sheetData>
  <mergeCells count="11">
    <mergeCell ref="A81:K81"/>
    <mergeCell ref="B83:C83"/>
    <mergeCell ref="B84:C84"/>
    <mergeCell ref="B85:C85"/>
    <mergeCell ref="B86:C86"/>
    <mergeCell ref="A75:K75"/>
    <mergeCell ref="A1:K1"/>
    <mergeCell ref="L22:L28"/>
    <mergeCell ref="A30:K30"/>
    <mergeCell ref="L60:L68"/>
    <mergeCell ref="A70:K70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6"/>
  <dimension ref="A3:J36"/>
  <sheetViews>
    <sheetView workbookViewId="0">
      <selection activeCell="K41" sqref="K41"/>
    </sheetView>
  </sheetViews>
  <sheetFormatPr baseColWidth="10" defaultRowHeight="15"/>
  <sheetData>
    <row r="3" spans="1:10">
      <c r="B3" t="s">
        <v>10</v>
      </c>
    </row>
    <row r="4" spans="1:10">
      <c r="B4" t="s">
        <v>17</v>
      </c>
      <c r="C4" t="s">
        <v>20</v>
      </c>
      <c r="D4" t="s">
        <v>21</v>
      </c>
      <c r="F4" t="s">
        <v>13</v>
      </c>
      <c r="H4" t="s">
        <v>14</v>
      </c>
    </row>
    <row r="5" spans="1:10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16</v>
      </c>
    </row>
    <row r="6" spans="1:10">
      <c r="B6" t="s">
        <v>19</v>
      </c>
      <c r="C6" t="s">
        <v>23</v>
      </c>
      <c r="D6" t="s">
        <v>24</v>
      </c>
      <c r="F6" t="s">
        <v>12</v>
      </c>
      <c r="H6" t="s">
        <v>15</v>
      </c>
    </row>
    <row r="9" spans="1:10">
      <c r="B9">
        <v>0</v>
      </c>
      <c r="C9">
        <v>0</v>
      </c>
      <c r="D9">
        <v>-0.8</v>
      </c>
      <c r="F9" t="s">
        <v>48</v>
      </c>
      <c r="H9">
        <f>G23</f>
        <v>0.3689905</v>
      </c>
    </row>
    <row r="10" spans="1:10">
      <c r="B10">
        <v>0.77</v>
      </c>
      <c r="C10">
        <v>0</v>
      </c>
      <c r="D10">
        <v>-0.8</v>
      </c>
      <c r="F10" t="s">
        <v>47</v>
      </c>
      <c r="G10" t="s">
        <v>27</v>
      </c>
      <c r="H10">
        <f t="shared" ref="H10:H11" si="0">G24</f>
        <v>-0.779254</v>
      </c>
    </row>
    <row r="11" spans="1:10">
      <c r="B11">
        <v>0</v>
      </c>
      <c r="C11">
        <v>0.77</v>
      </c>
      <c r="D11">
        <v>-0.8</v>
      </c>
      <c r="F11" t="s">
        <v>46</v>
      </c>
      <c r="H11">
        <f t="shared" si="0"/>
        <v>0.48534050000000017</v>
      </c>
    </row>
    <row r="14" spans="1:10">
      <c r="A14" t="s">
        <v>51</v>
      </c>
    </row>
    <row r="15" spans="1:10">
      <c r="B15" t="s">
        <v>48</v>
      </c>
      <c r="D15">
        <f>INDEX(MMULT(MINVERSE($B$9:$D$11),$H$9:$H$11),ROW(A1))</f>
        <v>-1.4912266233766234</v>
      </c>
      <c r="J15">
        <f>MDETERM(B9:D11)</f>
        <v>-0.47432000000000002</v>
      </c>
    </row>
    <row r="16" spans="1:10">
      <c r="B16" t="s">
        <v>47</v>
      </c>
      <c r="C16" t="s">
        <v>27</v>
      </c>
      <c r="D16">
        <f t="shared" ref="D16:D17" si="1">INDEX(MMULT(MINVERSE($B$9:$D$11),$H$9:$H$11),ROW(A2))</f>
        <v>0.1511038961038963</v>
      </c>
    </row>
    <row r="17" spans="2:10">
      <c r="B17" t="s">
        <v>52</v>
      </c>
      <c r="D17">
        <f t="shared" si="1"/>
        <v>-0.461238125</v>
      </c>
    </row>
    <row r="18" spans="2:10">
      <c r="J18">
        <f>INDEX(MMULT($B$9:$D$11,$D$15:$D$17),ROW(A1))</f>
        <v>0.3689905</v>
      </c>
    </row>
    <row r="19" spans="2:10">
      <c r="J19">
        <f t="shared" ref="J19:J20" si="2">INDEX(MMULT($B$9:$D$11,$D$15:$D$17),ROW(A2))</f>
        <v>-0.77925400000000011</v>
      </c>
    </row>
    <row r="20" spans="2:10">
      <c r="J20">
        <f t="shared" si="2"/>
        <v>0.48534050000000017</v>
      </c>
    </row>
    <row r="21" spans="2:10" ht="18.75">
      <c r="B21" s="13" t="s">
        <v>26</v>
      </c>
      <c r="C21" s="13" t="s">
        <v>27</v>
      </c>
      <c r="D21" s="14" t="s">
        <v>28</v>
      </c>
    </row>
    <row r="23" spans="2:10">
      <c r="B23" t="s">
        <v>45</v>
      </c>
      <c r="C23" t="s">
        <v>27</v>
      </c>
      <c r="D23" t="s">
        <v>44</v>
      </c>
      <c r="F23" t="s">
        <v>27</v>
      </c>
      <c r="G23">
        <f>1/2*(-Messaufbau_Messdaten!$J$30^2-Messaufbau_Messdaten!J27^2+Messaufbau_Messdaten!$I$35^2)</f>
        <v>0.3689905</v>
      </c>
    </row>
    <row r="24" spans="2:10">
      <c r="B24" t="s">
        <v>43</v>
      </c>
      <c r="C24" t="s">
        <v>27</v>
      </c>
      <c r="D24" t="s">
        <v>49</v>
      </c>
      <c r="G24">
        <f>1/2*(-Messaufbau_Messdaten!$J$30^2-Messaufbau_Messdaten!J28^2+Messaufbau_Messdaten!$I$41^2)</f>
        <v>-0.779254</v>
      </c>
    </row>
    <row r="25" spans="2:10">
      <c r="B25" t="s">
        <v>42</v>
      </c>
      <c r="C25" t="s">
        <v>27</v>
      </c>
      <c r="D25" t="s">
        <v>50</v>
      </c>
      <c r="G25">
        <f>1/2*(-Messaufbau_Messdaten!$J$30^2-Messaufbau_Messdaten!J29^2+Messaufbau_Messdaten!$I$43^2)</f>
        <v>0.48534050000000017</v>
      </c>
    </row>
    <row r="29" spans="2:10">
      <c r="B29" t="s">
        <v>53</v>
      </c>
      <c r="C29" t="s">
        <v>27</v>
      </c>
      <c r="D29">
        <v>0</v>
      </c>
    </row>
    <row r="30" spans="2:10">
      <c r="B30" t="s">
        <v>54</v>
      </c>
      <c r="C30" t="s">
        <v>27</v>
      </c>
      <c r="D30">
        <v>0</v>
      </c>
    </row>
    <row r="31" spans="2:10">
      <c r="B31" t="s">
        <v>55</v>
      </c>
      <c r="C31" t="s">
        <v>27</v>
      </c>
      <c r="D31">
        <v>0.8</v>
      </c>
    </row>
    <row r="34" spans="2:4">
      <c r="B34" t="s">
        <v>56</v>
      </c>
      <c r="C34" t="s">
        <v>27</v>
      </c>
      <c r="D34">
        <f>D15+D29</f>
        <v>-1.4912266233766234</v>
      </c>
    </row>
    <row r="35" spans="2:4">
      <c r="B35" t="s">
        <v>57</v>
      </c>
      <c r="C35" t="s">
        <v>27</v>
      </c>
      <c r="D35">
        <f t="shared" ref="D35:D36" si="3">D16+D30</f>
        <v>0.1511038961038963</v>
      </c>
    </row>
    <row r="36" spans="2:4">
      <c r="B36" t="s">
        <v>58</v>
      </c>
      <c r="C36" t="s">
        <v>27</v>
      </c>
      <c r="D36">
        <f t="shared" si="3"/>
        <v>0.33876187500000005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8"/>
  <dimension ref="A3:P36"/>
  <sheetViews>
    <sheetView workbookViewId="0">
      <selection activeCell="G17" sqref="G17"/>
    </sheetView>
  </sheetViews>
  <sheetFormatPr baseColWidth="10" defaultRowHeight="15"/>
  <cols>
    <col min="2" max="2" width="12.7109375" bestFit="1" customWidth="1"/>
    <col min="3" max="3" width="12" bestFit="1" customWidth="1"/>
    <col min="4" max="4" width="12.7109375" bestFit="1" customWidth="1"/>
    <col min="5" max="5" width="12.85546875" bestFit="1" customWidth="1"/>
    <col min="6" max="6" width="12.140625" bestFit="1" customWidth="1"/>
    <col min="7" max="9" width="12.85546875" bestFit="1" customWidth="1"/>
    <col min="10" max="10" width="12" bestFit="1" customWidth="1"/>
    <col min="12" max="12" width="14.85546875" bestFit="1" customWidth="1"/>
    <col min="18" max="20" width="11.5703125" bestFit="1" customWidth="1"/>
    <col min="21" max="21" width="12.7109375" bestFit="1" customWidth="1"/>
    <col min="22" max="22" width="12" bestFit="1" customWidth="1"/>
    <col min="23" max="26" width="12.7109375" bestFit="1" customWidth="1"/>
  </cols>
  <sheetData>
    <row r="3" spans="1:16" ht="18.75">
      <c r="A3" s="159" t="s">
        <v>173</v>
      </c>
      <c r="D3" s="2"/>
      <c r="E3" s="2"/>
    </row>
    <row r="4" spans="1:16">
      <c r="L4" s="88" t="s">
        <v>48</v>
      </c>
    </row>
    <row r="5" spans="1:16">
      <c r="L5" s="88" t="s">
        <v>47</v>
      </c>
    </row>
    <row r="6" spans="1:16">
      <c r="L6" s="88" t="s">
        <v>52</v>
      </c>
    </row>
    <row r="7" spans="1:16">
      <c r="A7" s="5"/>
      <c r="B7" s="145">
        <v>-1.0419123890112216</v>
      </c>
      <c r="C7" s="145">
        <v>4.0818532431212473E-2</v>
      </c>
      <c r="D7" s="145">
        <v>-0.77248383184656022</v>
      </c>
      <c r="E7" s="145">
        <v>1.4990492230334603E-2</v>
      </c>
      <c r="F7" s="144">
        <v>0</v>
      </c>
      <c r="G7" s="144">
        <v>0</v>
      </c>
      <c r="H7" s="145">
        <v>4.7716218756768064E-3</v>
      </c>
      <c r="I7" s="144">
        <v>0</v>
      </c>
      <c r="J7" s="162">
        <v>0</v>
      </c>
      <c r="K7" s="86"/>
      <c r="L7" s="157" t="s">
        <v>166</v>
      </c>
      <c r="M7" s="5"/>
      <c r="N7" s="89" t="s">
        <v>109</v>
      </c>
    </row>
    <row r="8" spans="1:16">
      <c r="A8" s="5" t="s">
        <v>129</v>
      </c>
      <c r="B8" s="145">
        <v>-2.44475956514645</v>
      </c>
      <c r="C8" s="145">
        <v>0.85548399177677847</v>
      </c>
      <c r="D8" s="145">
        <v>-5.2896656816179721E-2</v>
      </c>
      <c r="E8" s="144">
        <v>0</v>
      </c>
      <c r="F8" s="145">
        <v>1.4990492230334603E-2</v>
      </c>
      <c r="G8" s="144">
        <v>0</v>
      </c>
      <c r="H8" s="144">
        <v>0</v>
      </c>
      <c r="I8" s="145">
        <v>4.7716218756768064E-3</v>
      </c>
      <c r="J8" s="145">
        <v>0</v>
      </c>
      <c r="K8" s="87" t="s">
        <v>63</v>
      </c>
      <c r="L8" s="157" t="s">
        <v>171</v>
      </c>
      <c r="M8" s="90" t="s">
        <v>103</v>
      </c>
      <c r="N8" s="89" t="s">
        <v>110</v>
      </c>
      <c r="O8" s="60" t="s">
        <v>27</v>
      </c>
      <c r="P8" s="16">
        <v>0</v>
      </c>
    </row>
    <row r="9" spans="1:16">
      <c r="A9" s="5"/>
      <c r="B9" s="145">
        <v>0.40019020491700363</v>
      </c>
      <c r="C9" s="145">
        <v>1.0840062473010013</v>
      </c>
      <c r="D9" s="145">
        <v>1.6840506224230944E-2</v>
      </c>
      <c r="E9" s="144">
        <v>0</v>
      </c>
      <c r="F9" s="144">
        <v>0</v>
      </c>
      <c r="G9" s="145">
        <v>1.4990492230334603E-2</v>
      </c>
      <c r="H9" s="144">
        <v>0</v>
      </c>
      <c r="I9" s="144">
        <v>0</v>
      </c>
      <c r="J9" s="145">
        <v>4.7716218756768064E-3</v>
      </c>
      <c r="K9" s="86"/>
      <c r="L9" s="157" t="s">
        <v>170</v>
      </c>
      <c r="M9" s="5"/>
      <c r="N9" s="89" t="s">
        <v>111</v>
      </c>
    </row>
    <row r="10" spans="1:16">
      <c r="K10" s="5"/>
      <c r="L10" s="157" t="s">
        <v>167</v>
      </c>
    </row>
    <row r="11" spans="1:16">
      <c r="K11" s="5"/>
      <c r="L11" s="157" t="s">
        <v>169</v>
      </c>
    </row>
    <row r="12" spans="1:16">
      <c r="K12" s="5"/>
      <c r="L12" s="157" t="s">
        <v>168</v>
      </c>
    </row>
    <row r="17" spans="1:14" ht="18.75">
      <c r="A17" s="159" t="s">
        <v>172</v>
      </c>
    </row>
    <row r="18" spans="1:14">
      <c r="I18" s="5"/>
      <c r="J18">
        <f t="array" ref="J18:L26">SVDV(B7:J9)</f>
        <v>0.953225214758744</v>
      </c>
      <c r="K18">
        <v>-0.24569044900914541</v>
      </c>
      <c r="L18" s="5">
        <v>0.1759019463226123</v>
      </c>
    </row>
    <row r="19" spans="1:14">
      <c r="I19" s="5"/>
      <c r="J19">
        <v>-0.27461896357065402</v>
      </c>
      <c r="K19">
        <v>-0.94722149337043282</v>
      </c>
      <c r="L19" s="5">
        <v>0.16488039399208451</v>
      </c>
    </row>
    <row r="20" spans="1:14">
      <c r="I20" s="5"/>
      <c r="J20">
        <v>0.12615283048372355</v>
      </c>
      <c r="K20">
        <v>-0.20551781248907947</v>
      </c>
      <c r="L20" s="5">
        <v>-0.97021118891515856</v>
      </c>
    </row>
    <row r="21" spans="1:14">
      <c r="A21" s="5"/>
      <c r="B21">
        <f t="array" ref="B21:D23">SVDU(B7:J9)</f>
        <v>-0.39359706256109217</v>
      </c>
      <c r="C21">
        <v>0.31182017051555777</v>
      </c>
      <c r="D21" s="5">
        <v>0.86478294016644941</v>
      </c>
      <c r="E21" s="86"/>
      <c r="F21">
        <f t="array" ref="F21:H23">SVDD(B7:J9)</f>
        <v>2.7994937606221484</v>
      </c>
      <c r="G21">
        <v>0</v>
      </c>
      <c r="H21" s="5">
        <v>0</v>
      </c>
      <c r="I21" s="5"/>
      <c r="J21">
        <v>-2.1076002351558473E-3</v>
      </c>
      <c r="K21">
        <v>3.8749564475236936E-3</v>
      </c>
      <c r="L21" s="5">
        <v>1.9556234762064112E-2</v>
      </c>
    </row>
    <row r="22" spans="1:14">
      <c r="A22" s="5"/>
      <c r="B22">
        <v>-0.91877071126364662</v>
      </c>
      <c r="C22">
        <v>-0.16483652702163518</v>
      </c>
      <c r="D22" s="5">
        <v>-0.35873290828071491</v>
      </c>
      <c r="E22" s="87" t="s">
        <v>63</v>
      </c>
      <c r="F22">
        <v>0</v>
      </c>
      <c r="G22">
        <v>1.2062942917364237</v>
      </c>
      <c r="H22" s="5">
        <v>0</v>
      </c>
      <c r="I22" s="161" t="s">
        <v>63</v>
      </c>
      <c r="J22">
        <v>-4.9197556366747759E-3</v>
      </c>
      <c r="K22">
        <v>-2.0484061762708521E-3</v>
      </c>
      <c r="L22" s="5">
        <v>-8.1123998235503245E-3</v>
      </c>
      <c r="M22" s="60" t="s">
        <v>27</v>
      </c>
      <c r="N22" s="160" t="s">
        <v>107</v>
      </c>
    </row>
    <row r="23" spans="1:14">
      <c r="A23" s="5"/>
      <c r="B23">
        <v>3.0687659854961531E-2</v>
      </c>
      <c r="C23">
        <v>-0.93573345596868363</v>
      </c>
      <c r="D23" s="5">
        <v>0.35137041268941799</v>
      </c>
      <c r="E23" s="86"/>
      <c r="F23">
        <v>0</v>
      </c>
      <c r="G23">
        <v>0</v>
      </c>
      <c r="H23" s="5">
        <v>0.66288434881331049</v>
      </c>
      <c r="I23" s="5"/>
      <c r="J23">
        <v>1.6432368347937237E-4</v>
      </c>
      <c r="K23">
        <v>-1.1628261194182657E-2</v>
      </c>
      <c r="L23" s="5">
        <v>7.9459040642903926E-3</v>
      </c>
    </row>
    <row r="24" spans="1:14">
      <c r="I24" s="5"/>
      <c r="J24">
        <v>-6.7086999097338792E-4</v>
      </c>
      <c r="K24">
        <v>1.2334369457784138E-3</v>
      </c>
      <c r="L24" s="5">
        <v>6.2249428612961176E-3</v>
      </c>
    </row>
    <row r="25" spans="1:14">
      <c r="I25" s="5"/>
      <c r="J25">
        <v>-1.5660068567620099E-3</v>
      </c>
      <c r="K25">
        <v>-6.5202793682694979E-4</v>
      </c>
      <c r="L25" s="5">
        <v>-2.5822570645117151E-3</v>
      </c>
    </row>
    <row r="26" spans="1:14">
      <c r="I26" s="5"/>
      <c r="J26">
        <v>5.2305852985620357E-5</v>
      </c>
      <c r="K26">
        <v>-3.7013904972356682E-3</v>
      </c>
      <c r="L26" s="5">
        <v>2.5292598183315981E-3</v>
      </c>
    </row>
    <row r="27" spans="1:14" ht="15.75" thickBot="1">
      <c r="B27" s="3"/>
      <c r="C27" s="3"/>
      <c r="D27" s="3"/>
      <c r="F27" s="3"/>
      <c r="G27" s="3"/>
      <c r="H27" s="3"/>
      <c r="J27" s="3"/>
      <c r="K27" s="3"/>
      <c r="L27" s="3"/>
    </row>
    <row r="28" spans="1:14" ht="15.75">
      <c r="B28" s="193" t="s">
        <v>174</v>
      </c>
      <c r="C28" s="193"/>
      <c r="D28" s="193"/>
      <c r="F28" s="193" t="s">
        <v>175</v>
      </c>
      <c r="G28" s="193"/>
      <c r="H28" s="193"/>
      <c r="J28" s="193" t="s">
        <v>176</v>
      </c>
      <c r="K28" s="193"/>
      <c r="L28" s="193"/>
    </row>
    <row r="31" spans="1:14">
      <c r="F31" t="s">
        <v>33</v>
      </c>
      <c r="G31" t="s">
        <v>27</v>
      </c>
      <c r="H31">
        <f>MAX(F21,G22,H23)/MIN(F21,G22,H23)</f>
        <v>4.2232008730237434</v>
      </c>
    </row>
    <row r="33" spans="1:10" ht="18.75">
      <c r="A33" s="159" t="s">
        <v>177</v>
      </c>
    </row>
    <row r="34" spans="1:10">
      <c r="A34" s="5"/>
      <c r="B34" s="158">
        <f t="array" ref="B34:J36">MMULT(B21:D23,MMULT(F21:H23,TRANSPOSE(J18:L26)))</f>
        <v>-1.0419123890112219</v>
      </c>
      <c r="C34" s="158">
        <v>4.0818532431212085E-2</v>
      </c>
      <c r="D34" s="158">
        <v>-0.77248383184656155</v>
      </c>
      <c r="E34" s="158">
        <v>1.4990492230334629E-2</v>
      </c>
      <c r="F34" s="158">
        <v>1.5612511283791264E-17</v>
      </c>
      <c r="G34" s="158">
        <v>-1.5612511283791264E-17</v>
      </c>
      <c r="H34" s="158">
        <v>4.7716218756768142E-3</v>
      </c>
      <c r="I34" s="158">
        <v>-4.3368086899420177E-19</v>
      </c>
      <c r="J34" s="163">
        <v>-2.1684043449710089E-18</v>
      </c>
    </row>
    <row r="35" spans="1:10">
      <c r="A35" s="5"/>
      <c r="B35" s="158">
        <v>-2.4447595651464504</v>
      </c>
      <c r="C35" s="158">
        <v>0.85548399177677892</v>
      </c>
      <c r="D35" s="158">
        <v>-5.2896656816179416E-2</v>
      </c>
      <c r="E35" s="158">
        <v>-1.214306433183765E-17</v>
      </c>
      <c r="F35" s="158">
        <v>1.4990492230334603E-2</v>
      </c>
      <c r="G35" s="158">
        <v>7.8062556418956319E-18</v>
      </c>
      <c r="H35" s="158">
        <v>-4.7704895589362195E-18</v>
      </c>
      <c r="I35" s="158">
        <v>4.7716218756768064E-3</v>
      </c>
      <c r="J35" s="163">
        <v>9.7578195523695399E-19</v>
      </c>
    </row>
    <row r="36" spans="1:10">
      <c r="A36" s="5"/>
      <c r="B36" s="158">
        <v>0.40019020491700441</v>
      </c>
      <c r="C36" s="158">
        <v>1.0840062473010044</v>
      </c>
      <c r="D36" s="158">
        <v>1.6840506224230861E-2</v>
      </c>
      <c r="E36" s="158">
        <v>1.7347234759768071E-18</v>
      </c>
      <c r="F36" s="158">
        <v>1.1709383462843448E-17</v>
      </c>
      <c r="G36" s="158">
        <v>1.499049223033464E-2</v>
      </c>
      <c r="H36" s="158">
        <v>-1.3010426069826053E-18</v>
      </c>
      <c r="I36" s="158">
        <v>3.1441863002079629E-18</v>
      </c>
      <c r="J36" s="163">
        <v>4.7716218756768151E-3</v>
      </c>
    </row>
  </sheetData>
  <mergeCells count="3">
    <mergeCell ref="F28:H28"/>
    <mergeCell ref="J28:L28"/>
    <mergeCell ref="B28:D28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3"/>
  <dimension ref="A2:ID43"/>
  <sheetViews>
    <sheetView topLeftCell="A10" zoomScale="115" zoomScaleNormal="115" workbookViewId="0">
      <selection activeCell="B38" sqref="B38"/>
    </sheetView>
  </sheetViews>
  <sheetFormatPr baseColWidth="10" defaultRowHeight="15"/>
  <sheetData>
    <row r="2" spans="1:14">
      <c r="A2" s="185" t="s">
        <v>108</v>
      </c>
      <c r="B2" s="186"/>
      <c r="C2" s="186"/>
      <c r="D2" s="186"/>
      <c r="E2" s="186"/>
      <c r="F2" s="186"/>
      <c r="G2" s="186"/>
      <c r="H2" s="186"/>
      <c r="I2" s="186"/>
      <c r="J2" s="186"/>
      <c r="K2" s="186"/>
    </row>
    <row r="3" spans="1:14">
      <c r="A3" s="20"/>
      <c r="B3" s="29">
        <v>0.77</v>
      </c>
      <c r="C3" s="29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4">
      <c r="A4" s="20"/>
      <c r="B4" s="29">
        <v>0</v>
      </c>
      <c r="C4" s="29">
        <v>0.77</v>
      </c>
      <c r="D4" s="22">
        <v>0</v>
      </c>
      <c r="E4" s="27" t="s">
        <v>63</v>
      </c>
      <c r="F4" s="28" t="s">
        <v>47</v>
      </c>
      <c r="G4" s="59" t="s">
        <v>27</v>
      </c>
      <c r="H4" s="30" t="s">
        <v>43</v>
      </c>
    </row>
    <row r="5" spans="1:14">
      <c r="A5" s="20"/>
      <c r="B5" s="29">
        <v>0</v>
      </c>
      <c r="C5" s="29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4">
      <c r="A6" s="2"/>
      <c r="B6" s="34"/>
      <c r="C6" s="34"/>
      <c r="D6" s="66"/>
      <c r="E6" s="2"/>
      <c r="F6" s="68"/>
      <c r="G6" s="2"/>
      <c r="H6" s="66"/>
    </row>
    <row r="7" spans="1:14">
      <c r="B7" s="184" t="s">
        <v>107</v>
      </c>
      <c r="C7" s="184"/>
      <c r="D7" s="184"/>
      <c r="E7" s="67" t="s">
        <v>63</v>
      </c>
      <c r="F7" s="64" t="s">
        <v>56</v>
      </c>
      <c r="G7" s="67" t="s">
        <v>27</v>
      </c>
      <c r="H7" s="65" t="s">
        <v>106</v>
      </c>
      <c r="I7" s="16"/>
    </row>
    <row r="8" spans="1:14">
      <c r="A8" s="195"/>
      <c r="B8" s="195"/>
      <c r="C8" s="195"/>
      <c r="D8" s="195"/>
      <c r="E8" s="195"/>
      <c r="F8" s="195"/>
      <c r="G8" s="195"/>
      <c r="H8" s="195"/>
      <c r="I8" s="195"/>
      <c r="J8" s="195"/>
      <c r="K8" s="195"/>
    </row>
    <row r="9" spans="1:14">
      <c r="A9" s="185" t="s">
        <v>112</v>
      </c>
      <c r="B9" s="185"/>
      <c r="C9" s="185"/>
      <c r="D9" s="185"/>
      <c r="E9" s="185"/>
      <c r="F9" s="185"/>
      <c r="G9" s="185"/>
      <c r="H9" s="185"/>
      <c r="I9" s="185"/>
      <c r="J9" s="185"/>
      <c r="K9" s="185"/>
    </row>
    <row r="10" spans="1:14">
      <c r="B10" s="21"/>
      <c r="C10" s="21"/>
      <c r="D10" s="12">
        <v>1</v>
      </c>
      <c r="E10" s="12">
        <v>2</v>
      </c>
      <c r="F10" s="12">
        <v>3</v>
      </c>
      <c r="G10" s="12">
        <v>4</v>
      </c>
      <c r="H10" s="12">
        <v>5</v>
      </c>
      <c r="I10" s="12">
        <v>6</v>
      </c>
      <c r="J10" s="12">
        <v>7</v>
      </c>
      <c r="K10" s="12">
        <v>8</v>
      </c>
    </row>
    <row r="11" spans="1:14">
      <c r="B11" t="s">
        <v>109</v>
      </c>
      <c r="D11" s="37">
        <f t="shared" ref="D11:K13" si="0">INDEX(MMULT($B$3:$D$5,D$18:D$20),ROW(A1))</f>
        <v>0.36899027443333487</v>
      </c>
      <c r="E11" s="37">
        <f t="shared" si="0"/>
        <v>-0.59649428893802736</v>
      </c>
      <c r="F11" s="37">
        <f t="shared" si="0"/>
        <v>1.1712628509354928</v>
      </c>
      <c r="G11" s="37">
        <f t="shared" si="0"/>
        <v>-0.71120201739443922</v>
      </c>
      <c r="H11" s="37">
        <f t="shared" si="0"/>
        <v>1.4794093713067082</v>
      </c>
      <c r="I11" s="37">
        <f t="shared" si="0"/>
        <v>-0.42808166780955986</v>
      </c>
      <c r="J11" s="37">
        <f t="shared" si="0"/>
        <v>0.81841764195495825</v>
      </c>
      <c r="K11" s="37">
        <f t="shared" si="0"/>
        <v>0.34938788065828258</v>
      </c>
      <c r="M11" s="31"/>
      <c r="N11">
        <f>MMULT(MINVERSE(B3:D5),B3:D5)</f>
        <v>1</v>
      </c>
    </row>
    <row r="12" spans="1:14">
      <c r="B12" t="s">
        <v>110</v>
      </c>
      <c r="D12" s="37">
        <f t="shared" si="0"/>
        <v>-0.77925418068807062</v>
      </c>
      <c r="E12" s="37">
        <f t="shared" si="0"/>
        <v>-0.804349887727275</v>
      </c>
      <c r="F12" s="37">
        <f t="shared" si="0"/>
        <v>-0.8106842988541888</v>
      </c>
      <c r="G12" s="37">
        <f t="shared" si="0"/>
        <v>-0.15196132163643955</v>
      </c>
      <c r="H12" s="37">
        <f t="shared" si="0"/>
        <v>2.4000416274763844E-2</v>
      </c>
      <c r="I12" s="37">
        <f t="shared" si="0"/>
        <v>0.84062956146257772</v>
      </c>
      <c r="J12" s="37">
        <f t="shared" si="0"/>
        <v>0.82554162786980689</v>
      </c>
      <c r="K12" s="37">
        <f t="shared" si="0"/>
        <v>1.0431555923559712</v>
      </c>
      <c r="M12" s="31"/>
    </row>
    <row r="13" spans="1:14">
      <c r="B13" t="s">
        <v>111</v>
      </c>
      <c r="D13" s="37">
        <f t="shared" si="0"/>
        <v>0.48534056470198134</v>
      </c>
      <c r="E13" s="37">
        <f t="shared" si="0"/>
        <v>1.0768177289685061</v>
      </c>
      <c r="F13" s="37">
        <f t="shared" si="0"/>
        <v>1.1033278353182276</v>
      </c>
      <c r="G13" s="37">
        <f t="shared" si="0"/>
        <v>1.0610103957237655</v>
      </c>
      <c r="H13" s="37">
        <f t="shared" si="0"/>
        <v>1.1168000508949951</v>
      </c>
      <c r="I13" s="37">
        <f t="shared" si="0"/>
        <v>1.1486500620909741</v>
      </c>
      <c r="J13" s="37">
        <f t="shared" si="0"/>
        <v>1.0867121456678466</v>
      </c>
      <c r="K13" s="37">
        <f t="shared" si="0"/>
        <v>0.53628775692783093</v>
      </c>
      <c r="M13" s="31"/>
    </row>
    <row r="14" spans="1:14">
      <c r="B14" t="s">
        <v>74</v>
      </c>
      <c r="D14" s="40">
        <f t="shared" ref="D14:K14" si="1">(D$11-D$22)^2+(D$12-D$23)^2+(D$13-D$24)^2</f>
        <v>8.7714845644660153E-14</v>
      </c>
      <c r="E14" s="40">
        <f t="shared" si="1"/>
        <v>1.6954841906913992E-13</v>
      </c>
      <c r="F14" s="40">
        <f t="shared" si="1"/>
        <v>5.3771864709851616E-13</v>
      </c>
      <c r="G14" s="40">
        <f t="shared" si="1"/>
        <v>4.2989659395430823E-14</v>
      </c>
      <c r="H14" s="40">
        <f t="shared" si="1"/>
        <v>6.0396047601711929E-13</v>
      </c>
      <c r="I14" s="40">
        <f t="shared" si="1"/>
        <v>4.1223943369370766E-13</v>
      </c>
      <c r="J14" s="40">
        <f t="shared" si="1"/>
        <v>3.9222840769521491E-13</v>
      </c>
      <c r="K14" s="40">
        <f t="shared" si="1"/>
        <v>2.3950017922882445E-13</v>
      </c>
    </row>
    <row r="15" spans="1:14">
      <c r="D15" s="31"/>
      <c r="E15" s="31"/>
      <c r="F15" s="2"/>
      <c r="G15" s="2"/>
      <c r="H15" s="2"/>
    </row>
    <row r="16" spans="1:14">
      <c r="A16" s="185" t="s">
        <v>66</v>
      </c>
      <c r="B16" s="186"/>
      <c r="C16" s="186"/>
      <c r="D16" s="186"/>
      <c r="E16" s="186"/>
      <c r="F16" s="186"/>
      <c r="G16" s="186"/>
      <c r="H16" s="186"/>
      <c r="I16" s="186"/>
      <c r="J16" s="186"/>
      <c r="K16" s="186"/>
    </row>
    <row r="17" spans="1:238">
      <c r="B17" s="21"/>
      <c r="C17" s="21"/>
      <c r="D17" s="12">
        <v>1</v>
      </c>
      <c r="E17" s="12">
        <v>2</v>
      </c>
      <c r="F17" s="12">
        <v>3</v>
      </c>
      <c r="G17" s="12">
        <v>4</v>
      </c>
      <c r="H17" s="12">
        <v>5</v>
      </c>
      <c r="I17" s="12">
        <v>6</v>
      </c>
      <c r="J17" s="12">
        <v>7</v>
      </c>
      <c r="K17" s="12">
        <v>8</v>
      </c>
    </row>
    <row r="18" spans="1:238">
      <c r="B18" s="2"/>
      <c r="C18" s="2"/>
      <c r="D18" s="62">
        <v>0.47920814861472061</v>
      </c>
      <c r="E18" s="62">
        <v>-0.77466790771172378</v>
      </c>
      <c r="F18" s="62">
        <v>1.5211205856305101</v>
      </c>
      <c r="G18" s="62">
        <v>-0.92363898362914187</v>
      </c>
      <c r="H18" s="62">
        <v>1.9213108718268936</v>
      </c>
      <c r="I18" s="62">
        <v>-0.55595021793449328</v>
      </c>
      <c r="J18" s="62">
        <v>1.0628800544869588</v>
      </c>
      <c r="K18" s="62">
        <v>0.45375049436140596</v>
      </c>
      <c r="M18" s="63">
        <f ca="1">RAND()-RAND()</f>
        <v>-0.762991956797483</v>
      </c>
      <c r="ID18">
        <v>0</v>
      </c>
    </row>
    <row r="19" spans="1:238">
      <c r="B19" s="16" t="s">
        <v>113</v>
      </c>
      <c r="C19" s="2" t="s">
        <v>27</v>
      </c>
      <c r="D19" s="62">
        <v>-1.0120184164780137</v>
      </c>
      <c r="E19" s="62">
        <v>-1.0446102438016558</v>
      </c>
      <c r="F19" s="62">
        <v>-1.0528367517586867</v>
      </c>
      <c r="G19" s="62">
        <v>-0.1973523657616098</v>
      </c>
      <c r="H19" s="62">
        <v>3.1169371785407587E-2</v>
      </c>
      <c r="I19" s="62">
        <v>1.0917267031981528</v>
      </c>
      <c r="J19" s="62">
        <v>1.0721319842465025</v>
      </c>
      <c r="K19" s="62">
        <v>1.3547475225402223</v>
      </c>
      <c r="M19" s="63">
        <f t="shared" ref="M19" ca="1" si="2">RAND()-RAND()</f>
        <v>0.43200514097755605</v>
      </c>
    </row>
    <row r="20" spans="1:238">
      <c r="C20" s="2"/>
      <c r="D20" s="62">
        <v>0.60667570587747666</v>
      </c>
      <c r="E20" s="62">
        <v>1.3460221612106327</v>
      </c>
      <c r="F20" s="62">
        <v>1.3791597941477844</v>
      </c>
      <c r="G20" s="62">
        <v>1.3262629946547069</v>
      </c>
      <c r="H20" s="62">
        <v>1.396000063618744</v>
      </c>
      <c r="I20" s="62">
        <v>1.4358125776137176</v>
      </c>
      <c r="J20" s="62">
        <v>1.3583901820848081</v>
      </c>
      <c r="K20" s="62">
        <v>0.67035969615978863</v>
      </c>
      <c r="M20" s="63">
        <f ca="1">IF(RAND()-RAND()&lt;0,-1*RAND()-RAND(),RAND()-RAND())</f>
        <v>0.45299756121245416</v>
      </c>
      <c r="ID20">
        <v>0</v>
      </c>
    </row>
    <row r="21" spans="1:238">
      <c r="C21" s="2"/>
      <c r="D21" s="2"/>
      <c r="E21" s="2"/>
      <c r="F21" s="2"/>
      <c r="G21" s="2"/>
      <c r="H21" s="2"/>
      <c r="I21" s="2"/>
      <c r="J21" s="2"/>
      <c r="K21" s="2"/>
    </row>
    <row r="22" spans="1:238">
      <c r="C22" s="2"/>
      <c r="D22" s="31">
        <f>((Messaufbau_Messdaten!J$30)^2-(Messaufbau_Messdaten!J27)^2+(Messaufbau_Messdaten!$I$35)^2)/2</f>
        <v>0.3689905</v>
      </c>
      <c r="E22" s="31">
        <v>-0.59649400000000019</v>
      </c>
      <c r="F22" s="31">
        <f>((Messaufbau_Messdaten!L$30)^2-(Messaufbau_Messdaten!L27)^2+(Messaufbau_Messdaten!$I$35)^2)/2</f>
        <v>1.1712635000000002</v>
      </c>
      <c r="G22" s="31">
        <f>((Messaufbau_Messdaten!M$30)^2-(Messaufbau_Messdaten!M27)^2+(Messaufbau_Messdaten!$I$35)^2)/2</f>
        <v>-0.71120200000000022</v>
      </c>
      <c r="H22" s="31">
        <f>((Messaufbau_Messdaten!N$30)^2-(Messaufbau_Messdaten!N27)^2+(Messaufbau_Messdaten!$I$35)^2)/2</f>
        <v>1.4794100000000001</v>
      </c>
      <c r="I22" s="31">
        <f>((Messaufbau_Messdaten!O$30)^2-(Messaufbau_Messdaten!O27)^2+(Messaufbau_Messdaten!$I$35)^2)/2</f>
        <v>-0.42808150000000034</v>
      </c>
      <c r="J22" s="31">
        <f>((Messaufbau_Messdaten!P$30)^2-(Messaufbau_Messdaten!P27)^2+(Messaufbau_Messdaten!$I$35)^2)/2</f>
        <v>0.81841799999999998</v>
      </c>
      <c r="K22" s="31">
        <f>((Messaufbau_Messdaten!Q$30)^2-(Messaufbau_Messdaten!Q27)^2+(Messaufbau_Messdaten!$I$35)^2)/2</f>
        <v>0.34938800000000014</v>
      </c>
      <c r="O22" s="35"/>
    </row>
    <row r="23" spans="1:238">
      <c r="B23" s="16" t="s">
        <v>114</v>
      </c>
      <c r="C23" s="2" t="s">
        <v>27</v>
      </c>
      <c r="D23" s="31">
        <f>((Messaufbau_Messdaten!J$30)^2-(Messaufbau_Messdaten!J28)^2+(Messaufbau_Messdaten!$I$41)^2)/2</f>
        <v>-0.779254</v>
      </c>
      <c r="E23" s="31">
        <v>-0.80435000000000023</v>
      </c>
      <c r="F23" s="31">
        <f>((Messaufbau_Messdaten!L$30)^2-(Messaufbau_Messdaten!L28)^2+(Messaufbau_Messdaten!$I$41)^2)/2</f>
        <v>-0.81068400000000029</v>
      </c>
      <c r="G23" s="31">
        <f>((Messaufbau_Messdaten!M$30)^2-(Messaufbau_Messdaten!M28)^2+(Messaufbau_Messdaten!$I$41)^2)/2</f>
        <v>-0.15196150000000042</v>
      </c>
      <c r="H23" s="31">
        <f>((Messaufbau_Messdaten!N$30)^2-(Messaufbau_Messdaten!N28)^2+(Messaufbau_Messdaten!$I$41)^2)/2</f>
        <v>2.4000499999999536E-2</v>
      </c>
      <c r="I23" s="31">
        <f>((Messaufbau_Messdaten!O$30)^2-(Messaufbau_Messdaten!O28)^2+(Messaufbau_Messdaten!$I$41)^2)/2</f>
        <v>0.84062999999999966</v>
      </c>
      <c r="J23" s="31">
        <f>((Messaufbau_Messdaten!P$30)^2-(Messaufbau_Messdaten!P28)^2+(Messaufbau_Messdaten!$I$41)^2)/2</f>
        <v>0.82554200000000011</v>
      </c>
      <c r="K23" s="31">
        <f>((Messaufbau_Messdaten!Q$30)^2-(Messaufbau_Messdaten!Q28)^2+(Messaufbau_Messdaten!$I$41)^2)/2</f>
        <v>1.0431560000000002</v>
      </c>
      <c r="O23" s="35"/>
    </row>
    <row r="24" spans="1:238">
      <c r="C24" s="2"/>
      <c r="D24" s="31">
        <f>((Messaufbau_Messdaten!J$30)^2-(Messaufbau_Messdaten!J29)^2+(Messaufbau_Messdaten!$I$43)^2)/2</f>
        <v>0.48534050000000017</v>
      </c>
      <c r="E24" s="31">
        <v>1.0768180000000001</v>
      </c>
      <c r="F24" s="31">
        <f>((Messaufbau_Messdaten!L$30)^2-(Messaufbau_Messdaten!L29)^2+(Messaufbau_Messdaten!$I$43)^2)/2</f>
        <v>1.1033280000000003</v>
      </c>
      <c r="G24" s="31">
        <f>((Messaufbau_Messdaten!M$30)^2-(Messaufbau_Messdaten!M29)^2+(Messaufbau_Messdaten!$I$43)^2)/2</f>
        <v>1.0610104999999999</v>
      </c>
      <c r="H24" s="31">
        <f>((Messaufbau_Messdaten!N$30)^2-(Messaufbau_Messdaten!N29)^2+(Messaufbau_Messdaten!$I$43)^2)/2</f>
        <v>1.1168005000000003</v>
      </c>
      <c r="I24" s="31">
        <f>((Messaufbau_Messdaten!O$30)^2-(Messaufbau_Messdaten!O29)^2+(Messaufbau_Messdaten!$I$43)^2)/2</f>
        <v>1.1486505</v>
      </c>
      <c r="J24" s="31">
        <f>((Messaufbau_Messdaten!P$30)^2-(Messaufbau_Messdaten!P29)^2+(Messaufbau_Messdaten!$I$43)^2)/2</f>
        <v>1.0867125000000002</v>
      </c>
      <c r="K24" s="31">
        <f>((Messaufbau_Messdaten!Q$30)^2-(Messaufbau_Messdaten!Q29)^2+(Messaufbau_Messdaten!$I$43)^2)/2</f>
        <v>0.53628799999999988</v>
      </c>
    </row>
    <row r="25" spans="1:238">
      <c r="C25" s="2"/>
      <c r="D25" s="2"/>
      <c r="E25" s="2"/>
      <c r="F25" s="2"/>
      <c r="G25" s="2"/>
      <c r="H25" s="2"/>
      <c r="I25" s="2"/>
      <c r="J25" s="2"/>
      <c r="K25" s="2"/>
    </row>
    <row r="26" spans="1:238">
      <c r="A26" s="185" t="s">
        <v>62</v>
      </c>
      <c r="B26" s="186"/>
      <c r="C26" s="186"/>
      <c r="D26" s="186"/>
      <c r="E26" s="186"/>
      <c r="F26" s="186"/>
      <c r="G26" s="186"/>
      <c r="H26" s="186"/>
      <c r="I26" s="186"/>
      <c r="J26" s="186"/>
      <c r="K26" s="186"/>
    </row>
    <row r="27" spans="1:238">
      <c r="B27" t="s">
        <v>53</v>
      </c>
      <c r="C27" s="2" t="s">
        <v>27</v>
      </c>
      <c r="D27" s="2">
        <v>0</v>
      </c>
      <c r="E27" s="2"/>
      <c r="F27" s="2"/>
      <c r="G27" s="2"/>
      <c r="H27" s="2"/>
      <c r="I27" s="2"/>
      <c r="J27" s="2"/>
      <c r="K27" s="2"/>
    </row>
    <row r="28" spans="1:238">
      <c r="B28" t="s">
        <v>54</v>
      </c>
      <c r="C28" s="2" t="s">
        <v>27</v>
      </c>
      <c r="D28" s="2">
        <v>0</v>
      </c>
      <c r="E28" s="2"/>
      <c r="F28" s="2"/>
      <c r="G28" s="2"/>
      <c r="H28" s="2"/>
      <c r="I28" s="2"/>
      <c r="J28" s="2"/>
      <c r="K28" s="2"/>
    </row>
    <row r="29" spans="1:238">
      <c r="B29" t="s">
        <v>55</v>
      </c>
      <c r="C29" s="2" t="s">
        <v>27</v>
      </c>
      <c r="D29" s="2">
        <v>0</v>
      </c>
      <c r="E29" s="2"/>
      <c r="F29" s="2"/>
      <c r="G29" s="2"/>
      <c r="H29" s="2"/>
      <c r="I29" s="2"/>
      <c r="J29" s="2"/>
      <c r="K29" s="2"/>
    </row>
    <row r="30" spans="1:238">
      <c r="C30" s="2"/>
      <c r="D30" s="2"/>
      <c r="E30" s="2"/>
      <c r="F30" s="2"/>
      <c r="G30" s="2"/>
      <c r="H30" s="2"/>
      <c r="I30" s="2"/>
      <c r="J30" s="2"/>
      <c r="K30" s="2"/>
    </row>
    <row r="31" spans="1:238">
      <c r="A31" s="185" t="s">
        <v>64</v>
      </c>
      <c r="B31" s="186"/>
      <c r="C31" s="186"/>
      <c r="D31" s="186"/>
      <c r="E31" s="186"/>
      <c r="F31" s="186"/>
      <c r="G31" s="186"/>
      <c r="H31" s="186"/>
      <c r="I31" s="186"/>
      <c r="J31" s="186"/>
      <c r="K31" s="186"/>
    </row>
    <row r="32" spans="1:238">
      <c r="A32" s="23"/>
      <c r="B32" s="21"/>
      <c r="C32" s="21"/>
      <c r="D32" s="12">
        <v>1</v>
      </c>
      <c r="E32" s="12">
        <v>2</v>
      </c>
      <c r="F32" s="12">
        <v>3</v>
      </c>
      <c r="G32" s="12">
        <v>4</v>
      </c>
      <c r="H32" s="12">
        <v>5</v>
      </c>
      <c r="I32" s="12">
        <v>6</v>
      </c>
      <c r="J32" s="12">
        <v>7</v>
      </c>
      <c r="K32" s="12">
        <v>8</v>
      </c>
    </row>
    <row r="33" spans="1:11">
      <c r="B33" s="26" t="s">
        <v>113</v>
      </c>
      <c r="C33" s="26" t="s">
        <v>27</v>
      </c>
      <c r="D33" s="32">
        <f t="shared" ref="D33:K33" si="3">D18+$D$27</f>
        <v>0.47920814861472061</v>
      </c>
      <c r="E33" s="32">
        <f t="shared" si="3"/>
        <v>-0.77466790771172378</v>
      </c>
      <c r="F33" s="32">
        <f t="shared" si="3"/>
        <v>1.5211205856305101</v>
      </c>
      <c r="G33" s="32">
        <f t="shared" si="3"/>
        <v>-0.92363898362914187</v>
      </c>
      <c r="H33" s="32">
        <f t="shared" si="3"/>
        <v>1.9213108718268936</v>
      </c>
      <c r="I33" s="32">
        <f t="shared" si="3"/>
        <v>-0.55595021793449328</v>
      </c>
      <c r="J33" s="32">
        <f t="shared" si="3"/>
        <v>1.0628800544869588</v>
      </c>
      <c r="K33" s="32">
        <f t="shared" si="3"/>
        <v>0.45375049436140596</v>
      </c>
    </row>
    <row r="34" spans="1:11">
      <c r="B34" s="26" t="s">
        <v>115</v>
      </c>
      <c r="C34" s="26" t="s">
        <v>27</v>
      </c>
      <c r="D34" s="32">
        <f t="shared" ref="D34:E34" si="4">D19+$D$27</f>
        <v>-1.0120184164780137</v>
      </c>
      <c r="E34" s="32">
        <f t="shared" si="4"/>
        <v>-1.0446102438016558</v>
      </c>
      <c r="F34" s="32">
        <f t="shared" ref="F34:K35" si="5">F19+$D$27</f>
        <v>-1.0528367517586867</v>
      </c>
      <c r="G34" s="32">
        <f t="shared" si="5"/>
        <v>-0.1973523657616098</v>
      </c>
      <c r="H34" s="32">
        <f t="shared" si="5"/>
        <v>3.1169371785407587E-2</v>
      </c>
      <c r="I34" s="32">
        <f t="shared" si="5"/>
        <v>1.0917267031981528</v>
      </c>
      <c r="J34" s="32">
        <f t="shared" si="5"/>
        <v>1.0721319842465025</v>
      </c>
      <c r="K34" s="32">
        <f t="shared" si="5"/>
        <v>1.3547475225402223</v>
      </c>
    </row>
    <row r="35" spans="1:11">
      <c r="B35" s="26" t="s">
        <v>116</v>
      </c>
      <c r="C35" s="26" t="s">
        <v>27</v>
      </c>
      <c r="D35" s="32">
        <f t="shared" ref="D35:E35" si="6">D20+$D$27</f>
        <v>0.60667570587747666</v>
      </c>
      <c r="E35" s="32">
        <f t="shared" si="6"/>
        <v>1.3460221612106327</v>
      </c>
      <c r="F35" s="32">
        <f t="shared" si="5"/>
        <v>1.3791597941477844</v>
      </c>
      <c r="G35" s="32">
        <f t="shared" si="5"/>
        <v>1.3262629946547069</v>
      </c>
      <c r="H35" s="32">
        <f t="shared" si="5"/>
        <v>1.396000063618744</v>
      </c>
      <c r="I35" s="32">
        <f t="shared" si="5"/>
        <v>1.4358125776137176</v>
      </c>
      <c r="J35" s="32">
        <f t="shared" si="5"/>
        <v>1.3583901820848081</v>
      </c>
      <c r="K35" s="32">
        <f t="shared" si="5"/>
        <v>0.67035969615978863</v>
      </c>
    </row>
    <row r="36" spans="1:11"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1:11">
      <c r="A37" s="185" t="s">
        <v>67</v>
      </c>
      <c r="B37" s="185"/>
      <c r="C37" s="185"/>
      <c r="D37" s="185"/>
      <c r="E37" s="185"/>
      <c r="F37" s="185"/>
      <c r="G37" s="185"/>
      <c r="H37" s="185"/>
      <c r="I37" s="185"/>
      <c r="J37" s="185"/>
      <c r="K37" s="185"/>
    </row>
    <row r="38" spans="1:11">
      <c r="B38" s="21"/>
      <c r="C38" s="21"/>
      <c r="D38" s="12">
        <v>1</v>
      </c>
      <c r="E38" s="12">
        <v>2</v>
      </c>
      <c r="F38" s="12">
        <v>3</v>
      </c>
      <c r="G38" s="12">
        <v>4</v>
      </c>
      <c r="H38" s="12">
        <v>5</v>
      </c>
      <c r="I38" s="12">
        <v>6</v>
      </c>
      <c r="J38" s="12">
        <v>7</v>
      </c>
      <c r="K38" s="12">
        <v>8</v>
      </c>
    </row>
    <row r="39" spans="1:11">
      <c r="B39" s="187" t="s">
        <v>71</v>
      </c>
      <c r="C39" s="187"/>
      <c r="D39" s="38">
        <f>Messaufbau_Messdaten!J30</f>
        <v>1.2590000000000001</v>
      </c>
      <c r="E39" s="38">
        <f>Messaufbau_Messdaten!K30</f>
        <v>1.8940000000000001</v>
      </c>
      <c r="F39" s="38">
        <f>Messaufbau_Messdaten!L30</f>
        <v>2.3340000000000001</v>
      </c>
      <c r="G39" s="38">
        <f>Messaufbau_Messdaten!M30</f>
        <v>1.661</v>
      </c>
      <c r="H39" s="38">
        <f>Messaufbau_Messdaten!N30</f>
        <v>2.399</v>
      </c>
      <c r="I39" s="38">
        <f>Messaufbau_Messdaten!O30</f>
        <v>1.851</v>
      </c>
      <c r="J39" s="38">
        <f>Messaufbau_Messdaten!P30</f>
        <v>2.0550000000000002</v>
      </c>
      <c r="K39" s="38">
        <f>Messaufbau_Messdaten!Q30</f>
        <v>1.5740000000000001</v>
      </c>
    </row>
    <row r="40" spans="1:11">
      <c r="B40" s="188" t="s">
        <v>70</v>
      </c>
      <c r="C40" s="188"/>
      <c r="D40" s="36">
        <f>SQRT(D33^2+D34^2+D35^2)</f>
        <v>1.2735294017380789</v>
      </c>
      <c r="E40" s="36">
        <f t="shared" ref="E40:K40" si="7">SQRT(E33^2+E34^2+E35^2)</f>
        <v>1.8716561081469953</v>
      </c>
      <c r="F40" s="36">
        <f t="shared" si="7"/>
        <v>2.3074563483794117</v>
      </c>
      <c r="G40" s="36">
        <f t="shared" si="7"/>
        <v>1.6281985319185279</v>
      </c>
      <c r="H40" s="36">
        <f t="shared" si="7"/>
        <v>2.3751259279375594</v>
      </c>
      <c r="I40" s="36">
        <f t="shared" si="7"/>
        <v>1.8874600915863271</v>
      </c>
      <c r="J40" s="36">
        <f t="shared" si="7"/>
        <v>2.030863089588991</v>
      </c>
      <c r="K40" s="36">
        <f t="shared" si="7"/>
        <v>1.5781674446007099</v>
      </c>
    </row>
    <row r="41" spans="1:11">
      <c r="B41" s="188" t="s">
        <v>69</v>
      </c>
      <c r="C41" s="188"/>
      <c r="D41" s="36">
        <f>D40-D39</f>
        <v>1.4529401738078818E-2</v>
      </c>
      <c r="E41" s="36">
        <f t="shared" ref="E41:K41" si="8">E40-E39</f>
        <v>-2.2343891853004783E-2</v>
      </c>
      <c r="F41" s="36">
        <f t="shared" si="8"/>
        <v>-2.654365162058836E-2</v>
      </c>
      <c r="G41" s="36">
        <f t="shared" si="8"/>
        <v>-3.2801468081472107E-2</v>
      </c>
      <c r="H41" s="36">
        <f t="shared" si="8"/>
        <v>-2.3874072062440632E-2</v>
      </c>
      <c r="I41" s="36">
        <f t="shared" si="8"/>
        <v>3.6460091586327126E-2</v>
      </c>
      <c r="J41" s="36">
        <f t="shared" si="8"/>
        <v>-2.4136910411009183E-2</v>
      </c>
      <c r="K41" s="36">
        <f t="shared" si="8"/>
        <v>4.1674446007098354E-3</v>
      </c>
    </row>
    <row r="42" spans="1:11">
      <c r="B42" s="189" t="s">
        <v>68</v>
      </c>
      <c r="C42" s="189"/>
      <c r="D42" s="39">
        <f>ABS(1-D39/D40)</f>
        <v>1.1408768198244545E-2</v>
      </c>
      <c r="E42" s="39">
        <f t="shared" ref="E42:K42" si="9">ABS(1-E39/E40)</f>
        <v>1.193803271645133E-2</v>
      </c>
      <c r="F42" s="39">
        <f t="shared" si="9"/>
        <v>1.150342524972614E-2</v>
      </c>
      <c r="G42" s="39">
        <f t="shared" si="9"/>
        <v>2.0145865162291887E-2</v>
      </c>
      <c r="H42" s="39">
        <f t="shared" si="9"/>
        <v>1.0051707903829588E-2</v>
      </c>
      <c r="I42" s="39">
        <f t="shared" si="9"/>
        <v>1.9317013243805303E-2</v>
      </c>
      <c r="J42" s="39">
        <f t="shared" si="9"/>
        <v>1.1885050516080797E-2</v>
      </c>
      <c r="K42" s="39">
        <f t="shared" si="9"/>
        <v>2.6406859519043646E-3</v>
      </c>
    </row>
    <row r="43" spans="1:11">
      <c r="B43" s="194" t="s">
        <v>105</v>
      </c>
      <c r="C43" s="194"/>
      <c r="D43" s="41">
        <f>D41*D41</f>
        <v>2.1110351486648777E-4</v>
      </c>
      <c r="E43" s="41">
        <f t="shared" ref="E43:K43" si="10">E41*E41</f>
        <v>4.9924950313877349E-4</v>
      </c>
      <c r="F43" s="41">
        <f t="shared" si="10"/>
        <v>7.0456544135516302E-4</v>
      </c>
      <c r="G43" s="41">
        <f t="shared" si="10"/>
        <v>1.0759363082998334E-3</v>
      </c>
      <c r="H43" s="41">
        <f t="shared" si="10"/>
        <v>5.6997131684260831E-4</v>
      </c>
      <c r="I43" s="41">
        <f t="shared" si="10"/>
        <v>1.329338278483362E-3</v>
      </c>
      <c r="J43" s="41">
        <f t="shared" si="10"/>
        <v>5.8259044418908343E-4</v>
      </c>
      <c r="K43" s="41">
        <f t="shared" si="10"/>
        <v>1.7367594499985558E-5</v>
      </c>
    </row>
  </sheetData>
  <mergeCells count="13">
    <mergeCell ref="A37:K37"/>
    <mergeCell ref="B7:D7"/>
    <mergeCell ref="A9:K9"/>
    <mergeCell ref="A8:K8"/>
    <mergeCell ref="A2:K2"/>
    <mergeCell ref="A16:K16"/>
    <mergeCell ref="A26:K26"/>
    <mergeCell ref="A31:K31"/>
    <mergeCell ref="B39:C39"/>
    <mergeCell ref="B40:C40"/>
    <mergeCell ref="B41:C41"/>
    <mergeCell ref="B42:C42"/>
    <mergeCell ref="B43:C43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5"/>
  <dimension ref="A2:L282"/>
  <sheetViews>
    <sheetView workbookViewId="0">
      <selection activeCell="J21" sqref="A18:J21"/>
    </sheetView>
  </sheetViews>
  <sheetFormatPr baseColWidth="10" defaultRowHeight="15"/>
  <sheetData>
    <row r="2" spans="1:12">
      <c r="B2">
        <v>0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</row>
    <row r="3" spans="1:12">
      <c r="A3">
        <v>1</v>
      </c>
      <c r="B3">
        <v>0</v>
      </c>
      <c r="C3" s="165"/>
      <c r="D3" s="167">
        <v>1</v>
      </c>
      <c r="E3" s="167">
        <v>1</v>
      </c>
      <c r="F3" s="167">
        <v>1</v>
      </c>
      <c r="G3" s="168"/>
      <c r="H3" s="168"/>
      <c r="I3" s="168"/>
      <c r="J3" s="168"/>
      <c r="K3" s="1" t="s">
        <v>179</v>
      </c>
      <c r="L3" t="s">
        <v>178</v>
      </c>
    </row>
    <row r="4" spans="1:12">
      <c r="A4">
        <v>2</v>
      </c>
      <c r="B4">
        <v>0</v>
      </c>
      <c r="C4" s="165"/>
      <c r="D4" s="167"/>
      <c r="E4" s="167"/>
      <c r="F4" s="168"/>
      <c r="G4" s="167">
        <v>2</v>
      </c>
      <c r="H4" s="168"/>
      <c r="I4" s="168"/>
      <c r="J4" s="168"/>
      <c r="K4" s="1" t="s">
        <v>180</v>
      </c>
    </row>
    <row r="5" spans="1:12">
      <c r="A5">
        <v>3</v>
      </c>
      <c r="B5">
        <v>0</v>
      </c>
      <c r="C5" s="165"/>
      <c r="D5" s="167"/>
      <c r="E5" s="167"/>
      <c r="F5" s="168"/>
      <c r="G5" s="168"/>
      <c r="H5" s="167">
        <v>3</v>
      </c>
      <c r="I5" s="168"/>
      <c r="J5" s="168"/>
      <c r="K5" s="1" t="s">
        <v>181</v>
      </c>
    </row>
    <row r="6" spans="1:12">
      <c r="A6">
        <v>4</v>
      </c>
      <c r="B6">
        <v>0</v>
      </c>
      <c r="C6" s="165"/>
      <c r="D6" s="167"/>
      <c r="E6" s="167"/>
      <c r="F6" s="168"/>
      <c r="G6" s="168"/>
      <c r="H6" s="168"/>
      <c r="I6" s="167">
        <v>4</v>
      </c>
      <c r="J6" s="168"/>
      <c r="K6" s="1" t="s">
        <v>182</v>
      </c>
    </row>
    <row r="7" spans="1:12">
      <c r="A7">
        <v>5</v>
      </c>
      <c r="B7">
        <v>0</v>
      </c>
      <c r="C7" s="165"/>
      <c r="D7" s="167"/>
      <c r="E7" s="167"/>
      <c r="F7" s="168"/>
      <c r="G7" s="168"/>
      <c r="H7" s="168"/>
      <c r="I7" s="168"/>
      <c r="J7" s="167">
        <v>5</v>
      </c>
      <c r="K7" s="1" t="s">
        <v>183</v>
      </c>
    </row>
    <row r="8" spans="1:12">
      <c r="A8">
        <v>6</v>
      </c>
      <c r="B8">
        <v>0</v>
      </c>
      <c r="C8" s="165"/>
      <c r="D8" s="167"/>
      <c r="E8" s="168"/>
      <c r="F8" s="167">
        <v>2</v>
      </c>
      <c r="G8" s="167">
        <v>1</v>
      </c>
      <c r="H8" s="168"/>
      <c r="I8" s="168"/>
      <c r="J8" s="168"/>
      <c r="K8" s="1" t="s">
        <v>184</v>
      </c>
    </row>
    <row r="9" spans="1:12">
      <c r="A9">
        <v>7</v>
      </c>
      <c r="B9">
        <v>0</v>
      </c>
      <c r="C9" s="165"/>
      <c r="D9" s="167"/>
      <c r="E9" s="168"/>
      <c r="F9" s="167"/>
      <c r="G9" s="168"/>
      <c r="H9" s="167">
        <v>2</v>
      </c>
      <c r="I9" s="168"/>
      <c r="J9" s="168"/>
      <c r="K9" s="1" t="s">
        <v>185</v>
      </c>
    </row>
    <row r="10" spans="1:12">
      <c r="A10">
        <v>8</v>
      </c>
      <c r="B10">
        <v>0</v>
      </c>
      <c r="C10" s="165"/>
      <c r="D10" s="167"/>
      <c r="E10" s="168"/>
      <c r="F10" s="167"/>
      <c r="G10" s="168"/>
      <c r="H10" s="168"/>
      <c r="I10" s="167">
        <v>3</v>
      </c>
      <c r="J10" s="168"/>
      <c r="K10" s="1" t="s">
        <v>186</v>
      </c>
    </row>
    <row r="11" spans="1:12">
      <c r="A11">
        <v>9</v>
      </c>
      <c r="B11">
        <v>0</v>
      </c>
      <c r="C11" s="165"/>
      <c r="D11" s="167"/>
      <c r="E11" s="168"/>
      <c r="F11" s="167"/>
      <c r="G11" s="168"/>
      <c r="H11" s="168"/>
      <c r="I11" s="168"/>
      <c r="J11" s="167">
        <v>4</v>
      </c>
      <c r="K11" s="1" t="s">
        <v>187</v>
      </c>
    </row>
    <row r="12" spans="1:12">
      <c r="A12">
        <v>10</v>
      </c>
      <c r="B12">
        <v>0</v>
      </c>
      <c r="C12" s="165"/>
      <c r="D12" s="167"/>
      <c r="E12" s="168"/>
      <c r="F12" s="168"/>
      <c r="G12" s="167">
        <v>3</v>
      </c>
      <c r="H12" s="167">
        <v>1</v>
      </c>
      <c r="I12" s="168"/>
      <c r="J12" s="168"/>
      <c r="K12" s="1" t="s">
        <v>188</v>
      </c>
    </row>
    <row r="13" spans="1:12">
      <c r="A13">
        <v>11</v>
      </c>
      <c r="B13">
        <v>0</v>
      </c>
      <c r="C13" s="165"/>
      <c r="D13" s="167"/>
      <c r="E13" s="168"/>
      <c r="F13" s="168"/>
      <c r="G13" s="167"/>
      <c r="H13" s="168"/>
      <c r="I13" s="167">
        <v>2</v>
      </c>
      <c r="J13" s="168"/>
      <c r="K13" s="1" t="s">
        <v>189</v>
      </c>
    </row>
    <row r="14" spans="1:12">
      <c r="A14">
        <v>12</v>
      </c>
      <c r="B14">
        <v>0</v>
      </c>
      <c r="C14" s="165"/>
      <c r="D14" s="167"/>
      <c r="E14" s="168"/>
      <c r="F14" s="168"/>
      <c r="G14" s="167"/>
      <c r="H14" s="168"/>
      <c r="I14" s="168"/>
      <c r="J14" s="167">
        <v>3</v>
      </c>
      <c r="K14" s="1" t="s">
        <v>190</v>
      </c>
    </row>
    <row r="15" spans="1:12">
      <c r="A15">
        <v>13</v>
      </c>
      <c r="B15">
        <v>0</v>
      </c>
      <c r="C15" s="165"/>
      <c r="D15" s="167"/>
      <c r="E15" s="168"/>
      <c r="F15" s="168"/>
      <c r="G15" s="168"/>
      <c r="H15" s="167">
        <v>4</v>
      </c>
      <c r="I15" s="167">
        <v>1</v>
      </c>
      <c r="J15" s="168"/>
      <c r="K15" s="1" t="s">
        <v>192</v>
      </c>
    </row>
    <row r="16" spans="1:12">
      <c r="A16">
        <v>14</v>
      </c>
      <c r="B16">
        <v>0</v>
      </c>
      <c r="C16" s="165"/>
      <c r="D16" s="167"/>
      <c r="E16" s="168"/>
      <c r="F16" s="168"/>
      <c r="G16" s="168"/>
      <c r="H16" s="167"/>
      <c r="I16" s="168"/>
      <c r="J16" s="167">
        <v>2</v>
      </c>
      <c r="K16" s="1" t="s">
        <v>191</v>
      </c>
    </row>
    <row r="17" spans="1:11">
      <c r="A17">
        <v>15</v>
      </c>
      <c r="B17">
        <v>0</v>
      </c>
      <c r="C17" s="165"/>
      <c r="D17" s="167"/>
      <c r="E17" s="168"/>
      <c r="F17" s="168"/>
      <c r="G17" s="168"/>
      <c r="H17" s="168"/>
      <c r="I17" s="167">
        <v>5</v>
      </c>
      <c r="J17" s="167">
        <v>1</v>
      </c>
      <c r="K17" s="1" t="s">
        <v>193</v>
      </c>
    </row>
    <row r="18" spans="1:11">
      <c r="A18">
        <v>16</v>
      </c>
      <c r="B18">
        <v>0</v>
      </c>
      <c r="C18" s="165"/>
      <c r="D18" s="168"/>
      <c r="E18" s="167">
        <v>2</v>
      </c>
      <c r="F18" s="167">
        <v>1</v>
      </c>
      <c r="G18" s="167">
        <v>1</v>
      </c>
      <c r="H18" s="168"/>
      <c r="I18" s="168"/>
      <c r="J18" s="168"/>
      <c r="K18" s="1" t="s">
        <v>194</v>
      </c>
    </row>
    <row r="19" spans="1:11">
      <c r="A19">
        <v>17</v>
      </c>
      <c r="B19">
        <v>0</v>
      </c>
      <c r="C19" s="165"/>
      <c r="D19" s="168"/>
      <c r="E19" s="167"/>
      <c r="F19" s="167"/>
      <c r="G19" s="168"/>
      <c r="H19" s="167">
        <v>2</v>
      </c>
      <c r="I19" s="168"/>
      <c r="J19" s="168"/>
      <c r="K19" s="1" t="s">
        <v>195</v>
      </c>
    </row>
    <row r="20" spans="1:11">
      <c r="A20">
        <v>18</v>
      </c>
      <c r="B20">
        <v>0</v>
      </c>
      <c r="C20" s="165"/>
      <c r="D20" s="168"/>
      <c r="E20" s="167"/>
      <c r="F20" s="167"/>
      <c r="G20" s="168"/>
      <c r="H20" s="168"/>
      <c r="I20" s="167">
        <v>3</v>
      </c>
      <c r="J20" s="168"/>
      <c r="K20" s="1" t="s">
        <v>196</v>
      </c>
    </row>
    <row r="21" spans="1:11">
      <c r="A21">
        <v>19</v>
      </c>
      <c r="B21">
        <v>0</v>
      </c>
      <c r="C21" s="165"/>
      <c r="D21" s="168"/>
      <c r="E21" s="167"/>
      <c r="F21" s="167"/>
      <c r="G21" s="168"/>
      <c r="H21" s="168"/>
      <c r="I21" s="168"/>
      <c r="J21" s="167">
        <v>4</v>
      </c>
      <c r="K21" s="1" t="s">
        <v>197</v>
      </c>
    </row>
    <row r="22" spans="1:11">
      <c r="A22">
        <v>20</v>
      </c>
      <c r="B22">
        <v>0</v>
      </c>
      <c r="C22" s="165"/>
      <c r="D22" s="168"/>
      <c r="E22" s="167"/>
      <c r="F22" s="168"/>
      <c r="G22" s="167">
        <v>2</v>
      </c>
      <c r="H22" s="167">
        <v>1</v>
      </c>
      <c r="I22" s="168"/>
      <c r="J22" s="168"/>
      <c r="K22" s="1" t="s">
        <v>198</v>
      </c>
    </row>
    <row r="23" spans="1:11">
      <c r="A23">
        <v>21</v>
      </c>
      <c r="B23">
        <v>0</v>
      </c>
      <c r="C23" s="165"/>
      <c r="D23" s="168"/>
      <c r="E23" s="167"/>
      <c r="F23" s="168"/>
      <c r="G23" s="167"/>
      <c r="H23" s="168"/>
      <c r="I23" s="167">
        <v>2</v>
      </c>
      <c r="J23" s="168"/>
      <c r="K23" s="1" t="s">
        <v>199</v>
      </c>
    </row>
    <row r="24" spans="1:11">
      <c r="A24">
        <v>22</v>
      </c>
      <c r="B24">
        <v>0</v>
      </c>
      <c r="C24" s="165"/>
      <c r="D24" s="168"/>
      <c r="E24" s="167"/>
      <c r="F24" s="168"/>
      <c r="G24" s="167"/>
      <c r="H24" s="168"/>
      <c r="I24" s="168"/>
      <c r="J24" s="167">
        <v>3</v>
      </c>
      <c r="K24" s="1" t="s">
        <v>200</v>
      </c>
    </row>
    <row r="25" spans="1:11">
      <c r="A25">
        <v>23</v>
      </c>
      <c r="B25">
        <v>0</v>
      </c>
      <c r="C25" s="165"/>
      <c r="D25" s="168"/>
      <c r="E25" s="167"/>
      <c r="F25" s="168"/>
      <c r="G25" s="168"/>
      <c r="H25" s="167">
        <v>3</v>
      </c>
      <c r="I25" s="167">
        <v>1</v>
      </c>
      <c r="J25" s="168"/>
      <c r="K25" s="1" t="s">
        <v>201</v>
      </c>
    </row>
    <row r="26" spans="1:11">
      <c r="A26">
        <v>24</v>
      </c>
      <c r="B26">
        <v>0</v>
      </c>
      <c r="C26" s="165"/>
      <c r="D26" s="168"/>
      <c r="E26" s="167"/>
      <c r="F26" s="168"/>
      <c r="G26" s="168"/>
      <c r="H26" s="167"/>
      <c r="I26" s="168"/>
      <c r="J26" s="167">
        <v>2</v>
      </c>
      <c r="K26" s="1" t="s">
        <v>202</v>
      </c>
    </row>
    <row r="27" spans="1:11">
      <c r="A27">
        <v>25</v>
      </c>
      <c r="B27">
        <v>0</v>
      </c>
      <c r="C27" s="165"/>
      <c r="D27" s="60"/>
      <c r="E27" s="167"/>
      <c r="F27" s="60"/>
      <c r="G27" s="60"/>
      <c r="H27" s="60"/>
      <c r="I27" s="167">
        <v>4</v>
      </c>
      <c r="J27" s="167">
        <v>1</v>
      </c>
      <c r="K27" s="1" t="s">
        <v>203</v>
      </c>
    </row>
    <row r="28" spans="1:11">
      <c r="A28">
        <v>26</v>
      </c>
      <c r="B28">
        <v>0</v>
      </c>
      <c r="C28" s="165"/>
      <c r="D28" s="60"/>
      <c r="E28" s="60"/>
      <c r="F28" s="167">
        <v>3</v>
      </c>
      <c r="G28" s="167"/>
      <c r="H28" s="167">
        <v>1</v>
      </c>
      <c r="I28" s="60"/>
      <c r="J28" s="60"/>
      <c r="K28" s="1" t="s">
        <v>204</v>
      </c>
    </row>
    <row r="29" spans="1:11">
      <c r="A29">
        <v>27</v>
      </c>
      <c r="B29">
        <v>0</v>
      </c>
      <c r="C29" s="165"/>
      <c r="D29" s="60"/>
      <c r="E29" s="60"/>
      <c r="F29" s="167"/>
      <c r="G29" s="167"/>
      <c r="H29" s="60"/>
      <c r="I29" s="167">
        <v>2</v>
      </c>
      <c r="J29" s="60"/>
      <c r="K29" s="1" t="s">
        <v>205</v>
      </c>
    </row>
    <row r="30" spans="1:11">
      <c r="A30">
        <v>28</v>
      </c>
      <c r="B30">
        <v>0</v>
      </c>
      <c r="C30" s="165"/>
      <c r="D30" s="60"/>
      <c r="E30" s="60"/>
      <c r="F30" s="167"/>
      <c r="G30" s="167"/>
      <c r="H30" s="60"/>
      <c r="I30" s="60"/>
      <c r="J30" s="167">
        <v>3</v>
      </c>
      <c r="K30" s="1" t="s">
        <v>206</v>
      </c>
    </row>
    <row r="31" spans="1:11">
      <c r="A31">
        <v>29</v>
      </c>
      <c r="B31">
        <v>0</v>
      </c>
      <c r="C31" s="165"/>
      <c r="D31" s="60"/>
      <c r="E31" s="60"/>
      <c r="F31" s="167"/>
      <c r="G31" s="60"/>
      <c r="H31" s="167">
        <v>2</v>
      </c>
      <c r="I31" s="167">
        <v>1</v>
      </c>
      <c r="J31" s="60"/>
      <c r="K31" s="1" t="s">
        <v>207</v>
      </c>
    </row>
    <row r="32" spans="1:11">
      <c r="A32">
        <v>30</v>
      </c>
      <c r="B32">
        <v>0</v>
      </c>
      <c r="C32" s="165"/>
      <c r="D32" s="60"/>
      <c r="E32" s="60"/>
      <c r="F32" s="167"/>
      <c r="G32" s="60"/>
      <c r="H32" s="167"/>
      <c r="I32" s="60"/>
      <c r="J32" s="167">
        <v>2</v>
      </c>
      <c r="K32" s="1" t="s">
        <v>208</v>
      </c>
    </row>
    <row r="33" spans="1:11">
      <c r="A33">
        <v>31</v>
      </c>
      <c r="B33">
        <v>0</v>
      </c>
      <c r="C33" s="165"/>
      <c r="D33" s="60"/>
      <c r="E33" s="60"/>
      <c r="F33" s="167"/>
      <c r="G33" s="60"/>
      <c r="H33" s="60"/>
      <c r="I33" s="167">
        <v>3</v>
      </c>
      <c r="J33" s="167">
        <v>1</v>
      </c>
      <c r="K33" s="1" t="s">
        <v>209</v>
      </c>
    </row>
    <row r="34" spans="1:11">
      <c r="A34">
        <v>32</v>
      </c>
      <c r="B34">
        <v>0</v>
      </c>
      <c r="C34" s="165"/>
      <c r="D34" s="60"/>
      <c r="E34" s="60"/>
      <c r="F34" s="60"/>
      <c r="G34" s="167">
        <v>4</v>
      </c>
      <c r="H34" s="167">
        <v>1</v>
      </c>
      <c r="I34" s="167">
        <v>1</v>
      </c>
      <c r="J34" s="60"/>
      <c r="K34" s="1" t="s">
        <v>210</v>
      </c>
    </row>
    <row r="35" spans="1:11">
      <c r="A35">
        <v>33</v>
      </c>
      <c r="B35">
        <v>0</v>
      </c>
      <c r="C35" s="165"/>
      <c r="D35" s="60"/>
      <c r="E35" s="60"/>
      <c r="F35" s="60"/>
      <c r="G35" s="167"/>
      <c r="H35" s="167"/>
      <c r="I35" s="60"/>
      <c r="J35" s="167">
        <v>2</v>
      </c>
      <c r="K35" s="1" t="s">
        <v>211</v>
      </c>
    </row>
    <row r="36" spans="1:11">
      <c r="A36">
        <v>34</v>
      </c>
      <c r="B36">
        <v>0</v>
      </c>
      <c r="C36" s="165"/>
      <c r="D36" s="60"/>
      <c r="E36" s="60"/>
      <c r="F36" s="60"/>
      <c r="G36" s="167"/>
      <c r="H36" s="60"/>
      <c r="I36" s="167">
        <v>2</v>
      </c>
      <c r="J36" s="167"/>
      <c r="K36" s="1" t="s">
        <v>212</v>
      </c>
    </row>
    <row r="37" spans="1:11">
      <c r="A37">
        <v>35</v>
      </c>
      <c r="B37">
        <v>0</v>
      </c>
      <c r="C37" s="165"/>
      <c r="D37" s="60"/>
      <c r="E37" s="60"/>
      <c r="F37" s="60"/>
      <c r="G37" s="60"/>
      <c r="H37" s="167">
        <v>5</v>
      </c>
      <c r="I37" s="167">
        <v>1</v>
      </c>
      <c r="J37" s="167">
        <v>1</v>
      </c>
      <c r="K37" s="1" t="s">
        <v>213</v>
      </c>
    </row>
    <row r="38" spans="1:11">
      <c r="A38">
        <v>36</v>
      </c>
      <c r="B38">
        <v>1</v>
      </c>
      <c r="C38" s="166"/>
      <c r="D38" s="165"/>
      <c r="E38" s="166"/>
      <c r="F38" s="166"/>
      <c r="G38" s="164"/>
      <c r="H38" s="164"/>
      <c r="I38" s="164"/>
      <c r="J38" s="164"/>
    </row>
    <row r="39" spans="1:11">
      <c r="A39">
        <v>37</v>
      </c>
      <c r="B39">
        <v>1</v>
      </c>
      <c r="C39" s="166"/>
      <c r="D39" s="165"/>
      <c r="E39" s="166"/>
      <c r="F39" s="164"/>
      <c r="G39" s="166"/>
      <c r="H39" s="164"/>
      <c r="I39" s="164"/>
      <c r="J39" s="164"/>
    </row>
    <row r="40" spans="1:11">
      <c r="A40">
        <v>38</v>
      </c>
      <c r="B40">
        <v>1</v>
      </c>
      <c r="C40" s="166"/>
      <c r="D40" s="165"/>
      <c r="E40" s="166"/>
      <c r="F40" s="164"/>
      <c r="G40" s="164"/>
      <c r="H40" s="166"/>
      <c r="I40" s="164"/>
      <c r="J40" s="164"/>
    </row>
    <row r="41" spans="1:11">
      <c r="A41">
        <v>39</v>
      </c>
      <c r="B41">
        <v>1</v>
      </c>
      <c r="C41" s="166"/>
      <c r="D41" s="165"/>
      <c r="E41" s="166"/>
      <c r="F41" s="164"/>
      <c r="G41" s="164"/>
      <c r="H41" s="164"/>
      <c r="I41" s="166"/>
      <c r="J41" s="164"/>
    </row>
    <row r="42" spans="1:11">
      <c r="A42">
        <v>40</v>
      </c>
      <c r="B42">
        <v>1</v>
      </c>
      <c r="C42" s="166"/>
      <c r="D42" s="165"/>
      <c r="E42" s="166"/>
      <c r="F42" s="164"/>
      <c r="G42" s="164"/>
      <c r="H42" s="164"/>
      <c r="I42" s="164"/>
      <c r="J42" s="166"/>
    </row>
    <row r="43" spans="1:11">
      <c r="A43">
        <v>41</v>
      </c>
      <c r="B43">
        <v>1</v>
      </c>
      <c r="C43" s="166"/>
      <c r="D43" s="165"/>
      <c r="E43" s="164"/>
      <c r="F43" s="166"/>
      <c r="G43" s="166"/>
      <c r="H43" s="164"/>
      <c r="I43" s="164"/>
      <c r="J43" s="164"/>
    </row>
    <row r="44" spans="1:11">
      <c r="A44">
        <v>42</v>
      </c>
      <c r="B44">
        <v>1</v>
      </c>
      <c r="C44" s="166"/>
      <c r="D44" s="165"/>
      <c r="E44" s="164"/>
      <c r="F44" s="166"/>
      <c r="G44" s="164"/>
      <c r="H44" s="166"/>
      <c r="I44" s="164"/>
      <c r="J44" s="164"/>
    </row>
    <row r="45" spans="1:11">
      <c r="A45">
        <v>43</v>
      </c>
      <c r="B45">
        <v>1</v>
      </c>
      <c r="C45" s="166"/>
      <c r="D45" s="165"/>
      <c r="E45" s="164"/>
      <c r="F45" s="166"/>
      <c r="G45" s="164"/>
      <c r="H45" s="164"/>
      <c r="I45" s="166"/>
      <c r="J45" s="164"/>
    </row>
    <row r="46" spans="1:11">
      <c r="A46">
        <v>44</v>
      </c>
      <c r="B46">
        <v>1</v>
      </c>
      <c r="C46" s="166"/>
      <c r="D46" s="165"/>
      <c r="E46" s="164"/>
      <c r="F46" s="166"/>
      <c r="G46" s="164"/>
      <c r="H46" s="164"/>
      <c r="I46" s="164"/>
      <c r="J46" s="166"/>
    </row>
    <row r="47" spans="1:11">
      <c r="A47">
        <v>45</v>
      </c>
      <c r="B47">
        <v>1</v>
      </c>
      <c r="C47" s="166"/>
      <c r="D47" s="165"/>
      <c r="E47" s="164"/>
      <c r="F47" s="164"/>
      <c r="G47" s="166"/>
      <c r="H47" s="166"/>
      <c r="I47" s="164"/>
      <c r="J47" s="164"/>
    </row>
    <row r="48" spans="1:11">
      <c r="A48">
        <v>46</v>
      </c>
      <c r="B48">
        <v>1</v>
      </c>
      <c r="C48" s="166"/>
      <c r="D48" s="165"/>
      <c r="E48" s="164"/>
      <c r="F48" s="164"/>
      <c r="G48" s="166"/>
      <c r="H48" s="164"/>
      <c r="I48" s="166"/>
      <c r="J48" s="164"/>
    </row>
    <row r="49" spans="1:10">
      <c r="A49">
        <v>47</v>
      </c>
      <c r="B49">
        <v>1</v>
      </c>
      <c r="C49" s="166"/>
      <c r="D49" s="165"/>
      <c r="E49" s="164"/>
      <c r="F49" s="164"/>
      <c r="G49" s="166"/>
      <c r="H49" s="164"/>
      <c r="I49" s="164"/>
      <c r="J49" s="166"/>
    </row>
    <row r="50" spans="1:10">
      <c r="A50">
        <v>48</v>
      </c>
      <c r="B50">
        <v>1</v>
      </c>
      <c r="C50" s="166"/>
      <c r="D50" s="165"/>
      <c r="E50" s="164"/>
      <c r="F50" s="164"/>
      <c r="G50" s="164"/>
      <c r="H50" s="166"/>
      <c r="I50" s="166"/>
      <c r="J50" s="164"/>
    </row>
    <row r="51" spans="1:10">
      <c r="A51">
        <v>49</v>
      </c>
      <c r="B51">
        <v>1</v>
      </c>
      <c r="C51" s="166"/>
      <c r="D51" s="165"/>
      <c r="E51" s="164"/>
      <c r="F51" s="164"/>
      <c r="G51" s="164"/>
      <c r="H51" s="166"/>
      <c r="I51" s="164"/>
      <c r="J51" s="166"/>
    </row>
    <row r="52" spans="1:10">
      <c r="A52">
        <v>50</v>
      </c>
      <c r="B52">
        <v>1</v>
      </c>
      <c r="C52" s="166"/>
      <c r="D52" s="165"/>
      <c r="E52" s="164"/>
      <c r="F52" s="164"/>
      <c r="G52" s="164"/>
      <c r="H52" s="164"/>
      <c r="I52" s="166"/>
      <c r="J52" s="166"/>
    </row>
    <row r="53" spans="1:10">
      <c r="A53">
        <v>51</v>
      </c>
      <c r="B53">
        <v>2</v>
      </c>
      <c r="D53" s="165"/>
      <c r="E53" s="166"/>
      <c r="F53" s="166"/>
      <c r="G53" s="166"/>
      <c r="H53" s="164"/>
      <c r="I53" s="164"/>
      <c r="J53" s="164"/>
    </row>
    <row r="54" spans="1:10">
      <c r="A54">
        <v>52</v>
      </c>
      <c r="B54">
        <v>2</v>
      </c>
      <c r="D54" s="165"/>
      <c r="E54" s="166"/>
      <c r="F54" s="166"/>
      <c r="G54" s="164"/>
      <c r="H54" s="166"/>
      <c r="I54" s="164"/>
      <c r="J54" s="164"/>
    </row>
    <row r="55" spans="1:10">
      <c r="A55">
        <v>53</v>
      </c>
      <c r="B55">
        <v>2</v>
      </c>
      <c r="D55" s="165"/>
      <c r="E55" s="166"/>
      <c r="F55" s="166"/>
      <c r="G55" s="164"/>
      <c r="H55" s="164"/>
      <c r="I55" s="166"/>
      <c r="J55" s="164"/>
    </row>
    <row r="56" spans="1:10">
      <c r="A56">
        <v>54</v>
      </c>
      <c r="B56">
        <v>2</v>
      </c>
      <c r="D56" s="165"/>
      <c r="E56" s="166"/>
      <c r="F56" s="166"/>
      <c r="G56" s="164"/>
      <c r="H56" s="164"/>
      <c r="I56" s="164"/>
      <c r="J56" s="166"/>
    </row>
    <row r="57" spans="1:10">
      <c r="A57">
        <v>55</v>
      </c>
      <c r="B57">
        <v>2</v>
      </c>
      <c r="D57" s="165"/>
      <c r="E57" s="166"/>
      <c r="F57" s="164"/>
      <c r="G57" s="166"/>
      <c r="H57" s="166"/>
      <c r="I57" s="164"/>
      <c r="J57" s="164"/>
    </row>
    <row r="58" spans="1:10">
      <c r="A58">
        <v>56</v>
      </c>
      <c r="B58">
        <v>2</v>
      </c>
      <c r="D58" s="165"/>
      <c r="E58" s="166"/>
      <c r="F58" s="164"/>
      <c r="G58" s="166"/>
      <c r="H58" s="164"/>
      <c r="I58" s="166"/>
      <c r="J58" s="164"/>
    </row>
    <row r="59" spans="1:10">
      <c r="A59">
        <v>57</v>
      </c>
      <c r="B59">
        <v>2</v>
      </c>
      <c r="D59" s="165"/>
      <c r="E59" s="166"/>
      <c r="F59" s="164"/>
      <c r="G59" s="166"/>
      <c r="H59" s="164"/>
      <c r="I59" s="164"/>
      <c r="J59" s="166"/>
    </row>
    <row r="60" spans="1:10">
      <c r="A60">
        <v>58</v>
      </c>
      <c r="B60">
        <v>2</v>
      </c>
      <c r="D60" s="165"/>
      <c r="E60" s="166"/>
      <c r="F60" s="164"/>
      <c r="G60" s="164"/>
      <c r="H60" s="166"/>
      <c r="I60" s="166"/>
      <c r="J60" s="164"/>
    </row>
    <row r="61" spans="1:10">
      <c r="A61">
        <v>59</v>
      </c>
      <c r="B61">
        <v>2</v>
      </c>
      <c r="D61" s="165"/>
      <c r="E61" s="166"/>
      <c r="F61" s="164"/>
      <c r="G61" s="164"/>
      <c r="H61" s="166"/>
      <c r="I61" s="164"/>
      <c r="J61" s="166"/>
    </row>
    <row r="62" spans="1:10">
      <c r="A62">
        <v>60</v>
      </c>
      <c r="B62">
        <v>2</v>
      </c>
      <c r="D62" s="165"/>
      <c r="E62" s="166"/>
      <c r="I62" s="166"/>
      <c r="J62" s="166"/>
    </row>
    <row r="63" spans="1:10">
      <c r="A63">
        <v>61</v>
      </c>
      <c r="B63">
        <v>2</v>
      </c>
      <c r="D63" s="165"/>
      <c r="F63" s="166"/>
      <c r="G63" s="166"/>
      <c r="H63" s="166"/>
    </row>
    <row r="64" spans="1:10">
      <c r="A64">
        <v>62</v>
      </c>
      <c r="B64">
        <v>2</v>
      </c>
      <c r="D64" s="165"/>
      <c r="F64" s="166"/>
      <c r="G64" s="166"/>
      <c r="I64" s="166"/>
    </row>
    <row r="65" spans="1:10">
      <c r="A65">
        <v>63</v>
      </c>
      <c r="B65">
        <v>2</v>
      </c>
      <c r="D65" s="165"/>
      <c r="F65" s="166"/>
      <c r="G65" s="166"/>
      <c r="J65" s="166"/>
    </row>
    <row r="66" spans="1:10">
      <c r="A66">
        <v>64</v>
      </c>
      <c r="B66">
        <v>2</v>
      </c>
      <c r="D66" s="165"/>
      <c r="F66" s="166"/>
      <c r="H66" s="166"/>
      <c r="I66" s="166"/>
    </row>
    <row r="67" spans="1:10">
      <c r="A67">
        <v>65</v>
      </c>
      <c r="B67">
        <v>2</v>
      </c>
      <c r="D67" s="165"/>
      <c r="F67" s="166"/>
      <c r="H67" s="166"/>
      <c r="J67" s="166"/>
    </row>
    <row r="68" spans="1:10">
      <c r="A68">
        <v>66</v>
      </c>
      <c r="B68">
        <v>2</v>
      </c>
      <c r="D68" s="165"/>
      <c r="F68" s="166"/>
      <c r="I68" s="166"/>
      <c r="J68" s="166"/>
    </row>
    <row r="69" spans="1:10">
      <c r="A69">
        <v>67</v>
      </c>
      <c r="B69">
        <v>2</v>
      </c>
      <c r="D69" s="165"/>
      <c r="G69" s="166"/>
      <c r="H69" s="166"/>
      <c r="I69" s="166"/>
    </row>
    <row r="70" spans="1:10">
      <c r="A70">
        <v>68</v>
      </c>
      <c r="B70">
        <v>2</v>
      </c>
      <c r="D70" s="165"/>
      <c r="G70" s="166"/>
      <c r="H70" s="166"/>
      <c r="J70" s="166"/>
    </row>
    <row r="71" spans="1:10">
      <c r="A71">
        <v>69</v>
      </c>
      <c r="B71">
        <v>2</v>
      </c>
      <c r="D71" s="165"/>
      <c r="G71" s="166"/>
      <c r="I71" s="166"/>
      <c r="J71" s="166"/>
    </row>
    <row r="72" spans="1:10">
      <c r="A72">
        <v>70</v>
      </c>
      <c r="B72">
        <v>2</v>
      </c>
      <c r="D72" s="165"/>
      <c r="H72" s="166"/>
      <c r="I72" s="166"/>
      <c r="J72" s="166"/>
    </row>
    <row r="73" spans="1:10">
      <c r="A73">
        <v>71</v>
      </c>
      <c r="B73">
        <v>3</v>
      </c>
      <c r="C73" s="166">
        <v>1</v>
      </c>
      <c r="D73" s="166">
        <v>1</v>
      </c>
      <c r="E73" s="165"/>
      <c r="F73" s="166">
        <v>1</v>
      </c>
      <c r="G73" s="164"/>
      <c r="H73" s="164"/>
      <c r="I73" s="164"/>
      <c r="J73" s="164"/>
    </row>
    <row r="74" spans="1:10">
      <c r="A74">
        <v>72</v>
      </c>
      <c r="B74">
        <v>3</v>
      </c>
      <c r="C74" s="166"/>
      <c r="D74" s="166"/>
      <c r="E74" s="165"/>
      <c r="F74" s="164"/>
      <c r="G74" s="166">
        <v>2</v>
      </c>
      <c r="H74" s="164"/>
      <c r="I74" s="164"/>
      <c r="J74" s="164"/>
    </row>
    <row r="75" spans="1:10">
      <c r="A75">
        <v>73</v>
      </c>
      <c r="B75">
        <v>3</v>
      </c>
      <c r="C75" s="166"/>
      <c r="D75" s="166"/>
      <c r="E75" s="165"/>
      <c r="F75" s="164"/>
      <c r="G75" s="164"/>
      <c r="H75" s="166">
        <v>3</v>
      </c>
      <c r="I75" s="164"/>
      <c r="J75" s="164"/>
    </row>
    <row r="76" spans="1:10">
      <c r="A76">
        <v>74</v>
      </c>
      <c r="B76">
        <v>3</v>
      </c>
      <c r="C76" s="166"/>
      <c r="D76" s="166"/>
      <c r="E76" s="165"/>
      <c r="F76" s="164"/>
      <c r="G76" s="164"/>
      <c r="H76" s="164"/>
      <c r="I76" s="166">
        <v>4</v>
      </c>
      <c r="J76" s="164"/>
    </row>
    <row r="77" spans="1:10">
      <c r="A77">
        <v>75</v>
      </c>
      <c r="B77">
        <v>3</v>
      </c>
      <c r="C77" s="166"/>
      <c r="D77" s="166"/>
      <c r="E77" s="165"/>
      <c r="F77" s="164"/>
      <c r="G77" s="164"/>
      <c r="H77" s="164"/>
      <c r="I77" s="164"/>
      <c r="J77" s="166">
        <v>5</v>
      </c>
    </row>
    <row r="78" spans="1:10">
      <c r="A78">
        <v>76</v>
      </c>
      <c r="B78">
        <v>3</v>
      </c>
      <c r="C78" s="166"/>
      <c r="D78" s="164"/>
      <c r="E78" s="165"/>
      <c r="F78" s="166"/>
      <c r="G78" s="166"/>
      <c r="H78" s="164"/>
      <c r="I78" s="164"/>
      <c r="J78" s="164"/>
    </row>
    <row r="79" spans="1:10">
      <c r="A79">
        <v>77</v>
      </c>
      <c r="B79">
        <v>3</v>
      </c>
      <c r="C79" s="166"/>
      <c r="D79" s="164"/>
      <c r="E79" s="165"/>
      <c r="F79" s="166"/>
      <c r="G79" s="164"/>
      <c r="H79" s="166"/>
      <c r="I79" s="164"/>
      <c r="J79" s="164"/>
    </row>
    <row r="80" spans="1:10">
      <c r="A80">
        <v>78</v>
      </c>
      <c r="B80">
        <v>3</v>
      </c>
      <c r="C80" s="166"/>
      <c r="D80" s="164"/>
      <c r="E80" s="165"/>
      <c r="F80" s="166"/>
      <c r="G80" s="164"/>
      <c r="H80" s="164"/>
      <c r="I80" s="166"/>
      <c r="J80" s="164"/>
    </row>
    <row r="81" spans="1:10">
      <c r="A81">
        <v>79</v>
      </c>
      <c r="B81">
        <v>3</v>
      </c>
      <c r="C81" s="166"/>
      <c r="D81" s="164"/>
      <c r="E81" s="165"/>
      <c r="F81" s="166"/>
      <c r="G81" s="164"/>
      <c r="H81" s="164"/>
      <c r="I81" s="164"/>
      <c r="J81" s="166"/>
    </row>
    <row r="82" spans="1:10">
      <c r="A82">
        <v>80</v>
      </c>
      <c r="B82">
        <v>3</v>
      </c>
      <c r="C82" s="166"/>
      <c r="D82" s="164"/>
      <c r="E82" s="165"/>
      <c r="F82" s="164"/>
      <c r="G82" s="166"/>
      <c r="H82" s="166"/>
      <c r="I82" s="164"/>
      <c r="J82" s="164"/>
    </row>
    <row r="83" spans="1:10">
      <c r="A83">
        <v>81</v>
      </c>
      <c r="B83">
        <v>3</v>
      </c>
      <c r="C83" s="166"/>
      <c r="D83" s="164"/>
      <c r="E83" s="165"/>
      <c r="F83" s="164"/>
      <c r="G83" s="166"/>
      <c r="H83" s="164"/>
      <c r="I83" s="166"/>
      <c r="J83" s="164"/>
    </row>
    <row r="84" spans="1:10">
      <c r="A84">
        <v>82</v>
      </c>
      <c r="B84">
        <v>3</v>
      </c>
      <c r="C84" s="166"/>
      <c r="D84" s="164"/>
      <c r="E84" s="165"/>
      <c r="F84" s="164"/>
      <c r="G84" s="166"/>
      <c r="H84" s="164"/>
      <c r="I84" s="164"/>
      <c r="J84" s="166"/>
    </row>
    <row r="85" spans="1:10">
      <c r="A85">
        <v>83</v>
      </c>
      <c r="B85">
        <v>3</v>
      </c>
      <c r="C85" s="166"/>
      <c r="D85" s="164"/>
      <c r="E85" s="165"/>
      <c r="F85" s="164"/>
      <c r="G85" s="164"/>
      <c r="H85" s="166"/>
      <c r="I85" s="166"/>
      <c r="J85" s="164"/>
    </row>
    <row r="86" spans="1:10">
      <c r="A86">
        <v>84</v>
      </c>
      <c r="B86">
        <v>3</v>
      </c>
      <c r="C86" s="166"/>
      <c r="D86" s="164"/>
      <c r="E86" s="165"/>
      <c r="F86" s="164"/>
      <c r="G86" s="164"/>
      <c r="H86" s="166"/>
      <c r="I86" s="164"/>
      <c r="J86" s="166"/>
    </row>
    <row r="87" spans="1:10">
      <c r="A87">
        <v>85</v>
      </c>
      <c r="B87">
        <v>3</v>
      </c>
      <c r="C87" s="166"/>
      <c r="D87" s="164"/>
      <c r="E87" s="165"/>
      <c r="F87" s="164"/>
      <c r="G87" s="164"/>
      <c r="H87" s="164"/>
      <c r="I87" s="166"/>
      <c r="J87" s="166"/>
    </row>
    <row r="88" spans="1:10">
      <c r="A88">
        <v>86</v>
      </c>
      <c r="B88">
        <v>3</v>
      </c>
      <c r="D88" s="166">
        <v>2</v>
      </c>
      <c r="E88" s="165"/>
      <c r="F88" s="166">
        <v>1</v>
      </c>
      <c r="G88" s="166">
        <v>1</v>
      </c>
      <c r="H88" s="164"/>
      <c r="I88" s="164"/>
      <c r="J88" s="164"/>
    </row>
    <row r="89" spans="1:10">
      <c r="A89">
        <v>87</v>
      </c>
      <c r="B89">
        <v>3</v>
      </c>
      <c r="D89" s="166"/>
      <c r="E89" s="165"/>
      <c r="F89" s="166"/>
      <c r="G89" s="164"/>
      <c r="H89" s="166">
        <v>2</v>
      </c>
      <c r="I89" s="164"/>
      <c r="J89" s="164"/>
    </row>
    <row r="90" spans="1:10">
      <c r="A90">
        <v>88</v>
      </c>
      <c r="B90">
        <v>3</v>
      </c>
      <c r="D90" s="166"/>
      <c r="E90" s="165"/>
      <c r="F90" s="166"/>
      <c r="G90" s="164"/>
      <c r="H90" s="164"/>
      <c r="I90" s="166">
        <v>3</v>
      </c>
      <c r="J90" s="164"/>
    </row>
    <row r="91" spans="1:10">
      <c r="A91">
        <v>89</v>
      </c>
      <c r="B91">
        <v>3</v>
      </c>
      <c r="D91" s="166"/>
      <c r="E91" s="165"/>
      <c r="F91" s="166"/>
      <c r="G91" s="164"/>
      <c r="H91" s="164"/>
      <c r="I91" s="164"/>
      <c r="J91" s="166">
        <v>4</v>
      </c>
    </row>
    <row r="92" spans="1:10">
      <c r="A92">
        <v>90</v>
      </c>
      <c r="B92">
        <v>3</v>
      </c>
      <c r="D92" s="166"/>
      <c r="E92" s="165"/>
      <c r="F92" s="164"/>
      <c r="G92" s="166">
        <v>2</v>
      </c>
      <c r="H92" s="166">
        <v>1</v>
      </c>
      <c r="I92" s="164"/>
      <c r="J92" s="164"/>
    </row>
    <row r="93" spans="1:10">
      <c r="A93">
        <v>91</v>
      </c>
      <c r="B93">
        <v>3</v>
      </c>
      <c r="D93" s="166"/>
      <c r="E93" s="165"/>
      <c r="F93" s="164"/>
      <c r="G93" s="166"/>
      <c r="H93" s="164"/>
      <c r="I93" s="166">
        <v>2</v>
      </c>
      <c r="J93" s="164"/>
    </row>
    <row r="94" spans="1:10">
      <c r="A94">
        <v>92</v>
      </c>
      <c r="B94">
        <v>3</v>
      </c>
      <c r="D94" s="166"/>
      <c r="E94" s="165"/>
      <c r="F94" s="164"/>
      <c r="G94" s="166"/>
      <c r="H94" s="164"/>
      <c r="I94" s="164"/>
      <c r="J94" s="166">
        <v>3</v>
      </c>
    </row>
    <row r="95" spans="1:10">
      <c r="A95">
        <v>93</v>
      </c>
      <c r="B95">
        <v>3</v>
      </c>
      <c r="D95" s="166"/>
      <c r="E95" s="165"/>
      <c r="F95" s="164"/>
      <c r="G95" s="164"/>
      <c r="H95" s="166">
        <v>3</v>
      </c>
      <c r="I95" s="166">
        <v>1</v>
      </c>
      <c r="J95" s="164"/>
    </row>
    <row r="96" spans="1:10">
      <c r="A96">
        <v>94</v>
      </c>
      <c r="B96">
        <v>3</v>
      </c>
      <c r="D96" s="166"/>
      <c r="E96" s="165"/>
      <c r="F96" s="164"/>
      <c r="G96" s="164"/>
      <c r="H96" s="166"/>
      <c r="I96" s="164"/>
      <c r="J96" s="166">
        <v>2</v>
      </c>
    </row>
    <row r="97" spans="1:10">
      <c r="A97">
        <v>95</v>
      </c>
      <c r="B97">
        <v>3</v>
      </c>
      <c r="D97" s="166"/>
      <c r="E97" s="165"/>
      <c r="I97" s="166">
        <v>4</v>
      </c>
      <c r="J97" s="166"/>
    </row>
    <row r="98" spans="1:10">
      <c r="A98">
        <v>96</v>
      </c>
      <c r="B98">
        <v>3</v>
      </c>
      <c r="E98" s="165"/>
      <c r="F98" s="166">
        <v>3</v>
      </c>
      <c r="G98" s="166">
        <v>1</v>
      </c>
      <c r="H98" s="166">
        <v>1</v>
      </c>
    </row>
    <row r="99" spans="1:10">
      <c r="A99">
        <v>97</v>
      </c>
      <c r="B99">
        <v>3</v>
      </c>
      <c r="E99" s="165"/>
      <c r="F99" s="166"/>
      <c r="G99" s="166"/>
      <c r="I99" s="166">
        <v>2</v>
      </c>
    </row>
    <row r="100" spans="1:10">
      <c r="A100">
        <v>98</v>
      </c>
      <c r="B100">
        <v>3</v>
      </c>
      <c r="E100" s="165"/>
      <c r="F100" s="166"/>
      <c r="G100" s="166"/>
      <c r="J100" s="166">
        <v>3</v>
      </c>
    </row>
    <row r="101" spans="1:10">
      <c r="A101">
        <v>99</v>
      </c>
      <c r="B101">
        <v>3</v>
      </c>
      <c r="E101" s="165"/>
      <c r="F101" s="166"/>
      <c r="H101" s="166">
        <v>2</v>
      </c>
      <c r="I101" s="166">
        <v>1</v>
      </c>
    </row>
    <row r="102" spans="1:10">
      <c r="A102">
        <v>100</v>
      </c>
      <c r="B102">
        <v>3</v>
      </c>
      <c r="E102" s="165"/>
      <c r="F102" s="166"/>
      <c r="H102" s="166"/>
      <c r="J102" s="166">
        <v>2</v>
      </c>
    </row>
    <row r="103" spans="1:10">
      <c r="A103">
        <v>101</v>
      </c>
      <c r="B103">
        <v>3</v>
      </c>
      <c r="E103" s="165"/>
      <c r="F103" s="166"/>
      <c r="I103" s="166">
        <v>3</v>
      </c>
      <c r="J103" s="166">
        <v>1</v>
      </c>
    </row>
    <row r="104" spans="1:10">
      <c r="A104">
        <v>102</v>
      </c>
      <c r="B104">
        <v>3</v>
      </c>
      <c r="E104" s="165"/>
      <c r="G104" s="166">
        <v>4</v>
      </c>
      <c r="H104" s="166">
        <v>1</v>
      </c>
      <c r="I104" s="166">
        <v>1</v>
      </c>
    </row>
    <row r="105" spans="1:10">
      <c r="A105">
        <v>103</v>
      </c>
      <c r="B105">
        <v>3</v>
      </c>
      <c r="E105" s="165"/>
      <c r="G105" s="166"/>
      <c r="H105" s="166"/>
      <c r="J105" s="166">
        <v>2</v>
      </c>
    </row>
    <row r="106" spans="1:10">
      <c r="A106">
        <v>104</v>
      </c>
      <c r="B106">
        <v>3</v>
      </c>
      <c r="E106" s="165"/>
      <c r="G106" s="166"/>
      <c r="I106" s="166">
        <v>2</v>
      </c>
      <c r="J106" s="166">
        <v>1</v>
      </c>
    </row>
    <row r="107" spans="1:10">
      <c r="A107">
        <v>105</v>
      </c>
      <c r="B107">
        <v>3</v>
      </c>
      <c r="E107" s="165"/>
      <c r="H107" s="166">
        <v>5</v>
      </c>
      <c r="I107" s="166">
        <v>1</v>
      </c>
      <c r="J107" s="166">
        <v>1</v>
      </c>
    </row>
    <row r="108" spans="1:10">
      <c r="A108">
        <v>106</v>
      </c>
      <c r="B108">
        <v>4</v>
      </c>
      <c r="C108" s="166">
        <v>1</v>
      </c>
      <c r="D108" s="166"/>
      <c r="E108" s="166"/>
      <c r="F108" s="165"/>
      <c r="G108" s="164"/>
      <c r="H108" s="164"/>
      <c r="I108" s="164"/>
      <c r="J108" s="164"/>
    </row>
    <row r="109" spans="1:10">
      <c r="A109">
        <v>107</v>
      </c>
      <c r="B109">
        <v>4</v>
      </c>
      <c r="C109" s="166"/>
      <c r="D109" s="166"/>
      <c r="E109" s="164"/>
      <c r="F109" s="165"/>
      <c r="G109" s="166"/>
      <c r="H109" s="164"/>
      <c r="I109" s="164"/>
      <c r="J109" s="164"/>
    </row>
    <row r="110" spans="1:10">
      <c r="A110">
        <v>108</v>
      </c>
      <c r="B110">
        <v>4</v>
      </c>
      <c r="C110" s="166"/>
      <c r="D110" s="166"/>
      <c r="E110" s="164"/>
      <c r="F110" s="165"/>
      <c r="G110" s="164"/>
      <c r="H110" s="166"/>
      <c r="I110" s="164"/>
      <c r="J110" s="164"/>
    </row>
    <row r="111" spans="1:10">
      <c r="A111">
        <v>109</v>
      </c>
      <c r="B111">
        <v>4</v>
      </c>
      <c r="C111" s="166"/>
      <c r="D111" s="166"/>
      <c r="E111" s="164"/>
      <c r="F111" s="165"/>
      <c r="G111" s="164"/>
      <c r="H111" s="164"/>
      <c r="I111" s="166"/>
      <c r="J111" s="164"/>
    </row>
    <row r="112" spans="1:10">
      <c r="A112">
        <v>110</v>
      </c>
      <c r="B112">
        <v>4</v>
      </c>
      <c r="C112" s="166"/>
      <c r="D112" s="166"/>
      <c r="E112" s="164"/>
      <c r="F112" s="165"/>
      <c r="G112" s="164"/>
      <c r="H112" s="164"/>
      <c r="I112" s="164"/>
      <c r="J112" s="166"/>
    </row>
    <row r="113" spans="1:10">
      <c r="A113">
        <v>111</v>
      </c>
      <c r="B113">
        <v>4</v>
      </c>
      <c r="C113" s="166"/>
      <c r="D113" s="164"/>
      <c r="E113" s="166"/>
      <c r="F113" s="165"/>
      <c r="G113" s="166"/>
      <c r="H113" s="164"/>
      <c r="I113" s="164"/>
      <c r="J113" s="164"/>
    </row>
    <row r="114" spans="1:10">
      <c r="A114">
        <v>112</v>
      </c>
      <c r="B114">
        <v>4</v>
      </c>
      <c r="C114" s="166"/>
      <c r="D114" s="164"/>
      <c r="E114" s="166"/>
      <c r="F114" s="165"/>
      <c r="G114" s="164"/>
      <c r="H114" s="166"/>
      <c r="I114" s="164"/>
      <c r="J114" s="164"/>
    </row>
    <row r="115" spans="1:10">
      <c r="A115">
        <v>113</v>
      </c>
      <c r="B115">
        <v>4</v>
      </c>
      <c r="C115" s="166"/>
      <c r="D115" s="164"/>
      <c r="E115" s="166"/>
      <c r="F115" s="165"/>
      <c r="G115" s="164"/>
      <c r="H115" s="164"/>
      <c r="I115" s="166"/>
      <c r="J115" s="164"/>
    </row>
    <row r="116" spans="1:10">
      <c r="A116">
        <v>114</v>
      </c>
      <c r="B116">
        <v>4</v>
      </c>
      <c r="C116" s="166"/>
      <c r="D116" s="164"/>
      <c r="E116" s="166"/>
      <c r="F116" s="165"/>
      <c r="G116" s="164"/>
      <c r="H116" s="164"/>
      <c r="I116" s="164"/>
      <c r="J116" s="166"/>
    </row>
    <row r="117" spans="1:10">
      <c r="A117">
        <v>115</v>
      </c>
      <c r="B117">
        <v>4</v>
      </c>
      <c r="C117" s="166"/>
      <c r="D117" s="164"/>
      <c r="E117" s="164"/>
      <c r="F117" s="165"/>
      <c r="G117" s="166"/>
      <c r="H117" s="166"/>
      <c r="I117" s="164"/>
      <c r="J117" s="164"/>
    </row>
    <row r="118" spans="1:10">
      <c r="A118">
        <v>116</v>
      </c>
      <c r="B118">
        <v>4</v>
      </c>
      <c r="C118" s="166"/>
      <c r="D118" s="164"/>
      <c r="E118" s="164"/>
      <c r="F118" s="165"/>
      <c r="G118" s="166"/>
      <c r="H118" s="164"/>
      <c r="I118" s="166"/>
      <c r="J118" s="164"/>
    </row>
    <row r="119" spans="1:10">
      <c r="A119">
        <v>117</v>
      </c>
      <c r="B119">
        <v>4</v>
      </c>
      <c r="C119" s="166"/>
      <c r="D119" s="164"/>
      <c r="E119" s="164"/>
      <c r="F119" s="165"/>
      <c r="G119" s="166"/>
      <c r="H119" s="164"/>
      <c r="I119" s="164"/>
      <c r="J119" s="166"/>
    </row>
    <row r="120" spans="1:10">
      <c r="A120">
        <v>118</v>
      </c>
      <c r="B120">
        <v>4</v>
      </c>
      <c r="C120" s="166"/>
      <c r="D120" s="164"/>
      <c r="E120" s="164"/>
      <c r="F120" s="165"/>
      <c r="G120" s="164"/>
      <c r="H120" s="166"/>
      <c r="I120" s="166"/>
      <c r="J120" s="164"/>
    </row>
    <row r="121" spans="1:10">
      <c r="A121">
        <v>119</v>
      </c>
      <c r="B121">
        <v>4</v>
      </c>
      <c r="C121" s="166"/>
      <c r="D121" s="164"/>
      <c r="E121" s="164"/>
      <c r="F121" s="165"/>
      <c r="G121" s="164"/>
      <c r="H121" s="166"/>
      <c r="I121" s="164"/>
      <c r="J121" s="166"/>
    </row>
    <row r="122" spans="1:10">
      <c r="A122">
        <v>120</v>
      </c>
      <c r="B122">
        <v>4</v>
      </c>
      <c r="C122" s="166"/>
      <c r="D122" s="164"/>
      <c r="E122" s="164"/>
      <c r="F122" s="165"/>
      <c r="G122" s="164"/>
      <c r="H122" s="164"/>
      <c r="I122" s="166"/>
      <c r="J122" s="166"/>
    </row>
    <row r="123" spans="1:10">
      <c r="A123">
        <v>121</v>
      </c>
      <c r="B123">
        <v>5</v>
      </c>
      <c r="D123" s="166">
        <v>2</v>
      </c>
      <c r="E123" s="166"/>
      <c r="F123" s="165"/>
      <c r="G123" s="166"/>
      <c r="H123" s="164"/>
      <c r="I123" s="164"/>
      <c r="J123" s="164"/>
    </row>
    <row r="124" spans="1:10">
      <c r="A124">
        <v>122</v>
      </c>
      <c r="B124">
        <v>5</v>
      </c>
      <c r="D124" s="166"/>
      <c r="E124" s="166"/>
      <c r="F124" s="165"/>
      <c r="G124" s="164"/>
      <c r="H124" s="166"/>
      <c r="I124" s="164"/>
      <c r="J124" s="164"/>
    </row>
    <row r="125" spans="1:10">
      <c r="A125">
        <v>123</v>
      </c>
      <c r="B125">
        <v>5</v>
      </c>
      <c r="D125" s="166"/>
      <c r="E125" s="166"/>
      <c r="F125" s="165"/>
      <c r="G125" s="164"/>
      <c r="H125" s="164"/>
      <c r="I125" s="166"/>
      <c r="J125" s="164"/>
    </row>
    <row r="126" spans="1:10">
      <c r="A126">
        <v>124</v>
      </c>
      <c r="B126">
        <v>5</v>
      </c>
      <c r="D126" s="166"/>
      <c r="E126" s="166"/>
      <c r="F126" s="165"/>
      <c r="G126" s="164"/>
      <c r="H126" s="164"/>
      <c r="I126" s="164"/>
      <c r="J126" s="166"/>
    </row>
    <row r="127" spans="1:10">
      <c r="A127">
        <v>125</v>
      </c>
      <c r="B127">
        <v>5</v>
      </c>
      <c r="D127" s="166"/>
      <c r="E127" s="164"/>
      <c r="F127" s="165"/>
      <c r="G127" s="166"/>
      <c r="H127" s="166"/>
      <c r="I127" s="164"/>
      <c r="J127" s="164"/>
    </row>
    <row r="128" spans="1:10">
      <c r="A128">
        <v>126</v>
      </c>
      <c r="B128">
        <v>5</v>
      </c>
      <c r="D128" s="166"/>
      <c r="E128" s="164"/>
      <c r="F128" s="165"/>
      <c r="G128" s="166"/>
      <c r="H128" s="164"/>
      <c r="I128" s="166"/>
      <c r="J128" s="164"/>
    </row>
    <row r="129" spans="1:10">
      <c r="A129">
        <v>127</v>
      </c>
      <c r="B129">
        <v>5</v>
      </c>
      <c r="D129" s="166"/>
      <c r="E129" s="164"/>
      <c r="F129" s="165"/>
      <c r="G129" s="166"/>
      <c r="H129" s="164"/>
      <c r="I129" s="164"/>
      <c r="J129" s="166"/>
    </row>
    <row r="130" spans="1:10">
      <c r="A130">
        <v>128</v>
      </c>
      <c r="B130">
        <v>5</v>
      </c>
      <c r="D130" s="166"/>
      <c r="E130" s="164"/>
      <c r="F130" s="165"/>
      <c r="G130" s="164"/>
      <c r="H130" s="166"/>
      <c r="I130" s="166"/>
      <c r="J130" s="164"/>
    </row>
    <row r="131" spans="1:10">
      <c r="A131">
        <v>129</v>
      </c>
      <c r="B131">
        <v>5</v>
      </c>
      <c r="D131" s="166"/>
      <c r="E131" s="164"/>
      <c r="F131" s="165"/>
      <c r="G131" s="164"/>
      <c r="H131" s="166"/>
      <c r="I131" s="164"/>
      <c r="J131" s="166"/>
    </row>
    <row r="132" spans="1:10">
      <c r="A132">
        <v>130</v>
      </c>
      <c r="B132">
        <v>5</v>
      </c>
      <c r="D132" s="166"/>
      <c r="F132" s="165"/>
      <c r="I132" s="166"/>
      <c r="J132" s="166"/>
    </row>
    <row r="133" spans="1:10">
      <c r="A133">
        <v>131</v>
      </c>
      <c r="B133">
        <v>5</v>
      </c>
      <c r="E133" s="166">
        <v>3</v>
      </c>
      <c r="F133" s="165"/>
      <c r="G133" s="166"/>
      <c r="H133" s="166"/>
    </row>
    <row r="134" spans="1:10">
      <c r="A134">
        <v>132</v>
      </c>
      <c r="B134">
        <v>5</v>
      </c>
      <c r="E134" s="166"/>
      <c r="F134" s="165"/>
      <c r="G134" s="166"/>
      <c r="I134" s="166"/>
    </row>
    <row r="135" spans="1:10">
      <c r="A135">
        <v>133</v>
      </c>
      <c r="B135">
        <v>5</v>
      </c>
      <c r="E135" s="166"/>
      <c r="F135" s="165"/>
      <c r="G135" s="166"/>
      <c r="J135" s="166"/>
    </row>
    <row r="136" spans="1:10">
      <c r="A136">
        <v>134</v>
      </c>
      <c r="B136">
        <v>5</v>
      </c>
      <c r="E136" s="166"/>
      <c r="F136" s="165"/>
      <c r="H136" s="166"/>
      <c r="I136" s="166"/>
    </row>
    <row r="137" spans="1:10">
      <c r="A137">
        <v>135</v>
      </c>
      <c r="B137">
        <v>5</v>
      </c>
      <c r="E137" s="166"/>
      <c r="F137" s="165"/>
      <c r="H137" s="166"/>
      <c r="J137" s="166"/>
    </row>
    <row r="138" spans="1:10">
      <c r="A138">
        <v>136</v>
      </c>
      <c r="B138">
        <v>5</v>
      </c>
      <c r="E138" s="166"/>
      <c r="F138" s="165"/>
      <c r="I138" s="166"/>
      <c r="J138" s="166"/>
    </row>
    <row r="139" spans="1:10">
      <c r="A139">
        <v>137</v>
      </c>
      <c r="B139">
        <v>5</v>
      </c>
      <c r="F139" s="165"/>
      <c r="G139" s="166">
        <v>4</v>
      </c>
      <c r="H139" s="166"/>
      <c r="I139" s="166"/>
    </row>
    <row r="140" spans="1:10">
      <c r="A140">
        <v>138</v>
      </c>
      <c r="B140">
        <v>5</v>
      </c>
      <c r="F140" s="165"/>
      <c r="G140" s="166"/>
      <c r="H140" s="166"/>
      <c r="J140" s="166"/>
    </row>
    <row r="141" spans="1:10">
      <c r="A141">
        <v>139</v>
      </c>
      <c r="B141">
        <v>5</v>
      </c>
      <c r="F141" s="165"/>
      <c r="G141" s="166"/>
      <c r="I141" s="166"/>
      <c r="J141" s="166"/>
    </row>
    <row r="142" spans="1:10">
      <c r="A142">
        <v>140</v>
      </c>
      <c r="B142">
        <v>5</v>
      </c>
      <c r="F142" s="165"/>
      <c r="H142" s="166">
        <v>5</v>
      </c>
      <c r="I142" s="166">
        <v>1</v>
      </c>
      <c r="J142" s="166">
        <v>1</v>
      </c>
    </row>
    <row r="143" spans="1:10">
      <c r="A143">
        <v>141</v>
      </c>
      <c r="B143">
        <v>6</v>
      </c>
      <c r="C143" s="166"/>
      <c r="D143" s="166"/>
      <c r="E143" s="166"/>
      <c r="F143" s="164"/>
      <c r="G143" s="165"/>
      <c r="H143" s="164"/>
      <c r="I143" s="164"/>
      <c r="J143" s="164"/>
    </row>
    <row r="144" spans="1:10">
      <c r="A144">
        <v>142</v>
      </c>
      <c r="B144">
        <v>6</v>
      </c>
      <c r="C144" s="166"/>
      <c r="D144" s="166"/>
      <c r="E144" s="164"/>
      <c r="F144" s="166"/>
      <c r="G144" s="165"/>
      <c r="H144" s="164"/>
      <c r="I144" s="164"/>
      <c r="J144" s="164"/>
    </row>
    <row r="145" spans="1:10">
      <c r="A145">
        <v>143</v>
      </c>
      <c r="B145">
        <v>6</v>
      </c>
      <c r="C145" s="166"/>
      <c r="D145" s="166"/>
      <c r="E145" s="164"/>
      <c r="F145" s="164"/>
      <c r="G145" s="165"/>
      <c r="H145" s="166"/>
      <c r="I145" s="164"/>
      <c r="J145" s="164"/>
    </row>
    <row r="146" spans="1:10">
      <c r="A146">
        <v>144</v>
      </c>
      <c r="B146">
        <v>6</v>
      </c>
      <c r="C146" s="166"/>
      <c r="D146" s="166"/>
      <c r="E146" s="164"/>
      <c r="F146" s="164"/>
      <c r="G146" s="165"/>
      <c r="H146" s="164"/>
      <c r="I146" s="166"/>
      <c r="J146" s="164"/>
    </row>
    <row r="147" spans="1:10">
      <c r="A147">
        <v>145</v>
      </c>
      <c r="B147">
        <v>6</v>
      </c>
      <c r="C147" s="166"/>
      <c r="D147" s="166"/>
      <c r="E147" s="164"/>
      <c r="F147" s="164"/>
      <c r="G147" s="165"/>
      <c r="H147" s="164"/>
      <c r="I147" s="164"/>
      <c r="J147" s="166"/>
    </row>
    <row r="148" spans="1:10">
      <c r="A148">
        <v>146</v>
      </c>
      <c r="B148">
        <v>6</v>
      </c>
      <c r="C148" s="166"/>
      <c r="D148" s="164"/>
      <c r="E148" s="166"/>
      <c r="F148" s="166"/>
      <c r="G148" s="165"/>
      <c r="H148" s="164"/>
      <c r="I148" s="164"/>
      <c r="J148" s="164"/>
    </row>
    <row r="149" spans="1:10">
      <c r="A149">
        <v>147</v>
      </c>
      <c r="B149">
        <v>6</v>
      </c>
      <c r="C149" s="166"/>
      <c r="D149" s="164"/>
      <c r="E149" s="166"/>
      <c r="F149" s="164"/>
      <c r="G149" s="165"/>
      <c r="H149" s="166"/>
      <c r="I149" s="164"/>
      <c r="J149" s="164"/>
    </row>
    <row r="150" spans="1:10">
      <c r="A150">
        <v>148</v>
      </c>
      <c r="B150">
        <v>6</v>
      </c>
      <c r="C150" s="166"/>
      <c r="D150" s="164"/>
      <c r="E150" s="166"/>
      <c r="F150" s="164"/>
      <c r="G150" s="165"/>
      <c r="H150" s="164"/>
      <c r="I150" s="166"/>
      <c r="J150" s="164"/>
    </row>
    <row r="151" spans="1:10">
      <c r="A151">
        <v>149</v>
      </c>
      <c r="B151">
        <v>6</v>
      </c>
      <c r="C151" s="166"/>
      <c r="D151" s="164"/>
      <c r="E151" s="166"/>
      <c r="F151" s="164"/>
      <c r="G151" s="165"/>
      <c r="H151" s="164"/>
      <c r="I151" s="164"/>
      <c r="J151" s="166"/>
    </row>
    <row r="152" spans="1:10">
      <c r="A152">
        <v>150</v>
      </c>
      <c r="B152">
        <v>6</v>
      </c>
      <c r="C152" s="166"/>
      <c r="D152" s="164"/>
      <c r="E152" s="164"/>
      <c r="F152" s="166"/>
      <c r="G152" s="165"/>
      <c r="H152" s="166"/>
      <c r="I152" s="164"/>
      <c r="J152" s="164"/>
    </row>
    <row r="153" spans="1:10">
      <c r="A153">
        <v>151</v>
      </c>
      <c r="B153">
        <v>6</v>
      </c>
      <c r="C153" s="166"/>
      <c r="D153" s="164"/>
      <c r="E153" s="164"/>
      <c r="F153" s="166"/>
      <c r="G153" s="165"/>
      <c r="H153" s="164"/>
      <c r="I153" s="166"/>
      <c r="J153" s="164"/>
    </row>
    <row r="154" spans="1:10">
      <c r="A154">
        <v>152</v>
      </c>
      <c r="B154">
        <v>6</v>
      </c>
      <c r="C154" s="166"/>
      <c r="D154" s="164"/>
      <c r="E154" s="164"/>
      <c r="F154" s="166"/>
      <c r="G154" s="165"/>
      <c r="H154" s="164"/>
      <c r="I154" s="164"/>
      <c r="J154" s="166"/>
    </row>
    <row r="155" spans="1:10">
      <c r="A155">
        <v>153</v>
      </c>
      <c r="B155">
        <v>6</v>
      </c>
      <c r="C155" s="166"/>
      <c r="D155" s="164"/>
      <c r="E155" s="164"/>
      <c r="F155" s="164"/>
      <c r="G155" s="165"/>
      <c r="H155" s="166"/>
      <c r="I155" s="166"/>
      <c r="J155" s="164"/>
    </row>
    <row r="156" spans="1:10">
      <c r="A156">
        <v>154</v>
      </c>
      <c r="B156">
        <v>6</v>
      </c>
      <c r="C156" s="166"/>
      <c r="D156" s="164"/>
      <c r="E156" s="164"/>
      <c r="F156" s="164"/>
      <c r="G156" s="165"/>
      <c r="H156" s="166"/>
      <c r="I156" s="164"/>
      <c r="J156" s="166"/>
    </row>
    <row r="157" spans="1:10">
      <c r="A157">
        <v>155</v>
      </c>
      <c r="B157">
        <v>6</v>
      </c>
      <c r="C157" s="166"/>
      <c r="D157" s="164"/>
      <c r="E157" s="164"/>
      <c r="F157" s="164"/>
      <c r="G157" s="165"/>
      <c r="H157" s="164"/>
      <c r="I157" s="166"/>
      <c r="J157" s="166"/>
    </row>
    <row r="158" spans="1:10">
      <c r="A158">
        <v>156</v>
      </c>
      <c r="B158">
        <v>6</v>
      </c>
      <c r="D158" s="166"/>
      <c r="E158" s="166"/>
      <c r="F158" s="166"/>
      <c r="G158" s="165"/>
      <c r="H158" s="164"/>
      <c r="I158" s="164"/>
      <c r="J158" s="164"/>
    </row>
    <row r="159" spans="1:10">
      <c r="A159">
        <v>157</v>
      </c>
      <c r="B159">
        <v>6</v>
      </c>
      <c r="D159" s="166"/>
      <c r="E159" s="166"/>
      <c r="F159" s="164"/>
      <c r="G159" s="165"/>
      <c r="H159" s="166"/>
      <c r="I159" s="164"/>
      <c r="J159" s="164"/>
    </row>
    <row r="160" spans="1:10">
      <c r="A160">
        <v>158</v>
      </c>
      <c r="B160">
        <v>6</v>
      </c>
      <c r="D160" s="166"/>
      <c r="E160" s="166"/>
      <c r="F160" s="164"/>
      <c r="G160" s="165"/>
      <c r="H160" s="164"/>
      <c r="I160" s="166"/>
      <c r="J160" s="164"/>
    </row>
    <row r="161" spans="1:10">
      <c r="A161">
        <v>159</v>
      </c>
      <c r="B161">
        <v>6</v>
      </c>
      <c r="D161" s="166"/>
      <c r="E161" s="166"/>
      <c r="F161" s="164"/>
      <c r="G161" s="165"/>
      <c r="H161" s="164"/>
      <c r="I161" s="164"/>
      <c r="J161" s="166"/>
    </row>
    <row r="162" spans="1:10">
      <c r="A162">
        <v>160</v>
      </c>
      <c r="B162">
        <v>6</v>
      </c>
      <c r="D162" s="166"/>
      <c r="E162" s="164"/>
      <c r="F162" s="166"/>
      <c r="G162" s="165"/>
      <c r="H162" s="166"/>
      <c r="I162" s="164"/>
      <c r="J162" s="164"/>
    </row>
    <row r="163" spans="1:10">
      <c r="A163">
        <v>161</v>
      </c>
      <c r="B163">
        <v>6</v>
      </c>
      <c r="D163" s="166"/>
      <c r="E163" s="164"/>
      <c r="F163" s="166"/>
      <c r="G163" s="165"/>
      <c r="H163" s="164"/>
      <c r="I163" s="166"/>
      <c r="J163" s="164"/>
    </row>
    <row r="164" spans="1:10">
      <c r="A164">
        <v>162</v>
      </c>
      <c r="B164">
        <v>6</v>
      </c>
      <c r="D164" s="166"/>
      <c r="E164" s="164"/>
      <c r="F164" s="166"/>
      <c r="G164" s="165"/>
      <c r="H164" s="164"/>
      <c r="I164" s="164"/>
      <c r="J164" s="166"/>
    </row>
    <row r="165" spans="1:10">
      <c r="A165">
        <v>163</v>
      </c>
      <c r="B165">
        <v>6</v>
      </c>
      <c r="D165" s="166"/>
      <c r="E165" s="164"/>
      <c r="F165" s="164"/>
      <c r="G165" s="165"/>
      <c r="H165" s="166"/>
      <c r="I165" s="166"/>
      <c r="J165" s="164"/>
    </row>
    <row r="166" spans="1:10">
      <c r="A166">
        <v>164</v>
      </c>
      <c r="B166">
        <v>6</v>
      </c>
      <c r="D166" s="166"/>
      <c r="E166" s="164"/>
      <c r="F166" s="164"/>
      <c r="G166" s="165"/>
      <c r="H166" s="166"/>
      <c r="I166" s="164"/>
      <c r="J166" s="166"/>
    </row>
    <row r="167" spans="1:10">
      <c r="A167">
        <v>165</v>
      </c>
      <c r="B167">
        <v>6</v>
      </c>
      <c r="D167" s="166"/>
      <c r="G167" s="165"/>
      <c r="I167" s="166"/>
      <c r="J167" s="166"/>
    </row>
    <row r="168" spans="1:10">
      <c r="A168">
        <v>166</v>
      </c>
      <c r="B168">
        <v>6</v>
      </c>
      <c r="E168" s="166"/>
      <c r="F168" s="166"/>
      <c r="G168" s="165"/>
      <c r="H168" s="166"/>
    </row>
    <row r="169" spans="1:10">
      <c r="A169">
        <v>167</v>
      </c>
      <c r="B169">
        <v>6</v>
      </c>
      <c r="E169" s="166"/>
      <c r="F169" s="166"/>
      <c r="G169" s="165"/>
      <c r="I169" s="166"/>
    </row>
    <row r="170" spans="1:10">
      <c r="A170">
        <v>168</v>
      </c>
      <c r="B170">
        <v>6</v>
      </c>
      <c r="E170" s="166"/>
      <c r="F170" s="166"/>
      <c r="G170" s="165"/>
      <c r="J170" s="166"/>
    </row>
    <row r="171" spans="1:10">
      <c r="A171">
        <v>169</v>
      </c>
      <c r="B171">
        <v>6</v>
      </c>
      <c r="E171" s="166"/>
      <c r="G171" s="165"/>
      <c r="H171" s="166"/>
      <c r="I171" s="166"/>
    </row>
    <row r="172" spans="1:10">
      <c r="A172">
        <v>170</v>
      </c>
      <c r="B172">
        <v>6</v>
      </c>
      <c r="E172" s="166"/>
      <c r="G172" s="165"/>
      <c r="H172" s="166"/>
      <c r="J172" s="166"/>
    </row>
    <row r="173" spans="1:10">
      <c r="A173">
        <v>171</v>
      </c>
      <c r="B173">
        <v>6</v>
      </c>
      <c r="E173" s="166"/>
      <c r="G173" s="165"/>
      <c r="I173" s="166"/>
      <c r="J173" s="166"/>
    </row>
    <row r="174" spans="1:10">
      <c r="A174">
        <v>172</v>
      </c>
      <c r="B174">
        <v>6</v>
      </c>
      <c r="F174" s="166"/>
      <c r="G174" s="165"/>
      <c r="H174" s="166"/>
      <c r="I174" s="166"/>
    </row>
    <row r="175" spans="1:10">
      <c r="A175">
        <v>173</v>
      </c>
      <c r="B175">
        <v>6</v>
      </c>
      <c r="F175" s="166"/>
      <c r="G175" s="165"/>
      <c r="H175" s="166"/>
      <c r="J175" s="166"/>
    </row>
    <row r="176" spans="1:10">
      <c r="A176">
        <v>174</v>
      </c>
      <c r="B176">
        <v>6</v>
      </c>
      <c r="F176" s="166"/>
      <c r="G176" s="165"/>
      <c r="I176" s="166"/>
      <c r="J176" s="166"/>
    </row>
    <row r="177" spans="1:10">
      <c r="A177">
        <v>175</v>
      </c>
      <c r="B177">
        <v>6</v>
      </c>
      <c r="G177" s="165"/>
      <c r="H177" s="166"/>
      <c r="I177" s="166"/>
      <c r="J177" s="166"/>
    </row>
    <row r="178" spans="1:10">
      <c r="A178">
        <v>176</v>
      </c>
      <c r="B178">
        <v>7</v>
      </c>
      <c r="C178" s="166"/>
      <c r="D178" s="166"/>
      <c r="E178" s="166"/>
      <c r="F178" s="164"/>
      <c r="H178" s="165"/>
      <c r="I178" s="164"/>
      <c r="J178" s="164"/>
    </row>
    <row r="179" spans="1:10">
      <c r="A179">
        <v>177</v>
      </c>
      <c r="B179">
        <v>7</v>
      </c>
      <c r="C179" s="166"/>
      <c r="D179" s="166"/>
      <c r="E179" s="164"/>
      <c r="F179" s="166"/>
      <c r="H179" s="165"/>
      <c r="I179" s="164"/>
      <c r="J179" s="164"/>
    </row>
    <row r="180" spans="1:10">
      <c r="A180">
        <v>178</v>
      </c>
      <c r="B180">
        <v>7</v>
      </c>
      <c r="C180" s="166"/>
      <c r="D180" s="166"/>
      <c r="E180" s="164"/>
      <c r="F180" s="164"/>
      <c r="G180" s="166"/>
      <c r="H180" s="165"/>
      <c r="I180" s="164"/>
      <c r="J180" s="164"/>
    </row>
    <row r="181" spans="1:10">
      <c r="A181">
        <v>179</v>
      </c>
      <c r="B181">
        <v>7</v>
      </c>
      <c r="C181" s="166"/>
      <c r="D181" s="166"/>
      <c r="E181" s="164"/>
      <c r="F181" s="164"/>
      <c r="G181" s="164"/>
      <c r="H181" s="165"/>
      <c r="I181" s="166"/>
      <c r="J181" s="164"/>
    </row>
    <row r="182" spans="1:10">
      <c r="A182">
        <v>180</v>
      </c>
      <c r="B182">
        <v>7</v>
      </c>
      <c r="C182" s="166"/>
      <c r="D182" s="166"/>
      <c r="E182" s="164"/>
      <c r="F182" s="164"/>
      <c r="G182" s="164"/>
      <c r="H182" s="165"/>
      <c r="I182" s="164"/>
      <c r="J182" s="166"/>
    </row>
    <row r="183" spans="1:10">
      <c r="A183">
        <v>181</v>
      </c>
      <c r="B183">
        <v>7</v>
      </c>
      <c r="C183" s="166"/>
      <c r="D183" s="164"/>
      <c r="E183" s="166"/>
      <c r="F183" s="166"/>
      <c r="G183" s="164"/>
      <c r="H183" s="165"/>
      <c r="I183" s="164"/>
      <c r="J183" s="164"/>
    </row>
    <row r="184" spans="1:10">
      <c r="A184">
        <v>182</v>
      </c>
      <c r="B184">
        <v>7</v>
      </c>
      <c r="C184" s="166"/>
      <c r="D184" s="164"/>
      <c r="E184" s="166"/>
      <c r="F184" s="164"/>
      <c r="G184" s="166"/>
      <c r="H184" s="165"/>
      <c r="I184" s="164"/>
      <c r="J184" s="164"/>
    </row>
    <row r="185" spans="1:10">
      <c r="A185">
        <v>183</v>
      </c>
      <c r="B185">
        <v>7</v>
      </c>
      <c r="C185" s="166"/>
      <c r="D185" s="164"/>
      <c r="E185" s="166"/>
      <c r="F185" s="164"/>
      <c r="G185" s="164"/>
      <c r="H185" s="165"/>
      <c r="I185" s="166"/>
      <c r="J185" s="164"/>
    </row>
    <row r="186" spans="1:10">
      <c r="A186">
        <v>184</v>
      </c>
      <c r="B186">
        <v>7</v>
      </c>
      <c r="C186" s="166"/>
      <c r="D186" s="164"/>
      <c r="E186" s="166"/>
      <c r="F186" s="164"/>
      <c r="G186" s="164"/>
      <c r="H186" s="165"/>
      <c r="I186" s="164"/>
      <c r="J186" s="166"/>
    </row>
    <row r="187" spans="1:10">
      <c r="A187">
        <v>185</v>
      </c>
      <c r="B187">
        <v>7</v>
      </c>
      <c r="C187" s="166"/>
      <c r="D187" s="164"/>
      <c r="E187" s="164"/>
      <c r="F187" s="166"/>
      <c r="G187" s="166"/>
      <c r="H187" s="165"/>
      <c r="I187" s="164"/>
      <c r="J187" s="164"/>
    </row>
    <row r="188" spans="1:10">
      <c r="A188">
        <v>186</v>
      </c>
      <c r="B188">
        <v>7</v>
      </c>
      <c r="C188" s="166"/>
      <c r="D188" s="164"/>
      <c r="E188" s="164"/>
      <c r="F188" s="166"/>
      <c r="G188" s="164"/>
      <c r="H188" s="165"/>
      <c r="I188" s="166"/>
      <c r="J188" s="164"/>
    </row>
    <row r="189" spans="1:10">
      <c r="A189">
        <v>187</v>
      </c>
      <c r="B189">
        <v>7</v>
      </c>
      <c r="C189" s="166"/>
      <c r="D189" s="164"/>
      <c r="E189" s="164"/>
      <c r="F189" s="166"/>
      <c r="G189" s="164"/>
      <c r="H189" s="165"/>
      <c r="I189" s="164"/>
      <c r="J189" s="166"/>
    </row>
    <row r="190" spans="1:10">
      <c r="A190">
        <v>188</v>
      </c>
      <c r="B190">
        <v>7</v>
      </c>
      <c r="C190" s="166"/>
      <c r="D190" s="164"/>
      <c r="E190" s="164"/>
      <c r="F190" s="164"/>
      <c r="G190" s="166"/>
      <c r="H190" s="165"/>
      <c r="I190" s="166"/>
      <c r="J190" s="164"/>
    </row>
    <row r="191" spans="1:10">
      <c r="A191">
        <v>189</v>
      </c>
      <c r="B191">
        <v>7</v>
      </c>
      <c r="C191" s="166"/>
      <c r="D191" s="164"/>
      <c r="E191" s="164"/>
      <c r="F191" s="164"/>
      <c r="G191" s="166"/>
      <c r="H191" s="165"/>
      <c r="I191" s="164"/>
      <c r="J191" s="166"/>
    </row>
    <row r="192" spans="1:10">
      <c r="A192">
        <v>190</v>
      </c>
      <c r="B192">
        <v>7</v>
      </c>
      <c r="C192" s="166"/>
      <c r="D192" s="164"/>
      <c r="E192" s="164"/>
      <c r="F192" s="164"/>
      <c r="G192" s="164"/>
      <c r="H192" s="165"/>
      <c r="I192" s="166"/>
      <c r="J192" s="166"/>
    </row>
    <row r="193" spans="1:10">
      <c r="A193">
        <v>191</v>
      </c>
      <c r="B193">
        <v>7</v>
      </c>
      <c r="D193" s="166"/>
      <c r="E193" s="166"/>
      <c r="F193" s="166"/>
      <c r="G193" s="164"/>
      <c r="H193" s="165"/>
      <c r="I193" s="164"/>
      <c r="J193" s="164"/>
    </row>
    <row r="194" spans="1:10">
      <c r="A194">
        <v>192</v>
      </c>
      <c r="B194">
        <v>7</v>
      </c>
      <c r="D194" s="166"/>
      <c r="E194" s="166"/>
      <c r="F194" s="164"/>
      <c r="G194" s="166"/>
      <c r="H194" s="165"/>
      <c r="I194" s="164"/>
      <c r="J194" s="164"/>
    </row>
    <row r="195" spans="1:10">
      <c r="A195">
        <v>193</v>
      </c>
      <c r="B195">
        <v>7</v>
      </c>
      <c r="D195" s="166"/>
      <c r="E195" s="166"/>
      <c r="F195" s="164"/>
      <c r="G195" s="164"/>
      <c r="H195" s="165"/>
      <c r="I195" s="166"/>
      <c r="J195" s="164"/>
    </row>
    <row r="196" spans="1:10">
      <c r="A196">
        <v>194</v>
      </c>
      <c r="B196">
        <v>7</v>
      </c>
      <c r="D196" s="166"/>
      <c r="E196" s="166"/>
      <c r="F196" s="164"/>
      <c r="G196" s="164"/>
      <c r="H196" s="165"/>
      <c r="I196" s="164"/>
      <c r="J196" s="166"/>
    </row>
    <row r="197" spans="1:10">
      <c r="A197">
        <v>195</v>
      </c>
      <c r="B197">
        <v>7</v>
      </c>
      <c r="D197" s="166"/>
      <c r="E197" s="164"/>
      <c r="F197" s="166"/>
      <c r="G197" s="166"/>
      <c r="H197" s="165"/>
      <c r="I197" s="164"/>
      <c r="J197" s="164"/>
    </row>
    <row r="198" spans="1:10">
      <c r="A198">
        <v>196</v>
      </c>
      <c r="B198">
        <v>7</v>
      </c>
      <c r="D198" s="166"/>
      <c r="E198" s="164"/>
      <c r="F198" s="166"/>
      <c r="G198" s="164"/>
      <c r="H198" s="165"/>
      <c r="I198" s="166"/>
      <c r="J198" s="164"/>
    </row>
    <row r="199" spans="1:10">
      <c r="A199">
        <v>197</v>
      </c>
      <c r="B199">
        <v>7</v>
      </c>
      <c r="D199" s="166"/>
      <c r="E199" s="164"/>
      <c r="F199" s="166"/>
      <c r="G199" s="164"/>
      <c r="H199" s="165"/>
      <c r="I199" s="164"/>
      <c r="J199" s="166"/>
    </row>
    <row r="200" spans="1:10">
      <c r="A200">
        <v>198</v>
      </c>
      <c r="B200">
        <v>7</v>
      </c>
      <c r="D200" s="166"/>
      <c r="E200" s="164"/>
      <c r="F200" s="164"/>
      <c r="G200" s="166"/>
      <c r="H200" s="165"/>
      <c r="I200" s="166"/>
      <c r="J200" s="164"/>
    </row>
    <row r="201" spans="1:10">
      <c r="A201">
        <v>199</v>
      </c>
      <c r="B201">
        <v>7</v>
      </c>
      <c r="D201" s="166"/>
      <c r="E201" s="164"/>
      <c r="F201" s="164"/>
      <c r="G201" s="166"/>
      <c r="H201" s="165"/>
      <c r="I201" s="164"/>
      <c r="J201" s="166"/>
    </row>
    <row r="202" spans="1:10">
      <c r="A202">
        <v>200</v>
      </c>
      <c r="B202">
        <v>7</v>
      </c>
      <c r="D202" s="166"/>
      <c r="H202" s="165"/>
      <c r="I202" s="166"/>
      <c r="J202" s="166"/>
    </row>
    <row r="203" spans="1:10">
      <c r="A203">
        <v>201</v>
      </c>
      <c r="B203">
        <v>7</v>
      </c>
      <c r="E203" s="166"/>
      <c r="F203" s="166"/>
      <c r="G203" s="166"/>
      <c r="H203" s="165"/>
    </row>
    <row r="204" spans="1:10">
      <c r="A204">
        <v>202</v>
      </c>
      <c r="B204">
        <v>7</v>
      </c>
      <c r="E204" s="166"/>
      <c r="F204" s="166"/>
      <c r="H204" s="165"/>
      <c r="I204" s="166"/>
    </row>
    <row r="205" spans="1:10">
      <c r="A205">
        <v>203</v>
      </c>
      <c r="B205">
        <v>7</v>
      </c>
      <c r="E205" s="166"/>
      <c r="F205" s="166"/>
      <c r="H205" s="165"/>
      <c r="J205" s="166"/>
    </row>
    <row r="206" spans="1:10">
      <c r="A206">
        <v>204</v>
      </c>
      <c r="B206">
        <v>7</v>
      </c>
      <c r="E206" s="166"/>
      <c r="G206" s="166"/>
      <c r="H206" s="165"/>
      <c r="I206" s="166"/>
    </row>
    <row r="207" spans="1:10">
      <c r="A207">
        <v>205</v>
      </c>
      <c r="B207">
        <v>7</v>
      </c>
      <c r="E207" s="166"/>
      <c r="G207" s="166"/>
      <c r="H207" s="165"/>
      <c r="J207" s="166"/>
    </row>
    <row r="208" spans="1:10">
      <c r="A208">
        <v>206</v>
      </c>
      <c r="B208">
        <v>7</v>
      </c>
      <c r="E208" s="166"/>
      <c r="H208" s="165"/>
      <c r="I208" s="166"/>
      <c r="J208" s="166"/>
    </row>
    <row r="209" spans="1:10">
      <c r="A209">
        <v>207</v>
      </c>
      <c r="B209">
        <v>7</v>
      </c>
      <c r="F209" s="166"/>
      <c r="G209" s="166"/>
      <c r="H209" s="165"/>
      <c r="I209" s="166"/>
    </row>
    <row r="210" spans="1:10">
      <c r="A210">
        <v>208</v>
      </c>
      <c r="B210">
        <v>7</v>
      </c>
      <c r="F210" s="166"/>
      <c r="G210" s="166"/>
      <c r="H210" s="165"/>
      <c r="J210" s="166"/>
    </row>
    <row r="211" spans="1:10">
      <c r="A211">
        <v>209</v>
      </c>
      <c r="B211">
        <v>7</v>
      </c>
      <c r="F211" s="166"/>
      <c r="H211" s="165"/>
      <c r="I211" s="166"/>
      <c r="J211" s="166"/>
    </row>
    <row r="212" spans="1:10">
      <c r="A212">
        <v>210</v>
      </c>
      <c r="B212">
        <v>7</v>
      </c>
      <c r="G212" s="166"/>
      <c r="H212" s="165"/>
      <c r="I212" s="166"/>
      <c r="J212" s="166"/>
    </row>
    <row r="213" spans="1:10">
      <c r="A213">
        <v>211</v>
      </c>
      <c r="B213">
        <v>8</v>
      </c>
      <c r="C213" s="166"/>
      <c r="D213" s="166"/>
      <c r="E213" s="166"/>
      <c r="F213" s="164"/>
      <c r="I213" s="165"/>
      <c r="J213" s="164"/>
    </row>
    <row r="214" spans="1:10">
      <c r="A214">
        <v>212</v>
      </c>
      <c r="B214">
        <v>8</v>
      </c>
      <c r="C214" s="166"/>
      <c r="D214" s="166"/>
      <c r="E214" s="164"/>
      <c r="F214" s="166"/>
      <c r="I214" s="165"/>
      <c r="J214" s="164"/>
    </row>
    <row r="215" spans="1:10">
      <c r="A215">
        <v>213</v>
      </c>
      <c r="B215">
        <v>8</v>
      </c>
      <c r="C215" s="166"/>
      <c r="D215" s="166"/>
      <c r="E215" s="164"/>
      <c r="F215" s="164"/>
      <c r="G215" s="166"/>
      <c r="I215" s="165"/>
      <c r="J215" s="164"/>
    </row>
    <row r="216" spans="1:10">
      <c r="A216">
        <v>214</v>
      </c>
      <c r="B216">
        <v>8</v>
      </c>
      <c r="C216" s="166"/>
      <c r="D216" s="166"/>
      <c r="E216" s="164"/>
      <c r="F216" s="164"/>
      <c r="G216" s="164"/>
      <c r="H216" s="166"/>
      <c r="I216" s="165"/>
      <c r="J216" s="164"/>
    </row>
    <row r="217" spans="1:10">
      <c r="A217">
        <v>215</v>
      </c>
      <c r="B217">
        <v>8</v>
      </c>
      <c r="C217" s="166"/>
      <c r="D217" s="166"/>
      <c r="E217" s="164"/>
      <c r="F217" s="164"/>
      <c r="G217" s="164"/>
      <c r="H217" s="164"/>
      <c r="I217" s="165"/>
      <c r="J217" s="166"/>
    </row>
    <row r="218" spans="1:10">
      <c r="A218">
        <v>216</v>
      </c>
      <c r="B218">
        <v>8</v>
      </c>
      <c r="C218" s="166"/>
      <c r="D218" s="164"/>
      <c r="E218" s="166"/>
      <c r="F218" s="166"/>
      <c r="G218" s="164"/>
      <c r="H218" s="164"/>
      <c r="I218" s="165"/>
      <c r="J218" s="164"/>
    </row>
    <row r="219" spans="1:10">
      <c r="A219">
        <v>217</v>
      </c>
      <c r="B219">
        <v>8</v>
      </c>
      <c r="C219" s="166"/>
      <c r="D219" s="164"/>
      <c r="E219" s="166"/>
      <c r="F219" s="164"/>
      <c r="G219" s="166"/>
      <c r="H219" s="164"/>
      <c r="I219" s="165"/>
      <c r="J219" s="164"/>
    </row>
    <row r="220" spans="1:10">
      <c r="A220">
        <v>218</v>
      </c>
      <c r="B220">
        <v>8</v>
      </c>
      <c r="C220" s="166"/>
      <c r="D220" s="164"/>
      <c r="E220" s="166"/>
      <c r="F220" s="164"/>
      <c r="G220" s="164"/>
      <c r="H220" s="166"/>
      <c r="I220" s="165"/>
      <c r="J220" s="164"/>
    </row>
    <row r="221" spans="1:10">
      <c r="A221">
        <v>219</v>
      </c>
      <c r="B221">
        <v>8</v>
      </c>
      <c r="C221" s="166"/>
      <c r="D221" s="164"/>
      <c r="E221" s="166"/>
      <c r="F221" s="164"/>
      <c r="G221" s="164"/>
      <c r="H221" s="164"/>
      <c r="I221" s="165"/>
      <c r="J221" s="166"/>
    </row>
    <row r="222" spans="1:10">
      <c r="A222">
        <v>220</v>
      </c>
      <c r="B222">
        <v>8</v>
      </c>
      <c r="C222" s="166"/>
      <c r="D222" s="164"/>
      <c r="E222" s="164"/>
      <c r="F222" s="166"/>
      <c r="G222" s="166"/>
      <c r="H222" s="164"/>
      <c r="I222" s="165"/>
      <c r="J222" s="164"/>
    </row>
    <row r="223" spans="1:10">
      <c r="A223">
        <v>221</v>
      </c>
      <c r="B223">
        <v>8</v>
      </c>
      <c r="C223" s="166"/>
      <c r="D223" s="164"/>
      <c r="E223" s="164"/>
      <c r="F223" s="166"/>
      <c r="G223" s="164"/>
      <c r="H223" s="166"/>
      <c r="I223" s="165"/>
      <c r="J223" s="164"/>
    </row>
    <row r="224" spans="1:10">
      <c r="A224">
        <v>222</v>
      </c>
      <c r="B224">
        <v>8</v>
      </c>
      <c r="C224" s="166"/>
      <c r="D224" s="164"/>
      <c r="E224" s="164"/>
      <c r="F224" s="166"/>
      <c r="G224" s="164"/>
      <c r="H224" s="164"/>
      <c r="I224" s="165"/>
      <c r="J224" s="166"/>
    </row>
    <row r="225" spans="1:10">
      <c r="A225">
        <v>223</v>
      </c>
      <c r="B225">
        <v>8</v>
      </c>
      <c r="C225" s="166"/>
      <c r="D225" s="164"/>
      <c r="E225" s="164"/>
      <c r="F225" s="164"/>
      <c r="G225" s="166"/>
      <c r="H225" s="166"/>
      <c r="I225" s="165"/>
      <c r="J225" s="164"/>
    </row>
    <row r="226" spans="1:10">
      <c r="A226">
        <v>224</v>
      </c>
      <c r="B226">
        <v>8</v>
      </c>
      <c r="C226" s="166"/>
      <c r="D226" s="164"/>
      <c r="E226" s="164"/>
      <c r="F226" s="164"/>
      <c r="G226" s="166"/>
      <c r="H226" s="164"/>
      <c r="I226" s="165"/>
      <c r="J226" s="166"/>
    </row>
    <row r="227" spans="1:10">
      <c r="A227">
        <v>225</v>
      </c>
      <c r="B227">
        <v>8</v>
      </c>
      <c r="C227" s="166"/>
      <c r="D227" s="164"/>
      <c r="E227" s="164"/>
      <c r="F227" s="164"/>
      <c r="G227" s="164"/>
      <c r="H227" s="166"/>
      <c r="I227" s="165"/>
      <c r="J227" s="166"/>
    </row>
    <row r="228" spans="1:10">
      <c r="A228">
        <v>226</v>
      </c>
      <c r="B228">
        <v>8</v>
      </c>
      <c r="D228" s="166"/>
      <c r="E228" s="166"/>
      <c r="F228" s="166"/>
      <c r="G228" s="164"/>
      <c r="H228" s="164"/>
      <c r="I228" s="165"/>
      <c r="J228" s="164"/>
    </row>
    <row r="229" spans="1:10">
      <c r="A229">
        <v>227</v>
      </c>
      <c r="B229">
        <v>8</v>
      </c>
      <c r="D229" s="166"/>
      <c r="E229" s="166"/>
      <c r="F229" s="164"/>
      <c r="G229" s="166"/>
      <c r="H229" s="164"/>
      <c r="I229" s="165"/>
      <c r="J229" s="164"/>
    </row>
    <row r="230" spans="1:10">
      <c r="A230">
        <v>228</v>
      </c>
      <c r="B230">
        <v>8</v>
      </c>
      <c r="D230" s="166"/>
      <c r="E230" s="166"/>
      <c r="F230" s="164"/>
      <c r="G230" s="164"/>
      <c r="H230" s="166"/>
      <c r="I230" s="165"/>
      <c r="J230" s="164"/>
    </row>
    <row r="231" spans="1:10">
      <c r="A231">
        <v>229</v>
      </c>
      <c r="B231">
        <v>8</v>
      </c>
      <c r="D231" s="166"/>
      <c r="E231" s="166"/>
      <c r="F231" s="164"/>
      <c r="G231" s="164"/>
      <c r="H231" s="164"/>
      <c r="I231" s="165"/>
      <c r="J231" s="166"/>
    </row>
    <row r="232" spans="1:10">
      <c r="A232">
        <v>230</v>
      </c>
      <c r="B232">
        <v>8</v>
      </c>
      <c r="D232" s="166"/>
      <c r="E232" s="164"/>
      <c r="F232" s="166"/>
      <c r="G232" s="166"/>
      <c r="H232" s="164"/>
      <c r="I232" s="165"/>
      <c r="J232" s="164"/>
    </row>
    <row r="233" spans="1:10">
      <c r="A233">
        <v>231</v>
      </c>
      <c r="B233">
        <v>8</v>
      </c>
      <c r="D233" s="166"/>
      <c r="E233" s="164"/>
      <c r="F233" s="166"/>
      <c r="G233" s="164"/>
      <c r="H233" s="166"/>
      <c r="I233" s="165"/>
      <c r="J233" s="164"/>
    </row>
    <row r="234" spans="1:10">
      <c r="A234">
        <v>232</v>
      </c>
      <c r="B234">
        <v>8</v>
      </c>
      <c r="D234" s="166"/>
      <c r="E234" s="164"/>
      <c r="F234" s="166"/>
      <c r="G234" s="164"/>
      <c r="H234" s="164"/>
      <c r="I234" s="165"/>
      <c r="J234" s="166"/>
    </row>
    <row r="235" spans="1:10">
      <c r="A235">
        <v>233</v>
      </c>
      <c r="B235">
        <v>8</v>
      </c>
      <c r="D235" s="166"/>
      <c r="E235" s="164"/>
      <c r="F235" s="164"/>
      <c r="G235" s="166"/>
      <c r="H235" s="166"/>
      <c r="I235" s="165"/>
      <c r="J235" s="164"/>
    </row>
    <row r="236" spans="1:10">
      <c r="A236">
        <v>234</v>
      </c>
      <c r="B236">
        <v>8</v>
      </c>
      <c r="D236" s="166"/>
      <c r="E236" s="164"/>
      <c r="F236" s="164"/>
      <c r="G236" s="166"/>
      <c r="H236" s="164"/>
      <c r="I236" s="165"/>
      <c r="J236" s="166"/>
    </row>
    <row r="237" spans="1:10">
      <c r="A237">
        <v>235</v>
      </c>
      <c r="B237">
        <v>8</v>
      </c>
      <c r="D237" s="166"/>
      <c r="H237" s="166"/>
      <c r="I237" s="165"/>
      <c r="J237" s="166"/>
    </row>
    <row r="238" spans="1:10">
      <c r="A238">
        <v>236</v>
      </c>
      <c r="B238">
        <v>8</v>
      </c>
      <c r="E238" s="166"/>
      <c r="F238" s="166"/>
      <c r="G238" s="166"/>
      <c r="I238" s="165"/>
    </row>
    <row r="239" spans="1:10">
      <c r="A239">
        <v>237</v>
      </c>
      <c r="B239">
        <v>8</v>
      </c>
      <c r="E239" s="166"/>
      <c r="F239" s="166"/>
      <c r="H239" s="166"/>
      <c r="I239" s="165"/>
    </row>
    <row r="240" spans="1:10">
      <c r="A240">
        <v>238</v>
      </c>
      <c r="B240">
        <v>8</v>
      </c>
      <c r="E240" s="166"/>
      <c r="F240" s="166"/>
      <c r="I240" s="165"/>
      <c r="J240" s="166"/>
    </row>
    <row r="241" spans="1:10">
      <c r="A241">
        <v>239</v>
      </c>
      <c r="B241">
        <v>8</v>
      </c>
      <c r="E241" s="166"/>
      <c r="G241" s="166"/>
      <c r="H241" s="166"/>
      <c r="I241" s="165"/>
    </row>
    <row r="242" spans="1:10">
      <c r="A242">
        <v>240</v>
      </c>
      <c r="B242">
        <v>8</v>
      </c>
      <c r="E242" s="166"/>
      <c r="G242" s="166"/>
      <c r="I242" s="165"/>
      <c r="J242" s="166"/>
    </row>
    <row r="243" spans="1:10">
      <c r="A243">
        <v>241</v>
      </c>
      <c r="B243">
        <v>8</v>
      </c>
      <c r="E243" s="166"/>
      <c r="H243" s="166"/>
      <c r="I243" s="165"/>
      <c r="J243" s="166"/>
    </row>
    <row r="244" spans="1:10">
      <c r="A244">
        <v>242</v>
      </c>
      <c r="B244">
        <v>8</v>
      </c>
      <c r="F244" s="166"/>
      <c r="G244" s="166"/>
      <c r="H244" s="166"/>
      <c r="I244" s="165"/>
    </row>
    <row r="245" spans="1:10">
      <c r="A245">
        <v>243</v>
      </c>
      <c r="B245">
        <v>8</v>
      </c>
      <c r="F245" s="166"/>
      <c r="G245" s="166"/>
      <c r="I245" s="165"/>
      <c r="J245" s="166"/>
    </row>
    <row r="246" spans="1:10">
      <c r="A246">
        <v>244</v>
      </c>
      <c r="B246">
        <v>8</v>
      </c>
      <c r="F246" s="166"/>
      <c r="H246" s="166"/>
      <c r="I246" s="165"/>
      <c r="J246" s="166"/>
    </row>
    <row r="247" spans="1:10">
      <c r="A247">
        <v>245</v>
      </c>
      <c r="B247">
        <v>8</v>
      </c>
      <c r="G247" s="166"/>
      <c r="H247" s="166"/>
      <c r="I247" s="165"/>
      <c r="J247" s="166"/>
    </row>
    <row r="248" spans="1:10">
      <c r="A248">
        <v>246</v>
      </c>
      <c r="B248">
        <v>8</v>
      </c>
      <c r="C248" s="166">
        <v>1</v>
      </c>
      <c r="D248" s="166">
        <v>1</v>
      </c>
      <c r="E248" s="166">
        <v>1</v>
      </c>
      <c r="F248" s="164"/>
      <c r="I248" s="164"/>
      <c r="J248" s="165"/>
    </row>
    <row r="249" spans="1:10">
      <c r="A249">
        <v>247</v>
      </c>
      <c r="B249">
        <v>8</v>
      </c>
      <c r="C249" s="166"/>
      <c r="D249" s="166"/>
      <c r="E249" s="164"/>
      <c r="F249" s="166">
        <v>2</v>
      </c>
      <c r="I249" s="164"/>
      <c r="J249" s="165"/>
    </row>
    <row r="250" spans="1:10">
      <c r="A250">
        <v>248</v>
      </c>
      <c r="B250">
        <v>8</v>
      </c>
      <c r="C250" s="166"/>
      <c r="D250" s="166"/>
      <c r="E250" s="164"/>
      <c r="F250" s="164"/>
      <c r="G250" s="166">
        <v>3</v>
      </c>
      <c r="I250" s="164"/>
      <c r="J250" s="165"/>
    </row>
    <row r="251" spans="1:10">
      <c r="A251">
        <v>249</v>
      </c>
      <c r="B251">
        <v>8</v>
      </c>
      <c r="C251" s="166"/>
      <c r="D251" s="166"/>
      <c r="E251" s="164"/>
      <c r="F251" s="164"/>
      <c r="G251" s="164"/>
      <c r="H251" s="166">
        <v>4</v>
      </c>
      <c r="I251" s="164"/>
      <c r="J251" s="165"/>
    </row>
    <row r="252" spans="1:10">
      <c r="A252">
        <v>250</v>
      </c>
      <c r="B252">
        <v>8</v>
      </c>
      <c r="C252" s="166"/>
      <c r="D252" s="166"/>
      <c r="E252" s="164"/>
      <c r="F252" s="164"/>
      <c r="G252" s="164"/>
      <c r="H252" s="164"/>
      <c r="I252" s="166">
        <v>5</v>
      </c>
      <c r="J252" s="165"/>
    </row>
    <row r="253" spans="1:10">
      <c r="A253">
        <v>251</v>
      </c>
      <c r="B253">
        <v>8</v>
      </c>
      <c r="C253" s="166"/>
      <c r="D253" s="164"/>
      <c r="E253" s="166">
        <v>2</v>
      </c>
      <c r="F253" s="166">
        <v>1</v>
      </c>
      <c r="G253" s="164"/>
      <c r="H253" s="164"/>
      <c r="I253" s="164"/>
      <c r="J253" s="165"/>
    </row>
    <row r="254" spans="1:10">
      <c r="A254">
        <v>252</v>
      </c>
      <c r="B254">
        <v>8</v>
      </c>
      <c r="C254" s="166"/>
      <c r="D254" s="164"/>
      <c r="E254" s="166"/>
      <c r="F254" s="164"/>
      <c r="G254" s="166">
        <v>2</v>
      </c>
      <c r="H254" s="164"/>
      <c r="I254" s="164"/>
      <c r="J254" s="165"/>
    </row>
    <row r="255" spans="1:10">
      <c r="A255">
        <v>253</v>
      </c>
      <c r="B255">
        <v>8</v>
      </c>
      <c r="C255" s="166"/>
      <c r="D255" s="164"/>
      <c r="E255" s="166"/>
      <c r="F255" s="164"/>
      <c r="G255" s="164"/>
      <c r="H255" s="166">
        <v>3</v>
      </c>
      <c r="I255" s="164"/>
      <c r="J255" s="165"/>
    </row>
    <row r="256" spans="1:10">
      <c r="A256">
        <v>254</v>
      </c>
      <c r="B256">
        <v>8</v>
      </c>
      <c r="C256" s="166"/>
      <c r="D256" s="164"/>
      <c r="E256" s="166"/>
      <c r="F256" s="164"/>
      <c r="G256" s="164"/>
      <c r="H256" s="164"/>
      <c r="I256" s="166">
        <v>4</v>
      </c>
      <c r="J256" s="165"/>
    </row>
    <row r="257" spans="1:10">
      <c r="A257">
        <v>255</v>
      </c>
      <c r="B257">
        <v>8</v>
      </c>
      <c r="C257" s="166"/>
      <c r="D257" s="164"/>
      <c r="E257" s="164"/>
      <c r="F257" s="166">
        <v>3</v>
      </c>
      <c r="G257" s="166">
        <v>1</v>
      </c>
      <c r="H257" s="164"/>
      <c r="I257" s="164"/>
      <c r="J257" s="165"/>
    </row>
    <row r="258" spans="1:10">
      <c r="A258">
        <v>256</v>
      </c>
      <c r="B258">
        <v>8</v>
      </c>
      <c r="C258" s="166"/>
      <c r="D258" s="164"/>
      <c r="E258" s="164"/>
      <c r="F258" s="166"/>
      <c r="G258" s="164"/>
      <c r="H258" s="166">
        <v>2</v>
      </c>
      <c r="I258" s="164"/>
      <c r="J258" s="165"/>
    </row>
    <row r="259" spans="1:10">
      <c r="A259">
        <v>257</v>
      </c>
      <c r="B259">
        <v>8</v>
      </c>
      <c r="C259" s="166"/>
      <c r="D259" s="164"/>
      <c r="E259" s="164"/>
      <c r="F259" s="166"/>
      <c r="G259" s="164"/>
      <c r="H259" s="164"/>
      <c r="I259" s="166">
        <v>3</v>
      </c>
      <c r="J259" s="165"/>
    </row>
    <row r="260" spans="1:10">
      <c r="A260">
        <v>258</v>
      </c>
      <c r="B260">
        <v>8</v>
      </c>
      <c r="C260" s="166"/>
      <c r="D260" s="164"/>
      <c r="E260" s="164"/>
      <c r="F260" s="164"/>
      <c r="G260" s="166">
        <v>4</v>
      </c>
      <c r="H260" s="166">
        <v>1</v>
      </c>
      <c r="I260" s="164"/>
      <c r="J260" s="165"/>
    </row>
    <row r="261" spans="1:10">
      <c r="A261">
        <v>259</v>
      </c>
      <c r="B261">
        <v>8</v>
      </c>
      <c r="C261" s="166"/>
      <c r="D261" s="164"/>
      <c r="E261" s="164"/>
      <c r="F261" s="164"/>
      <c r="G261" s="166"/>
      <c r="H261" s="164"/>
      <c r="I261" s="166">
        <v>2</v>
      </c>
      <c r="J261" s="165"/>
    </row>
    <row r="262" spans="1:10">
      <c r="A262">
        <v>260</v>
      </c>
      <c r="B262">
        <v>8</v>
      </c>
      <c r="C262" s="166"/>
      <c r="D262" s="164"/>
      <c r="E262" s="164"/>
      <c r="F262" s="164"/>
      <c r="G262" s="164"/>
      <c r="H262" s="166">
        <v>5</v>
      </c>
      <c r="I262" s="166">
        <v>1</v>
      </c>
      <c r="J262" s="165"/>
    </row>
    <row r="263" spans="1:10">
      <c r="A263">
        <v>261</v>
      </c>
      <c r="B263">
        <v>8</v>
      </c>
      <c r="D263" s="166">
        <v>2</v>
      </c>
      <c r="E263" s="166"/>
      <c r="F263" s="166"/>
      <c r="G263" s="164"/>
      <c r="H263" s="164"/>
      <c r="I263" s="164"/>
      <c r="J263" s="165"/>
    </row>
    <row r="264" spans="1:10">
      <c r="A264">
        <v>262</v>
      </c>
      <c r="B264">
        <v>8</v>
      </c>
      <c r="D264" s="166"/>
      <c r="E264" s="166"/>
      <c r="F264" s="164"/>
      <c r="G264" s="166"/>
      <c r="H264" s="164"/>
      <c r="I264" s="164"/>
      <c r="J264" s="165"/>
    </row>
    <row r="265" spans="1:10">
      <c r="A265">
        <v>263</v>
      </c>
      <c r="B265">
        <v>8</v>
      </c>
      <c r="D265" s="166"/>
      <c r="E265" s="166"/>
      <c r="F265" s="164"/>
      <c r="G265" s="164"/>
      <c r="H265" s="166"/>
      <c r="I265" s="164"/>
      <c r="J265" s="165"/>
    </row>
    <row r="266" spans="1:10">
      <c r="A266">
        <v>264</v>
      </c>
      <c r="B266">
        <v>8</v>
      </c>
      <c r="D266" s="166"/>
      <c r="E266" s="166"/>
      <c r="F266" s="164"/>
      <c r="G266" s="164"/>
      <c r="H266" s="164"/>
      <c r="I266" s="166"/>
      <c r="J266" s="165"/>
    </row>
    <row r="267" spans="1:10">
      <c r="A267">
        <v>265</v>
      </c>
      <c r="B267">
        <v>8</v>
      </c>
      <c r="D267" s="166"/>
      <c r="E267" s="164"/>
      <c r="F267" s="166"/>
      <c r="G267" s="166"/>
      <c r="H267" s="164"/>
      <c r="I267" s="164"/>
      <c r="J267" s="165"/>
    </row>
    <row r="268" spans="1:10">
      <c r="A268">
        <v>266</v>
      </c>
      <c r="B268">
        <v>8</v>
      </c>
      <c r="D268" s="166"/>
      <c r="E268" s="164"/>
      <c r="F268" s="166"/>
      <c r="G268" s="164"/>
      <c r="H268" s="166"/>
      <c r="I268" s="164"/>
      <c r="J268" s="165"/>
    </row>
    <row r="269" spans="1:10">
      <c r="A269">
        <v>267</v>
      </c>
      <c r="B269">
        <v>8</v>
      </c>
      <c r="D269" s="166"/>
      <c r="E269" s="164"/>
      <c r="F269" s="166"/>
      <c r="G269" s="164"/>
      <c r="H269" s="164"/>
      <c r="I269" s="166"/>
      <c r="J269" s="165"/>
    </row>
    <row r="270" spans="1:10">
      <c r="A270">
        <v>268</v>
      </c>
      <c r="B270">
        <v>8</v>
      </c>
      <c r="D270" s="166"/>
      <c r="E270" s="164"/>
      <c r="F270" s="164"/>
      <c r="G270" s="166"/>
      <c r="H270" s="166"/>
      <c r="I270" s="164"/>
      <c r="J270" s="165"/>
    </row>
    <row r="271" spans="1:10">
      <c r="A271">
        <v>269</v>
      </c>
      <c r="B271">
        <v>8</v>
      </c>
      <c r="D271" s="166"/>
      <c r="E271" s="164"/>
      <c r="F271" s="164"/>
      <c r="G271" s="166"/>
      <c r="H271" s="164"/>
      <c r="I271" s="166"/>
      <c r="J271" s="165"/>
    </row>
    <row r="272" spans="1:10">
      <c r="A272">
        <v>270</v>
      </c>
      <c r="B272">
        <v>8</v>
      </c>
      <c r="D272" s="166"/>
      <c r="H272" s="166"/>
      <c r="I272" s="166"/>
      <c r="J272" s="165"/>
    </row>
    <row r="273" spans="1:10">
      <c r="A273">
        <v>271</v>
      </c>
      <c r="B273">
        <v>8</v>
      </c>
      <c r="E273" s="166">
        <v>3</v>
      </c>
      <c r="F273" s="166"/>
      <c r="G273" s="166"/>
      <c r="J273" s="165"/>
    </row>
    <row r="274" spans="1:10">
      <c r="A274">
        <v>272</v>
      </c>
      <c r="B274">
        <v>8</v>
      </c>
      <c r="E274" s="166"/>
      <c r="F274" s="166"/>
      <c r="H274" s="166"/>
      <c r="J274" s="165"/>
    </row>
    <row r="275" spans="1:10">
      <c r="A275">
        <v>273</v>
      </c>
      <c r="B275">
        <v>8</v>
      </c>
      <c r="E275" s="166"/>
      <c r="F275" s="166"/>
      <c r="I275" s="166"/>
      <c r="J275" s="165"/>
    </row>
    <row r="276" spans="1:10">
      <c r="A276">
        <v>274</v>
      </c>
      <c r="B276">
        <v>8</v>
      </c>
      <c r="E276" s="166"/>
      <c r="G276" s="166"/>
      <c r="H276" s="166"/>
      <c r="J276" s="165"/>
    </row>
    <row r="277" spans="1:10">
      <c r="A277">
        <v>275</v>
      </c>
      <c r="B277">
        <v>8</v>
      </c>
      <c r="E277" s="166"/>
      <c r="G277" s="166"/>
      <c r="I277" s="166"/>
      <c r="J277" s="165"/>
    </row>
    <row r="278" spans="1:10">
      <c r="A278">
        <v>276</v>
      </c>
      <c r="B278">
        <v>8</v>
      </c>
      <c r="E278" s="166"/>
      <c r="H278" s="166"/>
      <c r="I278" s="166"/>
      <c r="J278" s="165"/>
    </row>
    <row r="279" spans="1:10">
      <c r="A279">
        <v>277</v>
      </c>
      <c r="B279">
        <v>8</v>
      </c>
      <c r="F279" s="166">
        <v>4</v>
      </c>
      <c r="G279" s="166"/>
      <c r="H279" s="166"/>
      <c r="J279" s="165"/>
    </row>
    <row r="280" spans="1:10">
      <c r="A280">
        <v>278</v>
      </c>
      <c r="B280">
        <v>8</v>
      </c>
      <c r="F280" s="166"/>
      <c r="G280" s="166"/>
      <c r="I280" s="166"/>
      <c r="J280" s="165"/>
    </row>
    <row r="281" spans="1:10">
      <c r="A281">
        <v>279</v>
      </c>
      <c r="B281">
        <v>8</v>
      </c>
      <c r="F281" s="166"/>
      <c r="H281" s="166"/>
      <c r="I281" s="166"/>
      <c r="J281" s="165"/>
    </row>
    <row r="282" spans="1:10">
      <c r="A282">
        <v>280</v>
      </c>
      <c r="B282">
        <v>8</v>
      </c>
      <c r="G282" s="166">
        <v>5</v>
      </c>
      <c r="H282" s="166"/>
      <c r="I282" s="166"/>
      <c r="J282" s="165"/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10"/>
  <dimension ref="A1:AB1122"/>
  <sheetViews>
    <sheetView zoomScale="70" zoomScaleNormal="70" workbookViewId="0">
      <selection activeCell="S39" sqref="S39"/>
    </sheetView>
  </sheetViews>
  <sheetFormatPr baseColWidth="10" defaultRowHeight="15"/>
  <cols>
    <col min="18" max="18" width="12" style="35" bestFit="1" customWidth="1"/>
    <col min="19" max="19" width="13.85546875" bestFit="1" customWidth="1"/>
  </cols>
  <sheetData>
    <row r="1" spans="1:28">
      <c r="K1" s="119" t="s">
        <v>75</v>
      </c>
      <c r="L1" s="179">
        <v>1.4990492230334603E-2</v>
      </c>
      <c r="M1" s="119" t="s">
        <v>76</v>
      </c>
      <c r="N1" s="179">
        <v>4.7716218756768064E-3</v>
      </c>
    </row>
    <row r="2" spans="1:28" s="159" customFormat="1" ht="18.75">
      <c r="A2" s="159" t="s">
        <v>497</v>
      </c>
      <c r="L2" s="159" t="s">
        <v>498</v>
      </c>
      <c r="R2" s="178" t="s">
        <v>496</v>
      </c>
      <c r="S2" s="159" t="s">
        <v>495</v>
      </c>
      <c r="U2" s="159" t="s">
        <v>494</v>
      </c>
    </row>
    <row r="3" spans="1:28">
      <c r="A3" s="170"/>
      <c r="B3" s="171">
        <v>-1.253875629566908</v>
      </c>
      <c r="C3" s="171">
        <v>-3.2592166127769939E-2</v>
      </c>
      <c r="D3" s="171">
        <v>0.73934661383723232</v>
      </c>
      <c r="E3" s="170">
        <f>-$L$1</f>
        <v>-1.4990492230334603E-2</v>
      </c>
      <c r="F3" s="171">
        <v>0</v>
      </c>
      <c r="G3" s="171">
        <v>0</v>
      </c>
      <c r="H3" s="177">
        <f>-$N$1</f>
        <v>-4.7716218756768064E-3</v>
      </c>
      <c r="I3" s="170">
        <v>0</v>
      </c>
      <c r="J3" s="170">
        <v>0</v>
      </c>
      <c r="L3">
        <f t="array" ref="L3:N5">SVDD(B3:D5)</f>
        <v>2.3119041600963013</v>
      </c>
      <c r="M3">
        <v>0</v>
      </c>
      <c r="N3">
        <v>0</v>
      </c>
      <c r="P3">
        <f>MAX(L3,M4,N5)/MIN(L3,M4,N5)</f>
        <v>4.136985868324337</v>
      </c>
      <c r="R3" s="35">
        <f ca="1">OFFSET($P$3,4*(ROW(A1)-1),0,1,1)</f>
        <v>4.136985868324337</v>
      </c>
      <c r="S3">
        <f ca="1">MAX(R3:R282)</f>
        <v>2149.1679832149403</v>
      </c>
      <c r="U3" s="35">
        <f t="shared" ref="U3:AB3" ca="1" si="0">OFFSET($R3,(COLUMN(A1)-1)*35,0,1,1)/$S$3</f>
        <v>1.9249243896402272E-3</v>
      </c>
      <c r="V3" s="35">
        <f t="shared" ca="1" si="0"/>
        <v>1.8829989567831068E-3</v>
      </c>
      <c r="W3" s="35">
        <f t="shared" ca="1" si="0"/>
        <v>3.0452654993958785E-3</v>
      </c>
      <c r="X3" s="35">
        <f t="shared" ca="1" si="0"/>
        <v>2.4300855619816221E-3</v>
      </c>
      <c r="Y3" s="35">
        <f t="shared" ca="1" si="0"/>
        <v>2.7564818175547018E-3</v>
      </c>
      <c r="Z3" s="35">
        <f t="shared" ca="1" si="0"/>
        <v>3.1388625181329997E-3</v>
      </c>
      <c r="AA3" s="35">
        <f t="shared" ca="1" si="0"/>
        <v>2.9294784207803326E-3</v>
      </c>
      <c r="AB3" s="35">
        <f t="shared" ca="1" si="0"/>
        <v>3.2599931819668974E-3</v>
      </c>
    </row>
    <row r="4" spans="1:28">
      <c r="A4" s="170" t="s">
        <v>214</v>
      </c>
      <c r="B4" s="171">
        <v>1.0419123890112216</v>
      </c>
      <c r="C4" s="171">
        <v>-4.0818532431212473E-2</v>
      </c>
      <c r="D4" s="171">
        <v>0.77248383184656022</v>
      </c>
      <c r="E4" s="170">
        <v>0</v>
      </c>
      <c r="F4" s="170">
        <f>-$L$1</f>
        <v>-1.4990492230334603E-2</v>
      </c>
      <c r="G4" s="171">
        <v>0</v>
      </c>
      <c r="H4" s="171">
        <v>0</v>
      </c>
      <c r="I4" s="177">
        <f>-$N$1</f>
        <v>-4.7716218756768064E-3</v>
      </c>
      <c r="J4" s="170">
        <v>0</v>
      </c>
      <c r="L4">
        <v>0</v>
      </c>
      <c r="M4">
        <v>1.1384830994681359</v>
      </c>
      <c r="N4">
        <v>0</v>
      </c>
      <c r="R4" s="35">
        <f ca="1">OFFSET($P$3,4*(ROW(A2)-1),0,1,1)</f>
        <v>3.6962112341108457</v>
      </c>
      <c r="S4">
        <f ca="1">MIN(R4:R283)</f>
        <v>2.2222525155344348</v>
      </c>
      <c r="U4" s="35">
        <f t="shared" ref="U4:U37" ca="1" si="1">OFFSET($R4,(COLUMN(A2)-1)*35,0,1,1)/$S$3</f>
        <v>1.7198335648857394E-3</v>
      </c>
      <c r="V4" s="35">
        <f t="shared" ref="V4:V37" ca="1" si="2">OFFSET($R4,(COLUMN(B2)-1)*35,0,1,1)/$S$3</f>
        <v>3.0505873357103688E-3</v>
      </c>
      <c r="W4" s="35">
        <f t="shared" ref="W4:W37" ca="1" si="3">OFFSET($R4,(COLUMN(C2)-1)*35,0,1,1)/$S$3</f>
        <v>1.7694890834061042E-3</v>
      </c>
      <c r="X4" s="35">
        <f t="shared" ref="X4:X37" ca="1" si="4">OFFSET($R4,(COLUMN(D2)-1)*35,0,1,1)/$S$3</f>
        <v>3.2080562845868835E-3</v>
      </c>
      <c r="Y4" s="35">
        <f t="shared" ref="Y4:Y37" ca="1" si="5">OFFSET($R4,(COLUMN(E2)-1)*35,0,1,1)/$S$3</f>
        <v>4.8866902105883557E-3</v>
      </c>
      <c r="Z4" s="35">
        <f t="shared" ref="Z4:Z37" ca="1" si="6">OFFSET($R4,(COLUMN(F2)-1)*35,0,1,1)/$S$3</f>
        <v>1.1636684085990508E-2</v>
      </c>
      <c r="AA4" s="35">
        <f t="shared" ref="AA4:AB4" ca="1" si="7">OFFSET($R4,(COLUMN(G2)-1)*35,0,1,1)/$S$3</f>
        <v>6.9592062037014124E-3</v>
      </c>
      <c r="AB4" s="35">
        <f t="shared" ca="1" si="7"/>
        <v>2.6662170223660259E-2</v>
      </c>
    </row>
    <row r="5" spans="1:28">
      <c r="A5" s="170"/>
      <c r="B5" s="171">
        <v>-1.4028471761352286</v>
      </c>
      <c r="C5" s="171">
        <v>0.814665459345566</v>
      </c>
      <c r="D5" s="171">
        <v>0.7195871750303805</v>
      </c>
      <c r="E5" s="170">
        <v>0</v>
      </c>
      <c r="F5" s="171">
        <v>0</v>
      </c>
      <c r="G5" s="170">
        <f>-$L$1</f>
        <v>-1.4990492230334603E-2</v>
      </c>
      <c r="H5" s="171">
        <v>0</v>
      </c>
      <c r="I5" s="171">
        <v>0</v>
      </c>
      <c r="J5" s="177">
        <f>-$N$1</f>
        <v>-4.7716218756768064E-3</v>
      </c>
      <c r="L5">
        <v>0</v>
      </c>
      <c r="M5">
        <v>0</v>
      </c>
      <c r="N5">
        <v>0.55883781905030416</v>
      </c>
      <c r="R5" s="35">
        <f t="shared" ref="R5:R68" ca="1" si="8">OFFSET($P$3,4*(ROW(A3)-1),0,1,1)</f>
        <v>2.6538713862709233</v>
      </c>
      <c r="U5" s="35">
        <f t="shared" ca="1" si="1"/>
        <v>1.2348366470176972E-3</v>
      </c>
      <c r="V5" s="35">
        <f t="shared" ca="1" si="2"/>
        <v>1.8760328948182561E-3</v>
      </c>
      <c r="W5" s="35">
        <f t="shared" ca="1" si="3"/>
        <v>2.4868417778225603E-3</v>
      </c>
      <c r="X5" s="35">
        <f t="shared" ca="1" si="4"/>
        <v>4.6237820674826756E-3</v>
      </c>
      <c r="Y5" s="35">
        <f t="shared" ca="1" si="5"/>
        <v>3.2693774191351085E-3</v>
      </c>
      <c r="Z5" s="35">
        <f t="shared" ca="1" si="6"/>
        <v>3.1465766398775753E-3</v>
      </c>
      <c r="AA5" s="35">
        <f t="shared" ref="AA5:AB5" ca="1" si="9">OFFSET($R5,(COLUMN(G3)-1)*35,0,1,1)/$S$3</f>
        <v>2.9925500543121104E-3</v>
      </c>
      <c r="AB5" s="35">
        <f t="shared" ca="1" si="9"/>
        <v>2.5222321032469584E-3</v>
      </c>
    </row>
    <row r="6" spans="1:28">
      <c r="A6" s="170"/>
      <c r="B6" s="171"/>
      <c r="C6" s="171"/>
      <c r="D6" s="171"/>
      <c r="E6" s="170"/>
      <c r="F6" s="170"/>
      <c r="G6" s="170"/>
      <c r="H6" s="170"/>
      <c r="I6" s="170"/>
      <c r="J6" s="170"/>
      <c r="R6" s="35">
        <f t="shared" ca="1" si="8"/>
        <v>2.3783411134574881</v>
      </c>
      <c r="U6" s="35">
        <f t="shared" ca="1" si="1"/>
        <v>1.1066334190870124E-3</v>
      </c>
      <c r="V6" s="35">
        <f t="shared" ca="1" si="2"/>
        <v>2.474106773915559E-3</v>
      </c>
      <c r="W6" s="35">
        <f t="shared" ca="1" si="3"/>
        <v>1.8158933526515513E-3</v>
      </c>
      <c r="X6" s="35">
        <f t="shared" ca="1" si="4"/>
        <v>3.5172469335777784E-3</v>
      </c>
      <c r="Y6" s="35">
        <f t="shared" ca="1" si="5"/>
        <v>2.6190478714713189E-3</v>
      </c>
      <c r="Z6" s="35">
        <f t="shared" ca="1" si="6"/>
        <v>3.558686189592698E-3</v>
      </c>
      <c r="AA6" s="35">
        <f t="shared" ref="AA6:AB6" ca="1" si="10">OFFSET($R6,(COLUMN(G4)-1)*35,0,1,1)/$S$3</f>
        <v>4.1172166027053413E-3</v>
      </c>
      <c r="AB6" s="35">
        <f t="shared" ca="1" si="10"/>
        <v>1.6979696082484071E-2</v>
      </c>
    </row>
    <row r="7" spans="1:28">
      <c r="A7" s="170"/>
      <c r="B7" s="171">
        <v>-1.253875629566908</v>
      </c>
      <c r="C7" s="171">
        <v>-3.2592166127769939E-2</v>
      </c>
      <c r="D7" s="171">
        <v>0.73934661383723232</v>
      </c>
      <c r="E7" s="170">
        <f>-$L$1</f>
        <v>-1.4990492230334603E-2</v>
      </c>
      <c r="F7" s="171">
        <v>0</v>
      </c>
      <c r="G7" s="171">
        <v>0</v>
      </c>
      <c r="H7" s="177">
        <f>-$N$1</f>
        <v>-4.7716218756768064E-3</v>
      </c>
      <c r="I7" s="170">
        <v>0</v>
      </c>
      <c r="J7" s="170">
        <v>0</v>
      </c>
      <c r="L7">
        <f t="array" ref="L7:N9">SVDD(B7:D9)</f>
        <v>2.3789401561921131</v>
      </c>
      <c r="M7">
        <v>0</v>
      </c>
      <c r="N7">
        <v>0</v>
      </c>
      <c r="P7">
        <f t="shared" ref="P7" si="11">MAX(L7,M8,N9)/MIN(L7,M8,N9)</f>
        <v>3.6962112341108457</v>
      </c>
      <c r="R7" s="35">
        <f t="shared" ca="1" si="8"/>
        <v>2.2222525155344348</v>
      </c>
      <c r="U7" s="35">
        <f t="shared" ca="1" si="1"/>
        <v>1.0340059655132995E-3</v>
      </c>
      <c r="V7" s="35">
        <f t="shared" ca="1" si="2"/>
        <v>2.4077443462027707E-3</v>
      </c>
      <c r="W7" s="35">
        <f t="shared" ca="1" si="3"/>
        <v>2.2460231781888727E-3</v>
      </c>
      <c r="X7" s="35">
        <f t="shared" ca="1" si="4"/>
        <v>1.2143821443135279E-2</v>
      </c>
      <c r="Y7" s="35">
        <f t="shared" ca="1" si="5"/>
        <v>2.2802807977279661E-3</v>
      </c>
      <c r="Z7" s="35">
        <f t="shared" ca="1" si="6"/>
        <v>1.4299919084666612E-2</v>
      </c>
      <c r="AA7" s="35">
        <f t="shared" ref="AA7:AB7" ca="1" si="12">OFFSET($R7,(COLUMN(G5)-1)*35,0,1,1)/$S$3</f>
        <v>1.8256623299159431E-3</v>
      </c>
      <c r="AB7" s="35">
        <f t="shared" ca="1" si="12"/>
        <v>1.9933418649661027E-3</v>
      </c>
    </row>
    <row r="8" spans="1:28">
      <c r="A8" s="170" t="s">
        <v>215</v>
      </c>
      <c r="B8" s="171">
        <v>1.0419123890112216</v>
      </c>
      <c r="C8" s="171">
        <v>-4.0818532431212473E-2</v>
      </c>
      <c r="D8" s="171">
        <v>0.77248383184656022</v>
      </c>
      <c r="E8" s="170">
        <v>0</v>
      </c>
      <c r="F8" s="170">
        <f>-$L$1</f>
        <v>-1.4990492230334603E-2</v>
      </c>
      <c r="G8" s="171">
        <v>0</v>
      </c>
      <c r="H8" s="171">
        <v>0</v>
      </c>
      <c r="I8" s="177">
        <f>-$N$1</f>
        <v>-4.7716218756768064E-3</v>
      </c>
      <c r="J8" s="170">
        <v>0</v>
      </c>
      <c r="L8">
        <v>0</v>
      </c>
      <c r="M8">
        <v>1.2333751994667193</v>
      </c>
      <c r="N8">
        <v>0</v>
      </c>
      <c r="R8" s="35">
        <f t="shared" ca="1" si="8"/>
        <v>5.3803548414248699</v>
      </c>
      <c r="U8" s="35">
        <f t="shared" ca="1" si="1"/>
        <v>2.5034594240401801E-3</v>
      </c>
      <c r="V8" s="35">
        <f t="shared" ca="1" si="2"/>
        <v>2.4756637174131991E-3</v>
      </c>
      <c r="W8" s="35">
        <f t="shared" ca="1" si="3"/>
        <v>1.9655624795440604E-3</v>
      </c>
      <c r="X8" s="35">
        <f t="shared" ca="1" si="4"/>
        <v>3.8400751659875116E-3</v>
      </c>
      <c r="Y8" s="35">
        <f t="shared" ca="1" si="5"/>
        <v>3.0687526647472756E-3</v>
      </c>
      <c r="Z8" s="35">
        <f t="shared" ca="1" si="6"/>
        <v>3.4417023008348692E-3</v>
      </c>
      <c r="AA8" s="35">
        <f t="shared" ref="AA8:AB8" ca="1" si="13">OFFSET($R8,(COLUMN(G6)-1)*35,0,1,1)/$S$3</f>
        <v>2.8094203361647145E-3</v>
      </c>
      <c r="AB8" s="35">
        <f t="shared" ca="1" si="13"/>
        <v>2.7198676262281179E-3</v>
      </c>
    </row>
    <row r="9" spans="1:28">
      <c r="A9" s="170"/>
      <c r="B9" s="171">
        <v>1.4421025939282253</v>
      </c>
      <c r="C9" s="171">
        <v>1.0431877148697888</v>
      </c>
      <c r="D9" s="171">
        <v>0.78932433807079116</v>
      </c>
      <c r="E9" s="170">
        <v>0</v>
      </c>
      <c r="F9" s="171">
        <v>0</v>
      </c>
      <c r="G9" s="170">
        <f>-$L$1</f>
        <v>-1.4990492230334603E-2</v>
      </c>
      <c r="H9" s="171">
        <v>0</v>
      </c>
      <c r="I9" s="171">
        <v>0</v>
      </c>
      <c r="J9" s="177">
        <f>-$N$1</f>
        <v>-4.7716218756768064E-3</v>
      </c>
      <c r="L9">
        <v>0</v>
      </c>
      <c r="M9">
        <v>0</v>
      </c>
      <c r="N9">
        <v>0.64361585567346147</v>
      </c>
      <c r="R9" s="35">
        <f t="shared" ca="1" si="8"/>
        <v>24.281240562435144</v>
      </c>
      <c r="U9" s="35">
        <f t="shared" ca="1" si="1"/>
        <v>1.1297972402377239E-2</v>
      </c>
      <c r="V9" s="35">
        <f t="shared" ca="1" si="2"/>
        <v>6.9443612171716899E-3</v>
      </c>
      <c r="W9" s="35">
        <f t="shared" ca="1" si="3"/>
        <v>3.4009137511335904E-3</v>
      </c>
      <c r="X9" s="35">
        <f t="shared" ca="1" si="4"/>
        <v>2.3933602132452545E-3</v>
      </c>
      <c r="Y9" s="35">
        <f t="shared" ca="1" si="5"/>
        <v>3.12438700294754E-3</v>
      </c>
      <c r="Z9" s="35">
        <f t="shared" ca="1" si="6"/>
        <v>5.3191648337675224E-3</v>
      </c>
      <c r="AA9" s="35">
        <f t="shared" ref="AA9:AB9" ca="1" si="14">OFFSET($R9,(COLUMN(G7)-1)*35,0,1,1)/$S$3</f>
        <v>5.9906934111476186E-3</v>
      </c>
      <c r="AB9" s="35">
        <f t="shared" ca="1" si="14"/>
        <v>1.2686122547177841E-2</v>
      </c>
    </row>
    <row r="10" spans="1:28">
      <c r="A10" s="170"/>
      <c r="B10" s="171"/>
      <c r="C10" s="171"/>
      <c r="D10" s="171"/>
      <c r="E10" s="170"/>
      <c r="F10" s="170"/>
      <c r="G10" s="170"/>
      <c r="H10" s="170"/>
      <c r="I10" s="170"/>
      <c r="J10" s="170"/>
      <c r="R10" s="35">
        <f t="shared" ca="1" si="8"/>
        <v>8.8077991376995399</v>
      </c>
      <c r="U10" s="35">
        <f t="shared" ca="1" si="1"/>
        <v>4.0982367160169366E-3</v>
      </c>
      <c r="V10" s="35">
        <f t="shared" ca="1" si="2"/>
        <v>3.670423766297207E-3</v>
      </c>
      <c r="W10" s="35">
        <f t="shared" ca="1" si="3"/>
        <v>2.1703073722481279E-3</v>
      </c>
      <c r="X10" s="35">
        <f t="shared" ca="1" si="4"/>
        <v>2.7043689777349021E-3</v>
      </c>
      <c r="Y10" s="35">
        <f t="shared" ca="1" si="5"/>
        <v>3.2758255320086385E-3</v>
      </c>
      <c r="Z10" s="35">
        <f t="shared" ca="1" si="6"/>
        <v>3.5862710101154877E-3</v>
      </c>
      <c r="AA10" s="35">
        <f t="shared" ref="AA10:AB10" ca="1" si="15">OFFSET($R10,(COLUMN(G8)-1)*35,0,1,1)/$S$3</f>
        <v>2.6935575517189982E-3</v>
      </c>
      <c r="AB10" s="35">
        <f t="shared" ca="1" si="15"/>
        <v>2.0310094030501539E-3</v>
      </c>
    </row>
    <row r="11" spans="1:28">
      <c r="A11" s="170"/>
      <c r="B11" s="171">
        <v>-1.253875629566908</v>
      </c>
      <c r="C11" s="171">
        <v>-3.2592166127769939E-2</v>
      </c>
      <c r="D11" s="171">
        <v>0.73934661383723232</v>
      </c>
      <c r="E11" s="170">
        <f>-$L$1</f>
        <v>-1.4990492230334603E-2</v>
      </c>
      <c r="F11" s="171">
        <v>0</v>
      </c>
      <c r="G11" s="171">
        <v>0</v>
      </c>
      <c r="H11" s="177">
        <f>-$N$1</f>
        <v>-4.7716218756768064E-3</v>
      </c>
      <c r="I11" s="170">
        <v>0</v>
      </c>
      <c r="J11" s="170">
        <v>0</v>
      </c>
      <c r="L11">
        <f t="array" ref="L11:N13">SVDD(B11:D13)</f>
        <v>2.6463257247883214</v>
      </c>
      <c r="M11">
        <v>0</v>
      </c>
      <c r="N11">
        <v>0</v>
      </c>
      <c r="P11">
        <f t="shared" ref="P11" si="16">MAX(L11,M12,N13)/MIN(L11,M12,N13)</f>
        <v>2.6538713862709233</v>
      </c>
      <c r="R11" s="35">
        <f t="shared" ca="1" si="8"/>
        <v>37.099744408603527</v>
      </c>
      <c r="U11" s="35">
        <f t="shared" ca="1" si="1"/>
        <v>1.726237534634497E-2</v>
      </c>
      <c r="V11" s="35">
        <f t="shared" ca="1" si="2"/>
        <v>1.4677145674475268E-2</v>
      </c>
      <c r="W11" s="35">
        <f t="shared" ca="1" si="3"/>
        <v>2.233938618949671E-3</v>
      </c>
      <c r="X11" s="35">
        <f t="shared" ca="1" si="4"/>
        <v>2.1933576137975457E-3</v>
      </c>
      <c r="Y11" s="35">
        <f t="shared" ca="1" si="5"/>
        <v>6.5554944078876111E-3</v>
      </c>
      <c r="Z11" s="35">
        <f t="shared" ca="1" si="6"/>
        <v>2.1580456139898493E-3</v>
      </c>
      <c r="AA11" s="35">
        <f t="shared" ref="AA11:AB11" ca="1" si="17">OFFSET($R11,(COLUMN(G9)-1)*35,0,1,1)/$S$3</f>
        <v>9.2263743630056766E-3</v>
      </c>
      <c r="AB11" s="35">
        <f t="shared" ca="1" si="17"/>
        <v>1.1394703970608289E-2</v>
      </c>
    </row>
    <row r="12" spans="1:28">
      <c r="A12" s="170" t="s">
        <v>216</v>
      </c>
      <c r="B12" s="171">
        <v>1.0419123890112216</v>
      </c>
      <c r="C12" s="171">
        <v>-4.0818532431212473E-2</v>
      </c>
      <c r="D12" s="171">
        <v>0.77248383184656022</v>
      </c>
      <c r="E12" s="170">
        <v>0</v>
      </c>
      <c r="F12" s="170">
        <f>-$L$1</f>
        <v>-1.4990492230334603E-2</v>
      </c>
      <c r="G12" s="171">
        <v>0</v>
      </c>
      <c r="H12" s="171">
        <v>0</v>
      </c>
      <c r="I12" s="177">
        <f>-$N$1</f>
        <v>-4.7716218756768064E-3</v>
      </c>
      <c r="J12" s="170">
        <v>0</v>
      </c>
      <c r="L12">
        <v>0</v>
      </c>
      <c r="M12">
        <v>1.4111277450017659</v>
      </c>
      <c r="N12">
        <v>0</v>
      </c>
      <c r="R12" s="35">
        <f t="shared" ca="1" si="8"/>
        <v>3.6568969588621991</v>
      </c>
      <c r="U12" s="35">
        <f t="shared" ca="1" si="1"/>
        <v>1.701540776441238E-3</v>
      </c>
      <c r="V12" s="35">
        <f t="shared" ca="1" si="2"/>
        <v>2.4060454758172314E-3</v>
      </c>
      <c r="W12" s="35">
        <f t="shared" ca="1" si="3"/>
        <v>2.5449566980370549E-3</v>
      </c>
      <c r="X12" s="35">
        <f t="shared" ca="1" si="4"/>
        <v>3.1773997426940443E-3</v>
      </c>
      <c r="Y12" s="35">
        <f t="shared" ca="1" si="5"/>
        <v>5.1038528592465418E-3</v>
      </c>
      <c r="Z12" s="35">
        <f t="shared" ca="1" si="6"/>
        <v>4.0436338670656524E-3</v>
      </c>
      <c r="AA12" s="35">
        <f t="shared" ref="AA12:AB12" ca="1" si="18">OFFSET($R12,(COLUMN(G10)-1)*35,0,1,1)/$S$3</f>
        <v>3.1493209612786558E-3</v>
      </c>
      <c r="AB12" s="35">
        <f t="shared" ca="1" si="18"/>
        <v>1.9333351578818604E-3</v>
      </c>
    </row>
    <row r="13" spans="1:28">
      <c r="A13" s="170"/>
      <c r="B13" s="171">
        <v>-1.0351585166444348</v>
      </c>
      <c r="C13" s="171">
        <v>2.1037449841221099</v>
      </c>
      <c r="D13" s="171">
        <v>0.82913701269133588</v>
      </c>
      <c r="E13" s="170">
        <v>0</v>
      </c>
      <c r="F13" s="171">
        <v>0</v>
      </c>
      <c r="G13" s="170">
        <f>-$L$1</f>
        <v>-1.4990492230334603E-2</v>
      </c>
      <c r="H13" s="171">
        <v>0</v>
      </c>
      <c r="I13" s="171">
        <v>0</v>
      </c>
      <c r="J13" s="177">
        <f>-$N$1</f>
        <v>-4.7716218756768064E-3</v>
      </c>
      <c r="L13">
        <v>0</v>
      </c>
      <c r="M13">
        <v>0</v>
      </c>
      <c r="N13">
        <v>0.99715673430082652</v>
      </c>
      <c r="R13" s="35">
        <f t="shared" ca="1" si="8"/>
        <v>4.497468867237159</v>
      </c>
      <c r="U13" s="35">
        <f t="shared" ca="1" si="1"/>
        <v>2.0926558102309879E-3</v>
      </c>
      <c r="V13" s="35">
        <f t="shared" ca="1" si="2"/>
        <v>3.33504997774024E-3</v>
      </c>
      <c r="W13" s="35">
        <f t="shared" ca="1" si="3"/>
        <v>3.7615790936085941E-3</v>
      </c>
      <c r="X13" s="35">
        <f t="shared" ca="1" si="4"/>
        <v>4.1873208274353091E-3</v>
      </c>
      <c r="Y13" s="35">
        <f t="shared" ca="1" si="5"/>
        <v>3.2425884114553345E-3</v>
      </c>
      <c r="Z13" s="35">
        <f t="shared" ca="1" si="6"/>
        <v>5.0433360637614074E-3</v>
      </c>
      <c r="AA13" s="35">
        <f t="shared" ref="AA13:AB13" ca="1" si="19">OFFSET($R13,(COLUMN(G11)-1)*35,0,1,1)/$S$3</f>
        <v>6.9809648786066172E-3</v>
      </c>
      <c r="AB13" s="35">
        <f t="shared" ca="1" si="19"/>
        <v>8.0859508948173311E-3</v>
      </c>
    </row>
    <row r="14" spans="1:28">
      <c r="A14" s="170"/>
      <c r="B14" s="171"/>
      <c r="C14" s="171"/>
      <c r="D14" s="171"/>
      <c r="E14" s="170"/>
      <c r="F14" s="170"/>
      <c r="G14" s="170"/>
      <c r="H14" s="170"/>
      <c r="I14" s="170"/>
      <c r="J14" s="170"/>
      <c r="R14" s="35">
        <f t="shared" ca="1" si="8"/>
        <v>2.7091989128856673</v>
      </c>
      <c r="U14" s="35">
        <f t="shared" ca="1" si="1"/>
        <v>1.2605803427394153E-3</v>
      </c>
      <c r="V14" s="35">
        <f t="shared" ca="1" si="2"/>
        <v>2.3360459587504117E-3</v>
      </c>
      <c r="W14" s="35">
        <f t="shared" ca="1" si="3"/>
        <v>6.9930559207090895E-3</v>
      </c>
      <c r="X14" s="35">
        <f t="shared" ca="1" si="4"/>
        <v>1.9971095513401475E-3</v>
      </c>
      <c r="Y14" s="35">
        <f t="shared" ca="1" si="5"/>
        <v>2.0692395272206483E-3</v>
      </c>
      <c r="Z14" s="35">
        <f t="shared" ca="1" si="6"/>
        <v>5.8678639962095871E-3</v>
      </c>
      <c r="AA14" s="35">
        <f t="shared" ref="AA14:AB14" ca="1" si="20">OFFSET($R14,(COLUMN(G12)-1)*35,0,1,1)/$S$3</f>
        <v>1.7386876750289484E-3</v>
      </c>
      <c r="AB14" s="35">
        <f t="shared" ca="1" si="20"/>
        <v>1.6375409677275947E-3</v>
      </c>
    </row>
    <row r="15" spans="1:28">
      <c r="A15" s="170"/>
      <c r="B15" s="171">
        <v>-1.253875629566908</v>
      </c>
      <c r="C15" s="171">
        <v>-3.2592166127769939E-2</v>
      </c>
      <c r="D15" s="171">
        <v>0.73934661383723232</v>
      </c>
      <c r="E15" s="170">
        <f>-$L$1</f>
        <v>-1.4990492230334603E-2</v>
      </c>
      <c r="F15" s="171">
        <v>0</v>
      </c>
      <c r="G15" s="171">
        <v>0</v>
      </c>
      <c r="H15" s="177">
        <f>-$N$1</f>
        <v>-4.7716218756768064E-3</v>
      </c>
      <c r="I15" s="170">
        <v>0</v>
      </c>
      <c r="J15" s="170">
        <v>0</v>
      </c>
      <c r="L15">
        <f t="array" ref="L15:N17">SVDD(B15:D17)</f>
        <v>2.3704848492262829</v>
      </c>
      <c r="M15">
        <v>0</v>
      </c>
      <c r="N15">
        <v>0</v>
      </c>
      <c r="P15">
        <f t="shared" ref="P15" si="21">MAX(L15,M16,N17)/MIN(L15,M16,N17)</f>
        <v>2.3783411134574881</v>
      </c>
      <c r="R15" s="35">
        <f t="shared" ca="1" si="8"/>
        <v>7.6413054265435116</v>
      </c>
      <c r="U15" s="35">
        <f t="shared" ca="1" si="1"/>
        <v>3.5554714597566652E-3</v>
      </c>
      <c r="V15" s="35">
        <f t="shared" ca="1" si="2"/>
        <v>3.7307334345772674E-3</v>
      </c>
      <c r="W15" s="35">
        <f t="shared" ca="1" si="3"/>
        <v>2.9735353684723002E-3</v>
      </c>
      <c r="X15" s="35">
        <f t="shared" ca="1" si="4"/>
        <v>5.0318778380330047E-3</v>
      </c>
      <c r="Y15" s="35">
        <f t="shared" ca="1" si="5"/>
        <v>5.0771735804493734E-3</v>
      </c>
      <c r="Z15" s="35">
        <f t="shared" ca="1" si="6"/>
        <v>6.5248856877080288E-3</v>
      </c>
      <c r="AA15" s="35">
        <f t="shared" ref="AA15:AB15" ca="1" si="22">OFFSET($R15,(COLUMN(G13)-1)*35,0,1,1)/$S$3</f>
        <v>3.3666708629193328E-3</v>
      </c>
      <c r="AB15" s="35">
        <f t="shared" ca="1" si="22"/>
        <v>1.3610005381801652E-3</v>
      </c>
    </row>
    <row r="16" spans="1:28">
      <c r="A16" s="170" t="s">
        <v>217</v>
      </c>
      <c r="B16" s="171">
        <v>1.0419123890112216</v>
      </c>
      <c r="C16" s="171">
        <v>-4.0818532431212473E-2</v>
      </c>
      <c r="D16" s="171">
        <v>0.77248383184656022</v>
      </c>
      <c r="E16" s="170">
        <v>0</v>
      </c>
      <c r="F16" s="170">
        <f>-$L$1</f>
        <v>-1.4990492230334603E-2</v>
      </c>
      <c r="G16" s="171">
        <v>0</v>
      </c>
      <c r="H16" s="171">
        <v>0</v>
      </c>
      <c r="I16" s="177">
        <f>-$N$1</f>
        <v>-4.7716218756768064E-3</v>
      </c>
      <c r="J16" s="170">
        <v>0</v>
      </c>
      <c r="L16">
        <v>0</v>
      </c>
      <c r="M16">
        <v>1.5622759532478505</v>
      </c>
      <c r="N16">
        <v>0</v>
      </c>
      <c r="R16" s="35">
        <f t="shared" ca="1" si="8"/>
        <v>35.570359419370689</v>
      </c>
      <c r="U16" s="35">
        <f t="shared" ca="1" si="1"/>
        <v>1.6550758106009467E-2</v>
      </c>
      <c r="V16" s="35">
        <f t="shared" ca="1" si="2"/>
        <v>1.6677890710711601E-2</v>
      </c>
      <c r="W16" s="35">
        <f t="shared" ca="1" si="3"/>
        <v>2.1914848798424542E-3</v>
      </c>
      <c r="X16" s="35">
        <f t="shared" ca="1" si="4"/>
        <v>6.123829656514178E-3</v>
      </c>
      <c r="Y16" s="35">
        <f t="shared" ca="1" si="5"/>
        <v>2.1339186357065909E-3</v>
      </c>
      <c r="Z16" s="35">
        <f t="shared" ca="1" si="6"/>
        <v>1.8851925158580489E-3</v>
      </c>
      <c r="AA16" s="35">
        <f t="shared" ref="AA16:AB16" ca="1" si="23">OFFSET($R16,(COLUMN(G14)-1)*35,0,1,1)/$S$3</f>
        <v>2.9434714841791031E-3</v>
      </c>
      <c r="AB16" s="35">
        <f t="shared" ca="1" si="23"/>
        <v>4.666853232621844E-3</v>
      </c>
    </row>
    <row r="17" spans="1:28">
      <c r="A17" s="170"/>
      <c r="B17" s="171">
        <v>0.58367185674448252</v>
      </c>
      <c r="C17" s="171">
        <v>2.0841504898711007</v>
      </c>
      <c r="D17" s="171">
        <v>0.75171422039661484</v>
      </c>
      <c r="E17" s="170">
        <v>0</v>
      </c>
      <c r="F17" s="171">
        <v>0</v>
      </c>
      <c r="G17" s="170">
        <f>-$L$1</f>
        <v>-1.4990492230334603E-2</v>
      </c>
      <c r="H17" s="171">
        <v>0</v>
      </c>
      <c r="I17" s="171">
        <v>0</v>
      </c>
      <c r="J17" s="177">
        <f>-$N$1</f>
        <v>-4.7716218756768064E-3</v>
      </c>
      <c r="L17">
        <v>0</v>
      </c>
      <c r="M17">
        <v>0</v>
      </c>
      <c r="N17">
        <v>0.99669674623763937</v>
      </c>
      <c r="R17" s="35">
        <f t="shared" ca="1" si="8"/>
        <v>4.8602217427722341</v>
      </c>
      <c r="U17" s="35">
        <f t="shared" ca="1" si="1"/>
        <v>2.2614433961098885E-3</v>
      </c>
      <c r="V17" s="35">
        <f t="shared" ca="1" si="2"/>
        <v>2.8040011348422029E-3</v>
      </c>
      <c r="W17" s="35">
        <f t="shared" ca="1" si="3"/>
        <v>1.2103097333815668E-2</v>
      </c>
      <c r="X17" s="35">
        <f t="shared" ca="1" si="4"/>
        <v>2.3827204495554212E-3</v>
      </c>
      <c r="Y17" s="35">
        <f t="shared" ca="1" si="5"/>
        <v>4.3333855796214085E-3</v>
      </c>
      <c r="Z17" s="35">
        <f t="shared" ca="1" si="6"/>
        <v>2.0335346121188019E-3</v>
      </c>
      <c r="AA17" s="35">
        <f t="shared" ref="AA17:AB17" ca="1" si="24">OFFSET($R17,(COLUMN(G15)-1)*35,0,1,1)/$S$3</f>
        <v>1.5412529585734187E-3</v>
      </c>
      <c r="AB17" s="35">
        <f t="shared" ca="1" si="24"/>
        <v>1.2271944832643893E-3</v>
      </c>
    </row>
    <row r="18" spans="1:28">
      <c r="A18" s="170"/>
      <c r="B18" s="171"/>
      <c r="C18" s="171"/>
      <c r="D18" s="171"/>
      <c r="E18" s="170"/>
      <c r="F18" s="170"/>
      <c r="G18" s="170"/>
      <c r="H18" s="170"/>
      <c r="I18" s="170"/>
      <c r="J18" s="170"/>
      <c r="R18" s="35">
        <f t="shared" ca="1" si="8"/>
        <v>4.1121618081555962</v>
      </c>
      <c r="U18" s="35">
        <f t="shared" ca="1" si="1"/>
        <v>1.9133738452609059E-3</v>
      </c>
      <c r="V18" s="35">
        <f t="shared" ca="1" si="2"/>
        <v>0.10344711804454056</v>
      </c>
      <c r="W18" s="35">
        <f t="shared" ca="1" si="3"/>
        <v>0.10595102079595532</v>
      </c>
      <c r="X18" s="35">
        <f t="shared" ca="1" si="4"/>
        <v>0.11639486628759733</v>
      </c>
      <c r="Y18" s="35">
        <f t="shared" ca="1" si="5"/>
        <v>0.13350721473592761</v>
      </c>
      <c r="Z18" s="35">
        <f t="shared" ca="1" si="6"/>
        <v>3.8834021197862306E-2</v>
      </c>
      <c r="AA18" s="35">
        <f t="shared" ref="AA18:AB18" ca="1" si="25">OFFSET($R18,(COLUMN(G16)-1)*35,0,1,1)/$S$3</f>
        <v>0.21721448664663923</v>
      </c>
      <c r="AB18" s="35">
        <f t="shared" ca="1" si="25"/>
        <v>1.1748539745276216E-2</v>
      </c>
    </row>
    <row r="19" spans="1:28">
      <c r="A19" s="170"/>
      <c r="B19" s="171">
        <v>-1.253875629566908</v>
      </c>
      <c r="C19" s="171">
        <v>-3.2592166127769939E-2</v>
      </c>
      <c r="D19" s="171">
        <v>0.73934661383723232</v>
      </c>
      <c r="E19" s="170">
        <f>-$L$1</f>
        <v>-1.4990492230334603E-2</v>
      </c>
      <c r="F19" s="171">
        <v>0</v>
      </c>
      <c r="G19" s="171">
        <v>0</v>
      </c>
      <c r="H19" s="177">
        <f>-$N$1</f>
        <v>-4.7716218756768064E-3</v>
      </c>
      <c r="I19" s="170">
        <v>0</v>
      </c>
      <c r="J19" s="170">
        <v>0</v>
      </c>
      <c r="L19">
        <f t="array" ref="L19:N21">SVDD(B19:D21)</f>
        <v>2.3680690780102833</v>
      </c>
      <c r="M19">
        <v>0</v>
      </c>
      <c r="N19">
        <v>0</v>
      </c>
      <c r="P19">
        <f t="shared" ref="P19" si="26">MAX(L19,M20,N21)/MIN(L19,M20,N21)</f>
        <v>2.2222525155344348</v>
      </c>
      <c r="R19" s="35">
        <f t="shared" ca="1" si="8"/>
        <v>4.6589206831506358</v>
      </c>
      <c r="U19" s="35">
        <f t="shared" ca="1" si="1"/>
        <v>2.1677787495146643E-3</v>
      </c>
      <c r="V19" s="35">
        <f t="shared" ca="1" si="2"/>
        <v>2.3008236759128404E-2</v>
      </c>
      <c r="W19" s="35">
        <f t="shared" ca="1" si="3"/>
        <v>5.0013469078588682E-2</v>
      </c>
      <c r="X19" s="35">
        <f t="shared" ca="1" si="4"/>
        <v>1.9300031341211388E-2</v>
      </c>
      <c r="Y19" s="35">
        <f t="shared" ca="1" si="5"/>
        <v>7.2405547944700083E-2</v>
      </c>
      <c r="Z19" s="35">
        <f t="shared" ca="1" si="6"/>
        <v>9.5284996573252331E-2</v>
      </c>
      <c r="AA19" s="35">
        <f t="shared" ref="AA19:AB19" ca="1" si="27">OFFSET($R19,(COLUMN(G17)-1)*35,0,1,1)/$S$3</f>
        <v>0.10733601947710228</v>
      </c>
      <c r="AB19" s="35">
        <f t="shared" ca="1" si="27"/>
        <v>8.3134297025988808E-3</v>
      </c>
    </row>
    <row r="20" spans="1:28">
      <c r="A20" s="170" t="s">
        <v>218</v>
      </c>
      <c r="B20" s="171">
        <v>1.0419123890112216</v>
      </c>
      <c r="C20" s="171">
        <v>-4.0818532431212473E-2</v>
      </c>
      <c r="D20" s="171">
        <v>0.77248383184656022</v>
      </c>
      <c r="E20" s="170">
        <v>0</v>
      </c>
      <c r="F20" s="170">
        <f>-$L$1</f>
        <v>-1.4990492230334603E-2</v>
      </c>
      <c r="G20" s="171">
        <v>0</v>
      </c>
      <c r="H20" s="171">
        <v>0</v>
      </c>
      <c r="I20" s="177">
        <f>-$N$1</f>
        <v>-4.7716218756768064E-3</v>
      </c>
      <c r="J20" s="170">
        <v>0</v>
      </c>
      <c r="L20">
        <v>0</v>
      </c>
      <c r="M20">
        <v>1.6330563866842196</v>
      </c>
      <c r="N20">
        <v>0</v>
      </c>
      <c r="R20" s="35">
        <f t="shared" ca="1" si="8"/>
        <v>3.0892013418031681</v>
      </c>
      <c r="U20" s="35">
        <f t="shared" ca="1" si="1"/>
        <v>1.4373940827008002E-3</v>
      </c>
      <c r="V20" s="35">
        <f t="shared" ca="1" si="2"/>
        <v>0.1478721527390251</v>
      </c>
      <c r="W20" s="35">
        <f t="shared" ca="1" si="3"/>
        <v>0.20255814689085719</v>
      </c>
      <c r="X20" s="35">
        <f t="shared" ca="1" si="4"/>
        <v>0.13876459201171612</v>
      </c>
      <c r="Y20" s="35">
        <f t="shared" ca="1" si="5"/>
        <v>7.4115211706482664E-2</v>
      </c>
      <c r="Z20" s="35">
        <f t="shared" ca="1" si="6"/>
        <v>2.2914880497641198E-2</v>
      </c>
      <c r="AA20" s="35">
        <f t="shared" ref="AA20:AB20" ca="1" si="28">OFFSET($R20,(COLUMN(G18)-1)*35,0,1,1)/$S$3</f>
        <v>2.1444843994240868E-2</v>
      </c>
      <c r="AB20" s="35">
        <f t="shared" ca="1" si="28"/>
        <v>2.9565515234831396E-3</v>
      </c>
    </row>
    <row r="21" spans="1:28">
      <c r="A21" s="170"/>
      <c r="B21" s="171">
        <v>-2.5457845528396139E-2</v>
      </c>
      <c r="C21" s="171">
        <v>2.3667658472617719</v>
      </c>
      <c r="D21" s="171">
        <v>6.368425350466822E-2</v>
      </c>
      <c r="E21" s="170">
        <v>0</v>
      </c>
      <c r="F21" s="171">
        <v>0</v>
      </c>
      <c r="G21" s="170">
        <f>-$L$1</f>
        <v>-1.4990492230334603E-2</v>
      </c>
      <c r="H21" s="171">
        <v>0</v>
      </c>
      <c r="I21" s="171">
        <v>0</v>
      </c>
      <c r="J21" s="177">
        <f>-$N$1</f>
        <v>-4.7716218756768064E-3</v>
      </c>
      <c r="L21">
        <v>0</v>
      </c>
      <c r="M21">
        <v>0</v>
      </c>
      <c r="N21">
        <v>1.0656165586298283</v>
      </c>
      <c r="R21" s="35">
        <f t="shared" ca="1" si="8"/>
        <v>2.5761959575841629</v>
      </c>
      <c r="U21" s="35">
        <f t="shared" ca="1" si="1"/>
        <v>1.1986945542202018E-3</v>
      </c>
      <c r="V21" s="35">
        <f t="shared" ca="1" si="2"/>
        <v>7.2038630574073406E-3</v>
      </c>
      <c r="W21" s="35">
        <f t="shared" ca="1" si="3"/>
        <v>1.1600172290614802E-2</v>
      </c>
      <c r="X21" s="35">
        <f t="shared" ca="1" si="4"/>
        <v>6.0558984501872578E-3</v>
      </c>
      <c r="Y21" s="35">
        <f t="shared" ca="1" si="5"/>
        <v>5.2762235777945882E-3</v>
      </c>
      <c r="Z21" s="35">
        <f t="shared" ca="1" si="6"/>
        <v>2.50641578280697E-3</v>
      </c>
      <c r="AA21" s="35">
        <f t="shared" ref="AA21:AB21" ca="1" si="29">OFFSET($R21,(COLUMN(G19)-1)*35,0,1,1)/$S$3</f>
        <v>2.4508208612773474E-3</v>
      </c>
      <c r="AB21" s="35">
        <f t="shared" ca="1" si="29"/>
        <v>3.1457606928681756E-3</v>
      </c>
    </row>
    <row r="22" spans="1:28">
      <c r="A22" s="170"/>
      <c r="B22" s="171"/>
      <c r="C22" s="171"/>
      <c r="D22" s="171"/>
      <c r="E22" s="170"/>
      <c r="F22" s="170"/>
      <c r="G22" s="170"/>
      <c r="H22" s="170"/>
      <c r="I22" s="170"/>
      <c r="J22" s="170"/>
      <c r="R22" s="35">
        <f t="shared" ca="1" si="8"/>
        <v>6.0546724397063105</v>
      </c>
      <c r="U22" s="35">
        <f t="shared" ca="1" si="1"/>
        <v>2.8172169355738896E-3</v>
      </c>
      <c r="V22" s="35">
        <f t="shared" ca="1" si="2"/>
        <v>8.3936581733394688E-2</v>
      </c>
      <c r="W22" s="35">
        <f t="shared" ca="1" si="3"/>
        <v>6.3760962689733316E-2</v>
      </c>
      <c r="X22" s="35">
        <f t="shared" ca="1" si="4"/>
        <v>1.9462301841567817E-2</v>
      </c>
      <c r="Y22" s="35">
        <f t="shared" ca="1" si="5"/>
        <v>5.0037946703832471E-2</v>
      </c>
      <c r="Z22" s="35">
        <f t="shared" ca="1" si="6"/>
        <v>2.9753366118358625E-2</v>
      </c>
      <c r="AA22" s="35">
        <f t="shared" ref="AA22:AB22" ca="1" si="30">OFFSET($R22,(COLUMN(G20)-1)*35,0,1,1)/$S$3</f>
        <v>0.8525477779935805</v>
      </c>
      <c r="AB22" s="35">
        <f t="shared" ca="1" si="30"/>
        <v>7.4351152942799337E-3</v>
      </c>
    </row>
    <row r="23" spans="1:28">
      <c r="A23" s="170"/>
      <c r="B23" s="171">
        <v>-1.253875629566908</v>
      </c>
      <c r="C23" s="171">
        <v>-3.2592166127769939E-2</v>
      </c>
      <c r="D23" s="171">
        <v>0.73934661383723232</v>
      </c>
      <c r="E23" s="170">
        <f>-$L$1</f>
        <v>-1.4990492230334603E-2</v>
      </c>
      <c r="F23" s="171">
        <v>0</v>
      </c>
      <c r="G23" s="171">
        <v>0</v>
      </c>
      <c r="H23" s="177">
        <f>-$N$1</f>
        <v>-4.7716218756768064E-3</v>
      </c>
      <c r="I23" s="170">
        <v>0</v>
      </c>
      <c r="J23" s="170">
        <v>0</v>
      </c>
      <c r="L23">
        <f t="array" ref="L23:N25">SVDD(B23:D25)</f>
        <v>2.4042525677023088</v>
      </c>
      <c r="M23">
        <v>0</v>
      </c>
      <c r="N23">
        <v>0</v>
      </c>
      <c r="P23">
        <f t="shared" ref="P23" si="31">MAX(L23,M24,N25)/MIN(L23,M24,N25)</f>
        <v>5.3803548414248699</v>
      </c>
      <c r="R23" s="35">
        <f t="shared" ca="1" si="8"/>
        <v>12.13640308765223</v>
      </c>
      <c r="U23" s="35">
        <f t="shared" ca="1" si="1"/>
        <v>5.6470239564509915E-3</v>
      </c>
      <c r="V23" s="35">
        <f t="shared" ca="1" si="2"/>
        <v>0.15174348126839166</v>
      </c>
      <c r="W23" s="35">
        <f t="shared" ca="1" si="3"/>
        <v>7.3386494269036179E-2</v>
      </c>
      <c r="X23" s="35">
        <f t="shared" ca="1" si="4"/>
        <v>0.71279731689324766</v>
      </c>
      <c r="Y23" s="35">
        <f t="shared" ca="1" si="5"/>
        <v>1</v>
      </c>
      <c r="Z23" s="35">
        <f t="shared" ca="1" si="6"/>
        <v>2.1009235256840463E-2</v>
      </c>
      <c r="AA23" s="35">
        <f t="shared" ref="AA23:AB23" ca="1" si="32">OFFSET($R23,(COLUMN(G21)-1)*35,0,1,1)/$S$3</f>
        <v>3.4574948513296122E-2</v>
      </c>
      <c r="AB23" s="35">
        <f t="shared" ca="1" si="32"/>
        <v>1.1456783896135872E-2</v>
      </c>
    </row>
    <row r="24" spans="1:28">
      <c r="A24" s="170" t="s">
        <v>219</v>
      </c>
      <c r="B24" s="171">
        <v>-1.4028471761352286</v>
      </c>
      <c r="C24" s="171">
        <v>0.814665459345566</v>
      </c>
      <c r="D24" s="171">
        <v>0.7195871750303805</v>
      </c>
      <c r="E24" s="170">
        <v>0</v>
      </c>
      <c r="F24" s="170">
        <f>-$L$1</f>
        <v>-1.4990492230334603E-2</v>
      </c>
      <c r="G24" s="171">
        <v>0</v>
      </c>
      <c r="H24" s="171">
        <v>0</v>
      </c>
      <c r="I24" s="177">
        <f>-$N$1</f>
        <v>-4.7716218756768064E-3</v>
      </c>
      <c r="J24" s="170">
        <v>0</v>
      </c>
      <c r="L24">
        <v>0</v>
      </c>
      <c r="M24">
        <v>1.7550460789076356</v>
      </c>
      <c r="N24">
        <v>0</v>
      </c>
      <c r="R24" s="35">
        <f t="shared" ca="1" si="8"/>
        <v>18.020767054039418</v>
      </c>
      <c r="U24" s="35">
        <f t="shared" ca="1" si="1"/>
        <v>8.3849969824518564E-3</v>
      </c>
      <c r="V24" s="35">
        <f t="shared" ca="1" si="2"/>
        <v>9.0142413820166779E-3</v>
      </c>
      <c r="W24" s="35">
        <f t="shared" ca="1" si="3"/>
        <v>5.2282085609618783E-3</v>
      </c>
      <c r="X24" s="35">
        <f t="shared" ca="1" si="4"/>
        <v>5.0172103444661529E-3</v>
      </c>
      <c r="Y24" s="35">
        <f t="shared" ca="1" si="5"/>
        <v>9.1065060021560274E-3</v>
      </c>
      <c r="Z24" s="35">
        <f t="shared" ca="1" si="6"/>
        <v>7.4036147539934573E-3</v>
      </c>
      <c r="AA24" s="35">
        <f t="shared" ref="AA24:AB24" ca="1" si="33">OFFSET($R24,(COLUMN(G22)-1)*35,0,1,1)/$S$3</f>
        <v>4.9302245076437417E-3</v>
      </c>
      <c r="AB24" s="35">
        <f t="shared" ca="1" si="33"/>
        <v>4.5074837142612904E-3</v>
      </c>
    </row>
    <row r="25" spans="1:28">
      <c r="A25" s="170"/>
      <c r="B25" s="171">
        <v>1.4421025939282253</v>
      </c>
      <c r="C25" s="171">
        <v>1.0431877148697888</v>
      </c>
      <c r="D25" s="171">
        <v>0.78932433807079116</v>
      </c>
      <c r="E25" s="170">
        <v>0</v>
      </c>
      <c r="F25" s="171">
        <v>0</v>
      </c>
      <c r="G25" s="170">
        <f>-$L$1</f>
        <v>-1.4990492230334603E-2</v>
      </c>
      <c r="H25" s="171">
        <v>0</v>
      </c>
      <c r="I25" s="171">
        <v>0</v>
      </c>
      <c r="J25" s="177">
        <f>-$N$1</f>
        <v>-4.7716218756768064E-3</v>
      </c>
      <c r="L25">
        <v>0</v>
      </c>
      <c r="M25">
        <v>0</v>
      </c>
      <c r="N25">
        <v>0.44685762158125519</v>
      </c>
      <c r="R25" s="35">
        <f t="shared" ca="1" si="8"/>
        <v>5.8822782062311054</v>
      </c>
      <c r="U25" s="35">
        <f t="shared" ca="1" si="1"/>
        <v>2.7370025294308573E-3</v>
      </c>
      <c r="V25" s="35">
        <f t="shared" ca="1" si="2"/>
        <v>2.6611886182106206E-2</v>
      </c>
      <c r="W25" s="35">
        <f t="shared" ca="1" si="3"/>
        <v>2.8211254622303755E-2</v>
      </c>
      <c r="X25" s="35">
        <f t="shared" ca="1" si="4"/>
        <v>1.5186240937178618E-2</v>
      </c>
      <c r="Y25" s="35">
        <f t="shared" ca="1" si="5"/>
        <v>2.7386810344610952E-2</v>
      </c>
      <c r="Z25" s="35">
        <f t="shared" ca="1" si="6"/>
        <v>2.2477793849384552E-2</v>
      </c>
      <c r="AA25" s="35">
        <f t="shared" ref="AA25:AB25" ca="1" si="34">OFFSET($R25,(COLUMN(G23)-1)*35,0,1,1)/$S$3</f>
        <v>1.7167652352305374E-2</v>
      </c>
      <c r="AB25" s="35">
        <f t="shared" ca="1" si="34"/>
        <v>2.0305292088492661E-3</v>
      </c>
    </row>
    <row r="26" spans="1:28">
      <c r="A26" s="170"/>
      <c r="B26" s="171"/>
      <c r="C26" s="171"/>
      <c r="D26" s="171"/>
      <c r="E26" s="170"/>
      <c r="F26" s="170"/>
      <c r="G26" s="170"/>
      <c r="H26" s="170"/>
      <c r="I26" s="170"/>
      <c r="J26" s="170"/>
      <c r="R26" s="35">
        <f t="shared" ca="1" si="8"/>
        <v>3.8811004351956018</v>
      </c>
      <c r="U26" s="35">
        <f t="shared" ca="1" si="1"/>
        <v>1.8058618337454776E-3</v>
      </c>
      <c r="V26" s="35">
        <f t="shared" ca="1" si="2"/>
        <v>3.2972073199274299E-3</v>
      </c>
      <c r="W26" s="35">
        <f t="shared" ca="1" si="3"/>
        <v>4.0605103938523186E-3</v>
      </c>
      <c r="X26" s="35">
        <f t="shared" ca="1" si="4"/>
        <v>5.1017315032691512E-3</v>
      </c>
      <c r="Y26" s="35">
        <f t="shared" ca="1" si="5"/>
        <v>3.4120276753595896E-3</v>
      </c>
      <c r="Z26" s="35">
        <f t="shared" ca="1" si="6"/>
        <v>1.9693945919498717E-3</v>
      </c>
      <c r="AA26" s="35">
        <f t="shared" ref="AA26:AB26" ca="1" si="35">OFFSET($R26,(COLUMN(G24)-1)*35,0,1,1)/$S$3</f>
        <v>2.2577515180987285E-3</v>
      </c>
      <c r="AB26" s="35">
        <f t="shared" ca="1" si="35"/>
        <v>3.3302883093553884E-3</v>
      </c>
    </row>
    <row r="27" spans="1:28">
      <c r="A27" s="170"/>
      <c r="B27" s="171">
        <v>-1.253875629566908</v>
      </c>
      <c r="C27" s="171">
        <v>-3.2592166127769939E-2</v>
      </c>
      <c r="D27" s="171">
        <v>0.73934661383723232</v>
      </c>
      <c r="E27" s="170">
        <f>-$L$1</f>
        <v>-1.4990492230334603E-2</v>
      </c>
      <c r="F27" s="171">
        <v>0</v>
      </c>
      <c r="G27" s="171">
        <v>0</v>
      </c>
      <c r="H27" s="177">
        <f>-$N$1</f>
        <v>-4.7716218756768064E-3</v>
      </c>
      <c r="I27" s="170">
        <v>0</v>
      </c>
      <c r="J27" s="170">
        <v>0</v>
      </c>
      <c r="L27">
        <f t="array" ref="L27:N29">SVDD(B27:D29)</f>
        <v>3.1236245357221506</v>
      </c>
      <c r="M27">
        <v>0</v>
      </c>
      <c r="N27">
        <v>0</v>
      </c>
      <c r="P27">
        <f t="shared" ref="P27" si="36">MAX(L27,M28,N29)/MIN(L27,M28,N29)</f>
        <v>24.281240562435144</v>
      </c>
      <c r="R27" s="35">
        <f t="shared" ca="1" si="8"/>
        <v>24.848605975354669</v>
      </c>
      <c r="U27" s="35">
        <f t="shared" ca="1" si="1"/>
        <v>1.1561965453339595E-2</v>
      </c>
      <c r="V27" s="35">
        <f t="shared" ca="1" si="2"/>
        <v>4.523438999972036E-3</v>
      </c>
      <c r="W27" s="35">
        <f t="shared" ca="1" si="3"/>
        <v>3.8048755660044309E-3</v>
      </c>
      <c r="X27" s="35">
        <f t="shared" ca="1" si="4"/>
        <v>3.3527102857829442E-3</v>
      </c>
      <c r="Y27" s="35">
        <f t="shared" ca="1" si="5"/>
        <v>3.9563679581483642E-3</v>
      </c>
      <c r="Z27" s="35">
        <f t="shared" ca="1" si="6"/>
        <v>1.7416049003776211E-3</v>
      </c>
      <c r="AA27" s="35">
        <f t="shared" ref="AA27:AB27" ca="1" si="37">OFFSET($R27,(COLUMN(G25)-1)*35,0,1,1)/$S$3</f>
        <v>2.2572065747584998E-3</v>
      </c>
      <c r="AB27" s="35">
        <f t="shared" ca="1" si="37"/>
        <v>1.594355244249099E-3</v>
      </c>
    </row>
    <row r="28" spans="1:28">
      <c r="A28" s="170" t="s">
        <v>220</v>
      </c>
      <c r="B28" s="171">
        <v>-1.4028471761352286</v>
      </c>
      <c r="C28" s="171">
        <v>0.814665459345566</v>
      </c>
      <c r="D28" s="171">
        <v>0.7195871750303805</v>
      </c>
      <c r="E28" s="170">
        <v>0</v>
      </c>
      <c r="F28" s="170">
        <f>-$L$1</f>
        <v>-1.4990492230334603E-2</v>
      </c>
      <c r="G28" s="171">
        <v>0</v>
      </c>
      <c r="H28" s="171">
        <v>0</v>
      </c>
      <c r="I28" s="177">
        <f>-$N$1</f>
        <v>-4.7716218756768064E-3</v>
      </c>
      <c r="J28" s="170">
        <v>0</v>
      </c>
      <c r="L28">
        <v>0</v>
      </c>
      <c r="M28">
        <v>1.2963604329289398</v>
      </c>
      <c r="N28">
        <v>0</v>
      </c>
      <c r="R28" s="35">
        <f t="shared" ca="1" si="8"/>
        <v>7.3654400484483462</v>
      </c>
      <c r="U28" s="35">
        <f t="shared" ca="1" si="1"/>
        <v>3.427112308564352E-3</v>
      </c>
      <c r="V28" s="35">
        <f t="shared" ca="1" si="2"/>
        <v>2.965258503239239E-2</v>
      </c>
      <c r="W28" s="35">
        <f t="shared" ca="1" si="3"/>
        <v>3.6099050458206383E-2</v>
      </c>
      <c r="X28" s="35">
        <f t="shared" ca="1" si="4"/>
        <v>3.7183697279905739E-2</v>
      </c>
      <c r="Y28" s="35">
        <f t="shared" ca="1" si="5"/>
        <v>3.6192946582351337E-2</v>
      </c>
      <c r="Z28" s="35">
        <f t="shared" ca="1" si="6"/>
        <v>3.9490933393081677E-2</v>
      </c>
      <c r="AA28" s="35">
        <f t="shared" ref="AA28:AB28" ca="1" si="38">OFFSET($R28,(COLUMN(G26)-1)*35,0,1,1)/$S$3</f>
        <v>0.10401439012082403</v>
      </c>
      <c r="AB28" s="35">
        <f t="shared" ca="1" si="38"/>
        <v>5.6302949203561473E-3</v>
      </c>
    </row>
    <row r="29" spans="1:28">
      <c r="A29" s="170"/>
      <c r="B29" s="171">
        <v>-1.0351585166444348</v>
      </c>
      <c r="C29" s="171">
        <v>2.1037449841221099</v>
      </c>
      <c r="D29" s="171">
        <v>0.82913701269133588</v>
      </c>
      <c r="E29" s="170">
        <v>0</v>
      </c>
      <c r="F29" s="171">
        <v>0</v>
      </c>
      <c r="G29" s="170">
        <f>-$L$1</f>
        <v>-1.4990492230334603E-2</v>
      </c>
      <c r="H29" s="171">
        <v>0</v>
      </c>
      <c r="I29" s="171">
        <v>0</v>
      </c>
      <c r="J29" s="177">
        <f>-$N$1</f>
        <v>-4.7716218756768064E-3</v>
      </c>
      <c r="L29">
        <v>0</v>
      </c>
      <c r="M29">
        <v>0</v>
      </c>
      <c r="N29">
        <v>0.12864353152345215</v>
      </c>
      <c r="R29" s="35">
        <f t="shared" ca="1" si="8"/>
        <v>6.5826761170413119</v>
      </c>
      <c r="U29" s="35">
        <f t="shared" ca="1" si="1"/>
        <v>3.0628951149710907E-3</v>
      </c>
      <c r="V29" s="35">
        <f t="shared" ca="1" si="2"/>
        <v>0.8557681563057965</v>
      </c>
      <c r="W29" s="35">
        <f t="shared" ca="1" si="3"/>
        <v>0.11327148057081397</v>
      </c>
      <c r="X29" s="35">
        <f t="shared" ca="1" si="4"/>
        <v>0.17876113966754248</v>
      </c>
      <c r="Y29" s="35">
        <f t="shared" ca="1" si="5"/>
        <v>8.8608588470029157E-2</v>
      </c>
      <c r="Z29" s="35">
        <f t="shared" ca="1" si="6"/>
        <v>1.5387083267558612E-2</v>
      </c>
      <c r="AA29" s="35">
        <f t="shared" ref="AA29:AB29" ca="1" si="39">OFFSET($R29,(COLUMN(G27)-1)*35,0,1,1)/$S$3</f>
        <v>1.5686214463755819E-2</v>
      </c>
      <c r="AB29" s="35">
        <f t="shared" ca="1" si="39"/>
        <v>3.1266863452654057E-3</v>
      </c>
    </row>
    <row r="30" spans="1:28">
      <c r="A30" s="170"/>
      <c r="B30" s="171"/>
      <c r="C30" s="171"/>
      <c r="D30" s="171"/>
      <c r="E30" s="170"/>
      <c r="F30" s="170"/>
      <c r="G30" s="170"/>
      <c r="H30" s="170"/>
      <c r="I30" s="170"/>
      <c r="J30" s="170"/>
      <c r="R30" s="35">
        <f t="shared" ca="1" si="8"/>
        <v>3.1648692167093064</v>
      </c>
      <c r="U30" s="35">
        <f t="shared" ca="1" si="1"/>
        <v>1.4726020680686759E-3</v>
      </c>
      <c r="V30" s="35">
        <f t="shared" ca="1" si="2"/>
        <v>6.6445794137398786E-3</v>
      </c>
      <c r="W30" s="35">
        <f t="shared" ca="1" si="3"/>
        <v>4.8939633303749864E-3</v>
      </c>
      <c r="X30" s="35">
        <f t="shared" ca="1" si="4"/>
        <v>6.6582308822889322E-3</v>
      </c>
      <c r="Y30" s="35">
        <f t="shared" ca="1" si="5"/>
        <v>4.1821074077586966E-3</v>
      </c>
      <c r="Z30" s="35">
        <f t="shared" ca="1" si="6"/>
        <v>2.3986721089615613E-3</v>
      </c>
      <c r="AA30" s="35">
        <f t="shared" ref="AA30:AB30" ca="1" si="40">OFFSET($R30,(COLUMN(G28)-1)*35,0,1,1)/$S$3</f>
        <v>1.9639101063275975E-3</v>
      </c>
      <c r="AB30" s="35">
        <f t="shared" ca="1" si="40"/>
        <v>2.4736518342715276E-3</v>
      </c>
    </row>
    <row r="31" spans="1:28">
      <c r="A31" s="170"/>
      <c r="B31" s="171">
        <v>-1.253875629566908</v>
      </c>
      <c r="C31" s="171">
        <v>-3.2592166127769939E-2</v>
      </c>
      <c r="D31" s="171">
        <v>0.73934661383723232</v>
      </c>
      <c r="E31" s="170">
        <f>-$L$1</f>
        <v>-1.4990492230334603E-2</v>
      </c>
      <c r="F31" s="171">
        <v>0</v>
      </c>
      <c r="G31" s="171">
        <v>0</v>
      </c>
      <c r="H31" s="177">
        <f>-$N$1</f>
        <v>-4.7716218756768064E-3</v>
      </c>
      <c r="I31" s="170">
        <v>0</v>
      </c>
      <c r="J31" s="170">
        <v>0</v>
      </c>
      <c r="L31">
        <f t="array" ref="L31:N33">SVDD(B31:D33)</f>
        <v>2.488006770944339</v>
      </c>
      <c r="M31">
        <v>0</v>
      </c>
      <c r="N31">
        <v>0</v>
      </c>
      <c r="P31">
        <f t="shared" ref="P31" si="41">MAX(L31,M32,N33)/MIN(L31,M32,N33)</f>
        <v>8.8077991376995399</v>
      </c>
      <c r="R31" s="35">
        <f t="shared" ca="1" si="8"/>
        <v>16.234426054507814</v>
      </c>
      <c r="U31" s="35">
        <f t="shared" ca="1" si="1"/>
        <v>7.5538190505810244E-3</v>
      </c>
      <c r="V31" s="35">
        <f t="shared" ca="1" si="2"/>
        <v>2.7667309292672481E-2</v>
      </c>
      <c r="W31" s="35">
        <f t="shared" ca="1" si="3"/>
        <v>2.5497643612000805E-2</v>
      </c>
      <c r="X31" s="35">
        <f t="shared" ca="1" si="4"/>
        <v>1.7771275311888244E-2</v>
      </c>
      <c r="Y31" s="35">
        <f t="shared" ca="1" si="5"/>
        <v>2.6236224395142869E-2</v>
      </c>
      <c r="Z31" s="35">
        <f t="shared" ca="1" si="6"/>
        <v>4.8125641909411508E-2</v>
      </c>
      <c r="AA31" s="35">
        <f t="shared" ref="AA31:AB31" ca="1" si="42">OFFSET($R31,(COLUMN(G29)-1)*35,0,1,1)/$S$3</f>
        <v>2.4620830589450308E-2</v>
      </c>
      <c r="AB31" s="35">
        <f t="shared" ca="1" si="42"/>
        <v>3.0579804638747325E-3</v>
      </c>
    </row>
    <row r="32" spans="1:28">
      <c r="A32" s="170" t="s">
        <v>221</v>
      </c>
      <c r="B32" s="171">
        <v>-1.4028471761352286</v>
      </c>
      <c r="C32" s="171">
        <v>0.814665459345566</v>
      </c>
      <c r="D32" s="171">
        <v>0.7195871750303805</v>
      </c>
      <c r="E32" s="170">
        <v>0</v>
      </c>
      <c r="F32" s="170">
        <f>-$L$1</f>
        <v>-1.4990492230334603E-2</v>
      </c>
      <c r="G32" s="171">
        <v>0</v>
      </c>
      <c r="H32" s="171">
        <v>0</v>
      </c>
      <c r="I32" s="177">
        <f>-$N$1</f>
        <v>-4.7716218756768064E-3</v>
      </c>
      <c r="J32" s="170">
        <v>0</v>
      </c>
      <c r="L32">
        <v>0</v>
      </c>
      <c r="M32">
        <v>2.0612676932109228</v>
      </c>
      <c r="N32">
        <v>0</v>
      </c>
      <c r="R32" s="35">
        <f t="shared" ca="1" si="8"/>
        <v>21.390548698925272</v>
      </c>
      <c r="U32" s="35">
        <f t="shared" ca="1" si="1"/>
        <v>9.9529440536924203E-3</v>
      </c>
      <c r="V32" s="35">
        <f t="shared" ca="1" si="2"/>
        <v>9.8505028024531722E-3</v>
      </c>
      <c r="W32" s="35">
        <f t="shared" ca="1" si="3"/>
        <v>5.0898067430484801E-3</v>
      </c>
      <c r="X32" s="35">
        <f t="shared" ca="1" si="4"/>
        <v>2.9146032978463322E-3</v>
      </c>
      <c r="Y32" s="35">
        <f t="shared" ca="1" si="5"/>
        <v>2.7759350490759822E-3</v>
      </c>
      <c r="Z32" s="35">
        <f t="shared" ca="1" si="6"/>
        <v>3.9565009068696019E-3</v>
      </c>
      <c r="AA32" s="35">
        <f t="shared" ref="AA32:AB32" ca="1" si="43">OFFSET($R32,(COLUMN(G30)-1)*35,0,1,1)/$S$3</f>
        <v>3.0544980309778289E-3</v>
      </c>
      <c r="AB32" s="35">
        <f t="shared" ca="1" si="43"/>
        <v>5.2975046989748352E-3</v>
      </c>
    </row>
    <row r="33" spans="1:28">
      <c r="A33" s="170"/>
      <c r="B33" s="171">
        <v>0.58367185674448252</v>
      </c>
      <c r="C33" s="171">
        <v>2.0841504898711007</v>
      </c>
      <c r="D33" s="171">
        <v>0.75171422039661484</v>
      </c>
      <c r="E33" s="170">
        <v>0</v>
      </c>
      <c r="F33" s="171">
        <v>0</v>
      </c>
      <c r="G33" s="170">
        <f>-$L$1</f>
        <v>-1.4990492230334603E-2</v>
      </c>
      <c r="H33" s="171">
        <v>0</v>
      </c>
      <c r="I33" s="171">
        <v>0</v>
      </c>
      <c r="J33" s="177">
        <f>-$N$1</f>
        <v>-4.7716218756768064E-3</v>
      </c>
      <c r="L33">
        <v>0</v>
      </c>
      <c r="M33">
        <v>0</v>
      </c>
      <c r="N33">
        <v>0.28247769187821958</v>
      </c>
      <c r="R33" s="35">
        <f t="shared" ca="1" si="8"/>
        <v>5.3134649198272017</v>
      </c>
      <c r="U33" s="35">
        <f t="shared" ca="1" si="1"/>
        <v>2.4723357882331701E-3</v>
      </c>
      <c r="V33" s="35">
        <f t="shared" ca="1" si="2"/>
        <v>4.7166158791975684E-3</v>
      </c>
      <c r="W33" s="35">
        <f t="shared" ca="1" si="3"/>
        <v>4.0048319827518481E-3</v>
      </c>
      <c r="X33" s="35">
        <f t="shared" ca="1" si="4"/>
        <v>3.6898373280579138E-3</v>
      </c>
      <c r="Y33" s="35">
        <f t="shared" ca="1" si="5"/>
        <v>3.5261255974567635E-3</v>
      </c>
      <c r="Z33" s="35">
        <f t="shared" ca="1" si="6"/>
        <v>2.9742423975155463E-3</v>
      </c>
      <c r="AA33" s="35">
        <f t="shared" ref="AA33:AB33" ca="1" si="44">OFFSET($R33,(COLUMN(G31)-1)*35,0,1,1)/$S$3</f>
        <v>1.607893183805561E-3</v>
      </c>
      <c r="AB33" s="35">
        <f t="shared" ca="1" si="44"/>
        <v>1.9512900709030819E-3</v>
      </c>
    </row>
    <row r="34" spans="1:28">
      <c r="A34" s="170"/>
      <c r="B34" s="171"/>
      <c r="C34" s="171"/>
      <c r="D34" s="171"/>
      <c r="E34" s="170"/>
      <c r="F34" s="170"/>
      <c r="G34" s="170"/>
      <c r="H34" s="170"/>
      <c r="I34" s="170"/>
      <c r="J34" s="170"/>
      <c r="R34" s="35">
        <f t="shared" ca="1" si="8"/>
        <v>13.908174758807807</v>
      </c>
      <c r="U34" s="35">
        <f t="shared" ca="1" si="1"/>
        <v>6.4714228331293902E-3</v>
      </c>
      <c r="V34" s="35">
        <f t="shared" ca="1" si="2"/>
        <v>3.3472266228384957E-2</v>
      </c>
      <c r="W34" s="35">
        <f t="shared" ca="1" si="3"/>
        <v>4.1068372245798075E-2</v>
      </c>
      <c r="X34" s="35">
        <f t="shared" ca="1" si="4"/>
        <v>2.368195622143561E-2</v>
      </c>
      <c r="Y34" s="35">
        <f t="shared" ca="1" si="5"/>
        <v>2.4673257797662305E-2</v>
      </c>
      <c r="Z34" s="35">
        <f t="shared" ca="1" si="6"/>
        <v>1.7146087406626983E-2</v>
      </c>
      <c r="AA34" s="35">
        <f t="shared" ref="AA34:AB34" ca="1" si="45">OFFSET($R34,(COLUMN(G32)-1)*35,0,1,1)/$S$3</f>
        <v>1.4279599118654937E-2</v>
      </c>
      <c r="AB34" s="35">
        <f t="shared" ca="1" si="45"/>
        <v>2.0612889458582195E-3</v>
      </c>
    </row>
    <row r="35" spans="1:28">
      <c r="A35" s="170"/>
      <c r="B35" s="171">
        <v>-1.253875629566908</v>
      </c>
      <c r="C35" s="171">
        <v>-3.2592166127769939E-2</v>
      </c>
      <c r="D35" s="171">
        <v>0.73934661383723232</v>
      </c>
      <c r="E35" s="170">
        <f>-$L$1</f>
        <v>-1.4990492230334603E-2</v>
      </c>
      <c r="F35" s="171">
        <v>0</v>
      </c>
      <c r="G35" s="171">
        <v>0</v>
      </c>
      <c r="H35" s="177">
        <f>-$N$1</f>
        <v>-4.7716218756768064E-3</v>
      </c>
      <c r="I35" s="170">
        <v>0</v>
      </c>
      <c r="J35" s="170">
        <v>0</v>
      </c>
      <c r="L35">
        <f t="array" ref="L35:N37">SVDD(B35:D37)</f>
        <v>2.651591284652667</v>
      </c>
      <c r="M35">
        <v>0</v>
      </c>
      <c r="N35">
        <v>0</v>
      </c>
      <c r="P35">
        <f t="shared" ref="P35" si="46">MAX(L35,M36,N37)/MIN(L35,M36,N37)</f>
        <v>37.099744408603527</v>
      </c>
      <c r="R35" s="35">
        <f t="shared" ca="1" si="8"/>
        <v>4.7248309144760778</v>
      </c>
      <c r="U35" s="35">
        <f t="shared" ca="1" si="1"/>
        <v>2.19844653902214E-3</v>
      </c>
      <c r="V35" s="35">
        <f t="shared" ca="1" si="2"/>
        <v>3.5004664610231982E-3</v>
      </c>
      <c r="W35" s="35">
        <f t="shared" ca="1" si="3"/>
        <v>3.7748031109670573E-3</v>
      </c>
      <c r="X35" s="35">
        <f t="shared" ca="1" si="4"/>
        <v>3.1438437596314189E-3</v>
      </c>
      <c r="Y35" s="35">
        <f t="shared" ca="1" si="5"/>
        <v>4.0699765389870463E-3</v>
      </c>
      <c r="Z35" s="35">
        <f t="shared" ca="1" si="6"/>
        <v>1.9370721454461774E-3</v>
      </c>
      <c r="AA35" s="35">
        <f t="shared" ref="AA35:AB35" ca="1" si="47">OFFSET($R35,(COLUMN(G33)-1)*35,0,1,1)/$S$3</f>
        <v>1.8761418144596896E-3</v>
      </c>
      <c r="AB35" s="35">
        <f t="shared" ca="1" si="47"/>
        <v>2.5450480528708477E-3</v>
      </c>
    </row>
    <row r="36" spans="1:28">
      <c r="A36" s="170" t="s">
        <v>222</v>
      </c>
      <c r="B36" s="171">
        <v>-1.4028471761352286</v>
      </c>
      <c r="C36" s="171">
        <v>0.814665459345566</v>
      </c>
      <c r="D36" s="171">
        <v>0.7195871750303805</v>
      </c>
      <c r="E36" s="170">
        <v>0</v>
      </c>
      <c r="F36" s="170">
        <f>-$L$1</f>
        <v>-1.4990492230334603E-2</v>
      </c>
      <c r="G36" s="171">
        <v>0</v>
      </c>
      <c r="H36" s="171">
        <v>0</v>
      </c>
      <c r="I36" s="177">
        <f>-$N$1</f>
        <v>-4.7716218756768064E-3</v>
      </c>
      <c r="J36" s="170">
        <v>0</v>
      </c>
      <c r="L36">
        <v>0</v>
      </c>
      <c r="M36">
        <v>1.9594910697279393</v>
      </c>
      <c r="N36">
        <v>0</v>
      </c>
      <c r="R36" s="35">
        <f t="shared" ca="1" si="8"/>
        <v>13.812589110219603</v>
      </c>
      <c r="U36" s="35">
        <f t="shared" ca="1" si="1"/>
        <v>6.4269471805351169E-3</v>
      </c>
      <c r="V36" s="35">
        <f t="shared" ca="1" si="2"/>
        <v>6.0512405402459741E-3</v>
      </c>
      <c r="W36" s="35">
        <f t="shared" ca="1" si="3"/>
        <v>5.7230222196591575E-3</v>
      </c>
      <c r="X36" s="35">
        <f t="shared" ca="1" si="4"/>
        <v>5.0847164794319494E-3</v>
      </c>
      <c r="Y36" s="35">
        <f t="shared" ca="1" si="5"/>
        <v>4.1065405697672764E-3</v>
      </c>
      <c r="Z36" s="35">
        <f t="shared" ca="1" si="6"/>
        <v>1.5547135894979911E-3</v>
      </c>
      <c r="AA36" s="35">
        <f t="shared" ref="AA36:AB36" ca="1" si="48">OFFSET($R36,(COLUMN(G34)-1)*35,0,1,1)/$S$3</f>
        <v>2.290957867384009E-3</v>
      </c>
      <c r="AB36" s="35">
        <f t="shared" ca="1" si="48"/>
        <v>1.7158422273198131E-3</v>
      </c>
    </row>
    <row r="37" spans="1:28">
      <c r="A37" s="170"/>
      <c r="B37" s="171">
        <v>-2.5457845528396139E-2</v>
      </c>
      <c r="C37" s="171">
        <v>2.3667658472617719</v>
      </c>
      <c r="D37" s="171">
        <v>6.368425350466822E-2</v>
      </c>
      <c r="E37" s="170">
        <v>0</v>
      </c>
      <c r="F37" s="171">
        <v>0</v>
      </c>
      <c r="G37" s="170">
        <f>-$L$1</f>
        <v>-1.4990492230334603E-2</v>
      </c>
      <c r="H37" s="171">
        <v>0</v>
      </c>
      <c r="I37" s="171">
        <v>0</v>
      </c>
      <c r="J37" s="177">
        <f>-$N$1</f>
        <v>-4.7716218756768064E-3</v>
      </c>
      <c r="L37">
        <v>0</v>
      </c>
      <c r="M37">
        <v>0</v>
      </c>
      <c r="N37">
        <v>7.147195558678178E-2</v>
      </c>
      <c r="R37" s="35">
        <f t="shared" ca="1" si="8"/>
        <v>6.4227760464603234</v>
      </c>
      <c r="U37" s="35">
        <f t="shared" ca="1" si="1"/>
        <v>2.988494197113663E-3</v>
      </c>
      <c r="V37" s="35">
        <f t="shared" ca="1" si="2"/>
        <v>3.5581177268240042E-3</v>
      </c>
      <c r="W37" s="35">
        <f t="shared" ca="1" si="3"/>
        <v>3.987270253635186E-3</v>
      </c>
      <c r="X37" s="35">
        <f t="shared" ca="1" si="4"/>
        <v>2.7695593731638566E-3</v>
      </c>
      <c r="Y37" s="35">
        <f t="shared" ca="1" si="5"/>
        <v>4.2358306023054584E-3</v>
      </c>
      <c r="Z37" s="35">
        <f t="shared" ca="1" si="6"/>
        <v>4.0781063967259314E-3</v>
      </c>
      <c r="AA37" s="35">
        <f t="shared" ref="AA37:AB37" ca="1" si="49">OFFSET($R37,(COLUMN(G35)-1)*35,0,1,1)/$S$3</f>
        <v>1.4859129151665877E-3</v>
      </c>
      <c r="AB37" s="35">
        <f t="shared" ca="1" si="49"/>
        <v>2.6794635812882666E-3</v>
      </c>
    </row>
    <row r="38" spans="1:28">
      <c r="A38" s="170"/>
      <c r="B38" s="171"/>
      <c r="C38" s="171"/>
      <c r="D38" s="171"/>
      <c r="E38" s="170"/>
      <c r="F38" s="170"/>
      <c r="G38" s="170"/>
      <c r="H38" s="170"/>
      <c r="I38" s="170"/>
      <c r="J38" s="170"/>
      <c r="R38" s="35">
        <f t="shared" ca="1" si="8"/>
        <v>4.0468810703453864</v>
      </c>
    </row>
    <row r="39" spans="1:28">
      <c r="A39" s="170"/>
      <c r="B39" s="171">
        <v>-1.253875629566908</v>
      </c>
      <c r="C39" s="171">
        <v>-3.2592166127769939E-2</v>
      </c>
      <c r="D39" s="171">
        <v>0.73934661383723232</v>
      </c>
      <c r="E39" s="170">
        <f>-$L$1</f>
        <v>-1.4990492230334603E-2</v>
      </c>
      <c r="F39" s="171">
        <v>0</v>
      </c>
      <c r="G39" s="171">
        <v>0</v>
      </c>
      <c r="H39" s="177">
        <f>-$N$1</f>
        <v>-4.7716218756768064E-3</v>
      </c>
      <c r="I39" s="170">
        <v>0</v>
      </c>
      <c r="J39" s="170">
        <v>0</v>
      </c>
      <c r="L39">
        <f t="array" ref="L39:N41">SVDD(B39:D41)</f>
        <v>2.6696215673144486</v>
      </c>
      <c r="M39">
        <v>0</v>
      </c>
      <c r="N39">
        <v>0</v>
      </c>
      <c r="P39">
        <f t="shared" ref="P39" si="50">MAX(L39,M40,N41)/MIN(L39,M40,N41)</f>
        <v>3.6568969588621991</v>
      </c>
      <c r="R39" s="35">
        <f t="shared" ca="1" si="8"/>
        <v>6.5562246319096911</v>
      </c>
    </row>
    <row r="40" spans="1:28">
      <c r="A40" s="170" t="s">
        <v>223</v>
      </c>
      <c r="B40" s="171">
        <v>1.4421025939282253</v>
      </c>
      <c r="C40" s="171">
        <v>1.0431877148697888</v>
      </c>
      <c r="D40" s="171">
        <v>0.78932433807079116</v>
      </c>
      <c r="E40" s="170">
        <v>0</v>
      </c>
      <c r="F40" s="170">
        <f>-$L$1</f>
        <v>-1.4990492230334603E-2</v>
      </c>
      <c r="G40" s="171">
        <v>0</v>
      </c>
      <c r="H40" s="171">
        <v>0</v>
      </c>
      <c r="I40" s="177">
        <f>-$N$1</f>
        <v>-4.7716218756768064E-3</v>
      </c>
      <c r="J40" s="170">
        <v>0</v>
      </c>
      <c r="L40">
        <v>0</v>
      </c>
      <c r="M40">
        <v>2.1061299830647373</v>
      </c>
      <c r="N40">
        <v>0</v>
      </c>
      <c r="R40" s="35">
        <f t="shared" ca="1" si="8"/>
        <v>4.0319098330014373</v>
      </c>
    </row>
    <row r="41" spans="1:28">
      <c r="A41" s="170"/>
      <c r="B41" s="171">
        <v>-1.0351585166444348</v>
      </c>
      <c r="C41" s="171">
        <v>2.1037449841221099</v>
      </c>
      <c r="D41" s="171">
        <v>0.82913701269133588</v>
      </c>
      <c r="E41" s="170">
        <v>0</v>
      </c>
      <c r="F41" s="171">
        <v>0</v>
      </c>
      <c r="G41" s="170">
        <f>-$L$1</f>
        <v>-1.4990492230334603E-2</v>
      </c>
      <c r="H41" s="171">
        <v>0</v>
      </c>
      <c r="I41" s="171">
        <v>0</v>
      </c>
      <c r="J41" s="177">
        <f>-$N$1</f>
        <v>-4.7716218756768064E-3</v>
      </c>
      <c r="L41">
        <v>0</v>
      </c>
      <c r="M41">
        <v>0</v>
      </c>
      <c r="N41">
        <v>0.73002373251038233</v>
      </c>
      <c r="R41" s="35">
        <f t="shared" ca="1" si="8"/>
        <v>5.3172710655545243</v>
      </c>
    </row>
    <row r="42" spans="1:28">
      <c r="A42" s="170"/>
      <c r="B42" s="171"/>
      <c r="C42" s="171"/>
      <c r="D42" s="171"/>
      <c r="E42" s="170"/>
      <c r="F42" s="170"/>
      <c r="G42" s="170"/>
      <c r="H42" s="170"/>
      <c r="I42" s="170"/>
      <c r="J42" s="170"/>
      <c r="R42" s="35">
        <f t="shared" ca="1" si="8"/>
        <v>5.1746470606257837</v>
      </c>
    </row>
    <row r="43" spans="1:28">
      <c r="A43" s="170"/>
      <c r="B43" s="171">
        <v>-1.253875629566908</v>
      </c>
      <c r="C43" s="171">
        <v>-3.2592166127769939E-2</v>
      </c>
      <c r="D43" s="171">
        <v>0.73934661383723232</v>
      </c>
      <c r="E43" s="170">
        <f>-$L$1</f>
        <v>-1.4990492230334603E-2</v>
      </c>
      <c r="F43" s="171">
        <v>0</v>
      </c>
      <c r="G43" s="171">
        <v>0</v>
      </c>
      <c r="H43" s="177">
        <f>-$N$1</f>
        <v>-4.7716218756768064E-3</v>
      </c>
      <c r="I43" s="170">
        <v>0</v>
      </c>
      <c r="J43" s="170">
        <v>0</v>
      </c>
      <c r="L43">
        <f t="array" ref="L43:N45">SVDD(B43:D45)</f>
        <v>2.8914255768305006</v>
      </c>
      <c r="M43">
        <v>0</v>
      </c>
      <c r="N43">
        <v>0</v>
      </c>
      <c r="P43">
        <f t="shared" ref="P43" si="51">MAX(L43,M44,N45)/MIN(L43,M44,N45)</f>
        <v>4.497468867237159</v>
      </c>
      <c r="R43" s="35">
        <f t="shared" ca="1" si="8"/>
        <v>5.3206171986713269</v>
      </c>
    </row>
    <row r="44" spans="1:28">
      <c r="A44" s="170" t="s">
        <v>224</v>
      </c>
      <c r="B44" s="171">
        <v>1.4421025939282253</v>
      </c>
      <c r="C44" s="171">
        <v>1.0431877148697888</v>
      </c>
      <c r="D44" s="171">
        <v>0.78932433807079116</v>
      </c>
      <c r="E44" s="170">
        <v>0</v>
      </c>
      <c r="F44" s="170">
        <f>-$L$1</f>
        <v>-1.4990492230334603E-2</v>
      </c>
      <c r="G44" s="171">
        <v>0</v>
      </c>
      <c r="H44" s="171">
        <v>0</v>
      </c>
      <c r="I44" s="177">
        <f>-$N$1</f>
        <v>-4.7716218756768064E-3</v>
      </c>
      <c r="J44" s="170">
        <v>0</v>
      </c>
      <c r="L44">
        <v>0</v>
      </c>
      <c r="M44">
        <v>1.5448625992931753</v>
      </c>
      <c r="N44">
        <v>0</v>
      </c>
      <c r="R44" s="35">
        <f t="shared" ca="1" si="8"/>
        <v>14.924598791824929</v>
      </c>
    </row>
    <row r="45" spans="1:28">
      <c r="A45" s="170"/>
      <c r="B45" s="171">
        <v>0.58367185674448252</v>
      </c>
      <c r="C45" s="171">
        <v>2.0841504898711007</v>
      </c>
      <c r="D45" s="171">
        <v>0.75171422039661484</v>
      </c>
      <c r="E45" s="170">
        <v>0</v>
      </c>
      <c r="F45" s="171">
        <v>0</v>
      </c>
      <c r="G45" s="170">
        <f>-$L$1</f>
        <v>-1.4990492230334603E-2</v>
      </c>
      <c r="H45" s="171">
        <v>0</v>
      </c>
      <c r="I45" s="171">
        <v>0</v>
      </c>
      <c r="J45" s="177">
        <f>-$N$1</f>
        <v>-4.7716218756768064E-3</v>
      </c>
      <c r="L45">
        <v>0</v>
      </c>
      <c r="M45">
        <v>0</v>
      </c>
      <c r="N45">
        <v>0.64290063192960645</v>
      </c>
      <c r="R45" s="35">
        <f t="shared" ca="1" si="8"/>
        <v>7.888357243357154</v>
      </c>
    </row>
    <row r="46" spans="1:28" ht="19.5" customHeight="1">
      <c r="A46" s="170"/>
      <c r="B46" s="171"/>
      <c r="C46" s="171"/>
      <c r="D46" s="171"/>
      <c r="E46" s="170"/>
      <c r="F46" s="170"/>
      <c r="G46" s="170"/>
      <c r="H46" s="170"/>
      <c r="I46" s="170"/>
      <c r="J46" s="170"/>
      <c r="R46" s="35">
        <f t="shared" ca="1" si="8"/>
        <v>31.543651568563895</v>
      </c>
    </row>
    <row r="47" spans="1:28">
      <c r="A47" s="170"/>
      <c r="B47" s="171">
        <v>-1.253875629566908</v>
      </c>
      <c r="C47" s="171">
        <v>-3.2592166127769939E-2</v>
      </c>
      <c r="D47" s="171">
        <v>0.73934661383723232</v>
      </c>
      <c r="E47" s="170">
        <f>-$L$1</f>
        <v>-1.4990492230334603E-2</v>
      </c>
      <c r="F47" s="171">
        <v>0</v>
      </c>
      <c r="G47" s="171">
        <v>0</v>
      </c>
      <c r="H47" s="177">
        <f>-$N$1</f>
        <v>-4.7716218756768064E-3</v>
      </c>
      <c r="I47" s="170">
        <v>0</v>
      </c>
      <c r="J47" s="170">
        <v>0</v>
      </c>
      <c r="L47">
        <f t="array" ref="L47:N49">SVDD(B47:D49)</f>
        <v>2.728172117965062</v>
      </c>
      <c r="M47">
        <v>0</v>
      </c>
      <c r="N47">
        <v>0</v>
      </c>
      <c r="P47">
        <f t="shared" ref="P47" si="52">MAX(L47,M48,N49)/MIN(L47,M48,N49)</f>
        <v>2.7091989128856673</v>
      </c>
      <c r="R47" s="35">
        <f t="shared" ca="1" si="8"/>
        <v>5.1709959027855508</v>
      </c>
    </row>
    <row r="48" spans="1:28">
      <c r="A48" s="170" t="s">
        <v>225</v>
      </c>
      <c r="B48" s="171">
        <v>1.4421025939282253</v>
      </c>
      <c r="C48" s="171">
        <v>1.0431877148697888</v>
      </c>
      <c r="D48" s="171">
        <v>0.78932433807079116</v>
      </c>
      <c r="E48" s="170">
        <v>0</v>
      </c>
      <c r="F48" s="170">
        <f>-$L$1</f>
        <v>-1.4990492230334603E-2</v>
      </c>
      <c r="G48" s="171">
        <v>0</v>
      </c>
      <c r="H48" s="171">
        <v>0</v>
      </c>
      <c r="I48" s="177">
        <f>-$N$1</f>
        <v>-4.7716218756768064E-3</v>
      </c>
      <c r="J48" s="170">
        <v>0</v>
      </c>
      <c r="L48">
        <v>0</v>
      </c>
      <c r="M48">
        <v>1.7493252627543197</v>
      </c>
      <c r="N48">
        <v>0</v>
      </c>
      <c r="R48" s="35">
        <f t="shared" ca="1" si="8"/>
        <v>7.1675826345810227</v>
      </c>
    </row>
    <row r="49" spans="1:21">
      <c r="A49" s="170"/>
      <c r="B49" s="171">
        <v>-2.5457845528396139E-2</v>
      </c>
      <c r="C49" s="171">
        <v>2.3667658472617719</v>
      </c>
      <c r="D49" s="171">
        <v>6.368425350466822E-2</v>
      </c>
      <c r="E49" s="170">
        <v>0</v>
      </c>
      <c r="F49" s="171">
        <v>0</v>
      </c>
      <c r="G49" s="170">
        <f>-$L$1</f>
        <v>-1.4990492230334603E-2</v>
      </c>
      <c r="H49" s="171">
        <v>0</v>
      </c>
      <c r="I49" s="171">
        <v>0</v>
      </c>
      <c r="J49" s="177">
        <f>-$N$1</f>
        <v>-4.7716218756768064E-3</v>
      </c>
      <c r="L49">
        <v>0</v>
      </c>
      <c r="M49">
        <v>0</v>
      </c>
      <c r="N49">
        <v>1.0070032528763957</v>
      </c>
      <c r="R49" s="35">
        <f t="shared" ca="1" si="8"/>
        <v>5.020555181865034</v>
      </c>
    </row>
    <row r="50" spans="1:21">
      <c r="A50" s="170"/>
      <c r="B50" s="171"/>
      <c r="C50" s="171"/>
      <c r="D50" s="171"/>
      <c r="E50" s="170"/>
      <c r="F50" s="170"/>
      <c r="G50" s="170"/>
      <c r="H50" s="170"/>
      <c r="I50" s="170"/>
      <c r="J50" s="170"/>
      <c r="R50" s="35">
        <f t="shared" ca="1" si="8"/>
        <v>8.0179728515029733</v>
      </c>
    </row>
    <row r="51" spans="1:21">
      <c r="A51" s="170"/>
      <c r="B51" s="171">
        <v>-1.253875629566908</v>
      </c>
      <c r="C51" s="171">
        <v>-3.2592166127769939E-2</v>
      </c>
      <c r="D51" s="171">
        <v>0.73934661383723232</v>
      </c>
      <c r="E51" s="170">
        <f>-$L$1</f>
        <v>-1.4990492230334603E-2</v>
      </c>
      <c r="F51" s="171">
        <v>0</v>
      </c>
      <c r="G51" s="171">
        <v>0</v>
      </c>
      <c r="H51" s="177">
        <f>-$N$1</f>
        <v>-4.7716218756768064E-3</v>
      </c>
      <c r="I51" s="170">
        <v>0</v>
      </c>
      <c r="J51" s="170">
        <v>0</v>
      </c>
      <c r="L51">
        <f t="array" ref="L51:N53">SVDD(B51:D53)</f>
        <v>3.2136851799585031</v>
      </c>
      <c r="M51">
        <v>0</v>
      </c>
      <c r="N51">
        <v>0</v>
      </c>
      <c r="P51">
        <f t="shared" ref="P51" si="53">MAX(L51,M52,N53)/MIN(L51,M52,N53)</f>
        <v>7.6413054265435116</v>
      </c>
      <c r="R51" s="35">
        <f t="shared" ca="1" si="8"/>
        <v>35.843588743019239</v>
      </c>
    </row>
    <row r="52" spans="1:21">
      <c r="A52" s="170" t="s">
        <v>226</v>
      </c>
      <c r="B52" s="171">
        <v>-1.0351585166444348</v>
      </c>
      <c r="C52" s="171">
        <v>2.1037449841221099</v>
      </c>
      <c r="D52" s="171">
        <v>0.82913701269133588</v>
      </c>
      <c r="E52" s="170">
        <v>0</v>
      </c>
      <c r="F52" s="170">
        <f>-$L$1</f>
        <v>-1.4990492230334603E-2</v>
      </c>
      <c r="G52" s="171">
        <v>0</v>
      </c>
      <c r="H52" s="171">
        <v>0</v>
      </c>
      <c r="I52" s="177">
        <f>-$N$1</f>
        <v>-4.7716218756768064E-3</v>
      </c>
      <c r="J52" s="170">
        <v>0</v>
      </c>
      <c r="L52">
        <v>0</v>
      </c>
      <c r="M52">
        <v>1.7462659932209073</v>
      </c>
      <c r="N52">
        <v>0</v>
      </c>
      <c r="R52" s="35">
        <f t="shared" ca="1" si="8"/>
        <v>6.0262694639012206</v>
      </c>
    </row>
    <row r="53" spans="1:21">
      <c r="A53" s="170"/>
      <c r="B53" s="171">
        <v>0.58367185674448252</v>
      </c>
      <c r="C53" s="171">
        <v>2.0841504898711007</v>
      </c>
      <c r="D53" s="171">
        <v>0.75171422039661484</v>
      </c>
      <c r="E53" s="170">
        <v>0</v>
      </c>
      <c r="F53" s="171">
        <v>0</v>
      </c>
      <c r="G53" s="170">
        <f>-$L$1</f>
        <v>-1.4990492230334603E-2</v>
      </c>
      <c r="H53" s="171">
        <v>0</v>
      </c>
      <c r="I53" s="171">
        <v>0</v>
      </c>
      <c r="J53" s="177">
        <f>-$N$1</f>
        <v>-4.7716218756768064E-3</v>
      </c>
      <c r="L53">
        <v>0</v>
      </c>
      <c r="M53">
        <v>0</v>
      </c>
      <c r="N53">
        <v>0.42056756019660768</v>
      </c>
      <c r="R53" s="35">
        <f t="shared" ca="1" si="8"/>
        <v>222.32523405718308</v>
      </c>
    </row>
    <row r="54" spans="1:21">
      <c r="A54" s="170"/>
      <c r="B54" s="171"/>
      <c r="C54" s="171"/>
      <c r="D54" s="171"/>
      <c r="E54" s="170"/>
      <c r="F54" s="170"/>
      <c r="G54" s="170"/>
      <c r="H54" s="170"/>
      <c r="I54" s="170"/>
      <c r="J54" s="170"/>
      <c r="R54" s="35">
        <f t="shared" ca="1" si="8"/>
        <v>49.448565792947846</v>
      </c>
    </row>
    <row r="55" spans="1:21">
      <c r="A55" s="170"/>
      <c r="B55" s="171">
        <v>-1.253875629566908</v>
      </c>
      <c r="C55" s="171">
        <v>-3.2592166127769939E-2</v>
      </c>
      <c r="D55" s="171">
        <v>0.73934661383723232</v>
      </c>
      <c r="E55" s="170">
        <f>-$L$1</f>
        <v>-1.4990492230334603E-2</v>
      </c>
      <c r="F55" s="171">
        <v>0</v>
      </c>
      <c r="G55" s="171">
        <v>0</v>
      </c>
      <c r="H55" s="177">
        <f>-$N$1</f>
        <v>-4.7716218756768064E-3</v>
      </c>
      <c r="I55" s="170">
        <v>0</v>
      </c>
      <c r="J55" s="170">
        <v>0</v>
      </c>
      <c r="L55">
        <f t="array" ref="L55:N57">SVDD(B55:D57)</f>
        <v>3.3412903551279411</v>
      </c>
      <c r="M55">
        <v>0</v>
      </c>
      <c r="N55">
        <v>0</v>
      </c>
      <c r="P55">
        <f t="shared" ref="P55" si="54">MAX(L55,M56,N57)/MIN(L55,M56,N57)</f>
        <v>35.570359419370689</v>
      </c>
      <c r="R55" s="35">
        <f t="shared" ca="1" si="8"/>
        <v>317.80209627578216</v>
      </c>
    </row>
    <row r="56" spans="1:21">
      <c r="A56" s="170" t="s">
        <v>227</v>
      </c>
      <c r="B56" s="171">
        <v>-1.0351585166444348</v>
      </c>
      <c r="C56" s="171">
        <v>2.1037449841221099</v>
      </c>
      <c r="D56" s="171">
        <v>0.82913701269133588</v>
      </c>
      <c r="E56" s="170">
        <v>0</v>
      </c>
      <c r="F56" s="170">
        <f>-$L$1</f>
        <v>-1.4990492230334603E-2</v>
      </c>
      <c r="G56" s="171">
        <v>0</v>
      </c>
      <c r="H56" s="171">
        <v>0</v>
      </c>
      <c r="I56" s="177">
        <f>-$N$1</f>
        <v>-4.7716218756768064E-3</v>
      </c>
      <c r="J56" s="170">
        <v>0</v>
      </c>
      <c r="L56">
        <v>0</v>
      </c>
      <c r="M56">
        <v>1.6546611308717385</v>
      </c>
      <c r="N56">
        <v>0</v>
      </c>
      <c r="R56" s="35">
        <f t="shared" ca="1" si="8"/>
        <v>15.482311838444748</v>
      </c>
    </row>
    <row r="57" spans="1:21">
      <c r="A57" s="170"/>
      <c r="B57" s="171">
        <v>-2.5457845528396139E-2</v>
      </c>
      <c r="C57" s="171">
        <v>2.3667658472617719</v>
      </c>
      <c r="D57" s="171">
        <v>6.368425350466822E-2</v>
      </c>
      <c r="E57" s="170">
        <v>0</v>
      </c>
      <c r="F57" s="171">
        <v>0</v>
      </c>
      <c r="G57" s="170">
        <f>-$L$1</f>
        <v>-1.4990492230334603E-2</v>
      </c>
      <c r="H57" s="171">
        <v>0</v>
      </c>
      <c r="I57" s="171">
        <v>0</v>
      </c>
      <c r="J57" s="177">
        <f>-$N$1</f>
        <v>-4.7716218756768064E-3</v>
      </c>
      <c r="L57">
        <v>0</v>
      </c>
      <c r="M57">
        <v>0</v>
      </c>
      <c r="N57">
        <v>9.3934680719260921E-2</v>
      </c>
      <c r="R57" s="35">
        <f t="shared" ca="1" si="8"/>
        <v>180.39381408191585</v>
      </c>
    </row>
    <row r="58" spans="1:21">
      <c r="A58" s="170"/>
      <c r="B58" s="171"/>
      <c r="C58" s="171"/>
      <c r="D58" s="171"/>
      <c r="E58" s="170"/>
      <c r="F58" s="170"/>
      <c r="G58" s="170"/>
      <c r="H58" s="170"/>
      <c r="I58" s="170"/>
      <c r="J58" s="170"/>
      <c r="R58" s="35">
        <f t="shared" ca="1" si="8"/>
        <v>326.12223160360338</v>
      </c>
    </row>
    <row r="59" spans="1:21">
      <c r="A59" s="170"/>
      <c r="B59" s="171">
        <v>-1.253875629566908</v>
      </c>
      <c r="C59" s="171">
        <v>-3.2592166127769939E-2</v>
      </c>
      <c r="D59" s="171">
        <v>0.73934661383723232</v>
      </c>
      <c r="E59" s="170">
        <f>-$L$1</f>
        <v>-1.4990492230334603E-2</v>
      </c>
      <c r="F59" s="171">
        <v>0</v>
      </c>
      <c r="G59" s="171">
        <v>0</v>
      </c>
      <c r="H59" s="177">
        <f>-$N$1</f>
        <v>-4.7716218756768064E-3</v>
      </c>
      <c r="I59" s="170">
        <v>0</v>
      </c>
      <c r="J59" s="170">
        <v>0</v>
      </c>
      <c r="L59">
        <f t="array" ref="L59:N61">SVDD(B59:D61)</f>
        <v>3.2249316236158738</v>
      </c>
      <c r="M59">
        <v>0</v>
      </c>
      <c r="N59">
        <v>0</v>
      </c>
      <c r="P59">
        <f t="shared" ref="P59" si="55">MAX(L59,M60,N61)/MIN(L59,M60,N61)</f>
        <v>4.8602217427722341</v>
      </c>
      <c r="R59" s="35">
        <f t="shared" ca="1" si="8"/>
        <v>19.373118971201439</v>
      </c>
    </row>
    <row r="60" spans="1:21">
      <c r="A60" s="170" t="s">
        <v>228</v>
      </c>
      <c r="B60" s="171">
        <v>0.58367185674448252</v>
      </c>
      <c r="C60" s="171">
        <v>2.0841504898711007</v>
      </c>
      <c r="D60" s="171">
        <v>0.75171422039661484</v>
      </c>
      <c r="E60" s="170">
        <v>0</v>
      </c>
      <c r="F60" s="170">
        <f>-$L$1</f>
        <v>-1.4990492230334603E-2</v>
      </c>
      <c r="G60" s="171">
        <v>0</v>
      </c>
      <c r="H60" s="171">
        <v>0</v>
      </c>
      <c r="I60" s="177">
        <f>-$N$1</f>
        <v>-4.7716218756768064E-3</v>
      </c>
      <c r="J60" s="170">
        <v>0</v>
      </c>
      <c r="L60">
        <v>0</v>
      </c>
      <c r="M60">
        <v>1.4612154594980757</v>
      </c>
      <c r="N60">
        <v>0</v>
      </c>
      <c r="R60" s="35">
        <f t="shared" ca="1" si="8"/>
        <v>57.193413755542728</v>
      </c>
      <c r="U60" s="35"/>
    </row>
    <row r="61" spans="1:21">
      <c r="A61" s="170"/>
      <c r="B61" s="171">
        <v>-2.5457845528396139E-2</v>
      </c>
      <c r="C61" s="171">
        <v>2.3667658472617719</v>
      </c>
      <c r="D61" s="171">
        <v>6.368425350466822E-2</v>
      </c>
      <c r="E61" s="170">
        <v>0</v>
      </c>
      <c r="F61" s="171">
        <v>0</v>
      </c>
      <c r="G61" s="170">
        <f>-$L$1</f>
        <v>-1.4990492230334603E-2</v>
      </c>
      <c r="H61" s="171">
        <v>0</v>
      </c>
      <c r="I61" s="171">
        <v>0</v>
      </c>
      <c r="J61" s="177">
        <f>-$N$1</f>
        <v>-4.7716218756768064E-3</v>
      </c>
      <c r="L61">
        <v>0</v>
      </c>
      <c r="M61">
        <v>0</v>
      </c>
      <c r="N61">
        <v>0.66353590315333988</v>
      </c>
      <c r="R61" s="35">
        <f t="shared" ca="1" si="8"/>
        <v>7.0862524060099732</v>
      </c>
      <c r="U61" s="35"/>
    </row>
    <row r="62" spans="1:21">
      <c r="A62" s="170"/>
      <c r="B62" s="171"/>
      <c r="C62" s="171"/>
      <c r="D62" s="171"/>
      <c r="E62" s="170"/>
      <c r="F62" s="170"/>
      <c r="G62" s="170"/>
      <c r="H62" s="170"/>
      <c r="I62" s="170"/>
      <c r="J62" s="170"/>
      <c r="R62" s="35">
        <f t="shared" ca="1" si="8"/>
        <v>9.7216302727657062</v>
      </c>
      <c r="U62" s="35"/>
    </row>
    <row r="63" spans="1:21">
      <c r="A63" s="170"/>
      <c r="B63" s="171">
        <v>1.0419123890112216</v>
      </c>
      <c r="C63" s="171">
        <v>-4.0818532431212473E-2</v>
      </c>
      <c r="D63" s="171">
        <v>0.77248383184656022</v>
      </c>
      <c r="E63" s="170">
        <f>-$L$1</f>
        <v>-1.4990492230334603E-2</v>
      </c>
      <c r="F63" s="171">
        <v>0</v>
      </c>
      <c r="G63" s="171">
        <v>0</v>
      </c>
      <c r="H63" s="177">
        <f>-$N$1</f>
        <v>-4.7716218756768064E-3</v>
      </c>
      <c r="I63" s="170">
        <v>0</v>
      </c>
      <c r="J63" s="170">
        <v>0</v>
      </c>
      <c r="L63">
        <f t="array" ref="L63:N65">SVDD(B63:D65)</f>
        <v>2.3451521789295224</v>
      </c>
      <c r="M63">
        <v>0</v>
      </c>
      <c r="N63">
        <v>0</v>
      </c>
      <c r="P63">
        <f t="shared" ref="P63" si="56">MAX(L63,M64,N65)/MIN(L63,M64,N65)</f>
        <v>4.1121618081555962</v>
      </c>
      <c r="R63" s="35">
        <f t="shared" ca="1" si="8"/>
        <v>63.728386371176278</v>
      </c>
      <c r="U63" s="35"/>
    </row>
    <row r="64" spans="1:21">
      <c r="A64" s="170" t="s">
        <v>229</v>
      </c>
      <c r="B64" s="171">
        <v>-1.4028471761352286</v>
      </c>
      <c r="C64" s="171">
        <v>0.814665459345566</v>
      </c>
      <c r="D64" s="171">
        <v>0.7195871750303805</v>
      </c>
      <c r="E64" s="170">
        <v>0</v>
      </c>
      <c r="F64" s="170">
        <f>-$L$1</f>
        <v>-1.4990492230334603E-2</v>
      </c>
      <c r="G64" s="171">
        <v>0</v>
      </c>
      <c r="H64" s="171">
        <v>0</v>
      </c>
      <c r="I64" s="177">
        <f>-$N$1</f>
        <v>-4.7716218756768064E-3</v>
      </c>
      <c r="J64" s="170">
        <v>0</v>
      </c>
      <c r="L64">
        <v>0</v>
      </c>
      <c r="M64">
        <v>1.6731410402008109</v>
      </c>
      <c r="N64">
        <v>0</v>
      </c>
      <c r="R64" s="35">
        <f t="shared" ca="1" si="8"/>
        <v>1839.1895225872963</v>
      </c>
      <c r="U64" s="35"/>
    </row>
    <row r="65" spans="1:21">
      <c r="A65" s="170"/>
      <c r="B65" s="171">
        <v>1.4421025939282253</v>
      </c>
      <c r="C65" s="171">
        <v>1.0431877148697888</v>
      </c>
      <c r="D65" s="171">
        <v>0.78932433807079116</v>
      </c>
      <c r="E65" s="170">
        <v>0</v>
      </c>
      <c r="F65" s="171">
        <v>0</v>
      </c>
      <c r="G65" s="170">
        <f>-$L$1</f>
        <v>-1.4990492230334603E-2</v>
      </c>
      <c r="H65" s="171">
        <v>0</v>
      </c>
      <c r="I65" s="171">
        <v>0</v>
      </c>
      <c r="J65" s="177">
        <f>-$N$1</f>
        <v>-4.7716218756768064E-3</v>
      </c>
      <c r="L65">
        <v>0</v>
      </c>
      <c r="M65">
        <v>0</v>
      </c>
      <c r="N65">
        <v>0.57029666835541659</v>
      </c>
      <c r="R65" s="35">
        <f t="shared" ca="1" si="8"/>
        <v>14.280317337938845</v>
      </c>
      <c r="U65" s="35"/>
    </row>
    <row r="66" spans="1:21">
      <c r="A66" s="170"/>
      <c r="B66" s="171"/>
      <c r="C66" s="171"/>
      <c r="D66" s="171"/>
      <c r="E66" s="170"/>
      <c r="F66" s="170"/>
      <c r="G66" s="170"/>
      <c r="H66" s="170"/>
      <c r="I66" s="170"/>
      <c r="J66" s="170"/>
      <c r="R66" s="35">
        <f t="shared" ca="1" si="8"/>
        <v>59.461695313516891</v>
      </c>
      <c r="U66" s="35"/>
    </row>
    <row r="67" spans="1:21">
      <c r="A67" s="170"/>
      <c r="B67" s="171">
        <v>1.0419123890112216</v>
      </c>
      <c r="C67" s="171">
        <v>-4.0818532431212473E-2</v>
      </c>
      <c r="D67" s="171">
        <v>0.77248383184656022</v>
      </c>
      <c r="E67" s="170">
        <f>-$L$1</f>
        <v>-1.4990492230334603E-2</v>
      </c>
      <c r="F67" s="171">
        <v>0</v>
      </c>
      <c r="G67" s="171">
        <v>0</v>
      </c>
      <c r="H67" s="177">
        <f>-$N$1</f>
        <v>-4.7716218756768064E-3</v>
      </c>
      <c r="I67" s="170">
        <v>0</v>
      </c>
      <c r="J67" s="170">
        <v>0</v>
      </c>
      <c r="L67">
        <f t="array" ref="L67:N69">SVDD(B67:D69)</f>
        <v>2.975443089335613</v>
      </c>
      <c r="M67">
        <v>0</v>
      </c>
      <c r="N67">
        <v>0</v>
      </c>
      <c r="P67">
        <f t="shared" ref="P67" si="57">MAX(L67,M68,N69)/MIN(L67,M68,N69)</f>
        <v>4.6589206831506358</v>
      </c>
      <c r="R67" s="35">
        <f t="shared" ca="1" si="8"/>
        <v>21.170385241601402</v>
      </c>
      <c r="U67" s="35"/>
    </row>
    <row r="68" spans="1:21">
      <c r="A68" s="170" t="s">
        <v>230</v>
      </c>
      <c r="B68" s="171">
        <v>-1.4028471761352286</v>
      </c>
      <c r="C68" s="171">
        <v>0.814665459345566</v>
      </c>
      <c r="D68" s="171">
        <v>0.7195871750303805</v>
      </c>
      <c r="E68" s="170">
        <v>0</v>
      </c>
      <c r="F68" s="170">
        <f>-$L$1</f>
        <v>-1.4990492230334603E-2</v>
      </c>
      <c r="G68" s="171">
        <v>0</v>
      </c>
      <c r="H68" s="171">
        <v>0</v>
      </c>
      <c r="I68" s="177">
        <f>-$N$1</f>
        <v>-4.7716218756768064E-3</v>
      </c>
      <c r="J68" s="170">
        <v>0</v>
      </c>
      <c r="L68">
        <v>0</v>
      </c>
      <c r="M68">
        <v>1.3255440567243852</v>
      </c>
      <c r="N68">
        <v>0</v>
      </c>
      <c r="R68" s="35">
        <f t="shared" ca="1" si="8"/>
        <v>10.1367998366946</v>
      </c>
      <c r="U68" s="35"/>
    </row>
    <row r="69" spans="1:21">
      <c r="A69" s="170"/>
      <c r="B69" s="171">
        <v>-1.0351585166444348</v>
      </c>
      <c r="C69" s="171">
        <v>2.1037449841221099</v>
      </c>
      <c r="D69" s="171">
        <v>0.82913701269133588</v>
      </c>
      <c r="E69" s="170">
        <v>0</v>
      </c>
      <c r="F69" s="171">
        <v>0</v>
      </c>
      <c r="G69" s="170">
        <f>-$L$1</f>
        <v>-1.4990492230334603E-2</v>
      </c>
      <c r="H69" s="171">
        <v>0</v>
      </c>
      <c r="I69" s="171">
        <v>0</v>
      </c>
      <c r="J69" s="177">
        <f>-$N$1</f>
        <v>-4.7716218756768064E-3</v>
      </c>
      <c r="L69">
        <v>0</v>
      </c>
      <c r="M69">
        <v>0</v>
      </c>
      <c r="N69">
        <v>0.6386550215582214</v>
      </c>
      <c r="R69" s="35">
        <f t="shared" ref="R69:R132" ca="1" si="58">OFFSET($P$3,4*(ROW(A67)-1),0,1,1)</f>
        <v>71.937522903691658</v>
      </c>
      <c r="U69" s="35"/>
    </row>
    <row r="70" spans="1:21">
      <c r="A70" s="170"/>
      <c r="B70" s="171"/>
      <c r="C70" s="171"/>
      <c r="D70" s="171"/>
      <c r="E70" s="170"/>
      <c r="F70" s="170"/>
      <c r="G70" s="170"/>
      <c r="H70" s="170"/>
      <c r="I70" s="170"/>
      <c r="J70" s="170"/>
      <c r="R70" s="35">
        <f t="shared" ca="1" si="58"/>
        <v>7.5230904443487656</v>
      </c>
      <c r="U70" s="35"/>
    </row>
    <row r="71" spans="1:21">
      <c r="A71" s="170"/>
      <c r="B71" s="171">
        <v>1.0419123890112216</v>
      </c>
      <c r="C71" s="171">
        <v>-4.0818532431212473E-2</v>
      </c>
      <c r="D71" s="171">
        <v>0.77248383184656022</v>
      </c>
      <c r="E71" s="170">
        <f>-$L$1</f>
        <v>-1.4990492230334603E-2</v>
      </c>
      <c r="F71" s="171">
        <v>0</v>
      </c>
      <c r="G71" s="171">
        <v>0</v>
      </c>
      <c r="H71" s="177">
        <f>-$N$1</f>
        <v>-4.7716218756768064E-3</v>
      </c>
      <c r="I71" s="170">
        <v>0</v>
      </c>
      <c r="J71" s="170">
        <v>0</v>
      </c>
      <c r="L71">
        <f t="array" ref="L71:N73">SVDD(B71:D73)</f>
        <v>2.4591288090582286</v>
      </c>
      <c r="M71">
        <v>0</v>
      </c>
      <c r="N71">
        <v>0</v>
      </c>
      <c r="P71">
        <f t="shared" ref="P71" si="59">MAX(L71,M72,N73)/MIN(L71,M72,N73)</f>
        <v>3.0892013418031681</v>
      </c>
      <c r="R71" s="35">
        <f t="shared" ca="1" si="58"/>
        <v>13.005132427828926</v>
      </c>
      <c r="U71" s="35"/>
    </row>
    <row r="72" spans="1:21">
      <c r="A72" s="170" t="s">
        <v>231</v>
      </c>
      <c r="B72" s="171">
        <v>-1.4028471761352286</v>
      </c>
      <c r="C72" s="171">
        <v>0.814665459345566</v>
      </c>
      <c r="D72" s="171">
        <v>0.7195871750303805</v>
      </c>
      <c r="E72" s="170">
        <v>0</v>
      </c>
      <c r="F72" s="170">
        <f>-$L$1</f>
        <v>-1.4990492230334603E-2</v>
      </c>
      <c r="G72" s="171">
        <v>0</v>
      </c>
      <c r="H72" s="171">
        <v>0</v>
      </c>
      <c r="I72" s="177">
        <f>-$N$1</f>
        <v>-4.7716218756768064E-3</v>
      </c>
      <c r="J72" s="170">
        <v>0</v>
      </c>
      <c r="L72">
        <v>0</v>
      </c>
      <c r="M72">
        <v>1.8444186752233112</v>
      </c>
      <c r="N72">
        <v>0</v>
      </c>
      <c r="R72" s="35">
        <f t="shared" ca="1" si="58"/>
        <v>7.6469926989996724</v>
      </c>
      <c r="U72" s="35"/>
    </row>
    <row r="73" spans="1:21">
      <c r="A73" s="170"/>
      <c r="B73" s="171">
        <v>0.58367185674448252</v>
      </c>
      <c r="C73" s="171">
        <v>2.0841504898711007</v>
      </c>
      <c r="D73" s="171">
        <v>0.75171422039661484</v>
      </c>
      <c r="E73" s="170">
        <v>0</v>
      </c>
      <c r="F73" s="171">
        <v>0</v>
      </c>
      <c r="G73" s="170">
        <f>-$L$1</f>
        <v>-1.4990492230334603E-2</v>
      </c>
      <c r="H73" s="171">
        <v>0</v>
      </c>
      <c r="I73" s="171">
        <v>0</v>
      </c>
      <c r="J73" s="177">
        <f>-$N$1</f>
        <v>-4.7716218756768064E-3</v>
      </c>
      <c r="L73">
        <v>0</v>
      </c>
      <c r="M73">
        <v>0</v>
      </c>
      <c r="N73">
        <v>0.79604031494523242</v>
      </c>
      <c r="R73" s="35">
        <f t="shared" ca="1" si="58"/>
        <v>6.5447871116906784</v>
      </c>
      <c r="U73" s="35"/>
    </row>
    <row r="74" spans="1:21">
      <c r="A74" s="170"/>
      <c r="B74" s="171"/>
      <c r="C74" s="171"/>
      <c r="D74" s="171"/>
      <c r="E74" s="170"/>
      <c r="F74" s="170"/>
      <c r="G74" s="170"/>
      <c r="H74" s="170"/>
      <c r="I74" s="170"/>
      <c r="J74" s="170"/>
      <c r="R74" s="35">
        <f t="shared" ca="1" si="58"/>
        <v>3.8029292847047502</v>
      </c>
      <c r="U74" s="35"/>
    </row>
    <row r="75" spans="1:21">
      <c r="A75" s="170"/>
      <c r="B75" s="171">
        <v>1.0419123890112216</v>
      </c>
      <c r="C75" s="171">
        <v>-4.0818532431212473E-2</v>
      </c>
      <c r="D75" s="171">
        <v>0.77248383184656022</v>
      </c>
      <c r="E75" s="170">
        <f>-$L$1</f>
        <v>-1.4990492230334603E-2</v>
      </c>
      <c r="F75" s="171">
        <v>0</v>
      </c>
      <c r="G75" s="171">
        <v>0</v>
      </c>
      <c r="H75" s="177">
        <f>-$N$1</f>
        <v>-4.7716218756768064E-3</v>
      </c>
      <c r="I75" s="170">
        <v>0</v>
      </c>
      <c r="J75" s="170">
        <v>0</v>
      </c>
      <c r="L75">
        <f t="array" ref="L75:N77">SVDD(B75:D77)</f>
        <v>2.6054507303709133</v>
      </c>
      <c r="M75">
        <v>0</v>
      </c>
      <c r="N75">
        <v>0</v>
      </c>
      <c r="P75">
        <f t="shared" ref="P75" si="60">MAX(L75,M76,N77)/MIN(L75,M76,N77)</f>
        <v>2.5761959575841629</v>
      </c>
      <c r="R75" s="35">
        <f t="shared" ca="1" si="58"/>
        <v>5.3446407282175681</v>
      </c>
      <c r="U75" s="35"/>
    </row>
    <row r="76" spans="1:21">
      <c r="A76" s="170" t="s">
        <v>232</v>
      </c>
      <c r="B76" s="171">
        <v>-1.4028471761352286</v>
      </c>
      <c r="C76" s="171">
        <v>0.814665459345566</v>
      </c>
      <c r="D76" s="171">
        <v>0.7195871750303805</v>
      </c>
      <c r="E76" s="170">
        <v>0</v>
      </c>
      <c r="F76" s="170">
        <f>-$L$1</f>
        <v>-1.4990492230334603E-2</v>
      </c>
      <c r="G76" s="171">
        <v>0</v>
      </c>
      <c r="H76" s="171">
        <v>0</v>
      </c>
      <c r="I76" s="177">
        <f>-$N$1</f>
        <v>-4.7716218756768064E-3</v>
      </c>
      <c r="J76" s="170">
        <v>0</v>
      </c>
      <c r="L76">
        <v>0</v>
      </c>
      <c r="M76">
        <v>1.6212695198755724</v>
      </c>
      <c r="N76">
        <v>0</v>
      </c>
      <c r="R76" s="35">
        <f t="shared" ca="1" si="58"/>
        <v>3.9026598544515507</v>
      </c>
      <c r="U76" s="35"/>
    </row>
    <row r="77" spans="1:21">
      <c r="A77" s="170"/>
      <c r="B77" s="171">
        <v>-2.5457845528396139E-2</v>
      </c>
      <c r="C77" s="171">
        <v>2.3667658472617719</v>
      </c>
      <c r="D77" s="171">
        <v>6.368425350466822E-2</v>
      </c>
      <c r="E77" s="170">
        <v>0</v>
      </c>
      <c r="F77" s="171">
        <v>0</v>
      </c>
      <c r="G77" s="170">
        <f>-$L$1</f>
        <v>-1.4990492230334603E-2</v>
      </c>
      <c r="H77" s="171">
        <v>0</v>
      </c>
      <c r="I77" s="171">
        <v>0</v>
      </c>
      <c r="J77" s="177">
        <f>-$N$1</f>
        <v>-4.7716218756768064E-3</v>
      </c>
      <c r="L77">
        <v>0</v>
      </c>
      <c r="M77">
        <v>0</v>
      </c>
      <c r="N77">
        <v>1.0113558026130063</v>
      </c>
      <c r="R77" s="35">
        <f t="shared" ca="1" si="58"/>
        <v>4.8270811041221897</v>
      </c>
      <c r="U77" s="35"/>
    </row>
    <row r="78" spans="1:21">
      <c r="A78" s="170"/>
      <c r="B78" s="171"/>
      <c r="C78" s="171"/>
      <c r="D78" s="171"/>
      <c r="E78" s="170"/>
      <c r="F78" s="170"/>
      <c r="G78" s="170"/>
      <c r="H78" s="170"/>
      <c r="I78" s="170"/>
      <c r="J78" s="170"/>
      <c r="R78" s="35">
        <f t="shared" ca="1" si="58"/>
        <v>4.2243239500446652</v>
      </c>
      <c r="U78" s="35"/>
    </row>
    <row r="79" spans="1:21">
      <c r="A79" s="170"/>
      <c r="B79" s="171">
        <v>1.0419123890112216</v>
      </c>
      <c r="C79" s="171">
        <v>-4.0818532431212473E-2</v>
      </c>
      <c r="D79" s="171">
        <v>0.77248383184656022</v>
      </c>
      <c r="E79" s="170">
        <f>-$L$1</f>
        <v>-1.4990492230334603E-2</v>
      </c>
      <c r="F79" s="171">
        <v>0</v>
      </c>
      <c r="G79" s="171">
        <v>0</v>
      </c>
      <c r="H79" s="177">
        <f>-$N$1</f>
        <v>-4.7716218756768064E-3</v>
      </c>
      <c r="I79" s="170">
        <v>0</v>
      </c>
      <c r="J79" s="170">
        <v>0</v>
      </c>
      <c r="L79">
        <f t="array" ref="L79:N81">SVDD(B79:D81)</f>
        <v>2.6138433346780006</v>
      </c>
      <c r="M79">
        <v>0</v>
      </c>
      <c r="N79">
        <v>0</v>
      </c>
      <c r="P79">
        <f t="shared" ref="P79" si="61">MAX(L79,M80,N81)/MIN(L79,M80,N81)</f>
        <v>6.0546724397063105</v>
      </c>
      <c r="R79" s="35">
        <f t="shared" ca="1" si="58"/>
        <v>7.309134947611736</v>
      </c>
      <c r="U79" s="35"/>
    </row>
    <row r="80" spans="1:21">
      <c r="A80" s="170" t="s">
        <v>233</v>
      </c>
      <c r="B80" s="171">
        <v>1.4421025939282253</v>
      </c>
      <c r="C80" s="171">
        <v>1.0431877148697888</v>
      </c>
      <c r="D80" s="171">
        <v>0.78932433807079116</v>
      </c>
      <c r="E80" s="170">
        <v>0</v>
      </c>
      <c r="F80" s="170">
        <f>-$L$1</f>
        <v>-1.4990492230334603E-2</v>
      </c>
      <c r="G80" s="171">
        <v>0</v>
      </c>
      <c r="H80" s="171">
        <v>0</v>
      </c>
      <c r="I80" s="177">
        <f>-$N$1</f>
        <v>-4.7716218756768064E-3</v>
      </c>
      <c r="J80" s="170">
        <v>0</v>
      </c>
      <c r="L80">
        <v>0</v>
      </c>
      <c r="M80">
        <v>2.1543279251540266</v>
      </c>
      <c r="N80">
        <v>0</v>
      </c>
      <c r="R80" s="35">
        <f t="shared" ca="1" si="58"/>
        <v>4.6643551181710254</v>
      </c>
      <c r="U80" s="35"/>
    </row>
    <row r="81" spans="1:21">
      <c r="A81" s="170"/>
      <c r="B81" s="171">
        <v>-1.0351585166444348</v>
      </c>
      <c r="C81" s="171">
        <v>2.1037449841221099</v>
      </c>
      <c r="D81" s="171">
        <v>0.82913701269133588</v>
      </c>
      <c r="E81" s="170">
        <v>0</v>
      </c>
      <c r="F81" s="171">
        <v>0</v>
      </c>
      <c r="G81" s="170">
        <f>-$L$1</f>
        <v>-1.4990492230334603E-2</v>
      </c>
      <c r="H81" s="171">
        <v>0</v>
      </c>
      <c r="I81" s="171">
        <v>0</v>
      </c>
      <c r="J81" s="177">
        <f>-$N$1</f>
        <v>-4.7716218756768064E-3</v>
      </c>
      <c r="L81">
        <v>0</v>
      </c>
      <c r="M81">
        <v>0</v>
      </c>
      <c r="N81">
        <v>0.43170681167432212</v>
      </c>
      <c r="R81" s="35">
        <f t="shared" ca="1" si="58"/>
        <v>4.8011093563140337</v>
      </c>
      <c r="U81" s="35"/>
    </row>
    <row r="82" spans="1:21">
      <c r="A82" s="170"/>
      <c r="B82" s="171"/>
      <c r="C82" s="171"/>
      <c r="D82" s="171"/>
      <c r="E82" s="170"/>
      <c r="F82" s="170"/>
      <c r="G82" s="170"/>
      <c r="H82" s="170"/>
      <c r="I82" s="170"/>
      <c r="J82" s="170"/>
      <c r="R82" s="35">
        <f t="shared" ca="1" si="58"/>
        <v>5.4695394540896514</v>
      </c>
      <c r="U82" s="35"/>
    </row>
    <row r="83" spans="1:21">
      <c r="A83" s="170"/>
      <c r="B83" s="171">
        <v>1.0419123890112216</v>
      </c>
      <c r="C83" s="171">
        <v>-4.0818532431212473E-2</v>
      </c>
      <c r="D83" s="171">
        <v>0.77248383184656022</v>
      </c>
      <c r="E83" s="170">
        <f>-$L$1</f>
        <v>-1.4990492230334603E-2</v>
      </c>
      <c r="F83" s="171">
        <v>0</v>
      </c>
      <c r="G83" s="171">
        <v>0</v>
      </c>
      <c r="H83" s="177">
        <f>-$N$1</f>
        <v>-4.7716218756768064E-3</v>
      </c>
      <c r="I83" s="170">
        <v>0</v>
      </c>
      <c r="J83" s="170">
        <v>0</v>
      </c>
      <c r="L83">
        <f t="array" ref="L83:N85">SVDD(B83:D85)</f>
        <v>2.9773137805162069</v>
      </c>
      <c r="M83">
        <v>0</v>
      </c>
      <c r="N83">
        <v>0</v>
      </c>
      <c r="P83">
        <f t="shared" ref="P83" si="62">MAX(L83,M84,N85)/MIN(L83,M84,N85)</f>
        <v>12.13640308765223</v>
      </c>
      <c r="R83" s="35">
        <f t="shared" ca="1" si="58"/>
        <v>8.0842653543142653</v>
      </c>
      <c r="U83" s="35"/>
    </row>
    <row r="84" spans="1:21">
      <c r="A84" s="170" t="s">
        <v>234</v>
      </c>
      <c r="B84" s="171">
        <v>1.4421025939282253</v>
      </c>
      <c r="C84" s="171">
        <v>1.0431877148697888</v>
      </c>
      <c r="D84" s="171">
        <v>0.78932433807079116</v>
      </c>
      <c r="E84" s="170">
        <v>0</v>
      </c>
      <c r="F84" s="170">
        <f>-$L$1</f>
        <v>-1.4990492230334603E-2</v>
      </c>
      <c r="G84" s="171">
        <v>0</v>
      </c>
      <c r="H84" s="171">
        <v>0</v>
      </c>
      <c r="I84" s="177">
        <f>-$N$1</f>
        <v>-4.7716218756768064E-3</v>
      </c>
      <c r="J84" s="170">
        <v>0</v>
      </c>
      <c r="L84">
        <v>0</v>
      </c>
      <c r="M84">
        <v>1.341552429086726</v>
      </c>
      <c r="N84">
        <v>0</v>
      </c>
      <c r="R84" s="35">
        <f t="shared" ca="1" si="58"/>
        <v>15.029251889619651</v>
      </c>
      <c r="U84" s="35"/>
    </row>
    <row r="85" spans="1:21">
      <c r="A85" s="170"/>
      <c r="B85" s="171">
        <v>0.58367185674448252</v>
      </c>
      <c r="C85" s="171">
        <v>2.0841504898711007</v>
      </c>
      <c r="D85" s="171">
        <v>0.75171422039661484</v>
      </c>
      <c r="E85" s="170">
        <v>0</v>
      </c>
      <c r="F85" s="171">
        <v>0</v>
      </c>
      <c r="G85" s="170">
        <f>-$L$1</f>
        <v>-1.4990492230334603E-2</v>
      </c>
      <c r="H85" s="171">
        <v>0</v>
      </c>
      <c r="I85" s="171">
        <v>0</v>
      </c>
      <c r="J85" s="177">
        <f>-$N$1</f>
        <v>-4.7716218756768064E-3</v>
      </c>
      <c r="L85">
        <v>0</v>
      </c>
      <c r="M85">
        <v>0</v>
      </c>
      <c r="N85">
        <v>0.24532093726726772</v>
      </c>
      <c r="R85" s="35">
        <f t="shared" ca="1" si="58"/>
        <v>6.3906270108779077</v>
      </c>
      <c r="U85" s="35"/>
    </row>
    <row r="86" spans="1:21">
      <c r="A86" s="170"/>
      <c r="B86" s="171"/>
      <c r="C86" s="171"/>
      <c r="D86" s="171"/>
      <c r="E86" s="170"/>
      <c r="F86" s="170"/>
      <c r="G86" s="170"/>
      <c r="H86" s="170"/>
      <c r="I86" s="170"/>
      <c r="J86" s="170"/>
      <c r="R86" s="35">
        <f t="shared" ca="1" si="58"/>
        <v>4.7098691394570427</v>
      </c>
      <c r="U86" s="35"/>
    </row>
    <row r="87" spans="1:21">
      <c r="A87" s="170"/>
      <c r="B87" s="171">
        <v>1.0419123890112216</v>
      </c>
      <c r="C87" s="171">
        <v>-4.0818532431212473E-2</v>
      </c>
      <c r="D87" s="171">
        <v>0.77248383184656022</v>
      </c>
      <c r="E87" s="170">
        <f>-$L$1</f>
        <v>-1.4990492230334603E-2</v>
      </c>
      <c r="F87" s="171">
        <v>0</v>
      </c>
      <c r="G87" s="171">
        <v>0</v>
      </c>
      <c r="H87" s="177">
        <f>-$N$1</f>
        <v>-4.7716218756768064E-3</v>
      </c>
      <c r="I87" s="170">
        <v>0</v>
      </c>
      <c r="J87" s="170">
        <v>0</v>
      </c>
      <c r="L87">
        <f t="array" ref="L87:N89">SVDD(B87:D89)</f>
        <v>2.7529403786937126</v>
      </c>
      <c r="M87">
        <v>0</v>
      </c>
      <c r="N87">
        <v>0</v>
      </c>
      <c r="P87">
        <f t="shared" ref="P87" si="63">MAX(L87,M88,N89)/MIN(L87,M88,N89)</f>
        <v>18.020767054039418</v>
      </c>
      <c r="R87" s="35">
        <f t="shared" ca="1" si="58"/>
        <v>26.01158928757074</v>
      </c>
      <c r="U87" s="35"/>
    </row>
    <row r="88" spans="1:21">
      <c r="A88" s="170" t="s">
        <v>235</v>
      </c>
      <c r="B88" s="171">
        <v>1.4421025939282253</v>
      </c>
      <c r="C88" s="171">
        <v>1.0431877148697888</v>
      </c>
      <c r="D88" s="171">
        <v>0.78932433807079116</v>
      </c>
      <c r="E88" s="170">
        <v>0</v>
      </c>
      <c r="F88" s="170">
        <f>-$L$1</f>
        <v>-1.4990492230334603E-2</v>
      </c>
      <c r="G88" s="171">
        <v>0</v>
      </c>
      <c r="H88" s="171">
        <v>0</v>
      </c>
      <c r="I88" s="177">
        <f>-$N$1</f>
        <v>-4.7716218756768064E-3</v>
      </c>
      <c r="J88" s="170">
        <v>0</v>
      </c>
      <c r="L88">
        <v>0</v>
      </c>
      <c r="M88">
        <v>1.8652556885103455</v>
      </c>
      <c r="N88">
        <v>0</v>
      </c>
      <c r="R88" s="35">
        <f t="shared" ca="1" si="58"/>
        <v>227.7065416836075</v>
      </c>
      <c r="U88" s="35"/>
    </row>
    <row r="89" spans="1:21">
      <c r="A89" s="170"/>
      <c r="B89" s="171">
        <v>-2.5457845528396139E-2</v>
      </c>
      <c r="C89" s="171">
        <v>2.3667658472617719</v>
      </c>
      <c r="D89" s="171">
        <v>6.368425350466822E-2</v>
      </c>
      <c r="E89" s="170">
        <v>0</v>
      </c>
      <c r="F89" s="171">
        <v>0</v>
      </c>
      <c r="G89" s="170">
        <f>-$L$1</f>
        <v>-1.4990492230334603E-2</v>
      </c>
      <c r="H89" s="171">
        <v>0</v>
      </c>
      <c r="I89" s="171">
        <v>0</v>
      </c>
      <c r="J89" s="177">
        <f>-$N$1</f>
        <v>-4.7716218756768064E-3</v>
      </c>
      <c r="L89">
        <v>0</v>
      </c>
      <c r="M89">
        <v>0</v>
      </c>
      <c r="N89">
        <v>0.15276488345020983</v>
      </c>
      <c r="R89" s="35">
        <f t="shared" ca="1" si="58"/>
        <v>107.48734647321321</v>
      </c>
      <c r="U89" s="35"/>
    </row>
    <row r="90" spans="1:21">
      <c r="A90" s="170"/>
      <c r="B90" s="171"/>
      <c r="C90" s="171"/>
      <c r="D90" s="171"/>
      <c r="E90" s="170"/>
      <c r="F90" s="170"/>
      <c r="G90" s="170"/>
      <c r="H90" s="170"/>
      <c r="I90" s="170"/>
      <c r="J90" s="170"/>
      <c r="R90" s="35">
        <f t="shared" ca="1" si="58"/>
        <v>435.33148403717917</v>
      </c>
      <c r="U90" s="35"/>
    </row>
    <row r="91" spans="1:21">
      <c r="A91" s="170"/>
      <c r="B91" s="171">
        <v>1.0419123890112216</v>
      </c>
      <c r="C91" s="171">
        <v>-4.0818532431212473E-2</v>
      </c>
      <c r="D91" s="171">
        <v>0.77248383184656022</v>
      </c>
      <c r="E91" s="170">
        <f>-$L$1</f>
        <v>-1.4990492230334603E-2</v>
      </c>
      <c r="F91" s="171">
        <v>0</v>
      </c>
      <c r="G91" s="171">
        <v>0</v>
      </c>
      <c r="H91" s="177">
        <f>-$N$1</f>
        <v>-4.7716218756768064E-3</v>
      </c>
      <c r="I91" s="170">
        <v>0</v>
      </c>
      <c r="J91" s="170">
        <v>0</v>
      </c>
      <c r="L91">
        <f t="array" ref="L91:N93">SVDD(B91:D93)</f>
        <v>3.1874855438542502</v>
      </c>
      <c r="M91">
        <v>0</v>
      </c>
      <c r="N91">
        <v>0</v>
      </c>
      <c r="P91">
        <f t="shared" ref="P91" si="64">MAX(L91,M92,N93)/MIN(L91,M92,N93)</f>
        <v>5.8822782062311054</v>
      </c>
      <c r="R91" s="35">
        <f t="shared" ca="1" si="58"/>
        <v>24.930718886766446</v>
      </c>
      <c r="U91" s="35"/>
    </row>
    <row r="92" spans="1:21">
      <c r="A92" s="170" t="s">
        <v>236</v>
      </c>
      <c r="B92" s="171">
        <v>-1.0351585166444348</v>
      </c>
      <c r="C92" s="171">
        <v>2.1037449841221099</v>
      </c>
      <c r="D92" s="171">
        <v>0.82913701269133588</v>
      </c>
      <c r="E92" s="170">
        <v>0</v>
      </c>
      <c r="F92" s="170">
        <f>-$L$1</f>
        <v>-1.4990492230334603E-2</v>
      </c>
      <c r="G92" s="171">
        <v>0</v>
      </c>
      <c r="H92" s="171">
        <v>0</v>
      </c>
      <c r="I92" s="177">
        <f>-$N$1</f>
        <v>-4.7716218756768064E-3</v>
      </c>
      <c r="J92" s="170">
        <v>0</v>
      </c>
      <c r="L92">
        <v>0</v>
      </c>
      <c r="M92">
        <v>1.6323223064975287</v>
      </c>
      <c r="N92">
        <v>0</v>
      </c>
      <c r="R92" s="35">
        <f t="shared" ca="1" si="58"/>
        <v>137.0330195917372</v>
      </c>
      <c r="U92" s="35"/>
    </row>
    <row r="93" spans="1:21">
      <c r="A93" s="170"/>
      <c r="B93" s="171">
        <v>0.58367185674448252</v>
      </c>
      <c r="C93" s="171">
        <v>2.0841504898711007</v>
      </c>
      <c r="D93" s="171">
        <v>0.75171422039661484</v>
      </c>
      <c r="E93" s="170">
        <v>0</v>
      </c>
      <c r="F93" s="171">
        <v>0</v>
      </c>
      <c r="G93" s="170">
        <f>-$L$1</f>
        <v>-1.4990492230334603E-2</v>
      </c>
      <c r="H93" s="171">
        <v>0</v>
      </c>
      <c r="I93" s="171">
        <v>0</v>
      </c>
      <c r="J93" s="177">
        <f>-$N$1</f>
        <v>-4.7716218756768064E-3</v>
      </c>
      <c r="L93">
        <v>0</v>
      </c>
      <c r="M93">
        <v>0</v>
      </c>
      <c r="N93">
        <v>0.54187942700121572</v>
      </c>
      <c r="R93" s="35">
        <f t="shared" ca="1" si="58"/>
        <v>157.71990388339927</v>
      </c>
      <c r="U93" s="35"/>
    </row>
    <row r="94" spans="1:21">
      <c r="A94" s="170"/>
      <c r="B94" s="171"/>
      <c r="C94" s="171"/>
      <c r="D94" s="171"/>
      <c r="E94" s="170"/>
      <c r="F94" s="170"/>
      <c r="G94" s="170"/>
      <c r="H94" s="170"/>
      <c r="I94" s="170"/>
      <c r="J94" s="170"/>
      <c r="R94" s="35">
        <f t="shared" ca="1" si="58"/>
        <v>11.236298448789524</v>
      </c>
      <c r="U94" s="35"/>
    </row>
    <row r="95" spans="1:21">
      <c r="A95" s="170"/>
      <c r="B95" s="171">
        <v>1.0419123890112216</v>
      </c>
      <c r="C95" s="171">
        <v>-4.0818532431212473E-2</v>
      </c>
      <c r="D95" s="171">
        <v>0.77248383184656022</v>
      </c>
      <c r="E95" s="170">
        <f>-$L$1</f>
        <v>-1.4990492230334603E-2</v>
      </c>
      <c r="F95" s="171">
        <v>0</v>
      </c>
      <c r="G95" s="171">
        <v>0</v>
      </c>
      <c r="H95" s="177">
        <f>-$N$1</f>
        <v>-4.7716218756768064E-3</v>
      </c>
      <c r="I95" s="170">
        <v>0</v>
      </c>
      <c r="J95" s="170">
        <v>0</v>
      </c>
      <c r="L95">
        <f t="array" ref="L95:N97">SVDD(B95:D97)</f>
        <v>3.3139213619700745</v>
      </c>
      <c r="M95">
        <v>0</v>
      </c>
      <c r="N95">
        <v>0</v>
      </c>
      <c r="P95">
        <f t="shared" ref="P95" si="65">MAX(L95,M96,N97)/MIN(L95,M96,N97)</f>
        <v>3.8811004351956018</v>
      </c>
      <c r="R95" s="35">
        <f t="shared" ca="1" si="58"/>
        <v>60.630725200579725</v>
      </c>
      <c r="U95" s="35"/>
    </row>
    <row r="96" spans="1:21">
      <c r="A96" s="170" t="s">
        <v>237</v>
      </c>
      <c r="B96" s="171">
        <v>-1.0351585166444348</v>
      </c>
      <c r="C96" s="171">
        <v>2.1037449841221099</v>
      </c>
      <c r="D96" s="171">
        <v>0.82913701269133588</v>
      </c>
      <c r="E96" s="170">
        <v>0</v>
      </c>
      <c r="F96" s="170">
        <f>-$L$1</f>
        <v>-1.4990492230334603E-2</v>
      </c>
      <c r="G96" s="171">
        <v>0</v>
      </c>
      <c r="H96" s="171">
        <v>0</v>
      </c>
      <c r="I96" s="177">
        <f>-$N$1</f>
        <v>-4.7716218756768064E-3</v>
      </c>
      <c r="J96" s="170">
        <v>0</v>
      </c>
      <c r="L96">
        <v>0</v>
      </c>
      <c r="M96">
        <v>1.3281090472393997</v>
      </c>
      <c r="N96">
        <v>0</v>
      </c>
      <c r="R96" s="35">
        <f t="shared" ca="1" si="58"/>
        <v>8.7267189339788906</v>
      </c>
      <c r="U96" s="35"/>
    </row>
    <row r="97" spans="1:21">
      <c r="A97" s="170"/>
      <c r="B97" s="171">
        <v>-2.5457845528396139E-2</v>
      </c>
      <c r="C97" s="171">
        <v>2.3667658472617719</v>
      </c>
      <c r="D97" s="171">
        <v>6.368425350466822E-2</v>
      </c>
      <c r="E97" s="170">
        <v>0</v>
      </c>
      <c r="F97" s="171">
        <v>0</v>
      </c>
      <c r="G97" s="170">
        <f>-$L$1</f>
        <v>-1.4990492230334603E-2</v>
      </c>
      <c r="H97" s="171">
        <v>0</v>
      </c>
      <c r="I97" s="171">
        <v>0</v>
      </c>
      <c r="J97" s="177">
        <f>-$N$1</f>
        <v>-4.7716218756768064E-3</v>
      </c>
      <c r="L97">
        <v>0</v>
      </c>
      <c r="M97">
        <v>0</v>
      </c>
      <c r="N97">
        <v>0.8538612739618674</v>
      </c>
      <c r="R97" s="35">
        <f t="shared" ca="1" si="58"/>
        <v>8.1773167465735472</v>
      </c>
      <c r="U97" s="35"/>
    </row>
    <row r="98" spans="1:21">
      <c r="A98" s="170"/>
      <c r="B98" s="171"/>
      <c r="C98" s="171"/>
      <c r="D98" s="171"/>
      <c r="E98" s="170"/>
      <c r="F98" s="170"/>
      <c r="G98" s="170"/>
      <c r="H98" s="170"/>
      <c r="I98" s="170"/>
      <c r="J98" s="170"/>
      <c r="R98" s="35">
        <f t="shared" ca="1" si="58"/>
        <v>77.582923469237784</v>
      </c>
      <c r="U98" s="35"/>
    </row>
    <row r="99" spans="1:21">
      <c r="A99" s="170"/>
      <c r="B99" s="171">
        <v>1.0419123890112216</v>
      </c>
      <c r="C99" s="171">
        <v>-4.0818532431212473E-2</v>
      </c>
      <c r="D99" s="171">
        <v>0.77248383184656022</v>
      </c>
      <c r="E99" s="170">
        <f>-$L$1</f>
        <v>-1.4990492230334603E-2</v>
      </c>
      <c r="F99" s="171">
        <v>0</v>
      </c>
      <c r="G99" s="171">
        <v>0</v>
      </c>
      <c r="H99" s="177">
        <f>-$N$1</f>
        <v>-4.7716218756768064E-3</v>
      </c>
      <c r="I99" s="170">
        <v>0</v>
      </c>
      <c r="J99" s="170">
        <v>0</v>
      </c>
      <c r="L99">
        <f t="array" ref="L99:N101">SVDD(B99:D101)</f>
        <v>3.2334541453705148</v>
      </c>
      <c r="M99">
        <v>0</v>
      </c>
      <c r="N99">
        <v>0</v>
      </c>
      <c r="P99">
        <f t="shared" ref="P99" si="66">MAX(L99,M100,N101)/MIN(L99,M100,N101)</f>
        <v>24.848605975354669</v>
      </c>
      <c r="R99" s="35">
        <f t="shared" ca="1" si="58"/>
        <v>243.43943945414657</v>
      </c>
      <c r="U99" s="35"/>
    </row>
    <row r="100" spans="1:21">
      <c r="A100" s="170" t="s">
        <v>238</v>
      </c>
      <c r="B100" s="171">
        <v>0.58367185674448252</v>
      </c>
      <c r="C100" s="171">
        <v>2.0841504898711007</v>
      </c>
      <c r="D100" s="171">
        <v>0.75171422039661484</v>
      </c>
      <c r="E100" s="170">
        <v>0</v>
      </c>
      <c r="F100" s="170">
        <f>-$L$1</f>
        <v>-1.4990492230334603E-2</v>
      </c>
      <c r="G100" s="171">
        <v>0</v>
      </c>
      <c r="H100" s="171">
        <v>0</v>
      </c>
      <c r="I100" s="177">
        <f>-$N$1</f>
        <v>-4.7716218756768064E-3</v>
      </c>
      <c r="J100" s="170">
        <v>0</v>
      </c>
      <c r="L100">
        <v>0</v>
      </c>
      <c r="M100">
        <v>1.4378925719722622</v>
      </c>
      <c r="N100">
        <v>0</v>
      </c>
      <c r="R100" s="35">
        <f t="shared" ca="1" si="58"/>
        <v>10.517949300669882</v>
      </c>
      <c r="U100" s="35"/>
    </row>
    <row r="101" spans="1:21">
      <c r="A101" s="170"/>
      <c r="B101" s="171">
        <v>-2.5457845528396139E-2</v>
      </c>
      <c r="C101" s="171">
        <v>2.3667658472617719</v>
      </c>
      <c r="D101" s="171">
        <v>6.368425350466822E-2</v>
      </c>
      <c r="E101" s="170">
        <v>0</v>
      </c>
      <c r="F101" s="171">
        <v>0</v>
      </c>
      <c r="G101" s="170">
        <f>-$L$1</f>
        <v>-1.4990492230334603E-2</v>
      </c>
      <c r="H101" s="171">
        <v>0</v>
      </c>
      <c r="I101" s="171">
        <v>0</v>
      </c>
      <c r="J101" s="177">
        <f>-$N$1</f>
        <v>-4.7716218756768064E-3</v>
      </c>
      <c r="L101">
        <v>0</v>
      </c>
      <c r="M101">
        <v>0</v>
      </c>
      <c r="N101">
        <v>0.13012617885194516</v>
      </c>
      <c r="R101" s="35">
        <f t="shared" ca="1" si="58"/>
        <v>54.798719298337076</v>
      </c>
      <c r="U101" s="35"/>
    </row>
    <row r="102" spans="1:21">
      <c r="A102" s="170"/>
      <c r="B102" s="171"/>
      <c r="C102" s="171"/>
      <c r="D102" s="171"/>
      <c r="E102" s="170"/>
      <c r="F102" s="170"/>
      <c r="G102" s="170"/>
      <c r="H102" s="170"/>
      <c r="I102" s="170"/>
      <c r="J102" s="170"/>
      <c r="R102" s="35">
        <f t="shared" ca="1" si="58"/>
        <v>10.938849692911305</v>
      </c>
      <c r="U102" s="35"/>
    </row>
    <row r="103" spans="1:21">
      <c r="A103" s="170"/>
      <c r="B103" s="171">
        <v>-1.4028471761352286</v>
      </c>
      <c r="C103" s="171">
        <v>0.814665459345566</v>
      </c>
      <c r="D103" s="171">
        <v>0.7195871750303805</v>
      </c>
      <c r="E103" s="170">
        <f>-$L$1</f>
        <v>-1.4990492230334603E-2</v>
      </c>
      <c r="F103" s="171">
        <v>0</v>
      </c>
      <c r="G103" s="171">
        <v>0</v>
      </c>
      <c r="H103" s="177">
        <f>-$N$1</f>
        <v>-4.7716218756768064E-3</v>
      </c>
      <c r="I103" s="170">
        <v>0</v>
      </c>
      <c r="J103" s="170">
        <v>0</v>
      </c>
      <c r="L103">
        <f t="array" ref="L103:N105">SVDD(B103:D105)</f>
        <v>2.9750799152706904</v>
      </c>
      <c r="M103">
        <v>0</v>
      </c>
      <c r="N103">
        <v>0</v>
      </c>
      <c r="P103">
        <f t="shared" ref="P103" si="67">MAX(L103,M104,N105)/MIN(L103,M104,N105)</f>
        <v>7.3654400484483462</v>
      </c>
      <c r="R103" s="35">
        <f t="shared" ca="1" si="58"/>
        <v>8.6070566754854791</v>
      </c>
      <c r="U103" s="35"/>
    </row>
    <row r="104" spans="1:21">
      <c r="A104" s="170" t="s">
        <v>239</v>
      </c>
      <c r="B104" s="171">
        <v>1.4421025939282253</v>
      </c>
      <c r="C104" s="171">
        <v>1.0431877148697888</v>
      </c>
      <c r="D104" s="171">
        <v>0.78932433807079116</v>
      </c>
      <c r="E104" s="170">
        <v>0</v>
      </c>
      <c r="F104" s="170">
        <f>-$L$1</f>
        <v>-1.4990492230334603E-2</v>
      </c>
      <c r="G104" s="171">
        <v>0</v>
      </c>
      <c r="H104" s="171">
        <v>0</v>
      </c>
      <c r="I104" s="177">
        <f>-$N$1</f>
        <v>-4.7716218756768064E-3</v>
      </c>
      <c r="J104" s="170">
        <v>0</v>
      </c>
      <c r="L104">
        <v>0</v>
      </c>
      <c r="M104">
        <v>2.0275374503189587</v>
      </c>
      <c r="N104">
        <v>0</v>
      </c>
      <c r="R104" s="35">
        <f t="shared" ca="1" si="58"/>
        <v>88.262830753422278</v>
      </c>
      <c r="U104" s="35"/>
    </row>
    <row r="105" spans="1:21">
      <c r="A105" s="170"/>
      <c r="B105" s="171">
        <v>-1.0351585166444348</v>
      </c>
      <c r="C105" s="171">
        <v>2.1037449841221099</v>
      </c>
      <c r="D105" s="171">
        <v>0.82913701269133588</v>
      </c>
      <c r="E105" s="170">
        <v>0</v>
      </c>
      <c r="F105" s="171">
        <v>0</v>
      </c>
      <c r="G105" s="170">
        <f>-$L$1</f>
        <v>-1.4990492230334603E-2</v>
      </c>
      <c r="H105" s="171">
        <v>0</v>
      </c>
      <c r="I105" s="171">
        <v>0</v>
      </c>
      <c r="J105" s="177">
        <f>-$N$1</f>
        <v>-4.7716218756768064E-3</v>
      </c>
      <c r="L105">
        <v>0</v>
      </c>
      <c r="M105">
        <v>0</v>
      </c>
      <c r="N105">
        <v>0.40392425920260405</v>
      </c>
      <c r="R105" s="35">
        <f t="shared" ca="1" si="58"/>
        <v>8.1126859890305525</v>
      </c>
      <c r="U105" s="35"/>
    </row>
    <row r="106" spans="1:21">
      <c r="A106" s="170"/>
      <c r="B106" s="171"/>
      <c r="C106" s="171"/>
      <c r="D106" s="171"/>
      <c r="E106" s="170"/>
      <c r="F106" s="170"/>
      <c r="G106" s="170"/>
      <c r="H106" s="170"/>
      <c r="I106" s="170"/>
      <c r="J106" s="170"/>
      <c r="R106" s="35">
        <f t="shared" ca="1" si="58"/>
        <v>12.299736121719162</v>
      </c>
      <c r="U106" s="35"/>
    </row>
    <row r="107" spans="1:21">
      <c r="A107" s="170"/>
      <c r="B107" s="171">
        <v>-1.4028471761352286</v>
      </c>
      <c r="C107" s="171">
        <v>0.814665459345566</v>
      </c>
      <c r="D107" s="171">
        <v>0.7195871750303805</v>
      </c>
      <c r="E107" s="170">
        <f>-$L$1</f>
        <v>-1.4990492230334603E-2</v>
      </c>
      <c r="F107" s="171">
        <v>0</v>
      </c>
      <c r="G107" s="171">
        <v>0</v>
      </c>
      <c r="H107" s="177">
        <f>-$N$1</f>
        <v>-4.7716218756768064E-3</v>
      </c>
      <c r="I107" s="170">
        <v>0</v>
      </c>
      <c r="J107" s="170">
        <v>0</v>
      </c>
      <c r="L107">
        <f t="array" ref="L107:N109">SVDD(B107:D109)</f>
        <v>2.8821447381519611</v>
      </c>
      <c r="M107">
        <v>0</v>
      </c>
      <c r="N107">
        <v>0</v>
      </c>
      <c r="P107">
        <f t="shared" ref="P107" si="68">MAX(L107,M108,N109)/MIN(L107,M108,N109)</f>
        <v>6.5826761170413119</v>
      </c>
      <c r="R107" s="35">
        <f t="shared" ca="1" si="58"/>
        <v>8.5693135695380551</v>
      </c>
      <c r="U107" s="35"/>
    </row>
    <row r="108" spans="1:21">
      <c r="A108" s="170" t="s">
        <v>240</v>
      </c>
      <c r="B108" s="171">
        <v>1.4421025939282253</v>
      </c>
      <c r="C108" s="171">
        <v>1.0431877148697888</v>
      </c>
      <c r="D108" s="171">
        <v>0.78932433807079116</v>
      </c>
      <c r="E108" s="170">
        <v>0</v>
      </c>
      <c r="F108" s="170">
        <f>-$L$1</f>
        <v>-1.4990492230334603E-2</v>
      </c>
      <c r="G108" s="171">
        <v>0</v>
      </c>
      <c r="H108" s="171">
        <v>0</v>
      </c>
      <c r="I108" s="177">
        <f>-$N$1</f>
        <v>-4.7716218756768064E-3</v>
      </c>
      <c r="J108" s="170">
        <v>0</v>
      </c>
      <c r="L108">
        <v>0</v>
      </c>
      <c r="M108">
        <v>1.9212936322480629</v>
      </c>
      <c r="N108">
        <v>0</v>
      </c>
      <c r="R108" s="35">
        <f t="shared" ca="1" si="58"/>
        <v>5.2226620862837869</v>
      </c>
      <c r="U108" s="35"/>
    </row>
    <row r="109" spans="1:21">
      <c r="A109" s="170"/>
      <c r="B109" s="171">
        <v>0.58367185674448252</v>
      </c>
      <c r="C109" s="171">
        <v>2.0841504898711007</v>
      </c>
      <c r="D109" s="171">
        <v>0.75171422039661484</v>
      </c>
      <c r="E109" s="170">
        <v>0</v>
      </c>
      <c r="F109" s="171">
        <v>0</v>
      </c>
      <c r="G109" s="170">
        <f>-$L$1</f>
        <v>-1.4990492230334603E-2</v>
      </c>
      <c r="H109" s="171">
        <v>0</v>
      </c>
      <c r="I109" s="171">
        <v>0</v>
      </c>
      <c r="J109" s="177">
        <f>-$N$1</f>
        <v>-4.7716218756768064E-3</v>
      </c>
      <c r="L109">
        <v>0</v>
      </c>
      <c r="M109">
        <v>0</v>
      </c>
      <c r="N109">
        <v>0.43783784693441469</v>
      </c>
      <c r="R109" s="35">
        <f t="shared" ca="1" si="58"/>
        <v>6.8946518551856064</v>
      </c>
      <c r="U109" s="35"/>
    </row>
    <row r="110" spans="1:21">
      <c r="A110" s="170"/>
      <c r="B110" s="171"/>
      <c r="C110" s="171"/>
      <c r="D110" s="171"/>
      <c r="E110" s="170"/>
      <c r="F110" s="170"/>
      <c r="G110" s="170"/>
      <c r="H110" s="170"/>
      <c r="I110" s="170"/>
      <c r="J110" s="170"/>
      <c r="R110" s="35">
        <f t="shared" ca="1" si="58"/>
        <v>9.9372843807971485</v>
      </c>
      <c r="U110" s="35"/>
    </row>
    <row r="111" spans="1:21">
      <c r="A111" s="170"/>
      <c r="B111" s="171">
        <v>-1.4028471761352286</v>
      </c>
      <c r="C111" s="171">
        <v>0.814665459345566</v>
      </c>
      <c r="D111" s="171">
        <v>0.7195871750303805</v>
      </c>
      <c r="E111" s="170">
        <f>-$L$1</f>
        <v>-1.4990492230334603E-2</v>
      </c>
      <c r="F111" s="171">
        <v>0</v>
      </c>
      <c r="G111" s="171">
        <v>0</v>
      </c>
      <c r="H111" s="177">
        <f>-$N$1</f>
        <v>-4.7716218756768064E-3</v>
      </c>
      <c r="I111" s="170">
        <v>0</v>
      </c>
      <c r="J111" s="170">
        <v>0</v>
      </c>
      <c r="L111">
        <f t="array" ref="L111:N113">SVDD(B111:D113)</f>
        <v>2.7841841272498788</v>
      </c>
      <c r="M111">
        <v>0</v>
      </c>
      <c r="N111">
        <v>0</v>
      </c>
      <c r="P111">
        <f t="shared" ref="P111" si="69">MAX(L111,M112,N113)/MIN(L111,M112,N113)</f>
        <v>3.1648692167093064</v>
      </c>
      <c r="R111" s="35">
        <f t="shared" ca="1" si="58"/>
        <v>7.5591544987062864</v>
      </c>
      <c r="U111" s="35"/>
    </row>
    <row r="112" spans="1:21">
      <c r="A112" s="170" t="s">
        <v>241</v>
      </c>
      <c r="B112" s="171">
        <v>1.4421025939282253</v>
      </c>
      <c r="C112" s="171">
        <v>1.0431877148697888</v>
      </c>
      <c r="D112" s="171">
        <v>0.78932433807079116</v>
      </c>
      <c r="E112" s="170">
        <v>0</v>
      </c>
      <c r="F112" s="170">
        <f>-$L$1</f>
        <v>-1.4990492230334603E-2</v>
      </c>
      <c r="G112" s="171">
        <v>0</v>
      </c>
      <c r="H112" s="171">
        <v>0</v>
      </c>
      <c r="I112" s="177">
        <f>-$N$1</f>
        <v>-4.7716218756768064E-3</v>
      </c>
      <c r="J112" s="170">
        <v>0</v>
      </c>
      <c r="L112">
        <v>0</v>
      </c>
      <c r="M112">
        <v>2.0052688298374828</v>
      </c>
      <c r="N112">
        <v>0</v>
      </c>
      <c r="R112" s="35">
        <f t="shared" ca="1" si="58"/>
        <v>26.099112239465395</v>
      </c>
      <c r="U112" s="35"/>
    </row>
    <row r="113" spans="1:21">
      <c r="A113" s="170"/>
      <c r="B113" s="171">
        <v>-2.5457845528396139E-2</v>
      </c>
      <c r="C113" s="171">
        <v>2.3667658472617719</v>
      </c>
      <c r="D113" s="171">
        <v>6.368425350466822E-2</v>
      </c>
      <c r="E113" s="170">
        <v>0</v>
      </c>
      <c r="F113" s="171">
        <v>0</v>
      </c>
      <c r="G113" s="170">
        <f>-$L$1</f>
        <v>-1.4990492230334603E-2</v>
      </c>
      <c r="H113" s="171">
        <v>0</v>
      </c>
      <c r="I113" s="171">
        <v>0</v>
      </c>
      <c r="J113" s="177">
        <f>-$N$1</f>
        <v>-4.7716218756768064E-3</v>
      </c>
      <c r="L113">
        <v>0</v>
      </c>
      <c r="M113">
        <v>0</v>
      </c>
      <c r="N113">
        <v>0.87971538051254849</v>
      </c>
      <c r="R113" s="35">
        <f t="shared" ca="1" si="58"/>
        <v>8.2529665998791568</v>
      </c>
      <c r="U113" s="35"/>
    </row>
    <row r="114" spans="1:21">
      <c r="A114" s="170"/>
      <c r="B114" s="171"/>
      <c r="C114" s="171"/>
      <c r="D114" s="171"/>
      <c r="E114" s="170"/>
      <c r="F114" s="170"/>
      <c r="G114" s="170"/>
      <c r="H114" s="170"/>
      <c r="I114" s="170"/>
      <c r="J114" s="170"/>
      <c r="R114" s="35">
        <f t="shared" ca="1" si="58"/>
        <v>5.1437331426071831</v>
      </c>
      <c r="U114" s="35"/>
    </row>
    <row r="115" spans="1:21">
      <c r="A115" s="170"/>
      <c r="B115" s="171">
        <v>-1.4028471761352286</v>
      </c>
      <c r="C115" s="171">
        <v>0.814665459345566</v>
      </c>
      <c r="D115" s="171">
        <v>0.7195871750303805</v>
      </c>
      <c r="E115" s="170">
        <f>-$L$1</f>
        <v>-1.4990492230334603E-2</v>
      </c>
      <c r="F115" s="171">
        <v>0</v>
      </c>
      <c r="G115" s="171">
        <v>0</v>
      </c>
      <c r="H115" s="177">
        <f>-$N$1</f>
        <v>-4.7716218756768064E-3</v>
      </c>
      <c r="I115" s="170">
        <v>0</v>
      </c>
      <c r="J115" s="170">
        <v>0</v>
      </c>
      <c r="L115">
        <f t="array" ref="L115:N117">SVDD(B115:D117)</f>
        <v>3.4360355001316996</v>
      </c>
      <c r="M115">
        <v>0</v>
      </c>
      <c r="N115">
        <v>0</v>
      </c>
      <c r="P115">
        <f t="shared" ref="P115" si="70">MAX(L115,M116,N117)/MIN(L115,M116,N117)</f>
        <v>16.234426054507814</v>
      </c>
      <c r="R115" s="35">
        <f t="shared" ca="1" si="58"/>
        <v>5.8121432217475695</v>
      </c>
      <c r="U115" s="35"/>
    </row>
    <row r="116" spans="1:21">
      <c r="A116" s="170" t="s">
        <v>242</v>
      </c>
      <c r="B116" s="171">
        <v>-1.0351585166444348</v>
      </c>
      <c r="C116" s="171">
        <v>2.1037449841221099</v>
      </c>
      <c r="D116" s="171">
        <v>0.82913701269133588</v>
      </c>
      <c r="E116" s="170">
        <v>0</v>
      </c>
      <c r="F116" s="170">
        <f>-$L$1</f>
        <v>-1.4990492230334603E-2</v>
      </c>
      <c r="G116" s="171">
        <v>0</v>
      </c>
      <c r="H116" s="171">
        <v>0</v>
      </c>
      <c r="I116" s="177">
        <f>-$N$1</f>
        <v>-4.7716218756768064E-3</v>
      </c>
      <c r="J116" s="170">
        <v>0</v>
      </c>
      <c r="L116">
        <v>0</v>
      </c>
      <c r="M116">
        <v>1.6530348451544925</v>
      </c>
      <c r="N116">
        <v>0</v>
      </c>
      <c r="R116" s="35">
        <f t="shared" ca="1" si="58"/>
        <v>4.7138939593144054</v>
      </c>
      <c r="U116" s="35"/>
    </row>
    <row r="117" spans="1:21">
      <c r="A117" s="170"/>
      <c r="B117" s="171">
        <v>0.58367185674448252</v>
      </c>
      <c r="C117" s="171">
        <v>2.0841504898711007</v>
      </c>
      <c r="D117" s="171">
        <v>0.75171422039661484</v>
      </c>
      <c r="E117" s="170">
        <v>0</v>
      </c>
      <c r="F117" s="171">
        <v>0</v>
      </c>
      <c r="G117" s="170">
        <f>-$L$1</f>
        <v>-1.4990492230334603E-2</v>
      </c>
      <c r="H117" s="171">
        <v>0</v>
      </c>
      <c r="I117" s="171">
        <v>0</v>
      </c>
      <c r="J117" s="177">
        <f>-$N$1</f>
        <v>-4.7716218756768064E-3</v>
      </c>
      <c r="L117">
        <v>0</v>
      </c>
      <c r="M117">
        <v>0</v>
      </c>
      <c r="N117">
        <v>0.21165118425468543</v>
      </c>
      <c r="R117" s="35">
        <f t="shared" ca="1" si="58"/>
        <v>6.8287657968734292</v>
      </c>
      <c r="U117" s="35"/>
    </row>
    <row r="118" spans="1:21">
      <c r="A118" s="170"/>
      <c r="B118" s="171"/>
      <c r="C118" s="171"/>
      <c r="D118" s="171"/>
      <c r="E118" s="170"/>
      <c r="F118" s="170"/>
      <c r="G118" s="170"/>
      <c r="H118" s="170"/>
      <c r="I118" s="170"/>
      <c r="J118" s="170"/>
      <c r="R118" s="35">
        <f t="shared" ca="1" si="58"/>
        <v>8.9992558577730577</v>
      </c>
      <c r="U118" s="35"/>
    </row>
    <row r="119" spans="1:21">
      <c r="A119" s="170"/>
      <c r="B119" s="171">
        <v>-1.4028471761352286</v>
      </c>
      <c r="C119" s="171">
        <v>0.814665459345566</v>
      </c>
      <c r="D119" s="171">
        <v>0.7195871750303805</v>
      </c>
      <c r="E119" s="170">
        <f>-$L$1</f>
        <v>-1.4990492230334603E-2</v>
      </c>
      <c r="F119" s="171">
        <v>0</v>
      </c>
      <c r="G119" s="171">
        <v>0</v>
      </c>
      <c r="H119" s="177">
        <f>-$N$1</f>
        <v>-4.7716218756768064E-3</v>
      </c>
      <c r="I119" s="170">
        <v>0</v>
      </c>
      <c r="J119" s="170">
        <v>0</v>
      </c>
      <c r="L119">
        <f t="array" ref="L119:N121">SVDD(B119:D121)</f>
        <v>3.5702144380300824</v>
      </c>
      <c r="M119">
        <v>0</v>
      </c>
      <c r="N119">
        <v>0</v>
      </c>
      <c r="P119">
        <f t="shared" ref="P119" si="71">MAX(L119,M120,N121)/MIN(L119,M120,N121)</f>
        <v>21.390548698925272</v>
      </c>
      <c r="R119" s="35">
        <f t="shared" ca="1" si="58"/>
        <v>4.292123906712999</v>
      </c>
      <c r="U119" s="35"/>
    </row>
    <row r="120" spans="1:21">
      <c r="A120" s="170" t="s">
        <v>243</v>
      </c>
      <c r="B120" s="171">
        <v>-1.0351585166444348</v>
      </c>
      <c r="C120" s="171">
        <v>2.1037449841221099</v>
      </c>
      <c r="D120" s="171">
        <v>0.82913701269133588</v>
      </c>
      <c r="E120" s="170">
        <v>0</v>
      </c>
      <c r="F120" s="170">
        <f>-$L$1</f>
        <v>-1.4990492230334603E-2</v>
      </c>
      <c r="G120" s="171">
        <v>0</v>
      </c>
      <c r="H120" s="171">
        <v>0</v>
      </c>
      <c r="I120" s="177">
        <f>-$N$1</f>
        <v>-4.7716218756768064E-3</v>
      </c>
      <c r="J120" s="170">
        <v>0</v>
      </c>
      <c r="L120">
        <v>0</v>
      </c>
      <c r="M120">
        <v>1.4718103043175164</v>
      </c>
      <c r="N120">
        <v>0</v>
      </c>
      <c r="R120" s="35">
        <f t="shared" ca="1" si="58"/>
        <v>10.814350744949346</v>
      </c>
      <c r="U120" s="35"/>
    </row>
    <row r="121" spans="1:21">
      <c r="A121" s="170"/>
      <c r="B121" s="171">
        <v>-2.5457845528396139E-2</v>
      </c>
      <c r="C121" s="171">
        <v>2.3667658472617719</v>
      </c>
      <c r="D121" s="171">
        <v>6.368425350466822E-2</v>
      </c>
      <c r="E121" s="170">
        <v>0</v>
      </c>
      <c r="F121" s="171">
        <v>0</v>
      </c>
      <c r="G121" s="170">
        <f>-$L$1</f>
        <v>-1.4990492230334603E-2</v>
      </c>
      <c r="H121" s="171">
        <v>0</v>
      </c>
      <c r="I121" s="171">
        <v>0</v>
      </c>
      <c r="J121" s="177">
        <f>-$N$1</f>
        <v>-4.7716218756768064E-3</v>
      </c>
      <c r="L121">
        <v>0</v>
      </c>
      <c r="M121">
        <v>0</v>
      </c>
      <c r="N121">
        <v>0.16690616441313921</v>
      </c>
      <c r="R121" s="35">
        <f t="shared" ca="1" si="58"/>
        <v>13.161138632442416</v>
      </c>
      <c r="U121" s="35"/>
    </row>
    <row r="122" spans="1:21">
      <c r="A122" s="170"/>
      <c r="B122" s="171"/>
      <c r="C122" s="171"/>
      <c r="D122" s="171"/>
      <c r="E122" s="170"/>
      <c r="F122" s="170"/>
      <c r="G122" s="170"/>
      <c r="H122" s="170"/>
      <c r="I122" s="170"/>
      <c r="J122" s="170"/>
      <c r="R122" s="35">
        <f t="shared" ca="1" si="58"/>
        <v>5.1208665031360203</v>
      </c>
      <c r="U122" s="35"/>
    </row>
    <row r="123" spans="1:21">
      <c r="A123" s="170"/>
      <c r="B123" s="171">
        <v>-1.4028471761352286</v>
      </c>
      <c r="C123" s="171">
        <v>0.814665459345566</v>
      </c>
      <c r="D123" s="171">
        <v>0.7195871750303805</v>
      </c>
      <c r="E123" s="170">
        <f>-$L$1</f>
        <v>-1.4990492230334603E-2</v>
      </c>
      <c r="F123" s="171">
        <v>0</v>
      </c>
      <c r="G123" s="171">
        <v>0</v>
      </c>
      <c r="H123" s="177">
        <f>-$N$1</f>
        <v>-4.7716218756768064E-3</v>
      </c>
      <c r="I123" s="170">
        <v>0</v>
      </c>
      <c r="J123" s="170">
        <v>0</v>
      </c>
      <c r="L123">
        <f t="array" ref="L123:N125">SVDD(B123:D125)</f>
        <v>3.3374351810568914</v>
      </c>
      <c r="M123">
        <v>0</v>
      </c>
      <c r="N123">
        <v>0</v>
      </c>
      <c r="P123">
        <f t="shared" ref="P123" si="72">MAX(L123,M124,N125)/MIN(L123,M124,N125)</f>
        <v>5.3134649198272017</v>
      </c>
      <c r="R123" s="35">
        <f t="shared" ca="1" si="58"/>
        <v>250.1521200358882</v>
      </c>
      <c r="U123" s="35"/>
    </row>
    <row r="124" spans="1:21">
      <c r="A124" s="170" t="s">
        <v>244</v>
      </c>
      <c r="B124" s="171">
        <v>0.58367185674448252</v>
      </c>
      <c r="C124" s="171">
        <v>2.0841504898711007</v>
      </c>
      <c r="D124" s="171">
        <v>0.75171422039661484</v>
      </c>
      <c r="E124" s="170">
        <v>0</v>
      </c>
      <c r="F124" s="170">
        <f>-$L$1</f>
        <v>-1.4990492230334603E-2</v>
      </c>
      <c r="G124" s="171">
        <v>0</v>
      </c>
      <c r="H124" s="171">
        <v>0</v>
      </c>
      <c r="I124" s="177">
        <f>-$N$1</f>
        <v>-4.7716218756768064E-3</v>
      </c>
      <c r="J124" s="170">
        <v>0</v>
      </c>
      <c r="L124">
        <v>0</v>
      </c>
      <c r="M124">
        <v>1.5723186478808495</v>
      </c>
      <c r="N124">
        <v>0</v>
      </c>
      <c r="R124" s="35">
        <f t="shared" ca="1" si="58"/>
        <v>41.479009433576415</v>
      </c>
      <c r="U124" s="35"/>
    </row>
    <row r="125" spans="1:21">
      <c r="A125" s="170"/>
      <c r="B125" s="171">
        <v>-2.5457845528396139E-2</v>
      </c>
      <c r="C125" s="171">
        <v>2.3667658472617719</v>
      </c>
      <c r="D125" s="171">
        <v>6.368425350466822E-2</v>
      </c>
      <c r="E125" s="170">
        <v>0</v>
      </c>
      <c r="F125" s="171">
        <v>0</v>
      </c>
      <c r="G125" s="170">
        <f>-$L$1</f>
        <v>-1.4990492230334603E-2</v>
      </c>
      <c r="H125" s="171">
        <v>0</v>
      </c>
      <c r="I125" s="171">
        <v>0</v>
      </c>
      <c r="J125" s="177">
        <f>-$N$1</f>
        <v>-4.7716218756768064E-3</v>
      </c>
      <c r="L125">
        <v>0</v>
      </c>
      <c r="M125">
        <v>0</v>
      </c>
      <c r="N125">
        <v>0.62810900822987414</v>
      </c>
      <c r="R125" s="35">
        <f t="shared" ca="1" si="58"/>
        <v>298.22841835546393</v>
      </c>
      <c r="U125" s="35"/>
    </row>
    <row r="126" spans="1:21">
      <c r="A126" s="170"/>
      <c r="B126" s="171"/>
      <c r="C126" s="171"/>
      <c r="D126" s="171"/>
      <c r="E126" s="170"/>
      <c r="F126" s="170"/>
      <c r="G126" s="170"/>
      <c r="H126" s="170"/>
      <c r="I126" s="170"/>
      <c r="J126" s="170"/>
      <c r="R126" s="35">
        <f t="shared" ca="1" si="58"/>
        <v>13.015143058743432</v>
      </c>
      <c r="U126" s="35"/>
    </row>
    <row r="127" spans="1:21">
      <c r="A127" s="170"/>
      <c r="B127" s="171">
        <v>1.4421025939282253</v>
      </c>
      <c r="C127" s="171">
        <v>1.0431877148697888</v>
      </c>
      <c r="D127" s="171">
        <v>0.78932433807079116</v>
      </c>
      <c r="E127" s="170">
        <f>-$L$1</f>
        <v>-1.4990492230334603E-2</v>
      </c>
      <c r="F127" s="171">
        <v>0</v>
      </c>
      <c r="G127" s="171">
        <v>0</v>
      </c>
      <c r="H127" s="177">
        <f>-$N$1</f>
        <v>-4.7716218756768064E-3</v>
      </c>
      <c r="I127" s="170">
        <v>0</v>
      </c>
      <c r="J127" s="170">
        <v>0</v>
      </c>
      <c r="L127">
        <f t="array" ref="L127:N129">SVDD(B127:D129)</f>
        <v>3.4187160392163447</v>
      </c>
      <c r="M127">
        <v>0</v>
      </c>
      <c r="N127">
        <v>0</v>
      </c>
      <c r="P127">
        <f t="shared" ref="P127" si="73">MAX(L127,M128,N129)/MIN(L127,M128,N129)</f>
        <v>13.908174758807807</v>
      </c>
      <c r="R127" s="35">
        <f t="shared" ca="1" si="58"/>
        <v>41.827755997562726</v>
      </c>
      <c r="U127" s="35"/>
    </row>
    <row r="128" spans="1:21">
      <c r="A128" s="170" t="s">
        <v>245</v>
      </c>
      <c r="B128" s="171">
        <v>-1.0351585166444348</v>
      </c>
      <c r="C128" s="171">
        <v>2.1037449841221099</v>
      </c>
      <c r="D128" s="171">
        <v>0.82913701269133588</v>
      </c>
      <c r="E128" s="170">
        <v>0</v>
      </c>
      <c r="F128" s="170">
        <f>-$L$1</f>
        <v>-1.4990492230334603E-2</v>
      </c>
      <c r="G128" s="171">
        <v>0</v>
      </c>
      <c r="H128" s="171">
        <v>0</v>
      </c>
      <c r="I128" s="177">
        <f>-$N$1</f>
        <v>-4.7716218756768064E-3</v>
      </c>
      <c r="J128" s="170">
        <v>0</v>
      </c>
      <c r="L128">
        <v>0</v>
      </c>
      <c r="M128">
        <v>1.8646951542620871</v>
      </c>
      <c r="N128">
        <v>0</v>
      </c>
      <c r="R128" s="35">
        <f t="shared" ca="1" si="58"/>
        <v>1531.9211719884818</v>
      </c>
      <c r="U128" s="35"/>
    </row>
    <row r="129" spans="1:21">
      <c r="A129" s="170"/>
      <c r="B129" s="171">
        <v>0.58367185674448252</v>
      </c>
      <c r="C129" s="171">
        <v>2.0841504898711007</v>
      </c>
      <c r="D129" s="171">
        <v>0.75171422039661484</v>
      </c>
      <c r="E129" s="170">
        <v>0</v>
      </c>
      <c r="F129" s="171">
        <v>0</v>
      </c>
      <c r="G129" s="170">
        <f>-$L$1</f>
        <v>-1.4990492230334603E-2</v>
      </c>
      <c r="H129" s="171">
        <v>0</v>
      </c>
      <c r="I129" s="171">
        <v>0</v>
      </c>
      <c r="J129" s="177">
        <f>-$N$1</f>
        <v>-4.7716218756768064E-3</v>
      </c>
      <c r="L129">
        <v>0</v>
      </c>
      <c r="M129">
        <v>0</v>
      </c>
      <c r="N129">
        <v>0.24580623255767842</v>
      </c>
      <c r="R129" s="35">
        <f t="shared" ca="1" si="58"/>
        <v>10.782827837381458</v>
      </c>
      <c r="U129" s="35"/>
    </row>
    <row r="130" spans="1:21">
      <c r="A130" s="170"/>
      <c r="B130" s="171"/>
      <c r="C130" s="171"/>
      <c r="D130" s="171"/>
      <c r="E130" s="170"/>
      <c r="F130" s="170"/>
      <c r="G130" s="170"/>
      <c r="H130" s="170"/>
      <c r="I130" s="170"/>
      <c r="J130" s="170"/>
      <c r="R130" s="35">
        <f t="shared" ca="1" si="58"/>
        <v>32.637782807572336</v>
      </c>
      <c r="U130" s="35"/>
    </row>
    <row r="131" spans="1:21">
      <c r="A131" s="170"/>
      <c r="B131" s="171">
        <v>1.4421025939282253</v>
      </c>
      <c r="C131" s="171">
        <v>1.0431877148697888</v>
      </c>
      <c r="D131" s="171">
        <v>0.78932433807079116</v>
      </c>
      <c r="E131" s="170">
        <f>-$L$1</f>
        <v>-1.4990492230334603E-2</v>
      </c>
      <c r="F131" s="171">
        <v>0</v>
      </c>
      <c r="G131" s="171">
        <v>0</v>
      </c>
      <c r="H131" s="177">
        <f>-$N$1</f>
        <v>-4.7716218756768064E-3</v>
      </c>
      <c r="I131" s="170">
        <v>0</v>
      </c>
      <c r="J131" s="170">
        <v>0</v>
      </c>
      <c r="L131">
        <f t="array" ref="L131:N133">SVDD(B131:D133)</f>
        <v>3.4447389109044444</v>
      </c>
      <c r="M131">
        <v>0</v>
      </c>
      <c r="N131">
        <v>0</v>
      </c>
      <c r="P131">
        <f t="shared" ref="P131" si="74">MAX(L131,M132,N133)/MIN(L131,M132,N133)</f>
        <v>4.7248309144760778</v>
      </c>
      <c r="R131" s="35">
        <f t="shared" ca="1" si="58"/>
        <v>10.964478005785088</v>
      </c>
      <c r="U131" s="35"/>
    </row>
    <row r="132" spans="1:21">
      <c r="A132" s="170" t="s">
        <v>246</v>
      </c>
      <c r="B132" s="171">
        <v>-1.0351585166444348</v>
      </c>
      <c r="C132" s="171">
        <v>2.1037449841221099</v>
      </c>
      <c r="D132" s="171">
        <v>0.82913701269133588</v>
      </c>
      <c r="E132" s="170">
        <v>0</v>
      </c>
      <c r="F132" s="170">
        <f>-$L$1</f>
        <v>-1.4990492230334603E-2</v>
      </c>
      <c r="G132" s="171">
        <v>0</v>
      </c>
      <c r="H132" s="171">
        <v>0</v>
      </c>
      <c r="I132" s="177">
        <f>-$N$1</f>
        <v>-4.7716218756768064E-3</v>
      </c>
      <c r="J132" s="170">
        <v>0</v>
      </c>
      <c r="L132">
        <v>0</v>
      </c>
      <c r="M132">
        <v>1.7844357246783964</v>
      </c>
      <c r="N132">
        <v>0</v>
      </c>
      <c r="R132" s="35">
        <f t="shared" ca="1" si="58"/>
        <v>7.2055376032001162</v>
      </c>
      <c r="U132" s="35"/>
    </row>
    <row r="133" spans="1:21">
      <c r="A133" s="170"/>
      <c r="B133" s="171">
        <v>-2.5457845528396139E-2</v>
      </c>
      <c r="C133" s="171">
        <v>2.3667658472617719</v>
      </c>
      <c r="D133" s="171">
        <v>6.368425350466822E-2</v>
      </c>
      <c r="E133" s="170">
        <v>0</v>
      </c>
      <c r="F133" s="171">
        <v>0</v>
      </c>
      <c r="G133" s="170">
        <f>-$L$1</f>
        <v>-1.4990492230334603E-2</v>
      </c>
      <c r="H133" s="171">
        <v>0</v>
      </c>
      <c r="I133" s="171">
        <v>0</v>
      </c>
      <c r="J133" s="177">
        <f>-$N$1</f>
        <v>-4.7716218756768064E-3</v>
      </c>
      <c r="L133">
        <v>0</v>
      </c>
      <c r="M133">
        <v>0</v>
      </c>
      <c r="N133">
        <v>0.72907136218363933</v>
      </c>
      <c r="R133" s="35">
        <f t="shared" ref="R133:R196" ca="1" si="75">OFFSET($P$3,4*(ROW(A131)-1),0,1,1)</f>
        <v>79.914011691529879</v>
      </c>
      <c r="U133" s="35"/>
    </row>
    <row r="134" spans="1:21">
      <c r="A134" s="170"/>
      <c r="B134" s="171"/>
      <c r="C134" s="171"/>
      <c r="D134" s="171"/>
      <c r="E134" s="170"/>
      <c r="F134" s="170"/>
      <c r="G134" s="170"/>
      <c r="H134" s="170"/>
      <c r="I134" s="170"/>
      <c r="J134" s="170"/>
      <c r="R134" s="35">
        <f t="shared" ca="1" si="75"/>
        <v>384.18771801649655</v>
      </c>
      <c r="U134" s="35"/>
    </row>
    <row r="135" spans="1:21">
      <c r="A135" s="170"/>
      <c r="B135" s="171">
        <v>1.4421025939282253</v>
      </c>
      <c r="C135" s="171">
        <v>1.0431877148697888</v>
      </c>
      <c r="D135" s="171">
        <v>0.78932433807079116</v>
      </c>
      <c r="E135" s="170">
        <f>-$L$1</f>
        <v>-1.4990492230334603E-2</v>
      </c>
      <c r="F135" s="171">
        <v>0</v>
      </c>
      <c r="G135" s="171">
        <v>0</v>
      </c>
      <c r="H135" s="177">
        <f>-$N$1</f>
        <v>-4.7716218756768064E-3</v>
      </c>
      <c r="I135" s="170">
        <v>0</v>
      </c>
      <c r="J135" s="170">
        <v>0</v>
      </c>
      <c r="L135">
        <f t="array" ref="L135:N137">SVDD(B135:D137)</f>
        <v>3.5387063312071363</v>
      </c>
      <c r="M135">
        <v>0</v>
      </c>
      <c r="N135">
        <v>0</v>
      </c>
      <c r="P135">
        <f t="shared" ref="P135" si="76">MAX(L135,M136,N137)/MIN(L135,M136,N137)</f>
        <v>13.812589110219603</v>
      </c>
      <c r="R135" s="35">
        <f t="shared" ca="1" si="75"/>
        <v>14.309656637068336</v>
      </c>
      <c r="U135" s="35"/>
    </row>
    <row r="136" spans="1:21">
      <c r="A136" s="170" t="s">
        <v>247</v>
      </c>
      <c r="B136" s="171">
        <v>0.58367185674448252</v>
      </c>
      <c r="C136" s="171">
        <v>2.0841504898711007</v>
      </c>
      <c r="D136" s="171">
        <v>0.75171422039661484</v>
      </c>
      <c r="E136" s="170">
        <v>0</v>
      </c>
      <c r="F136" s="170">
        <f>-$L$1</f>
        <v>-1.4990492230334603E-2</v>
      </c>
      <c r="G136" s="171">
        <v>0</v>
      </c>
      <c r="H136" s="171">
        <v>0</v>
      </c>
      <c r="I136" s="177">
        <f>-$N$1</f>
        <v>-4.7716218756768064E-3</v>
      </c>
      <c r="J136" s="170">
        <v>0</v>
      </c>
      <c r="L136">
        <v>0</v>
      </c>
      <c r="M136">
        <v>1.4347718056576448</v>
      </c>
      <c r="N136">
        <v>0</v>
      </c>
      <c r="R136" s="35">
        <f t="shared" ca="1" si="75"/>
        <v>38.193455921208319</v>
      </c>
      <c r="U136" s="35"/>
    </row>
    <row r="137" spans="1:21">
      <c r="A137" s="170"/>
      <c r="B137" s="171">
        <v>-2.5457845528396139E-2</v>
      </c>
      <c r="C137" s="171">
        <v>2.3667658472617719</v>
      </c>
      <c r="D137" s="171">
        <v>6.368425350466822E-2</v>
      </c>
      <c r="E137" s="170">
        <v>0</v>
      </c>
      <c r="F137" s="171">
        <v>0</v>
      </c>
      <c r="G137" s="170">
        <f>-$L$1</f>
        <v>-1.4990492230334603E-2</v>
      </c>
      <c r="H137" s="171">
        <v>0</v>
      </c>
      <c r="I137" s="171">
        <v>0</v>
      </c>
      <c r="J137" s="177">
        <f>-$N$1</f>
        <v>-4.7716218756768064E-3</v>
      </c>
      <c r="L137">
        <v>0</v>
      </c>
      <c r="M137">
        <v>0</v>
      </c>
      <c r="N137">
        <v>0.25619428066450861</v>
      </c>
      <c r="R137" s="35">
        <f t="shared" ca="1" si="75"/>
        <v>6.2639720915040158</v>
      </c>
      <c r="U137" s="35"/>
    </row>
    <row r="138" spans="1:21">
      <c r="A138" s="170"/>
      <c r="B138" s="171"/>
      <c r="C138" s="171"/>
      <c r="D138" s="171"/>
      <c r="E138" s="170"/>
      <c r="F138" s="170"/>
      <c r="G138" s="170"/>
      <c r="H138" s="170"/>
      <c r="I138" s="170"/>
      <c r="J138" s="170"/>
      <c r="R138" s="35">
        <f t="shared" ca="1" si="75"/>
        <v>7.9300802487334305</v>
      </c>
      <c r="U138" s="35"/>
    </row>
    <row r="139" spans="1:21">
      <c r="A139" s="170"/>
      <c r="B139" s="171">
        <v>-1.0351585166444348</v>
      </c>
      <c r="C139" s="171">
        <v>2.1037449841221099</v>
      </c>
      <c r="D139" s="171">
        <v>0.82913701269133588</v>
      </c>
      <c r="E139" s="170">
        <f>-$L$1</f>
        <v>-1.4990492230334603E-2</v>
      </c>
      <c r="F139" s="171">
        <v>0</v>
      </c>
      <c r="G139" s="171">
        <v>0</v>
      </c>
      <c r="H139" s="177">
        <f>-$N$1</f>
        <v>-4.7716218756768064E-3</v>
      </c>
      <c r="I139" s="170">
        <v>0</v>
      </c>
      <c r="J139" s="170">
        <v>0</v>
      </c>
      <c r="L139">
        <f t="array" ref="L139:N141">SVDD(B139:D141)</f>
        <v>3.9133860237963831</v>
      </c>
      <c r="M139">
        <v>0</v>
      </c>
      <c r="N139">
        <v>0</v>
      </c>
      <c r="P139">
        <f t="shared" ref="P139" si="77">MAX(L139,M140,N141)/MIN(L139,M140,N141)</f>
        <v>6.4227760464603234</v>
      </c>
      <c r="R139" s="35">
        <f t="shared" ca="1" si="75"/>
        <v>50.896502091007278</v>
      </c>
      <c r="U139" s="35"/>
    </row>
    <row r="140" spans="1:21">
      <c r="A140" s="170" t="s">
        <v>248</v>
      </c>
      <c r="B140" s="171">
        <v>0.58367185674448252</v>
      </c>
      <c r="C140" s="171">
        <v>2.0841504898711007</v>
      </c>
      <c r="D140" s="171">
        <v>0.75171422039661484</v>
      </c>
      <c r="E140" s="170">
        <v>0</v>
      </c>
      <c r="F140" s="170">
        <f>-$L$1</f>
        <v>-1.4990492230334603E-2</v>
      </c>
      <c r="G140" s="171">
        <v>0</v>
      </c>
      <c r="H140" s="171">
        <v>0</v>
      </c>
      <c r="I140" s="177">
        <f>-$N$1</f>
        <v>-4.7716218756768064E-3</v>
      </c>
      <c r="J140" s="170">
        <v>0</v>
      </c>
      <c r="L140">
        <v>0</v>
      </c>
      <c r="M140">
        <v>1.1638919778418664</v>
      </c>
      <c r="N140">
        <v>0</v>
      </c>
      <c r="R140" s="35">
        <f t="shared" ca="1" si="75"/>
        <v>6.7566483524299317</v>
      </c>
      <c r="U140" s="35"/>
    </row>
    <row r="141" spans="1:21">
      <c r="A141" s="170"/>
      <c r="B141" s="171">
        <v>-2.5457845528396139E-2</v>
      </c>
      <c r="C141" s="171">
        <v>2.3667658472617719</v>
      </c>
      <c r="D141" s="171">
        <v>6.368425350466822E-2</v>
      </c>
      <c r="E141" s="170">
        <v>0</v>
      </c>
      <c r="F141" s="171">
        <v>0</v>
      </c>
      <c r="G141" s="170">
        <f>-$L$1</f>
        <v>-1.4990492230334603E-2</v>
      </c>
      <c r="H141" s="171">
        <v>0</v>
      </c>
      <c r="I141" s="171">
        <v>0</v>
      </c>
      <c r="J141" s="177">
        <f>-$N$1</f>
        <v>-4.7716218756768064E-3</v>
      </c>
      <c r="L141">
        <v>0</v>
      </c>
      <c r="M141">
        <v>0</v>
      </c>
      <c r="N141">
        <v>0.60929822174838277</v>
      </c>
      <c r="R141" s="35">
        <f t="shared" ca="1" si="75"/>
        <v>10.927909861320535</v>
      </c>
      <c r="U141" s="35"/>
    </row>
    <row r="142" spans="1:21">
      <c r="A142" s="170"/>
      <c r="B142" s="170"/>
      <c r="C142" s="170"/>
      <c r="D142" s="170"/>
      <c r="E142" s="170"/>
      <c r="F142" s="170"/>
      <c r="G142" s="170"/>
      <c r="H142" s="170"/>
      <c r="I142" s="170"/>
      <c r="J142" s="170"/>
      <c r="R142" s="35">
        <f t="shared" ca="1" si="75"/>
        <v>5.9522483324166</v>
      </c>
      <c r="U142" s="35"/>
    </row>
    <row r="143" spans="1:21">
      <c r="A143" s="170"/>
      <c r="B143" s="171">
        <v>1.253875629566908</v>
      </c>
      <c r="C143" s="171">
        <v>3.2592166127769939E-2</v>
      </c>
      <c r="D143" s="171">
        <v>-0.73934661383723232</v>
      </c>
      <c r="E143" s="170">
        <f>-$L$1</f>
        <v>-1.4990492230334603E-2</v>
      </c>
      <c r="F143" s="171">
        <v>0</v>
      </c>
      <c r="G143" s="171">
        <v>0</v>
      </c>
      <c r="H143" s="177">
        <f>-$N$1</f>
        <v>-4.7716218756768064E-3</v>
      </c>
      <c r="I143" s="170">
        <v>0</v>
      </c>
      <c r="J143" s="170">
        <v>0</v>
      </c>
      <c r="L143">
        <f t="array" ref="L143:N145">SVDD(B143:D145)</f>
        <v>2.6416731835810845</v>
      </c>
      <c r="M143">
        <v>0</v>
      </c>
      <c r="N143">
        <v>0</v>
      </c>
      <c r="P143">
        <f t="shared" ref="P143" si="78">MAX(L143,M144,N145)/MIN(L143,M144,N145)</f>
        <v>4.0468810703453864</v>
      </c>
      <c r="R143" s="35">
        <f t="shared" ca="1" si="75"/>
        <v>5.9241424686026916</v>
      </c>
      <c r="U143" s="35"/>
    </row>
    <row r="144" spans="1:21">
      <c r="A144" s="170" t="s">
        <v>249</v>
      </c>
      <c r="B144" s="171">
        <v>2.2957880185781296</v>
      </c>
      <c r="C144" s="171">
        <v>-8.2263663034425338E-3</v>
      </c>
      <c r="D144" s="171">
        <v>3.3137218009327896E-2</v>
      </c>
      <c r="E144" s="170">
        <v>0</v>
      </c>
      <c r="F144" s="170">
        <f>-$L$1</f>
        <v>-1.4990492230334603E-2</v>
      </c>
      <c r="G144" s="171">
        <v>0</v>
      </c>
      <c r="H144" s="171">
        <v>0</v>
      </c>
      <c r="I144" s="177">
        <f>-$N$1</f>
        <v>-4.7716218756768064E-3</v>
      </c>
      <c r="J144" s="170">
        <v>0</v>
      </c>
      <c r="L144">
        <v>0</v>
      </c>
      <c r="M144">
        <v>0.85299104134927606</v>
      </c>
      <c r="N144">
        <v>0</v>
      </c>
      <c r="R144" s="35">
        <f t="shared" ca="1" si="75"/>
        <v>10.502318144486368</v>
      </c>
      <c r="U144" s="35"/>
    </row>
    <row r="145" spans="1:21">
      <c r="A145" s="170"/>
      <c r="B145" s="171">
        <v>-0.14897154656832046</v>
      </c>
      <c r="C145" s="171">
        <v>0.84725762547333594</v>
      </c>
      <c r="D145" s="171">
        <v>-1.9759438806851826E-2</v>
      </c>
      <c r="E145" s="170">
        <v>0</v>
      </c>
      <c r="F145" s="171">
        <v>0</v>
      </c>
      <c r="G145" s="170">
        <f>-$L$1</f>
        <v>-1.4990492230334603E-2</v>
      </c>
      <c r="H145" s="171">
        <v>0</v>
      </c>
      <c r="I145" s="171">
        <v>0</v>
      </c>
      <c r="J145" s="177">
        <f>-$N$1</f>
        <v>-4.7716218756768064E-3</v>
      </c>
      <c r="L145">
        <v>0</v>
      </c>
      <c r="M145">
        <v>0</v>
      </c>
      <c r="N145">
        <v>0.65276768396745288</v>
      </c>
      <c r="R145" s="35">
        <f t="shared" ca="1" si="75"/>
        <v>7.0264412742510673</v>
      </c>
      <c r="U145" s="35"/>
    </row>
    <row r="146" spans="1:21">
      <c r="A146" s="170"/>
      <c r="B146" s="171"/>
      <c r="C146" s="171"/>
      <c r="D146" s="171"/>
      <c r="E146" s="170"/>
      <c r="F146" s="170"/>
      <c r="G146" s="170"/>
      <c r="H146" s="170"/>
      <c r="I146" s="170"/>
      <c r="J146" s="170"/>
      <c r="R146" s="35">
        <f t="shared" ca="1" si="75"/>
        <v>5.6287738318733966</v>
      </c>
      <c r="U146" s="35"/>
    </row>
    <row r="147" spans="1:21">
      <c r="A147" s="170"/>
      <c r="B147" s="171">
        <v>1.253875629566908</v>
      </c>
      <c r="C147" s="171">
        <v>3.2592166127769939E-2</v>
      </c>
      <c r="D147" s="171">
        <v>-0.73934661383723232</v>
      </c>
      <c r="E147" s="170">
        <f>-$L$1</f>
        <v>-1.4990492230334603E-2</v>
      </c>
      <c r="F147" s="171">
        <v>0</v>
      </c>
      <c r="G147" s="171">
        <v>0</v>
      </c>
      <c r="H147" s="177">
        <f>-$N$1</f>
        <v>-4.7716218756768064E-3</v>
      </c>
      <c r="I147" s="170">
        <v>0</v>
      </c>
      <c r="J147" s="170">
        <v>0</v>
      </c>
      <c r="L147">
        <f t="array" ref="L147:N149">SVDD(B147:D149)</f>
        <v>3.8436679203872028</v>
      </c>
      <c r="M147">
        <v>0</v>
      </c>
      <c r="N147">
        <v>0</v>
      </c>
      <c r="P147">
        <f t="shared" ref="P147" si="79">MAX(L147,M148,N149)/MIN(L147,M148,N149)</f>
        <v>6.5562246319096911</v>
      </c>
      <c r="R147" s="35">
        <f t="shared" ca="1" si="75"/>
        <v>4.9007064832167684</v>
      </c>
      <c r="U147" s="35"/>
    </row>
    <row r="148" spans="1:21">
      <c r="A148" s="170" t="s">
        <v>250</v>
      </c>
      <c r="B148" s="171">
        <v>2.2957880185781296</v>
      </c>
      <c r="C148" s="171">
        <v>-8.2263663034425338E-3</v>
      </c>
      <c r="D148" s="171">
        <v>3.3137218009327896E-2</v>
      </c>
      <c r="E148" s="170">
        <v>0</v>
      </c>
      <c r="F148" s="170">
        <f>-$L$1</f>
        <v>-1.4990492230334603E-2</v>
      </c>
      <c r="G148" s="171">
        <v>0</v>
      </c>
      <c r="H148" s="171">
        <v>0</v>
      </c>
      <c r="I148" s="177">
        <f>-$N$1</f>
        <v>-4.7716218756768064E-3</v>
      </c>
      <c r="J148" s="170">
        <v>0</v>
      </c>
      <c r="L148">
        <v>0</v>
      </c>
      <c r="M148">
        <v>0.83804544547022508</v>
      </c>
      <c r="N148">
        <v>0</v>
      </c>
      <c r="R148" s="35">
        <f t="shared" ca="1" si="75"/>
        <v>6.5952649754803758</v>
      </c>
      <c r="U148" s="35"/>
    </row>
    <row r="149" spans="1:21">
      <c r="A149" s="170"/>
      <c r="B149" s="171">
        <v>2.6959782234951333</v>
      </c>
      <c r="C149" s="171">
        <v>1.0757798809975587</v>
      </c>
      <c r="D149" s="171">
        <v>4.997772423355884E-2</v>
      </c>
      <c r="E149" s="170">
        <v>0</v>
      </c>
      <c r="F149" s="171">
        <v>0</v>
      </c>
      <c r="G149" s="170">
        <f>-$L$1</f>
        <v>-1.4990492230334603E-2</v>
      </c>
      <c r="H149" s="171">
        <v>0</v>
      </c>
      <c r="I149" s="171">
        <v>0</v>
      </c>
      <c r="J149" s="177">
        <f>-$N$1</f>
        <v>-4.7716218756768064E-3</v>
      </c>
      <c r="L149">
        <v>0</v>
      </c>
      <c r="M149">
        <v>0</v>
      </c>
      <c r="N149">
        <v>0.58626238974176559</v>
      </c>
      <c r="R149" s="35">
        <f t="shared" ca="1" si="75"/>
        <v>6.7148325139077363</v>
      </c>
      <c r="U149" s="35"/>
    </row>
    <row r="150" spans="1:21">
      <c r="A150" s="170"/>
      <c r="B150" s="171"/>
      <c r="C150" s="171"/>
      <c r="D150" s="171"/>
      <c r="E150" s="170"/>
      <c r="F150" s="170"/>
      <c r="G150" s="170"/>
      <c r="H150" s="170"/>
      <c r="I150" s="170"/>
      <c r="J150" s="170"/>
      <c r="R150" s="35">
        <f t="shared" ca="1" si="75"/>
        <v>7.0402993519910142</v>
      </c>
      <c r="U150" s="35"/>
    </row>
    <row r="151" spans="1:21">
      <c r="A151" s="170"/>
      <c r="B151" s="171">
        <v>1.253875629566908</v>
      </c>
      <c r="C151" s="171">
        <v>3.2592166127769939E-2</v>
      </c>
      <c r="D151" s="171">
        <v>-0.73934661383723232</v>
      </c>
      <c r="E151" s="170">
        <f>-$L$1</f>
        <v>-1.4990492230334603E-2</v>
      </c>
      <c r="F151" s="171">
        <v>0</v>
      </c>
      <c r="G151" s="171">
        <v>0</v>
      </c>
      <c r="H151" s="177">
        <f>-$N$1</f>
        <v>-4.7716218756768064E-3</v>
      </c>
      <c r="I151" s="170">
        <v>0</v>
      </c>
      <c r="J151" s="170">
        <v>0</v>
      </c>
      <c r="L151">
        <f t="array" ref="L151:N153">SVDD(B151:D153)</f>
        <v>2.6615097650284536</v>
      </c>
      <c r="M151">
        <v>0</v>
      </c>
      <c r="N151">
        <v>0</v>
      </c>
      <c r="P151">
        <f t="shared" ref="P151" si="80">MAX(L151,M152,N153)/MIN(L151,M152,N153)</f>
        <v>4.0319098330014373</v>
      </c>
      <c r="R151" s="35">
        <f t="shared" ca="1" si="75"/>
        <v>14.088858695576636</v>
      </c>
      <c r="U151" s="35"/>
    </row>
    <row r="152" spans="1:21">
      <c r="A152" s="170" t="s">
        <v>251</v>
      </c>
      <c r="B152" s="171">
        <v>2.2957880185781296</v>
      </c>
      <c r="C152" s="171">
        <v>-8.2263663034425338E-3</v>
      </c>
      <c r="D152" s="171">
        <v>3.3137218009327896E-2</v>
      </c>
      <c r="E152" s="170">
        <v>0</v>
      </c>
      <c r="F152" s="170">
        <f>-$L$1</f>
        <v>-1.4990492230334603E-2</v>
      </c>
      <c r="G152" s="171">
        <v>0</v>
      </c>
      <c r="H152" s="171">
        <v>0</v>
      </c>
      <c r="I152" s="177">
        <f>-$N$1</f>
        <v>-4.7716218756768064E-3</v>
      </c>
      <c r="J152" s="170">
        <v>0</v>
      </c>
      <c r="L152">
        <v>0</v>
      </c>
      <c r="M152">
        <v>2.1194722728116355</v>
      </c>
      <c r="N152">
        <v>0</v>
      </c>
      <c r="R152" s="35">
        <f t="shared" ca="1" si="75"/>
        <v>10.969037156132696</v>
      </c>
      <c r="U152" s="35"/>
    </row>
    <row r="153" spans="1:21">
      <c r="A153" s="170"/>
      <c r="B153" s="171">
        <v>0.21871711292247331</v>
      </c>
      <c r="C153" s="171">
        <v>2.1363371502498802</v>
      </c>
      <c r="D153" s="171">
        <v>8.9790398854103559E-2</v>
      </c>
      <c r="E153" s="170">
        <v>0</v>
      </c>
      <c r="F153" s="171">
        <v>0</v>
      </c>
      <c r="G153" s="170">
        <f>-$L$1</f>
        <v>-1.4990492230334603E-2</v>
      </c>
      <c r="H153" s="171">
        <v>0</v>
      </c>
      <c r="I153" s="171">
        <v>0</v>
      </c>
      <c r="J153" s="177">
        <f>-$N$1</f>
        <v>-4.7716218756768064E-3</v>
      </c>
      <c r="L153">
        <v>0</v>
      </c>
      <c r="M153">
        <v>0</v>
      </c>
      <c r="N153">
        <v>0.66011142988462379</v>
      </c>
      <c r="R153" s="35">
        <f t="shared" ca="1" si="75"/>
        <v>6.9688671966435978</v>
      </c>
      <c r="U153" s="35"/>
    </row>
    <row r="154" spans="1:21">
      <c r="A154" s="170"/>
      <c r="B154" s="171"/>
      <c r="C154" s="171"/>
      <c r="D154" s="171"/>
      <c r="E154" s="170"/>
      <c r="F154" s="170"/>
      <c r="G154" s="170"/>
      <c r="H154" s="170"/>
      <c r="I154" s="170"/>
      <c r="J154" s="170"/>
      <c r="R154" s="35">
        <f t="shared" ca="1" si="75"/>
        <v>4.4471433415054369</v>
      </c>
      <c r="U154" s="35"/>
    </row>
    <row r="155" spans="1:21">
      <c r="A155" s="170"/>
      <c r="B155" s="171">
        <v>1.253875629566908</v>
      </c>
      <c r="C155" s="171">
        <v>3.2592166127769939E-2</v>
      </c>
      <c r="D155" s="171">
        <v>-0.73934661383723232</v>
      </c>
      <c r="E155" s="170">
        <f>-$L$1</f>
        <v>-1.4990492230334603E-2</v>
      </c>
      <c r="F155" s="171">
        <v>0</v>
      </c>
      <c r="G155" s="171">
        <v>0</v>
      </c>
      <c r="H155" s="177">
        <f>-$N$1</f>
        <v>-4.7716218756768064E-3</v>
      </c>
      <c r="I155" s="170">
        <v>0</v>
      </c>
      <c r="J155" s="170">
        <v>0</v>
      </c>
      <c r="L155">
        <f t="array" ref="L155:N157">SVDD(B155:D157)</f>
        <v>3.4997213227152026</v>
      </c>
      <c r="M155">
        <v>0</v>
      </c>
      <c r="N155">
        <v>0</v>
      </c>
      <c r="P155">
        <f t="shared" ref="P155" si="81">MAX(L155,M156,N157)/MIN(L155,M156,N157)</f>
        <v>5.3172710655545243</v>
      </c>
      <c r="R155" s="35">
        <f t="shared" ca="1" si="75"/>
        <v>10.911698904326556</v>
      </c>
      <c r="U155" s="35"/>
    </row>
    <row r="156" spans="1:21">
      <c r="A156" s="170" t="s">
        <v>252</v>
      </c>
      <c r="B156" s="171">
        <v>2.2957880185781296</v>
      </c>
      <c r="C156" s="171">
        <v>-8.2263663034425338E-3</v>
      </c>
      <c r="D156" s="171">
        <v>3.3137218009327896E-2</v>
      </c>
      <c r="E156" s="170">
        <v>0</v>
      </c>
      <c r="F156" s="170">
        <f>-$L$1</f>
        <v>-1.4990492230334603E-2</v>
      </c>
      <c r="G156" s="171">
        <v>0</v>
      </c>
      <c r="H156" s="171">
        <v>0</v>
      </c>
      <c r="I156" s="177">
        <f>-$N$1</f>
        <v>-4.7716218756768064E-3</v>
      </c>
      <c r="J156" s="170">
        <v>0</v>
      </c>
      <c r="L156">
        <v>0</v>
      </c>
      <c r="M156">
        <v>1.6024328737632954</v>
      </c>
      <c r="N156">
        <v>0</v>
      </c>
      <c r="R156" s="35">
        <f t="shared" ca="1" si="75"/>
        <v>4.5861496106463111</v>
      </c>
      <c r="U156" s="35"/>
    </row>
    <row r="157" spans="1:21">
      <c r="A157" s="170"/>
      <c r="B157" s="171">
        <v>1.8375474863113905</v>
      </c>
      <c r="C157" s="171">
        <v>2.1167426559988707</v>
      </c>
      <c r="D157" s="171">
        <v>1.2367606559382516E-2</v>
      </c>
      <c r="E157" s="170">
        <v>0</v>
      </c>
      <c r="F157" s="171">
        <v>0</v>
      </c>
      <c r="G157" s="170">
        <f>-$L$1</f>
        <v>-1.4990492230334603E-2</v>
      </c>
      <c r="H157" s="171">
        <v>0</v>
      </c>
      <c r="I157" s="171">
        <v>0</v>
      </c>
      <c r="J157" s="177">
        <f>-$N$1</f>
        <v>-4.7716218756768064E-3</v>
      </c>
      <c r="L157">
        <v>0</v>
      </c>
      <c r="M157">
        <v>0</v>
      </c>
      <c r="N157">
        <v>0.65817997231446879</v>
      </c>
      <c r="R157" s="35">
        <f t="shared" ca="1" si="75"/>
        <v>9.3131735466476471</v>
      </c>
      <c r="U157" s="35"/>
    </row>
    <row r="158" spans="1:21">
      <c r="A158" s="170"/>
      <c r="B158" s="171"/>
      <c r="C158" s="171"/>
      <c r="D158" s="171"/>
      <c r="E158" s="170"/>
      <c r="F158" s="170"/>
      <c r="G158" s="170"/>
      <c r="H158" s="170"/>
      <c r="I158" s="170"/>
      <c r="J158" s="170"/>
      <c r="R158" s="35">
        <f t="shared" ca="1" si="75"/>
        <v>286.9294314386575</v>
      </c>
      <c r="U158" s="35"/>
    </row>
    <row r="159" spans="1:21">
      <c r="A159" s="170"/>
      <c r="B159" s="171">
        <v>1.253875629566908</v>
      </c>
      <c r="C159" s="171">
        <v>3.2592166127769939E-2</v>
      </c>
      <c r="D159" s="171">
        <v>-0.73934661383723232</v>
      </c>
      <c r="E159" s="170">
        <f>-$L$1</f>
        <v>-1.4990492230334603E-2</v>
      </c>
      <c r="F159" s="171">
        <v>0</v>
      </c>
      <c r="G159" s="171">
        <v>0</v>
      </c>
      <c r="H159" s="177">
        <f>-$N$1</f>
        <v>-4.7716218756768064E-3</v>
      </c>
      <c r="I159" s="170">
        <v>0</v>
      </c>
      <c r="J159" s="170">
        <v>0</v>
      </c>
      <c r="L159">
        <f t="array" ref="L159:N161">SVDD(B159:D161)</f>
        <v>3.2921643587257168</v>
      </c>
      <c r="M159">
        <v>0</v>
      </c>
      <c r="N159">
        <v>0</v>
      </c>
      <c r="P159">
        <f t="shared" ref="P159" si="82">MAX(L159,M160,N161)/MIN(L159,M160,N161)</f>
        <v>5.1746470606257837</v>
      </c>
      <c r="R159" s="35">
        <f t="shared" ca="1" si="75"/>
        <v>155.61168544988374</v>
      </c>
      <c r="U159" s="35"/>
    </row>
    <row r="160" spans="1:21">
      <c r="A160" s="170" t="s">
        <v>253</v>
      </c>
      <c r="B160" s="171">
        <v>2.2957880185781296</v>
      </c>
      <c r="C160" s="171">
        <v>-8.2263663034425338E-3</v>
      </c>
      <c r="D160" s="171">
        <v>3.3137218009327896E-2</v>
      </c>
      <c r="E160" s="170">
        <v>0</v>
      </c>
      <c r="F160" s="170">
        <f>-$L$1</f>
        <v>-1.4990492230334603E-2</v>
      </c>
      <c r="G160" s="171">
        <v>0</v>
      </c>
      <c r="H160" s="171">
        <v>0</v>
      </c>
      <c r="I160" s="177">
        <f>-$N$1</f>
        <v>-4.7716218756768064E-3</v>
      </c>
      <c r="J160" s="170">
        <v>0</v>
      </c>
      <c r="L160">
        <v>0</v>
      </c>
      <c r="M160">
        <v>1.9674976567210289</v>
      </c>
      <c r="N160">
        <v>0</v>
      </c>
      <c r="R160" s="35">
        <f t="shared" ca="1" si="75"/>
        <v>159.28604006876967</v>
      </c>
      <c r="U160" s="35"/>
    </row>
    <row r="161" spans="1:21">
      <c r="A161" s="170"/>
      <c r="B161" s="171">
        <v>1.2284177840385118</v>
      </c>
      <c r="C161" s="171">
        <v>2.3993580133895418</v>
      </c>
      <c r="D161" s="171">
        <v>-0.6756623603325641</v>
      </c>
      <c r="E161" s="170">
        <v>0</v>
      </c>
      <c r="F161" s="171">
        <v>0</v>
      </c>
      <c r="G161" s="170">
        <f>-$L$1</f>
        <v>-1.4990492230334603E-2</v>
      </c>
      <c r="H161" s="171">
        <v>0</v>
      </c>
      <c r="I161" s="171">
        <v>0</v>
      </c>
      <c r="J161" s="177">
        <f>-$N$1</f>
        <v>-4.7716218756768064E-3</v>
      </c>
      <c r="L161">
        <v>0</v>
      </c>
      <c r="M161">
        <v>0</v>
      </c>
      <c r="N161">
        <v>0.63621041592884731</v>
      </c>
      <c r="R161" s="35">
        <f t="shared" ca="1" si="75"/>
        <v>11.339490785679912</v>
      </c>
      <c r="U161" s="35"/>
    </row>
    <row r="162" spans="1:21">
      <c r="A162" s="170"/>
      <c r="B162" s="171"/>
      <c r="C162" s="171"/>
      <c r="D162" s="171"/>
      <c r="E162" s="170"/>
      <c r="F162" s="170"/>
      <c r="G162" s="170"/>
      <c r="H162" s="170"/>
      <c r="I162" s="170"/>
      <c r="J162" s="170"/>
      <c r="R162" s="35">
        <f t="shared" ca="1" si="75"/>
        <v>107.5399530016923</v>
      </c>
      <c r="U162" s="35"/>
    </row>
    <row r="163" spans="1:21">
      <c r="A163" s="170"/>
      <c r="B163" s="171">
        <v>1.253875629566908</v>
      </c>
      <c r="C163" s="171">
        <v>3.2592166127769939E-2</v>
      </c>
      <c r="D163" s="171">
        <v>-0.73934661383723232</v>
      </c>
      <c r="E163" s="170">
        <f>-$L$1</f>
        <v>-1.4990492230334603E-2</v>
      </c>
      <c r="F163" s="171">
        <v>0</v>
      </c>
      <c r="G163" s="171">
        <v>0</v>
      </c>
      <c r="H163" s="177">
        <f>-$N$1</f>
        <v>-4.7716218756768064E-3</v>
      </c>
      <c r="I163" s="170">
        <v>0</v>
      </c>
      <c r="J163" s="170">
        <v>0</v>
      </c>
      <c r="L163">
        <f t="array" ref="L163:N165">SVDD(B163:D165)</f>
        <v>3.1486918152895274</v>
      </c>
      <c r="M163">
        <v>0</v>
      </c>
      <c r="N163">
        <v>0</v>
      </c>
      <c r="P163">
        <f t="shared" ref="P163" si="83">MAX(L163,M164,N165)/MIN(L163,M164,N165)</f>
        <v>5.3206171986713269</v>
      </c>
      <c r="R163" s="35">
        <f t="shared" ca="1" si="75"/>
        <v>2149.1679832149403</v>
      </c>
      <c r="U163" s="35"/>
    </row>
    <row r="164" spans="1:21">
      <c r="A164" s="170" t="s">
        <v>254</v>
      </c>
      <c r="B164" s="171">
        <v>-0.14897154656832046</v>
      </c>
      <c r="C164" s="171">
        <v>0.84725762547333594</v>
      </c>
      <c r="D164" s="171">
        <v>-1.9759438806851826E-2</v>
      </c>
      <c r="E164" s="170">
        <v>0</v>
      </c>
      <c r="F164" s="170">
        <f>-$L$1</f>
        <v>-1.4990492230334603E-2</v>
      </c>
      <c r="G164" s="171">
        <v>0</v>
      </c>
      <c r="H164" s="171">
        <v>0</v>
      </c>
      <c r="I164" s="177">
        <f>-$N$1</f>
        <v>-4.7716218756768064E-3</v>
      </c>
      <c r="J164" s="170">
        <v>0</v>
      </c>
      <c r="L164">
        <v>0</v>
      </c>
      <c r="M164">
        <v>1.0119044016389576</v>
      </c>
      <c r="N164">
        <v>0</v>
      </c>
      <c r="R164" s="35">
        <f t="shared" ca="1" si="75"/>
        <v>19.571411138788417</v>
      </c>
      <c r="U164" s="35"/>
    </row>
    <row r="165" spans="1:21">
      <c r="A165" s="170"/>
      <c r="B165" s="171">
        <v>2.6959782234951333</v>
      </c>
      <c r="C165" s="171">
        <v>1.0757798809975587</v>
      </c>
      <c r="D165" s="171">
        <v>4.997772423355884E-2</v>
      </c>
      <c r="E165" s="170">
        <v>0</v>
      </c>
      <c r="F165" s="171">
        <v>0</v>
      </c>
      <c r="G165" s="170">
        <f>-$L$1</f>
        <v>-1.4990492230334603E-2</v>
      </c>
      <c r="H165" s="171">
        <v>0</v>
      </c>
      <c r="I165" s="171">
        <v>0</v>
      </c>
      <c r="J165" s="177">
        <f>-$N$1</f>
        <v>-4.7716218756768064E-3</v>
      </c>
      <c r="L165">
        <v>0</v>
      </c>
      <c r="M165">
        <v>0</v>
      </c>
      <c r="N165">
        <v>0.59179070730287153</v>
      </c>
      <c r="R165" s="35">
        <f t="shared" ca="1" si="75"/>
        <v>58.858855955017582</v>
      </c>
      <c r="U165" s="35"/>
    </row>
    <row r="166" spans="1:21">
      <c r="A166" s="170"/>
      <c r="B166" s="171"/>
      <c r="C166" s="171"/>
      <c r="D166" s="171"/>
      <c r="E166" s="170"/>
      <c r="F166" s="170"/>
      <c r="G166" s="170"/>
      <c r="H166" s="170"/>
      <c r="I166" s="170"/>
      <c r="J166" s="170"/>
      <c r="R166" s="35">
        <f t="shared" ca="1" si="75"/>
        <v>7.33302063772613</v>
      </c>
      <c r="U166" s="35"/>
    </row>
    <row r="167" spans="1:21">
      <c r="A167" s="170"/>
      <c r="B167" s="171">
        <v>1.253875629566908</v>
      </c>
      <c r="C167" s="171">
        <v>3.2592166127769939E-2</v>
      </c>
      <c r="D167" s="171">
        <v>-0.73934661383723232</v>
      </c>
      <c r="E167" s="170">
        <f>-$L$1</f>
        <v>-1.4990492230334603E-2</v>
      </c>
      <c r="F167" s="171">
        <v>0</v>
      </c>
      <c r="G167" s="171">
        <v>0</v>
      </c>
      <c r="H167" s="177">
        <f>-$N$1</f>
        <v>-4.7716218756768064E-3</v>
      </c>
      <c r="I167" s="170">
        <v>0</v>
      </c>
      <c r="J167" s="170">
        <v>0</v>
      </c>
      <c r="L167">
        <f t="array" ref="L167:N169">SVDD(B167:D169)</f>
        <v>2.3072029244269689</v>
      </c>
      <c r="M167">
        <v>0</v>
      </c>
      <c r="N167">
        <v>0</v>
      </c>
      <c r="P167">
        <f t="shared" ref="P167" si="84">MAX(L167,M168,N169)/MIN(L167,M168,N169)</f>
        <v>14.924598791824929</v>
      </c>
      <c r="R167" s="35">
        <f t="shared" ca="1" si="75"/>
        <v>8.5028993454699311</v>
      </c>
      <c r="U167" s="35"/>
    </row>
    <row r="168" spans="1:21">
      <c r="A168" s="170" t="s">
        <v>255</v>
      </c>
      <c r="B168" s="171">
        <v>-0.14897154656832046</v>
      </c>
      <c r="C168" s="171">
        <v>0.84725762547333594</v>
      </c>
      <c r="D168" s="171">
        <v>-1.9759438806851826E-2</v>
      </c>
      <c r="E168" s="170">
        <v>0</v>
      </c>
      <c r="F168" s="170">
        <f>-$L$1</f>
        <v>-1.4990492230334603E-2</v>
      </c>
      <c r="G168" s="171">
        <v>0</v>
      </c>
      <c r="H168" s="171">
        <v>0</v>
      </c>
      <c r="I168" s="177">
        <f>-$N$1</f>
        <v>-4.7716218756768064E-3</v>
      </c>
      <c r="J168" s="170">
        <v>0</v>
      </c>
      <c r="L168">
        <v>0</v>
      </c>
      <c r="M168">
        <v>1.4605069386254479</v>
      </c>
      <c r="N168">
        <v>0</v>
      </c>
      <c r="R168" s="35">
        <f t="shared" ca="1" si="75"/>
        <v>77.784722012998088</v>
      </c>
      <c r="U168" s="35"/>
    </row>
    <row r="169" spans="1:21">
      <c r="A169" s="170"/>
      <c r="B169" s="171">
        <v>0.21871711292247331</v>
      </c>
      <c r="C169" s="171">
        <v>2.1363371502498802</v>
      </c>
      <c r="D169" s="171">
        <v>8.9790398854103559E-2</v>
      </c>
      <c r="E169" s="170">
        <v>0</v>
      </c>
      <c r="F169" s="171">
        <v>0</v>
      </c>
      <c r="G169" s="170">
        <f>-$L$1</f>
        <v>-1.4990492230334603E-2</v>
      </c>
      <c r="H169" s="171">
        <v>0</v>
      </c>
      <c r="I169" s="171">
        <v>0</v>
      </c>
      <c r="J169" s="177">
        <f>-$N$1</f>
        <v>-4.7716218756768064E-3</v>
      </c>
      <c r="L169">
        <v>0</v>
      </c>
      <c r="M169">
        <v>0</v>
      </c>
      <c r="N169">
        <v>0.1545906162442878</v>
      </c>
      <c r="R169" s="35">
        <f t="shared" ca="1" si="75"/>
        <v>190.43474137765517</v>
      </c>
      <c r="U169" s="35"/>
    </row>
    <row r="170" spans="1:21">
      <c r="A170" s="170"/>
      <c r="B170" s="171"/>
      <c r="C170" s="171"/>
      <c r="D170" s="171"/>
      <c r="E170" s="170"/>
      <c r="F170" s="170"/>
      <c r="G170" s="170"/>
      <c r="H170" s="170"/>
      <c r="I170" s="170"/>
      <c r="J170" s="170"/>
      <c r="R170" s="35">
        <f t="shared" ca="1" si="75"/>
        <v>8.9880513431210201</v>
      </c>
      <c r="U170" s="35"/>
    </row>
    <row r="171" spans="1:21">
      <c r="A171" s="170"/>
      <c r="B171" s="171">
        <v>1.253875629566908</v>
      </c>
      <c r="C171" s="171">
        <v>3.2592166127769939E-2</v>
      </c>
      <c r="D171" s="171">
        <v>-0.73934661383723232</v>
      </c>
      <c r="E171" s="170">
        <f>-$L$1</f>
        <v>-1.4990492230334603E-2</v>
      </c>
      <c r="F171" s="171">
        <v>0</v>
      </c>
      <c r="G171" s="171">
        <v>0</v>
      </c>
      <c r="H171" s="177">
        <f>-$N$1</f>
        <v>-4.7716218756768064E-3</v>
      </c>
      <c r="I171" s="170">
        <v>0</v>
      </c>
      <c r="J171" s="170">
        <v>0</v>
      </c>
      <c r="L171">
        <f t="array" ref="L171:N173">SVDD(B171:D173)</f>
        <v>2.9899944880535863</v>
      </c>
      <c r="M171">
        <v>0</v>
      </c>
      <c r="N171">
        <v>0</v>
      </c>
      <c r="P171">
        <f t="shared" ref="P171" si="85">MAX(L171,M172,N173)/MIN(L171,M172,N173)</f>
        <v>7.888357243357154</v>
      </c>
      <c r="R171" s="35">
        <f t="shared" ca="1" si="75"/>
        <v>56.386053470483816</v>
      </c>
      <c r="U171" s="35"/>
    </row>
    <row r="172" spans="1:21">
      <c r="A172" s="170" t="s">
        <v>256</v>
      </c>
      <c r="B172" s="171">
        <v>-0.14897154656832046</v>
      </c>
      <c r="C172" s="171">
        <v>0.84725762547333594</v>
      </c>
      <c r="D172" s="171">
        <v>-1.9759438806851826E-2</v>
      </c>
      <c r="E172" s="170">
        <v>0</v>
      </c>
      <c r="F172" s="170">
        <f>-$L$1</f>
        <v>-1.4990492230334603E-2</v>
      </c>
      <c r="G172" s="171">
        <v>0</v>
      </c>
      <c r="H172" s="171">
        <v>0</v>
      </c>
      <c r="I172" s="177">
        <f>-$N$1</f>
        <v>-4.7716218756768064E-3</v>
      </c>
      <c r="J172" s="170">
        <v>0</v>
      </c>
      <c r="L172">
        <v>0</v>
      </c>
      <c r="M172">
        <v>1.2782503061012871</v>
      </c>
      <c r="N172">
        <v>0</v>
      </c>
      <c r="R172" s="35">
        <f t="shared" ca="1" si="75"/>
        <v>5.9659507309582951</v>
      </c>
      <c r="U172" s="35"/>
    </row>
    <row r="173" spans="1:21">
      <c r="A173" s="170"/>
      <c r="B173" s="171">
        <v>1.8375474863113905</v>
      </c>
      <c r="C173" s="171">
        <v>2.1167426559988707</v>
      </c>
      <c r="D173" s="171">
        <v>1.2367606559382516E-2</v>
      </c>
      <c r="E173" s="170">
        <v>0</v>
      </c>
      <c r="F173" s="171">
        <v>0</v>
      </c>
      <c r="G173" s="170">
        <f>-$L$1</f>
        <v>-1.4990492230334603E-2</v>
      </c>
      <c r="H173" s="171">
        <v>0</v>
      </c>
      <c r="I173" s="171">
        <v>0</v>
      </c>
      <c r="J173" s="177">
        <f>-$N$1</f>
        <v>-4.7716218756768064E-3</v>
      </c>
      <c r="L173">
        <v>0</v>
      </c>
      <c r="M173">
        <v>0</v>
      </c>
      <c r="N173">
        <v>0.37903892988257898</v>
      </c>
      <c r="R173" s="35">
        <f t="shared" ca="1" si="75"/>
        <v>7.5782362388487288</v>
      </c>
      <c r="U173" s="35"/>
    </row>
    <row r="174" spans="1:21">
      <c r="A174" s="170"/>
      <c r="B174" s="171"/>
      <c r="C174" s="171"/>
      <c r="D174" s="171"/>
      <c r="E174" s="170"/>
      <c r="F174" s="170"/>
      <c r="G174" s="170"/>
      <c r="H174" s="170"/>
      <c r="I174" s="170"/>
      <c r="J174" s="170"/>
      <c r="R174" s="35">
        <f t="shared" ca="1" si="75"/>
        <v>53.026975700344195</v>
      </c>
      <c r="U174" s="35"/>
    </row>
    <row r="175" spans="1:21">
      <c r="A175" s="170"/>
      <c r="B175" s="171">
        <v>1.253875629566908</v>
      </c>
      <c r="C175" s="171">
        <v>3.2592166127769939E-2</v>
      </c>
      <c r="D175" s="171">
        <v>-0.73934661383723232</v>
      </c>
      <c r="E175" s="170">
        <f>-$L$1</f>
        <v>-1.4990492230334603E-2</v>
      </c>
      <c r="F175" s="171">
        <v>0</v>
      </c>
      <c r="G175" s="171">
        <v>0</v>
      </c>
      <c r="H175" s="177">
        <f>-$N$1</f>
        <v>-4.7716218756768064E-3</v>
      </c>
      <c r="I175" s="170">
        <v>0</v>
      </c>
      <c r="J175" s="170">
        <v>0</v>
      </c>
      <c r="L175">
        <f t="array" ref="L175:N177">SVDD(B175:D177)</f>
        <v>2.9670627237475808</v>
      </c>
      <c r="M175">
        <v>0</v>
      </c>
      <c r="N175">
        <v>0</v>
      </c>
      <c r="P175">
        <f t="shared" ref="P175" si="86">MAX(L175,M176,N177)/MIN(L175,M176,N177)</f>
        <v>31.543651568563895</v>
      </c>
      <c r="R175" s="35">
        <f t="shared" ca="1" si="75"/>
        <v>8.7470632700269135</v>
      </c>
      <c r="U175" s="35"/>
    </row>
    <row r="176" spans="1:21">
      <c r="A176" s="170" t="s">
        <v>257</v>
      </c>
      <c r="B176" s="171">
        <v>-0.14897154656832046</v>
      </c>
      <c r="C176" s="171">
        <v>0.84725762547333594</v>
      </c>
      <c r="D176" s="171">
        <v>-1.9759438806851826E-2</v>
      </c>
      <c r="E176" s="170">
        <v>0</v>
      </c>
      <c r="F176" s="170">
        <f>-$L$1</f>
        <v>-1.4990492230334603E-2</v>
      </c>
      <c r="G176" s="171">
        <v>0</v>
      </c>
      <c r="H176" s="171">
        <v>0</v>
      </c>
      <c r="I176" s="177">
        <f>-$N$1</f>
        <v>-4.7716218756768064E-3</v>
      </c>
      <c r="J176" s="170">
        <v>0</v>
      </c>
      <c r="L176">
        <v>0</v>
      </c>
      <c r="M176">
        <v>1.3305893674939453</v>
      </c>
      <c r="N176">
        <v>0</v>
      </c>
      <c r="R176" s="35">
        <f t="shared" ca="1" si="75"/>
        <v>8.8256455143170687</v>
      </c>
      <c r="U176" s="35"/>
    </row>
    <row r="177" spans="1:21">
      <c r="A177" s="170"/>
      <c r="B177" s="171">
        <v>1.2284177840385118</v>
      </c>
      <c r="C177" s="171">
        <v>2.3993580133895418</v>
      </c>
      <c r="D177" s="171">
        <v>-0.6756623603325641</v>
      </c>
      <c r="E177" s="170">
        <v>0</v>
      </c>
      <c r="F177" s="171">
        <v>0</v>
      </c>
      <c r="G177" s="170">
        <f>-$L$1</f>
        <v>-1.4990492230334603E-2</v>
      </c>
      <c r="H177" s="171">
        <v>0</v>
      </c>
      <c r="I177" s="171">
        <v>0</v>
      </c>
      <c r="J177" s="177">
        <f>-$N$1</f>
        <v>-4.7716218756768064E-3</v>
      </c>
      <c r="L177">
        <v>0</v>
      </c>
      <c r="M177">
        <v>0</v>
      </c>
      <c r="N177">
        <v>9.4062119513915993E-2</v>
      </c>
      <c r="R177" s="35">
        <f t="shared" ca="1" si="75"/>
        <v>9.1035115127969473</v>
      </c>
      <c r="U177" s="35"/>
    </row>
    <row r="178" spans="1:21">
      <c r="A178" s="170"/>
      <c r="B178" s="171"/>
      <c r="C178" s="171"/>
      <c r="D178" s="171"/>
      <c r="E178" s="170"/>
      <c r="F178" s="170"/>
      <c r="G178" s="170"/>
      <c r="H178" s="170"/>
      <c r="I178" s="170"/>
      <c r="J178" s="170"/>
      <c r="R178" s="35">
        <f t="shared" ca="1" si="75"/>
        <v>6.7459428276848676</v>
      </c>
      <c r="U178" s="35"/>
    </row>
    <row r="179" spans="1:21">
      <c r="A179" s="170"/>
      <c r="B179" s="171">
        <v>1.253875629566908</v>
      </c>
      <c r="C179" s="171">
        <v>3.2592166127769939E-2</v>
      </c>
      <c r="D179" s="171">
        <v>-0.73934661383723232</v>
      </c>
      <c r="E179" s="170">
        <f>-$L$1</f>
        <v>-1.4990492230334603E-2</v>
      </c>
      <c r="F179" s="171">
        <v>0</v>
      </c>
      <c r="G179" s="171">
        <v>0</v>
      </c>
      <c r="H179" s="177">
        <f>-$N$1</f>
        <v>-4.7716218756768064E-3</v>
      </c>
      <c r="I179" s="170">
        <v>0</v>
      </c>
      <c r="J179" s="170">
        <v>0</v>
      </c>
      <c r="L179">
        <f t="array" ref="L179:N181">SVDD(B179:D181)</f>
        <v>3.3302266211342055</v>
      </c>
      <c r="M179">
        <v>0</v>
      </c>
      <c r="N179">
        <v>0</v>
      </c>
      <c r="P179">
        <f t="shared" ref="P179" si="87">MAX(L179,M180,N181)/MIN(L179,M180,N181)</f>
        <v>5.1709959027855508</v>
      </c>
      <c r="R179" s="35">
        <f t="shared" ca="1" si="75"/>
        <v>25.009188868397612</v>
      </c>
      <c r="U179" s="35"/>
    </row>
    <row r="180" spans="1:21">
      <c r="A180" s="170" t="s">
        <v>258</v>
      </c>
      <c r="B180" s="171">
        <v>2.6959782234951333</v>
      </c>
      <c r="C180" s="171">
        <v>1.0757798809975587</v>
      </c>
      <c r="D180" s="171">
        <v>4.997772423355884E-2</v>
      </c>
      <c r="E180" s="170">
        <v>0</v>
      </c>
      <c r="F180" s="170">
        <f>-$L$1</f>
        <v>-1.4990492230334603E-2</v>
      </c>
      <c r="G180" s="171">
        <v>0</v>
      </c>
      <c r="H180" s="171">
        <v>0</v>
      </c>
      <c r="I180" s="177">
        <f>-$N$1</f>
        <v>-4.7716218756768064E-3</v>
      </c>
      <c r="J180" s="170">
        <v>0</v>
      </c>
      <c r="L180">
        <v>0</v>
      </c>
      <c r="M180">
        <v>1.913808456952796</v>
      </c>
      <c r="N180">
        <v>0</v>
      </c>
      <c r="R180" s="35">
        <f t="shared" ca="1" si="75"/>
        <v>6.7625217711569316</v>
      </c>
      <c r="U180" s="35"/>
    </row>
    <row r="181" spans="1:21">
      <c r="A181" s="170"/>
      <c r="B181" s="171">
        <v>0.21871711292247331</v>
      </c>
      <c r="C181" s="171">
        <v>2.1363371502498802</v>
      </c>
      <c r="D181" s="171">
        <v>8.9790398854103559E-2</v>
      </c>
      <c r="E181" s="170">
        <v>0</v>
      </c>
      <c r="F181" s="171">
        <v>0</v>
      </c>
      <c r="G181" s="170">
        <f>-$L$1</f>
        <v>-1.4990492230334603E-2</v>
      </c>
      <c r="H181" s="171">
        <v>0</v>
      </c>
      <c r="I181" s="171">
        <v>0</v>
      </c>
      <c r="J181" s="177">
        <f>-$N$1</f>
        <v>-4.7716218756768064E-3</v>
      </c>
      <c r="L181">
        <v>0</v>
      </c>
      <c r="M181">
        <v>0</v>
      </c>
      <c r="N181">
        <v>0.64402035579650219</v>
      </c>
      <c r="R181" s="35">
        <f t="shared" ca="1" si="75"/>
        <v>7.648214420981799</v>
      </c>
      <c r="U181" s="35"/>
    </row>
    <row r="182" spans="1:21">
      <c r="A182" s="170"/>
      <c r="B182" s="171"/>
      <c r="C182" s="171"/>
      <c r="D182" s="171"/>
      <c r="E182" s="170"/>
      <c r="F182" s="170"/>
      <c r="G182" s="170"/>
      <c r="H182" s="170"/>
      <c r="I182" s="170"/>
      <c r="J182" s="170"/>
      <c r="R182" s="35">
        <f t="shared" ca="1" si="75"/>
        <v>30.732928259329775</v>
      </c>
      <c r="U182" s="35"/>
    </row>
    <row r="183" spans="1:21">
      <c r="A183" s="170"/>
      <c r="B183" s="171">
        <v>1.253875629566908</v>
      </c>
      <c r="C183" s="171">
        <v>3.2592166127769939E-2</v>
      </c>
      <c r="D183" s="171">
        <v>-0.73934661383723232</v>
      </c>
      <c r="E183" s="170">
        <f>-$L$1</f>
        <v>-1.4990492230334603E-2</v>
      </c>
      <c r="F183" s="171">
        <v>0</v>
      </c>
      <c r="G183" s="171">
        <v>0</v>
      </c>
      <c r="H183" s="177">
        <f>-$N$1</f>
        <v>-4.7716218756768064E-3</v>
      </c>
      <c r="I183" s="170">
        <v>0</v>
      </c>
      <c r="J183" s="170">
        <v>0</v>
      </c>
      <c r="L183">
        <f t="array" ref="L183:N185">SVDD(B183:D185)</f>
        <v>4.0661545852043153</v>
      </c>
      <c r="M183">
        <v>0</v>
      </c>
      <c r="N183">
        <v>0</v>
      </c>
      <c r="P183">
        <f t="shared" ref="P183" si="88">MAX(L183,M184,N185)/MIN(L183,M184,N185)</f>
        <v>7.1675826345810227</v>
      </c>
      <c r="R183" s="35">
        <f t="shared" ca="1" si="75"/>
        <v>7.3967963927114955</v>
      </c>
      <c r="U183" s="35"/>
    </row>
    <row r="184" spans="1:21">
      <c r="A184" s="170" t="s">
        <v>259</v>
      </c>
      <c r="B184" s="171">
        <v>2.6959782234951333</v>
      </c>
      <c r="C184" s="171">
        <v>1.0757798809975587</v>
      </c>
      <c r="D184" s="171">
        <v>4.997772423355884E-2</v>
      </c>
      <c r="E184" s="170">
        <v>0</v>
      </c>
      <c r="F184" s="170">
        <f>-$L$1</f>
        <v>-1.4990492230334603E-2</v>
      </c>
      <c r="G184" s="171">
        <v>0</v>
      </c>
      <c r="H184" s="171">
        <v>0</v>
      </c>
      <c r="I184" s="177">
        <f>-$N$1</f>
        <v>-4.7716218756768064E-3</v>
      </c>
      <c r="J184" s="170">
        <v>0</v>
      </c>
      <c r="L184">
        <v>0</v>
      </c>
      <c r="M184">
        <v>1.244946440751435</v>
      </c>
      <c r="N184">
        <v>0</v>
      </c>
      <c r="R184" s="35">
        <f t="shared" ca="1" si="75"/>
        <v>11.431778758175978</v>
      </c>
      <c r="U184" s="35"/>
    </row>
    <row r="185" spans="1:21">
      <c r="A185" s="170"/>
      <c r="B185" s="171">
        <v>1.8375474863113905</v>
      </c>
      <c r="C185" s="171">
        <v>2.1167426559988707</v>
      </c>
      <c r="D185" s="171">
        <v>1.2367606559382516E-2</v>
      </c>
      <c r="E185" s="170">
        <v>0</v>
      </c>
      <c r="F185" s="171">
        <v>0</v>
      </c>
      <c r="G185" s="170">
        <f>-$L$1</f>
        <v>-1.4990492230334603E-2</v>
      </c>
      <c r="H185" s="171">
        <v>0</v>
      </c>
      <c r="I185" s="171">
        <v>0</v>
      </c>
      <c r="J185" s="177">
        <f>-$N$1</f>
        <v>-4.7716218756768064E-3</v>
      </c>
      <c r="L185">
        <v>0</v>
      </c>
      <c r="M185">
        <v>0</v>
      </c>
      <c r="N185">
        <v>0.56729790119008516</v>
      </c>
      <c r="R185" s="35">
        <f t="shared" ca="1" si="75"/>
        <v>7.7074988340721093</v>
      </c>
      <c r="U185" s="35"/>
    </row>
    <row r="186" spans="1:21">
      <c r="A186" s="170"/>
      <c r="B186" s="171"/>
      <c r="C186" s="171"/>
      <c r="D186" s="171"/>
      <c r="E186" s="170"/>
      <c r="F186" s="170"/>
      <c r="G186" s="170"/>
      <c r="H186" s="170"/>
      <c r="I186" s="170"/>
      <c r="J186" s="170"/>
      <c r="R186" s="35">
        <f t="shared" ca="1" si="75"/>
        <v>4.638002539904412</v>
      </c>
      <c r="U186" s="35"/>
    </row>
    <row r="187" spans="1:21">
      <c r="A187" s="170"/>
      <c r="B187" s="171">
        <v>1.253875629566908</v>
      </c>
      <c r="C187" s="171">
        <v>3.2592166127769939E-2</v>
      </c>
      <c r="D187" s="171">
        <v>-0.73934661383723232</v>
      </c>
      <c r="E187" s="170">
        <f>-$L$1</f>
        <v>-1.4990492230334603E-2</v>
      </c>
      <c r="F187" s="171">
        <v>0</v>
      </c>
      <c r="G187" s="171">
        <v>0</v>
      </c>
      <c r="H187" s="177">
        <f>-$N$1</f>
        <v>-4.7716218756768064E-3</v>
      </c>
      <c r="I187" s="170">
        <v>0</v>
      </c>
      <c r="J187" s="170">
        <v>0</v>
      </c>
      <c r="L187">
        <f t="array" ref="L187:N189">SVDD(B187:D189)</f>
        <v>3.8891894868665049</v>
      </c>
      <c r="M187">
        <v>0</v>
      </c>
      <c r="N187">
        <v>0</v>
      </c>
      <c r="P187">
        <f t="shared" ref="P187" si="89">MAX(L187,M188,N189)/MIN(L187,M188,N189)</f>
        <v>5.020555181865034</v>
      </c>
      <c r="R187" s="35">
        <f t="shared" ca="1" si="75"/>
        <v>8.6904484429411184</v>
      </c>
      <c r="U187" s="35"/>
    </row>
    <row r="188" spans="1:21">
      <c r="A188" s="170" t="s">
        <v>260</v>
      </c>
      <c r="B188" s="171">
        <v>2.6959782234951333</v>
      </c>
      <c r="C188" s="171">
        <v>1.0757798809975587</v>
      </c>
      <c r="D188" s="171">
        <v>4.997772423355884E-2</v>
      </c>
      <c r="E188" s="170">
        <v>0</v>
      </c>
      <c r="F188" s="170">
        <f>-$L$1</f>
        <v>-1.4990492230334603E-2</v>
      </c>
      <c r="G188" s="171">
        <v>0</v>
      </c>
      <c r="H188" s="171">
        <v>0</v>
      </c>
      <c r="I188" s="177">
        <f>-$N$1</f>
        <v>-4.7716218756768064E-3</v>
      </c>
      <c r="J188" s="170">
        <v>0</v>
      </c>
      <c r="L188">
        <v>0</v>
      </c>
      <c r="M188">
        <v>1.5951691655781863</v>
      </c>
      <c r="N188">
        <v>0</v>
      </c>
      <c r="R188" s="35">
        <f t="shared" ca="1" si="75"/>
        <v>10.838976396829279</v>
      </c>
      <c r="U188" s="35"/>
    </row>
    <row r="189" spans="1:21">
      <c r="A189" s="170"/>
      <c r="B189" s="171">
        <v>1.2284177840385118</v>
      </c>
      <c r="C189" s="171">
        <v>2.3993580133895418</v>
      </c>
      <c r="D189" s="171">
        <v>-0.6756623603325641</v>
      </c>
      <c r="E189" s="170">
        <v>0</v>
      </c>
      <c r="F189" s="171">
        <v>0</v>
      </c>
      <c r="G189" s="170">
        <f>-$L$1</f>
        <v>-1.4990492230334603E-2</v>
      </c>
      <c r="H189" s="171">
        <v>0</v>
      </c>
      <c r="I189" s="171">
        <v>0</v>
      </c>
      <c r="J189" s="177">
        <f>-$N$1</f>
        <v>-4.7716218756768064E-3</v>
      </c>
      <c r="L189">
        <v>0</v>
      </c>
      <c r="M189">
        <v>0</v>
      </c>
      <c r="N189">
        <v>0.7746532696054842</v>
      </c>
      <c r="R189" s="35">
        <f t="shared" ca="1" si="75"/>
        <v>12.611025430513319</v>
      </c>
      <c r="U189" s="35"/>
    </row>
    <row r="190" spans="1:21">
      <c r="A190" s="170"/>
      <c r="B190" s="171"/>
      <c r="C190" s="171"/>
      <c r="D190" s="171"/>
      <c r="E190" s="170"/>
      <c r="F190" s="170"/>
      <c r="G190" s="170"/>
      <c r="H190" s="170"/>
      <c r="I190" s="170"/>
      <c r="J190" s="170"/>
      <c r="R190" s="35">
        <f t="shared" ca="1" si="75"/>
        <v>14.023075414159493</v>
      </c>
      <c r="U190" s="35"/>
    </row>
    <row r="191" spans="1:21">
      <c r="A191" s="170"/>
      <c r="B191" s="171">
        <v>1.253875629566908</v>
      </c>
      <c r="C191" s="171">
        <v>3.2592166127769939E-2</v>
      </c>
      <c r="D191" s="171">
        <v>-0.73934661383723232</v>
      </c>
      <c r="E191" s="170">
        <f>-$L$1</f>
        <v>-1.4990492230334603E-2</v>
      </c>
      <c r="F191" s="171">
        <v>0</v>
      </c>
      <c r="G191" s="171">
        <v>0</v>
      </c>
      <c r="H191" s="177">
        <f>-$N$1</f>
        <v>-4.7716218756768064E-3</v>
      </c>
      <c r="I191" s="170">
        <v>0</v>
      </c>
      <c r="J191" s="170">
        <v>0</v>
      </c>
      <c r="L191">
        <f t="array" ref="L191:N193">SVDD(B191:D193)</f>
        <v>3.4454636478766267</v>
      </c>
      <c r="M191">
        <v>0</v>
      </c>
      <c r="N191">
        <v>0</v>
      </c>
      <c r="P191">
        <f t="shared" ref="P191" si="90">MAX(L191,M192,N193)/MIN(L191,M192,N193)</f>
        <v>8.0179728515029733</v>
      </c>
      <c r="R191" s="35">
        <f t="shared" ca="1" si="75"/>
        <v>4.0515953972785423</v>
      </c>
      <c r="U191" s="35"/>
    </row>
    <row r="192" spans="1:21">
      <c r="A192" s="170" t="s">
        <v>261</v>
      </c>
      <c r="B192" s="171">
        <v>0.21871711292247331</v>
      </c>
      <c r="C192" s="171">
        <v>2.1363371502498802</v>
      </c>
      <c r="D192" s="171">
        <v>8.9790398854103559E-2</v>
      </c>
      <c r="E192" s="170">
        <v>0</v>
      </c>
      <c r="F192" s="170">
        <f>-$L$1</f>
        <v>-1.4990492230334603E-2</v>
      </c>
      <c r="G192" s="171">
        <v>0</v>
      </c>
      <c r="H192" s="171">
        <v>0</v>
      </c>
      <c r="I192" s="177">
        <f>-$N$1</f>
        <v>-4.7716218756768064E-3</v>
      </c>
      <c r="J192" s="170">
        <v>0</v>
      </c>
      <c r="L192">
        <v>0</v>
      </c>
      <c r="M192">
        <v>1.5941116467496008</v>
      </c>
      <c r="N192">
        <v>0</v>
      </c>
      <c r="R192" s="35">
        <f t="shared" ca="1" si="75"/>
        <v>4.3704074811251417</v>
      </c>
      <c r="U192" s="35"/>
    </row>
    <row r="193" spans="1:21">
      <c r="A193" s="170"/>
      <c r="B193" s="171">
        <v>1.8375474863113905</v>
      </c>
      <c r="C193" s="171">
        <v>2.1167426559988707</v>
      </c>
      <c r="D193" s="171">
        <v>1.2367606559382516E-2</v>
      </c>
      <c r="E193" s="170">
        <v>0</v>
      </c>
      <c r="F193" s="171">
        <v>0</v>
      </c>
      <c r="G193" s="170">
        <f>-$L$1</f>
        <v>-1.4990492230334603E-2</v>
      </c>
      <c r="H193" s="171">
        <v>0</v>
      </c>
      <c r="I193" s="171">
        <v>0</v>
      </c>
      <c r="J193" s="177">
        <f>-$N$1</f>
        <v>-4.7716218756768064E-3</v>
      </c>
      <c r="L193">
        <v>0</v>
      </c>
      <c r="M193">
        <v>0</v>
      </c>
      <c r="N193">
        <v>0.42971754977079685</v>
      </c>
      <c r="R193" s="35">
        <f t="shared" ca="1" si="75"/>
        <v>83.460835017935977</v>
      </c>
      <c r="U193" s="35"/>
    </row>
    <row r="194" spans="1:21">
      <c r="A194" s="170"/>
      <c r="B194" s="171"/>
      <c r="C194" s="171"/>
      <c r="D194" s="171"/>
      <c r="E194" s="170"/>
      <c r="F194" s="170"/>
      <c r="G194" s="170"/>
      <c r="H194" s="170"/>
      <c r="I194" s="170"/>
      <c r="J194" s="170"/>
      <c r="R194" s="35">
        <f t="shared" ca="1" si="75"/>
        <v>204.78346391597921</v>
      </c>
      <c r="U194" s="35"/>
    </row>
    <row r="195" spans="1:21">
      <c r="A195" s="170"/>
      <c r="B195" s="171">
        <v>1.253875629566908</v>
      </c>
      <c r="C195" s="171">
        <v>3.2592166127769939E-2</v>
      </c>
      <c r="D195" s="171">
        <v>-0.73934661383723232</v>
      </c>
      <c r="E195" s="170">
        <f>-$L$1</f>
        <v>-1.4990492230334603E-2</v>
      </c>
      <c r="F195" s="171">
        <v>0</v>
      </c>
      <c r="G195" s="171">
        <v>0</v>
      </c>
      <c r="H195" s="177">
        <f>-$N$1</f>
        <v>-4.7716218756768064E-3</v>
      </c>
      <c r="I195" s="170">
        <v>0</v>
      </c>
      <c r="J195" s="170">
        <v>0</v>
      </c>
      <c r="L195">
        <f t="array" ref="L195:N197">SVDD(B195:D197)</f>
        <v>3.4752025889825835</v>
      </c>
      <c r="M195">
        <v>0</v>
      </c>
      <c r="N195">
        <v>0</v>
      </c>
      <c r="P195">
        <f t="shared" ref="P195" si="91">MAX(L195,M196,N197)/MIN(L195,M196,N197)</f>
        <v>35.843588743019239</v>
      </c>
      <c r="R195" s="35">
        <f t="shared" ca="1" si="75"/>
        <v>49.247927504726903</v>
      </c>
      <c r="U195" s="35"/>
    </row>
    <row r="196" spans="1:21">
      <c r="A196" s="170" t="s">
        <v>262</v>
      </c>
      <c r="B196" s="171">
        <v>0.21871711292247331</v>
      </c>
      <c r="C196" s="171">
        <v>2.1363371502498802</v>
      </c>
      <c r="D196" s="171">
        <v>8.9790398854103559E-2</v>
      </c>
      <c r="E196" s="170">
        <v>0</v>
      </c>
      <c r="F196" s="170">
        <f>-$L$1</f>
        <v>-1.4990492230334603E-2</v>
      </c>
      <c r="G196" s="171">
        <v>0</v>
      </c>
      <c r="H196" s="171">
        <v>0</v>
      </c>
      <c r="I196" s="177">
        <f>-$N$1</f>
        <v>-4.7716218756768064E-3</v>
      </c>
      <c r="J196" s="170">
        <v>0</v>
      </c>
      <c r="L196">
        <v>0</v>
      </c>
      <c r="M196">
        <v>1.5413471980784736</v>
      </c>
      <c r="N196">
        <v>0</v>
      </c>
      <c r="R196" s="35">
        <f t="shared" ca="1" si="75"/>
        <v>5.3867085530333512</v>
      </c>
      <c r="U196" s="35"/>
    </row>
    <row r="197" spans="1:21">
      <c r="A197" s="170"/>
      <c r="B197" s="171">
        <v>1.2284177840385118</v>
      </c>
      <c r="C197" s="171">
        <v>2.3993580133895418</v>
      </c>
      <c r="D197" s="171">
        <v>-0.6756623603325641</v>
      </c>
      <c r="E197" s="170">
        <v>0</v>
      </c>
      <c r="F197" s="171">
        <v>0</v>
      </c>
      <c r="G197" s="170">
        <f>-$L$1</f>
        <v>-1.4990492230334603E-2</v>
      </c>
      <c r="H197" s="171">
        <v>0</v>
      </c>
      <c r="I197" s="171">
        <v>0</v>
      </c>
      <c r="J197" s="177">
        <f>-$N$1</f>
        <v>-4.7716218756768064E-3</v>
      </c>
      <c r="L197">
        <v>0</v>
      </c>
      <c r="M197">
        <v>0</v>
      </c>
      <c r="N197">
        <v>9.6954649655704495E-2</v>
      </c>
      <c r="R197" s="35">
        <f t="shared" ref="R197:R260" ca="1" si="92">OFFSET($P$3,4*(ROW(A195)-1),0,1,1)</f>
        <v>63.944981854448542</v>
      </c>
      <c r="U197" s="35"/>
    </row>
    <row r="198" spans="1:21">
      <c r="A198" s="170"/>
      <c r="B198" s="171"/>
      <c r="C198" s="171"/>
      <c r="D198" s="171"/>
      <c r="E198" s="170"/>
      <c r="F198" s="170"/>
      <c r="G198" s="170"/>
      <c r="H198" s="170"/>
      <c r="I198" s="170"/>
      <c r="J198" s="170"/>
      <c r="R198" s="35">
        <f t="shared" ca="1" si="92"/>
        <v>45.152375765832033</v>
      </c>
      <c r="U198" s="35"/>
    </row>
    <row r="199" spans="1:21">
      <c r="A199" s="170"/>
      <c r="B199" s="171">
        <v>1.253875629566908</v>
      </c>
      <c r="C199" s="171">
        <v>3.2592166127769939E-2</v>
      </c>
      <c r="D199" s="171">
        <v>-0.73934661383723232</v>
      </c>
      <c r="E199" s="170">
        <f>-$L$1</f>
        <v>-1.4990492230334603E-2</v>
      </c>
      <c r="F199" s="171">
        <v>0</v>
      </c>
      <c r="G199" s="171">
        <v>0</v>
      </c>
      <c r="H199" s="177">
        <f>-$N$1</f>
        <v>-4.7716218756768064E-3</v>
      </c>
      <c r="I199" s="170">
        <v>0</v>
      </c>
      <c r="J199" s="170">
        <v>0</v>
      </c>
      <c r="L199">
        <f t="array" ref="L199:N201">SVDD(B199:D201)</f>
        <v>3.9811948441501461</v>
      </c>
      <c r="M199">
        <v>0</v>
      </c>
      <c r="N199">
        <v>0</v>
      </c>
      <c r="P199">
        <f t="shared" ref="P199" si="93">MAX(L199,M200,N201)/MIN(L199,M200,N201)</f>
        <v>6.0262694639012206</v>
      </c>
      <c r="R199" s="35">
        <f t="shared" ca="1" si="92"/>
        <v>15.911611789340494</v>
      </c>
      <c r="U199" s="35"/>
    </row>
    <row r="200" spans="1:21">
      <c r="A200" s="170" t="s">
        <v>263</v>
      </c>
      <c r="B200" s="171">
        <v>1.8375474863113905</v>
      </c>
      <c r="C200" s="171">
        <v>2.1167426559988707</v>
      </c>
      <c r="D200" s="171">
        <v>1.2367606559382516E-2</v>
      </c>
      <c r="E200" s="170">
        <v>0</v>
      </c>
      <c r="F200" s="170">
        <f>-$L$1</f>
        <v>-1.4990492230334603E-2</v>
      </c>
      <c r="G200" s="171">
        <v>0</v>
      </c>
      <c r="H200" s="171">
        <v>0</v>
      </c>
      <c r="I200" s="177">
        <f>-$N$1</f>
        <v>-4.7716218756768064E-3</v>
      </c>
      <c r="J200" s="170">
        <v>0</v>
      </c>
      <c r="L200">
        <v>0</v>
      </c>
      <c r="M200">
        <v>1.188833070426361</v>
      </c>
      <c r="N200">
        <v>0</v>
      </c>
      <c r="R200" s="35">
        <f t="shared" ca="1" si="92"/>
        <v>48.308554874402986</v>
      </c>
      <c r="U200" s="35"/>
    </row>
    <row r="201" spans="1:21">
      <c r="A201" s="170"/>
      <c r="B201" s="171">
        <v>1.2284177840385118</v>
      </c>
      <c r="C201" s="171">
        <v>2.3993580133895418</v>
      </c>
      <c r="D201" s="171">
        <v>-0.6756623603325641</v>
      </c>
      <c r="E201" s="170">
        <v>0</v>
      </c>
      <c r="F201" s="171">
        <v>0</v>
      </c>
      <c r="G201" s="170">
        <f>-$L$1</f>
        <v>-1.4990492230334603E-2</v>
      </c>
      <c r="H201" s="171">
        <v>0</v>
      </c>
      <c r="I201" s="171">
        <v>0</v>
      </c>
      <c r="J201" s="177">
        <f>-$N$1</f>
        <v>-4.7716218756768064E-3</v>
      </c>
      <c r="L201">
        <v>0</v>
      </c>
      <c r="M201">
        <v>0</v>
      </c>
      <c r="N201">
        <v>0.66064003078495659</v>
      </c>
      <c r="R201" s="35">
        <f t="shared" ca="1" si="92"/>
        <v>4.2325598033353158</v>
      </c>
      <c r="U201" s="35"/>
    </row>
    <row r="202" spans="1:21">
      <c r="A202" s="170"/>
      <c r="B202" s="171"/>
      <c r="C202" s="171"/>
      <c r="D202" s="171"/>
      <c r="E202" s="170"/>
      <c r="F202" s="170"/>
      <c r="G202" s="170"/>
      <c r="H202" s="170"/>
      <c r="I202" s="170"/>
      <c r="J202" s="170"/>
      <c r="R202" s="35">
        <f t="shared" ca="1" si="92"/>
        <v>3.743001491301829</v>
      </c>
      <c r="U202" s="35"/>
    </row>
    <row r="203" spans="1:21">
      <c r="A203" s="170"/>
      <c r="B203" s="171">
        <v>2.2957880185781296</v>
      </c>
      <c r="C203" s="171">
        <v>-8.2263663034425338E-3</v>
      </c>
      <c r="D203" s="171">
        <v>3.3137218009327896E-2</v>
      </c>
      <c r="E203" s="170">
        <f>-$L$1</f>
        <v>-1.4990492230334603E-2</v>
      </c>
      <c r="F203" s="171">
        <v>0</v>
      </c>
      <c r="G203" s="171">
        <v>0</v>
      </c>
      <c r="H203" s="177">
        <f>-$N$1</f>
        <v>-4.7716218756768064E-3</v>
      </c>
      <c r="I203" s="170">
        <v>0</v>
      </c>
      <c r="J203" s="170">
        <v>0</v>
      </c>
      <c r="L203">
        <f t="array" ref="L203:N205">SVDD(B203:D205)</f>
        <v>3.6377493677384938</v>
      </c>
      <c r="M203">
        <v>0</v>
      </c>
      <c r="N203">
        <v>0</v>
      </c>
      <c r="P203">
        <f t="shared" ref="P203" si="94">MAX(L203,M204,N205)/MIN(L203,M204,N205)</f>
        <v>222.32523405718308</v>
      </c>
      <c r="R203" s="35">
        <f t="shared" ca="1" si="92"/>
        <v>84.872649675684883</v>
      </c>
      <c r="U203" s="35"/>
    </row>
    <row r="204" spans="1:21">
      <c r="A204" s="170" t="s">
        <v>264</v>
      </c>
      <c r="B204" s="171">
        <v>-0.14897154656832046</v>
      </c>
      <c r="C204" s="171">
        <v>0.84725762547333594</v>
      </c>
      <c r="D204" s="171">
        <v>-1.9759438806851826E-2</v>
      </c>
      <c r="E204" s="170">
        <v>0</v>
      </c>
      <c r="F204" s="170">
        <f>-$L$1</f>
        <v>-1.4990492230334603E-2</v>
      </c>
      <c r="G204" s="171">
        <v>0</v>
      </c>
      <c r="H204" s="171">
        <v>0</v>
      </c>
      <c r="I204" s="177">
        <f>-$N$1</f>
        <v>-4.7716218756768064E-3</v>
      </c>
      <c r="J204" s="170">
        <v>0</v>
      </c>
      <c r="L204">
        <v>0</v>
      </c>
      <c r="M204">
        <v>1.098566036024955</v>
      </c>
      <c r="N204">
        <v>0</v>
      </c>
      <c r="R204" s="35">
        <f t="shared" ca="1" si="92"/>
        <v>33.069426713699293</v>
      </c>
      <c r="U204" s="35"/>
    </row>
    <row r="205" spans="1:21">
      <c r="A205" s="170"/>
      <c r="B205" s="171">
        <v>2.6959782234951333</v>
      </c>
      <c r="C205" s="171">
        <v>1.0757798809975587</v>
      </c>
      <c r="D205" s="171">
        <v>4.997772423355884E-2</v>
      </c>
      <c r="E205" s="170">
        <v>0</v>
      </c>
      <c r="F205" s="171">
        <v>0</v>
      </c>
      <c r="G205" s="170">
        <f>-$L$1</f>
        <v>-1.4990492230334603E-2</v>
      </c>
      <c r="H205" s="171">
        <v>0</v>
      </c>
      <c r="I205" s="171">
        <v>0</v>
      </c>
      <c r="J205" s="177">
        <f>-$N$1</f>
        <v>-4.7716218756768064E-3</v>
      </c>
      <c r="L205">
        <v>0</v>
      </c>
      <c r="M205">
        <v>0</v>
      </c>
      <c r="N205">
        <v>1.6362287363218733E-2</v>
      </c>
      <c r="R205" s="35">
        <f t="shared" ca="1" si="92"/>
        <v>5.155149298810846</v>
      </c>
      <c r="U205" s="35"/>
    </row>
    <row r="206" spans="1:21">
      <c r="A206" s="170"/>
      <c r="B206" s="171"/>
      <c r="C206" s="171"/>
      <c r="D206" s="171"/>
      <c r="E206" s="170"/>
      <c r="F206" s="170"/>
      <c r="G206" s="170"/>
      <c r="H206" s="170"/>
      <c r="I206" s="170"/>
      <c r="J206" s="170"/>
      <c r="R206" s="35">
        <f t="shared" ca="1" si="92"/>
        <v>103.43008876337434</v>
      </c>
      <c r="U206" s="35"/>
    </row>
    <row r="207" spans="1:21">
      <c r="A207" s="170"/>
      <c r="B207" s="171">
        <v>2.2957880185781296</v>
      </c>
      <c r="C207" s="171">
        <v>-8.2263663034425338E-3</v>
      </c>
      <c r="D207" s="171">
        <v>3.3137218009327896E-2</v>
      </c>
      <c r="E207" s="170">
        <f>-$L$1</f>
        <v>-1.4990492230334603E-2</v>
      </c>
      <c r="F207" s="171">
        <v>0</v>
      </c>
      <c r="G207" s="171">
        <v>0</v>
      </c>
      <c r="H207" s="177">
        <f>-$N$1</f>
        <v>-4.7716218756768064E-3</v>
      </c>
      <c r="I207" s="170">
        <v>0</v>
      </c>
      <c r="J207" s="170">
        <v>0</v>
      </c>
      <c r="L207">
        <f t="array" ref="L207:N209">SVDD(B207:D209)</f>
        <v>2.3751245623445767</v>
      </c>
      <c r="M207">
        <v>0</v>
      </c>
      <c r="N207">
        <v>0</v>
      </c>
      <c r="P207">
        <f t="shared" ref="P207" si="95">MAX(L207,M208,N209)/MIN(L207,M208,N209)</f>
        <v>49.448565792947846</v>
      </c>
      <c r="R207" s="35">
        <f t="shared" ca="1" si="92"/>
        <v>8.5031850746050246</v>
      </c>
      <c r="U207" s="35"/>
    </row>
    <row r="208" spans="1:21">
      <c r="A208" s="170" t="s">
        <v>265</v>
      </c>
      <c r="B208" s="171">
        <v>-0.14897154656832046</v>
      </c>
      <c r="C208" s="171">
        <v>0.84725762547333594</v>
      </c>
      <c r="D208" s="171">
        <v>-1.9759438806851826E-2</v>
      </c>
      <c r="E208" s="170">
        <v>0</v>
      </c>
      <c r="F208" s="170">
        <f>-$L$1</f>
        <v>-1.4990492230334603E-2</v>
      </c>
      <c r="G208" s="171">
        <v>0</v>
      </c>
      <c r="H208" s="171">
        <v>0</v>
      </c>
      <c r="I208" s="177">
        <f>-$N$1</f>
        <v>-4.7716218756768064E-3</v>
      </c>
      <c r="J208" s="170">
        <v>0</v>
      </c>
      <c r="L208">
        <v>0</v>
      </c>
      <c r="M208">
        <v>2.2335059760842331</v>
      </c>
      <c r="N208">
        <v>0</v>
      </c>
      <c r="R208" s="35">
        <f t="shared" ca="1" si="92"/>
        <v>6.3921465350608555</v>
      </c>
      <c r="U208" s="35"/>
    </row>
    <row r="209" spans="1:21">
      <c r="A209" s="170"/>
      <c r="B209" s="171">
        <v>0.21871711292247331</v>
      </c>
      <c r="C209" s="171">
        <v>2.1363371502498802</v>
      </c>
      <c r="D209" s="171">
        <v>8.9790398854103559E-2</v>
      </c>
      <c r="E209" s="170">
        <v>0</v>
      </c>
      <c r="F209" s="171">
        <v>0</v>
      </c>
      <c r="G209" s="170">
        <f>-$L$1</f>
        <v>-1.4990492230334603E-2</v>
      </c>
      <c r="H209" s="171">
        <v>0</v>
      </c>
      <c r="I209" s="171">
        <v>0</v>
      </c>
      <c r="J209" s="177">
        <f>-$N$1</f>
        <v>-4.7716218756768064E-3</v>
      </c>
      <c r="L209">
        <v>0</v>
      </c>
      <c r="M209">
        <v>0</v>
      </c>
      <c r="N209">
        <v>4.8032223468113353E-2</v>
      </c>
      <c r="R209" s="35">
        <f t="shared" ca="1" si="92"/>
        <v>36.849822091727596</v>
      </c>
      <c r="U209" s="35"/>
    </row>
    <row r="210" spans="1:21">
      <c r="A210" s="170"/>
      <c r="B210" s="171"/>
      <c r="C210" s="171"/>
      <c r="D210" s="171"/>
      <c r="E210" s="170"/>
      <c r="F210" s="170"/>
      <c r="G210" s="170"/>
      <c r="H210" s="170"/>
      <c r="I210" s="170"/>
      <c r="J210" s="170"/>
      <c r="R210" s="35">
        <f t="shared" ca="1" si="92"/>
        <v>4.1630934361703984</v>
      </c>
      <c r="U210" s="35"/>
    </row>
    <row r="211" spans="1:21">
      <c r="A211" s="170"/>
      <c r="B211" s="171">
        <v>2.2957880185781296</v>
      </c>
      <c r="C211" s="171">
        <v>-8.2263663034425338E-3</v>
      </c>
      <c r="D211" s="171">
        <v>3.3137218009327896E-2</v>
      </c>
      <c r="E211" s="170">
        <f>-$L$1</f>
        <v>-1.4990492230334603E-2</v>
      </c>
      <c r="F211" s="171">
        <v>0</v>
      </c>
      <c r="G211" s="171">
        <v>0</v>
      </c>
      <c r="H211" s="177">
        <f>-$N$1</f>
        <v>-4.7716218756768064E-3</v>
      </c>
      <c r="I211" s="170">
        <v>0</v>
      </c>
      <c r="J211" s="170">
        <v>0</v>
      </c>
      <c r="L211">
        <f t="array" ref="L211:N213">SVDD(B211:D213)</f>
        <v>3.3259333828949336</v>
      </c>
      <c r="M211">
        <v>0</v>
      </c>
      <c r="N211">
        <v>0</v>
      </c>
      <c r="P211">
        <f t="shared" ref="P211" si="96">MAX(L211,M212,N213)/MIN(L211,M212,N213)</f>
        <v>317.80209627578216</v>
      </c>
      <c r="R211" s="35">
        <f t="shared" ca="1" si="92"/>
        <v>3.3413406696182579</v>
      </c>
      <c r="U211" s="35"/>
    </row>
    <row r="212" spans="1:21">
      <c r="A212" s="170" t="s">
        <v>266</v>
      </c>
      <c r="B212" s="171">
        <v>-0.14897154656832046</v>
      </c>
      <c r="C212" s="171">
        <v>0.84725762547333594</v>
      </c>
      <c r="D212" s="171">
        <v>-1.9759438806851826E-2</v>
      </c>
      <c r="E212" s="170">
        <v>0</v>
      </c>
      <c r="F212" s="170">
        <f>-$L$1</f>
        <v>-1.4990492230334603E-2</v>
      </c>
      <c r="G212" s="171">
        <v>0</v>
      </c>
      <c r="H212" s="171">
        <v>0</v>
      </c>
      <c r="I212" s="177">
        <f>-$N$1</f>
        <v>-4.7716218756768064E-3</v>
      </c>
      <c r="J212" s="170">
        <v>0</v>
      </c>
      <c r="L212">
        <v>0</v>
      </c>
      <c r="M212">
        <v>1.6755976894620181</v>
      </c>
      <c r="N212">
        <v>0</v>
      </c>
      <c r="R212" s="35">
        <f t="shared" ca="1" si="92"/>
        <v>8.7645356999874178</v>
      </c>
      <c r="U212" s="35"/>
    </row>
    <row r="213" spans="1:21">
      <c r="A213" s="170"/>
      <c r="B213" s="171">
        <v>1.8375474863113905</v>
      </c>
      <c r="C213" s="171">
        <v>2.1167426559988707</v>
      </c>
      <c r="D213" s="171">
        <v>1.2367606559382516E-2</v>
      </c>
      <c r="E213" s="170">
        <v>0</v>
      </c>
      <c r="F213" s="171">
        <v>0</v>
      </c>
      <c r="G213" s="170">
        <f>-$L$1</f>
        <v>-1.4990492230334603E-2</v>
      </c>
      <c r="H213" s="171">
        <v>0</v>
      </c>
      <c r="I213" s="171">
        <v>0</v>
      </c>
      <c r="J213" s="177">
        <f>-$N$1</f>
        <v>-4.7716218756768064E-3</v>
      </c>
      <c r="L213">
        <v>0</v>
      </c>
      <c r="M213">
        <v>0</v>
      </c>
      <c r="N213">
        <v>1.0465423047457675E-2</v>
      </c>
      <c r="R213" s="35">
        <f t="shared" ca="1" si="92"/>
        <v>6.2959412294601558</v>
      </c>
      <c r="U213" s="35"/>
    </row>
    <row r="214" spans="1:21">
      <c r="A214" s="170"/>
      <c r="B214" s="171"/>
      <c r="C214" s="171"/>
      <c r="D214" s="171"/>
      <c r="E214" s="170"/>
      <c r="F214" s="170"/>
      <c r="G214" s="170"/>
      <c r="H214" s="170"/>
      <c r="I214" s="170"/>
      <c r="J214" s="170"/>
      <c r="R214" s="35">
        <f t="shared" ca="1" si="92"/>
        <v>14.956503161585864</v>
      </c>
      <c r="U214" s="35"/>
    </row>
    <row r="215" spans="1:21">
      <c r="A215" s="170"/>
      <c r="B215" s="171">
        <v>2.2957880185781296</v>
      </c>
      <c r="C215" s="171">
        <v>-8.2263663034425338E-3</v>
      </c>
      <c r="D215" s="171">
        <v>3.3137218009327896E-2</v>
      </c>
      <c r="E215" s="170">
        <f>-$L$1</f>
        <v>-1.4990492230334603E-2</v>
      </c>
      <c r="F215" s="171">
        <v>0</v>
      </c>
      <c r="G215" s="171">
        <v>0</v>
      </c>
      <c r="H215" s="177">
        <f>-$N$1</f>
        <v>-4.7716218756768064E-3</v>
      </c>
      <c r="I215" s="170">
        <v>0</v>
      </c>
      <c r="J215" s="170">
        <v>0</v>
      </c>
      <c r="L215">
        <f t="array" ref="L215:N217">SVDD(B215:D217)</f>
        <v>3.1222219781105749</v>
      </c>
      <c r="M215">
        <v>0</v>
      </c>
      <c r="N215">
        <v>0</v>
      </c>
      <c r="P215">
        <f t="shared" ref="P215" si="97">MAX(L215,M216,N217)/MIN(L215,M216,N217)</f>
        <v>15.482311838444748</v>
      </c>
      <c r="R215" s="35">
        <f t="shared" ca="1" si="92"/>
        <v>6.4314927648957179</v>
      </c>
      <c r="U215" s="35"/>
    </row>
    <row r="216" spans="1:21">
      <c r="A216" s="170" t="s">
        <v>267</v>
      </c>
      <c r="B216" s="171">
        <v>-0.14897154656832046</v>
      </c>
      <c r="C216" s="171">
        <v>0.84725762547333594</v>
      </c>
      <c r="D216" s="171">
        <v>-1.9759438806851826E-2</v>
      </c>
      <c r="E216" s="170">
        <v>0</v>
      </c>
      <c r="F216" s="170">
        <f>-$L$1</f>
        <v>-1.4990492230334603E-2</v>
      </c>
      <c r="G216" s="171">
        <v>0</v>
      </c>
      <c r="H216" s="171">
        <v>0</v>
      </c>
      <c r="I216" s="177">
        <f>-$N$1</f>
        <v>-4.7716218756768064E-3</v>
      </c>
      <c r="J216" s="170">
        <v>0</v>
      </c>
      <c r="L216">
        <v>0</v>
      </c>
      <c r="M216">
        <v>1.9863904945537465</v>
      </c>
      <c r="N216">
        <v>0</v>
      </c>
      <c r="R216" s="35">
        <f t="shared" ca="1" si="92"/>
        <v>8.8485901024953062</v>
      </c>
      <c r="U216" s="35"/>
    </row>
    <row r="217" spans="1:21">
      <c r="A217" s="170"/>
      <c r="B217" s="171">
        <v>1.2284177840385118</v>
      </c>
      <c r="C217" s="171">
        <v>2.3993580133895418</v>
      </c>
      <c r="D217" s="171">
        <v>-0.6756623603325641</v>
      </c>
      <c r="E217" s="170">
        <v>0</v>
      </c>
      <c r="F217" s="171">
        <v>0</v>
      </c>
      <c r="G217" s="170">
        <f>-$L$1</f>
        <v>-1.4990492230334603E-2</v>
      </c>
      <c r="H217" s="171">
        <v>0</v>
      </c>
      <c r="I217" s="171">
        <v>0</v>
      </c>
      <c r="J217" s="177">
        <f>-$N$1</f>
        <v>-4.7716218756768064E-3</v>
      </c>
      <c r="L217">
        <v>0</v>
      </c>
      <c r="M217">
        <v>0</v>
      </c>
      <c r="N217">
        <v>0.20166380904159678</v>
      </c>
      <c r="R217" s="35">
        <f t="shared" ca="1" si="92"/>
        <v>3.9236550276169364</v>
      </c>
      <c r="U217" s="35"/>
    </row>
    <row r="218" spans="1:21">
      <c r="A218" s="170"/>
      <c r="B218" s="171"/>
      <c r="C218" s="171"/>
      <c r="D218" s="171"/>
      <c r="E218" s="170"/>
      <c r="F218" s="170"/>
      <c r="G218" s="170"/>
      <c r="H218" s="170"/>
      <c r="I218" s="170"/>
      <c r="J218" s="170"/>
      <c r="R218" s="35">
        <f t="shared" ca="1" si="92"/>
        <v>6.037916237878159</v>
      </c>
      <c r="U218" s="35"/>
    </row>
    <row r="219" spans="1:21">
      <c r="A219" s="170"/>
      <c r="B219" s="171">
        <v>2.2957880185781296</v>
      </c>
      <c r="C219" s="171">
        <v>-8.2263663034425338E-3</v>
      </c>
      <c r="D219" s="171">
        <v>3.3137218009327896E-2</v>
      </c>
      <c r="E219" s="170">
        <f>-$L$1</f>
        <v>-1.4990492230334603E-2</v>
      </c>
      <c r="F219" s="171">
        <v>0</v>
      </c>
      <c r="G219" s="171">
        <v>0</v>
      </c>
      <c r="H219" s="177">
        <f>-$N$1</f>
        <v>-4.7716218756768064E-3</v>
      </c>
      <c r="I219" s="170">
        <v>0</v>
      </c>
      <c r="J219" s="170">
        <v>0</v>
      </c>
      <c r="L219">
        <f t="array" ref="L219:N221">SVDD(B219:D221)</f>
        <v>3.7358111866702535</v>
      </c>
      <c r="M219">
        <v>0</v>
      </c>
      <c r="N219">
        <v>0</v>
      </c>
      <c r="P219">
        <f t="shared" ref="P219" si="98">MAX(L219,M220,N221)/MIN(L219,M220,N221)</f>
        <v>180.39381408191585</v>
      </c>
      <c r="R219" s="35">
        <f t="shared" ca="1" si="92"/>
        <v>12.875006476495159</v>
      </c>
      <c r="U219" s="35"/>
    </row>
    <row r="220" spans="1:21">
      <c r="A220" s="170" t="s">
        <v>268</v>
      </c>
      <c r="B220" s="171">
        <v>2.6959782234951333</v>
      </c>
      <c r="C220" s="171">
        <v>1.0757798809975587</v>
      </c>
      <c r="D220" s="171">
        <v>4.997772423355884E-2</v>
      </c>
      <c r="E220" s="170">
        <v>0</v>
      </c>
      <c r="F220" s="170">
        <f>-$L$1</f>
        <v>-1.4990492230334603E-2</v>
      </c>
      <c r="G220" s="171">
        <v>0</v>
      </c>
      <c r="H220" s="171">
        <v>0</v>
      </c>
      <c r="I220" s="177">
        <f>-$N$1</f>
        <v>-4.7716218756768064E-3</v>
      </c>
      <c r="J220" s="170">
        <v>0</v>
      </c>
      <c r="L220">
        <v>0</v>
      </c>
      <c r="M220">
        <v>2.088786465589203</v>
      </c>
      <c r="N220">
        <v>0</v>
      </c>
      <c r="R220" s="35">
        <f t="shared" ca="1" si="92"/>
        <v>5.7889076511012911</v>
      </c>
      <c r="U220" s="35"/>
    </row>
    <row r="221" spans="1:21">
      <c r="A221" s="170"/>
      <c r="B221" s="171">
        <v>0.21871711292247331</v>
      </c>
      <c r="C221" s="171">
        <v>2.1363371502498802</v>
      </c>
      <c r="D221" s="171">
        <v>8.9790398854103559E-2</v>
      </c>
      <c r="E221" s="170">
        <v>0</v>
      </c>
      <c r="F221" s="171">
        <v>0</v>
      </c>
      <c r="G221" s="170">
        <f>-$L$1</f>
        <v>-1.4990492230334603E-2</v>
      </c>
      <c r="H221" s="171">
        <v>0</v>
      </c>
      <c r="I221" s="171">
        <v>0</v>
      </c>
      <c r="J221" s="177">
        <f>-$N$1</f>
        <v>-4.7716218756768064E-3</v>
      </c>
      <c r="L221">
        <v>0</v>
      </c>
      <c r="M221">
        <v>0</v>
      </c>
      <c r="N221">
        <v>2.0709197849621618E-2</v>
      </c>
      <c r="R221" s="35">
        <f t="shared" ca="1" si="92"/>
        <v>19.829028382126939</v>
      </c>
      <c r="U221" s="35"/>
    </row>
    <row r="222" spans="1:21">
      <c r="A222" s="170"/>
      <c r="B222" s="171"/>
      <c r="C222" s="171"/>
      <c r="D222" s="171"/>
      <c r="E222" s="170"/>
      <c r="F222" s="170"/>
      <c r="G222" s="170"/>
      <c r="H222" s="170"/>
      <c r="I222" s="170"/>
      <c r="J222" s="170"/>
      <c r="R222" s="35">
        <f t="shared" ca="1" si="92"/>
        <v>6.768419778847786</v>
      </c>
      <c r="U222" s="35"/>
    </row>
    <row r="223" spans="1:21">
      <c r="A223" s="170"/>
      <c r="B223" s="171">
        <v>2.2957880185781296</v>
      </c>
      <c r="C223" s="171">
        <v>-8.2263663034425338E-3</v>
      </c>
      <c r="D223" s="171">
        <v>3.3137218009327896E-2</v>
      </c>
      <c r="E223" s="170">
        <f>-$L$1</f>
        <v>-1.4990492230334603E-2</v>
      </c>
      <c r="F223" s="171">
        <v>0</v>
      </c>
      <c r="G223" s="171">
        <v>0</v>
      </c>
      <c r="H223" s="177">
        <f>-$N$1</f>
        <v>-4.7716218756768064E-3</v>
      </c>
      <c r="I223" s="170">
        <v>0</v>
      </c>
      <c r="J223" s="170">
        <v>0</v>
      </c>
      <c r="L223">
        <f t="array" ref="L223:N225">SVDD(B223:D225)</f>
        <v>4.3909065121321138</v>
      </c>
      <c r="M223">
        <v>0</v>
      </c>
      <c r="N223">
        <v>0</v>
      </c>
      <c r="P223">
        <f t="shared" ref="P223" si="99">MAX(L223,M224,N225)/MIN(L223,M224,N225)</f>
        <v>326.12223160360338</v>
      </c>
      <c r="R223" s="35">
        <f t="shared" ca="1" si="92"/>
        <v>15.003266209049313</v>
      </c>
      <c r="U223" s="35"/>
    </row>
    <row r="224" spans="1:21">
      <c r="A224" s="170" t="s">
        <v>269</v>
      </c>
      <c r="B224" s="171">
        <v>2.6959782234951333</v>
      </c>
      <c r="C224" s="171">
        <v>1.0757798809975587</v>
      </c>
      <c r="D224" s="171">
        <v>4.997772423355884E-2</v>
      </c>
      <c r="E224" s="170">
        <v>0</v>
      </c>
      <c r="F224" s="170">
        <f>-$L$1</f>
        <v>-1.4990492230334603E-2</v>
      </c>
      <c r="G224" s="171">
        <v>0</v>
      </c>
      <c r="H224" s="171">
        <v>0</v>
      </c>
      <c r="I224" s="177">
        <f>-$N$1</f>
        <v>-4.7716218756768064E-3</v>
      </c>
      <c r="J224" s="170">
        <v>0</v>
      </c>
      <c r="L224">
        <v>0</v>
      </c>
      <c r="M224">
        <v>1.5089728287670332</v>
      </c>
      <c r="N224">
        <v>0</v>
      </c>
      <c r="R224" s="35">
        <f t="shared" ca="1" si="92"/>
        <v>3.7367318839826384</v>
      </c>
      <c r="U224" s="35"/>
    </row>
    <row r="225" spans="1:21">
      <c r="A225" s="170"/>
      <c r="B225" s="171">
        <v>1.8375474863113905</v>
      </c>
      <c r="C225" s="171">
        <v>2.1167426559988707</v>
      </c>
      <c r="D225" s="171">
        <v>1.2367606559382516E-2</v>
      </c>
      <c r="E225" s="170">
        <v>0</v>
      </c>
      <c r="F225" s="171">
        <v>0</v>
      </c>
      <c r="G225" s="170">
        <f>-$L$1</f>
        <v>-1.4990492230334603E-2</v>
      </c>
      <c r="H225" s="171">
        <v>0</v>
      </c>
      <c r="I225" s="171">
        <v>0</v>
      </c>
      <c r="J225" s="177">
        <f>-$N$1</f>
        <v>-4.7716218756768064E-3</v>
      </c>
      <c r="L225">
        <v>0</v>
      </c>
      <c r="M225">
        <v>0</v>
      </c>
      <c r="N225">
        <v>1.346399014425117E-2</v>
      </c>
      <c r="R225" s="35">
        <f t="shared" ca="1" si="92"/>
        <v>7.2355412286088452</v>
      </c>
      <c r="U225" s="35"/>
    </row>
    <row r="226" spans="1:21">
      <c r="A226" s="170"/>
      <c r="B226" s="171"/>
      <c r="C226" s="171"/>
      <c r="D226" s="171"/>
      <c r="E226" s="170"/>
      <c r="F226" s="170"/>
      <c r="G226" s="170"/>
      <c r="H226" s="170"/>
      <c r="I226" s="170"/>
      <c r="J226" s="170"/>
      <c r="R226" s="35">
        <f t="shared" ca="1" si="92"/>
        <v>6.3260146733038898</v>
      </c>
      <c r="U226" s="35"/>
    </row>
    <row r="227" spans="1:21">
      <c r="A227" s="170"/>
      <c r="B227" s="171">
        <v>2.2957880185781296</v>
      </c>
      <c r="C227" s="171">
        <v>-8.2263663034425338E-3</v>
      </c>
      <c r="D227" s="171">
        <v>3.3137218009327896E-2</v>
      </c>
      <c r="E227" s="170">
        <f>-$L$1</f>
        <v>-1.4990492230334603E-2</v>
      </c>
      <c r="F227" s="171">
        <v>0</v>
      </c>
      <c r="G227" s="171">
        <v>0</v>
      </c>
      <c r="H227" s="177">
        <f>-$N$1</f>
        <v>-4.7716218756768064E-3</v>
      </c>
      <c r="I227" s="170">
        <v>0</v>
      </c>
      <c r="J227" s="170">
        <v>0</v>
      </c>
      <c r="L227">
        <f t="array" ref="L227:N229">SVDD(B227:D229)</f>
        <v>4.1732280782338806</v>
      </c>
      <c r="M227">
        <v>0</v>
      </c>
      <c r="N227">
        <v>0</v>
      </c>
      <c r="P227">
        <f t="shared" ref="P227" si="100">MAX(L227,M228,N229)/MIN(L227,M228,N229)</f>
        <v>19.373118971201439</v>
      </c>
      <c r="R227" s="35">
        <f t="shared" ca="1" si="92"/>
        <v>3.3124115126012943</v>
      </c>
      <c r="U227" s="35"/>
    </row>
    <row r="228" spans="1:21">
      <c r="A228" s="170" t="s">
        <v>270</v>
      </c>
      <c r="B228" s="171">
        <v>2.6959782234951333</v>
      </c>
      <c r="C228" s="171">
        <v>1.0757798809975587</v>
      </c>
      <c r="D228" s="171">
        <v>4.997772423355884E-2</v>
      </c>
      <c r="E228" s="170">
        <v>0</v>
      </c>
      <c r="F228" s="170">
        <f>-$L$1</f>
        <v>-1.4990492230334603E-2</v>
      </c>
      <c r="G228" s="171">
        <v>0</v>
      </c>
      <c r="H228" s="171">
        <v>0</v>
      </c>
      <c r="I228" s="177">
        <f>-$N$1</f>
        <v>-4.7716218756768064E-3</v>
      </c>
      <c r="J228" s="170">
        <v>0</v>
      </c>
      <c r="L228">
        <v>0</v>
      </c>
      <c r="M228">
        <v>1.9900051103581491</v>
      </c>
      <c r="N228">
        <v>0</v>
      </c>
      <c r="R228" s="35">
        <f t="shared" ca="1" si="92"/>
        <v>466.83042019142619</v>
      </c>
      <c r="U228" s="35"/>
    </row>
    <row r="229" spans="1:21">
      <c r="A229" s="170"/>
      <c r="B229" s="171">
        <v>1.2284177840385118</v>
      </c>
      <c r="C229" s="171">
        <v>2.3993580133895418</v>
      </c>
      <c r="D229" s="171">
        <v>-0.6756623603325641</v>
      </c>
      <c r="E229" s="170">
        <v>0</v>
      </c>
      <c r="F229" s="171">
        <v>0</v>
      </c>
      <c r="G229" s="170">
        <f>-$L$1</f>
        <v>-1.4990492230334603E-2</v>
      </c>
      <c r="H229" s="171">
        <v>0</v>
      </c>
      <c r="I229" s="171">
        <v>0</v>
      </c>
      <c r="J229" s="177">
        <f>-$N$1</f>
        <v>-4.7716218756768064E-3</v>
      </c>
      <c r="L229">
        <v>0</v>
      </c>
      <c r="M229">
        <v>0</v>
      </c>
      <c r="N229">
        <v>0.21541333042126434</v>
      </c>
      <c r="R229" s="35">
        <f t="shared" ca="1" si="92"/>
        <v>230.68313650592344</v>
      </c>
      <c r="U229" s="35"/>
    </row>
    <row r="230" spans="1:21">
      <c r="A230" s="170"/>
      <c r="B230" s="171"/>
      <c r="C230" s="171"/>
      <c r="D230" s="171"/>
      <c r="E230" s="170"/>
      <c r="F230" s="170"/>
      <c r="G230" s="170"/>
      <c r="H230" s="170"/>
      <c r="I230" s="170"/>
      <c r="J230" s="170"/>
      <c r="R230" s="35">
        <f t="shared" ca="1" si="92"/>
        <v>46.088572117461673</v>
      </c>
      <c r="U230" s="35"/>
    </row>
    <row r="231" spans="1:21">
      <c r="A231" s="170"/>
      <c r="B231" s="171">
        <v>2.2957880185781296</v>
      </c>
      <c r="C231" s="171">
        <v>-8.2263663034425338E-3</v>
      </c>
      <c r="D231" s="171">
        <v>3.3137218009327896E-2</v>
      </c>
      <c r="E231" s="170">
        <f>-$L$1</f>
        <v>-1.4990492230334603E-2</v>
      </c>
      <c r="F231" s="171">
        <v>0</v>
      </c>
      <c r="G231" s="171">
        <v>0</v>
      </c>
      <c r="H231" s="177">
        <f>-$N$1</f>
        <v>-4.7716218756768064E-3</v>
      </c>
      <c r="I231" s="170">
        <v>0</v>
      </c>
      <c r="J231" s="170">
        <v>0</v>
      </c>
      <c r="L231">
        <f t="array" ref="L231:N233">SVDD(B231:D233)</f>
        <v>3.635335200298234</v>
      </c>
      <c r="M231">
        <v>0</v>
      </c>
      <c r="N231">
        <v>0</v>
      </c>
      <c r="P231">
        <f t="shared" ref="P231" si="101">MAX(L231,M232,N233)/MIN(L231,M232,N233)</f>
        <v>57.193413755542728</v>
      </c>
      <c r="R231" s="35">
        <f t="shared" ca="1" si="92"/>
        <v>5.2672257276525398</v>
      </c>
      <c r="U231" s="35"/>
    </row>
    <row r="232" spans="1:21">
      <c r="A232" s="170" t="s">
        <v>271</v>
      </c>
      <c r="B232" s="171">
        <v>0.21871711292247331</v>
      </c>
      <c r="C232" s="171">
        <v>2.1363371502498802</v>
      </c>
      <c r="D232" s="171">
        <v>8.9790398854103559E-2</v>
      </c>
      <c r="E232" s="170">
        <v>0</v>
      </c>
      <c r="F232" s="170">
        <f>-$L$1</f>
        <v>-1.4990492230334603E-2</v>
      </c>
      <c r="G232" s="171">
        <v>0</v>
      </c>
      <c r="H232" s="171">
        <v>0</v>
      </c>
      <c r="I232" s="177">
        <f>-$N$1</f>
        <v>-4.7716218756768064E-3</v>
      </c>
      <c r="J232" s="170">
        <v>0</v>
      </c>
      <c r="L232">
        <v>0</v>
      </c>
      <c r="M232">
        <v>2.1282094155146076</v>
      </c>
      <c r="N232">
        <v>0</v>
      </c>
      <c r="R232" s="35">
        <f t="shared" ca="1" si="92"/>
        <v>1832.2683886248421</v>
      </c>
      <c r="U232" s="35"/>
    </row>
    <row r="233" spans="1:21">
      <c r="A233" s="170"/>
      <c r="B233" s="171">
        <v>1.8375474863113905</v>
      </c>
      <c r="C233" s="171">
        <v>2.1167426559988707</v>
      </c>
      <c r="D233" s="171">
        <v>1.2367606559382516E-2</v>
      </c>
      <c r="E233" s="170">
        <v>0</v>
      </c>
      <c r="F233" s="171">
        <v>0</v>
      </c>
      <c r="G233" s="170">
        <f>-$L$1</f>
        <v>-1.4990492230334603E-2</v>
      </c>
      <c r="H233" s="171">
        <v>0</v>
      </c>
      <c r="I233" s="171">
        <v>0</v>
      </c>
      <c r="J233" s="177">
        <f>-$N$1</f>
        <v>-4.7716218756768064E-3</v>
      </c>
      <c r="L233">
        <v>0</v>
      </c>
      <c r="M233">
        <v>0</v>
      </c>
      <c r="N233">
        <v>6.3562130000430803E-2</v>
      </c>
      <c r="R233" s="35">
        <f t="shared" ca="1" si="92"/>
        <v>74.307372366081026</v>
      </c>
      <c r="U233" s="35"/>
    </row>
    <row r="234" spans="1:21">
      <c r="A234" s="170"/>
      <c r="B234" s="171"/>
      <c r="C234" s="171"/>
      <c r="D234" s="171"/>
      <c r="E234" s="170"/>
      <c r="F234" s="170"/>
      <c r="G234" s="170"/>
      <c r="H234" s="170"/>
      <c r="I234" s="170"/>
      <c r="J234" s="170"/>
      <c r="R234" s="35">
        <f t="shared" ca="1" si="92"/>
        <v>10.595880661889572</v>
      </c>
      <c r="U234" s="35"/>
    </row>
    <row r="235" spans="1:21">
      <c r="A235" s="170"/>
      <c r="B235" s="171">
        <v>2.2957880185781296</v>
      </c>
      <c r="C235" s="171">
        <v>-8.2263663034425338E-3</v>
      </c>
      <c r="D235" s="171">
        <v>3.3137218009327896E-2</v>
      </c>
      <c r="E235" s="170">
        <f>-$L$1</f>
        <v>-1.4990492230334603E-2</v>
      </c>
      <c r="F235" s="171">
        <v>0</v>
      </c>
      <c r="G235" s="171">
        <v>0</v>
      </c>
      <c r="H235" s="177">
        <f>-$N$1</f>
        <v>-4.7716218756768064E-3</v>
      </c>
      <c r="I235" s="170">
        <v>0</v>
      </c>
      <c r="J235" s="170">
        <v>0</v>
      </c>
      <c r="L235">
        <f t="array" ref="L235:N237">SVDD(B235:D237)</f>
        <v>3.5502902629609676</v>
      </c>
      <c r="M235">
        <v>0</v>
      </c>
      <c r="N235">
        <v>0</v>
      </c>
      <c r="P235">
        <f t="shared" ref="P235" si="102">MAX(L235,M236,N237)/MIN(L235,M236,N237)</f>
        <v>7.0862524060099732</v>
      </c>
      <c r="R235" s="35">
        <f t="shared" ca="1" si="92"/>
        <v>36.89616878253937</v>
      </c>
      <c r="U235" s="35"/>
    </row>
    <row r="236" spans="1:21">
      <c r="A236" s="170" t="s">
        <v>272</v>
      </c>
      <c r="B236" s="171">
        <v>0.21871711292247331</v>
      </c>
      <c r="C236" s="171">
        <v>2.1363371502498802</v>
      </c>
      <c r="D236" s="171">
        <v>8.9790398854103559E-2</v>
      </c>
      <c r="E236" s="170">
        <v>0</v>
      </c>
      <c r="F236" s="170">
        <f>-$L$1</f>
        <v>-1.4990492230334603E-2</v>
      </c>
      <c r="G236" s="171">
        <v>0</v>
      </c>
      <c r="H236" s="171">
        <v>0</v>
      </c>
      <c r="I236" s="177">
        <f>-$N$1</f>
        <v>-4.7716218756768064E-3</v>
      </c>
      <c r="J236" s="170">
        <v>0</v>
      </c>
      <c r="L236">
        <v>0</v>
      </c>
      <c r="M236">
        <v>2.1814032377390729</v>
      </c>
      <c r="N236">
        <v>0</v>
      </c>
      <c r="R236" s="35">
        <f t="shared" ca="1" si="92"/>
        <v>4.8522872767527137</v>
      </c>
      <c r="U236" s="35"/>
    </row>
    <row r="237" spans="1:21">
      <c r="A237" s="170"/>
      <c r="B237" s="171">
        <v>1.2284177840385118</v>
      </c>
      <c r="C237" s="171">
        <v>2.3993580133895418</v>
      </c>
      <c r="D237" s="171">
        <v>-0.6756623603325641</v>
      </c>
      <c r="E237" s="170">
        <v>0</v>
      </c>
      <c r="F237" s="171">
        <v>0</v>
      </c>
      <c r="G237" s="170">
        <f>-$L$1</f>
        <v>-1.4990492230334603E-2</v>
      </c>
      <c r="H237" s="171">
        <v>0</v>
      </c>
      <c r="I237" s="171">
        <v>0</v>
      </c>
      <c r="J237" s="177">
        <f>-$N$1</f>
        <v>-4.7716218756768064E-3</v>
      </c>
      <c r="L237">
        <v>0</v>
      </c>
      <c r="M237">
        <v>0</v>
      </c>
      <c r="N237">
        <v>0.50101098007035494</v>
      </c>
      <c r="R237" s="35">
        <f t="shared" ca="1" si="92"/>
        <v>4.8511161019732283</v>
      </c>
      <c r="U237" s="35"/>
    </row>
    <row r="238" spans="1:21">
      <c r="A238" s="170"/>
      <c r="B238" s="171"/>
      <c r="C238" s="171"/>
      <c r="D238" s="171"/>
      <c r="E238" s="170"/>
      <c r="F238" s="170"/>
      <c r="G238" s="170"/>
      <c r="H238" s="170"/>
      <c r="I238" s="170"/>
      <c r="J238" s="170"/>
      <c r="R238" s="35">
        <f t="shared" ca="1" si="92"/>
        <v>223.5443970413034</v>
      </c>
      <c r="U238" s="35"/>
    </row>
    <row r="239" spans="1:21">
      <c r="A239" s="170"/>
      <c r="B239" s="171">
        <v>2.2957880185781296</v>
      </c>
      <c r="C239" s="171">
        <v>-8.2263663034425338E-3</v>
      </c>
      <c r="D239" s="171">
        <v>3.3137218009327896E-2</v>
      </c>
      <c r="E239" s="170">
        <f>-$L$1</f>
        <v>-1.4990492230334603E-2</v>
      </c>
      <c r="F239" s="171">
        <v>0</v>
      </c>
      <c r="G239" s="171">
        <v>0</v>
      </c>
      <c r="H239" s="177">
        <f>-$N$1</f>
        <v>-4.7716218756768064E-3</v>
      </c>
      <c r="I239" s="170">
        <v>0</v>
      </c>
      <c r="J239" s="170">
        <v>0</v>
      </c>
      <c r="L239">
        <f t="array" ref="L239:N241">SVDD(B239:D241)</f>
        <v>4.1445921190907313</v>
      </c>
      <c r="M239">
        <v>0</v>
      </c>
      <c r="N239">
        <v>0</v>
      </c>
      <c r="P239">
        <f t="shared" ref="P239" si="103">MAX(L239,M240,N241)/MIN(L239,M240,N241)</f>
        <v>9.7216302727657062</v>
      </c>
      <c r="R239" s="35">
        <f t="shared" ca="1" si="92"/>
        <v>33.712309903347119</v>
      </c>
      <c r="U239" s="35"/>
    </row>
    <row r="240" spans="1:21">
      <c r="A240" s="170" t="s">
        <v>273</v>
      </c>
      <c r="B240" s="171">
        <v>1.8375474863113905</v>
      </c>
      <c r="C240" s="171">
        <v>2.1167426559988707</v>
      </c>
      <c r="D240" s="171">
        <v>1.2367606559382516E-2</v>
      </c>
      <c r="E240" s="170">
        <v>0</v>
      </c>
      <c r="F240" s="170">
        <f>-$L$1</f>
        <v>-1.4990492230334603E-2</v>
      </c>
      <c r="G240" s="171">
        <v>0</v>
      </c>
      <c r="H240" s="171">
        <v>0</v>
      </c>
      <c r="I240" s="177">
        <f>-$N$1</f>
        <v>-4.7716218756768064E-3</v>
      </c>
      <c r="J240" s="170">
        <v>0</v>
      </c>
      <c r="L240">
        <v>0</v>
      </c>
      <c r="M240">
        <v>1.8687407246663759</v>
      </c>
      <c r="N240">
        <v>0</v>
      </c>
      <c r="R240" s="35">
        <f t="shared" ca="1" si="92"/>
        <v>4.2207727224315219</v>
      </c>
      <c r="U240" s="35"/>
    </row>
    <row r="241" spans="1:21">
      <c r="A241" s="170"/>
      <c r="B241" s="171">
        <v>1.2284177840385118</v>
      </c>
      <c r="C241" s="171">
        <v>2.3993580133895418</v>
      </c>
      <c r="D241" s="171">
        <v>-0.6756623603325641</v>
      </c>
      <c r="E241" s="170">
        <v>0</v>
      </c>
      <c r="F241" s="171">
        <v>0</v>
      </c>
      <c r="G241" s="170">
        <f>-$L$1</f>
        <v>-1.4990492230334603E-2</v>
      </c>
      <c r="H241" s="171">
        <v>0</v>
      </c>
      <c r="I241" s="171">
        <v>0</v>
      </c>
      <c r="J241" s="177">
        <f>-$N$1</f>
        <v>-4.7716218756768064E-3</v>
      </c>
      <c r="L241">
        <v>0</v>
      </c>
      <c r="M241">
        <v>0</v>
      </c>
      <c r="N241">
        <v>0.42632686111314505</v>
      </c>
      <c r="R241" s="35">
        <f t="shared" ca="1" si="92"/>
        <v>52.914300823005625</v>
      </c>
      <c r="U241" s="35"/>
    </row>
    <row r="242" spans="1:21">
      <c r="A242" s="170"/>
      <c r="B242" s="171"/>
      <c r="C242" s="171"/>
      <c r="D242" s="171"/>
      <c r="E242" s="170"/>
      <c r="F242" s="170"/>
      <c r="G242" s="170"/>
      <c r="H242" s="170"/>
      <c r="I242" s="170"/>
      <c r="J242" s="170"/>
      <c r="R242" s="35">
        <f t="shared" ca="1" si="92"/>
        <v>6.5646293729706269</v>
      </c>
      <c r="U242" s="35"/>
    </row>
    <row r="243" spans="1:21">
      <c r="A243" s="170"/>
      <c r="B243" s="171">
        <v>-0.14897154656832046</v>
      </c>
      <c r="C243" s="171">
        <v>0.84725762547333594</v>
      </c>
      <c r="D243" s="171">
        <v>-1.9759438806851826E-2</v>
      </c>
      <c r="E243" s="170">
        <f>-$L$1</f>
        <v>-1.4990492230334603E-2</v>
      </c>
      <c r="F243" s="171">
        <v>0</v>
      </c>
      <c r="G243" s="171">
        <v>0</v>
      </c>
      <c r="H243" s="177">
        <f>-$N$1</f>
        <v>-4.7716218756768064E-3</v>
      </c>
      <c r="I243" s="170">
        <v>0</v>
      </c>
      <c r="J243" s="170">
        <v>0</v>
      </c>
      <c r="L243">
        <f t="array" ref="L243:N245">SVDD(B243:D245)</f>
        <v>3.1887581927607567</v>
      </c>
      <c r="M243">
        <v>0</v>
      </c>
      <c r="N243">
        <v>0</v>
      </c>
      <c r="P243">
        <f t="shared" ref="P243" si="104">MAX(L243,M244,N245)/MIN(L243,M244,N245)</f>
        <v>63.728386371176278</v>
      </c>
      <c r="R243" s="35">
        <f t="shared" ca="1" si="92"/>
        <v>3.455632551064447</v>
      </c>
      <c r="U243" s="35"/>
    </row>
    <row r="244" spans="1:21">
      <c r="A244" s="170" t="s">
        <v>274</v>
      </c>
      <c r="B244" s="171">
        <v>2.6959782234951333</v>
      </c>
      <c r="C244" s="171">
        <v>1.0757798809975587</v>
      </c>
      <c r="D244" s="171">
        <v>4.997772423355884E-2</v>
      </c>
      <c r="E244" s="170">
        <v>0</v>
      </c>
      <c r="F244" s="170">
        <f>-$L$1</f>
        <v>-1.4990492230334603E-2</v>
      </c>
      <c r="G244" s="171">
        <v>0</v>
      </c>
      <c r="H244" s="171">
        <v>0</v>
      </c>
      <c r="I244" s="177">
        <f>-$N$1</f>
        <v>-4.7716218756768064E-3</v>
      </c>
      <c r="J244" s="170">
        <v>0</v>
      </c>
      <c r="L244">
        <v>0</v>
      </c>
      <c r="M244">
        <v>1.9020201301004287</v>
      </c>
      <c r="N244">
        <v>0</v>
      </c>
      <c r="R244" s="35">
        <f t="shared" ca="1" si="92"/>
        <v>30.68925723895747</v>
      </c>
      <c r="U244" s="35"/>
    </row>
    <row r="245" spans="1:21">
      <c r="A245" s="170"/>
      <c r="B245" s="171">
        <v>0.21871711292247331</v>
      </c>
      <c r="C245" s="171">
        <v>2.1363371502498802</v>
      </c>
      <c r="D245" s="171">
        <v>8.9790398854103559E-2</v>
      </c>
      <c r="E245" s="170">
        <v>0</v>
      </c>
      <c r="F245" s="171">
        <v>0</v>
      </c>
      <c r="G245" s="170">
        <f>-$L$1</f>
        <v>-1.4990492230334603E-2</v>
      </c>
      <c r="H245" s="171">
        <v>0</v>
      </c>
      <c r="I245" s="171">
        <v>0</v>
      </c>
      <c r="J245" s="177">
        <f>-$N$1</f>
        <v>-4.7716218756768064E-3</v>
      </c>
      <c r="L245">
        <v>0</v>
      </c>
      <c r="M245">
        <v>0</v>
      </c>
      <c r="N245">
        <v>5.0036700665670716E-2</v>
      </c>
      <c r="R245" s="35">
        <f t="shared" ca="1" si="92"/>
        <v>4.0321439196075497</v>
      </c>
      <c r="U245" s="35"/>
    </row>
    <row r="246" spans="1:21">
      <c r="A246" s="170"/>
      <c r="B246" s="171"/>
      <c r="C246" s="171"/>
      <c r="D246" s="171"/>
      <c r="E246" s="170"/>
      <c r="F246" s="170"/>
      <c r="G246" s="170"/>
      <c r="H246" s="170"/>
      <c r="I246" s="170"/>
      <c r="J246" s="170"/>
      <c r="R246" s="35">
        <f t="shared" ca="1" si="92"/>
        <v>4.9236532994760909</v>
      </c>
      <c r="U246" s="35"/>
    </row>
    <row r="247" spans="1:21">
      <c r="A247" s="170"/>
      <c r="B247" s="171">
        <v>-0.14897154656832046</v>
      </c>
      <c r="C247" s="171">
        <v>0.84725762547333594</v>
      </c>
      <c r="D247" s="171">
        <v>-1.9759438806851826E-2</v>
      </c>
      <c r="E247" s="170">
        <f>-$L$1</f>
        <v>-1.4990492230334603E-2</v>
      </c>
      <c r="F247" s="171">
        <v>0</v>
      </c>
      <c r="G247" s="171">
        <v>0</v>
      </c>
      <c r="H247" s="177">
        <f>-$N$1</f>
        <v>-4.7716218756768064E-3</v>
      </c>
      <c r="I247" s="170">
        <v>0</v>
      </c>
      <c r="J247" s="170">
        <v>0</v>
      </c>
      <c r="L247">
        <f t="array" ref="L247:N249">SVDD(B247:D249)</f>
        <v>3.9391471875981803</v>
      </c>
      <c r="M247">
        <v>0</v>
      </c>
      <c r="N247">
        <v>0</v>
      </c>
      <c r="P247">
        <f t="shared" ref="P247" si="105">MAX(L247,M248,N249)/MIN(L247,M248,N249)</f>
        <v>1839.1895225872963</v>
      </c>
      <c r="R247" s="35">
        <f t="shared" ca="1" si="92"/>
        <v>3.1934764631216082</v>
      </c>
      <c r="U247" s="35"/>
    </row>
    <row r="248" spans="1:21">
      <c r="A248" s="170" t="s">
        <v>275</v>
      </c>
      <c r="B248" s="171">
        <v>2.6959782234951333</v>
      </c>
      <c r="C248" s="171">
        <v>1.0757798809975587</v>
      </c>
      <c r="D248" s="171">
        <v>4.997772423355884E-2</v>
      </c>
      <c r="E248" s="170">
        <v>0</v>
      </c>
      <c r="F248" s="170">
        <f>-$L$1</f>
        <v>-1.4990492230334603E-2</v>
      </c>
      <c r="G248" s="171">
        <v>0</v>
      </c>
      <c r="H248" s="171">
        <v>0</v>
      </c>
      <c r="I248" s="177">
        <f>-$N$1</f>
        <v>-4.7716218756768064E-3</v>
      </c>
      <c r="J248" s="170">
        <v>0</v>
      </c>
      <c r="L248">
        <v>0</v>
      </c>
      <c r="M248">
        <v>1.2284035122606316</v>
      </c>
      <c r="N248">
        <v>0</v>
      </c>
      <c r="R248" s="35">
        <f t="shared" ca="1" si="92"/>
        <v>7.0062729721822521</v>
      </c>
      <c r="U248" s="35"/>
    </row>
    <row r="249" spans="1:21">
      <c r="A249" s="170"/>
      <c r="B249" s="171">
        <v>1.8375474863113905</v>
      </c>
      <c r="C249" s="171">
        <v>2.1167426559988707</v>
      </c>
      <c r="D249" s="171">
        <v>1.2367606559382516E-2</v>
      </c>
      <c r="E249" s="170">
        <v>0</v>
      </c>
      <c r="F249" s="171">
        <v>0</v>
      </c>
      <c r="G249" s="170">
        <f>-$L$1</f>
        <v>-1.4990492230334603E-2</v>
      </c>
      <c r="H249" s="171">
        <v>0</v>
      </c>
      <c r="I249" s="171">
        <v>0</v>
      </c>
      <c r="J249" s="177">
        <f>-$N$1</f>
        <v>-4.7716218756768064E-3</v>
      </c>
      <c r="L249">
        <v>0</v>
      </c>
      <c r="M249">
        <v>0</v>
      </c>
      <c r="N249">
        <v>2.1417842692235162E-3</v>
      </c>
      <c r="R249" s="35">
        <f t="shared" ca="1" si="92"/>
        <v>57.301482607717354</v>
      </c>
      <c r="U249" s="35"/>
    </row>
    <row r="250" spans="1:21">
      <c r="A250" s="170"/>
      <c r="B250" s="171"/>
      <c r="C250" s="171"/>
      <c r="D250" s="171"/>
      <c r="E250" s="170"/>
      <c r="F250" s="170"/>
      <c r="G250" s="170"/>
      <c r="H250" s="170"/>
      <c r="I250" s="170"/>
      <c r="J250" s="170"/>
      <c r="R250" s="35">
        <f t="shared" ca="1" si="92"/>
        <v>5.4207004825352429</v>
      </c>
      <c r="U250" s="35"/>
    </row>
    <row r="251" spans="1:21">
      <c r="A251" s="170"/>
      <c r="B251" s="171">
        <v>-0.14897154656832046</v>
      </c>
      <c r="C251" s="171">
        <v>0.84725762547333594</v>
      </c>
      <c r="D251" s="171">
        <v>-1.9759438806851826E-2</v>
      </c>
      <c r="E251" s="170">
        <f>-$L$1</f>
        <v>-1.4990492230334603E-2</v>
      </c>
      <c r="F251" s="171">
        <v>0</v>
      </c>
      <c r="G251" s="171">
        <v>0</v>
      </c>
      <c r="H251" s="177">
        <f>-$N$1</f>
        <v>-4.7716218756768064E-3</v>
      </c>
      <c r="I251" s="170">
        <v>0</v>
      </c>
      <c r="J251" s="170">
        <v>0</v>
      </c>
      <c r="L251">
        <f t="array" ref="L251:N253">SVDD(B251:D253)</f>
        <v>3.7614986620596373</v>
      </c>
      <c r="M251">
        <v>0</v>
      </c>
      <c r="N251">
        <v>0</v>
      </c>
      <c r="P251">
        <f t="shared" ref="P251" si="106">MAX(L251,M252,N253)/MIN(L251,M252,N253)</f>
        <v>14.280317337938845</v>
      </c>
      <c r="R251" s="35">
        <f t="shared" ca="1" si="92"/>
        <v>36.492219185194912</v>
      </c>
      <c r="U251" s="35"/>
    </row>
    <row r="252" spans="1:21">
      <c r="A252" s="170" t="s">
        <v>276</v>
      </c>
      <c r="B252" s="171">
        <v>2.6959782234951333</v>
      </c>
      <c r="C252" s="171">
        <v>1.0757798809975587</v>
      </c>
      <c r="D252" s="171">
        <v>4.997772423355884E-2</v>
      </c>
      <c r="E252" s="170">
        <v>0</v>
      </c>
      <c r="F252" s="170">
        <f>-$L$1</f>
        <v>-1.4990492230334603E-2</v>
      </c>
      <c r="G252" s="171">
        <v>0</v>
      </c>
      <c r="H252" s="171">
        <v>0</v>
      </c>
      <c r="I252" s="177">
        <f>-$N$1</f>
        <v>-4.7716218756768064E-3</v>
      </c>
      <c r="J252" s="170">
        <v>0</v>
      </c>
      <c r="L252">
        <v>0</v>
      </c>
      <c r="M252">
        <v>1.6348461181595586</v>
      </c>
      <c r="N252">
        <v>0</v>
      </c>
      <c r="R252" s="35">
        <f t="shared" ca="1" si="92"/>
        <v>4.2840265157871062</v>
      </c>
      <c r="U252" s="35"/>
    </row>
    <row r="253" spans="1:21">
      <c r="A253" s="170"/>
      <c r="B253" s="171">
        <v>1.2284177840385118</v>
      </c>
      <c r="C253" s="171">
        <v>2.3993580133895418</v>
      </c>
      <c r="D253" s="171">
        <v>-0.6756623603325641</v>
      </c>
      <c r="E253" s="170">
        <v>0</v>
      </c>
      <c r="F253" s="171">
        <v>0</v>
      </c>
      <c r="G253" s="170">
        <f>-$L$1</f>
        <v>-1.4990492230334603E-2</v>
      </c>
      <c r="H253" s="171">
        <v>0</v>
      </c>
      <c r="I253" s="171">
        <v>0</v>
      </c>
      <c r="J253" s="177">
        <f>-$N$1</f>
        <v>-4.7716218756768064E-3</v>
      </c>
      <c r="L253">
        <v>0</v>
      </c>
      <c r="M253">
        <v>0</v>
      </c>
      <c r="N253">
        <v>0.26340441693591626</v>
      </c>
      <c r="R253" s="35">
        <f t="shared" ca="1" si="92"/>
        <v>5.8454524208722907</v>
      </c>
      <c r="U253" s="35"/>
    </row>
    <row r="254" spans="1:21">
      <c r="A254" s="170"/>
      <c r="B254" s="171"/>
      <c r="C254" s="171"/>
      <c r="D254" s="171"/>
      <c r="E254" s="170"/>
      <c r="F254" s="170"/>
      <c r="G254" s="170"/>
      <c r="H254" s="170"/>
      <c r="I254" s="170"/>
      <c r="J254" s="170"/>
      <c r="R254" s="35">
        <f t="shared" ca="1" si="92"/>
        <v>27.264608409535779</v>
      </c>
      <c r="U254" s="35"/>
    </row>
    <row r="255" spans="1:21">
      <c r="A255" s="170"/>
      <c r="B255" s="171">
        <v>-0.14897154656832046</v>
      </c>
      <c r="C255" s="171">
        <v>0.84725762547333594</v>
      </c>
      <c r="D255" s="171">
        <v>-1.9759438806851826E-2</v>
      </c>
      <c r="E255" s="170">
        <f>-$L$1</f>
        <v>-1.4990492230334603E-2</v>
      </c>
      <c r="F255" s="171">
        <v>0</v>
      </c>
      <c r="G255" s="171">
        <v>0</v>
      </c>
      <c r="H255" s="177">
        <f>-$N$1</f>
        <v>-4.7716218756768064E-3</v>
      </c>
      <c r="I255" s="170">
        <v>0</v>
      </c>
      <c r="J255" s="170">
        <v>0</v>
      </c>
      <c r="L255">
        <f t="array" ref="L255:N257">SVDD(B255:D257)</f>
        <v>3.4477727525576025</v>
      </c>
      <c r="M255">
        <v>0</v>
      </c>
      <c r="N255">
        <v>0</v>
      </c>
      <c r="P255">
        <f t="shared" ref="P255" si="107">MAX(L255,M256,N257)/MIN(L255,M256,N257)</f>
        <v>59.461695313516891</v>
      </c>
      <c r="R255" s="35">
        <f t="shared" ca="1" si="92"/>
        <v>4.3649803826438793</v>
      </c>
      <c r="U255" s="35"/>
    </row>
    <row r="256" spans="1:21">
      <c r="A256" s="170" t="s">
        <v>277</v>
      </c>
      <c r="B256" s="171">
        <v>0.21871711292247331</v>
      </c>
      <c r="C256" s="171">
        <v>2.1363371502498802</v>
      </c>
      <c r="D256" s="171">
        <v>8.9790398854103559E-2</v>
      </c>
      <c r="E256" s="170">
        <v>0</v>
      </c>
      <c r="F256" s="170">
        <f>-$L$1</f>
        <v>-1.4990492230334603E-2</v>
      </c>
      <c r="G256" s="171">
        <v>0</v>
      </c>
      <c r="H256" s="171">
        <v>0</v>
      </c>
      <c r="I256" s="177">
        <f>-$N$1</f>
        <v>-4.7716218756768064E-3</v>
      </c>
      <c r="J256" s="170">
        <v>0</v>
      </c>
      <c r="L256">
        <v>0</v>
      </c>
      <c r="M256">
        <v>1.1519976361936046</v>
      </c>
      <c r="N256">
        <v>0</v>
      </c>
      <c r="R256" s="35">
        <f t="shared" ca="1" si="92"/>
        <v>24.489132951843487</v>
      </c>
      <c r="U256" s="35"/>
    </row>
    <row r="257" spans="1:22">
      <c r="A257" s="170"/>
      <c r="B257" s="171">
        <v>1.8375474863113905</v>
      </c>
      <c r="C257" s="171">
        <v>2.1167426559988707</v>
      </c>
      <c r="D257" s="171">
        <v>1.2367606559382516E-2</v>
      </c>
      <c r="E257" s="170">
        <v>0</v>
      </c>
      <c r="F257" s="171">
        <v>0</v>
      </c>
      <c r="G257" s="170">
        <f>-$L$1</f>
        <v>-1.4990492230334603E-2</v>
      </c>
      <c r="H257" s="171">
        <v>0</v>
      </c>
      <c r="I257" s="171">
        <v>0</v>
      </c>
      <c r="J257" s="177">
        <f>-$N$1</f>
        <v>-4.7716218756768064E-3</v>
      </c>
      <c r="L257">
        <v>0</v>
      </c>
      <c r="M257">
        <v>0</v>
      </c>
      <c r="N257">
        <v>5.7983088682199938E-2</v>
      </c>
      <c r="R257" s="35">
        <f t="shared" ca="1" si="92"/>
        <v>4.155062022143496</v>
      </c>
      <c r="U257" s="35"/>
    </row>
    <row r="258" spans="1:22">
      <c r="A258" s="170"/>
      <c r="B258" s="171"/>
      <c r="C258" s="171"/>
      <c r="D258" s="171"/>
      <c r="E258" s="170"/>
      <c r="F258" s="170"/>
      <c r="G258" s="170"/>
      <c r="H258" s="170"/>
      <c r="I258" s="170"/>
      <c r="J258" s="170"/>
      <c r="R258" s="35">
        <f t="shared" ca="1" si="92"/>
        <v>17.378066776989606</v>
      </c>
      <c r="U258" s="35"/>
    </row>
    <row r="259" spans="1:22">
      <c r="A259" s="170"/>
      <c r="B259" s="171">
        <v>-0.14897154656832046</v>
      </c>
      <c r="C259" s="171">
        <v>0.84725762547333594</v>
      </c>
      <c r="D259" s="171">
        <v>-1.9759438806851826E-2</v>
      </c>
      <c r="E259" s="170">
        <f>-$L$1</f>
        <v>-1.4990492230334603E-2</v>
      </c>
      <c r="F259" s="171">
        <v>0</v>
      </c>
      <c r="G259" s="171">
        <v>0</v>
      </c>
      <c r="H259" s="177">
        <f>-$N$1</f>
        <v>-4.7716218756768064E-3</v>
      </c>
      <c r="I259" s="170">
        <v>0</v>
      </c>
      <c r="J259" s="170">
        <v>0</v>
      </c>
      <c r="L259">
        <f t="array" ref="L259:N261">SVDD(B259:D261)</f>
        <v>3.5059934132187576</v>
      </c>
      <c r="M259">
        <v>0</v>
      </c>
      <c r="N259">
        <v>0</v>
      </c>
      <c r="P259">
        <f t="shared" ref="P259" si="108">MAX(L259,M260,N261)/MIN(L259,M260,N261)</f>
        <v>21.170385241601402</v>
      </c>
      <c r="R259" s="35">
        <f t="shared" ca="1" si="92"/>
        <v>3.5193506190429562</v>
      </c>
      <c r="U259" s="35"/>
    </row>
    <row r="260" spans="1:22">
      <c r="A260" s="170" t="s">
        <v>278</v>
      </c>
      <c r="B260" s="171">
        <v>0.21871711292247331</v>
      </c>
      <c r="C260" s="171">
        <v>2.1363371502498802</v>
      </c>
      <c r="D260" s="171">
        <v>8.9790398854103559E-2</v>
      </c>
      <c r="E260" s="170">
        <v>0</v>
      </c>
      <c r="F260" s="170">
        <f>-$L$1</f>
        <v>-1.4990492230334603E-2</v>
      </c>
      <c r="G260" s="171">
        <v>0</v>
      </c>
      <c r="H260" s="171">
        <v>0</v>
      </c>
      <c r="I260" s="177">
        <f>-$N$1</f>
        <v>-4.7716218756768064E-3</v>
      </c>
      <c r="J260" s="170">
        <v>0</v>
      </c>
      <c r="L260">
        <v>0</v>
      </c>
      <c r="M260">
        <v>0.87366878917267143</v>
      </c>
      <c r="N260">
        <v>0</v>
      </c>
      <c r="R260" s="35">
        <f t="shared" ca="1" si="92"/>
        <v>2.9250187817951137</v>
      </c>
      <c r="U260" s="35"/>
    </row>
    <row r="261" spans="1:22">
      <c r="A261" s="170"/>
      <c r="B261" s="171">
        <v>1.2284177840385118</v>
      </c>
      <c r="C261" s="171">
        <v>2.3993580133895418</v>
      </c>
      <c r="D261" s="171">
        <v>-0.6756623603325641</v>
      </c>
      <c r="E261" s="170">
        <v>0</v>
      </c>
      <c r="F261" s="171">
        <v>0</v>
      </c>
      <c r="G261" s="170">
        <f>-$L$1</f>
        <v>-1.4990492230334603E-2</v>
      </c>
      <c r="H261" s="171">
        <v>0</v>
      </c>
      <c r="I261" s="171">
        <v>0</v>
      </c>
      <c r="J261" s="177">
        <f>-$N$1</f>
        <v>-4.7716218756768064E-3</v>
      </c>
      <c r="L261">
        <v>0</v>
      </c>
      <c r="M261">
        <v>0</v>
      </c>
      <c r="N261">
        <v>0.16560838989028959</v>
      </c>
      <c r="R261" s="35">
        <f t="shared" ref="R261:R282" ca="1" si="109">OFFSET($P$3,4*(ROW(A259)-1),0,1,1)</f>
        <v>10.029851549914012</v>
      </c>
      <c r="U261" s="35"/>
    </row>
    <row r="262" spans="1:22">
      <c r="A262" s="170"/>
      <c r="B262" s="171"/>
      <c r="C262" s="171"/>
      <c r="D262" s="171"/>
      <c r="E262" s="170"/>
      <c r="F262" s="170"/>
      <c r="G262" s="170"/>
      <c r="H262" s="170"/>
      <c r="I262" s="170"/>
      <c r="J262" s="170"/>
      <c r="R262" s="35">
        <f t="shared" ca="1" si="109"/>
        <v>2.6374470926098281</v>
      </c>
      <c r="U262" s="35"/>
    </row>
    <row r="263" spans="1:22">
      <c r="A263" s="170"/>
      <c r="B263" s="171">
        <v>-0.14897154656832046</v>
      </c>
      <c r="C263" s="171">
        <v>0.84725762547333594</v>
      </c>
      <c r="D263" s="171">
        <v>-1.9759438806851826E-2</v>
      </c>
      <c r="E263" s="170">
        <f>-$L$1</f>
        <v>-1.4990492230334603E-2</v>
      </c>
      <c r="F263" s="171">
        <v>0</v>
      </c>
      <c r="G263" s="171">
        <v>0</v>
      </c>
      <c r="H263" s="177">
        <f>-$N$1</f>
        <v>-4.7716218756768064E-3</v>
      </c>
      <c r="I263" s="170">
        <v>0</v>
      </c>
      <c r="J263" s="170">
        <v>0</v>
      </c>
      <c r="L263">
        <f t="array" ref="L263:N265">SVDD(B263:D265)</f>
        <v>3.9376614674879349</v>
      </c>
      <c r="M263">
        <v>0</v>
      </c>
      <c r="N263">
        <v>0</v>
      </c>
      <c r="P263">
        <f t="shared" ref="P263" si="110">MAX(L263,M264,N265)/MIN(L263,M264,N265)</f>
        <v>10.1367998366946</v>
      </c>
      <c r="R263" s="35">
        <f t="shared" ca="1" si="109"/>
        <v>25.249585470075854</v>
      </c>
      <c r="U263" s="35"/>
    </row>
    <row r="264" spans="1:22">
      <c r="A264" s="170" t="s">
        <v>279</v>
      </c>
      <c r="B264" s="171">
        <v>1.8375474863113905</v>
      </c>
      <c r="C264" s="171">
        <v>2.1167426559988707</v>
      </c>
      <c r="D264" s="171">
        <v>1.2367606559382516E-2</v>
      </c>
      <c r="E264" s="170">
        <v>0</v>
      </c>
      <c r="F264" s="170">
        <f>-$L$1</f>
        <v>-1.4990492230334603E-2</v>
      </c>
      <c r="G264" s="171">
        <v>0</v>
      </c>
      <c r="H264" s="171">
        <v>0</v>
      </c>
      <c r="I264" s="177">
        <f>-$N$1</f>
        <v>-4.7716218756768064E-3</v>
      </c>
      <c r="J264" s="170">
        <v>0</v>
      </c>
      <c r="L264">
        <v>0</v>
      </c>
      <c r="M264">
        <v>0.81494631746777135</v>
      </c>
      <c r="N264">
        <v>0</v>
      </c>
      <c r="R264" s="35">
        <f t="shared" ca="1" si="109"/>
        <v>17.866956947533616</v>
      </c>
      <c r="U264" s="35"/>
    </row>
    <row r="265" spans="1:22">
      <c r="A265" s="170"/>
      <c r="B265" s="171">
        <v>1.2284177840385118</v>
      </c>
      <c r="C265" s="171">
        <v>2.3993580133895418</v>
      </c>
      <c r="D265" s="171">
        <v>-0.6756623603325641</v>
      </c>
      <c r="E265" s="170">
        <v>0</v>
      </c>
      <c r="F265" s="171">
        <v>0</v>
      </c>
      <c r="G265" s="170">
        <f>-$L$1</f>
        <v>-1.4990492230334603E-2</v>
      </c>
      <c r="H265" s="171">
        <v>0</v>
      </c>
      <c r="I265" s="171">
        <v>0</v>
      </c>
      <c r="J265" s="177">
        <f>-$N$1</f>
        <v>-4.7716218756768064E-3</v>
      </c>
      <c r="L265">
        <v>0</v>
      </c>
      <c r="M265">
        <v>0</v>
      </c>
      <c r="N265">
        <v>0.3884521279816377</v>
      </c>
      <c r="R265" s="35">
        <f t="shared" ca="1" si="109"/>
        <v>6.3541258749953187</v>
      </c>
      <c r="U265" s="35"/>
    </row>
    <row r="266" spans="1:22">
      <c r="A266" s="170"/>
      <c r="B266" s="171"/>
      <c r="C266" s="171"/>
      <c r="D266" s="171"/>
      <c r="E266" s="170"/>
      <c r="F266" s="170"/>
      <c r="G266" s="170"/>
      <c r="H266" s="170"/>
      <c r="I266" s="170"/>
      <c r="J266" s="170"/>
      <c r="R266" s="35">
        <f t="shared" ca="1" si="109"/>
        <v>6.7607681639683301</v>
      </c>
      <c r="U266" s="35"/>
    </row>
    <row r="267" spans="1:22">
      <c r="A267" s="170"/>
      <c r="B267" s="171">
        <v>2.6959782234951333</v>
      </c>
      <c r="C267" s="171">
        <v>1.0757798809975587</v>
      </c>
      <c r="D267" s="171">
        <v>4.997772423355884E-2</v>
      </c>
      <c r="E267" s="170">
        <f>-$L$1</f>
        <v>-1.4990492230334603E-2</v>
      </c>
      <c r="F267" s="171">
        <v>0</v>
      </c>
      <c r="G267" s="171">
        <v>0</v>
      </c>
      <c r="H267" s="177">
        <f>-$N$1</f>
        <v>-4.7716218756768064E-3</v>
      </c>
      <c r="I267" s="170">
        <v>0</v>
      </c>
      <c r="J267" s="170">
        <v>0</v>
      </c>
      <c r="L267">
        <f t="array" ref="L267:N269">SVDD(B267:D269)</f>
        <v>4.2088267851213983</v>
      </c>
      <c r="M267">
        <v>0</v>
      </c>
      <c r="N267">
        <v>0</v>
      </c>
      <c r="P267">
        <f t="shared" ref="P267" si="111">MAX(L267,M268,N269)/MIN(L267,M268,N269)</f>
        <v>71.937522903691658</v>
      </c>
      <c r="R267" s="35">
        <f t="shared" ca="1" si="109"/>
        <v>15.979311741978162</v>
      </c>
      <c r="U267" s="35"/>
    </row>
    <row r="268" spans="1:22">
      <c r="A268" s="170" t="s">
        <v>280</v>
      </c>
      <c r="B268" s="171">
        <v>0.21871711292247331</v>
      </c>
      <c r="C268" s="171">
        <v>2.1363371502498802</v>
      </c>
      <c r="D268" s="171">
        <v>8.9790398854103559E-2</v>
      </c>
      <c r="E268" s="170">
        <v>0</v>
      </c>
      <c r="F268" s="170">
        <f>-$L$1</f>
        <v>-1.4990492230334603E-2</v>
      </c>
      <c r="G268" s="171">
        <v>0</v>
      </c>
      <c r="H268" s="171">
        <v>0</v>
      </c>
      <c r="I268" s="177">
        <f>-$N$1</f>
        <v>-4.7716218756768064E-3</v>
      </c>
      <c r="J268" s="170">
        <v>0</v>
      </c>
      <c r="L268">
        <v>0</v>
      </c>
      <c r="M268">
        <v>1.7853912374657988</v>
      </c>
      <c r="N268">
        <v>0</v>
      </c>
      <c r="R268" s="35">
        <f t="shared" ca="1" si="109"/>
        <v>24.622553140187737</v>
      </c>
      <c r="U268" s="35"/>
    </row>
    <row r="269" spans="1:22">
      <c r="A269" s="170"/>
      <c r="B269" s="171">
        <v>1.8375474863113905</v>
      </c>
      <c r="C269" s="171">
        <v>2.1167426559988707</v>
      </c>
      <c r="D269" s="171">
        <v>1.2367606559382516E-2</v>
      </c>
      <c r="E269" s="170">
        <v>0</v>
      </c>
      <c r="F269" s="171">
        <v>0</v>
      </c>
      <c r="G269" s="170">
        <f>-$L$1</f>
        <v>-1.4990492230334603E-2</v>
      </c>
      <c r="H269" s="171">
        <v>0</v>
      </c>
      <c r="I269" s="171">
        <v>0</v>
      </c>
      <c r="J269" s="177">
        <f>-$N$1</f>
        <v>-4.7716218756768064E-3</v>
      </c>
      <c r="L269">
        <v>0</v>
      </c>
      <c r="M269">
        <v>0</v>
      </c>
      <c r="N269">
        <v>5.8506696022270342E-2</v>
      </c>
      <c r="R269" s="35">
        <f t="shared" ca="1" si="109"/>
        <v>9.6873396835531249</v>
      </c>
      <c r="U269" s="35"/>
    </row>
    <row r="270" spans="1:22">
      <c r="A270" s="170"/>
      <c r="B270" s="171"/>
      <c r="C270" s="171"/>
      <c r="D270" s="171"/>
      <c r="E270" s="170"/>
      <c r="F270" s="170"/>
      <c r="G270" s="170"/>
      <c r="H270" s="170"/>
      <c r="I270" s="170"/>
      <c r="J270" s="170"/>
      <c r="R270" s="35">
        <f t="shared" ca="1" si="109"/>
        <v>4.3639483646416055</v>
      </c>
      <c r="U270" s="35"/>
      <c r="V270" s="35"/>
    </row>
    <row r="271" spans="1:22">
      <c r="A271" s="170"/>
      <c r="B271" s="171">
        <v>2.6959782234951333</v>
      </c>
      <c r="C271" s="171">
        <v>1.0757798809975587</v>
      </c>
      <c r="D271" s="171">
        <v>4.997772423355884E-2</v>
      </c>
      <c r="E271" s="170">
        <f>-$L$1</f>
        <v>-1.4990492230334603E-2</v>
      </c>
      <c r="F271" s="171">
        <v>0</v>
      </c>
      <c r="G271" s="171">
        <v>0</v>
      </c>
      <c r="H271" s="177">
        <f>-$N$1</f>
        <v>-4.7716218756768064E-3</v>
      </c>
      <c r="I271" s="170">
        <v>0</v>
      </c>
      <c r="J271" s="170">
        <v>0</v>
      </c>
      <c r="L271">
        <f t="array" ref="L271:N273">SVDD(B271:D273)</f>
        <v>4.0916503347550481</v>
      </c>
      <c r="M271">
        <v>0</v>
      </c>
      <c r="N271">
        <v>0</v>
      </c>
      <c r="P271">
        <f t="shared" ref="P271" si="112">MAX(L271,M272,N273)/MIN(L271,M272,N273)</f>
        <v>7.5230904443487656</v>
      </c>
      <c r="R271" s="35">
        <f t="shared" ca="1" si="109"/>
        <v>7.1573490093416128</v>
      </c>
      <c r="U271" s="35"/>
      <c r="V271" s="35"/>
    </row>
    <row r="272" spans="1:22">
      <c r="A272" s="170" t="s">
        <v>281</v>
      </c>
      <c r="B272" s="171">
        <v>0.21871711292247331</v>
      </c>
      <c r="C272" s="171">
        <v>2.1363371502498802</v>
      </c>
      <c r="D272" s="171">
        <v>8.9790398854103559E-2</v>
      </c>
      <c r="E272" s="170">
        <v>0</v>
      </c>
      <c r="F272" s="170">
        <f>-$L$1</f>
        <v>-1.4990492230334603E-2</v>
      </c>
      <c r="G272" s="171">
        <v>0</v>
      </c>
      <c r="H272" s="171">
        <v>0</v>
      </c>
      <c r="I272" s="177">
        <f>-$N$1</f>
        <v>-4.7716218756768064E-3</v>
      </c>
      <c r="J272" s="170">
        <v>0</v>
      </c>
      <c r="L272">
        <v>0</v>
      </c>
      <c r="M272">
        <v>1.9320912570653299</v>
      </c>
      <c r="N272">
        <v>0</v>
      </c>
      <c r="R272" s="35">
        <f t="shared" ca="1" si="109"/>
        <v>3.4265372448109996</v>
      </c>
      <c r="U272" s="35"/>
      <c r="V272" s="35"/>
    </row>
    <row r="273" spans="1:22">
      <c r="A273" s="170"/>
      <c r="B273" s="171">
        <v>1.2284177840385118</v>
      </c>
      <c r="C273" s="171">
        <v>2.3993580133895418</v>
      </c>
      <c r="D273" s="171">
        <v>-0.6756623603325641</v>
      </c>
      <c r="E273" s="170">
        <v>0</v>
      </c>
      <c r="F273" s="171">
        <v>0</v>
      </c>
      <c r="G273" s="170">
        <f>-$L$1</f>
        <v>-1.4990492230334603E-2</v>
      </c>
      <c r="H273" s="171">
        <v>0</v>
      </c>
      <c r="I273" s="171">
        <v>0</v>
      </c>
      <c r="J273" s="177">
        <f>-$N$1</f>
        <v>-4.7716218756768064E-3</v>
      </c>
      <c r="L273">
        <v>0</v>
      </c>
      <c r="M273">
        <v>0</v>
      </c>
      <c r="N273">
        <v>0.54387892383091518</v>
      </c>
      <c r="R273" s="35">
        <f t="shared" ca="1" si="109"/>
        <v>12.100449578887144</v>
      </c>
      <c r="U273" s="35"/>
      <c r="V273" s="35"/>
    </row>
    <row r="274" spans="1:22">
      <c r="A274" s="170"/>
      <c r="B274" s="171"/>
      <c r="C274" s="171"/>
      <c r="D274" s="171"/>
      <c r="E274" s="170"/>
      <c r="F274" s="170"/>
      <c r="G274" s="170"/>
      <c r="H274" s="170"/>
      <c r="I274" s="170"/>
      <c r="J274" s="170"/>
      <c r="R274" s="35">
        <f t="shared" ca="1" si="109"/>
        <v>6.7197741867997447</v>
      </c>
      <c r="U274" s="35"/>
      <c r="V274" s="35"/>
    </row>
    <row r="275" spans="1:22">
      <c r="A275" s="170"/>
      <c r="B275" s="171">
        <v>2.6959782234951333</v>
      </c>
      <c r="C275" s="171">
        <v>1.0757798809975587</v>
      </c>
      <c r="D275" s="171">
        <v>4.997772423355884E-2</v>
      </c>
      <c r="E275" s="170">
        <f>-$L$1</f>
        <v>-1.4990492230334603E-2</v>
      </c>
      <c r="F275" s="171">
        <v>0</v>
      </c>
      <c r="G275" s="171">
        <v>0</v>
      </c>
      <c r="H275" s="177">
        <f>-$N$1</f>
        <v>-4.7716218756768064E-3</v>
      </c>
      <c r="I275" s="170">
        <v>0</v>
      </c>
      <c r="J275" s="170">
        <v>0</v>
      </c>
      <c r="L275">
        <f t="array" ref="L275:N277">SVDD(B275:D277)</f>
        <v>4.6511385224898145</v>
      </c>
      <c r="M275">
        <v>0</v>
      </c>
      <c r="N275">
        <v>0</v>
      </c>
      <c r="P275">
        <f t="shared" ref="P275" si="113">MAX(L275,M276,N277)/MIN(L275,M276,N277)</f>
        <v>13.005132427828926</v>
      </c>
      <c r="R275" s="35">
        <f t="shared" ca="1" si="109"/>
        <v>5.3162933238372769</v>
      </c>
      <c r="U275" s="35"/>
      <c r="V275" s="35"/>
    </row>
    <row r="276" spans="1:22">
      <c r="A276" s="170" t="s">
        <v>282</v>
      </c>
      <c r="B276" s="171">
        <v>1.8375474863113905</v>
      </c>
      <c r="C276" s="171">
        <v>2.1167426559988707</v>
      </c>
      <c r="D276" s="171">
        <v>1.2367606559382516E-2</v>
      </c>
      <c r="E276" s="170">
        <v>0</v>
      </c>
      <c r="F276" s="170">
        <f>-$L$1</f>
        <v>-1.4990492230334603E-2</v>
      </c>
      <c r="G276" s="171">
        <v>0</v>
      </c>
      <c r="H276" s="171">
        <v>0</v>
      </c>
      <c r="I276" s="177">
        <f>-$N$1</f>
        <v>-4.7716218756768064E-3</v>
      </c>
      <c r="J276" s="170">
        <v>0</v>
      </c>
      <c r="L276">
        <v>0</v>
      </c>
      <c r="M276">
        <v>1.498961529388092</v>
      </c>
      <c r="N276">
        <v>0</v>
      </c>
      <c r="R276" s="35">
        <f t="shared" ca="1" si="109"/>
        <v>6.5721137062563466</v>
      </c>
      <c r="U276" s="35"/>
      <c r="V276" s="35"/>
    </row>
    <row r="277" spans="1:22">
      <c r="A277" s="170"/>
      <c r="B277" s="171">
        <v>1.2284177840385118</v>
      </c>
      <c r="C277" s="171">
        <v>2.3993580133895418</v>
      </c>
      <c r="D277" s="171">
        <v>-0.6756623603325641</v>
      </c>
      <c r="E277" s="170">
        <v>0</v>
      </c>
      <c r="F277" s="171">
        <v>0</v>
      </c>
      <c r="G277" s="170">
        <f>-$L$1</f>
        <v>-1.4990492230334603E-2</v>
      </c>
      <c r="H277" s="171">
        <v>0</v>
      </c>
      <c r="I277" s="171">
        <v>0</v>
      </c>
      <c r="J277" s="177">
        <f>-$N$1</f>
        <v>-4.7716218756768064E-3</v>
      </c>
      <c r="L277">
        <v>0</v>
      </c>
      <c r="M277">
        <v>0</v>
      </c>
      <c r="N277">
        <v>0.35763868982503505</v>
      </c>
      <c r="R277" s="35">
        <f t="shared" ca="1" si="109"/>
        <v>11.385227489967416</v>
      </c>
      <c r="U277" s="35"/>
      <c r="V277" s="35"/>
    </row>
    <row r="278" spans="1:22">
      <c r="A278" s="170"/>
      <c r="B278" s="171"/>
      <c r="C278" s="171"/>
      <c r="D278" s="171"/>
      <c r="E278" s="170"/>
      <c r="F278" s="170"/>
      <c r="G278" s="170"/>
      <c r="H278" s="170"/>
      <c r="I278" s="170"/>
      <c r="J278" s="170"/>
      <c r="R278" s="35">
        <f t="shared" ca="1" si="109"/>
        <v>4.1936501463501141</v>
      </c>
      <c r="U278" s="35"/>
      <c r="V278" s="35"/>
    </row>
    <row r="279" spans="1:22">
      <c r="A279" s="170"/>
      <c r="B279" s="171">
        <v>0.21871711292247331</v>
      </c>
      <c r="C279" s="171">
        <v>2.1363371502498802</v>
      </c>
      <c r="D279" s="171">
        <v>8.9790398854103559E-2</v>
      </c>
      <c r="E279" s="170">
        <f>-$L$1</f>
        <v>-1.4990492230334603E-2</v>
      </c>
      <c r="F279" s="171">
        <v>0</v>
      </c>
      <c r="G279" s="171">
        <v>0</v>
      </c>
      <c r="H279" s="177">
        <f>-$N$1</f>
        <v>-4.7716218756768064E-3</v>
      </c>
      <c r="I279" s="170">
        <v>0</v>
      </c>
      <c r="J279" s="170">
        <v>0</v>
      </c>
      <c r="L279">
        <f t="array" ref="L279:N281">SVDD(B279:D281)</f>
        <v>4.3385476984630573</v>
      </c>
      <c r="M279">
        <v>0</v>
      </c>
      <c r="N279">
        <v>0</v>
      </c>
      <c r="P279">
        <f t="shared" ref="P279" si="114">MAX(L279,M280,N281)/MIN(L279,M280,N281)</f>
        <v>7.6469926989996724</v>
      </c>
      <c r="R279" s="35">
        <f t="shared" ca="1" si="109"/>
        <v>4.4300562065933597</v>
      </c>
      <c r="U279" s="35"/>
      <c r="V279" s="35"/>
    </row>
    <row r="280" spans="1:22">
      <c r="A280" s="170" t="s">
        <v>283</v>
      </c>
      <c r="B280" s="171">
        <v>1.8375474863113905</v>
      </c>
      <c r="C280" s="171">
        <v>2.1167426559988707</v>
      </c>
      <c r="D280" s="171">
        <v>1.2367606559382516E-2</v>
      </c>
      <c r="E280" s="170">
        <v>0</v>
      </c>
      <c r="F280" s="170">
        <f>-$L$1</f>
        <v>-1.4990492230334603E-2</v>
      </c>
      <c r="G280" s="171">
        <v>0</v>
      </c>
      <c r="H280" s="171">
        <v>0</v>
      </c>
      <c r="I280" s="177">
        <f>-$N$1</f>
        <v>-4.7716218756768064E-3</v>
      </c>
      <c r="J280" s="170">
        <v>0</v>
      </c>
      <c r="L280">
        <v>0</v>
      </c>
      <c r="M280">
        <v>1.0270013573546697</v>
      </c>
      <c r="N280">
        <v>0</v>
      </c>
      <c r="R280" s="35">
        <f t="shared" ca="1" si="109"/>
        <v>5.4697357909735507</v>
      </c>
      <c r="U280" s="35"/>
      <c r="V280" s="35"/>
    </row>
    <row r="281" spans="1:22">
      <c r="A281" s="170"/>
      <c r="B281" s="171">
        <v>1.2284177840385118</v>
      </c>
      <c r="C281" s="171">
        <v>2.3993580133895418</v>
      </c>
      <c r="D281" s="171">
        <v>-0.6756623603325641</v>
      </c>
      <c r="E281" s="170">
        <v>0</v>
      </c>
      <c r="F281" s="171">
        <v>0</v>
      </c>
      <c r="G281" s="170">
        <f>-$L$1</f>
        <v>-1.4990492230334603E-2</v>
      </c>
      <c r="H281" s="171">
        <v>0</v>
      </c>
      <c r="I281" s="171">
        <v>0</v>
      </c>
      <c r="J281" s="177">
        <f>-$N$1</f>
        <v>-4.7716218756768064E-3</v>
      </c>
      <c r="L281">
        <v>0</v>
      </c>
      <c r="M281">
        <v>0</v>
      </c>
      <c r="N281">
        <v>0.56735345111949653</v>
      </c>
      <c r="R281" s="35">
        <f t="shared" ca="1" si="109"/>
        <v>3.6876331792039538</v>
      </c>
      <c r="U281" s="35"/>
      <c r="V281" s="35"/>
    </row>
    <row r="282" spans="1:22">
      <c r="A282" s="170"/>
      <c r="B282" s="171"/>
      <c r="C282" s="171"/>
      <c r="D282" s="171"/>
      <c r="E282" s="170"/>
      <c r="F282" s="170"/>
      <c r="G282" s="170"/>
      <c r="H282" s="170"/>
      <c r="I282" s="170"/>
      <c r="J282" s="170"/>
      <c r="R282" s="35">
        <f t="shared" ca="1" si="109"/>
        <v>5.7586173410951851</v>
      </c>
      <c r="U282" s="35"/>
      <c r="V282" s="35"/>
    </row>
    <row r="283" spans="1:22">
      <c r="A283" s="170"/>
      <c r="B283" s="171">
        <v>-1.0419123890112216</v>
      </c>
      <c r="C283" s="171">
        <v>4.0818532431212473E-2</v>
      </c>
      <c r="D283" s="171">
        <v>-0.77248383184656022</v>
      </c>
      <c r="E283" s="170">
        <f>-$L$1</f>
        <v>-1.4990492230334603E-2</v>
      </c>
      <c r="F283" s="171">
        <v>0</v>
      </c>
      <c r="G283" s="171">
        <v>0</v>
      </c>
      <c r="H283" s="177">
        <f>-$N$1</f>
        <v>-4.7716218756768064E-3</v>
      </c>
      <c r="I283" s="170">
        <v>0</v>
      </c>
      <c r="J283" s="170">
        <v>0</v>
      </c>
      <c r="L283">
        <f t="array" ref="L283:N285">SVDD(B283:D285)</f>
        <v>3.5781313047309427</v>
      </c>
      <c r="M283">
        <v>0</v>
      </c>
      <c r="N283">
        <v>0</v>
      </c>
      <c r="P283">
        <f t="shared" ref="P283" si="115">MAX(L283,M284,N285)/MIN(L283,M284,N285)</f>
        <v>6.5447871116906784</v>
      </c>
      <c r="U283" s="35"/>
      <c r="V283" s="35"/>
    </row>
    <row r="284" spans="1:22">
      <c r="A284" s="170" t="s">
        <v>284</v>
      </c>
      <c r="B284" s="171">
        <v>-2.2957880185781296</v>
      </c>
      <c r="C284" s="171">
        <v>8.2263663034425338E-3</v>
      </c>
      <c r="D284" s="171">
        <v>-3.3137218009327896E-2</v>
      </c>
      <c r="E284" s="170">
        <v>0</v>
      </c>
      <c r="F284" s="170">
        <f>-$L$1</f>
        <v>-1.4990492230334603E-2</v>
      </c>
      <c r="G284" s="171">
        <v>0</v>
      </c>
      <c r="H284" s="171">
        <v>0</v>
      </c>
      <c r="I284" s="177">
        <f>-$N$1</f>
        <v>-4.7716218756768064E-3</v>
      </c>
      <c r="J284" s="170">
        <v>0</v>
      </c>
      <c r="L284">
        <v>0</v>
      </c>
      <c r="M284">
        <v>0.75190882273633219</v>
      </c>
      <c r="N284">
        <v>0</v>
      </c>
      <c r="U284" s="35"/>
      <c r="V284" s="35"/>
    </row>
    <row r="285" spans="1:22">
      <c r="A285" s="170"/>
      <c r="B285" s="171">
        <v>-2.44475956514645</v>
      </c>
      <c r="C285" s="171">
        <v>0.85548399177677847</v>
      </c>
      <c r="D285" s="171">
        <v>-5.2896656816179721E-2</v>
      </c>
      <c r="E285" s="170">
        <v>0</v>
      </c>
      <c r="F285" s="171">
        <v>0</v>
      </c>
      <c r="G285" s="170">
        <f>-$L$1</f>
        <v>-1.4990492230334603E-2</v>
      </c>
      <c r="H285" s="171">
        <v>0</v>
      </c>
      <c r="I285" s="171">
        <v>0</v>
      </c>
      <c r="J285" s="177">
        <f>-$N$1</f>
        <v>-4.7716218756768064E-3</v>
      </c>
      <c r="L285">
        <v>0</v>
      </c>
      <c r="M285">
        <v>0</v>
      </c>
      <c r="N285">
        <v>0.54671469731070044</v>
      </c>
      <c r="U285" s="35"/>
      <c r="V285" s="35"/>
    </row>
    <row r="286" spans="1:22">
      <c r="A286" s="170"/>
      <c r="B286" s="171"/>
      <c r="C286" s="171"/>
      <c r="D286" s="171"/>
      <c r="E286" s="170"/>
      <c r="F286" s="170"/>
      <c r="G286" s="170"/>
      <c r="H286" s="170"/>
      <c r="I286" s="170"/>
      <c r="J286" s="170"/>
      <c r="U286" s="35"/>
      <c r="V286" s="35"/>
    </row>
    <row r="287" spans="1:22">
      <c r="A287" s="170"/>
      <c r="B287" s="171">
        <v>-1.0419123890112216</v>
      </c>
      <c r="C287" s="171">
        <v>4.0818532431212473E-2</v>
      </c>
      <c r="D287" s="171">
        <v>-0.77248383184656022</v>
      </c>
      <c r="E287" s="170">
        <f>-$L$1</f>
        <v>-1.4990492230334603E-2</v>
      </c>
      <c r="F287" s="171">
        <v>0</v>
      </c>
      <c r="G287" s="171">
        <v>0</v>
      </c>
      <c r="H287" s="177">
        <f>-$N$1</f>
        <v>-4.7716218756768064E-3</v>
      </c>
      <c r="I287" s="170">
        <v>0</v>
      </c>
      <c r="J287" s="170">
        <v>0</v>
      </c>
      <c r="L287">
        <f t="array" ref="L287:N289">SVDD(B287:D289)</f>
        <v>2.5828469881223244</v>
      </c>
      <c r="M287">
        <v>0</v>
      </c>
      <c r="N287">
        <v>0</v>
      </c>
      <c r="P287">
        <f t="shared" ref="P287" si="116">MAX(L287,M288,N289)/MIN(L287,M288,N289)</f>
        <v>3.8029292847047502</v>
      </c>
      <c r="U287" s="35"/>
      <c r="V287" s="35"/>
    </row>
    <row r="288" spans="1:22">
      <c r="A288" s="170" t="s">
        <v>285</v>
      </c>
      <c r="B288" s="171">
        <v>-2.2957880185781296</v>
      </c>
      <c r="C288" s="171">
        <v>8.2263663034425338E-3</v>
      </c>
      <c r="D288" s="171">
        <v>-3.3137218009327896E-2</v>
      </c>
      <c r="E288" s="170">
        <v>0</v>
      </c>
      <c r="F288" s="170">
        <f>-$L$1</f>
        <v>-1.4990492230334603E-2</v>
      </c>
      <c r="G288" s="171">
        <v>0</v>
      </c>
      <c r="H288" s="171">
        <v>0</v>
      </c>
      <c r="I288" s="177">
        <f>-$N$1</f>
        <v>-4.7716218756768064E-3</v>
      </c>
      <c r="J288" s="170">
        <v>0</v>
      </c>
      <c r="L288">
        <v>0</v>
      </c>
      <c r="M288">
        <v>1.0765305422057647</v>
      </c>
      <c r="N288">
        <v>0</v>
      </c>
      <c r="U288" s="35"/>
      <c r="V288" s="35"/>
    </row>
    <row r="289" spans="1:22">
      <c r="A289" s="170"/>
      <c r="B289" s="171">
        <v>0.40019020491700363</v>
      </c>
      <c r="C289" s="171">
        <v>1.0840062473010013</v>
      </c>
      <c r="D289" s="171">
        <v>1.6840506224230944E-2</v>
      </c>
      <c r="E289" s="170">
        <v>0</v>
      </c>
      <c r="F289" s="171">
        <v>0</v>
      </c>
      <c r="G289" s="170">
        <f>-$L$1</f>
        <v>-1.4990492230334603E-2</v>
      </c>
      <c r="H289" s="171">
        <v>0</v>
      </c>
      <c r="I289" s="171">
        <v>0</v>
      </c>
      <c r="J289" s="177">
        <f>-$N$1</f>
        <v>-4.7716218756768064E-3</v>
      </c>
      <c r="L289">
        <v>0</v>
      </c>
      <c r="M289">
        <v>0</v>
      </c>
      <c r="N289">
        <v>0.67917302551757808</v>
      </c>
      <c r="U289" s="35"/>
      <c r="V289" s="35"/>
    </row>
    <row r="290" spans="1:22">
      <c r="A290" s="170"/>
      <c r="B290" s="171"/>
      <c r="C290" s="171"/>
      <c r="D290" s="171"/>
      <c r="E290" s="170"/>
      <c r="F290" s="170"/>
      <c r="G290" s="170"/>
      <c r="H290" s="170"/>
      <c r="I290" s="170"/>
      <c r="J290" s="170"/>
      <c r="U290" s="35"/>
      <c r="V290" s="35"/>
    </row>
    <row r="291" spans="1:22">
      <c r="A291" s="170"/>
      <c r="B291" s="171">
        <v>-1.0419123890112216</v>
      </c>
      <c r="C291" s="171">
        <v>4.0818532431212473E-2</v>
      </c>
      <c r="D291" s="171">
        <v>-0.77248383184656022</v>
      </c>
      <c r="E291" s="170">
        <f>-$L$1</f>
        <v>-1.4990492230334603E-2</v>
      </c>
      <c r="F291" s="171">
        <v>0</v>
      </c>
      <c r="G291" s="171">
        <v>0</v>
      </c>
      <c r="H291" s="177">
        <f>-$N$1</f>
        <v>-4.7716218756768064E-3</v>
      </c>
      <c r="I291" s="170">
        <v>0</v>
      </c>
      <c r="J291" s="170">
        <v>0</v>
      </c>
      <c r="L291">
        <f t="array" ref="L291:N293">SVDD(B291:D293)</f>
        <v>3.6205545793336671</v>
      </c>
      <c r="M291">
        <v>0</v>
      </c>
      <c r="N291">
        <v>0</v>
      </c>
      <c r="P291">
        <f t="shared" ref="P291" si="117">MAX(L291,M292,N293)/MIN(L291,M292,N293)</f>
        <v>5.3446407282175681</v>
      </c>
      <c r="U291" s="35"/>
      <c r="V291" s="35"/>
    </row>
    <row r="292" spans="1:22">
      <c r="A292" s="170" t="s">
        <v>286</v>
      </c>
      <c r="B292" s="171">
        <v>-2.2957880185781296</v>
      </c>
      <c r="C292" s="171">
        <v>8.2263663034425338E-3</v>
      </c>
      <c r="D292" s="171">
        <v>-3.3137218009327896E-2</v>
      </c>
      <c r="E292" s="170">
        <v>0</v>
      </c>
      <c r="F292" s="170">
        <f>-$L$1</f>
        <v>-1.4990492230334603E-2</v>
      </c>
      <c r="G292" s="171">
        <v>0</v>
      </c>
      <c r="H292" s="171">
        <v>0</v>
      </c>
      <c r="I292" s="177">
        <f>-$N$1</f>
        <v>-4.7716218756768064E-3</v>
      </c>
      <c r="J292" s="170">
        <v>0</v>
      </c>
      <c r="L292">
        <v>0</v>
      </c>
      <c r="M292">
        <v>1.5182433071297419</v>
      </c>
      <c r="N292">
        <v>0</v>
      </c>
      <c r="U292" s="35"/>
      <c r="V292" s="35"/>
    </row>
    <row r="293" spans="1:22">
      <c r="A293" s="170"/>
      <c r="B293" s="171">
        <v>-2.0770709056556562</v>
      </c>
      <c r="C293" s="171">
        <v>2.1445635165533226</v>
      </c>
      <c r="D293" s="171">
        <v>5.6653180844775664E-2</v>
      </c>
      <c r="E293" s="170">
        <v>0</v>
      </c>
      <c r="F293" s="171">
        <v>0</v>
      </c>
      <c r="G293" s="170">
        <f>-$L$1</f>
        <v>-1.4990492230334603E-2</v>
      </c>
      <c r="H293" s="171">
        <v>0</v>
      </c>
      <c r="I293" s="171">
        <v>0</v>
      </c>
      <c r="J293" s="177">
        <f>-$N$1</f>
        <v>-4.7716218756768064E-3</v>
      </c>
      <c r="L293">
        <v>0</v>
      </c>
      <c r="M293">
        <v>0</v>
      </c>
      <c r="N293">
        <v>0.67741776546711274</v>
      </c>
      <c r="U293" s="35"/>
      <c r="V293" s="35"/>
    </row>
    <row r="294" spans="1:22">
      <c r="A294" s="170"/>
      <c r="B294" s="171"/>
      <c r="C294" s="171"/>
      <c r="D294" s="171"/>
      <c r="E294" s="170"/>
      <c r="F294" s="170"/>
      <c r="G294" s="170"/>
      <c r="H294" s="170"/>
      <c r="I294" s="170"/>
      <c r="J294" s="170"/>
      <c r="U294" s="35"/>
      <c r="V294" s="35"/>
    </row>
    <row r="295" spans="1:22">
      <c r="A295" s="170"/>
      <c r="B295" s="171">
        <v>-1.0419123890112216</v>
      </c>
      <c r="C295" s="171">
        <v>4.0818532431212473E-2</v>
      </c>
      <c r="D295" s="171">
        <v>-0.77248383184656022</v>
      </c>
      <c r="E295" s="170">
        <f>-$L$1</f>
        <v>-1.4990492230334603E-2</v>
      </c>
      <c r="F295" s="171">
        <v>0</v>
      </c>
      <c r="G295" s="171">
        <v>0</v>
      </c>
      <c r="H295" s="177">
        <f>-$N$1</f>
        <v>-4.7716218756768064E-3</v>
      </c>
      <c r="I295" s="170">
        <v>0</v>
      </c>
      <c r="J295" s="170">
        <v>0</v>
      </c>
      <c r="L295">
        <f t="array" ref="L295:N297">SVDD(B295:D297)</f>
        <v>2.6664170364866213</v>
      </c>
      <c r="M295">
        <v>0</v>
      </c>
      <c r="N295">
        <v>0</v>
      </c>
      <c r="P295">
        <f t="shared" ref="P295" si="118">MAX(L295,M296,N297)/MIN(L295,M296,N297)</f>
        <v>3.9026598544515507</v>
      </c>
      <c r="U295" s="35"/>
      <c r="V295" s="35"/>
    </row>
    <row r="296" spans="1:22">
      <c r="A296" s="170" t="s">
        <v>287</v>
      </c>
      <c r="B296" s="171">
        <v>-2.2957880185781296</v>
      </c>
      <c r="C296" s="171">
        <v>8.2263663034425338E-3</v>
      </c>
      <c r="D296" s="171">
        <v>-3.3137218009327896E-2</v>
      </c>
      <c r="E296" s="170">
        <v>0</v>
      </c>
      <c r="F296" s="170">
        <f>-$L$1</f>
        <v>-1.4990492230334603E-2</v>
      </c>
      <c r="G296" s="171">
        <v>0</v>
      </c>
      <c r="H296" s="171">
        <v>0</v>
      </c>
      <c r="I296" s="177">
        <f>-$N$1</f>
        <v>-4.7716218756768064E-3</v>
      </c>
      <c r="J296" s="170">
        <v>0</v>
      </c>
      <c r="L296">
        <v>0</v>
      </c>
      <c r="M296">
        <v>2.0261076787102072</v>
      </c>
      <c r="N296">
        <v>0</v>
      </c>
      <c r="U296" s="35"/>
      <c r="V296" s="35"/>
    </row>
    <row r="297" spans="1:22">
      <c r="A297" s="170"/>
      <c r="B297" s="171">
        <v>-0.45824053226673911</v>
      </c>
      <c r="C297" s="171">
        <v>2.124969022302313</v>
      </c>
      <c r="D297" s="171">
        <v>-2.076961144994538E-2</v>
      </c>
      <c r="E297" s="170">
        <v>0</v>
      </c>
      <c r="F297" s="171">
        <v>0</v>
      </c>
      <c r="G297" s="170">
        <f>-$L$1</f>
        <v>-1.4990492230334603E-2</v>
      </c>
      <c r="H297" s="171">
        <v>0</v>
      </c>
      <c r="I297" s="171">
        <v>0</v>
      </c>
      <c r="J297" s="177">
        <f>-$N$1</f>
        <v>-4.7716218756768064E-3</v>
      </c>
      <c r="L297">
        <v>0</v>
      </c>
      <c r="M297">
        <v>0</v>
      </c>
      <c r="N297">
        <v>0.68323070314344336</v>
      </c>
      <c r="U297" s="35"/>
      <c r="V297" s="35"/>
    </row>
    <row r="298" spans="1:22">
      <c r="A298" s="170"/>
      <c r="B298" s="171"/>
      <c r="C298" s="171"/>
      <c r="D298" s="171"/>
      <c r="E298" s="170"/>
      <c r="F298" s="170"/>
      <c r="G298" s="170"/>
      <c r="H298" s="170"/>
      <c r="I298" s="170"/>
      <c r="J298" s="170"/>
      <c r="U298" s="35"/>
      <c r="V298" s="35"/>
    </row>
    <row r="299" spans="1:22">
      <c r="A299" s="170"/>
      <c r="B299" s="171">
        <v>-1.0419123890112216</v>
      </c>
      <c r="C299" s="171">
        <v>4.0818532431212473E-2</v>
      </c>
      <c r="D299" s="171">
        <v>-0.77248383184656022</v>
      </c>
      <c r="E299" s="170">
        <f>-$L$1</f>
        <v>-1.4990492230334603E-2</v>
      </c>
      <c r="F299" s="171">
        <v>0</v>
      </c>
      <c r="G299" s="171">
        <v>0</v>
      </c>
      <c r="H299" s="177">
        <f>-$N$1</f>
        <v>-4.7716218756768064E-3</v>
      </c>
      <c r="I299" s="170">
        <v>0</v>
      </c>
      <c r="J299" s="170">
        <v>0</v>
      </c>
      <c r="L299">
        <f t="array" ref="L299:N301">SVDD(B299:D301)</f>
        <v>3.1671013082984278</v>
      </c>
      <c r="M299">
        <v>0</v>
      </c>
      <c r="N299">
        <v>0</v>
      </c>
      <c r="P299">
        <f t="shared" ref="P299" si="119">MAX(L299,M300,N301)/MIN(L299,M300,N301)</f>
        <v>4.8270811041221897</v>
      </c>
      <c r="U299" s="35"/>
      <c r="V299" s="35"/>
    </row>
    <row r="300" spans="1:22">
      <c r="A300" s="170" t="s">
        <v>288</v>
      </c>
      <c r="B300" s="171">
        <v>-2.2957880185781296</v>
      </c>
      <c r="C300" s="171">
        <v>8.2263663034425338E-3</v>
      </c>
      <c r="D300" s="171">
        <v>-3.3137218009327896E-2</v>
      </c>
      <c r="E300" s="170">
        <v>0</v>
      </c>
      <c r="F300" s="170">
        <f>-$L$1</f>
        <v>-1.4990492230334603E-2</v>
      </c>
      <c r="G300" s="171">
        <v>0</v>
      </c>
      <c r="H300" s="171">
        <v>0</v>
      </c>
      <c r="I300" s="177">
        <f>-$N$1</f>
        <v>-4.7716218756768064E-3</v>
      </c>
      <c r="J300" s="170">
        <v>0</v>
      </c>
      <c r="L300">
        <v>0</v>
      </c>
      <c r="M300">
        <v>1.983157433695605</v>
      </c>
      <c r="N300">
        <v>0</v>
      </c>
      <c r="U300" s="35"/>
      <c r="V300" s="35"/>
    </row>
    <row r="301" spans="1:22">
      <c r="A301" s="170"/>
      <c r="B301" s="171">
        <v>-1.0673702345396179</v>
      </c>
      <c r="C301" s="171">
        <v>2.4075843796929846</v>
      </c>
      <c r="D301" s="171">
        <v>-0.708799578341892</v>
      </c>
      <c r="E301" s="170">
        <v>0</v>
      </c>
      <c r="F301" s="171">
        <v>0</v>
      </c>
      <c r="G301" s="170">
        <f>-$L$1</f>
        <v>-1.4990492230334603E-2</v>
      </c>
      <c r="H301" s="171">
        <v>0</v>
      </c>
      <c r="I301" s="171">
        <v>0</v>
      </c>
      <c r="J301" s="177">
        <f>-$N$1</f>
        <v>-4.7716218756768064E-3</v>
      </c>
      <c r="L301">
        <v>0</v>
      </c>
      <c r="M301">
        <v>0</v>
      </c>
      <c r="N301">
        <v>0.65611106173331413</v>
      </c>
      <c r="U301" s="35"/>
      <c r="V301" s="35"/>
    </row>
    <row r="302" spans="1:22">
      <c r="A302" s="170"/>
      <c r="B302" s="171"/>
      <c r="C302" s="171"/>
      <c r="D302" s="171"/>
      <c r="E302" s="170"/>
      <c r="F302" s="170"/>
      <c r="G302" s="170"/>
      <c r="H302" s="170"/>
      <c r="I302" s="170"/>
      <c r="J302" s="170"/>
      <c r="U302" s="35"/>
      <c r="V302" s="35"/>
    </row>
    <row r="303" spans="1:22">
      <c r="A303" s="170"/>
      <c r="B303" s="171">
        <v>-1.0419123890112216</v>
      </c>
      <c r="C303" s="171">
        <v>4.0818532431212473E-2</v>
      </c>
      <c r="D303" s="171">
        <v>-0.77248383184656022</v>
      </c>
      <c r="E303" s="170">
        <f>-$L$1</f>
        <v>-1.4990492230334603E-2</v>
      </c>
      <c r="F303" s="171">
        <v>0</v>
      </c>
      <c r="G303" s="171">
        <v>0</v>
      </c>
      <c r="H303" s="177">
        <f>-$N$1</f>
        <v>-4.7716218756768064E-3</v>
      </c>
      <c r="I303" s="170">
        <v>0</v>
      </c>
      <c r="J303" s="170">
        <v>0</v>
      </c>
      <c r="L303">
        <f t="array" ref="L303:N305">SVDD(B303:D305)</f>
        <v>2.7994495588471877</v>
      </c>
      <c r="M303">
        <v>0</v>
      </c>
      <c r="N303">
        <v>0</v>
      </c>
      <c r="P303">
        <f t="shared" ref="P303" si="120">MAX(L303,M304,N305)/MIN(L303,M304,N305)</f>
        <v>4.2243239500446652</v>
      </c>
      <c r="U303" s="35"/>
      <c r="V303" s="35"/>
    </row>
    <row r="304" spans="1:22">
      <c r="A304" s="170" t="s">
        <v>289</v>
      </c>
      <c r="B304" s="171">
        <v>-2.44475956514645</v>
      </c>
      <c r="C304" s="171">
        <v>0.85548399177677847</v>
      </c>
      <c r="D304" s="171">
        <v>-5.2896656816179721E-2</v>
      </c>
      <c r="E304" s="170">
        <v>0</v>
      </c>
      <c r="F304" s="170">
        <f>-$L$1</f>
        <v>-1.4990492230334603E-2</v>
      </c>
      <c r="G304" s="171">
        <v>0</v>
      </c>
      <c r="H304" s="171">
        <v>0</v>
      </c>
      <c r="I304" s="177">
        <f>-$N$1</f>
        <v>-4.7716218756768064E-3</v>
      </c>
      <c r="J304" s="170">
        <v>0</v>
      </c>
      <c r="L304">
        <v>0</v>
      </c>
      <c r="M304">
        <v>1.206191707417708</v>
      </c>
      <c r="N304">
        <v>0</v>
      </c>
      <c r="U304" s="35"/>
      <c r="V304" s="35"/>
    </row>
    <row r="305" spans="1:16">
      <c r="A305" s="170"/>
      <c r="B305" s="171">
        <v>0.40019020491700363</v>
      </c>
      <c r="C305" s="171">
        <v>1.0840062473010013</v>
      </c>
      <c r="D305" s="171">
        <v>1.6840506224230944E-2</v>
      </c>
      <c r="E305" s="170">
        <v>0</v>
      </c>
      <c r="F305" s="171">
        <v>0</v>
      </c>
      <c r="G305" s="170">
        <f>-$L$1</f>
        <v>-1.4990492230334603E-2</v>
      </c>
      <c r="H305" s="171">
        <v>0</v>
      </c>
      <c r="I305" s="171">
        <v>0</v>
      </c>
      <c r="J305" s="177">
        <f>-$N$1</f>
        <v>-4.7716218756768064E-3</v>
      </c>
      <c r="L305">
        <v>0</v>
      </c>
      <c r="M305">
        <v>0</v>
      </c>
      <c r="N305">
        <v>0.66269765102119782</v>
      </c>
    </row>
    <row r="306" spans="1:16">
      <c r="A306" s="170"/>
      <c r="B306" s="171"/>
      <c r="C306" s="171"/>
      <c r="D306" s="171"/>
      <c r="E306" s="170"/>
      <c r="F306" s="170"/>
      <c r="G306" s="170"/>
      <c r="H306" s="170"/>
      <c r="I306" s="170"/>
      <c r="J306" s="170"/>
    </row>
    <row r="307" spans="1:16">
      <c r="A307" s="170"/>
      <c r="B307" s="171">
        <v>-1.0419123890112216</v>
      </c>
      <c r="C307" s="171">
        <v>4.0818532431212473E-2</v>
      </c>
      <c r="D307" s="171">
        <v>-0.77248383184656022</v>
      </c>
      <c r="E307" s="170">
        <f>-$L$1</f>
        <v>-1.4990492230334603E-2</v>
      </c>
      <c r="F307" s="171">
        <v>0</v>
      </c>
      <c r="G307" s="171">
        <v>0</v>
      </c>
      <c r="H307" s="177">
        <f>-$N$1</f>
        <v>-4.7716218756768064E-3</v>
      </c>
      <c r="I307" s="170">
        <v>0</v>
      </c>
      <c r="J307" s="170">
        <v>0</v>
      </c>
      <c r="L307">
        <f t="array" ref="L307:N309">SVDD(B307:D309)</f>
        <v>3.9537771225351452</v>
      </c>
      <c r="M307">
        <v>0</v>
      </c>
      <c r="N307">
        <v>0</v>
      </c>
      <c r="P307">
        <f t="shared" ref="P307" si="121">MAX(L307,M308,N309)/MIN(L307,M308,N309)</f>
        <v>7.309134947611736</v>
      </c>
    </row>
    <row r="308" spans="1:16">
      <c r="A308" s="170" t="s">
        <v>290</v>
      </c>
      <c r="B308" s="171">
        <v>-2.44475956514645</v>
      </c>
      <c r="C308" s="171">
        <v>0.85548399177677847</v>
      </c>
      <c r="D308" s="171">
        <v>-5.2896656816179721E-2</v>
      </c>
      <c r="E308" s="170">
        <v>0</v>
      </c>
      <c r="F308" s="170">
        <f>-$L$1</f>
        <v>-1.4990492230334603E-2</v>
      </c>
      <c r="G308" s="171">
        <v>0</v>
      </c>
      <c r="H308" s="171">
        <v>0</v>
      </c>
      <c r="I308" s="177">
        <f>-$N$1</f>
        <v>-4.7716218756768064E-3</v>
      </c>
      <c r="J308" s="170">
        <v>0</v>
      </c>
      <c r="L308">
        <v>0</v>
      </c>
      <c r="M308">
        <v>1.1777517496244334</v>
      </c>
      <c r="N308">
        <v>0</v>
      </c>
    </row>
    <row r="309" spans="1:16">
      <c r="A309" s="170"/>
      <c r="B309" s="171">
        <v>-2.0770709056556562</v>
      </c>
      <c r="C309" s="171">
        <v>2.1445635165533226</v>
      </c>
      <c r="D309" s="171">
        <v>5.6653180844775664E-2</v>
      </c>
      <c r="E309" s="170">
        <v>0</v>
      </c>
      <c r="F309" s="171">
        <v>0</v>
      </c>
      <c r="G309" s="170">
        <f>-$L$1</f>
        <v>-1.4990492230334603E-2</v>
      </c>
      <c r="H309" s="171">
        <v>0</v>
      </c>
      <c r="I309" s="171">
        <v>0</v>
      </c>
      <c r="J309" s="177">
        <f>-$N$1</f>
        <v>-4.7716218756768064E-3</v>
      </c>
      <c r="L309">
        <v>0</v>
      </c>
      <c r="M309">
        <v>0</v>
      </c>
      <c r="N309">
        <v>0.54093639683408012</v>
      </c>
    </row>
    <row r="310" spans="1:16">
      <c r="A310" s="170"/>
      <c r="B310" s="171"/>
      <c r="C310" s="171"/>
      <c r="D310" s="171"/>
      <c r="E310" s="170"/>
      <c r="F310" s="170"/>
      <c r="G310" s="170"/>
      <c r="H310" s="170"/>
      <c r="I310" s="170"/>
      <c r="J310" s="170"/>
    </row>
    <row r="311" spans="1:16">
      <c r="A311" s="170"/>
      <c r="B311" s="171">
        <v>-1.0419123890112216</v>
      </c>
      <c r="C311" s="171">
        <v>4.0818532431212473E-2</v>
      </c>
      <c r="D311" s="171">
        <v>-0.77248383184656022</v>
      </c>
      <c r="E311" s="170">
        <f>-$L$1</f>
        <v>-1.4990492230334603E-2</v>
      </c>
      <c r="F311" s="171">
        <v>0</v>
      </c>
      <c r="G311" s="171">
        <v>0</v>
      </c>
      <c r="H311" s="177">
        <f>-$N$1</f>
        <v>-4.7716218756768064E-3</v>
      </c>
      <c r="I311" s="170">
        <v>0</v>
      </c>
      <c r="J311" s="170">
        <v>0</v>
      </c>
      <c r="L311">
        <f t="array" ref="L311:N313">SVDD(B311:D313)</f>
        <v>3.0994509239989414</v>
      </c>
      <c r="M311">
        <v>0</v>
      </c>
      <c r="N311">
        <v>0</v>
      </c>
      <c r="P311">
        <f t="shared" ref="P311" si="122">MAX(L311,M312,N313)/MIN(L311,M312,N313)</f>
        <v>4.6643551181710254</v>
      </c>
    </row>
    <row r="312" spans="1:16">
      <c r="A312" s="170" t="s">
        <v>291</v>
      </c>
      <c r="B312" s="171">
        <v>-2.44475956514645</v>
      </c>
      <c r="C312" s="171">
        <v>0.85548399177677847</v>
      </c>
      <c r="D312" s="171">
        <v>-5.2896656816179721E-2</v>
      </c>
      <c r="E312" s="170">
        <v>0</v>
      </c>
      <c r="F312" s="170">
        <f>-$L$1</f>
        <v>-1.4990492230334603E-2</v>
      </c>
      <c r="G312" s="171">
        <v>0</v>
      </c>
      <c r="H312" s="171">
        <v>0</v>
      </c>
      <c r="I312" s="177">
        <f>-$N$1</f>
        <v>-4.7716218756768064E-3</v>
      </c>
      <c r="J312" s="170">
        <v>0</v>
      </c>
      <c r="L312">
        <v>0</v>
      </c>
      <c r="M312">
        <v>1.7530646433592028</v>
      </c>
      <c r="N312">
        <v>0</v>
      </c>
    </row>
    <row r="313" spans="1:16">
      <c r="A313" s="170"/>
      <c r="B313" s="171">
        <v>-0.45824053226673911</v>
      </c>
      <c r="C313" s="171">
        <v>2.124969022302313</v>
      </c>
      <c r="D313" s="171">
        <v>-2.076961144994538E-2</v>
      </c>
      <c r="E313" s="170">
        <v>0</v>
      </c>
      <c r="F313" s="171">
        <v>0</v>
      </c>
      <c r="G313" s="170">
        <f>-$L$1</f>
        <v>-1.4990492230334603E-2</v>
      </c>
      <c r="H313" s="171">
        <v>0</v>
      </c>
      <c r="I313" s="171">
        <v>0</v>
      </c>
      <c r="J313" s="177">
        <f>-$N$1</f>
        <v>-4.7716218756768064E-3</v>
      </c>
      <c r="L313">
        <v>0</v>
      </c>
      <c r="M313">
        <v>0</v>
      </c>
      <c r="N313">
        <v>0.66449720175128724</v>
      </c>
    </row>
    <row r="314" spans="1:16">
      <c r="A314" s="170"/>
      <c r="B314" s="171"/>
      <c r="C314" s="171"/>
      <c r="D314" s="171"/>
      <c r="E314" s="170"/>
      <c r="F314" s="170"/>
      <c r="G314" s="170"/>
      <c r="H314" s="170"/>
      <c r="I314" s="170"/>
      <c r="J314" s="170"/>
    </row>
    <row r="315" spans="1:16">
      <c r="A315" s="170"/>
      <c r="B315" s="171">
        <v>-1.0419123890112216</v>
      </c>
      <c r="C315" s="171">
        <v>4.0818532431212473E-2</v>
      </c>
      <c r="D315" s="171">
        <v>-0.77248383184656022</v>
      </c>
      <c r="E315" s="170">
        <f>-$L$1</f>
        <v>-1.4990492230334603E-2</v>
      </c>
      <c r="F315" s="171">
        <v>0</v>
      </c>
      <c r="G315" s="171">
        <v>0</v>
      </c>
      <c r="H315" s="177">
        <f>-$N$1</f>
        <v>-4.7716218756768064E-3</v>
      </c>
      <c r="I315" s="170">
        <v>0</v>
      </c>
      <c r="J315" s="170">
        <v>0</v>
      </c>
      <c r="L315">
        <f t="array" ref="L315:N317">SVDD(B315:D317)</f>
        <v>3.5579933098072942</v>
      </c>
      <c r="M315">
        <v>0</v>
      </c>
      <c r="N315">
        <v>0</v>
      </c>
      <c r="P315">
        <f t="shared" ref="P315" si="123">MAX(L315,M316,N317)/MIN(L315,M316,N317)</f>
        <v>4.8011093563140337</v>
      </c>
    </row>
    <row r="316" spans="1:16">
      <c r="A316" s="170" t="s">
        <v>292</v>
      </c>
      <c r="B316" s="171">
        <v>-2.44475956514645</v>
      </c>
      <c r="C316" s="171">
        <v>0.85548399177677847</v>
      </c>
      <c r="D316" s="171">
        <v>-5.2896656816179721E-2</v>
      </c>
      <c r="E316" s="170">
        <v>0</v>
      </c>
      <c r="F316" s="170">
        <f>-$L$1</f>
        <v>-1.4990492230334603E-2</v>
      </c>
      <c r="G316" s="171">
        <v>0</v>
      </c>
      <c r="H316" s="171">
        <v>0</v>
      </c>
      <c r="I316" s="177">
        <f>-$N$1</f>
        <v>-4.7716218756768064E-3</v>
      </c>
      <c r="J316" s="170">
        <v>0</v>
      </c>
      <c r="L316">
        <v>0</v>
      </c>
      <c r="M316">
        <v>1.6202177935825512</v>
      </c>
      <c r="N316">
        <v>0</v>
      </c>
    </row>
    <row r="317" spans="1:16">
      <c r="A317" s="170"/>
      <c r="B317" s="171">
        <v>-1.0673702345396179</v>
      </c>
      <c r="C317" s="171">
        <v>2.4075843796929846</v>
      </c>
      <c r="D317" s="171">
        <v>-0.708799578341892</v>
      </c>
      <c r="E317" s="170">
        <v>0</v>
      </c>
      <c r="F317" s="171">
        <v>0</v>
      </c>
      <c r="G317" s="170">
        <f>-$L$1</f>
        <v>-1.4990492230334603E-2</v>
      </c>
      <c r="H317" s="171">
        <v>0</v>
      </c>
      <c r="I317" s="171">
        <v>0</v>
      </c>
      <c r="J317" s="177">
        <f>-$N$1</f>
        <v>-4.7716218756768064E-3</v>
      </c>
      <c r="L317">
        <v>0</v>
      </c>
      <c r="M317">
        <v>0</v>
      </c>
      <c r="N317">
        <v>0.74107733145634502</v>
      </c>
    </row>
    <row r="318" spans="1:16">
      <c r="A318" s="170"/>
      <c r="B318" s="171"/>
      <c r="C318" s="171"/>
      <c r="D318" s="171"/>
      <c r="E318" s="170"/>
      <c r="F318" s="170"/>
      <c r="G318" s="170"/>
      <c r="H318" s="170"/>
      <c r="I318" s="170"/>
      <c r="J318" s="170"/>
    </row>
    <row r="319" spans="1:16">
      <c r="A319" s="170"/>
      <c r="B319" s="171">
        <v>-1.0419123890112216</v>
      </c>
      <c r="C319" s="171">
        <v>4.0818532431212473E-2</v>
      </c>
      <c r="D319" s="171">
        <v>-0.77248383184656022</v>
      </c>
      <c r="E319" s="170">
        <f>-$L$1</f>
        <v>-1.4990492230334603E-2</v>
      </c>
      <c r="F319" s="171">
        <v>0</v>
      </c>
      <c r="G319" s="171">
        <v>0</v>
      </c>
      <c r="H319" s="177">
        <f>-$N$1</f>
        <v>-4.7716218756768064E-3</v>
      </c>
      <c r="I319" s="170">
        <v>0</v>
      </c>
      <c r="J319" s="170">
        <v>0</v>
      </c>
      <c r="L319">
        <f t="array" ref="L319:N321">SVDD(B319:D321)</f>
        <v>3.1226005367777039</v>
      </c>
      <c r="M319">
        <v>0</v>
      </c>
      <c r="N319">
        <v>0</v>
      </c>
      <c r="P319">
        <f t="shared" ref="P319" si="124">MAX(L319,M320,N321)/MIN(L319,M320,N321)</f>
        <v>5.4695394540896514</v>
      </c>
    </row>
    <row r="320" spans="1:16">
      <c r="A320" s="170" t="s">
        <v>293</v>
      </c>
      <c r="B320" s="171">
        <v>0.40019020491700363</v>
      </c>
      <c r="C320" s="171">
        <v>1.0840062473010013</v>
      </c>
      <c r="D320" s="171">
        <v>1.6840506224230944E-2</v>
      </c>
      <c r="E320" s="170">
        <v>0</v>
      </c>
      <c r="F320" s="170">
        <f>-$L$1</f>
        <v>-1.4990492230334603E-2</v>
      </c>
      <c r="G320" s="171">
        <v>0</v>
      </c>
      <c r="H320" s="171">
        <v>0</v>
      </c>
      <c r="I320" s="177">
        <f>-$N$1</f>
        <v>-4.7716218756768064E-3</v>
      </c>
      <c r="J320" s="170">
        <v>0</v>
      </c>
      <c r="L320">
        <v>0</v>
      </c>
      <c r="M320">
        <v>1.3636350808808586</v>
      </c>
      <c r="N320">
        <v>0</v>
      </c>
    </row>
    <row r="321" spans="1:16">
      <c r="A321" s="170"/>
      <c r="B321" s="171">
        <v>-2.0770709056556562</v>
      </c>
      <c r="C321" s="171">
        <v>2.1445635165533226</v>
      </c>
      <c r="D321" s="171">
        <v>5.6653180844775664E-2</v>
      </c>
      <c r="E321" s="170">
        <v>0</v>
      </c>
      <c r="F321" s="171">
        <v>0</v>
      </c>
      <c r="G321" s="170">
        <f>-$L$1</f>
        <v>-1.4990492230334603E-2</v>
      </c>
      <c r="H321" s="171">
        <v>0</v>
      </c>
      <c r="I321" s="171">
        <v>0</v>
      </c>
      <c r="J321" s="177">
        <f>-$N$1</f>
        <v>-4.7716218756768064E-3</v>
      </c>
      <c r="L321">
        <v>0</v>
      </c>
      <c r="M321">
        <v>0</v>
      </c>
      <c r="N321">
        <v>0.57090739777786803</v>
      </c>
    </row>
    <row r="322" spans="1:16">
      <c r="A322" s="170"/>
      <c r="B322" s="171"/>
      <c r="C322" s="171"/>
      <c r="D322" s="171"/>
      <c r="E322" s="170"/>
      <c r="F322" s="170"/>
      <c r="G322" s="170"/>
      <c r="H322" s="170"/>
      <c r="I322" s="170"/>
      <c r="J322" s="170"/>
    </row>
    <row r="323" spans="1:16">
      <c r="A323" s="170"/>
      <c r="B323" s="171">
        <v>-1.0419123890112216</v>
      </c>
      <c r="C323" s="171">
        <v>4.0818532431212473E-2</v>
      </c>
      <c r="D323" s="171">
        <v>-0.77248383184656022</v>
      </c>
      <c r="E323" s="170">
        <f>-$L$1</f>
        <v>-1.4990492230334603E-2</v>
      </c>
      <c r="F323" s="171">
        <v>0</v>
      </c>
      <c r="G323" s="171">
        <v>0</v>
      </c>
      <c r="H323" s="177">
        <f>-$N$1</f>
        <v>-4.7716218756768064E-3</v>
      </c>
      <c r="I323" s="170">
        <v>0</v>
      </c>
      <c r="J323" s="170">
        <v>0</v>
      </c>
      <c r="L323">
        <f t="array" ref="L323:N325">SVDD(B323:D325)</f>
        <v>2.4034095782008333</v>
      </c>
      <c r="M323">
        <v>0</v>
      </c>
      <c r="N323">
        <v>0</v>
      </c>
      <c r="P323">
        <f t="shared" ref="P323" si="125">MAX(L323,M324,N325)/MIN(L323,M324,N325)</f>
        <v>8.0842653543142653</v>
      </c>
    </row>
    <row r="324" spans="1:16">
      <c r="A324" s="170" t="s">
        <v>294</v>
      </c>
      <c r="B324" s="171">
        <v>0.40019020491700363</v>
      </c>
      <c r="C324" s="171">
        <v>1.0840062473010013</v>
      </c>
      <c r="D324" s="171">
        <v>1.6840506224230944E-2</v>
      </c>
      <c r="E324" s="170">
        <v>0</v>
      </c>
      <c r="F324" s="170">
        <f>-$L$1</f>
        <v>-1.4990492230334603E-2</v>
      </c>
      <c r="G324" s="171">
        <v>0</v>
      </c>
      <c r="H324" s="171">
        <v>0</v>
      </c>
      <c r="I324" s="177">
        <f>-$N$1</f>
        <v>-4.7716218756768064E-3</v>
      </c>
      <c r="J324" s="170">
        <v>0</v>
      </c>
      <c r="L324">
        <v>0</v>
      </c>
      <c r="M324">
        <v>1.3713611998384385</v>
      </c>
      <c r="N324">
        <v>0</v>
      </c>
    </row>
    <row r="325" spans="1:16">
      <c r="A325" s="170"/>
      <c r="B325" s="171">
        <v>-0.45824053226673911</v>
      </c>
      <c r="C325" s="171">
        <v>2.124969022302313</v>
      </c>
      <c r="D325" s="171">
        <v>-2.076961144994538E-2</v>
      </c>
      <c r="E325" s="170">
        <v>0</v>
      </c>
      <c r="F325" s="171">
        <v>0</v>
      </c>
      <c r="G325" s="170">
        <f>-$L$1</f>
        <v>-1.4990492230334603E-2</v>
      </c>
      <c r="H325" s="171">
        <v>0</v>
      </c>
      <c r="I325" s="171">
        <v>0</v>
      </c>
      <c r="J325" s="177">
        <f>-$N$1</f>
        <v>-4.7716218756768064E-3</v>
      </c>
      <c r="L325">
        <v>0</v>
      </c>
      <c r="M325">
        <v>0</v>
      </c>
      <c r="N325">
        <v>0.2972947414347582</v>
      </c>
    </row>
    <row r="326" spans="1:16">
      <c r="A326" s="170"/>
      <c r="B326" s="171"/>
      <c r="C326" s="171"/>
      <c r="D326" s="171"/>
      <c r="E326" s="170"/>
      <c r="F326" s="170"/>
      <c r="G326" s="170"/>
      <c r="H326" s="170"/>
      <c r="I326" s="170"/>
      <c r="J326" s="170"/>
    </row>
    <row r="327" spans="1:16">
      <c r="A327" s="170"/>
      <c r="B327" s="171">
        <v>-1.0419123890112216</v>
      </c>
      <c r="C327" s="171">
        <v>4.0818532431212473E-2</v>
      </c>
      <c r="D327" s="171">
        <v>-0.77248383184656022</v>
      </c>
      <c r="E327" s="170">
        <f>-$L$1</f>
        <v>-1.4990492230334603E-2</v>
      </c>
      <c r="F327" s="171">
        <v>0</v>
      </c>
      <c r="G327" s="171">
        <v>0</v>
      </c>
      <c r="H327" s="177">
        <f>-$N$1</f>
        <v>-4.7716218756768064E-3</v>
      </c>
      <c r="I327" s="170">
        <v>0</v>
      </c>
      <c r="J327" s="170">
        <v>0</v>
      </c>
      <c r="L327">
        <f t="array" ref="L327:N329">SVDD(B327:D329)</f>
        <v>2.9142986827969022</v>
      </c>
      <c r="M327">
        <v>0</v>
      </c>
      <c r="N327">
        <v>0</v>
      </c>
      <c r="P327">
        <f t="shared" ref="P327" si="126">MAX(L327,M328,N329)/MIN(L327,M328,N329)</f>
        <v>15.029251889619651</v>
      </c>
    </row>
    <row r="328" spans="1:16">
      <c r="A328" s="170" t="s">
        <v>295</v>
      </c>
      <c r="B328" s="171">
        <v>0.40019020491700363</v>
      </c>
      <c r="C328" s="171">
        <v>1.0840062473010013</v>
      </c>
      <c r="D328" s="171">
        <v>1.6840506224230944E-2</v>
      </c>
      <c r="E328" s="170">
        <v>0</v>
      </c>
      <c r="F328" s="170">
        <f>-$L$1</f>
        <v>-1.4990492230334603E-2</v>
      </c>
      <c r="G328" s="171">
        <v>0</v>
      </c>
      <c r="H328" s="171">
        <v>0</v>
      </c>
      <c r="I328" s="177">
        <f>-$N$1</f>
        <v>-4.7716218756768064E-3</v>
      </c>
      <c r="J328" s="170">
        <v>0</v>
      </c>
      <c r="L328">
        <v>0</v>
      </c>
      <c r="M328">
        <v>1.3881230163878513</v>
      </c>
      <c r="N328">
        <v>0</v>
      </c>
    </row>
    <row r="329" spans="1:16">
      <c r="A329" s="170"/>
      <c r="B329" s="171">
        <v>-1.0673702345396179</v>
      </c>
      <c r="C329" s="171">
        <v>2.4075843796929846</v>
      </c>
      <c r="D329" s="171">
        <v>-0.708799578341892</v>
      </c>
      <c r="E329" s="170">
        <v>0</v>
      </c>
      <c r="F329" s="171">
        <v>0</v>
      </c>
      <c r="G329" s="170">
        <f>-$L$1</f>
        <v>-1.4990492230334603E-2</v>
      </c>
      <c r="H329" s="171">
        <v>0</v>
      </c>
      <c r="I329" s="171">
        <v>0</v>
      </c>
      <c r="J329" s="177">
        <f>-$N$1</f>
        <v>-4.7716218756768064E-3</v>
      </c>
      <c r="L329">
        <v>0</v>
      </c>
      <c r="M329">
        <v>0</v>
      </c>
      <c r="N329">
        <v>0.19390843298126764</v>
      </c>
    </row>
    <row r="330" spans="1:16">
      <c r="A330" s="170"/>
      <c r="B330" s="171"/>
      <c r="C330" s="171"/>
      <c r="D330" s="171"/>
      <c r="E330" s="170"/>
      <c r="F330" s="170"/>
      <c r="G330" s="170"/>
      <c r="H330" s="170"/>
      <c r="I330" s="170"/>
      <c r="J330" s="170"/>
    </row>
    <row r="331" spans="1:16">
      <c r="A331" s="170"/>
      <c r="B331" s="171">
        <v>-1.0419123890112216</v>
      </c>
      <c r="C331" s="171">
        <v>4.0818532431212473E-2</v>
      </c>
      <c r="D331" s="171">
        <v>-0.77248383184656022</v>
      </c>
      <c r="E331" s="170">
        <f>-$L$1</f>
        <v>-1.4990492230334603E-2</v>
      </c>
      <c r="F331" s="171">
        <v>0</v>
      </c>
      <c r="G331" s="171">
        <v>0</v>
      </c>
      <c r="H331" s="177">
        <f>-$N$1</f>
        <v>-4.7716218756768064E-3</v>
      </c>
      <c r="I331" s="170">
        <v>0</v>
      </c>
      <c r="J331" s="170">
        <v>0</v>
      </c>
      <c r="L331">
        <f t="array" ref="L331:N333">SVDD(B331:D333)</f>
        <v>3.6220153039196008</v>
      </c>
      <c r="M331">
        <v>0</v>
      </c>
      <c r="N331">
        <v>0</v>
      </c>
      <c r="P331">
        <f t="shared" ref="P331" si="127">MAX(L331,M332,N333)/MIN(L331,M332,N333)</f>
        <v>6.3906270108779077</v>
      </c>
    </row>
    <row r="332" spans="1:16">
      <c r="A332" s="170" t="s">
        <v>296</v>
      </c>
      <c r="B332" s="171">
        <v>-2.0770709056556562</v>
      </c>
      <c r="C332" s="171">
        <v>2.1445635165533226</v>
      </c>
      <c r="D332" s="171">
        <v>5.6653180844775664E-2</v>
      </c>
      <c r="E332" s="170">
        <v>0</v>
      </c>
      <c r="F332" s="170">
        <f>-$L$1</f>
        <v>-1.4990492230334603E-2</v>
      </c>
      <c r="G332" s="171">
        <v>0</v>
      </c>
      <c r="H332" s="171">
        <v>0</v>
      </c>
      <c r="I332" s="177">
        <f>-$N$1</f>
        <v>-4.7716218756768064E-3</v>
      </c>
      <c r="J332" s="170">
        <v>0</v>
      </c>
      <c r="L332">
        <v>0</v>
      </c>
      <c r="M332">
        <v>1.373408436800027</v>
      </c>
      <c r="N332">
        <v>0</v>
      </c>
    </row>
    <row r="333" spans="1:16">
      <c r="A333" s="170"/>
      <c r="B333" s="171">
        <v>-0.45824053226673911</v>
      </c>
      <c r="C333" s="171">
        <v>2.124969022302313</v>
      </c>
      <c r="D333" s="171">
        <v>-2.076961144994538E-2</v>
      </c>
      <c r="E333" s="170">
        <v>0</v>
      </c>
      <c r="F333" s="171">
        <v>0</v>
      </c>
      <c r="G333" s="170">
        <f>-$L$1</f>
        <v>-1.4990492230334603E-2</v>
      </c>
      <c r="H333" s="171">
        <v>0</v>
      </c>
      <c r="I333" s="171">
        <v>0</v>
      </c>
      <c r="J333" s="177">
        <f>-$N$1</f>
        <v>-4.7716218756768064E-3</v>
      </c>
      <c r="L333">
        <v>0</v>
      </c>
      <c r="M333">
        <v>0</v>
      </c>
      <c r="N333">
        <v>0.56676994256656343</v>
      </c>
    </row>
    <row r="334" spans="1:16">
      <c r="A334" s="170"/>
      <c r="B334" s="171"/>
      <c r="C334" s="171"/>
      <c r="D334" s="171"/>
      <c r="E334" s="170"/>
      <c r="F334" s="170"/>
      <c r="G334" s="170"/>
      <c r="H334" s="170"/>
      <c r="I334" s="170"/>
      <c r="J334" s="170"/>
    </row>
    <row r="335" spans="1:16">
      <c r="A335" s="170"/>
      <c r="B335" s="171">
        <v>-1.0419123890112216</v>
      </c>
      <c r="C335" s="171">
        <v>4.0818532431212473E-2</v>
      </c>
      <c r="D335" s="171">
        <v>-0.77248383184656022</v>
      </c>
      <c r="E335" s="170">
        <f>-$L$1</f>
        <v>-1.4990492230334603E-2</v>
      </c>
      <c r="F335" s="171">
        <v>0</v>
      </c>
      <c r="G335" s="171">
        <v>0</v>
      </c>
      <c r="H335" s="177">
        <f>-$N$1</f>
        <v>-4.7716218756768064E-3</v>
      </c>
      <c r="I335" s="170">
        <v>0</v>
      </c>
      <c r="J335" s="170">
        <v>0</v>
      </c>
      <c r="L335">
        <f t="array" ref="L335:N337">SVDD(B335:D337)</f>
        <v>4.0130778526341269</v>
      </c>
      <c r="M335">
        <v>0</v>
      </c>
      <c r="N335">
        <v>0</v>
      </c>
      <c r="P335">
        <f t="shared" ref="P335" si="128">MAX(L335,M336,N337)/MIN(L335,M336,N337)</f>
        <v>4.7098691394570427</v>
      </c>
    </row>
    <row r="336" spans="1:16">
      <c r="A336" s="170" t="s">
        <v>297</v>
      </c>
      <c r="B336" s="171">
        <v>-2.0770709056556562</v>
      </c>
      <c r="C336" s="171">
        <v>2.1445635165533226</v>
      </c>
      <c r="D336" s="171">
        <v>5.6653180844775664E-2</v>
      </c>
      <c r="E336" s="170">
        <v>0</v>
      </c>
      <c r="F336" s="170">
        <f>-$L$1</f>
        <v>-1.4990492230334603E-2</v>
      </c>
      <c r="G336" s="171">
        <v>0</v>
      </c>
      <c r="H336" s="171">
        <v>0</v>
      </c>
      <c r="I336" s="177">
        <f>-$N$1</f>
        <v>-4.7716218756768064E-3</v>
      </c>
      <c r="J336" s="170">
        <v>0</v>
      </c>
      <c r="L336">
        <v>0</v>
      </c>
      <c r="M336">
        <v>1.0990486608999253</v>
      </c>
      <c r="N336">
        <v>0</v>
      </c>
    </row>
    <row r="337" spans="1:16">
      <c r="A337" s="170"/>
      <c r="B337" s="171">
        <v>-1.0673702345396179</v>
      </c>
      <c r="C337" s="171">
        <v>2.4075843796929846</v>
      </c>
      <c r="D337" s="171">
        <v>-0.708799578341892</v>
      </c>
      <c r="E337" s="170">
        <v>0</v>
      </c>
      <c r="F337" s="171">
        <v>0</v>
      </c>
      <c r="G337" s="170">
        <f>-$L$1</f>
        <v>-1.4990492230334603E-2</v>
      </c>
      <c r="H337" s="171">
        <v>0</v>
      </c>
      <c r="I337" s="171">
        <v>0</v>
      </c>
      <c r="J337" s="177">
        <f>-$N$1</f>
        <v>-4.7716218756768064E-3</v>
      </c>
      <c r="L337">
        <v>0</v>
      </c>
      <c r="M337">
        <v>0</v>
      </c>
      <c r="N337">
        <v>0.85205718753722259</v>
      </c>
    </row>
    <row r="338" spans="1:16">
      <c r="A338" s="170"/>
      <c r="B338" s="171"/>
      <c r="C338" s="171"/>
      <c r="D338" s="171"/>
      <c r="E338" s="170"/>
      <c r="F338" s="170"/>
      <c r="G338" s="170"/>
      <c r="H338" s="170"/>
      <c r="I338" s="170"/>
      <c r="J338" s="170"/>
    </row>
    <row r="339" spans="1:16">
      <c r="A339" s="170"/>
      <c r="B339" s="171">
        <v>-1.0419123890112216</v>
      </c>
      <c r="C339" s="171">
        <v>4.0818532431212473E-2</v>
      </c>
      <c r="D339" s="171">
        <v>-0.77248383184656022</v>
      </c>
      <c r="E339" s="170">
        <f>-$L$1</f>
        <v>-1.4990492230334603E-2</v>
      </c>
      <c r="F339" s="171">
        <v>0</v>
      </c>
      <c r="G339" s="171">
        <v>0</v>
      </c>
      <c r="H339" s="177">
        <f>-$N$1</f>
        <v>-4.7716218756768064E-3</v>
      </c>
      <c r="I339" s="170">
        <v>0</v>
      </c>
      <c r="J339" s="170">
        <v>0</v>
      </c>
      <c r="L339">
        <f t="array" ref="L339:N341">SVDD(B339:D341)</f>
        <v>3.4861667688761013</v>
      </c>
      <c r="M339">
        <v>0</v>
      </c>
      <c r="N339">
        <v>0</v>
      </c>
      <c r="P339">
        <f t="shared" ref="P339" si="129">MAX(L339,M340,N341)/MIN(L339,M340,N341)</f>
        <v>26.01158928757074</v>
      </c>
    </row>
    <row r="340" spans="1:16">
      <c r="A340" s="170" t="s">
        <v>298</v>
      </c>
      <c r="B340" s="171">
        <v>-0.45824053226673911</v>
      </c>
      <c r="C340" s="171">
        <v>2.124969022302313</v>
      </c>
      <c r="D340" s="171">
        <v>-2.076961144994538E-2</v>
      </c>
      <c r="E340" s="170">
        <v>0</v>
      </c>
      <c r="F340" s="170">
        <f>-$L$1</f>
        <v>-1.4990492230334603E-2</v>
      </c>
      <c r="G340" s="171">
        <v>0</v>
      </c>
      <c r="H340" s="171">
        <v>0</v>
      </c>
      <c r="I340" s="177">
        <f>-$N$1</f>
        <v>-4.7716218756768064E-3</v>
      </c>
      <c r="J340" s="170">
        <v>0</v>
      </c>
      <c r="L340">
        <v>0</v>
      </c>
      <c r="M340">
        <v>1.2948766340720632</v>
      </c>
      <c r="N340">
        <v>0</v>
      </c>
    </row>
    <row r="341" spans="1:16">
      <c r="A341" s="170"/>
      <c r="B341" s="171">
        <v>-1.0673702345396179</v>
      </c>
      <c r="C341" s="171">
        <v>2.4075843796929846</v>
      </c>
      <c r="D341" s="171">
        <v>-0.708799578341892</v>
      </c>
      <c r="E341" s="170">
        <v>0</v>
      </c>
      <c r="F341" s="171">
        <v>0</v>
      </c>
      <c r="G341" s="170">
        <f>-$L$1</f>
        <v>-1.4990492230334603E-2</v>
      </c>
      <c r="H341" s="171">
        <v>0</v>
      </c>
      <c r="I341" s="171">
        <v>0</v>
      </c>
      <c r="J341" s="177">
        <f>-$N$1</f>
        <v>-4.7716218756768064E-3</v>
      </c>
      <c r="L341">
        <v>0</v>
      </c>
      <c r="M341">
        <v>0</v>
      </c>
      <c r="N341">
        <v>0.13402359734097122</v>
      </c>
    </row>
    <row r="342" spans="1:16">
      <c r="A342" s="170"/>
      <c r="B342" s="171"/>
      <c r="C342" s="171"/>
      <c r="D342" s="171"/>
      <c r="E342" s="170"/>
      <c r="F342" s="170"/>
      <c r="G342" s="170"/>
      <c r="H342" s="170"/>
      <c r="I342" s="170"/>
      <c r="J342" s="170"/>
    </row>
    <row r="343" spans="1:16">
      <c r="A343" s="170"/>
      <c r="B343" s="171">
        <v>-2.2957880185781296</v>
      </c>
      <c r="C343" s="171">
        <v>8.2263663034425338E-3</v>
      </c>
      <c r="D343" s="171">
        <v>-3.3137218009327896E-2</v>
      </c>
      <c r="E343" s="170">
        <f>-$L$1</f>
        <v>-1.4990492230334603E-2</v>
      </c>
      <c r="F343" s="171">
        <v>0</v>
      </c>
      <c r="G343" s="171">
        <v>0</v>
      </c>
      <c r="H343" s="177">
        <f>-$N$1</f>
        <v>-4.7716218756768064E-3</v>
      </c>
      <c r="I343" s="170">
        <v>0</v>
      </c>
      <c r="J343" s="170">
        <v>0</v>
      </c>
      <c r="L343">
        <f t="array" ref="L343:N345">SVDD(B343:D345)</f>
        <v>3.4203387735503998</v>
      </c>
      <c r="M343">
        <v>0</v>
      </c>
      <c r="N343">
        <v>0</v>
      </c>
      <c r="P343">
        <f t="shared" ref="P343" si="130">MAX(L343,M344,N345)/MIN(L343,M344,N345)</f>
        <v>227.7065416836075</v>
      </c>
    </row>
    <row r="344" spans="1:16">
      <c r="A344" s="170" t="s">
        <v>299</v>
      </c>
      <c r="B344" s="171">
        <v>-2.44475956514645</v>
      </c>
      <c r="C344" s="171">
        <v>0.85548399177677847</v>
      </c>
      <c r="D344" s="171">
        <v>-5.2896656816179721E-2</v>
      </c>
      <c r="E344" s="170">
        <v>0</v>
      </c>
      <c r="F344" s="170">
        <f>-$L$1</f>
        <v>-1.4990492230334603E-2</v>
      </c>
      <c r="G344" s="171">
        <v>0</v>
      </c>
      <c r="H344" s="171">
        <v>0</v>
      </c>
      <c r="I344" s="177">
        <f>-$N$1</f>
        <v>-4.7716218756768064E-3</v>
      </c>
      <c r="J344" s="170">
        <v>0</v>
      </c>
      <c r="L344">
        <v>0</v>
      </c>
      <c r="M344">
        <v>1.2727415364167518</v>
      </c>
      <c r="N344">
        <v>0</v>
      </c>
    </row>
    <row r="345" spans="1:16">
      <c r="A345" s="170"/>
      <c r="B345" s="171">
        <v>0.40019020491700363</v>
      </c>
      <c r="C345" s="171">
        <v>1.0840062473010013</v>
      </c>
      <c r="D345" s="171">
        <v>1.6840506224230944E-2</v>
      </c>
      <c r="E345" s="170">
        <v>0</v>
      </c>
      <c r="F345" s="171">
        <v>0</v>
      </c>
      <c r="G345" s="170">
        <f>-$L$1</f>
        <v>-1.4990492230334603E-2</v>
      </c>
      <c r="H345" s="171">
        <v>0</v>
      </c>
      <c r="I345" s="171">
        <v>0</v>
      </c>
      <c r="J345" s="177">
        <f>-$N$1</f>
        <v>-4.7716218756768064E-3</v>
      </c>
      <c r="L345">
        <v>0</v>
      </c>
      <c r="M345">
        <v>0</v>
      </c>
      <c r="N345">
        <v>1.5020819113325583E-2</v>
      </c>
    </row>
    <row r="346" spans="1:16">
      <c r="A346" s="170"/>
      <c r="B346" s="171"/>
      <c r="C346" s="171"/>
      <c r="D346" s="171"/>
      <c r="E346" s="170"/>
      <c r="F346" s="170"/>
      <c r="G346" s="170"/>
      <c r="H346" s="170"/>
      <c r="I346" s="170"/>
      <c r="J346" s="170"/>
    </row>
    <row r="347" spans="1:16">
      <c r="A347" s="170"/>
      <c r="B347" s="171">
        <v>-2.2957880185781296</v>
      </c>
      <c r="C347" s="171">
        <v>8.2263663034425338E-3</v>
      </c>
      <c r="D347" s="171">
        <v>-3.3137218009327896E-2</v>
      </c>
      <c r="E347" s="170">
        <f>-$L$1</f>
        <v>-1.4990492230334603E-2</v>
      </c>
      <c r="F347" s="171">
        <v>0</v>
      </c>
      <c r="G347" s="171">
        <v>0</v>
      </c>
      <c r="H347" s="177">
        <f>-$N$1</f>
        <v>-4.7716218756768064E-3</v>
      </c>
      <c r="I347" s="170">
        <v>0</v>
      </c>
      <c r="J347" s="170">
        <v>0</v>
      </c>
      <c r="L347">
        <f t="array" ref="L347:N349">SVDD(B347:D349)</f>
        <v>4.332310074801188</v>
      </c>
      <c r="M347">
        <v>0</v>
      </c>
      <c r="N347">
        <v>0</v>
      </c>
      <c r="P347">
        <f t="shared" ref="P347" si="131">MAX(L347,M348,N349)/MIN(L347,M348,N349)</f>
        <v>107.48734647321321</v>
      </c>
    </row>
    <row r="348" spans="1:16">
      <c r="A348" s="170" t="s">
        <v>300</v>
      </c>
      <c r="B348" s="171">
        <v>-2.44475956514645</v>
      </c>
      <c r="C348" s="171">
        <v>0.85548399177677847</v>
      </c>
      <c r="D348" s="171">
        <v>-5.2896656816179721E-2</v>
      </c>
      <c r="E348" s="170">
        <v>0</v>
      </c>
      <c r="F348" s="170">
        <f>-$L$1</f>
        <v>-1.4990492230334603E-2</v>
      </c>
      <c r="G348" s="171">
        <v>0</v>
      </c>
      <c r="H348" s="171">
        <v>0</v>
      </c>
      <c r="I348" s="177">
        <f>-$N$1</f>
        <v>-4.7716218756768064E-3</v>
      </c>
      <c r="J348" s="170">
        <v>0</v>
      </c>
      <c r="L348">
        <v>0</v>
      </c>
      <c r="M348">
        <v>1.4592324445764113</v>
      </c>
      <c r="N348">
        <v>0</v>
      </c>
    </row>
    <row r="349" spans="1:16">
      <c r="A349" s="170"/>
      <c r="B349" s="171">
        <v>-2.0770709056556562</v>
      </c>
      <c r="C349" s="171">
        <v>2.1445635165533226</v>
      </c>
      <c r="D349" s="171">
        <v>5.6653180844775664E-2</v>
      </c>
      <c r="E349" s="170">
        <v>0</v>
      </c>
      <c r="F349" s="171">
        <v>0</v>
      </c>
      <c r="G349" s="170">
        <f>-$L$1</f>
        <v>-1.4990492230334603E-2</v>
      </c>
      <c r="H349" s="171">
        <v>0</v>
      </c>
      <c r="I349" s="171">
        <v>0</v>
      </c>
      <c r="J349" s="177">
        <f>-$N$1</f>
        <v>-4.7716218756768064E-3</v>
      </c>
      <c r="L349">
        <v>0</v>
      </c>
      <c r="M349">
        <v>0</v>
      </c>
      <c r="N349">
        <v>4.0305303060773186E-2</v>
      </c>
    </row>
    <row r="350" spans="1:16">
      <c r="A350" s="170"/>
      <c r="B350" s="171"/>
      <c r="C350" s="171"/>
      <c r="D350" s="171"/>
      <c r="E350" s="170"/>
      <c r="F350" s="170"/>
      <c r="G350" s="170"/>
      <c r="H350" s="170"/>
      <c r="I350" s="170"/>
      <c r="J350" s="170"/>
    </row>
    <row r="351" spans="1:16">
      <c r="A351" s="170"/>
      <c r="B351" s="171">
        <v>-2.2957880185781296</v>
      </c>
      <c r="C351" s="171">
        <v>8.2263663034425338E-3</v>
      </c>
      <c r="D351" s="171">
        <v>-3.3137218009327896E-2</v>
      </c>
      <c r="E351" s="170">
        <f>-$L$1</f>
        <v>-1.4990492230334603E-2</v>
      </c>
      <c r="F351" s="171">
        <v>0</v>
      </c>
      <c r="G351" s="171">
        <v>0</v>
      </c>
      <c r="H351" s="177">
        <f>-$N$1</f>
        <v>-4.7716218756768064E-3</v>
      </c>
      <c r="I351" s="170">
        <v>0</v>
      </c>
      <c r="J351" s="170">
        <v>0</v>
      </c>
      <c r="L351">
        <f t="array" ref="L351:N353">SVDD(B351:D353)</f>
        <v>3.5683464981465871</v>
      </c>
      <c r="M351">
        <v>0</v>
      </c>
      <c r="N351">
        <v>0</v>
      </c>
      <c r="P351">
        <f t="shared" ref="P351" si="132">MAX(L351,M352,N353)/MIN(L351,M352,N353)</f>
        <v>435.33148403717917</v>
      </c>
    </row>
    <row r="352" spans="1:16">
      <c r="A352" s="170" t="s">
        <v>301</v>
      </c>
      <c r="B352" s="171">
        <v>-2.44475956514645</v>
      </c>
      <c r="C352" s="171">
        <v>0.85548399177677847</v>
      </c>
      <c r="D352" s="171">
        <v>-5.2896656816179721E-2</v>
      </c>
      <c r="E352" s="170">
        <v>0</v>
      </c>
      <c r="F352" s="170">
        <f>-$L$1</f>
        <v>-1.4990492230334603E-2</v>
      </c>
      <c r="G352" s="171">
        <v>0</v>
      </c>
      <c r="H352" s="171">
        <v>0</v>
      </c>
      <c r="I352" s="177">
        <f>-$N$1</f>
        <v>-4.7716218756768064E-3</v>
      </c>
      <c r="J352" s="170">
        <v>0</v>
      </c>
      <c r="L352">
        <v>0</v>
      </c>
      <c r="M352">
        <v>1.9940044661876162</v>
      </c>
      <c r="N352">
        <v>0</v>
      </c>
    </row>
    <row r="353" spans="1:16">
      <c r="A353" s="170"/>
      <c r="B353" s="171">
        <v>-0.45824053226673911</v>
      </c>
      <c r="C353" s="171">
        <v>2.124969022302313</v>
      </c>
      <c r="D353" s="171">
        <v>-2.076961144994538E-2</v>
      </c>
      <c r="E353" s="170">
        <v>0</v>
      </c>
      <c r="F353" s="171">
        <v>0</v>
      </c>
      <c r="G353" s="170">
        <f>-$L$1</f>
        <v>-1.4990492230334603E-2</v>
      </c>
      <c r="H353" s="171">
        <v>0</v>
      </c>
      <c r="I353" s="171">
        <v>0</v>
      </c>
      <c r="J353" s="177">
        <f>-$N$1</f>
        <v>-4.7716218756768064E-3</v>
      </c>
      <c r="L353">
        <v>0</v>
      </c>
      <c r="M353">
        <v>0</v>
      </c>
      <c r="N353">
        <v>8.1968491344904318E-3</v>
      </c>
    </row>
    <row r="354" spans="1:16">
      <c r="A354" s="170"/>
      <c r="B354" s="171"/>
      <c r="C354" s="171"/>
      <c r="D354" s="171"/>
      <c r="E354" s="170"/>
      <c r="F354" s="170"/>
      <c r="G354" s="170"/>
      <c r="H354" s="170"/>
      <c r="I354" s="170"/>
      <c r="J354" s="170"/>
    </row>
    <row r="355" spans="1:16">
      <c r="A355" s="170"/>
      <c r="B355" s="171">
        <v>-2.2957880185781296</v>
      </c>
      <c r="C355" s="171">
        <v>8.2263663034425338E-3</v>
      </c>
      <c r="D355" s="171">
        <v>-3.3137218009327896E-2</v>
      </c>
      <c r="E355" s="170">
        <f>-$L$1</f>
        <v>-1.4990492230334603E-2</v>
      </c>
      <c r="F355" s="171">
        <v>0</v>
      </c>
      <c r="G355" s="171">
        <v>0</v>
      </c>
      <c r="H355" s="177">
        <f>-$N$1</f>
        <v>-4.7716218756768064E-3</v>
      </c>
      <c r="I355" s="170">
        <v>0</v>
      </c>
      <c r="J355" s="170">
        <v>0</v>
      </c>
      <c r="L355">
        <f t="array" ref="L355:N357">SVDD(B355:D357)</f>
        <v>3.8955006632960982</v>
      </c>
      <c r="M355">
        <v>0</v>
      </c>
      <c r="N355">
        <v>0</v>
      </c>
      <c r="P355">
        <f t="shared" ref="P355" si="133">MAX(L355,M356,N357)/MIN(L355,M356,N357)</f>
        <v>24.930718886766446</v>
      </c>
    </row>
    <row r="356" spans="1:16">
      <c r="A356" s="170" t="s">
        <v>302</v>
      </c>
      <c r="B356" s="171">
        <v>-2.44475956514645</v>
      </c>
      <c r="C356" s="171">
        <v>0.85548399177677847</v>
      </c>
      <c r="D356" s="171">
        <v>-5.2896656816179721E-2</v>
      </c>
      <c r="E356" s="170">
        <v>0</v>
      </c>
      <c r="F356" s="170">
        <f>-$L$1</f>
        <v>-1.4990492230334603E-2</v>
      </c>
      <c r="G356" s="171">
        <v>0</v>
      </c>
      <c r="H356" s="171">
        <v>0</v>
      </c>
      <c r="I356" s="177">
        <f>-$N$1</f>
        <v>-4.7716218756768064E-3</v>
      </c>
      <c r="J356" s="170">
        <v>0</v>
      </c>
      <c r="L356">
        <v>0</v>
      </c>
      <c r="M356">
        <v>2.0547765807409841</v>
      </c>
      <c r="N356">
        <v>0</v>
      </c>
    </row>
    <row r="357" spans="1:16">
      <c r="A357" s="170"/>
      <c r="B357" s="171">
        <v>-1.0673702345396179</v>
      </c>
      <c r="C357" s="171">
        <v>2.4075843796929846</v>
      </c>
      <c r="D357" s="171">
        <v>-0.708799578341892</v>
      </c>
      <c r="E357" s="170">
        <v>0</v>
      </c>
      <c r="F357" s="171">
        <v>0</v>
      </c>
      <c r="G357" s="170">
        <f>-$L$1</f>
        <v>-1.4990492230334603E-2</v>
      </c>
      <c r="H357" s="171">
        <v>0</v>
      </c>
      <c r="I357" s="171">
        <v>0</v>
      </c>
      <c r="J357" s="177">
        <f>-$N$1</f>
        <v>-4.7716218756768064E-3</v>
      </c>
      <c r="L357">
        <v>0</v>
      </c>
      <c r="M357">
        <v>0</v>
      </c>
      <c r="N357">
        <v>0.1562530419194563</v>
      </c>
    </row>
    <row r="358" spans="1:16">
      <c r="A358" s="170"/>
      <c r="B358" s="171"/>
      <c r="C358" s="171"/>
      <c r="D358" s="171"/>
      <c r="E358" s="170"/>
      <c r="F358" s="170"/>
      <c r="G358" s="170"/>
      <c r="H358" s="170"/>
      <c r="I358" s="170"/>
      <c r="J358" s="170"/>
    </row>
    <row r="359" spans="1:16">
      <c r="A359" s="170"/>
      <c r="B359" s="171">
        <v>-2.2957880185781296</v>
      </c>
      <c r="C359" s="171">
        <v>8.2263663034425338E-3</v>
      </c>
      <c r="D359" s="171">
        <v>-3.3137218009327896E-2</v>
      </c>
      <c r="E359" s="170">
        <f>-$L$1</f>
        <v>-1.4990492230334603E-2</v>
      </c>
      <c r="F359" s="171">
        <v>0</v>
      </c>
      <c r="G359" s="171">
        <v>0</v>
      </c>
      <c r="H359" s="177">
        <f>-$N$1</f>
        <v>-4.7716218756768064E-3</v>
      </c>
      <c r="I359" s="170">
        <v>0</v>
      </c>
      <c r="J359" s="170">
        <v>0</v>
      </c>
      <c r="L359">
        <f t="array" ref="L359:N361">SVDD(B359:D361)</f>
        <v>3.5016481582277987</v>
      </c>
      <c r="M359">
        <v>0</v>
      </c>
      <c r="N359">
        <v>0</v>
      </c>
      <c r="P359">
        <f t="shared" ref="P359" si="134">MAX(L359,M360,N361)/MIN(L359,M360,N361)</f>
        <v>137.0330195917372</v>
      </c>
    </row>
    <row r="360" spans="1:16">
      <c r="A360" s="170" t="s">
        <v>303</v>
      </c>
      <c r="B360" s="171">
        <v>0.40019020491700363</v>
      </c>
      <c r="C360" s="171">
        <v>1.0840062473010013</v>
      </c>
      <c r="D360" s="171">
        <v>1.6840506224230944E-2</v>
      </c>
      <c r="E360" s="170">
        <v>0</v>
      </c>
      <c r="F360" s="170">
        <f>-$L$1</f>
        <v>-1.4990492230334603E-2</v>
      </c>
      <c r="G360" s="171">
        <v>0</v>
      </c>
      <c r="H360" s="171">
        <v>0</v>
      </c>
      <c r="I360" s="177">
        <f>-$N$1</f>
        <v>-4.7716218756768064E-3</v>
      </c>
      <c r="J360" s="170">
        <v>0</v>
      </c>
      <c r="L360">
        <v>0</v>
      </c>
      <c r="M360">
        <v>1.8060195824104797</v>
      </c>
      <c r="N360">
        <v>0</v>
      </c>
    </row>
    <row r="361" spans="1:16">
      <c r="A361" s="170"/>
      <c r="B361" s="171">
        <v>-2.0770709056556562</v>
      </c>
      <c r="C361" s="171">
        <v>2.1445635165533226</v>
      </c>
      <c r="D361" s="171">
        <v>5.6653180844775664E-2</v>
      </c>
      <c r="E361" s="170">
        <v>0</v>
      </c>
      <c r="F361" s="171">
        <v>0</v>
      </c>
      <c r="G361" s="170">
        <f>-$L$1</f>
        <v>-1.4990492230334603E-2</v>
      </c>
      <c r="H361" s="171">
        <v>0</v>
      </c>
      <c r="I361" s="171">
        <v>0</v>
      </c>
      <c r="J361" s="177">
        <f>-$N$1</f>
        <v>-4.7716218756768064E-3</v>
      </c>
      <c r="L361">
        <v>0</v>
      </c>
      <c r="M361">
        <v>0</v>
      </c>
      <c r="N361">
        <v>2.555331677474719E-2</v>
      </c>
    </row>
    <row r="362" spans="1:16">
      <c r="A362" s="170"/>
      <c r="B362" s="171"/>
      <c r="C362" s="171"/>
      <c r="D362" s="171"/>
      <c r="E362" s="170"/>
      <c r="F362" s="170"/>
      <c r="G362" s="170"/>
      <c r="H362" s="170"/>
      <c r="I362" s="170"/>
      <c r="J362" s="170"/>
    </row>
    <row r="363" spans="1:16">
      <c r="A363" s="170"/>
      <c r="B363" s="171">
        <v>-2.2957880185781296</v>
      </c>
      <c r="C363" s="171">
        <v>8.2263663034425338E-3</v>
      </c>
      <c r="D363" s="171">
        <v>-3.3137218009327896E-2</v>
      </c>
      <c r="E363" s="170">
        <f>-$L$1</f>
        <v>-1.4990492230334603E-2</v>
      </c>
      <c r="F363" s="171">
        <v>0</v>
      </c>
      <c r="G363" s="171">
        <v>0</v>
      </c>
      <c r="H363" s="177">
        <f>-$N$1</f>
        <v>-4.7716218756768064E-3</v>
      </c>
      <c r="I363" s="170">
        <v>0</v>
      </c>
      <c r="J363" s="170">
        <v>0</v>
      </c>
      <c r="L363">
        <f t="array" ref="L363:N365">SVDD(B363:D365)</f>
        <v>2.4952323317259175</v>
      </c>
      <c r="M363">
        <v>0</v>
      </c>
      <c r="N363">
        <v>0</v>
      </c>
      <c r="P363">
        <f t="shared" ref="P363" si="135">MAX(L363,M364,N365)/MIN(L363,M364,N365)</f>
        <v>157.71990388339927</v>
      </c>
    </row>
    <row r="364" spans="1:16">
      <c r="A364" s="170" t="s">
        <v>304</v>
      </c>
      <c r="B364" s="171">
        <v>0.40019020491700363</v>
      </c>
      <c r="C364" s="171">
        <v>1.0840062473010013</v>
      </c>
      <c r="D364" s="171">
        <v>1.6840506224230944E-2</v>
      </c>
      <c r="E364" s="170">
        <v>0</v>
      </c>
      <c r="F364" s="170">
        <f>-$L$1</f>
        <v>-1.4990492230334603E-2</v>
      </c>
      <c r="G364" s="171">
        <v>0</v>
      </c>
      <c r="H364" s="171">
        <v>0</v>
      </c>
      <c r="I364" s="177">
        <f>-$N$1</f>
        <v>-4.7716218756768064E-3</v>
      </c>
      <c r="J364" s="170">
        <v>0</v>
      </c>
      <c r="L364">
        <v>0</v>
      </c>
      <c r="M364">
        <v>2.2598203793638003</v>
      </c>
      <c r="N364">
        <v>0</v>
      </c>
    </row>
    <row r="365" spans="1:16">
      <c r="A365" s="170"/>
      <c r="B365" s="171">
        <v>-0.45824053226673911</v>
      </c>
      <c r="C365" s="171">
        <v>2.124969022302313</v>
      </c>
      <c r="D365" s="171">
        <v>-2.076961144994538E-2</v>
      </c>
      <c r="E365" s="170">
        <v>0</v>
      </c>
      <c r="F365" s="171">
        <v>0</v>
      </c>
      <c r="G365" s="170">
        <f>-$L$1</f>
        <v>-1.4990492230334603E-2</v>
      </c>
      <c r="H365" s="171">
        <v>0</v>
      </c>
      <c r="I365" s="171">
        <v>0</v>
      </c>
      <c r="J365" s="177">
        <f>-$N$1</f>
        <v>-4.7716218756768064E-3</v>
      </c>
      <c r="L365">
        <v>0</v>
      </c>
      <c r="M365">
        <v>0</v>
      </c>
      <c r="N365">
        <v>1.5820655924128749E-2</v>
      </c>
    </row>
    <row r="366" spans="1:16">
      <c r="A366" s="170"/>
      <c r="B366" s="171"/>
      <c r="C366" s="171"/>
      <c r="D366" s="171"/>
      <c r="E366" s="170"/>
      <c r="F366" s="170"/>
      <c r="G366" s="170"/>
      <c r="H366" s="170"/>
      <c r="I366" s="170"/>
      <c r="J366" s="170"/>
    </row>
    <row r="367" spans="1:16">
      <c r="A367" s="170"/>
      <c r="B367" s="171">
        <v>-2.2957880185781296</v>
      </c>
      <c r="C367" s="171">
        <v>8.2263663034425338E-3</v>
      </c>
      <c r="D367" s="171">
        <v>-3.3137218009327896E-2</v>
      </c>
      <c r="E367" s="170">
        <f>-$L$1</f>
        <v>-1.4990492230334603E-2</v>
      </c>
      <c r="F367" s="171">
        <v>0</v>
      </c>
      <c r="G367" s="171">
        <v>0</v>
      </c>
      <c r="H367" s="177">
        <f>-$N$1</f>
        <v>-4.7716218756768064E-3</v>
      </c>
      <c r="I367" s="170">
        <v>0</v>
      </c>
      <c r="J367" s="170">
        <v>0</v>
      </c>
      <c r="L367">
        <f t="array" ref="L367:N369">SVDD(B367:D369)</f>
        <v>3.0513685852950316</v>
      </c>
      <c r="M367">
        <v>0</v>
      </c>
      <c r="N367">
        <v>0</v>
      </c>
      <c r="P367">
        <f t="shared" ref="P367" si="136">MAX(L367,M368,N369)/MIN(L367,M368,N369)</f>
        <v>11.236298448789524</v>
      </c>
    </row>
    <row r="368" spans="1:16">
      <c r="A368" s="170" t="s">
        <v>305</v>
      </c>
      <c r="B368" s="171">
        <v>0.40019020491700363</v>
      </c>
      <c r="C368" s="171">
        <v>1.0840062473010013</v>
      </c>
      <c r="D368" s="171">
        <v>1.6840506224230944E-2</v>
      </c>
      <c r="E368" s="170">
        <v>0</v>
      </c>
      <c r="F368" s="170">
        <f>-$L$1</f>
        <v>-1.4990492230334603E-2</v>
      </c>
      <c r="G368" s="171">
        <v>0</v>
      </c>
      <c r="H368" s="171">
        <v>0</v>
      </c>
      <c r="I368" s="177">
        <f>-$N$1</f>
        <v>-4.7716218756768064E-3</v>
      </c>
      <c r="J368" s="170">
        <v>0</v>
      </c>
      <c r="L368">
        <v>0</v>
      </c>
      <c r="M368">
        <v>2.1589014211745394</v>
      </c>
      <c r="N368">
        <v>0</v>
      </c>
    </row>
    <row r="369" spans="1:16">
      <c r="A369" s="170"/>
      <c r="B369" s="171">
        <v>-1.0673702345396179</v>
      </c>
      <c r="C369" s="171">
        <v>2.4075843796929846</v>
      </c>
      <c r="D369" s="171">
        <v>-0.708799578341892</v>
      </c>
      <c r="E369" s="170">
        <v>0</v>
      </c>
      <c r="F369" s="171">
        <v>0</v>
      </c>
      <c r="G369" s="170">
        <f>-$L$1</f>
        <v>-1.4990492230334603E-2</v>
      </c>
      <c r="H369" s="171">
        <v>0</v>
      </c>
      <c r="I369" s="171">
        <v>0</v>
      </c>
      <c r="J369" s="177">
        <f>-$N$1</f>
        <v>-4.7716218756768064E-3</v>
      </c>
      <c r="L369">
        <v>0</v>
      </c>
      <c r="M369">
        <v>0</v>
      </c>
      <c r="N369">
        <v>0.27156350458310874</v>
      </c>
    </row>
    <row r="370" spans="1:16">
      <c r="A370" s="170"/>
      <c r="B370" s="171"/>
      <c r="C370" s="171"/>
      <c r="D370" s="171"/>
      <c r="E370" s="170"/>
      <c r="F370" s="170"/>
      <c r="G370" s="170"/>
      <c r="H370" s="170"/>
      <c r="I370" s="170"/>
      <c r="J370" s="170"/>
    </row>
    <row r="371" spans="1:16">
      <c r="A371" s="170"/>
      <c r="B371" s="171">
        <v>-2.2957880185781296</v>
      </c>
      <c r="C371" s="171">
        <v>8.2263663034425338E-3</v>
      </c>
      <c r="D371" s="171">
        <v>-3.3137218009327896E-2</v>
      </c>
      <c r="E371" s="170">
        <f>-$L$1</f>
        <v>-1.4990492230334603E-2</v>
      </c>
      <c r="F371" s="171">
        <v>0</v>
      </c>
      <c r="G371" s="171">
        <v>0</v>
      </c>
      <c r="H371" s="177">
        <f>-$N$1</f>
        <v>-4.7716218756768064E-3</v>
      </c>
      <c r="I371" s="170">
        <v>0</v>
      </c>
      <c r="J371" s="170">
        <v>0</v>
      </c>
      <c r="L371">
        <f t="array" ref="L371:N373">SVDD(B371:D373)</f>
        <v>3.8617120384536325</v>
      </c>
      <c r="M371">
        <v>0</v>
      </c>
      <c r="N371">
        <v>0</v>
      </c>
      <c r="P371">
        <f t="shared" ref="P371" si="137">MAX(L371,M372,N373)/MIN(L371,M372,N373)</f>
        <v>60.630725200579725</v>
      </c>
    </row>
    <row r="372" spans="1:16">
      <c r="A372" s="170" t="s">
        <v>306</v>
      </c>
      <c r="B372" s="171">
        <v>-2.0770709056556562</v>
      </c>
      <c r="C372" s="171">
        <v>2.1445635165533226</v>
      </c>
      <c r="D372" s="171">
        <v>5.6653180844775664E-2</v>
      </c>
      <c r="E372" s="170">
        <v>0</v>
      </c>
      <c r="F372" s="170">
        <f>-$L$1</f>
        <v>-1.4990492230334603E-2</v>
      </c>
      <c r="G372" s="171">
        <v>0</v>
      </c>
      <c r="H372" s="171">
        <v>0</v>
      </c>
      <c r="I372" s="177">
        <f>-$N$1</f>
        <v>-4.7716218756768064E-3</v>
      </c>
      <c r="J372" s="170">
        <v>0</v>
      </c>
      <c r="L372">
        <v>0</v>
      </c>
      <c r="M372">
        <v>1.999356573612517</v>
      </c>
      <c r="N372">
        <v>0</v>
      </c>
    </row>
    <row r="373" spans="1:16">
      <c r="A373" s="170"/>
      <c r="B373" s="171">
        <v>-0.45824053226673911</v>
      </c>
      <c r="C373" s="171">
        <v>2.124969022302313</v>
      </c>
      <c r="D373" s="171">
        <v>-2.076961144994538E-2</v>
      </c>
      <c r="E373" s="170">
        <v>0</v>
      </c>
      <c r="F373" s="171">
        <v>0</v>
      </c>
      <c r="G373" s="170">
        <f>-$L$1</f>
        <v>-1.4990492230334603E-2</v>
      </c>
      <c r="H373" s="171">
        <v>0</v>
      </c>
      <c r="I373" s="171">
        <v>0</v>
      </c>
      <c r="J373" s="177">
        <f>-$N$1</f>
        <v>-4.7716218756768064E-3</v>
      </c>
      <c r="L373">
        <v>0</v>
      </c>
      <c r="M373">
        <v>0</v>
      </c>
      <c r="N373">
        <v>6.3692328034643211E-2</v>
      </c>
    </row>
    <row r="374" spans="1:16">
      <c r="A374" s="170"/>
      <c r="B374" s="171"/>
      <c r="C374" s="171"/>
      <c r="D374" s="171"/>
      <c r="E374" s="170"/>
      <c r="F374" s="170"/>
      <c r="G374" s="170"/>
      <c r="H374" s="170"/>
      <c r="I374" s="170"/>
      <c r="J374" s="170"/>
    </row>
    <row r="375" spans="1:16">
      <c r="A375" s="170"/>
      <c r="B375" s="171">
        <v>-2.2957880185781296</v>
      </c>
      <c r="C375" s="171">
        <v>8.2263663034425338E-3</v>
      </c>
      <c r="D375" s="171">
        <v>-3.3137218009327896E-2</v>
      </c>
      <c r="E375" s="170">
        <f>-$L$1</f>
        <v>-1.4990492230334603E-2</v>
      </c>
      <c r="F375" s="171">
        <v>0</v>
      </c>
      <c r="G375" s="171">
        <v>0</v>
      </c>
      <c r="H375" s="177">
        <f>-$N$1</f>
        <v>-4.7716218756768064E-3</v>
      </c>
      <c r="I375" s="170">
        <v>0</v>
      </c>
      <c r="J375" s="170">
        <v>0</v>
      </c>
      <c r="L375">
        <f t="array" ref="L375:N377">SVDD(B375:D377)</f>
        <v>4.2139230383273771</v>
      </c>
      <c r="M375">
        <v>0</v>
      </c>
      <c r="N375">
        <v>0</v>
      </c>
      <c r="P375">
        <f t="shared" ref="P375" si="138">MAX(L375,M376,N377)/MIN(L375,M376,N377)</f>
        <v>8.7267189339788906</v>
      </c>
    </row>
    <row r="376" spans="1:16">
      <c r="A376" s="170" t="s">
        <v>307</v>
      </c>
      <c r="B376" s="171">
        <v>-2.0770709056556562</v>
      </c>
      <c r="C376" s="171">
        <v>2.1445635165533226</v>
      </c>
      <c r="D376" s="171">
        <v>5.6653180844775664E-2</v>
      </c>
      <c r="E376" s="170">
        <v>0</v>
      </c>
      <c r="F376" s="170">
        <f>-$L$1</f>
        <v>-1.4990492230334603E-2</v>
      </c>
      <c r="G376" s="171">
        <v>0</v>
      </c>
      <c r="H376" s="171">
        <v>0</v>
      </c>
      <c r="I376" s="177">
        <f>-$N$1</f>
        <v>-4.7716218756768064E-3</v>
      </c>
      <c r="J376" s="170">
        <v>0</v>
      </c>
      <c r="L376">
        <v>0</v>
      </c>
      <c r="M376">
        <v>1.9068865179501593</v>
      </c>
      <c r="N376">
        <v>0</v>
      </c>
    </row>
    <row r="377" spans="1:16">
      <c r="A377" s="170"/>
      <c r="B377" s="171">
        <v>-1.0673702345396179</v>
      </c>
      <c r="C377" s="171">
        <v>2.4075843796929846</v>
      </c>
      <c r="D377" s="171">
        <v>-0.708799578341892</v>
      </c>
      <c r="E377" s="170">
        <v>0</v>
      </c>
      <c r="F377" s="171">
        <v>0</v>
      </c>
      <c r="G377" s="170">
        <f>-$L$1</f>
        <v>-1.4990492230334603E-2</v>
      </c>
      <c r="H377" s="171">
        <v>0</v>
      </c>
      <c r="I377" s="171">
        <v>0</v>
      </c>
      <c r="J377" s="177">
        <f>-$N$1</f>
        <v>-4.7716218756768064E-3</v>
      </c>
      <c r="L377">
        <v>0</v>
      </c>
      <c r="M377">
        <v>0</v>
      </c>
      <c r="N377">
        <v>0.48287598927012382</v>
      </c>
    </row>
    <row r="378" spans="1:16">
      <c r="A378" s="170"/>
      <c r="B378" s="171"/>
      <c r="C378" s="171"/>
      <c r="D378" s="171"/>
      <c r="E378" s="170"/>
      <c r="F378" s="170"/>
      <c r="G378" s="170"/>
      <c r="H378" s="170"/>
      <c r="I378" s="170"/>
      <c r="J378" s="170"/>
    </row>
    <row r="379" spans="1:16">
      <c r="A379" s="170"/>
      <c r="B379" s="171">
        <v>-2.2957880185781296</v>
      </c>
      <c r="C379" s="171">
        <v>8.2263663034425338E-3</v>
      </c>
      <c r="D379" s="171">
        <v>-3.3137218009327896E-2</v>
      </c>
      <c r="E379" s="170">
        <f>-$L$1</f>
        <v>-1.4990492230334603E-2</v>
      </c>
      <c r="F379" s="171">
        <v>0</v>
      </c>
      <c r="G379" s="171">
        <v>0</v>
      </c>
      <c r="H379" s="177">
        <f>-$N$1</f>
        <v>-4.7716218756768064E-3</v>
      </c>
      <c r="I379" s="170">
        <v>0</v>
      </c>
      <c r="J379" s="170">
        <v>0</v>
      </c>
      <c r="L379">
        <f t="array" ref="L379:N381">SVDD(B379:D381)</f>
        <v>3.5753150557912283</v>
      </c>
      <c r="M379">
        <v>0</v>
      </c>
      <c r="N379">
        <v>0</v>
      </c>
      <c r="P379">
        <f t="shared" ref="P379" si="139">MAX(L379,M380,N381)/MIN(L379,M380,N381)</f>
        <v>8.1773167465735472</v>
      </c>
    </row>
    <row r="380" spans="1:16">
      <c r="A380" s="170" t="s">
        <v>308</v>
      </c>
      <c r="B380" s="171">
        <v>-0.45824053226673911</v>
      </c>
      <c r="C380" s="171">
        <v>2.124969022302313</v>
      </c>
      <c r="D380" s="171">
        <v>-2.076961144994538E-2</v>
      </c>
      <c r="E380" s="170">
        <v>0</v>
      </c>
      <c r="F380" s="170">
        <f>-$L$1</f>
        <v>-1.4990492230334603E-2</v>
      </c>
      <c r="G380" s="171">
        <v>0</v>
      </c>
      <c r="H380" s="171">
        <v>0</v>
      </c>
      <c r="I380" s="177">
        <f>-$N$1</f>
        <v>-4.7716218756768064E-3</v>
      </c>
      <c r="J380" s="170">
        <v>0</v>
      </c>
      <c r="L380">
        <v>0</v>
      </c>
      <c r="M380">
        <v>2.1123006295906639</v>
      </c>
      <c r="N380">
        <v>0</v>
      </c>
    </row>
    <row r="381" spans="1:16">
      <c r="A381" s="170"/>
      <c r="B381" s="171">
        <v>-1.0673702345396179</v>
      </c>
      <c r="C381" s="171">
        <v>2.4075843796929846</v>
      </c>
      <c r="D381" s="171">
        <v>-0.708799578341892</v>
      </c>
      <c r="E381" s="170">
        <v>0</v>
      </c>
      <c r="F381" s="171">
        <v>0</v>
      </c>
      <c r="G381" s="170">
        <f>-$L$1</f>
        <v>-1.4990492230334603E-2</v>
      </c>
      <c r="H381" s="171">
        <v>0</v>
      </c>
      <c r="I381" s="171">
        <v>0</v>
      </c>
      <c r="J381" s="177">
        <f>-$N$1</f>
        <v>-4.7716218756768064E-3</v>
      </c>
      <c r="L381">
        <v>0</v>
      </c>
      <c r="M381">
        <v>0</v>
      </c>
      <c r="N381">
        <v>0.43722350088607659</v>
      </c>
    </row>
    <row r="382" spans="1:16">
      <c r="A382" s="170"/>
      <c r="B382" s="171"/>
      <c r="C382" s="171"/>
      <c r="D382" s="171"/>
      <c r="E382" s="170"/>
      <c r="F382" s="170"/>
      <c r="G382" s="170"/>
      <c r="H382" s="170"/>
      <c r="I382" s="170"/>
      <c r="J382" s="170"/>
    </row>
    <row r="383" spans="1:16">
      <c r="A383" s="170"/>
      <c r="B383" s="171">
        <v>-2.44475956514645</v>
      </c>
      <c r="C383" s="171">
        <v>0.85548399177677847</v>
      </c>
      <c r="D383" s="171">
        <v>-5.2896656816179721E-2</v>
      </c>
      <c r="E383" s="170">
        <f>-$L$1</f>
        <v>-1.4990492230334603E-2</v>
      </c>
      <c r="F383" s="171">
        <v>0</v>
      </c>
      <c r="G383" s="171">
        <v>0</v>
      </c>
      <c r="H383" s="177">
        <f>-$N$1</f>
        <v>-4.7716218756768064E-3</v>
      </c>
      <c r="I383" s="170">
        <v>0</v>
      </c>
      <c r="J383" s="170">
        <v>0</v>
      </c>
      <c r="L383">
        <f t="array" ref="L383:N385">SVDD(B383:D385)</f>
        <v>3.8602127652486464</v>
      </c>
      <c r="M383">
        <v>0</v>
      </c>
      <c r="N383">
        <v>0</v>
      </c>
      <c r="P383">
        <f t="shared" ref="P383" si="140">MAX(L383,M384,N385)/MIN(L383,M384,N385)</f>
        <v>77.582923469237784</v>
      </c>
    </row>
    <row r="384" spans="1:16">
      <c r="A384" s="170" t="s">
        <v>309</v>
      </c>
      <c r="B384" s="171">
        <v>0.40019020491700363</v>
      </c>
      <c r="C384" s="171">
        <v>1.0840062473010013</v>
      </c>
      <c r="D384" s="171">
        <v>1.6840506224230944E-2</v>
      </c>
      <c r="E384" s="170">
        <v>0</v>
      </c>
      <c r="F384" s="170">
        <f>-$L$1</f>
        <v>-1.4990492230334603E-2</v>
      </c>
      <c r="G384" s="171">
        <v>0</v>
      </c>
      <c r="H384" s="171">
        <v>0</v>
      </c>
      <c r="I384" s="177">
        <f>-$N$1</f>
        <v>-4.7716218756768064E-3</v>
      </c>
      <c r="J384" s="170">
        <v>0</v>
      </c>
      <c r="L384">
        <v>0</v>
      </c>
      <c r="M384">
        <v>1.4352258194838099</v>
      </c>
      <c r="N384">
        <v>0</v>
      </c>
    </row>
    <row r="385" spans="1:16">
      <c r="A385" s="170"/>
      <c r="B385" s="171">
        <v>-2.0770709056556562</v>
      </c>
      <c r="C385" s="171">
        <v>2.1445635165533226</v>
      </c>
      <c r="D385" s="171">
        <v>5.6653180844775664E-2</v>
      </c>
      <c r="E385" s="170">
        <v>0</v>
      </c>
      <c r="F385" s="171">
        <v>0</v>
      </c>
      <c r="G385" s="170">
        <f>-$L$1</f>
        <v>-1.4990492230334603E-2</v>
      </c>
      <c r="H385" s="171">
        <v>0</v>
      </c>
      <c r="I385" s="171">
        <v>0</v>
      </c>
      <c r="J385" s="177">
        <f>-$N$1</f>
        <v>-4.7716218756768064E-3</v>
      </c>
      <c r="L385">
        <v>0</v>
      </c>
      <c r="M385">
        <v>0</v>
      </c>
      <c r="N385">
        <v>4.9755959077505629E-2</v>
      </c>
    </row>
    <row r="386" spans="1:16">
      <c r="A386" s="170"/>
      <c r="B386" s="171"/>
      <c r="C386" s="171"/>
      <c r="D386" s="171"/>
      <c r="E386" s="170"/>
      <c r="F386" s="170"/>
      <c r="G386" s="170"/>
      <c r="H386" s="170"/>
      <c r="I386" s="170"/>
      <c r="J386" s="170"/>
    </row>
    <row r="387" spans="1:16">
      <c r="A387" s="170"/>
      <c r="B387" s="171">
        <v>-2.44475956514645</v>
      </c>
      <c r="C387" s="171">
        <v>0.85548399177677847</v>
      </c>
      <c r="D387" s="171">
        <v>-5.2896656816179721E-2</v>
      </c>
      <c r="E387" s="170">
        <f>-$L$1</f>
        <v>-1.4990492230334603E-2</v>
      </c>
      <c r="F387" s="171">
        <v>0</v>
      </c>
      <c r="G387" s="171">
        <v>0</v>
      </c>
      <c r="H387" s="177">
        <f>-$N$1</f>
        <v>-4.7716218756768064E-3</v>
      </c>
      <c r="I387" s="170">
        <v>0</v>
      </c>
      <c r="J387" s="170">
        <v>0</v>
      </c>
      <c r="L387">
        <f t="array" ref="L387:N389">SVDD(B387:D389)</f>
        <v>3.0031573050407454</v>
      </c>
      <c r="M387">
        <v>0</v>
      </c>
      <c r="N387">
        <v>0</v>
      </c>
      <c r="P387">
        <f t="shared" ref="P387" si="141">MAX(L387,M388,N389)/MIN(L387,M388,N389)</f>
        <v>243.43943945414657</v>
      </c>
    </row>
    <row r="388" spans="1:16">
      <c r="A388" s="170" t="s">
        <v>310</v>
      </c>
      <c r="B388" s="171">
        <v>0.40019020491700363</v>
      </c>
      <c r="C388" s="171">
        <v>1.0840062473010013</v>
      </c>
      <c r="D388" s="171">
        <v>1.6840506224230944E-2</v>
      </c>
      <c r="E388" s="170">
        <v>0</v>
      </c>
      <c r="F388" s="170">
        <f>-$L$1</f>
        <v>-1.4990492230334603E-2</v>
      </c>
      <c r="G388" s="171">
        <v>0</v>
      </c>
      <c r="H388" s="171">
        <v>0</v>
      </c>
      <c r="I388" s="177">
        <f>-$N$1</f>
        <v>-4.7716218756768064E-3</v>
      </c>
      <c r="J388" s="170">
        <v>0</v>
      </c>
      <c r="L388">
        <v>0</v>
      </c>
      <c r="M388">
        <v>1.9374748303026346</v>
      </c>
      <c r="N388">
        <v>0</v>
      </c>
    </row>
    <row r="389" spans="1:16">
      <c r="A389" s="170"/>
      <c r="B389" s="171">
        <v>-0.45824053226673911</v>
      </c>
      <c r="C389" s="171">
        <v>2.124969022302313</v>
      </c>
      <c r="D389" s="171">
        <v>-2.076961144994538E-2</v>
      </c>
      <c r="E389" s="170">
        <v>0</v>
      </c>
      <c r="F389" s="171">
        <v>0</v>
      </c>
      <c r="G389" s="170">
        <f>-$L$1</f>
        <v>-1.4990492230334603E-2</v>
      </c>
      <c r="H389" s="171">
        <v>0</v>
      </c>
      <c r="I389" s="171">
        <v>0</v>
      </c>
      <c r="J389" s="177">
        <f>-$N$1</f>
        <v>-4.7716218756768064E-3</v>
      </c>
      <c r="L389">
        <v>0</v>
      </c>
      <c r="M389">
        <v>0</v>
      </c>
      <c r="N389">
        <v>1.2336363046902308E-2</v>
      </c>
    </row>
    <row r="390" spans="1:16">
      <c r="A390" s="170"/>
      <c r="B390" s="171"/>
      <c r="C390" s="171"/>
      <c r="D390" s="171"/>
      <c r="E390" s="170"/>
      <c r="F390" s="170"/>
      <c r="G390" s="170"/>
      <c r="H390" s="170"/>
      <c r="I390" s="170"/>
      <c r="J390" s="170"/>
    </row>
    <row r="391" spans="1:16">
      <c r="A391" s="170"/>
      <c r="B391" s="171">
        <v>-2.44475956514645</v>
      </c>
      <c r="C391" s="171">
        <v>0.85548399177677847</v>
      </c>
      <c r="D391" s="171">
        <v>-5.2896656816179721E-2</v>
      </c>
      <c r="E391" s="170">
        <f>-$L$1</f>
        <v>-1.4990492230334603E-2</v>
      </c>
      <c r="F391" s="171">
        <v>0</v>
      </c>
      <c r="G391" s="171">
        <v>0</v>
      </c>
      <c r="H391" s="177">
        <f>-$N$1</f>
        <v>-4.7716218756768064E-3</v>
      </c>
      <c r="I391" s="170">
        <v>0</v>
      </c>
      <c r="J391" s="170">
        <v>0</v>
      </c>
      <c r="L391">
        <f t="array" ref="L391:N393">SVDD(B391:D393)</f>
        <v>3.4680672480859061</v>
      </c>
      <c r="M391">
        <v>0</v>
      </c>
      <c r="N391">
        <v>0</v>
      </c>
      <c r="P391">
        <f t="shared" ref="P391" si="142">MAX(L391,M392,N393)/MIN(L391,M392,N393)</f>
        <v>10.517949300669882</v>
      </c>
    </row>
    <row r="392" spans="1:16">
      <c r="A392" s="170" t="s">
        <v>311</v>
      </c>
      <c r="B392" s="171">
        <v>0.40019020491700363</v>
      </c>
      <c r="C392" s="171">
        <v>1.0840062473010013</v>
      </c>
      <c r="D392" s="171">
        <v>1.6840506224230944E-2</v>
      </c>
      <c r="E392" s="170">
        <v>0</v>
      </c>
      <c r="F392" s="170">
        <f>-$L$1</f>
        <v>-1.4990492230334603E-2</v>
      </c>
      <c r="G392" s="171">
        <v>0</v>
      </c>
      <c r="H392" s="171">
        <v>0</v>
      </c>
      <c r="I392" s="177">
        <f>-$N$1</f>
        <v>-4.7716218756768064E-3</v>
      </c>
      <c r="J392" s="170">
        <v>0</v>
      </c>
      <c r="L392">
        <v>0</v>
      </c>
      <c r="M392">
        <v>1.8300089901370462</v>
      </c>
      <c r="N392">
        <v>0</v>
      </c>
    </row>
    <row r="393" spans="1:16">
      <c r="A393" s="170"/>
      <c r="B393" s="171">
        <v>-1.0673702345396179</v>
      </c>
      <c r="C393" s="171">
        <v>2.4075843796929846</v>
      </c>
      <c r="D393" s="171">
        <v>-0.708799578341892</v>
      </c>
      <c r="E393" s="170">
        <v>0</v>
      </c>
      <c r="F393" s="171">
        <v>0</v>
      </c>
      <c r="G393" s="170">
        <f>-$L$1</f>
        <v>-1.4990492230334603E-2</v>
      </c>
      <c r="H393" s="171">
        <v>0</v>
      </c>
      <c r="I393" s="171">
        <v>0</v>
      </c>
      <c r="J393" s="177">
        <f>-$N$1</f>
        <v>-4.7716218756768064E-3</v>
      </c>
      <c r="L393">
        <v>0</v>
      </c>
      <c r="M393">
        <v>0</v>
      </c>
      <c r="N393">
        <v>0.32972846216942947</v>
      </c>
    </row>
    <row r="394" spans="1:16">
      <c r="A394" s="170"/>
      <c r="B394" s="171"/>
      <c r="C394" s="171"/>
      <c r="D394" s="171"/>
      <c r="E394" s="170"/>
      <c r="F394" s="170"/>
      <c r="G394" s="170"/>
      <c r="H394" s="170"/>
      <c r="I394" s="170"/>
      <c r="J394" s="170"/>
    </row>
    <row r="395" spans="1:16">
      <c r="A395" s="170"/>
      <c r="B395" s="171">
        <v>-2.44475956514645</v>
      </c>
      <c r="C395" s="171">
        <v>0.85548399177677847</v>
      </c>
      <c r="D395" s="171">
        <v>-5.2896656816179721E-2</v>
      </c>
      <c r="E395" s="170">
        <f>-$L$1</f>
        <v>-1.4990492230334603E-2</v>
      </c>
      <c r="F395" s="171">
        <v>0</v>
      </c>
      <c r="G395" s="171">
        <v>0</v>
      </c>
      <c r="H395" s="177">
        <f>-$N$1</f>
        <v>-4.7716218756768064E-3</v>
      </c>
      <c r="I395" s="170">
        <v>0</v>
      </c>
      <c r="J395" s="170">
        <v>0</v>
      </c>
      <c r="L395">
        <f t="array" ref="L395:N397">SVDD(B395:D397)</f>
        <v>4.2071973637283717</v>
      </c>
      <c r="M395">
        <v>0</v>
      </c>
      <c r="N395">
        <v>0</v>
      </c>
      <c r="P395">
        <f t="shared" ref="P395" si="143">MAX(L395,M396,N397)/MIN(L395,M396,N397)</f>
        <v>54.798719298337076</v>
      </c>
    </row>
    <row r="396" spans="1:16">
      <c r="A396" s="170" t="s">
        <v>312</v>
      </c>
      <c r="B396" s="171">
        <v>-2.0770709056556562</v>
      </c>
      <c r="C396" s="171">
        <v>2.1445635165533226</v>
      </c>
      <c r="D396" s="171">
        <v>5.6653180844775664E-2</v>
      </c>
      <c r="E396" s="170">
        <v>0</v>
      </c>
      <c r="F396" s="170">
        <f>-$L$1</f>
        <v>-1.4990492230334603E-2</v>
      </c>
      <c r="G396" s="171">
        <v>0</v>
      </c>
      <c r="H396" s="171">
        <v>0</v>
      </c>
      <c r="I396" s="177">
        <f>-$N$1</f>
        <v>-4.7716218756768064E-3</v>
      </c>
      <c r="J396" s="170">
        <v>0</v>
      </c>
      <c r="L396">
        <v>0</v>
      </c>
      <c r="M396">
        <v>1.6271419828522475</v>
      </c>
      <c r="N396">
        <v>0</v>
      </c>
    </row>
    <row r="397" spans="1:16">
      <c r="A397" s="170"/>
      <c r="B397" s="171">
        <v>-0.45824053226673911</v>
      </c>
      <c r="C397" s="171">
        <v>2.124969022302313</v>
      </c>
      <c r="D397" s="171">
        <v>-2.076961144994538E-2</v>
      </c>
      <c r="E397" s="170">
        <v>0</v>
      </c>
      <c r="F397" s="171">
        <v>0</v>
      </c>
      <c r="G397" s="170">
        <f>-$L$1</f>
        <v>-1.4990492230334603E-2</v>
      </c>
      <c r="H397" s="171">
        <v>0</v>
      </c>
      <c r="I397" s="171">
        <v>0</v>
      </c>
      <c r="J397" s="177">
        <f>-$N$1</f>
        <v>-4.7716218756768064E-3</v>
      </c>
      <c r="L397">
        <v>0</v>
      </c>
      <c r="M397">
        <v>0</v>
      </c>
      <c r="N397">
        <v>7.6775468799250637E-2</v>
      </c>
    </row>
    <row r="398" spans="1:16">
      <c r="A398" s="170"/>
      <c r="B398" s="171"/>
      <c r="C398" s="171"/>
      <c r="D398" s="171"/>
      <c r="E398" s="170"/>
      <c r="F398" s="170"/>
      <c r="G398" s="170"/>
      <c r="H398" s="170"/>
      <c r="I398" s="170"/>
      <c r="J398" s="170"/>
    </row>
    <row r="399" spans="1:16">
      <c r="A399" s="170"/>
      <c r="B399" s="171">
        <v>-2.44475956514645</v>
      </c>
      <c r="C399" s="171">
        <v>0.85548399177677847</v>
      </c>
      <c r="D399" s="171">
        <v>-5.2896656816179721E-2</v>
      </c>
      <c r="E399" s="170">
        <f>-$L$1</f>
        <v>-1.4990492230334603E-2</v>
      </c>
      <c r="F399" s="171">
        <v>0</v>
      </c>
      <c r="G399" s="171">
        <v>0</v>
      </c>
      <c r="H399" s="177">
        <f>-$N$1</f>
        <v>-4.7716218756768064E-3</v>
      </c>
      <c r="I399" s="170">
        <v>0</v>
      </c>
      <c r="J399" s="170">
        <v>0</v>
      </c>
      <c r="L399">
        <f t="array" ref="L399:N401">SVDD(B399:D401)</f>
        <v>4.5319638714309312</v>
      </c>
      <c r="M399">
        <v>0</v>
      </c>
      <c r="N399">
        <v>0</v>
      </c>
      <c r="P399">
        <f t="shared" ref="P399" si="144">MAX(L399,M400,N401)/MIN(L399,M400,N401)</f>
        <v>10.938849692911305</v>
      </c>
    </row>
    <row r="400" spans="1:16">
      <c r="A400" s="170" t="s">
        <v>313</v>
      </c>
      <c r="B400" s="171">
        <v>-2.0770709056556562</v>
      </c>
      <c r="C400" s="171">
        <v>2.1445635165533226</v>
      </c>
      <c r="D400" s="171">
        <v>5.6653180844775664E-2</v>
      </c>
      <c r="E400" s="170">
        <v>0</v>
      </c>
      <c r="F400" s="170">
        <f>-$L$1</f>
        <v>-1.4990492230334603E-2</v>
      </c>
      <c r="G400" s="171">
        <v>0</v>
      </c>
      <c r="H400" s="171">
        <v>0</v>
      </c>
      <c r="I400" s="177">
        <f>-$N$1</f>
        <v>-4.7716218756768064E-3</v>
      </c>
      <c r="J400" s="170">
        <v>0</v>
      </c>
      <c r="L400">
        <v>0</v>
      </c>
      <c r="M400">
        <v>1.5348888414253044</v>
      </c>
      <c r="N400">
        <v>0</v>
      </c>
    </row>
    <row r="401" spans="1:16">
      <c r="A401" s="170"/>
      <c r="B401" s="171">
        <v>-1.0673702345396179</v>
      </c>
      <c r="C401" s="171">
        <v>2.4075843796929846</v>
      </c>
      <c r="D401" s="171">
        <v>-0.708799578341892</v>
      </c>
      <c r="E401" s="170">
        <v>0</v>
      </c>
      <c r="F401" s="171">
        <v>0</v>
      </c>
      <c r="G401" s="170">
        <f>-$L$1</f>
        <v>-1.4990492230334603E-2</v>
      </c>
      <c r="H401" s="171">
        <v>0</v>
      </c>
      <c r="I401" s="171">
        <v>0</v>
      </c>
      <c r="J401" s="177">
        <f>-$N$1</f>
        <v>-4.7716218756768064E-3</v>
      </c>
      <c r="L401">
        <v>0</v>
      </c>
      <c r="M401">
        <v>0</v>
      </c>
      <c r="N401">
        <v>0.41429985772341099</v>
      </c>
    </row>
    <row r="402" spans="1:16">
      <c r="A402" s="170"/>
      <c r="B402" s="171"/>
      <c r="C402" s="171"/>
      <c r="D402" s="171"/>
      <c r="E402" s="170"/>
      <c r="F402" s="170"/>
      <c r="G402" s="170"/>
      <c r="H402" s="170"/>
      <c r="I402" s="170"/>
      <c r="J402" s="170"/>
    </row>
    <row r="403" spans="1:16">
      <c r="A403" s="170"/>
      <c r="B403" s="171">
        <v>-2.44475956514645</v>
      </c>
      <c r="C403" s="171">
        <v>0.85548399177677847</v>
      </c>
      <c r="D403" s="171">
        <v>-5.2896656816179721E-2</v>
      </c>
      <c r="E403" s="170">
        <f>-$L$1</f>
        <v>-1.4990492230334603E-2</v>
      </c>
      <c r="F403" s="171">
        <v>0</v>
      </c>
      <c r="G403" s="171">
        <v>0</v>
      </c>
      <c r="H403" s="177">
        <f>-$N$1</f>
        <v>-4.7716218756768064E-3</v>
      </c>
      <c r="I403" s="170">
        <v>0</v>
      </c>
      <c r="J403" s="170">
        <v>0</v>
      </c>
      <c r="L403">
        <f t="array" ref="L403:N405">SVDD(B403:D405)</f>
        <v>3.9220260502801381</v>
      </c>
      <c r="M403">
        <v>0</v>
      </c>
      <c r="N403">
        <v>0</v>
      </c>
      <c r="P403">
        <f t="shared" ref="P403" si="145">MAX(L403,M404,N405)/MIN(L403,M404,N405)</f>
        <v>8.6070566754854791</v>
      </c>
    </row>
    <row r="404" spans="1:16">
      <c r="A404" s="170" t="s">
        <v>314</v>
      </c>
      <c r="B404" s="171">
        <v>-0.45824053226673911</v>
      </c>
      <c r="C404" s="171">
        <v>2.124969022302313</v>
      </c>
      <c r="D404" s="171">
        <v>-2.076961144994538E-2</v>
      </c>
      <c r="E404" s="170">
        <v>0</v>
      </c>
      <c r="F404" s="170">
        <f>-$L$1</f>
        <v>-1.4990492230334603E-2</v>
      </c>
      <c r="G404" s="171">
        <v>0</v>
      </c>
      <c r="H404" s="171">
        <v>0</v>
      </c>
      <c r="I404" s="177">
        <f>-$N$1</f>
        <v>-4.7716218756768064E-3</v>
      </c>
      <c r="J404" s="170">
        <v>0</v>
      </c>
      <c r="L404">
        <v>0</v>
      </c>
      <c r="M404">
        <v>1.8126277427897026</v>
      </c>
      <c r="N404">
        <v>0</v>
      </c>
    </row>
    <row r="405" spans="1:16">
      <c r="A405" s="170"/>
      <c r="B405" s="171">
        <v>-1.0673702345396179</v>
      </c>
      <c r="C405" s="171">
        <v>2.4075843796929846</v>
      </c>
      <c r="D405" s="171">
        <v>-0.708799578341892</v>
      </c>
      <c r="E405" s="170">
        <v>0</v>
      </c>
      <c r="F405" s="171">
        <v>0</v>
      </c>
      <c r="G405" s="170">
        <f>-$L$1</f>
        <v>-1.4990492230334603E-2</v>
      </c>
      <c r="H405" s="171">
        <v>0</v>
      </c>
      <c r="I405" s="171">
        <v>0</v>
      </c>
      <c r="J405" s="177">
        <f>-$N$1</f>
        <v>-4.7716218756768064E-3</v>
      </c>
      <c r="L405">
        <v>0</v>
      </c>
      <c r="M405">
        <v>0</v>
      </c>
      <c r="N405">
        <v>0.45567563897317048</v>
      </c>
    </row>
    <row r="406" spans="1:16">
      <c r="A406" s="170"/>
      <c r="B406" s="171"/>
      <c r="C406" s="171"/>
      <c r="D406" s="171"/>
      <c r="E406" s="170"/>
      <c r="F406" s="170"/>
      <c r="G406" s="170"/>
      <c r="H406" s="170"/>
      <c r="I406" s="170"/>
      <c r="J406" s="170"/>
    </row>
    <row r="407" spans="1:16">
      <c r="A407" s="170"/>
      <c r="B407" s="171">
        <v>0.40019020491700363</v>
      </c>
      <c r="C407" s="171">
        <v>1.0840062473010013</v>
      </c>
      <c r="D407" s="171">
        <v>1.6840506224230944E-2</v>
      </c>
      <c r="E407" s="170">
        <f>-$L$1</f>
        <v>-1.4990492230334603E-2</v>
      </c>
      <c r="F407" s="171">
        <v>0</v>
      </c>
      <c r="G407" s="171">
        <v>0</v>
      </c>
      <c r="H407" s="177">
        <f>-$N$1</f>
        <v>-4.7716218756768064E-3</v>
      </c>
      <c r="I407" s="170">
        <v>0</v>
      </c>
      <c r="J407" s="170">
        <v>0</v>
      </c>
      <c r="L407">
        <f t="array" ref="L407:N409">SVDD(B407:D409)</f>
        <v>3.6352979814987942</v>
      </c>
      <c r="M407">
        <v>0</v>
      </c>
      <c r="N407">
        <v>0</v>
      </c>
      <c r="P407">
        <f t="shared" ref="P407" si="146">MAX(L407,M408,N409)/MIN(L407,M408,N409)</f>
        <v>88.262830753422278</v>
      </c>
    </row>
    <row r="408" spans="1:16">
      <c r="A408" s="170" t="s">
        <v>315</v>
      </c>
      <c r="B408" s="171">
        <v>-2.0770709056556562</v>
      </c>
      <c r="C408" s="171">
        <v>2.1445635165533226</v>
      </c>
      <c r="D408" s="171">
        <v>5.6653180844775664E-2</v>
      </c>
      <c r="E408" s="170">
        <v>0</v>
      </c>
      <c r="F408" s="170">
        <f>-$L$1</f>
        <v>-1.4990492230334603E-2</v>
      </c>
      <c r="G408" s="171">
        <v>0</v>
      </c>
      <c r="H408" s="171">
        <v>0</v>
      </c>
      <c r="I408" s="177">
        <f>-$N$1</f>
        <v>-4.7716218756768064E-3</v>
      </c>
      <c r="J408" s="170">
        <v>0</v>
      </c>
      <c r="L408">
        <v>0</v>
      </c>
      <c r="M408">
        <v>1.3269937688276492</v>
      </c>
      <c r="N408">
        <v>0</v>
      </c>
    </row>
    <row r="409" spans="1:16">
      <c r="A409" s="170"/>
      <c r="B409" s="171">
        <v>-0.45824053226673911</v>
      </c>
      <c r="C409" s="171">
        <v>2.124969022302313</v>
      </c>
      <c r="D409" s="171">
        <v>-2.076961144994538E-2</v>
      </c>
      <c r="E409" s="170">
        <v>0</v>
      </c>
      <c r="F409" s="171">
        <v>0</v>
      </c>
      <c r="G409" s="170">
        <f>-$L$1</f>
        <v>-1.4990492230334603E-2</v>
      </c>
      <c r="H409" s="171">
        <v>0</v>
      </c>
      <c r="I409" s="171">
        <v>0</v>
      </c>
      <c r="J409" s="177">
        <f>-$N$1</f>
        <v>-4.7716218756768064E-3</v>
      </c>
      <c r="L409">
        <v>0</v>
      </c>
      <c r="M409">
        <v>0</v>
      </c>
      <c r="N409">
        <v>4.1187190014952475E-2</v>
      </c>
    </row>
    <row r="410" spans="1:16">
      <c r="A410" s="170"/>
      <c r="B410" s="171"/>
      <c r="C410" s="171"/>
      <c r="D410" s="171"/>
      <c r="E410" s="170"/>
      <c r="F410" s="170"/>
      <c r="G410" s="170"/>
      <c r="H410" s="170"/>
      <c r="I410" s="170"/>
      <c r="J410" s="170"/>
    </row>
    <row r="411" spans="1:16">
      <c r="A411" s="170"/>
      <c r="B411" s="171">
        <v>0.40019020491700363</v>
      </c>
      <c r="C411" s="171">
        <v>1.0840062473010013</v>
      </c>
      <c r="D411" s="171">
        <v>1.6840506224230944E-2</v>
      </c>
      <c r="E411" s="170">
        <f>-$L$1</f>
        <v>-1.4990492230334603E-2</v>
      </c>
      <c r="F411" s="171">
        <v>0</v>
      </c>
      <c r="G411" s="171">
        <v>0</v>
      </c>
      <c r="H411" s="177">
        <f>-$N$1</f>
        <v>-4.7716218756768064E-3</v>
      </c>
      <c r="I411" s="170">
        <v>0</v>
      </c>
      <c r="J411" s="170">
        <v>0</v>
      </c>
      <c r="L411">
        <f t="array" ref="L411:N413">SVDD(B411:D413)</f>
        <v>4.0004552400202558</v>
      </c>
      <c r="M411">
        <v>0</v>
      </c>
      <c r="N411">
        <v>0</v>
      </c>
      <c r="P411">
        <f t="shared" ref="P411" si="147">MAX(L411,M412,N413)/MIN(L411,M412,N413)</f>
        <v>8.1126859890305525</v>
      </c>
    </row>
    <row r="412" spans="1:16">
      <c r="A412" s="170" t="s">
        <v>316</v>
      </c>
      <c r="B412" s="171">
        <v>-2.0770709056556562</v>
      </c>
      <c r="C412" s="171">
        <v>2.1445635165533226</v>
      </c>
      <c r="D412" s="171">
        <v>5.6653180844775664E-2</v>
      </c>
      <c r="E412" s="170">
        <v>0</v>
      </c>
      <c r="F412" s="170">
        <f>-$L$1</f>
        <v>-1.4990492230334603E-2</v>
      </c>
      <c r="G412" s="171">
        <v>0</v>
      </c>
      <c r="H412" s="171">
        <v>0</v>
      </c>
      <c r="I412" s="177">
        <f>-$N$1</f>
        <v>-4.7716218756768064E-3</v>
      </c>
      <c r="J412" s="170">
        <v>0</v>
      </c>
      <c r="L412">
        <v>0</v>
      </c>
      <c r="M412">
        <v>1.2014279451541472</v>
      </c>
      <c r="N412">
        <v>0</v>
      </c>
    </row>
    <row r="413" spans="1:16">
      <c r="A413" s="170"/>
      <c r="B413" s="171">
        <v>-1.0673702345396179</v>
      </c>
      <c r="C413" s="171">
        <v>2.4075843796929846</v>
      </c>
      <c r="D413" s="171">
        <v>-0.708799578341892</v>
      </c>
      <c r="E413" s="170">
        <v>0</v>
      </c>
      <c r="F413" s="171">
        <v>0</v>
      </c>
      <c r="G413" s="170">
        <f>-$L$1</f>
        <v>-1.4990492230334603E-2</v>
      </c>
      <c r="H413" s="171">
        <v>0</v>
      </c>
      <c r="I413" s="171">
        <v>0</v>
      </c>
      <c r="J413" s="177">
        <f>-$N$1</f>
        <v>-4.7716218756768064E-3</v>
      </c>
      <c r="L413">
        <v>0</v>
      </c>
      <c r="M413">
        <v>0</v>
      </c>
      <c r="N413">
        <v>0.49311106647408909</v>
      </c>
    </row>
    <row r="414" spans="1:16">
      <c r="A414" s="170"/>
      <c r="B414" s="171"/>
      <c r="C414" s="171"/>
      <c r="D414" s="171"/>
      <c r="E414" s="170"/>
      <c r="F414" s="170"/>
      <c r="G414" s="170"/>
      <c r="H414" s="170"/>
      <c r="I414" s="170"/>
      <c r="J414" s="170"/>
    </row>
    <row r="415" spans="1:16">
      <c r="A415" s="170"/>
      <c r="B415" s="171">
        <v>0.40019020491700363</v>
      </c>
      <c r="C415" s="171">
        <v>1.0840062473010013</v>
      </c>
      <c r="D415" s="171">
        <v>1.6840506224230944E-2</v>
      </c>
      <c r="E415" s="170">
        <f>-$L$1</f>
        <v>-1.4990492230334603E-2</v>
      </c>
      <c r="F415" s="171">
        <v>0</v>
      </c>
      <c r="G415" s="171">
        <v>0</v>
      </c>
      <c r="H415" s="177">
        <f>-$N$1</f>
        <v>-4.7716218756768064E-3</v>
      </c>
      <c r="I415" s="170">
        <v>0</v>
      </c>
      <c r="J415" s="170">
        <v>0</v>
      </c>
      <c r="L415">
        <f t="array" ref="L415:N417">SVDD(B415:D417)</f>
        <v>3.5590730720337227</v>
      </c>
      <c r="M415">
        <v>0</v>
      </c>
      <c r="N415">
        <v>0</v>
      </c>
      <c r="P415">
        <f t="shared" ref="P415" si="148">MAX(L415,M416,N417)/MIN(L415,M416,N417)</f>
        <v>12.299736121719162</v>
      </c>
    </row>
    <row r="416" spans="1:16">
      <c r="A416" s="170" t="s">
        <v>317</v>
      </c>
      <c r="B416" s="171">
        <v>-0.45824053226673911</v>
      </c>
      <c r="C416" s="171">
        <v>2.124969022302313</v>
      </c>
      <c r="D416" s="171">
        <v>-2.076961144994538E-2</v>
      </c>
      <c r="E416" s="170">
        <v>0</v>
      </c>
      <c r="F416" s="170">
        <f>-$L$1</f>
        <v>-1.4990492230334603E-2</v>
      </c>
      <c r="G416" s="171">
        <v>0</v>
      </c>
      <c r="H416" s="171">
        <v>0</v>
      </c>
      <c r="I416" s="177">
        <f>-$N$1</f>
        <v>-4.7716218756768064E-3</v>
      </c>
      <c r="J416" s="170">
        <v>0</v>
      </c>
      <c r="L416">
        <v>0</v>
      </c>
      <c r="M416">
        <v>0.86534485042459308</v>
      </c>
      <c r="N416">
        <v>0</v>
      </c>
    </row>
    <row r="417" spans="1:16">
      <c r="A417" s="170"/>
      <c r="B417" s="171">
        <v>-1.0673702345396179</v>
      </c>
      <c r="C417" s="171">
        <v>2.4075843796929846</v>
      </c>
      <c r="D417" s="171">
        <v>-0.708799578341892</v>
      </c>
      <c r="E417" s="170">
        <v>0</v>
      </c>
      <c r="F417" s="171">
        <v>0</v>
      </c>
      <c r="G417" s="170">
        <f>-$L$1</f>
        <v>-1.4990492230334603E-2</v>
      </c>
      <c r="H417" s="171">
        <v>0</v>
      </c>
      <c r="I417" s="171">
        <v>0</v>
      </c>
      <c r="J417" s="177">
        <f>-$N$1</f>
        <v>-4.7716218756768064E-3</v>
      </c>
      <c r="L417">
        <v>0</v>
      </c>
      <c r="M417">
        <v>0</v>
      </c>
      <c r="N417">
        <v>0.28936174213925031</v>
      </c>
    </row>
    <row r="418" spans="1:16">
      <c r="A418" s="170"/>
      <c r="B418" s="171"/>
      <c r="C418" s="171"/>
      <c r="D418" s="171"/>
      <c r="E418" s="170"/>
      <c r="F418" s="170"/>
      <c r="G418" s="170"/>
      <c r="H418" s="170"/>
      <c r="I418" s="170"/>
      <c r="J418" s="170"/>
    </row>
    <row r="419" spans="1:16">
      <c r="A419" s="170"/>
      <c r="B419" s="171">
        <v>-2.0770709056556562</v>
      </c>
      <c r="C419" s="171">
        <v>2.1445635165533226</v>
      </c>
      <c r="D419" s="171">
        <v>5.6653180844775664E-2</v>
      </c>
      <c r="E419" s="170">
        <f>-$L$1</f>
        <v>-1.4990492230334603E-2</v>
      </c>
      <c r="F419" s="171">
        <v>0</v>
      </c>
      <c r="G419" s="171">
        <v>0</v>
      </c>
      <c r="H419" s="177">
        <f>-$N$1</f>
        <v>-4.7716218756768064E-3</v>
      </c>
      <c r="I419" s="170">
        <v>0</v>
      </c>
      <c r="J419" s="170">
        <v>0</v>
      </c>
      <c r="L419">
        <f t="array" ref="L419:N421">SVDD(B419:D421)</f>
        <v>4.4365135714374775</v>
      </c>
      <c r="M419">
        <v>0</v>
      </c>
      <c r="N419">
        <v>0</v>
      </c>
      <c r="P419">
        <f t="shared" ref="P419" si="149">MAX(L419,M420,N421)/MIN(L419,M420,N421)</f>
        <v>8.5693135695380551</v>
      </c>
    </row>
    <row r="420" spans="1:16">
      <c r="A420" s="170" t="s">
        <v>318</v>
      </c>
      <c r="B420" s="171">
        <v>-0.45824053226673911</v>
      </c>
      <c r="C420" s="171">
        <v>2.124969022302313</v>
      </c>
      <c r="D420" s="171">
        <v>-2.076961144994538E-2</v>
      </c>
      <c r="E420" s="170">
        <v>0</v>
      </c>
      <c r="F420" s="170">
        <f>-$L$1</f>
        <v>-1.4990492230334603E-2</v>
      </c>
      <c r="G420" s="171">
        <v>0</v>
      </c>
      <c r="H420" s="171">
        <v>0</v>
      </c>
      <c r="I420" s="177">
        <f>-$N$1</f>
        <v>-4.7716218756768064E-3</v>
      </c>
      <c r="J420" s="170">
        <v>0</v>
      </c>
      <c r="L420">
        <v>0</v>
      </c>
      <c r="M420">
        <v>1.0629890961656128</v>
      </c>
      <c r="N420">
        <v>0</v>
      </c>
    </row>
    <row r="421" spans="1:16">
      <c r="A421" s="170"/>
      <c r="B421" s="171">
        <v>-1.0673702345396179</v>
      </c>
      <c r="C421" s="171">
        <v>2.4075843796929846</v>
      </c>
      <c r="D421" s="171">
        <v>-0.708799578341892</v>
      </c>
      <c r="E421" s="170">
        <v>0</v>
      </c>
      <c r="F421" s="171">
        <v>0</v>
      </c>
      <c r="G421" s="170">
        <f>-$L$1</f>
        <v>-1.4990492230334603E-2</v>
      </c>
      <c r="H421" s="171">
        <v>0</v>
      </c>
      <c r="I421" s="171">
        <v>0</v>
      </c>
      <c r="J421" s="177">
        <f>-$N$1</f>
        <v>-4.7716218756768064E-3</v>
      </c>
      <c r="L421">
        <v>0</v>
      </c>
      <c r="M421">
        <v>0</v>
      </c>
      <c r="N421">
        <v>0.51772099777142777</v>
      </c>
    </row>
    <row r="422" spans="1:16">
      <c r="A422" s="170"/>
      <c r="B422" s="171"/>
      <c r="C422" s="171"/>
      <c r="D422" s="171"/>
      <c r="E422" s="170"/>
      <c r="F422" s="170"/>
      <c r="G422" s="170"/>
      <c r="H422" s="170"/>
      <c r="I422" s="170"/>
      <c r="J422" s="170"/>
    </row>
    <row r="423" spans="1:16">
      <c r="A423" s="170"/>
      <c r="B423" s="171">
        <v>1.4028471761352286</v>
      </c>
      <c r="C423" s="171">
        <v>-0.814665459345566</v>
      </c>
      <c r="D423" s="171">
        <v>-0.7195871750303805</v>
      </c>
      <c r="E423" s="170">
        <f>-$L$1</f>
        <v>-1.4990492230334603E-2</v>
      </c>
      <c r="F423" s="171">
        <v>0</v>
      </c>
      <c r="G423" s="171">
        <v>0</v>
      </c>
      <c r="H423" s="177">
        <f>-$N$1</f>
        <v>-4.7716218756768064E-3</v>
      </c>
      <c r="I423" s="170">
        <v>0</v>
      </c>
      <c r="J423" s="170">
        <v>0</v>
      </c>
      <c r="L423">
        <f t="array" ref="L423:N425">SVDD(B423:D425)</f>
        <v>3.1000127906565456</v>
      </c>
      <c r="M423">
        <v>0</v>
      </c>
      <c r="N423">
        <v>0</v>
      </c>
      <c r="P423">
        <f t="shared" ref="P423" si="150">MAX(L423,M424,N425)/MIN(L423,M424,N425)</f>
        <v>5.2226620862837869</v>
      </c>
    </row>
    <row r="424" spans="1:16">
      <c r="A424" s="170" t="s">
        <v>319</v>
      </c>
      <c r="B424" s="171">
        <v>0.14897154656832046</v>
      </c>
      <c r="C424" s="171">
        <v>-0.84725762547333594</v>
      </c>
      <c r="D424" s="171">
        <v>1.9759438806851826E-2</v>
      </c>
      <c r="E424" s="170">
        <v>0</v>
      </c>
      <c r="F424" s="170">
        <f>-$L$1</f>
        <v>-1.4990492230334603E-2</v>
      </c>
      <c r="G424" s="171">
        <v>0</v>
      </c>
      <c r="H424" s="171">
        <v>0</v>
      </c>
      <c r="I424" s="177">
        <f>-$N$1</f>
        <v>-4.7716218756768064E-3</v>
      </c>
      <c r="J424" s="170">
        <v>0</v>
      </c>
      <c r="L424">
        <v>0</v>
      </c>
      <c r="M424">
        <v>0.79936873730076408</v>
      </c>
      <c r="N424">
        <v>0</v>
      </c>
    </row>
    <row r="425" spans="1:16">
      <c r="A425" s="170"/>
      <c r="B425" s="171">
        <v>2.44475956514645</v>
      </c>
      <c r="C425" s="171">
        <v>-0.85548399177677847</v>
      </c>
      <c r="D425" s="171">
        <v>5.2896656816179721E-2</v>
      </c>
      <c r="E425" s="170">
        <v>0</v>
      </c>
      <c r="F425" s="171">
        <v>0</v>
      </c>
      <c r="G425" s="170">
        <f>-$L$1</f>
        <v>-1.4990492230334603E-2</v>
      </c>
      <c r="H425" s="171">
        <v>0</v>
      </c>
      <c r="I425" s="171">
        <v>0</v>
      </c>
      <c r="J425" s="177">
        <f>-$N$1</f>
        <v>-4.7716218756768064E-3</v>
      </c>
      <c r="L425">
        <v>0</v>
      </c>
      <c r="M425">
        <v>0</v>
      </c>
      <c r="N425">
        <v>0.59356947461679954</v>
      </c>
    </row>
    <row r="426" spans="1:16">
      <c r="A426" s="170"/>
      <c r="B426" s="171"/>
      <c r="C426" s="171"/>
      <c r="D426" s="171"/>
      <c r="E426" s="170"/>
      <c r="F426" s="170"/>
      <c r="G426" s="170"/>
      <c r="H426" s="170"/>
      <c r="I426" s="170"/>
      <c r="J426" s="170"/>
    </row>
    <row r="427" spans="1:16">
      <c r="A427" s="170"/>
      <c r="B427" s="171">
        <v>1.4028471761352286</v>
      </c>
      <c r="C427" s="171">
        <v>-0.814665459345566</v>
      </c>
      <c r="D427" s="171">
        <v>-0.7195871750303805</v>
      </c>
      <c r="E427" s="170">
        <f>-$L$1</f>
        <v>-1.4990492230334603E-2</v>
      </c>
      <c r="F427" s="171">
        <v>0</v>
      </c>
      <c r="G427" s="171">
        <v>0</v>
      </c>
      <c r="H427" s="177">
        <f>-$N$1</f>
        <v>-4.7716218756768064E-3</v>
      </c>
      <c r="I427" s="170">
        <v>0</v>
      </c>
      <c r="J427" s="170">
        <v>0</v>
      </c>
      <c r="L427">
        <f t="array" ref="L427:N429">SVDD(B427:D429)</f>
        <v>3.1941270869072875</v>
      </c>
      <c r="M427">
        <v>0</v>
      </c>
      <c r="N427">
        <v>0</v>
      </c>
      <c r="P427">
        <f t="shared" ref="P427" si="151">MAX(L427,M428,N429)/MIN(L427,M428,N429)</f>
        <v>6.8946518551856064</v>
      </c>
    </row>
    <row r="428" spans="1:16">
      <c r="A428" s="170" t="s">
        <v>320</v>
      </c>
      <c r="B428" s="171">
        <v>0.14897154656832046</v>
      </c>
      <c r="C428" s="171">
        <v>-0.84725762547333594</v>
      </c>
      <c r="D428" s="171">
        <v>1.9759438806851826E-2</v>
      </c>
      <c r="E428" s="170">
        <v>0</v>
      </c>
      <c r="F428" s="170">
        <f>-$L$1</f>
        <v>-1.4990492230334603E-2</v>
      </c>
      <c r="G428" s="171">
        <v>0</v>
      </c>
      <c r="H428" s="171">
        <v>0</v>
      </c>
      <c r="I428" s="177">
        <f>-$N$1</f>
        <v>-4.7716218756768064E-3</v>
      </c>
      <c r="J428" s="170">
        <v>0</v>
      </c>
      <c r="L428">
        <v>0</v>
      </c>
      <c r="M428">
        <v>1.2742238790864915</v>
      </c>
      <c r="N428">
        <v>0</v>
      </c>
    </row>
    <row r="429" spans="1:16">
      <c r="A429" s="170"/>
      <c r="B429" s="171">
        <v>2.8449497700634536</v>
      </c>
      <c r="C429" s="171">
        <v>0.22852225552422287</v>
      </c>
      <c r="D429" s="171">
        <v>6.9737163040410666E-2</v>
      </c>
      <c r="E429" s="170">
        <v>0</v>
      </c>
      <c r="F429" s="171">
        <v>0</v>
      </c>
      <c r="G429" s="170">
        <f>-$L$1</f>
        <v>-1.4990492230334603E-2</v>
      </c>
      <c r="H429" s="171">
        <v>0</v>
      </c>
      <c r="I429" s="171">
        <v>0</v>
      </c>
      <c r="J429" s="177">
        <f>-$N$1</f>
        <v>-4.7716218756768064E-3</v>
      </c>
      <c r="L429">
        <v>0</v>
      </c>
      <c r="M429">
        <v>0</v>
      </c>
      <c r="N429">
        <v>0.46327605135057259</v>
      </c>
    </row>
    <row r="430" spans="1:16">
      <c r="A430" s="170"/>
      <c r="B430" s="171"/>
      <c r="C430" s="171"/>
      <c r="D430" s="171"/>
      <c r="E430" s="170"/>
      <c r="F430" s="170"/>
      <c r="G430" s="170"/>
      <c r="H430" s="170"/>
      <c r="I430" s="170"/>
      <c r="J430" s="170"/>
    </row>
    <row r="431" spans="1:16">
      <c r="A431" s="170"/>
      <c r="B431" s="171">
        <v>1.4028471761352286</v>
      </c>
      <c r="C431" s="171">
        <v>-0.814665459345566</v>
      </c>
      <c r="D431" s="171">
        <v>-0.7195871750303805</v>
      </c>
      <c r="E431" s="170">
        <f>-$L$1</f>
        <v>-1.4990492230334603E-2</v>
      </c>
      <c r="F431" s="171">
        <v>0</v>
      </c>
      <c r="G431" s="171">
        <v>0</v>
      </c>
      <c r="H431" s="177">
        <f>-$N$1</f>
        <v>-4.7716218756768064E-3</v>
      </c>
      <c r="I431" s="170">
        <v>0</v>
      </c>
      <c r="J431" s="170">
        <v>0</v>
      </c>
      <c r="L431">
        <f t="array" ref="L431:N433">SVDD(B431:D433)</f>
        <v>1.9684766777030376</v>
      </c>
      <c r="M431">
        <v>0</v>
      </c>
      <c r="N431">
        <v>0</v>
      </c>
      <c r="P431">
        <f t="shared" ref="P431" si="152">MAX(L431,M432,N433)/MIN(L431,M432,N433)</f>
        <v>9.9372843807971485</v>
      </c>
    </row>
    <row r="432" spans="1:16">
      <c r="A432" s="170" t="s">
        <v>321</v>
      </c>
      <c r="B432" s="171">
        <v>0.14897154656832046</v>
      </c>
      <c r="C432" s="171">
        <v>-0.84725762547333594</v>
      </c>
      <c r="D432" s="171">
        <v>1.9759438806851826E-2</v>
      </c>
      <c r="E432" s="170">
        <v>0</v>
      </c>
      <c r="F432" s="170">
        <f>-$L$1</f>
        <v>-1.4990492230334603E-2</v>
      </c>
      <c r="G432" s="171">
        <v>0</v>
      </c>
      <c r="H432" s="171">
        <v>0</v>
      </c>
      <c r="I432" s="177">
        <f>-$N$1</f>
        <v>-4.7716218756768064E-3</v>
      </c>
      <c r="J432" s="170">
        <v>0</v>
      </c>
      <c r="L432">
        <v>0</v>
      </c>
      <c r="M432">
        <v>1.3359177417946284</v>
      </c>
      <c r="N432">
        <v>0</v>
      </c>
    </row>
    <row r="433" spans="1:16">
      <c r="A433" s="170"/>
      <c r="B433" s="171">
        <v>0.36768865949079377</v>
      </c>
      <c r="C433" s="171">
        <v>1.2890795247765441</v>
      </c>
      <c r="D433" s="171">
        <v>0.10954983766095538</v>
      </c>
      <c r="E433" s="170">
        <v>0</v>
      </c>
      <c r="F433" s="171">
        <v>0</v>
      </c>
      <c r="G433" s="170">
        <f>-$L$1</f>
        <v>-1.4990492230334603E-2</v>
      </c>
      <c r="H433" s="171">
        <v>0</v>
      </c>
      <c r="I433" s="171">
        <v>0</v>
      </c>
      <c r="J433" s="177">
        <f>-$N$1</f>
        <v>-4.7716218756768064E-3</v>
      </c>
      <c r="L433">
        <v>0</v>
      </c>
      <c r="M433">
        <v>0</v>
      </c>
      <c r="N433">
        <v>0.19809000148037731</v>
      </c>
    </row>
    <row r="434" spans="1:16">
      <c r="A434" s="170"/>
      <c r="B434" s="171"/>
      <c r="C434" s="171"/>
      <c r="D434" s="171"/>
      <c r="E434" s="170"/>
      <c r="F434" s="170"/>
      <c r="G434" s="170"/>
      <c r="H434" s="170"/>
      <c r="I434" s="170"/>
      <c r="J434" s="170"/>
    </row>
    <row r="435" spans="1:16">
      <c r="A435" s="170"/>
      <c r="B435" s="171">
        <v>1.4028471761352286</v>
      </c>
      <c r="C435" s="171">
        <v>-0.814665459345566</v>
      </c>
      <c r="D435" s="171">
        <v>-0.7195871750303805</v>
      </c>
      <c r="E435" s="170">
        <f>-$L$1</f>
        <v>-1.4990492230334603E-2</v>
      </c>
      <c r="F435" s="171">
        <v>0</v>
      </c>
      <c r="G435" s="171">
        <v>0</v>
      </c>
      <c r="H435" s="177">
        <f>-$N$1</f>
        <v>-4.7716218756768064E-3</v>
      </c>
      <c r="I435" s="170">
        <v>0</v>
      </c>
      <c r="J435" s="170">
        <v>0</v>
      </c>
      <c r="L435">
        <f t="array" ref="L435:N437">SVDD(B435:D437)</f>
        <v>2.5448790443588063</v>
      </c>
      <c r="M435">
        <v>0</v>
      </c>
      <c r="N435">
        <v>0</v>
      </c>
      <c r="P435">
        <f t="shared" ref="P435" si="153">MAX(L435,M436,N437)/MIN(L435,M436,N437)</f>
        <v>7.5591544987062864</v>
      </c>
    </row>
    <row r="436" spans="1:16">
      <c r="A436" s="170" t="s">
        <v>322</v>
      </c>
      <c r="B436" s="171">
        <v>0.14897154656832046</v>
      </c>
      <c r="C436" s="171">
        <v>-0.84725762547333594</v>
      </c>
      <c r="D436" s="171">
        <v>1.9759438806851826E-2</v>
      </c>
      <c r="E436" s="170">
        <v>0</v>
      </c>
      <c r="F436" s="170">
        <f>-$L$1</f>
        <v>-1.4990492230334603E-2</v>
      </c>
      <c r="G436" s="171">
        <v>0</v>
      </c>
      <c r="H436" s="171">
        <v>0</v>
      </c>
      <c r="I436" s="177">
        <f>-$N$1</f>
        <v>-4.7716218756768064E-3</v>
      </c>
      <c r="J436" s="170">
        <v>0</v>
      </c>
      <c r="L436">
        <v>0</v>
      </c>
      <c r="M436">
        <v>1.6908654146230595</v>
      </c>
      <c r="N436">
        <v>0</v>
      </c>
    </row>
    <row r="437" spans="1:16">
      <c r="A437" s="170"/>
      <c r="B437" s="171">
        <v>1.9865190328797109</v>
      </c>
      <c r="C437" s="171">
        <v>1.2694850305255347</v>
      </c>
      <c r="D437" s="171">
        <v>3.2127045366234341E-2</v>
      </c>
      <c r="E437" s="170">
        <v>0</v>
      </c>
      <c r="F437" s="171">
        <v>0</v>
      </c>
      <c r="G437" s="170">
        <f>-$L$1</f>
        <v>-1.4990492230334603E-2</v>
      </c>
      <c r="H437" s="171">
        <v>0</v>
      </c>
      <c r="I437" s="171">
        <v>0</v>
      </c>
      <c r="J437" s="177">
        <f>-$N$1</f>
        <v>-4.7716218756768064E-3</v>
      </c>
      <c r="L437">
        <v>0</v>
      </c>
      <c r="M437">
        <v>0</v>
      </c>
      <c r="N437">
        <v>0.33666186407413029</v>
      </c>
    </row>
    <row r="438" spans="1:16">
      <c r="A438" s="170"/>
      <c r="B438" s="171"/>
      <c r="C438" s="171"/>
      <c r="D438" s="171"/>
      <c r="E438" s="170"/>
      <c r="F438" s="170"/>
      <c r="G438" s="170"/>
      <c r="H438" s="170"/>
      <c r="I438" s="170"/>
      <c r="J438" s="170"/>
    </row>
    <row r="439" spans="1:16">
      <c r="A439" s="170"/>
      <c r="B439" s="171">
        <v>1.4028471761352286</v>
      </c>
      <c r="C439" s="171">
        <v>-0.814665459345566</v>
      </c>
      <c r="D439" s="171">
        <v>-0.7195871750303805</v>
      </c>
      <c r="E439" s="170">
        <f>-$L$1</f>
        <v>-1.4990492230334603E-2</v>
      </c>
      <c r="F439" s="171">
        <v>0</v>
      </c>
      <c r="G439" s="171">
        <v>0</v>
      </c>
      <c r="H439" s="177">
        <f>-$N$1</f>
        <v>-4.7716218756768064E-3</v>
      </c>
      <c r="I439" s="170">
        <v>0</v>
      </c>
      <c r="J439" s="170">
        <v>0</v>
      </c>
      <c r="L439">
        <f t="array" ref="L439:N441">SVDD(B439:D441)</f>
        <v>2.3271767913680312</v>
      </c>
      <c r="M439">
        <v>0</v>
      </c>
      <c r="N439">
        <v>0</v>
      </c>
      <c r="P439">
        <f t="shared" ref="P439" si="154">MAX(L439,M440,N441)/MIN(L439,M440,N441)</f>
        <v>26.099112239465395</v>
      </c>
    </row>
    <row r="440" spans="1:16">
      <c r="A440" s="170" t="s">
        <v>323</v>
      </c>
      <c r="B440" s="171">
        <v>0.14897154656832046</v>
      </c>
      <c r="C440" s="171">
        <v>-0.84725762547333594</v>
      </c>
      <c r="D440" s="171">
        <v>1.9759438806851826E-2</v>
      </c>
      <c r="E440" s="170">
        <v>0</v>
      </c>
      <c r="F440" s="170">
        <f>-$L$1</f>
        <v>-1.4990492230334603E-2</v>
      </c>
      <c r="G440" s="171">
        <v>0</v>
      </c>
      <c r="H440" s="171">
        <v>0</v>
      </c>
      <c r="I440" s="177">
        <f>-$N$1</f>
        <v>-4.7716218756768064E-3</v>
      </c>
      <c r="J440" s="170">
        <v>0</v>
      </c>
      <c r="L440">
        <v>0</v>
      </c>
      <c r="M440">
        <v>1.7895857691275263</v>
      </c>
      <c r="N440">
        <v>0</v>
      </c>
    </row>
    <row r="441" spans="1:16">
      <c r="A441" s="170"/>
      <c r="B441" s="171">
        <v>1.3773893306068323</v>
      </c>
      <c r="C441" s="171">
        <v>1.5521003879162059</v>
      </c>
      <c r="D441" s="171">
        <v>-0.65590292152571228</v>
      </c>
      <c r="E441" s="170">
        <v>0</v>
      </c>
      <c r="F441" s="171">
        <v>0</v>
      </c>
      <c r="G441" s="170">
        <f>-$L$1</f>
        <v>-1.4990492230334603E-2</v>
      </c>
      <c r="H441" s="171">
        <v>0</v>
      </c>
      <c r="I441" s="171">
        <v>0</v>
      </c>
      <c r="J441" s="177">
        <f>-$N$1</f>
        <v>-4.7716218756768064E-3</v>
      </c>
      <c r="L441">
        <v>0</v>
      </c>
      <c r="M441">
        <v>0</v>
      </c>
      <c r="N441">
        <v>8.9166894644371261E-2</v>
      </c>
    </row>
    <row r="442" spans="1:16">
      <c r="A442" s="170"/>
      <c r="B442" s="171"/>
      <c r="C442" s="171"/>
      <c r="D442" s="171"/>
      <c r="E442" s="170"/>
      <c r="F442" s="170"/>
      <c r="G442" s="170"/>
      <c r="H442" s="170"/>
      <c r="I442" s="170"/>
      <c r="J442" s="170"/>
    </row>
    <row r="443" spans="1:16">
      <c r="A443" s="170"/>
      <c r="B443" s="171">
        <v>1.4028471761352286</v>
      </c>
      <c r="C443" s="171">
        <v>-0.814665459345566</v>
      </c>
      <c r="D443" s="171">
        <v>-0.7195871750303805</v>
      </c>
      <c r="E443" s="170">
        <f>-$L$1</f>
        <v>-1.4990492230334603E-2</v>
      </c>
      <c r="F443" s="171">
        <v>0</v>
      </c>
      <c r="G443" s="171">
        <v>0</v>
      </c>
      <c r="H443" s="177">
        <f>-$N$1</f>
        <v>-4.7716218756768064E-3</v>
      </c>
      <c r="I443" s="170">
        <v>0</v>
      </c>
      <c r="J443" s="170">
        <v>0</v>
      </c>
      <c r="L443">
        <f t="array" ref="L443:N445">SVDD(B443:D445)</f>
        <v>4.0644144803502593</v>
      </c>
      <c r="M443">
        <v>0</v>
      </c>
      <c r="N443">
        <v>0</v>
      </c>
      <c r="P443">
        <f t="shared" ref="P443" si="155">MAX(L443,M444,N445)/MIN(L443,M444,N445)</f>
        <v>8.2529665998791568</v>
      </c>
    </row>
    <row r="444" spans="1:16">
      <c r="A444" s="170" t="s">
        <v>324</v>
      </c>
      <c r="B444" s="171">
        <v>2.44475956514645</v>
      </c>
      <c r="C444" s="171">
        <v>-0.85548399177677847</v>
      </c>
      <c r="D444" s="171">
        <v>5.2896656816179721E-2</v>
      </c>
      <c r="E444" s="170">
        <v>0</v>
      </c>
      <c r="F444" s="170">
        <f>-$L$1</f>
        <v>-1.4990492230334603E-2</v>
      </c>
      <c r="G444" s="171">
        <v>0</v>
      </c>
      <c r="H444" s="171">
        <v>0</v>
      </c>
      <c r="I444" s="177">
        <f>-$N$1</f>
        <v>-4.7716218756768064E-3</v>
      </c>
      <c r="J444" s="170">
        <v>0</v>
      </c>
      <c r="L444">
        <v>0</v>
      </c>
      <c r="M444">
        <v>1.1179400728521878</v>
      </c>
      <c r="N444">
        <v>0</v>
      </c>
    </row>
    <row r="445" spans="1:16">
      <c r="A445" s="170"/>
      <c r="B445" s="171">
        <v>2.8449497700634536</v>
      </c>
      <c r="C445" s="171">
        <v>0.22852225552422287</v>
      </c>
      <c r="D445" s="171">
        <v>6.9737163040410666E-2</v>
      </c>
      <c r="E445" s="170">
        <v>0</v>
      </c>
      <c r="F445" s="171">
        <v>0</v>
      </c>
      <c r="G445" s="170">
        <f>-$L$1</f>
        <v>-1.4990492230334603E-2</v>
      </c>
      <c r="H445" s="171">
        <v>0</v>
      </c>
      <c r="I445" s="171">
        <v>0</v>
      </c>
      <c r="J445" s="177">
        <f>-$N$1</f>
        <v>-4.7716218756768064E-3</v>
      </c>
      <c r="L445">
        <v>0</v>
      </c>
      <c r="M445">
        <v>0</v>
      </c>
      <c r="N445">
        <v>0.49247921110086307</v>
      </c>
    </row>
    <row r="446" spans="1:16">
      <c r="A446" s="170"/>
      <c r="B446" s="171"/>
      <c r="C446" s="171"/>
      <c r="D446" s="171"/>
      <c r="E446" s="170"/>
      <c r="F446" s="170"/>
      <c r="G446" s="170"/>
      <c r="H446" s="170"/>
      <c r="I446" s="170"/>
      <c r="J446" s="170"/>
    </row>
    <row r="447" spans="1:16">
      <c r="A447" s="170"/>
      <c r="B447" s="171">
        <v>1.4028471761352286</v>
      </c>
      <c r="C447" s="171">
        <v>-0.814665459345566</v>
      </c>
      <c r="D447" s="171">
        <v>-0.7195871750303805</v>
      </c>
      <c r="E447" s="170">
        <f>-$L$1</f>
        <v>-1.4990492230334603E-2</v>
      </c>
      <c r="F447" s="171">
        <v>0</v>
      </c>
      <c r="G447" s="171">
        <v>0</v>
      </c>
      <c r="H447" s="177">
        <f>-$N$1</f>
        <v>-4.7716218756768064E-3</v>
      </c>
      <c r="I447" s="170">
        <v>0</v>
      </c>
      <c r="J447" s="170">
        <v>0</v>
      </c>
      <c r="L447">
        <f t="array" ref="L447:N449">SVDD(B447:D449)</f>
        <v>3.0697225356387325</v>
      </c>
      <c r="M447">
        <v>0</v>
      </c>
      <c r="N447">
        <v>0</v>
      </c>
      <c r="P447">
        <f t="shared" ref="P447" si="156">MAX(L447,M448,N449)/MIN(L447,M448,N449)</f>
        <v>5.1437331426071831</v>
      </c>
    </row>
    <row r="448" spans="1:16">
      <c r="A448" s="170" t="s">
        <v>325</v>
      </c>
      <c r="B448" s="171">
        <v>2.44475956514645</v>
      </c>
      <c r="C448" s="171">
        <v>-0.85548399177677847</v>
      </c>
      <c r="D448" s="171">
        <v>5.2896656816179721E-2</v>
      </c>
      <c r="E448" s="170">
        <v>0</v>
      </c>
      <c r="F448" s="170">
        <f>-$L$1</f>
        <v>-1.4990492230334603E-2</v>
      </c>
      <c r="G448" s="171">
        <v>0</v>
      </c>
      <c r="H448" s="171">
        <v>0</v>
      </c>
      <c r="I448" s="177">
        <f>-$N$1</f>
        <v>-4.7716218756768064E-3</v>
      </c>
      <c r="J448" s="170">
        <v>0</v>
      </c>
      <c r="L448">
        <v>0</v>
      </c>
      <c r="M448">
        <v>1.3749671754698374</v>
      </c>
      <c r="N448">
        <v>0</v>
      </c>
    </row>
    <row r="449" spans="1:16">
      <c r="A449" s="170"/>
      <c r="B449" s="171">
        <v>0.36768865949079377</v>
      </c>
      <c r="C449" s="171">
        <v>1.2890795247765441</v>
      </c>
      <c r="D449" s="171">
        <v>0.10954983766095538</v>
      </c>
      <c r="E449" s="170">
        <v>0</v>
      </c>
      <c r="F449" s="171">
        <v>0</v>
      </c>
      <c r="G449" s="170">
        <f>-$L$1</f>
        <v>-1.4990492230334603E-2</v>
      </c>
      <c r="H449" s="171">
        <v>0</v>
      </c>
      <c r="I449" s="171">
        <v>0</v>
      </c>
      <c r="J449" s="177">
        <f>-$N$1</f>
        <v>-4.7716218756768064E-3</v>
      </c>
      <c r="L449">
        <v>0</v>
      </c>
      <c r="M449">
        <v>0</v>
      </c>
      <c r="N449">
        <v>0.59678884003745081</v>
      </c>
    </row>
    <row r="450" spans="1:16">
      <c r="A450" s="170"/>
      <c r="B450" s="171"/>
      <c r="C450" s="171"/>
      <c r="D450" s="171"/>
      <c r="E450" s="170"/>
      <c r="F450" s="170"/>
      <c r="G450" s="170"/>
      <c r="H450" s="170"/>
      <c r="I450" s="170"/>
      <c r="J450" s="170"/>
    </row>
    <row r="451" spans="1:16">
      <c r="A451" s="170"/>
      <c r="B451" s="171">
        <v>1.4028471761352286</v>
      </c>
      <c r="C451" s="171">
        <v>-0.814665459345566</v>
      </c>
      <c r="D451" s="171">
        <v>-0.7195871750303805</v>
      </c>
      <c r="E451" s="170">
        <f>-$L$1</f>
        <v>-1.4990492230334603E-2</v>
      </c>
      <c r="F451" s="171">
        <v>0</v>
      </c>
      <c r="G451" s="171">
        <v>0</v>
      </c>
      <c r="H451" s="177">
        <f>-$N$1</f>
        <v>-4.7716218756768064E-3</v>
      </c>
      <c r="I451" s="170">
        <v>0</v>
      </c>
      <c r="J451" s="170">
        <v>0</v>
      </c>
      <c r="L451">
        <f t="array" ref="L451:N453">SVDD(B451:D453)</f>
        <v>3.4658884447027165</v>
      </c>
      <c r="M451">
        <v>0</v>
      </c>
      <c r="N451">
        <v>0</v>
      </c>
      <c r="P451">
        <f t="shared" ref="P451" si="157">MAX(L451,M452,N453)/MIN(L451,M452,N453)</f>
        <v>5.8121432217475695</v>
      </c>
    </row>
    <row r="452" spans="1:16">
      <c r="A452" s="170" t="s">
        <v>326</v>
      </c>
      <c r="B452" s="171">
        <v>2.44475956514645</v>
      </c>
      <c r="C452" s="171">
        <v>-0.85548399177677847</v>
      </c>
      <c r="D452" s="171">
        <v>5.2896656816179721E-2</v>
      </c>
      <c r="E452" s="170">
        <v>0</v>
      </c>
      <c r="F452" s="170">
        <f>-$L$1</f>
        <v>-1.4990492230334603E-2</v>
      </c>
      <c r="G452" s="171">
        <v>0</v>
      </c>
      <c r="H452" s="171">
        <v>0</v>
      </c>
      <c r="I452" s="177">
        <f>-$N$1</f>
        <v>-4.7716218756768064E-3</v>
      </c>
      <c r="J452" s="170">
        <v>0</v>
      </c>
      <c r="L452">
        <v>0</v>
      </c>
      <c r="M452">
        <v>1.7469601514687334</v>
      </c>
      <c r="N452">
        <v>0</v>
      </c>
    </row>
    <row r="453" spans="1:16">
      <c r="A453" s="170"/>
      <c r="B453" s="171">
        <v>1.9865190328797109</v>
      </c>
      <c r="C453" s="171">
        <v>1.2694850305255347</v>
      </c>
      <c r="D453" s="171">
        <v>3.2127045366234341E-2</v>
      </c>
      <c r="E453" s="170">
        <v>0</v>
      </c>
      <c r="F453" s="171">
        <v>0</v>
      </c>
      <c r="G453" s="170">
        <f>-$L$1</f>
        <v>-1.4990492230334603E-2</v>
      </c>
      <c r="H453" s="171">
        <v>0</v>
      </c>
      <c r="I453" s="171">
        <v>0</v>
      </c>
      <c r="J453" s="177">
        <f>-$N$1</f>
        <v>-4.7716218756768064E-3</v>
      </c>
      <c r="L453">
        <v>0</v>
      </c>
      <c r="M453">
        <v>0</v>
      </c>
      <c r="N453">
        <v>0.59631848570665613</v>
      </c>
    </row>
    <row r="454" spans="1:16">
      <c r="A454" s="170"/>
      <c r="B454" s="171"/>
      <c r="C454" s="171"/>
      <c r="D454" s="171"/>
      <c r="E454" s="170"/>
      <c r="F454" s="170"/>
      <c r="G454" s="170"/>
      <c r="H454" s="170"/>
      <c r="I454" s="170"/>
      <c r="J454" s="170"/>
    </row>
    <row r="455" spans="1:16">
      <c r="A455" s="170"/>
      <c r="B455" s="171">
        <v>1.4028471761352286</v>
      </c>
      <c r="C455" s="171">
        <v>-0.814665459345566</v>
      </c>
      <c r="D455" s="171">
        <v>-0.7195871750303805</v>
      </c>
      <c r="E455" s="170">
        <f>-$L$1</f>
        <v>-1.4990492230334603E-2</v>
      </c>
      <c r="F455" s="171">
        <v>0</v>
      </c>
      <c r="G455" s="171">
        <v>0</v>
      </c>
      <c r="H455" s="177">
        <f>-$N$1</f>
        <v>-4.7716218756768064E-3</v>
      </c>
      <c r="I455" s="170">
        <v>0</v>
      </c>
      <c r="J455" s="170">
        <v>0</v>
      </c>
      <c r="L455">
        <f t="array" ref="L455:N457">SVDD(B455:D457)</f>
        <v>3.2150312761623865</v>
      </c>
      <c r="M455">
        <v>0</v>
      </c>
      <c r="N455">
        <v>0</v>
      </c>
      <c r="P455">
        <f t="shared" ref="P455" si="158">MAX(L455,M456,N457)/MIN(L455,M456,N457)</f>
        <v>4.7138939593144054</v>
      </c>
    </row>
    <row r="456" spans="1:16">
      <c r="A456" s="170" t="s">
        <v>327</v>
      </c>
      <c r="B456" s="171">
        <v>2.44475956514645</v>
      </c>
      <c r="C456" s="171">
        <v>-0.85548399177677847</v>
      </c>
      <c r="D456" s="171">
        <v>5.2896656816179721E-2</v>
      </c>
      <c r="E456" s="170">
        <v>0</v>
      </c>
      <c r="F456" s="170">
        <f>-$L$1</f>
        <v>-1.4990492230334603E-2</v>
      </c>
      <c r="G456" s="171">
        <v>0</v>
      </c>
      <c r="H456" s="171">
        <v>0</v>
      </c>
      <c r="I456" s="177">
        <f>-$N$1</f>
        <v>-4.7716218756768064E-3</v>
      </c>
      <c r="J456" s="170">
        <v>0</v>
      </c>
      <c r="L456">
        <v>0</v>
      </c>
      <c r="M456">
        <v>1.9482803839955478</v>
      </c>
      <c r="N456">
        <v>0</v>
      </c>
    </row>
    <row r="457" spans="1:16">
      <c r="A457" s="170"/>
      <c r="B457" s="171">
        <v>1.3773893306068323</v>
      </c>
      <c r="C457" s="171">
        <v>1.5521003879162059</v>
      </c>
      <c r="D457" s="171">
        <v>-0.65590292152571228</v>
      </c>
      <c r="E457" s="170">
        <v>0</v>
      </c>
      <c r="F457" s="171">
        <v>0</v>
      </c>
      <c r="G457" s="170">
        <f>-$L$1</f>
        <v>-1.4990492230334603E-2</v>
      </c>
      <c r="H457" s="171">
        <v>0</v>
      </c>
      <c r="I457" s="171">
        <v>0</v>
      </c>
      <c r="J457" s="177">
        <f>-$N$1</f>
        <v>-4.7716218756768064E-3</v>
      </c>
      <c r="L457">
        <v>0</v>
      </c>
      <c r="M457">
        <v>0</v>
      </c>
      <c r="N457">
        <v>0.68203300793596655</v>
      </c>
    </row>
    <row r="458" spans="1:16">
      <c r="A458" s="170"/>
      <c r="B458" s="171"/>
      <c r="C458" s="171"/>
      <c r="D458" s="171"/>
      <c r="E458" s="170"/>
      <c r="F458" s="170"/>
      <c r="G458" s="170"/>
      <c r="H458" s="170"/>
      <c r="I458" s="170"/>
      <c r="J458" s="170"/>
    </row>
    <row r="459" spans="1:16">
      <c r="A459" s="170"/>
      <c r="B459" s="171">
        <v>1.4028471761352286</v>
      </c>
      <c r="C459" s="171">
        <v>-0.814665459345566</v>
      </c>
      <c r="D459" s="171">
        <v>-0.7195871750303805</v>
      </c>
      <c r="E459" s="170">
        <f>-$L$1</f>
        <v>-1.4990492230334603E-2</v>
      </c>
      <c r="F459" s="171">
        <v>0</v>
      </c>
      <c r="G459" s="171">
        <v>0</v>
      </c>
      <c r="H459" s="177">
        <f>-$N$1</f>
        <v>-4.7716218756768064E-3</v>
      </c>
      <c r="I459" s="170">
        <v>0</v>
      </c>
      <c r="J459" s="170">
        <v>0</v>
      </c>
      <c r="L459">
        <f t="array" ref="L459:N461">SVDD(B459:D461)</f>
        <v>3.2029334682930499</v>
      </c>
      <c r="M459">
        <v>0</v>
      </c>
      <c r="N459">
        <v>0</v>
      </c>
      <c r="P459">
        <f t="shared" ref="P459" si="159">MAX(L459,M460,N461)/MIN(L459,M460,N461)</f>
        <v>6.8287657968734292</v>
      </c>
    </row>
    <row r="460" spans="1:16">
      <c r="A460" s="170" t="s">
        <v>328</v>
      </c>
      <c r="B460" s="171">
        <v>2.8449497700634536</v>
      </c>
      <c r="C460" s="171">
        <v>0.22852225552422287</v>
      </c>
      <c r="D460" s="171">
        <v>6.9737163040410666E-2</v>
      </c>
      <c r="E460" s="170">
        <v>0</v>
      </c>
      <c r="F460" s="170">
        <f>-$L$1</f>
        <v>-1.4990492230334603E-2</v>
      </c>
      <c r="G460" s="171">
        <v>0</v>
      </c>
      <c r="H460" s="171">
        <v>0</v>
      </c>
      <c r="I460" s="177">
        <f>-$N$1</f>
        <v>-4.7716218756768064E-3</v>
      </c>
      <c r="J460" s="170">
        <v>0</v>
      </c>
      <c r="L460">
        <v>0</v>
      </c>
      <c r="M460">
        <v>1.621861785505283</v>
      </c>
      <c r="N460">
        <v>0</v>
      </c>
    </row>
    <row r="461" spans="1:16">
      <c r="A461" s="170"/>
      <c r="B461" s="171">
        <v>0.36768865949079377</v>
      </c>
      <c r="C461" s="171">
        <v>1.2890795247765441</v>
      </c>
      <c r="D461" s="171">
        <v>0.10954983766095538</v>
      </c>
      <c r="E461" s="170">
        <v>0</v>
      </c>
      <c r="F461" s="171">
        <v>0</v>
      </c>
      <c r="G461" s="170">
        <f>-$L$1</f>
        <v>-1.4990492230334603E-2</v>
      </c>
      <c r="H461" s="171">
        <v>0</v>
      </c>
      <c r="I461" s="171">
        <v>0</v>
      </c>
      <c r="J461" s="177">
        <f>-$N$1</f>
        <v>-4.7716218756768064E-3</v>
      </c>
      <c r="L461">
        <v>0</v>
      </c>
      <c r="M461">
        <v>0</v>
      </c>
      <c r="N461">
        <v>0.46903548365350628</v>
      </c>
    </row>
    <row r="462" spans="1:16">
      <c r="A462" s="170"/>
      <c r="B462" s="171"/>
      <c r="C462" s="171"/>
      <c r="D462" s="171"/>
      <c r="E462" s="170"/>
      <c r="F462" s="170"/>
      <c r="G462" s="170"/>
      <c r="H462" s="170"/>
      <c r="I462" s="170"/>
      <c r="J462" s="170"/>
    </row>
    <row r="463" spans="1:16">
      <c r="A463" s="170"/>
      <c r="B463" s="171">
        <v>1.4028471761352286</v>
      </c>
      <c r="C463" s="171">
        <v>-0.814665459345566</v>
      </c>
      <c r="D463" s="171">
        <v>-0.7195871750303805</v>
      </c>
      <c r="E463" s="170">
        <f>-$L$1</f>
        <v>-1.4990492230334603E-2</v>
      </c>
      <c r="F463" s="171">
        <v>0</v>
      </c>
      <c r="G463" s="171">
        <v>0</v>
      </c>
      <c r="H463" s="177">
        <f>-$N$1</f>
        <v>-4.7716218756768064E-3</v>
      </c>
      <c r="I463" s="170">
        <v>0</v>
      </c>
      <c r="J463" s="170">
        <v>0</v>
      </c>
      <c r="L463">
        <f t="array" ref="L463:N465">SVDD(B463:D465)</f>
        <v>3.7919871303405759</v>
      </c>
      <c r="M463">
        <v>0</v>
      </c>
      <c r="N463">
        <v>0</v>
      </c>
      <c r="P463">
        <f t="shared" ref="P463" si="160">MAX(L463,M464,N465)/MIN(L463,M464,N465)</f>
        <v>8.9992558577730577</v>
      </c>
    </row>
    <row r="464" spans="1:16">
      <c r="A464" s="170" t="s">
        <v>329</v>
      </c>
      <c r="B464" s="171">
        <v>2.8449497700634536</v>
      </c>
      <c r="C464" s="171">
        <v>0.22852225552422287</v>
      </c>
      <c r="D464" s="171">
        <v>6.9737163040410666E-2</v>
      </c>
      <c r="E464" s="170">
        <v>0</v>
      </c>
      <c r="F464" s="170">
        <f>-$L$1</f>
        <v>-1.4990492230334603E-2</v>
      </c>
      <c r="G464" s="171">
        <v>0</v>
      </c>
      <c r="H464" s="171">
        <v>0</v>
      </c>
      <c r="I464" s="177">
        <f>-$N$1</f>
        <v>-4.7716218756768064E-3</v>
      </c>
      <c r="J464" s="170">
        <v>0</v>
      </c>
      <c r="L464">
        <v>0</v>
      </c>
      <c r="M464">
        <v>1.5173847663171118</v>
      </c>
      <c r="N464">
        <v>0</v>
      </c>
    </row>
    <row r="465" spans="1:16">
      <c r="A465" s="170"/>
      <c r="B465" s="171">
        <v>1.9865190328797109</v>
      </c>
      <c r="C465" s="171">
        <v>1.2694850305255347</v>
      </c>
      <c r="D465" s="171">
        <v>3.2127045366234341E-2</v>
      </c>
      <c r="E465" s="170">
        <v>0</v>
      </c>
      <c r="F465" s="171">
        <v>0</v>
      </c>
      <c r="G465" s="170">
        <f>-$L$1</f>
        <v>-1.4990492230334603E-2</v>
      </c>
      <c r="H465" s="171">
        <v>0</v>
      </c>
      <c r="I465" s="171">
        <v>0</v>
      </c>
      <c r="J465" s="177">
        <f>-$N$1</f>
        <v>-4.7716218756768064E-3</v>
      </c>
      <c r="L465">
        <v>0</v>
      </c>
      <c r="M465">
        <v>0</v>
      </c>
      <c r="N465">
        <v>0.42136674301412019</v>
      </c>
    </row>
    <row r="466" spans="1:16">
      <c r="A466" s="170"/>
      <c r="B466" s="171"/>
      <c r="C466" s="171"/>
      <c r="D466" s="171"/>
      <c r="E466" s="170"/>
      <c r="F466" s="170"/>
      <c r="G466" s="170"/>
      <c r="H466" s="170"/>
      <c r="I466" s="170"/>
      <c r="J466" s="170"/>
    </row>
    <row r="467" spans="1:16">
      <c r="A467" s="170"/>
      <c r="B467" s="171">
        <v>1.4028471761352286</v>
      </c>
      <c r="C467" s="171">
        <v>-0.814665459345566</v>
      </c>
      <c r="D467" s="171">
        <v>-0.7195871750303805</v>
      </c>
      <c r="E467" s="170">
        <f>-$L$1</f>
        <v>-1.4990492230334603E-2</v>
      </c>
      <c r="F467" s="171">
        <v>0</v>
      </c>
      <c r="G467" s="171">
        <v>0</v>
      </c>
      <c r="H467" s="177">
        <f>-$N$1</f>
        <v>-4.7716218756768064E-3</v>
      </c>
      <c r="I467" s="170">
        <v>0</v>
      </c>
      <c r="J467" s="170">
        <v>0</v>
      </c>
      <c r="L467">
        <f t="array" ref="L467:N469">SVDD(B467:D469)</f>
        <v>3.5388432143614454</v>
      </c>
      <c r="M467">
        <v>0</v>
      </c>
      <c r="N467">
        <v>0</v>
      </c>
      <c r="P467">
        <f t="shared" ref="P467" si="161">MAX(L467,M468,N469)/MIN(L467,M468,N469)</f>
        <v>4.292123906712999</v>
      </c>
    </row>
    <row r="468" spans="1:16">
      <c r="A468" s="170" t="s">
        <v>330</v>
      </c>
      <c r="B468" s="171">
        <v>2.8449497700634536</v>
      </c>
      <c r="C468" s="171">
        <v>0.22852225552422287</v>
      </c>
      <c r="D468" s="171">
        <v>6.9737163040410666E-2</v>
      </c>
      <c r="E468" s="170">
        <v>0</v>
      </c>
      <c r="F468" s="170">
        <f>-$L$1</f>
        <v>-1.4990492230334603E-2</v>
      </c>
      <c r="G468" s="171">
        <v>0</v>
      </c>
      <c r="H468" s="171">
        <v>0</v>
      </c>
      <c r="I468" s="177">
        <f>-$N$1</f>
        <v>-4.7716218756768064E-3</v>
      </c>
      <c r="J468" s="170">
        <v>0</v>
      </c>
      <c r="L468">
        <v>0</v>
      </c>
      <c r="M468">
        <v>1.683303196980559</v>
      </c>
      <c r="N468">
        <v>0</v>
      </c>
    </row>
    <row r="469" spans="1:16">
      <c r="A469" s="170"/>
      <c r="B469" s="171">
        <v>1.3773893306068323</v>
      </c>
      <c r="C469" s="171">
        <v>1.5521003879162059</v>
      </c>
      <c r="D469" s="171">
        <v>-0.65590292152571228</v>
      </c>
      <c r="E469" s="170">
        <v>0</v>
      </c>
      <c r="F469" s="171">
        <v>0</v>
      </c>
      <c r="G469" s="170">
        <f>-$L$1</f>
        <v>-1.4990492230334603E-2</v>
      </c>
      <c r="H469" s="171">
        <v>0</v>
      </c>
      <c r="I469" s="171">
        <v>0</v>
      </c>
      <c r="J469" s="177">
        <f>-$N$1</f>
        <v>-4.7716218756768064E-3</v>
      </c>
      <c r="L469">
        <v>0</v>
      </c>
      <c r="M469">
        <v>0</v>
      </c>
      <c r="N469">
        <v>0.82449698360911672</v>
      </c>
    </row>
    <row r="470" spans="1:16">
      <c r="A470" s="170"/>
      <c r="B470" s="171"/>
      <c r="C470" s="171"/>
      <c r="D470" s="171"/>
      <c r="E470" s="170"/>
      <c r="F470" s="170"/>
      <c r="G470" s="170"/>
      <c r="H470" s="170"/>
      <c r="I470" s="170"/>
      <c r="J470" s="170"/>
    </row>
    <row r="471" spans="1:16">
      <c r="A471" s="170"/>
      <c r="B471" s="171">
        <v>1.4028471761352286</v>
      </c>
      <c r="C471" s="171">
        <v>-0.814665459345566</v>
      </c>
      <c r="D471" s="171">
        <v>-0.7195871750303805</v>
      </c>
      <c r="E471" s="170">
        <f>-$L$1</f>
        <v>-1.4990492230334603E-2</v>
      </c>
      <c r="F471" s="171">
        <v>0</v>
      </c>
      <c r="G471" s="171">
        <v>0</v>
      </c>
      <c r="H471" s="177">
        <f>-$N$1</f>
        <v>-4.7716218756768064E-3</v>
      </c>
      <c r="I471" s="170">
        <v>0</v>
      </c>
      <c r="J471" s="170">
        <v>0</v>
      </c>
      <c r="L471">
        <f t="array" ref="L471:N473">SVDD(B471:D473)</f>
        <v>2.6741313081209457</v>
      </c>
      <c r="M471">
        <v>0</v>
      </c>
      <c r="N471">
        <v>0</v>
      </c>
      <c r="P471">
        <f t="shared" ref="P471" si="162">MAX(L471,M472,N473)/MIN(L471,M472,N473)</f>
        <v>10.814350744949346</v>
      </c>
    </row>
    <row r="472" spans="1:16">
      <c r="A472" s="170" t="s">
        <v>331</v>
      </c>
      <c r="B472" s="171">
        <v>0.36768865949079377</v>
      </c>
      <c r="C472" s="171">
        <v>1.2890795247765441</v>
      </c>
      <c r="D472" s="171">
        <v>0.10954983766095538</v>
      </c>
      <c r="E472" s="170">
        <v>0</v>
      </c>
      <c r="F472" s="170">
        <f>-$L$1</f>
        <v>-1.4990492230334603E-2</v>
      </c>
      <c r="G472" s="171">
        <v>0</v>
      </c>
      <c r="H472" s="171">
        <v>0</v>
      </c>
      <c r="I472" s="177">
        <f>-$N$1</f>
        <v>-4.7716218756768064E-3</v>
      </c>
      <c r="J472" s="170">
        <v>0</v>
      </c>
      <c r="L472">
        <v>0</v>
      </c>
      <c r="M472">
        <v>1.8180061463527797</v>
      </c>
      <c r="N472">
        <v>0</v>
      </c>
    </row>
    <row r="473" spans="1:16">
      <c r="A473" s="170"/>
      <c r="B473" s="171">
        <v>1.9865190328797109</v>
      </c>
      <c r="C473" s="171">
        <v>1.2694850305255347</v>
      </c>
      <c r="D473" s="171">
        <v>3.2127045366234341E-2</v>
      </c>
      <c r="E473" s="170">
        <v>0</v>
      </c>
      <c r="F473" s="171">
        <v>0</v>
      </c>
      <c r="G473" s="170">
        <f>-$L$1</f>
        <v>-1.4990492230334603E-2</v>
      </c>
      <c r="H473" s="171">
        <v>0</v>
      </c>
      <c r="I473" s="171">
        <v>0</v>
      </c>
      <c r="J473" s="177">
        <f>-$N$1</f>
        <v>-4.7716218756768064E-3</v>
      </c>
      <c r="L473">
        <v>0</v>
      </c>
      <c r="M473">
        <v>0</v>
      </c>
      <c r="N473">
        <v>0.2472761769235062</v>
      </c>
    </row>
    <row r="474" spans="1:16">
      <c r="A474" s="170"/>
      <c r="B474" s="171"/>
      <c r="C474" s="171"/>
      <c r="D474" s="171"/>
      <c r="E474" s="170"/>
      <c r="F474" s="170"/>
      <c r="G474" s="170"/>
      <c r="H474" s="170"/>
      <c r="I474" s="170"/>
      <c r="J474" s="170"/>
    </row>
    <row r="475" spans="1:16">
      <c r="A475" s="170"/>
      <c r="B475" s="171">
        <v>1.4028471761352286</v>
      </c>
      <c r="C475" s="171">
        <v>-0.814665459345566</v>
      </c>
      <c r="D475" s="171">
        <v>-0.7195871750303805</v>
      </c>
      <c r="E475" s="170">
        <f>-$L$1</f>
        <v>-1.4990492230334603E-2</v>
      </c>
      <c r="F475" s="171">
        <v>0</v>
      </c>
      <c r="G475" s="171">
        <v>0</v>
      </c>
      <c r="H475" s="177">
        <f>-$N$1</f>
        <v>-4.7716218756768064E-3</v>
      </c>
      <c r="I475" s="170">
        <v>0</v>
      </c>
      <c r="J475" s="170">
        <v>0</v>
      </c>
      <c r="L475">
        <f t="array" ref="L475:N477">SVDD(B475:D477)</f>
        <v>2.5054078776691937</v>
      </c>
      <c r="M475">
        <v>0</v>
      </c>
      <c r="N475">
        <v>0</v>
      </c>
      <c r="P475">
        <f t="shared" ref="P475" si="163">MAX(L475,M476,N477)/MIN(L475,M476,N477)</f>
        <v>13.161138632442416</v>
      </c>
    </row>
    <row r="476" spans="1:16">
      <c r="A476" s="170" t="s">
        <v>332</v>
      </c>
      <c r="B476" s="171">
        <v>0.36768865949079377</v>
      </c>
      <c r="C476" s="171">
        <v>1.2890795247765441</v>
      </c>
      <c r="D476" s="171">
        <v>0.10954983766095538</v>
      </c>
      <c r="E476" s="170">
        <v>0</v>
      </c>
      <c r="F476" s="170">
        <f>-$L$1</f>
        <v>-1.4990492230334603E-2</v>
      </c>
      <c r="G476" s="171">
        <v>0</v>
      </c>
      <c r="H476" s="171">
        <v>0</v>
      </c>
      <c r="I476" s="177">
        <f>-$N$1</f>
        <v>-4.7716218756768064E-3</v>
      </c>
      <c r="J476" s="170">
        <v>0</v>
      </c>
      <c r="L476">
        <v>0</v>
      </c>
      <c r="M476">
        <v>1.8388872625407877</v>
      </c>
      <c r="N476">
        <v>0</v>
      </c>
    </row>
    <row r="477" spans="1:16">
      <c r="A477" s="170"/>
      <c r="B477" s="171">
        <v>1.3773893306068323</v>
      </c>
      <c r="C477" s="171">
        <v>1.5521003879162059</v>
      </c>
      <c r="D477" s="171">
        <v>-0.65590292152571228</v>
      </c>
      <c r="E477" s="170">
        <v>0</v>
      </c>
      <c r="F477" s="171">
        <v>0</v>
      </c>
      <c r="G477" s="170">
        <f>-$L$1</f>
        <v>-1.4990492230334603E-2</v>
      </c>
      <c r="H477" s="171">
        <v>0</v>
      </c>
      <c r="I477" s="171">
        <v>0</v>
      </c>
      <c r="J477" s="177">
        <f>-$N$1</f>
        <v>-4.7716218756768064E-3</v>
      </c>
      <c r="L477">
        <v>0</v>
      </c>
      <c r="M477">
        <v>0</v>
      </c>
      <c r="N477">
        <v>0.19036406709472109</v>
      </c>
    </row>
    <row r="478" spans="1:16">
      <c r="A478" s="170"/>
      <c r="B478" s="171"/>
      <c r="C478" s="171"/>
      <c r="D478" s="171"/>
      <c r="E478" s="170"/>
      <c r="F478" s="170"/>
      <c r="G478" s="170"/>
      <c r="H478" s="170"/>
      <c r="I478" s="170"/>
      <c r="J478" s="170"/>
    </row>
    <row r="479" spans="1:16">
      <c r="A479" s="170"/>
      <c r="B479" s="171">
        <v>1.4028471761352286</v>
      </c>
      <c r="C479" s="171">
        <v>-0.814665459345566</v>
      </c>
      <c r="D479" s="171">
        <v>-0.7195871750303805</v>
      </c>
      <c r="E479" s="170">
        <f>-$L$1</f>
        <v>-1.4990492230334603E-2</v>
      </c>
      <c r="F479" s="171">
        <v>0</v>
      </c>
      <c r="G479" s="171">
        <v>0</v>
      </c>
      <c r="H479" s="177">
        <f>-$N$1</f>
        <v>-4.7716218756768064E-3</v>
      </c>
      <c r="I479" s="170">
        <v>0</v>
      </c>
      <c r="J479" s="170">
        <v>0</v>
      </c>
      <c r="L479">
        <f t="array" ref="L479:N481">SVDD(B479:D481)</f>
        <v>3.2290535725450686</v>
      </c>
      <c r="M479">
        <v>0</v>
      </c>
      <c r="N479">
        <v>0</v>
      </c>
      <c r="P479">
        <f t="shared" ref="P479" si="164">MAX(L479,M480,N481)/MIN(L479,M480,N481)</f>
        <v>5.1208665031360203</v>
      </c>
    </row>
    <row r="480" spans="1:16">
      <c r="A480" s="170" t="s">
        <v>333</v>
      </c>
      <c r="B480" s="171">
        <v>1.9865190328797109</v>
      </c>
      <c r="C480" s="171">
        <v>1.2694850305255347</v>
      </c>
      <c r="D480" s="171">
        <v>3.2127045366234341E-2</v>
      </c>
      <c r="E480" s="170">
        <v>0</v>
      </c>
      <c r="F480" s="170">
        <f>-$L$1</f>
        <v>-1.4990492230334603E-2</v>
      </c>
      <c r="G480" s="171">
        <v>0</v>
      </c>
      <c r="H480" s="171">
        <v>0</v>
      </c>
      <c r="I480" s="177">
        <f>-$N$1</f>
        <v>-4.7716218756768064E-3</v>
      </c>
      <c r="J480" s="170">
        <v>0</v>
      </c>
      <c r="L480">
        <v>0</v>
      </c>
      <c r="M480">
        <v>1.6187559602060135</v>
      </c>
      <c r="N480">
        <v>0</v>
      </c>
    </row>
    <row r="481" spans="1:16">
      <c r="A481" s="170"/>
      <c r="B481" s="171">
        <v>1.3773893306068323</v>
      </c>
      <c r="C481" s="171">
        <v>1.5521003879162059</v>
      </c>
      <c r="D481" s="171">
        <v>-0.65590292152571228</v>
      </c>
      <c r="E481" s="170">
        <v>0</v>
      </c>
      <c r="F481" s="171">
        <v>0</v>
      </c>
      <c r="G481" s="170">
        <f>-$L$1</f>
        <v>-1.4990492230334603E-2</v>
      </c>
      <c r="H481" s="171">
        <v>0</v>
      </c>
      <c r="I481" s="171">
        <v>0</v>
      </c>
      <c r="J481" s="177">
        <f>-$N$1</f>
        <v>-4.7716218756768064E-3</v>
      </c>
      <c r="L481">
        <v>0</v>
      </c>
      <c r="M481">
        <v>0</v>
      </c>
      <c r="N481">
        <v>0.63056780928922773</v>
      </c>
    </row>
    <row r="482" spans="1:16">
      <c r="A482" s="170"/>
      <c r="B482" s="171"/>
      <c r="C482" s="171"/>
      <c r="D482" s="171"/>
      <c r="E482" s="170"/>
      <c r="F482" s="170"/>
      <c r="G482" s="170"/>
      <c r="H482" s="170"/>
      <c r="I482" s="170"/>
      <c r="J482" s="170"/>
    </row>
    <row r="483" spans="1:16">
      <c r="A483" s="170"/>
      <c r="B483" s="171">
        <v>0.14897154656832046</v>
      </c>
      <c r="C483" s="171">
        <v>-0.84725762547333594</v>
      </c>
      <c r="D483" s="171">
        <v>1.9759438806851826E-2</v>
      </c>
      <c r="E483" s="170">
        <f>-$L$1</f>
        <v>-1.4990492230334603E-2</v>
      </c>
      <c r="F483" s="171">
        <v>0</v>
      </c>
      <c r="G483" s="171">
        <v>0</v>
      </c>
      <c r="H483" s="177">
        <f>-$N$1</f>
        <v>-4.7716218756768064E-3</v>
      </c>
      <c r="I483" s="170">
        <v>0</v>
      </c>
      <c r="J483" s="170">
        <v>0</v>
      </c>
      <c r="L483">
        <f t="array" ref="L483:N485">SVDD(B483:D485)</f>
        <v>3.7805822177637474</v>
      </c>
      <c r="M483">
        <v>0</v>
      </c>
      <c r="N483">
        <v>0</v>
      </c>
      <c r="P483">
        <f t="shared" ref="P483" si="165">MAX(L483,M484,N485)/MIN(L483,M484,N485)</f>
        <v>250.1521200358882</v>
      </c>
    </row>
    <row r="484" spans="1:16">
      <c r="A484" s="170" t="s">
        <v>334</v>
      </c>
      <c r="B484" s="171">
        <v>2.44475956514645</v>
      </c>
      <c r="C484" s="171">
        <v>-0.85548399177677847</v>
      </c>
      <c r="D484" s="171">
        <v>5.2896656816179721E-2</v>
      </c>
      <c r="E484" s="170">
        <v>0</v>
      </c>
      <c r="F484" s="170">
        <f>-$L$1</f>
        <v>-1.4990492230334603E-2</v>
      </c>
      <c r="G484" s="171">
        <v>0</v>
      </c>
      <c r="H484" s="171">
        <v>0</v>
      </c>
      <c r="I484" s="177">
        <f>-$N$1</f>
        <v>-4.7716218756768064E-3</v>
      </c>
      <c r="J484" s="170">
        <v>0</v>
      </c>
      <c r="L484">
        <v>0</v>
      </c>
      <c r="M484">
        <v>1.1444314152463921</v>
      </c>
      <c r="N484">
        <v>0</v>
      </c>
    </row>
    <row r="485" spans="1:16">
      <c r="A485" s="170"/>
      <c r="B485" s="171">
        <v>2.8449497700634536</v>
      </c>
      <c r="C485" s="171">
        <v>0.22852225552422287</v>
      </c>
      <c r="D485" s="171">
        <v>6.9737163040410666E-2</v>
      </c>
      <c r="E485" s="170">
        <v>0</v>
      </c>
      <c r="F485" s="171">
        <v>0</v>
      </c>
      <c r="G485" s="170">
        <f>-$L$1</f>
        <v>-1.4990492230334603E-2</v>
      </c>
      <c r="H485" s="171">
        <v>0</v>
      </c>
      <c r="I485" s="171">
        <v>0</v>
      </c>
      <c r="J485" s="177">
        <f>-$N$1</f>
        <v>-4.7716218756768064E-3</v>
      </c>
      <c r="L485">
        <v>0</v>
      </c>
      <c r="M485">
        <v>0</v>
      </c>
      <c r="N485">
        <v>1.5113132829821168E-2</v>
      </c>
    </row>
    <row r="486" spans="1:16">
      <c r="A486" s="170"/>
      <c r="B486" s="171"/>
      <c r="C486" s="171"/>
      <c r="D486" s="171"/>
      <c r="E486" s="170"/>
      <c r="F486" s="170"/>
      <c r="G486" s="170"/>
      <c r="H486" s="170"/>
      <c r="I486" s="170"/>
      <c r="J486" s="170"/>
    </row>
    <row r="487" spans="1:16">
      <c r="A487" s="170"/>
      <c r="B487" s="171">
        <v>0.14897154656832046</v>
      </c>
      <c r="C487" s="171">
        <v>-0.84725762547333594</v>
      </c>
      <c r="D487" s="171">
        <v>1.9759438806851826E-2</v>
      </c>
      <c r="E487" s="170">
        <f>-$L$1</f>
        <v>-1.4990492230334603E-2</v>
      </c>
      <c r="F487" s="171">
        <v>0</v>
      </c>
      <c r="G487" s="171">
        <v>0</v>
      </c>
      <c r="H487" s="177">
        <f>-$N$1</f>
        <v>-4.7716218756768064E-3</v>
      </c>
      <c r="I487" s="170">
        <v>0</v>
      </c>
      <c r="J487" s="170">
        <v>0</v>
      </c>
      <c r="L487">
        <f t="array" ref="L487:N489">SVDD(B487:D489)</f>
        <v>2.63298504973009</v>
      </c>
      <c r="M487">
        <v>0</v>
      </c>
      <c r="N487">
        <v>0</v>
      </c>
      <c r="P487">
        <f t="shared" ref="P487" si="166">MAX(L487,M488,N489)/MIN(L487,M488,N489)</f>
        <v>41.479009433576415</v>
      </c>
    </row>
    <row r="488" spans="1:16">
      <c r="A488" s="170" t="s">
        <v>335</v>
      </c>
      <c r="B488" s="171">
        <v>2.44475956514645</v>
      </c>
      <c r="C488" s="171">
        <v>-0.85548399177677847</v>
      </c>
      <c r="D488" s="171">
        <v>5.2896656816179721E-2</v>
      </c>
      <c r="E488" s="170">
        <v>0</v>
      </c>
      <c r="F488" s="170">
        <f>-$L$1</f>
        <v>-1.4990492230334603E-2</v>
      </c>
      <c r="G488" s="171">
        <v>0</v>
      </c>
      <c r="H488" s="171">
        <v>0</v>
      </c>
      <c r="I488" s="177">
        <f>-$N$1</f>
        <v>-4.7716218756768064E-3</v>
      </c>
      <c r="J488" s="170">
        <v>0</v>
      </c>
      <c r="L488">
        <v>0</v>
      </c>
      <c r="M488">
        <v>1.5245363749267951</v>
      </c>
      <c r="N488">
        <v>0</v>
      </c>
    </row>
    <row r="489" spans="1:16">
      <c r="A489" s="170"/>
      <c r="B489" s="171">
        <v>0.36768865949079377</v>
      </c>
      <c r="C489" s="171">
        <v>1.2890795247765441</v>
      </c>
      <c r="D489" s="171">
        <v>0.10954983766095538</v>
      </c>
      <c r="E489" s="170">
        <v>0</v>
      </c>
      <c r="F489" s="171">
        <v>0</v>
      </c>
      <c r="G489" s="170">
        <f>-$L$1</f>
        <v>-1.4990492230334603E-2</v>
      </c>
      <c r="H489" s="171">
        <v>0</v>
      </c>
      <c r="I489" s="171">
        <v>0</v>
      </c>
      <c r="J489" s="177">
        <f>-$N$1</f>
        <v>-4.7716218756768064E-3</v>
      </c>
      <c r="L489">
        <v>0</v>
      </c>
      <c r="M489">
        <v>0</v>
      </c>
      <c r="N489">
        <v>6.3477529615226111E-2</v>
      </c>
    </row>
    <row r="490" spans="1:16">
      <c r="A490" s="170"/>
      <c r="B490" s="171"/>
      <c r="C490" s="171"/>
      <c r="D490" s="171"/>
      <c r="E490" s="170"/>
      <c r="F490" s="170"/>
      <c r="G490" s="170"/>
      <c r="H490" s="170"/>
      <c r="I490" s="170"/>
      <c r="J490" s="170"/>
    </row>
    <row r="491" spans="1:16">
      <c r="A491" s="170"/>
      <c r="B491" s="171">
        <v>0.14897154656832046</v>
      </c>
      <c r="C491" s="171">
        <v>-0.84725762547333594</v>
      </c>
      <c r="D491" s="171">
        <v>1.9759438806851826E-2</v>
      </c>
      <c r="E491" s="170">
        <f>-$L$1</f>
        <v>-1.4990492230334603E-2</v>
      </c>
      <c r="F491" s="171">
        <v>0</v>
      </c>
      <c r="G491" s="171">
        <v>0</v>
      </c>
      <c r="H491" s="177">
        <f>-$N$1</f>
        <v>-4.7716218756768064E-3</v>
      </c>
      <c r="I491" s="170">
        <v>0</v>
      </c>
      <c r="J491" s="170">
        <v>0</v>
      </c>
      <c r="L491">
        <f t="array" ref="L491:N493">SVDD(B491:D493)</f>
        <v>3.1563478329773647</v>
      </c>
      <c r="M491">
        <v>0</v>
      </c>
      <c r="N491">
        <v>0</v>
      </c>
      <c r="P491">
        <f t="shared" ref="P491" si="167">MAX(L491,M492,N493)/MIN(L491,M492,N493)</f>
        <v>298.22841835546393</v>
      </c>
    </row>
    <row r="492" spans="1:16">
      <c r="A492" s="170" t="s">
        <v>336</v>
      </c>
      <c r="B492" s="171">
        <v>2.44475956514645</v>
      </c>
      <c r="C492" s="171">
        <v>-0.85548399177677847</v>
      </c>
      <c r="D492" s="171">
        <v>5.2896656816179721E-2</v>
      </c>
      <c r="E492" s="170">
        <v>0</v>
      </c>
      <c r="F492" s="170">
        <f>-$L$1</f>
        <v>-1.4990492230334603E-2</v>
      </c>
      <c r="G492" s="171">
        <v>0</v>
      </c>
      <c r="H492" s="171">
        <v>0</v>
      </c>
      <c r="I492" s="177">
        <f>-$N$1</f>
        <v>-4.7716218756768064E-3</v>
      </c>
      <c r="J492" s="170">
        <v>0</v>
      </c>
      <c r="L492">
        <v>0</v>
      </c>
      <c r="M492">
        <v>1.7459001374895331</v>
      </c>
      <c r="N492">
        <v>0</v>
      </c>
    </row>
    <row r="493" spans="1:16">
      <c r="A493" s="170"/>
      <c r="B493" s="171">
        <v>1.9865190328797109</v>
      </c>
      <c r="C493" s="171">
        <v>1.2694850305255347</v>
      </c>
      <c r="D493" s="171">
        <v>3.2127045366234341E-2</v>
      </c>
      <c r="E493" s="170">
        <v>0</v>
      </c>
      <c r="F493" s="171">
        <v>0</v>
      </c>
      <c r="G493" s="170">
        <f>-$L$1</f>
        <v>-1.4990492230334603E-2</v>
      </c>
      <c r="H493" s="171">
        <v>0</v>
      </c>
      <c r="I493" s="171">
        <v>0</v>
      </c>
      <c r="J493" s="177">
        <f>-$N$1</f>
        <v>-4.7716218756768064E-3</v>
      </c>
      <c r="L493">
        <v>0</v>
      </c>
      <c r="M493">
        <v>0</v>
      </c>
      <c r="N493">
        <v>1.058365882896933E-2</v>
      </c>
    </row>
    <row r="494" spans="1:16">
      <c r="A494" s="170"/>
      <c r="B494" s="171"/>
      <c r="C494" s="171"/>
      <c r="D494" s="171"/>
      <c r="E494" s="170"/>
      <c r="F494" s="170"/>
      <c r="G494" s="170"/>
      <c r="H494" s="170"/>
      <c r="I494" s="170"/>
      <c r="J494" s="170"/>
    </row>
    <row r="495" spans="1:16">
      <c r="A495" s="170"/>
      <c r="B495" s="171">
        <v>0.14897154656832046</v>
      </c>
      <c r="C495" s="171">
        <v>-0.84725762547333594</v>
      </c>
      <c r="D495" s="171">
        <v>1.9759438806851826E-2</v>
      </c>
      <c r="E495" s="170">
        <f>-$L$1</f>
        <v>-1.4990492230334603E-2</v>
      </c>
      <c r="F495" s="171">
        <v>0</v>
      </c>
      <c r="G495" s="171">
        <v>0</v>
      </c>
      <c r="H495" s="177">
        <f>-$N$1</f>
        <v>-4.7716218756768064E-3</v>
      </c>
      <c r="I495" s="170">
        <v>0</v>
      </c>
      <c r="J495" s="170">
        <v>0</v>
      </c>
      <c r="L495">
        <f t="array" ref="L495:N497">SVDD(B495:D497)</f>
        <v>2.8240631484554339</v>
      </c>
      <c r="M495">
        <v>0</v>
      </c>
      <c r="N495">
        <v>0</v>
      </c>
      <c r="P495">
        <f t="shared" ref="P495" si="168">MAX(L495,M496,N497)/MIN(L495,M496,N497)</f>
        <v>13.015143058743432</v>
      </c>
    </row>
    <row r="496" spans="1:16">
      <c r="A496" s="170" t="s">
        <v>337</v>
      </c>
      <c r="B496" s="171">
        <v>2.44475956514645</v>
      </c>
      <c r="C496" s="171">
        <v>-0.85548399177677847</v>
      </c>
      <c r="D496" s="171">
        <v>5.2896656816179721E-2</v>
      </c>
      <c r="E496" s="170">
        <v>0</v>
      </c>
      <c r="F496" s="170">
        <f>-$L$1</f>
        <v>-1.4990492230334603E-2</v>
      </c>
      <c r="G496" s="171">
        <v>0</v>
      </c>
      <c r="H496" s="171">
        <v>0</v>
      </c>
      <c r="I496" s="177">
        <f>-$N$1</f>
        <v>-4.7716218756768064E-3</v>
      </c>
      <c r="J496" s="170">
        <v>0</v>
      </c>
      <c r="L496">
        <v>0</v>
      </c>
      <c r="M496">
        <v>2.0410634677684292</v>
      </c>
      <c r="N496">
        <v>0</v>
      </c>
    </row>
    <row r="497" spans="1:16">
      <c r="A497" s="170"/>
      <c r="B497" s="171">
        <v>1.3773893306068323</v>
      </c>
      <c r="C497" s="171">
        <v>1.5521003879162059</v>
      </c>
      <c r="D497" s="171">
        <v>-0.65590292152571228</v>
      </c>
      <c r="E497" s="170">
        <v>0</v>
      </c>
      <c r="F497" s="171">
        <v>0</v>
      </c>
      <c r="G497" s="170">
        <f>-$L$1</f>
        <v>-1.4990492230334603E-2</v>
      </c>
      <c r="H497" s="171">
        <v>0</v>
      </c>
      <c r="I497" s="171">
        <v>0</v>
      </c>
      <c r="J497" s="177">
        <f>-$N$1</f>
        <v>-4.7716218756768064E-3</v>
      </c>
      <c r="L497">
        <v>0</v>
      </c>
      <c r="M497">
        <v>0</v>
      </c>
      <c r="N497">
        <v>0.21698287415736542</v>
      </c>
    </row>
    <row r="498" spans="1:16">
      <c r="A498" s="170"/>
      <c r="B498" s="171"/>
      <c r="C498" s="171"/>
      <c r="D498" s="171"/>
      <c r="E498" s="170"/>
      <c r="F498" s="170"/>
      <c r="G498" s="170"/>
      <c r="H498" s="170"/>
      <c r="I498" s="170"/>
      <c r="J498" s="170"/>
    </row>
    <row r="499" spans="1:16">
      <c r="A499" s="170"/>
      <c r="B499" s="171">
        <v>0.14897154656832046</v>
      </c>
      <c r="C499" s="171">
        <v>-0.84725762547333594</v>
      </c>
      <c r="D499" s="171">
        <v>1.9759438806851826E-2</v>
      </c>
      <c r="E499" s="170">
        <f>-$L$1</f>
        <v>-1.4990492230334603E-2</v>
      </c>
      <c r="F499" s="171">
        <v>0</v>
      </c>
      <c r="G499" s="171">
        <v>0</v>
      </c>
      <c r="H499" s="177">
        <f>-$N$1</f>
        <v>-4.7716218756768064E-3</v>
      </c>
      <c r="I499" s="170">
        <v>0</v>
      </c>
      <c r="J499" s="170">
        <v>0</v>
      </c>
      <c r="L499">
        <f t="array" ref="L499:N501">SVDD(B499:D501)</f>
        <v>2.9026916978209298</v>
      </c>
      <c r="M499">
        <v>0</v>
      </c>
      <c r="N499">
        <v>0</v>
      </c>
      <c r="P499">
        <f t="shared" ref="P499" si="169">MAX(L499,M500,N501)/MIN(L499,M500,N501)</f>
        <v>41.827755997562726</v>
      </c>
    </row>
    <row r="500" spans="1:16">
      <c r="A500" s="170" t="s">
        <v>338</v>
      </c>
      <c r="B500" s="171">
        <v>2.8449497700634536</v>
      </c>
      <c r="C500" s="171">
        <v>0.22852225552422287</v>
      </c>
      <c r="D500" s="171">
        <v>6.9737163040410666E-2</v>
      </c>
      <c r="E500" s="170">
        <v>0</v>
      </c>
      <c r="F500" s="170">
        <f>-$L$1</f>
        <v>-1.4990492230334603E-2</v>
      </c>
      <c r="G500" s="171">
        <v>0</v>
      </c>
      <c r="H500" s="171">
        <v>0</v>
      </c>
      <c r="I500" s="177">
        <f>-$N$1</f>
        <v>-4.7716218756768064E-3</v>
      </c>
      <c r="J500" s="170">
        <v>0</v>
      </c>
      <c r="L500">
        <v>0</v>
      </c>
      <c r="M500">
        <v>1.5065658057799565</v>
      </c>
      <c r="N500">
        <v>0</v>
      </c>
    </row>
    <row r="501" spans="1:16">
      <c r="A501" s="170"/>
      <c r="B501" s="171">
        <v>0.36768865949079377</v>
      </c>
      <c r="C501" s="171">
        <v>1.2890795247765441</v>
      </c>
      <c r="D501" s="171">
        <v>0.10954983766095538</v>
      </c>
      <c r="E501" s="170">
        <v>0</v>
      </c>
      <c r="F501" s="171">
        <v>0</v>
      </c>
      <c r="G501" s="170">
        <f>-$L$1</f>
        <v>-1.4990492230334603E-2</v>
      </c>
      <c r="H501" s="171">
        <v>0</v>
      </c>
      <c r="I501" s="171">
        <v>0</v>
      </c>
      <c r="J501" s="177">
        <f>-$N$1</f>
        <v>-4.7716218756768064E-3</v>
      </c>
      <c r="L501">
        <v>0</v>
      </c>
      <c r="M501">
        <v>0</v>
      </c>
      <c r="N501">
        <v>6.939630464493643E-2</v>
      </c>
    </row>
    <row r="502" spans="1:16">
      <c r="A502" s="170"/>
      <c r="B502" s="171"/>
      <c r="C502" s="171"/>
      <c r="D502" s="171"/>
      <c r="E502" s="170"/>
      <c r="F502" s="170"/>
      <c r="G502" s="170"/>
      <c r="H502" s="170"/>
      <c r="I502" s="170"/>
      <c r="J502" s="170"/>
    </row>
    <row r="503" spans="1:16">
      <c r="A503" s="170"/>
      <c r="B503" s="171">
        <v>0.14897154656832046</v>
      </c>
      <c r="C503" s="171">
        <v>-0.84725762547333594</v>
      </c>
      <c r="D503" s="171">
        <v>1.9759438806851826E-2</v>
      </c>
      <c r="E503" s="170">
        <f>-$L$1</f>
        <v>-1.4990492230334603E-2</v>
      </c>
      <c r="F503" s="171">
        <v>0</v>
      </c>
      <c r="G503" s="171">
        <v>0</v>
      </c>
      <c r="H503" s="177">
        <f>-$N$1</f>
        <v>-4.7716218756768064E-3</v>
      </c>
      <c r="I503" s="170">
        <v>0</v>
      </c>
      <c r="J503" s="170">
        <v>0</v>
      </c>
      <c r="L503">
        <f t="array" ref="L503:N505">SVDD(B503:D505)</f>
        <v>3.5980837408657536</v>
      </c>
      <c r="M503">
        <v>0</v>
      </c>
      <c r="N503">
        <v>0</v>
      </c>
      <c r="P503">
        <f t="shared" ref="P503" si="170">MAX(L503,M504,N505)/MIN(L503,M504,N505)</f>
        <v>1531.9211719884818</v>
      </c>
    </row>
    <row r="504" spans="1:16">
      <c r="A504" s="170" t="s">
        <v>339</v>
      </c>
      <c r="B504" s="171">
        <v>2.8449497700634536</v>
      </c>
      <c r="C504" s="171">
        <v>0.22852225552422287</v>
      </c>
      <c r="D504" s="171">
        <v>6.9737163040410666E-2</v>
      </c>
      <c r="E504" s="170">
        <v>0</v>
      </c>
      <c r="F504" s="170">
        <f>-$L$1</f>
        <v>-1.4990492230334603E-2</v>
      </c>
      <c r="G504" s="171">
        <v>0</v>
      </c>
      <c r="H504" s="171">
        <v>0</v>
      </c>
      <c r="I504" s="177">
        <f>-$N$1</f>
        <v>-4.7716218756768064E-3</v>
      </c>
      <c r="J504" s="170">
        <v>0</v>
      </c>
      <c r="L504">
        <v>0</v>
      </c>
      <c r="M504">
        <v>1.2263455725449481</v>
      </c>
      <c r="N504">
        <v>0</v>
      </c>
    </row>
    <row r="505" spans="1:16">
      <c r="A505" s="170"/>
      <c r="B505" s="171">
        <v>1.9865190328797109</v>
      </c>
      <c r="C505" s="171">
        <v>1.2694850305255347</v>
      </c>
      <c r="D505" s="171">
        <v>3.2127045366234341E-2</v>
      </c>
      <c r="E505" s="170">
        <v>0</v>
      </c>
      <c r="F505" s="171">
        <v>0</v>
      </c>
      <c r="G505" s="170">
        <f>-$L$1</f>
        <v>-1.4990492230334603E-2</v>
      </c>
      <c r="H505" s="171">
        <v>0</v>
      </c>
      <c r="I505" s="171">
        <v>0</v>
      </c>
      <c r="J505" s="177">
        <f>-$N$1</f>
        <v>-4.7716218756768064E-3</v>
      </c>
      <c r="L505">
        <v>0</v>
      </c>
      <c r="M505">
        <v>0</v>
      </c>
      <c r="N505">
        <v>2.3487394825905616E-3</v>
      </c>
    </row>
    <row r="506" spans="1:16">
      <c r="A506" s="170"/>
      <c r="B506" s="171"/>
      <c r="C506" s="171"/>
      <c r="D506" s="171"/>
      <c r="E506" s="170"/>
      <c r="F506" s="170"/>
      <c r="G506" s="170"/>
      <c r="H506" s="170"/>
      <c r="I506" s="170"/>
      <c r="J506" s="170"/>
    </row>
    <row r="507" spans="1:16">
      <c r="A507" s="170"/>
      <c r="B507" s="171">
        <v>0.14897154656832046</v>
      </c>
      <c r="C507" s="171">
        <v>-0.84725762547333594</v>
      </c>
      <c r="D507" s="171">
        <v>1.9759438806851826E-2</v>
      </c>
      <c r="E507" s="170">
        <f>-$L$1</f>
        <v>-1.4990492230334603E-2</v>
      </c>
      <c r="F507" s="171">
        <v>0</v>
      </c>
      <c r="G507" s="171">
        <v>0</v>
      </c>
      <c r="H507" s="177">
        <f>-$N$1</f>
        <v>-4.7716218756768064E-3</v>
      </c>
      <c r="I507" s="170">
        <v>0</v>
      </c>
      <c r="J507" s="170">
        <v>0</v>
      </c>
      <c r="L507">
        <f t="array" ref="L507:N509">SVDD(B507:D509)</f>
        <v>3.3198768549767723</v>
      </c>
      <c r="M507">
        <v>0</v>
      </c>
      <c r="N507">
        <v>0</v>
      </c>
      <c r="P507">
        <f t="shared" ref="P507" si="171">MAX(L507,M508,N509)/MIN(L507,M508,N509)</f>
        <v>10.782827837381458</v>
      </c>
    </row>
    <row r="508" spans="1:16">
      <c r="A508" s="170" t="s">
        <v>340</v>
      </c>
      <c r="B508" s="171">
        <v>2.8449497700634536</v>
      </c>
      <c r="C508" s="171">
        <v>0.22852225552422287</v>
      </c>
      <c r="D508" s="171">
        <v>6.9737163040410666E-2</v>
      </c>
      <c r="E508" s="170">
        <v>0</v>
      </c>
      <c r="F508" s="170">
        <f>-$L$1</f>
        <v>-1.4990492230334603E-2</v>
      </c>
      <c r="G508" s="171">
        <v>0</v>
      </c>
      <c r="H508" s="171">
        <v>0</v>
      </c>
      <c r="I508" s="177">
        <f>-$N$1</f>
        <v>-4.7716218756768064E-3</v>
      </c>
      <c r="J508" s="170">
        <v>0</v>
      </c>
      <c r="L508">
        <v>0</v>
      </c>
      <c r="M508">
        <v>1.5847091563998654</v>
      </c>
      <c r="N508">
        <v>0</v>
      </c>
    </row>
    <row r="509" spans="1:16">
      <c r="A509" s="170"/>
      <c r="B509" s="171">
        <v>1.3773893306068323</v>
      </c>
      <c r="C509" s="171">
        <v>1.5521003879162059</v>
      </c>
      <c r="D509" s="171">
        <v>-0.65590292152571228</v>
      </c>
      <c r="E509" s="170">
        <v>0</v>
      </c>
      <c r="F509" s="171">
        <v>0</v>
      </c>
      <c r="G509" s="170">
        <f>-$L$1</f>
        <v>-1.4990492230334603E-2</v>
      </c>
      <c r="H509" s="171">
        <v>0</v>
      </c>
      <c r="I509" s="171">
        <v>0</v>
      </c>
      <c r="J509" s="177">
        <f>-$N$1</f>
        <v>-4.7716218756768064E-3</v>
      </c>
      <c r="L509">
        <v>0</v>
      </c>
      <c r="M509">
        <v>0</v>
      </c>
      <c r="N509">
        <v>0.30788554774727661</v>
      </c>
    </row>
    <row r="510" spans="1:16">
      <c r="A510" s="170"/>
      <c r="B510" s="171"/>
      <c r="C510" s="171"/>
      <c r="D510" s="171"/>
      <c r="E510" s="170"/>
      <c r="F510" s="170"/>
      <c r="G510" s="170"/>
      <c r="H510" s="170"/>
      <c r="I510" s="170"/>
      <c r="J510" s="170"/>
    </row>
    <row r="511" spans="1:16">
      <c r="A511" s="170"/>
      <c r="B511" s="171">
        <v>0.14897154656832046</v>
      </c>
      <c r="C511" s="171">
        <v>-0.84725762547333594</v>
      </c>
      <c r="D511" s="171">
        <v>1.9759438806851826E-2</v>
      </c>
      <c r="E511" s="170">
        <f>-$L$1</f>
        <v>-1.4990492230334603E-2</v>
      </c>
      <c r="F511" s="171">
        <v>0</v>
      </c>
      <c r="G511" s="171">
        <v>0</v>
      </c>
      <c r="H511" s="177">
        <f>-$N$1</f>
        <v>-4.7716218756768064E-3</v>
      </c>
      <c r="I511" s="170">
        <v>0</v>
      </c>
      <c r="J511" s="170">
        <v>0</v>
      </c>
      <c r="L511">
        <f t="array" ref="L511:N513">SVDD(B511:D513)</f>
        <v>2.6311437791672385</v>
      </c>
      <c r="M511">
        <v>0</v>
      </c>
      <c r="N511">
        <v>0</v>
      </c>
      <c r="P511">
        <f t="shared" ref="P511" si="172">MAX(L511,M512,N513)/MIN(L511,M512,N513)</f>
        <v>32.637782807572336</v>
      </c>
    </row>
    <row r="512" spans="1:16">
      <c r="A512" s="170" t="s">
        <v>341</v>
      </c>
      <c r="B512" s="171">
        <v>0.36768865949079377</v>
      </c>
      <c r="C512" s="171">
        <v>1.2890795247765441</v>
      </c>
      <c r="D512" s="171">
        <v>0.10954983766095538</v>
      </c>
      <c r="E512" s="170">
        <v>0</v>
      </c>
      <c r="F512" s="170">
        <f>-$L$1</f>
        <v>-1.4990492230334603E-2</v>
      </c>
      <c r="G512" s="171">
        <v>0</v>
      </c>
      <c r="H512" s="171">
        <v>0</v>
      </c>
      <c r="I512" s="177">
        <f>-$N$1</f>
        <v>-4.7716218756768064E-3</v>
      </c>
      <c r="J512" s="170">
        <v>0</v>
      </c>
      <c r="L512">
        <v>0</v>
      </c>
      <c r="M512">
        <v>1.0857330384182113</v>
      </c>
      <c r="N512">
        <v>0</v>
      </c>
    </row>
    <row r="513" spans="1:16">
      <c r="A513" s="170"/>
      <c r="B513" s="171">
        <v>1.9865190328797109</v>
      </c>
      <c r="C513" s="171">
        <v>1.2694850305255347</v>
      </c>
      <c r="D513" s="171">
        <v>3.2127045366234341E-2</v>
      </c>
      <c r="E513" s="170">
        <v>0</v>
      </c>
      <c r="F513" s="171">
        <v>0</v>
      </c>
      <c r="G513" s="170">
        <f>-$L$1</f>
        <v>-1.4990492230334603E-2</v>
      </c>
      <c r="H513" s="171">
        <v>0</v>
      </c>
      <c r="I513" s="171">
        <v>0</v>
      </c>
      <c r="J513" s="177">
        <f>-$N$1</f>
        <v>-4.7716218756768064E-3</v>
      </c>
      <c r="L513">
        <v>0</v>
      </c>
      <c r="M513">
        <v>0</v>
      </c>
      <c r="N513">
        <v>8.0616498819177859E-2</v>
      </c>
    </row>
    <row r="514" spans="1:16">
      <c r="A514" s="170"/>
      <c r="B514" s="171"/>
      <c r="C514" s="171"/>
      <c r="D514" s="171"/>
      <c r="E514" s="170"/>
      <c r="F514" s="170"/>
      <c r="G514" s="170"/>
      <c r="H514" s="170"/>
      <c r="I514" s="170"/>
      <c r="J514" s="170"/>
    </row>
    <row r="515" spans="1:16">
      <c r="A515" s="170"/>
      <c r="B515" s="171">
        <v>0.14897154656832046</v>
      </c>
      <c r="C515" s="171">
        <v>-0.84725762547333594</v>
      </c>
      <c r="D515" s="171">
        <v>1.9759438806851826E-2</v>
      </c>
      <c r="E515" s="170">
        <f>-$L$1</f>
        <v>-1.4990492230334603E-2</v>
      </c>
      <c r="F515" s="171">
        <v>0</v>
      </c>
      <c r="G515" s="171">
        <v>0</v>
      </c>
      <c r="H515" s="177">
        <f>-$N$1</f>
        <v>-4.7716218756768064E-3</v>
      </c>
      <c r="I515" s="170">
        <v>0</v>
      </c>
      <c r="J515" s="170">
        <v>0</v>
      </c>
      <c r="L515">
        <f t="array" ref="L515:N517">SVDD(B515:D517)</f>
        <v>2.5493866685874518</v>
      </c>
      <c r="M515">
        <v>0</v>
      </c>
      <c r="N515">
        <v>0</v>
      </c>
      <c r="P515">
        <f t="shared" ref="P515" si="173">MAX(L515,M516,N517)/MIN(L515,M516,N517)</f>
        <v>10.964478005785088</v>
      </c>
    </row>
    <row r="516" spans="1:16">
      <c r="A516" s="170" t="s">
        <v>342</v>
      </c>
      <c r="B516" s="171">
        <v>0.36768865949079377</v>
      </c>
      <c r="C516" s="171">
        <v>1.2890795247765441</v>
      </c>
      <c r="D516" s="171">
        <v>0.10954983766095538</v>
      </c>
      <c r="E516" s="170">
        <v>0</v>
      </c>
      <c r="F516" s="170">
        <f>-$L$1</f>
        <v>-1.4990492230334603E-2</v>
      </c>
      <c r="G516" s="171">
        <v>0</v>
      </c>
      <c r="H516" s="171">
        <v>0</v>
      </c>
      <c r="I516" s="177">
        <f>-$N$1</f>
        <v>-4.7716218756768064E-3</v>
      </c>
      <c r="J516" s="170">
        <v>0</v>
      </c>
      <c r="L516">
        <v>0</v>
      </c>
      <c r="M516">
        <v>0.85576947600459896</v>
      </c>
      <c r="N516">
        <v>0</v>
      </c>
    </row>
    <row r="517" spans="1:16">
      <c r="A517" s="170"/>
      <c r="B517" s="171">
        <v>1.3773893306068323</v>
      </c>
      <c r="C517" s="171">
        <v>1.5521003879162059</v>
      </c>
      <c r="D517" s="171">
        <v>-0.65590292152571228</v>
      </c>
      <c r="E517" s="170">
        <v>0</v>
      </c>
      <c r="F517" s="171">
        <v>0</v>
      </c>
      <c r="G517" s="170">
        <f>-$L$1</f>
        <v>-1.4990492230334603E-2</v>
      </c>
      <c r="H517" s="171">
        <v>0</v>
      </c>
      <c r="I517" s="171">
        <v>0</v>
      </c>
      <c r="J517" s="177">
        <f>-$N$1</f>
        <v>-4.7716218756768064E-3</v>
      </c>
      <c r="L517">
        <v>0</v>
      </c>
      <c r="M517">
        <v>0</v>
      </c>
      <c r="N517">
        <v>0.23251327306619995</v>
      </c>
    </row>
    <row r="518" spans="1:16">
      <c r="A518" s="170"/>
      <c r="B518" s="171"/>
      <c r="C518" s="171"/>
      <c r="D518" s="171"/>
      <c r="E518" s="170"/>
      <c r="F518" s="170"/>
      <c r="G518" s="170"/>
      <c r="H518" s="170"/>
      <c r="I518" s="170"/>
      <c r="J518" s="170"/>
    </row>
    <row r="519" spans="1:16">
      <c r="A519" s="170"/>
      <c r="B519" s="171">
        <v>0.14897154656832046</v>
      </c>
      <c r="C519" s="171">
        <v>-0.84725762547333594</v>
      </c>
      <c r="D519" s="171">
        <v>1.9759438806851826E-2</v>
      </c>
      <c r="E519" s="170">
        <f>-$L$1</f>
        <v>-1.4990492230334603E-2</v>
      </c>
      <c r="F519" s="171">
        <v>0</v>
      </c>
      <c r="G519" s="171">
        <v>0</v>
      </c>
      <c r="H519" s="177">
        <f>-$N$1</f>
        <v>-4.7716218756768064E-3</v>
      </c>
      <c r="I519" s="170">
        <v>0</v>
      </c>
      <c r="J519" s="170">
        <v>0</v>
      </c>
      <c r="L519">
        <f t="array" ref="L519:N521">SVDD(B519:D521)</f>
        <v>3.1689665665534172</v>
      </c>
      <c r="M519">
        <v>0</v>
      </c>
      <c r="N519">
        <v>0</v>
      </c>
      <c r="P519">
        <f t="shared" ref="P519" si="174">MAX(L519,M520,N521)/MIN(L519,M520,N521)</f>
        <v>7.2055376032001162</v>
      </c>
    </row>
    <row r="520" spans="1:16">
      <c r="A520" s="170" t="s">
        <v>343</v>
      </c>
      <c r="B520" s="171">
        <v>1.9865190328797109</v>
      </c>
      <c r="C520" s="171">
        <v>1.2694850305255347</v>
      </c>
      <c r="D520" s="171">
        <v>3.2127045366234341E-2</v>
      </c>
      <c r="E520" s="170">
        <v>0</v>
      </c>
      <c r="F520" s="170">
        <f>-$L$1</f>
        <v>-1.4990492230334603E-2</v>
      </c>
      <c r="G520" s="171">
        <v>0</v>
      </c>
      <c r="H520" s="171">
        <v>0</v>
      </c>
      <c r="I520" s="177">
        <f>-$N$1</f>
        <v>-4.7716218756768064E-3</v>
      </c>
      <c r="J520" s="170">
        <v>0</v>
      </c>
      <c r="L520">
        <v>0</v>
      </c>
      <c r="M520">
        <v>0.89440857998851198</v>
      </c>
      <c r="N520">
        <v>0</v>
      </c>
    </row>
    <row r="521" spans="1:16">
      <c r="A521" s="170"/>
      <c r="B521" s="171">
        <v>1.3773893306068323</v>
      </c>
      <c r="C521" s="171">
        <v>1.5521003879162059</v>
      </c>
      <c r="D521" s="171">
        <v>-0.65590292152571228</v>
      </c>
      <c r="E521" s="170">
        <v>0</v>
      </c>
      <c r="F521" s="171">
        <v>0</v>
      </c>
      <c r="G521" s="170">
        <f>-$L$1</f>
        <v>-1.4990492230334603E-2</v>
      </c>
      <c r="H521" s="171">
        <v>0</v>
      </c>
      <c r="I521" s="171">
        <v>0</v>
      </c>
      <c r="J521" s="177">
        <f>-$N$1</f>
        <v>-4.7716218756768064E-3</v>
      </c>
      <c r="L521">
        <v>0</v>
      </c>
      <c r="M521">
        <v>0</v>
      </c>
      <c r="N521">
        <v>0.43979599317419688</v>
      </c>
    </row>
    <row r="522" spans="1:16">
      <c r="A522" s="170"/>
      <c r="B522" s="171"/>
      <c r="C522" s="171"/>
      <c r="D522" s="171"/>
      <c r="E522" s="170"/>
      <c r="F522" s="170"/>
      <c r="G522" s="170"/>
      <c r="H522" s="170"/>
      <c r="I522" s="170"/>
      <c r="J522" s="170"/>
    </row>
    <row r="523" spans="1:16">
      <c r="A523" s="170"/>
      <c r="B523" s="171">
        <v>2.44475956514645</v>
      </c>
      <c r="C523" s="171">
        <v>-0.85548399177677847</v>
      </c>
      <c r="D523" s="171">
        <v>5.2896656816179721E-2</v>
      </c>
      <c r="E523" s="170">
        <f>-$L$1</f>
        <v>-1.4990492230334603E-2</v>
      </c>
      <c r="F523" s="171">
        <v>0</v>
      </c>
      <c r="G523" s="171">
        <v>0</v>
      </c>
      <c r="H523" s="177">
        <f>-$N$1</f>
        <v>-4.7716218756768064E-3</v>
      </c>
      <c r="I523" s="170">
        <v>0</v>
      </c>
      <c r="J523" s="170">
        <v>0</v>
      </c>
      <c r="L523">
        <f t="array" ref="L523:N525">SVDD(B523:D525)</f>
        <v>3.7807122807429936</v>
      </c>
      <c r="M523">
        <v>0</v>
      </c>
      <c r="N523">
        <v>0</v>
      </c>
      <c r="P523">
        <f t="shared" ref="P523" si="175">MAX(L523,M524,N525)/MIN(L523,M524,N525)</f>
        <v>79.914011691529879</v>
      </c>
    </row>
    <row r="524" spans="1:16">
      <c r="A524" s="170" t="s">
        <v>344</v>
      </c>
      <c r="B524" s="171">
        <v>2.8449497700634536</v>
      </c>
      <c r="C524" s="171">
        <v>0.22852225552422287</v>
      </c>
      <c r="D524" s="171">
        <v>6.9737163040410666E-2</v>
      </c>
      <c r="E524" s="170">
        <v>0</v>
      </c>
      <c r="F524" s="170">
        <f>-$L$1</f>
        <v>-1.4990492230334603E-2</v>
      </c>
      <c r="G524" s="171">
        <v>0</v>
      </c>
      <c r="H524" s="171">
        <v>0</v>
      </c>
      <c r="I524" s="177">
        <f>-$N$1</f>
        <v>-4.7716218756768064E-3</v>
      </c>
      <c r="J524" s="170">
        <v>0</v>
      </c>
      <c r="L524">
        <v>0</v>
      </c>
      <c r="M524">
        <v>1.5411760804771675</v>
      </c>
      <c r="N524">
        <v>0</v>
      </c>
    </row>
    <row r="525" spans="1:16">
      <c r="A525" s="170"/>
      <c r="B525" s="171">
        <v>0.36768865949079377</v>
      </c>
      <c r="C525" s="171">
        <v>1.2890795247765441</v>
      </c>
      <c r="D525" s="171">
        <v>0.10954983766095538</v>
      </c>
      <c r="E525" s="170">
        <v>0</v>
      </c>
      <c r="F525" s="171">
        <v>0</v>
      </c>
      <c r="G525" s="170">
        <f>-$L$1</f>
        <v>-1.4990492230334603E-2</v>
      </c>
      <c r="H525" s="171">
        <v>0</v>
      </c>
      <c r="I525" s="171">
        <v>0</v>
      </c>
      <c r="J525" s="177">
        <f>-$N$1</f>
        <v>-4.7716218756768064E-3</v>
      </c>
      <c r="L525">
        <v>0</v>
      </c>
      <c r="M525">
        <v>0</v>
      </c>
      <c r="N525">
        <v>4.7309754581419831E-2</v>
      </c>
    </row>
    <row r="526" spans="1:16">
      <c r="A526" s="170"/>
      <c r="B526" s="171"/>
      <c r="C526" s="171"/>
      <c r="D526" s="171"/>
      <c r="E526" s="170"/>
      <c r="F526" s="170"/>
      <c r="G526" s="170"/>
      <c r="H526" s="170"/>
      <c r="I526" s="170"/>
      <c r="J526" s="170"/>
    </row>
    <row r="527" spans="1:16">
      <c r="A527" s="170"/>
      <c r="B527" s="171">
        <v>2.44475956514645</v>
      </c>
      <c r="C527" s="171">
        <v>-0.85548399177677847</v>
      </c>
      <c r="D527" s="171">
        <v>5.2896656816179721E-2</v>
      </c>
      <c r="E527" s="170">
        <f>-$L$1</f>
        <v>-1.4990492230334603E-2</v>
      </c>
      <c r="F527" s="171">
        <v>0</v>
      </c>
      <c r="G527" s="171">
        <v>0</v>
      </c>
      <c r="H527" s="177">
        <f>-$N$1</f>
        <v>-4.7716218756768064E-3</v>
      </c>
      <c r="I527" s="170">
        <v>0</v>
      </c>
      <c r="J527" s="170">
        <v>0</v>
      </c>
      <c r="L527">
        <f t="array" ref="L527:N529">SVDD(B527:D529)</f>
        <v>4.2543745111848903</v>
      </c>
      <c r="M527">
        <v>0</v>
      </c>
      <c r="N527">
        <v>0</v>
      </c>
      <c r="P527">
        <f t="shared" ref="P527" si="176">MAX(L527,M528,N529)/MIN(L527,M528,N529)</f>
        <v>384.18771801649655</v>
      </c>
    </row>
    <row r="528" spans="1:16">
      <c r="A528" s="170" t="s">
        <v>345</v>
      </c>
      <c r="B528" s="171">
        <v>2.8449497700634536</v>
      </c>
      <c r="C528" s="171">
        <v>0.22852225552422287</v>
      </c>
      <c r="D528" s="171">
        <v>6.9737163040410666E-2</v>
      </c>
      <c r="E528" s="170">
        <v>0</v>
      </c>
      <c r="F528" s="170">
        <f>-$L$1</f>
        <v>-1.4990492230334603E-2</v>
      </c>
      <c r="G528" s="171">
        <v>0</v>
      </c>
      <c r="H528" s="171">
        <v>0</v>
      </c>
      <c r="I528" s="177">
        <f>-$N$1</f>
        <v>-4.7716218756768064E-3</v>
      </c>
      <c r="J528" s="170">
        <v>0</v>
      </c>
      <c r="L528">
        <v>0</v>
      </c>
      <c r="M528">
        <v>1.5236083108957059</v>
      </c>
      <c r="N528">
        <v>0</v>
      </c>
    </row>
    <row r="529" spans="1:16">
      <c r="A529" s="170"/>
      <c r="B529" s="171">
        <v>1.9865190328797109</v>
      </c>
      <c r="C529" s="171">
        <v>1.2694850305255347</v>
      </c>
      <c r="D529" s="171">
        <v>3.2127045366234341E-2</v>
      </c>
      <c r="E529" s="170">
        <v>0</v>
      </c>
      <c r="F529" s="171">
        <v>0</v>
      </c>
      <c r="G529" s="170">
        <f>-$L$1</f>
        <v>-1.4990492230334603E-2</v>
      </c>
      <c r="H529" s="171">
        <v>0</v>
      </c>
      <c r="I529" s="171">
        <v>0</v>
      </c>
      <c r="J529" s="177">
        <f>-$N$1</f>
        <v>-4.7716218756768064E-3</v>
      </c>
      <c r="L529">
        <v>0</v>
      </c>
      <c r="M529">
        <v>0</v>
      </c>
      <c r="N529">
        <v>1.1073686928748234E-2</v>
      </c>
    </row>
    <row r="530" spans="1:16">
      <c r="A530" s="170"/>
      <c r="B530" s="171"/>
      <c r="C530" s="171"/>
      <c r="D530" s="171"/>
      <c r="E530" s="170"/>
      <c r="F530" s="170"/>
      <c r="G530" s="170"/>
      <c r="H530" s="170"/>
      <c r="I530" s="170"/>
      <c r="J530" s="170"/>
    </row>
    <row r="531" spans="1:16">
      <c r="A531" s="170"/>
      <c r="B531" s="171">
        <v>2.44475956514645</v>
      </c>
      <c r="C531" s="171">
        <v>-0.85548399177677847</v>
      </c>
      <c r="D531" s="171">
        <v>5.2896656816179721E-2</v>
      </c>
      <c r="E531" s="170">
        <f>-$L$1</f>
        <v>-1.4990492230334603E-2</v>
      </c>
      <c r="F531" s="171">
        <v>0</v>
      </c>
      <c r="G531" s="171">
        <v>0</v>
      </c>
      <c r="H531" s="177">
        <f>-$N$1</f>
        <v>-4.7716218756768064E-3</v>
      </c>
      <c r="I531" s="170">
        <v>0</v>
      </c>
      <c r="J531" s="170">
        <v>0</v>
      </c>
      <c r="L531">
        <f t="array" ref="L531:N533">SVDD(B531:D533)</f>
        <v>4.0039204613193897</v>
      </c>
      <c r="M531">
        <v>0</v>
      </c>
      <c r="N531">
        <v>0</v>
      </c>
      <c r="P531">
        <f t="shared" ref="P531" si="177">MAX(L531,M532,N533)/MIN(L531,M532,N533)</f>
        <v>14.309656637068336</v>
      </c>
    </row>
    <row r="532" spans="1:16">
      <c r="A532" s="170" t="s">
        <v>346</v>
      </c>
      <c r="B532" s="171">
        <v>2.8449497700634536</v>
      </c>
      <c r="C532" s="171">
        <v>0.22852225552422287</v>
      </c>
      <c r="D532" s="171">
        <v>6.9737163040410666E-2</v>
      </c>
      <c r="E532" s="170">
        <v>0</v>
      </c>
      <c r="F532" s="170">
        <f>-$L$1</f>
        <v>-1.4990492230334603E-2</v>
      </c>
      <c r="G532" s="171">
        <v>0</v>
      </c>
      <c r="H532" s="171">
        <v>0</v>
      </c>
      <c r="I532" s="177">
        <f>-$N$1</f>
        <v>-4.7716218756768064E-3</v>
      </c>
      <c r="J532" s="170">
        <v>0</v>
      </c>
      <c r="L532">
        <v>0</v>
      </c>
      <c r="M532">
        <v>1.86790807807356</v>
      </c>
      <c r="N532">
        <v>0</v>
      </c>
    </row>
    <row r="533" spans="1:16">
      <c r="A533" s="170"/>
      <c r="B533" s="171">
        <v>1.3773893306068323</v>
      </c>
      <c r="C533" s="171">
        <v>1.5521003879162059</v>
      </c>
      <c r="D533" s="171">
        <v>-0.65590292152571228</v>
      </c>
      <c r="E533" s="170">
        <v>0</v>
      </c>
      <c r="F533" s="171">
        <v>0</v>
      </c>
      <c r="G533" s="170">
        <f>-$L$1</f>
        <v>-1.4990492230334603E-2</v>
      </c>
      <c r="H533" s="171">
        <v>0</v>
      </c>
      <c r="I533" s="171">
        <v>0</v>
      </c>
      <c r="J533" s="177">
        <f>-$N$1</f>
        <v>-4.7716218756768064E-3</v>
      </c>
      <c r="L533">
        <v>0</v>
      </c>
      <c r="M533">
        <v>0</v>
      </c>
      <c r="N533">
        <v>0.27980548820070678</v>
      </c>
    </row>
    <row r="534" spans="1:16">
      <c r="A534" s="170"/>
      <c r="B534" s="171"/>
      <c r="C534" s="171"/>
      <c r="D534" s="171"/>
      <c r="E534" s="170"/>
      <c r="F534" s="170"/>
      <c r="G534" s="170"/>
      <c r="H534" s="170"/>
      <c r="I534" s="170"/>
      <c r="J534" s="170"/>
    </row>
    <row r="535" spans="1:16">
      <c r="A535" s="170"/>
      <c r="B535" s="171">
        <v>2.44475956514645</v>
      </c>
      <c r="C535" s="171">
        <v>-0.85548399177677847</v>
      </c>
      <c r="D535" s="171">
        <v>5.2896656816179721E-2</v>
      </c>
      <c r="E535" s="170">
        <f>-$L$1</f>
        <v>-1.4990492230334603E-2</v>
      </c>
      <c r="F535" s="171">
        <v>0</v>
      </c>
      <c r="G535" s="171">
        <v>0</v>
      </c>
      <c r="H535" s="177">
        <f>-$N$1</f>
        <v>-4.7716218756768064E-3</v>
      </c>
      <c r="I535" s="170">
        <v>0</v>
      </c>
      <c r="J535" s="170">
        <v>0</v>
      </c>
      <c r="L535">
        <f t="array" ref="L535:N537">SVDD(B535:D537)</f>
        <v>3.1932290843373745</v>
      </c>
      <c r="M535">
        <v>0</v>
      </c>
      <c r="N535">
        <v>0</v>
      </c>
      <c r="P535">
        <f t="shared" ref="P535" si="178">MAX(L535,M536,N537)/MIN(L535,M536,N537)</f>
        <v>38.193455921208319</v>
      </c>
    </row>
    <row r="536" spans="1:16">
      <c r="A536" s="170" t="s">
        <v>347</v>
      </c>
      <c r="B536" s="171">
        <v>0.36768865949079377</v>
      </c>
      <c r="C536" s="171">
        <v>1.2890795247765441</v>
      </c>
      <c r="D536" s="171">
        <v>0.10954983766095538</v>
      </c>
      <c r="E536" s="170">
        <v>0</v>
      </c>
      <c r="F536" s="170">
        <f>-$L$1</f>
        <v>-1.4990492230334603E-2</v>
      </c>
      <c r="G536" s="171">
        <v>0</v>
      </c>
      <c r="H536" s="171">
        <v>0</v>
      </c>
      <c r="I536" s="177">
        <f>-$N$1</f>
        <v>-4.7716218756768064E-3</v>
      </c>
      <c r="J536" s="170">
        <v>0</v>
      </c>
      <c r="L536">
        <v>0</v>
      </c>
      <c r="M536">
        <v>1.96865501740104</v>
      </c>
      <c r="N536">
        <v>0</v>
      </c>
    </row>
    <row r="537" spans="1:16">
      <c r="A537" s="170"/>
      <c r="B537" s="171">
        <v>1.9865190328797109</v>
      </c>
      <c r="C537" s="171">
        <v>1.2694850305255347</v>
      </c>
      <c r="D537" s="171">
        <v>3.2127045366234341E-2</v>
      </c>
      <c r="E537" s="170">
        <v>0</v>
      </c>
      <c r="F537" s="171">
        <v>0</v>
      </c>
      <c r="G537" s="170">
        <f>-$L$1</f>
        <v>-1.4990492230334603E-2</v>
      </c>
      <c r="H537" s="171">
        <v>0</v>
      </c>
      <c r="I537" s="171">
        <v>0</v>
      </c>
      <c r="J537" s="177">
        <f>-$N$1</f>
        <v>-4.7716218756768064E-3</v>
      </c>
      <c r="L537">
        <v>0</v>
      </c>
      <c r="M537">
        <v>0</v>
      </c>
      <c r="N537">
        <v>8.360670715226419E-2</v>
      </c>
    </row>
    <row r="538" spans="1:16">
      <c r="A538" s="170"/>
      <c r="B538" s="171"/>
      <c r="C538" s="171"/>
      <c r="D538" s="171"/>
      <c r="E538" s="170"/>
      <c r="F538" s="170"/>
      <c r="G538" s="170"/>
      <c r="H538" s="170"/>
      <c r="I538" s="170"/>
      <c r="J538" s="170"/>
    </row>
    <row r="539" spans="1:16">
      <c r="A539" s="170"/>
      <c r="B539" s="171">
        <v>2.44475956514645</v>
      </c>
      <c r="C539" s="171">
        <v>-0.85548399177677847</v>
      </c>
      <c r="D539" s="171">
        <v>5.2896656816179721E-2</v>
      </c>
      <c r="E539" s="170">
        <f>-$L$1</f>
        <v>-1.4990492230334603E-2</v>
      </c>
      <c r="F539" s="171">
        <v>0</v>
      </c>
      <c r="G539" s="171">
        <v>0</v>
      </c>
      <c r="H539" s="177">
        <f>-$N$1</f>
        <v>-4.7716218756768064E-3</v>
      </c>
      <c r="I539" s="170">
        <v>0</v>
      </c>
      <c r="J539" s="170">
        <v>0</v>
      </c>
      <c r="L539">
        <f t="array" ref="L539:N541">SVDD(B539:D541)</f>
        <v>2.862061475420143</v>
      </c>
      <c r="M539">
        <v>0</v>
      </c>
      <c r="N539">
        <v>0</v>
      </c>
      <c r="P539">
        <f t="shared" ref="P539" si="179">MAX(L539,M540,N541)/MIN(L539,M540,N541)</f>
        <v>6.2639720915040158</v>
      </c>
    </row>
    <row r="540" spans="1:16">
      <c r="A540" s="170" t="s">
        <v>348</v>
      </c>
      <c r="B540" s="171">
        <v>0.36768865949079377</v>
      </c>
      <c r="C540" s="171">
        <v>1.2890795247765441</v>
      </c>
      <c r="D540" s="171">
        <v>0.10954983766095538</v>
      </c>
      <c r="E540" s="170">
        <v>0</v>
      </c>
      <c r="F540" s="170">
        <f>-$L$1</f>
        <v>-1.4990492230334603E-2</v>
      </c>
      <c r="G540" s="171">
        <v>0</v>
      </c>
      <c r="H540" s="171">
        <v>0</v>
      </c>
      <c r="I540" s="177">
        <f>-$N$1</f>
        <v>-4.7716218756768064E-3</v>
      </c>
      <c r="J540" s="170">
        <v>0</v>
      </c>
      <c r="L540">
        <v>0</v>
      </c>
      <c r="M540">
        <v>2.2037891992120984</v>
      </c>
      <c r="N540">
        <v>0</v>
      </c>
    </row>
    <row r="541" spans="1:16">
      <c r="A541" s="170"/>
      <c r="B541" s="171">
        <v>1.3773893306068323</v>
      </c>
      <c r="C541" s="171">
        <v>1.5521003879162059</v>
      </c>
      <c r="D541" s="171">
        <v>-0.65590292152571228</v>
      </c>
      <c r="E541" s="170">
        <v>0</v>
      </c>
      <c r="F541" s="171">
        <v>0</v>
      </c>
      <c r="G541" s="170">
        <f>-$L$1</f>
        <v>-1.4990492230334603E-2</v>
      </c>
      <c r="H541" s="171">
        <v>0</v>
      </c>
      <c r="I541" s="171">
        <v>0</v>
      </c>
      <c r="J541" s="177">
        <f>-$N$1</f>
        <v>-4.7716218756768064E-3</v>
      </c>
      <c r="L541">
        <v>0</v>
      </c>
      <c r="M541">
        <v>0</v>
      </c>
      <c r="N541">
        <v>0.45690840150805101</v>
      </c>
    </row>
    <row r="542" spans="1:16">
      <c r="A542" s="170"/>
      <c r="B542" s="171"/>
      <c r="C542" s="171"/>
      <c r="D542" s="171"/>
      <c r="E542" s="170"/>
      <c r="F542" s="170"/>
      <c r="G542" s="170"/>
      <c r="H542" s="170"/>
      <c r="I542" s="170"/>
      <c r="J542" s="170"/>
    </row>
    <row r="543" spans="1:16">
      <c r="A543" s="170"/>
      <c r="B543" s="171">
        <v>2.44475956514645</v>
      </c>
      <c r="C543" s="171">
        <v>-0.85548399177677847</v>
      </c>
      <c r="D543" s="171">
        <v>5.2896656816179721E-2</v>
      </c>
      <c r="E543" s="170">
        <f>-$L$1</f>
        <v>-1.4990492230334603E-2</v>
      </c>
      <c r="F543" s="171">
        <v>0</v>
      </c>
      <c r="G543" s="171">
        <v>0</v>
      </c>
      <c r="H543" s="177">
        <f>-$N$1</f>
        <v>-4.7716218756768064E-3</v>
      </c>
      <c r="I543" s="170">
        <v>0</v>
      </c>
      <c r="J543" s="170">
        <v>0</v>
      </c>
      <c r="L543">
        <f t="array" ref="L543:N545">SVDD(B543:D545)</f>
        <v>3.5686569314803323</v>
      </c>
      <c r="M543">
        <v>0</v>
      </c>
      <c r="N543">
        <v>0</v>
      </c>
      <c r="P543">
        <f t="shared" ref="P543" si="180">MAX(L543,M544,N545)/MIN(L543,M544,N545)</f>
        <v>7.9300802487334305</v>
      </c>
    </row>
    <row r="544" spans="1:16">
      <c r="A544" s="170" t="s">
        <v>349</v>
      </c>
      <c r="B544" s="171">
        <v>1.9865190328797109</v>
      </c>
      <c r="C544" s="171">
        <v>1.2694850305255347</v>
      </c>
      <c r="D544" s="171">
        <v>3.2127045366234341E-2</v>
      </c>
      <c r="E544" s="170">
        <v>0</v>
      </c>
      <c r="F544" s="170">
        <f>-$L$1</f>
        <v>-1.4990492230334603E-2</v>
      </c>
      <c r="G544" s="171">
        <v>0</v>
      </c>
      <c r="H544" s="171">
        <v>0</v>
      </c>
      <c r="I544" s="177">
        <f>-$N$1</f>
        <v>-4.7716218756768064E-3</v>
      </c>
      <c r="J544" s="170">
        <v>0</v>
      </c>
      <c r="L544">
        <v>0</v>
      </c>
      <c r="M544">
        <v>2.017171813073344</v>
      </c>
      <c r="N544">
        <v>0</v>
      </c>
    </row>
    <row r="545" spans="1:16">
      <c r="A545" s="170"/>
      <c r="B545" s="171">
        <v>1.3773893306068323</v>
      </c>
      <c r="C545" s="171">
        <v>1.5521003879162059</v>
      </c>
      <c r="D545" s="171">
        <v>-0.65590292152571228</v>
      </c>
      <c r="E545" s="170">
        <v>0</v>
      </c>
      <c r="F545" s="171">
        <v>0</v>
      </c>
      <c r="G545" s="170">
        <f>-$L$1</f>
        <v>-1.4990492230334603E-2</v>
      </c>
      <c r="H545" s="171">
        <v>0</v>
      </c>
      <c r="I545" s="171">
        <v>0</v>
      </c>
      <c r="J545" s="177">
        <f>-$N$1</f>
        <v>-4.7716218756768064E-3</v>
      </c>
      <c r="L545">
        <v>0</v>
      </c>
      <c r="M545">
        <v>0</v>
      </c>
      <c r="N545">
        <v>0.45001523560247803</v>
      </c>
    </row>
    <row r="546" spans="1:16">
      <c r="A546" s="170"/>
      <c r="B546" s="171"/>
      <c r="C546" s="171"/>
      <c r="D546" s="171"/>
      <c r="E546" s="170"/>
      <c r="F546" s="170"/>
      <c r="G546" s="170"/>
      <c r="H546" s="170"/>
      <c r="I546" s="170"/>
      <c r="J546" s="170"/>
    </row>
    <row r="547" spans="1:16">
      <c r="A547" s="170"/>
      <c r="B547" s="171">
        <v>2.8449497700634536</v>
      </c>
      <c r="C547" s="171">
        <v>0.22852225552422287</v>
      </c>
      <c r="D547" s="171">
        <v>6.9737163040410666E-2</v>
      </c>
      <c r="E547" s="170">
        <f>-$L$1</f>
        <v>-1.4990492230334603E-2</v>
      </c>
      <c r="F547" s="171">
        <v>0</v>
      </c>
      <c r="G547" s="171">
        <v>0</v>
      </c>
      <c r="H547" s="177">
        <f>-$N$1</f>
        <v>-4.7716218756768064E-3</v>
      </c>
      <c r="I547" s="170">
        <v>0</v>
      </c>
      <c r="J547" s="170">
        <v>0</v>
      </c>
      <c r="L547">
        <f t="array" ref="L547:N549">SVDD(B547:D549)</f>
        <v>3.6732774020394094</v>
      </c>
      <c r="M547">
        <v>0</v>
      </c>
      <c r="N547">
        <v>0</v>
      </c>
      <c r="P547">
        <f t="shared" ref="P547" si="181">MAX(L547,M548,N549)/MIN(L547,M548,N549)</f>
        <v>50.896502091007278</v>
      </c>
    </row>
    <row r="548" spans="1:16">
      <c r="A548" s="170" t="s">
        <v>350</v>
      </c>
      <c r="B548" s="171">
        <v>0.36768865949079377</v>
      </c>
      <c r="C548" s="171">
        <v>1.2890795247765441</v>
      </c>
      <c r="D548" s="171">
        <v>0.10954983766095538</v>
      </c>
      <c r="E548" s="170">
        <v>0</v>
      </c>
      <c r="F548" s="170">
        <f>-$L$1</f>
        <v>-1.4990492230334603E-2</v>
      </c>
      <c r="G548" s="171">
        <v>0</v>
      </c>
      <c r="H548" s="171">
        <v>0</v>
      </c>
      <c r="I548" s="177">
        <f>-$N$1</f>
        <v>-4.7716218756768064E-3</v>
      </c>
      <c r="J548" s="170">
        <v>0</v>
      </c>
      <c r="L548">
        <v>0</v>
      </c>
      <c r="M548">
        <v>1.4214266370125714</v>
      </c>
      <c r="N548">
        <v>0</v>
      </c>
    </row>
    <row r="549" spans="1:16">
      <c r="A549" s="170"/>
      <c r="B549" s="171">
        <v>1.9865190328797109</v>
      </c>
      <c r="C549" s="171">
        <v>1.2694850305255347</v>
      </c>
      <c r="D549" s="171">
        <v>3.2127045366234341E-2</v>
      </c>
      <c r="E549" s="170">
        <v>0</v>
      </c>
      <c r="F549" s="171">
        <v>0</v>
      </c>
      <c r="G549" s="170">
        <f>-$L$1</f>
        <v>-1.4990492230334603E-2</v>
      </c>
      <c r="H549" s="171">
        <v>0</v>
      </c>
      <c r="I549" s="171">
        <v>0</v>
      </c>
      <c r="J549" s="177">
        <f>-$N$1</f>
        <v>-4.7716218756768064E-3</v>
      </c>
      <c r="L549">
        <v>0</v>
      </c>
      <c r="M549">
        <v>0</v>
      </c>
      <c r="N549">
        <v>7.2171509850937829E-2</v>
      </c>
    </row>
    <row r="550" spans="1:16">
      <c r="A550" s="170"/>
      <c r="B550" s="171"/>
      <c r="C550" s="171"/>
      <c r="D550" s="171"/>
      <c r="E550" s="170"/>
      <c r="F550" s="170"/>
      <c r="G550" s="170"/>
      <c r="H550" s="170"/>
      <c r="I550" s="170"/>
      <c r="J550" s="170"/>
    </row>
    <row r="551" spans="1:16">
      <c r="A551" s="170"/>
      <c r="B551" s="171">
        <v>2.8449497700634536</v>
      </c>
      <c r="C551" s="171">
        <v>0.22852225552422287</v>
      </c>
      <c r="D551" s="171">
        <v>6.9737163040410666E-2</v>
      </c>
      <c r="E551" s="170">
        <f>-$L$1</f>
        <v>-1.4990492230334603E-2</v>
      </c>
      <c r="F551" s="171">
        <v>0</v>
      </c>
      <c r="G551" s="171">
        <v>0</v>
      </c>
      <c r="H551" s="177">
        <f>-$N$1</f>
        <v>-4.7716218756768064E-3</v>
      </c>
      <c r="I551" s="170">
        <v>0</v>
      </c>
      <c r="J551" s="170">
        <v>0</v>
      </c>
      <c r="L551">
        <f t="array" ref="L551:N553">SVDD(B551:D553)</f>
        <v>3.4116005787297428</v>
      </c>
      <c r="M551">
        <v>0</v>
      </c>
      <c r="N551">
        <v>0</v>
      </c>
      <c r="P551">
        <f t="shared" ref="P551" si="182">MAX(L551,M552,N553)/MIN(L551,M552,N553)</f>
        <v>6.7566483524299317</v>
      </c>
    </row>
    <row r="552" spans="1:16">
      <c r="A552" s="170" t="s">
        <v>351</v>
      </c>
      <c r="B552" s="171">
        <v>0.36768865949079377</v>
      </c>
      <c r="C552" s="171">
        <v>1.2890795247765441</v>
      </c>
      <c r="D552" s="171">
        <v>0.10954983766095538</v>
      </c>
      <c r="E552" s="170">
        <v>0</v>
      </c>
      <c r="F552" s="170">
        <f>-$L$1</f>
        <v>-1.4990492230334603E-2</v>
      </c>
      <c r="G552" s="171">
        <v>0</v>
      </c>
      <c r="H552" s="171">
        <v>0</v>
      </c>
      <c r="I552" s="177">
        <f>-$N$1</f>
        <v>-4.7716218756768064E-3</v>
      </c>
      <c r="J552" s="170">
        <v>0</v>
      </c>
      <c r="L552">
        <v>0</v>
      </c>
      <c r="M552">
        <v>1.6739787632004006</v>
      </c>
      <c r="N552">
        <v>0</v>
      </c>
    </row>
    <row r="553" spans="1:16">
      <c r="A553" s="170"/>
      <c r="B553" s="171">
        <v>1.3773893306068323</v>
      </c>
      <c r="C553" s="171">
        <v>1.5521003879162059</v>
      </c>
      <c r="D553" s="171">
        <v>-0.65590292152571228</v>
      </c>
      <c r="E553" s="170">
        <v>0</v>
      </c>
      <c r="F553" s="171">
        <v>0</v>
      </c>
      <c r="G553" s="170">
        <f>-$L$1</f>
        <v>-1.4990492230334603E-2</v>
      </c>
      <c r="H553" s="171">
        <v>0</v>
      </c>
      <c r="I553" s="171">
        <v>0</v>
      </c>
      <c r="J553" s="177">
        <f>-$N$1</f>
        <v>-4.7716218756768064E-3</v>
      </c>
      <c r="L553">
        <v>0</v>
      </c>
      <c r="M553">
        <v>0</v>
      </c>
      <c r="N553">
        <v>0.50492498658788565</v>
      </c>
    </row>
    <row r="554" spans="1:16">
      <c r="A554" s="170"/>
      <c r="B554" s="171"/>
      <c r="C554" s="171"/>
      <c r="D554" s="171"/>
      <c r="E554" s="170"/>
      <c r="F554" s="170"/>
      <c r="G554" s="170"/>
      <c r="H554" s="170"/>
      <c r="I554" s="170"/>
      <c r="J554" s="170"/>
    </row>
    <row r="555" spans="1:16">
      <c r="A555" s="170"/>
      <c r="B555" s="171">
        <v>2.8449497700634536</v>
      </c>
      <c r="C555" s="171">
        <v>0.22852225552422287</v>
      </c>
      <c r="D555" s="171">
        <v>6.9737163040410666E-2</v>
      </c>
      <c r="E555" s="170">
        <f>-$L$1</f>
        <v>-1.4990492230334603E-2</v>
      </c>
      <c r="F555" s="171">
        <v>0</v>
      </c>
      <c r="G555" s="171">
        <v>0</v>
      </c>
      <c r="H555" s="177">
        <f>-$N$1</f>
        <v>-4.7716218756768064E-3</v>
      </c>
      <c r="I555" s="170">
        <v>0</v>
      </c>
      <c r="J555" s="170">
        <v>0</v>
      </c>
      <c r="L555">
        <f t="array" ref="L555:N557">SVDD(B555:D557)</f>
        <v>4.0387802735762426</v>
      </c>
      <c r="M555">
        <v>0</v>
      </c>
      <c r="N555">
        <v>0</v>
      </c>
      <c r="P555">
        <f t="shared" ref="P555" si="183">MAX(L555,M556,N557)/MIN(L555,M556,N557)</f>
        <v>10.927909861320535</v>
      </c>
    </row>
    <row r="556" spans="1:16">
      <c r="A556" s="170" t="s">
        <v>352</v>
      </c>
      <c r="B556" s="171">
        <v>1.9865190328797109</v>
      </c>
      <c r="C556" s="171">
        <v>1.2694850305255347</v>
      </c>
      <c r="D556" s="171">
        <v>3.2127045366234341E-2</v>
      </c>
      <c r="E556" s="170">
        <v>0</v>
      </c>
      <c r="F556" s="170">
        <f>-$L$1</f>
        <v>-1.4990492230334603E-2</v>
      </c>
      <c r="G556" s="171">
        <v>0</v>
      </c>
      <c r="H556" s="171">
        <v>0</v>
      </c>
      <c r="I556" s="177">
        <f>-$N$1</f>
        <v>-4.7716218756768064E-3</v>
      </c>
      <c r="J556" s="170">
        <v>0</v>
      </c>
      <c r="L556">
        <v>0</v>
      </c>
      <c r="M556">
        <v>1.4134335368921829</v>
      </c>
      <c r="N556">
        <v>0</v>
      </c>
    </row>
    <row r="557" spans="1:16">
      <c r="A557" s="170"/>
      <c r="B557" s="171">
        <v>1.3773893306068323</v>
      </c>
      <c r="C557" s="171">
        <v>1.5521003879162059</v>
      </c>
      <c r="D557" s="171">
        <v>-0.65590292152571228</v>
      </c>
      <c r="E557" s="170">
        <v>0</v>
      </c>
      <c r="F557" s="171">
        <v>0</v>
      </c>
      <c r="G557" s="170">
        <f>-$L$1</f>
        <v>-1.4990492230334603E-2</v>
      </c>
      <c r="H557" s="171">
        <v>0</v>
      </c>
      <c r="I557" s="171">
        <v>0</v>
      </c>
      <c r="J557" s="177">
        <f>-$N$1</f>
        <v>-4.7716218756768064E-3</v>
      </c>
      <c r="L557">
        <v>0</v>
      </c>
      <c r="M557">
        <v>0</v>
      </c>
      <c r="N557">
        <v>0.36958396663496951</v>
      </c>
    </row>
    <row r="558" spans="1:16">
      <c r="A558" s="170"/>
      <c r="B558" s="171"/>
      <c r="C558" s="171"/>
      <c r="D558" s="171"/>
      <c r="E558" s="170"/>
      <c r="F558" s="170"/>
      <c r="G558" s="170"/>
      <c r="H558" s="170"/>
      <c r="I558" s="170"/>
      <c r="J558" s="170"/>
    </row>
    <row r="559" spans="1:16">
      <c r="A559" s="170"/>
      <c r="B559" s="171">
        <v>0.36768865949079377</v>
      </c>
      <c r="C559" s="171">
        <v>1.2890795247765441</v>
      </c>
      <c r="D559" s="171">
        <v>0.10954983766095538</v>
      </c>
      <c r="E559" s="170">
        <f>-$L$1</f>
        <v>-1.4990492230334603E-2</v>
      </c>
      <c r="F559" s="171">
        <v>0</v>
      </c>
      <c r="G559" s="171">
        <v>0</v>
      </c>
      <c r="H559" s="177">
        <f>-$N$1</f>
        <v>-4.7716218756768064E-3</v>
      </c>
      <c r="I559" s="170">
        <v>0</v>
      </c>
      <c r="J559" s="170">
        <v>0</v>
      </c>
      <c r="L559">
        <f t="array" ref="L559:N561">SVDD(B559:D561)</f>
        <v>3.3304330452374593</v>
      </c>
      <c r="M559">
        <v>0</v>
      </c>
      <c r="N559">
        <v>0</v>
      </c>
      <c r="P559">
        <f t="shared" ref="P559" si="184">MAX(L559,M560,N561)/MIN(L559,M560,N561)</f>
        <v>5.9522483324166</v>
      </c>
    </row>
    <row r="560" spans="1:16">
      <c r="A560" s="170" t="s">
        <v>353</v>
      </c>
      <c r="B560" s="171">
        <v>1.9865190328797109</v>
      </c>
      <c r="C560" s="171">
        <v>1.2694850305255347</v>
      </c>
      <c r="D560" s="171">
        <v>3.2127045366234341E-2</v>
      </c>
      <c r="E560" s="170">
        <v>0</v>
      </c>
      <c r="F560" s="170">
        <f>-$L$1</f>
        <v>-1.4990492230334603E-2</v>
      </c>
      <c r="G560" s="171">
        <v>0</v>
      </c>
      <c r="H560" s="171">
        <v>0</v>
      </c>
      <c r="I560" s="177">
        <f>-$N$1</f>
        <v>-4.7716218756768064E-3</v>
      </c>
      <c r="J560" s="170">
        <v>0</v>
      </c>
      <c r="L560">
        <v>0</v>
      </c>
      <c r="M560">
        <v>0.83628779892696181</v>
      </c>
      <c r="N560">
        <v>0</v>
      </c>
    </row>
    <row r="561" spans="1:16">
      <c r="A561" s="170"/>
      <c r="B561" s="171">
        <v>1.3773893306068323</v>
      </c>
      <c r="C561" s="171">
        <v>1.5521003879162059</v>
      </c>
      <c r="D561" s="171">
        <v>-0.65590292152571228</v>
      </c>
      <c r="E561" s="170">
        <v>0</v>
      </c>
      <c r="F561" s="171">
        <v>0</v>
      </c>
      <c r="G561" s="170">
        <f>-$L$1</f>
        <v>-1.4990492230334603E-2</v>
      </c>
      <c r="H561" s="171">
        <v>0</v>
      </c>
      <c r="I561" s="171">
        <v>0</v>
      </c>
      <c r="J561" s="177">
        <f>-$N$1</f>
        <v>-4.7716218756768064E-3</v>
      </c>
      <c r="L561">
        <v>0</v>
      </c>
      <c r="M561">
        <v>0</v>
      </c>
      <c r="N561">
        <v>0.55952521790792131</v>
      </c>
    </row>
    <row r="562" spans="1:16">
      <c r="A562" s="170"/>
      <c r="B562" s="171"/>
      <c r="C562" s="171"/>
      <c r="D562" s="171"/>
      <c r="E562" s="170"/>
      <c r="F562" s="170"/>
      <c r="G562" s="170"/>
      <c r="H562" s="170"/>
      <c r="I562" s="170"/>
      <c r="J562" s="170"/>
    </row>
    <row r="563" spans="1:16">
      <c r="A563" s="170"/>
      <c r="B563" s="171">
        <v>-1.4421025939282253</v>
      </c>
      <c r="C563" s="171">
        <v>-1.0431877148697888</v>
      </c>
      <c r="D563" s="171">
        <v>-0.78932433807079116</v>
      </c>
      <c r="E563" s="170">
        <f>-$L$1</f>
        <v>-1.4990492230334603E-2</v>
      </c>
      <c r="F563" s="171">
        <v>0</v>
      </c>
      <c r="G563" s="171">
        <v>0</v>
      </c>
      <c r="H563" s="177">
        <f>-$N$1</f>
        <v>-4.7716218756768064E-3</v>
      </c>
      <c r="I563" s="170">
        <v>0</v>
      </c>
      <c r="J563" s="170">
        <v>0</v>
      </c>
      <c r="L563">
        <f t="array" ref="L563:N565">SVDD(B563:D565)</f>
        <v>3.5193407540499355</v>
      </c>
      <c r="M563">
        <v>0</v>
      </c>
      <c r="N563">
        <v>0</v>
      </c>
      <c r="P563">
        <f t="shared" ref="P563" si="185">MAX(L563,M564,N565)/MIN(L563,M564,N565)</f>
        <v>5.9241424686026916</v>
      </c>
    </row>
    <row r="564" spans="1:16">
      <c r="A564" s="170" t="s">
        <v>354</v>
      </c>
      <c r="B564" s="171">
        <v>-2.6959782234951333</v>
      </c>
      <c r="C564" s="171">
        <v>-1.0757798809975587</v>
      </c>
      <c r="D564" s="171">
        <v>-4.997772423355884E-2</v>
      </c>
      <c r="E564" s="170">
        <v>0</v>
      </c>
      <c r="F564" s="170">
        <f>-$L$1</f>
        <v>-1.4990492230334603E-2</v>
      </c>
      <c r="G564" s="171">
        <v>0</v>
      </c>
      <c r="H564" s="171">
        <v>0</v>
      </c>
      <c r="I564" s="177">
        <f>-$N$1</f>
        <v>-4.7716218756768064E-3</v>
      </c>
      <c r="J564" s="170">
        <v>0</v>
      </c>
      <c r="L564">
        <v>0</v>
      </c>
      <c r="M564">
        <v>0.903250727594609</v>
      </c>
      <c r="N564">
        <v>0</v>
      </c>
    </row>
    <row r="565" spans="1:16">
      <c r="A565" s="170"/>
      <c r="B565" s="171">
        <v>-0.40019020491700363</v>
      </c>
      <c r="C565" s="171">
        <v>-1.0840062473010013</v>
      </c>
      <c r="D565" s="171">
        <v>-1.6840506224230944E-2</v>
      </c>
      <c r="E565" s="170">
        <v>0</v>
      </c>
      <c r="F565" s="171">
        <v>0</v>
      </c>
      <c r="G565" s="170">
        <f>-$L$1</f>
        <v>-1.4990492230334603E-2</v>
      </c>
      <c r="H565" s="171">
        <v>0</v>
      </c>
      <c r="I565" s="171">
        <v>0</v>
      </c>
      <c r="J565" s="177">
        <f>-$N$1</f>
        <v>-4.7716218756768064E-3</v>
      </c>
      <c r="L565">
        <v>0</v>
      </c>
      <c r="M565">
        <v>0</v>
      </c>
      <c r="N565">
        <v>0.594067541876661</v>
      </c>
    </row>
    <row r="566" spans="1:16">
      <c r="A566" s="170"/>
      <c r="B566" s="171"/>
      <c r="C566" s="171"/>
      <c r="D566" s="171"/>
      <c r="E566" s="170"/>
      <c r="F566" s="170"/>
      <c r="G566" s="170"/>
      <c r="H566" s="170"/>
      <c r="I566" s="170"/>
      <c r="J566" s="170"/>
    </row>
    <row r="567" spans="1:16">
      <c r="A567" s="170"/>
      <c r="B567" s="171">
        <v>-1.4421025939282253</v>
      </c>
      <c r="C567" s="171">
        <v>-1.0431877148697888</v>
      </c>
      <c r="D567" s="171">
        <v>-0.78932433807079116</v>
      </c>
      <c r="E567" s="170">
        <f>-$L$1</f>
        <v>-1.4990492230334603E-2</v>
      </c>
      <c r="F567" s="171">
        <v>0</v>
      </c>
      <c r="G567" s="171">
        <v>0</v>
      </c>
      <c r="H567" s="177">
        <f>-$N$1</f>
        <v>-4.7716218756768064E-3</v>
      </c>
      <c r="I567" s="170">
        <v>0</v>
      </c>
      <c r="J567" s="170">
        <v>0</v>
      </c>
      <c r="L567">
        <f t="array" ref="L567:N569">SVDD(B567:D569)</f>
        <v>4.3731304447362875</v>
      </c>
      <c r="M567">
        <v>0</v>
      </c>
      <c r="N567">
        <v>0</v>
      </c>
      <c r="P567">
        <f t="shared" ref="P567" si="186">MAX(L567,M568,N569)/MIN(L567,M568,N569)</f>
        <v>10.502318144486368</v>
      </c>
    </row>
    <row r="568" spans="1:16">
      <c r="A568" s="170" t="s">
        <v>355</v>
      </c>
      <c r="B568" s="171">
        <v>-2.6959782234951333</v>
      </c>
      <c r="C568" s="171">
        <v>-1.0757798809975587</v>
      </c>
      <c r="D568" s="171">
        <v>-4.997772423355884E-2</v>
      </c>
      <c r="E568" s="170">
        <v>0</v>
      </c>
      <c r="F568" s="170">
        <f>-$L$1</f>
        <v>-1.4990492230334603E-2</v>
      </c>
      <c r="G568" s="171">
        <v>0</v>
      </c>
      <c r="H568" s="171">
        <v>0</v>
      </c>
      <c r="I568" s="177">
        <f>-$N$1</f>
        <v>-4.7716218756768064E-3</v>
      </c>
      <c r="J568" s="170">
        <v>0</v>
      </c>
      <c r="L568">
        <v>0</v>
      </c>
      <c r="M568">
        <v>1.0354713516116367</v>
      </c>
      <c r="N568">
        <v>0</v>
      </c>
    </row>
    <row r="569" spans="1:16">
      <c r="A569" s="170"/>
      <c r="B569" s="171">
        <v>-2.8449497700634536</v>
      </c>
      <c r="C569" s="171">
        <v>-0.22852225552422287</v>
      </c>
      <c r="D569" s="171">
        <v>-6.9737163040410666E-2</v>
      </c>
      <c r="E569" s="170">
        <v>0</v>
      </c>
      <c r="F569" s="171">
        <v>0</v>
      </c>
      <c r="G569" s="170">
        <f>-$L$1</f>
        <v>-1.4990492230334603E-2</v>
      </c>
      <c r="H569" s="171">
        <v>0</v>
      </c>
      <c r="I569" s="171">
        <v>0</v>
      </c>
      <c r="J569" s="177">
        <f>-$N$1</f>
        <v>-4.7716218756768064E-3</v>
      </c>
      <c r="L569">
        <v>0</v>
      </c>
      <c r="M569">
        <v>0</v>
      </c>
      <c r="N569">
        <v>0.4163966835295449</v>
      </c>
    </row>
    <row r="570" spans="1:16">
      <c r="A570" s="170"/>
      <c r="B570" s="171"/>
      <c r="C570" s="171"/>
      <c r="D570" s="171"/>
      <c r="E570" s="170"/>
      <c r="F570" s="170"/>
      <c r="G570" s="170"/>
      <c r="H570" s="170"/>
      <c r="I570" s="170"/>
      <c r="J570" s="170"/>
    </row>
    <row r="571" spans="1:16">
      <c r="A571" s="170"/>
      <c r="B571" s="171">
        <v>-1.4421025939282253</v>
      </c>
      <c r="C571" s="171">
        <v>-1.0431877148697888</v>
      </c>
      <c r="D571" s="171">
        <v>-0.78932433807079116</v>
      </c>
      <c r="E571" s="170">
        <f>-$L$1</f>
        <v>-1.4990492230334603E-2</v>
      </c>
      <c r="F571" s="171">
        <v>0</v>
      </c>
      <c r="G571" s="171">
        <v>0</v>
      </c>
      <c r="H571" s="177">
        <f>-$N$1</f>
        <v>-4.7716218756768064E-3</v>
      </c>
      <c r="I571" s="170">
        <v>0</v>
      </c>
      <c r="J571" s="170">
        <v>0</v>
      </c>
      <c r="L571">
        <f t="array" ref="L571:N573">SVDD(B571:D573)</f>
        <v>3.9812488275843316</v>
      </c>
      <c r="M571">
        <v>0</v>
      </c>
      <c r="N571">
        <v>0</v>
      </c>
      <c r="P571">
        <f t="shared" ref="P571" si="187">MAX(L571,M572,N573)/MIN(L571,M572,N573)</f>
        <v>7.0264412742510673</v>
      </c>
    </row>
    <row r="572" spans="1:16">
      <c r="A572" s="170" t="s">
        <v>356</v>
      </c>
      <c r="B572" s="171">
        <v>-2.6959782234951333</v>
      </c>
      <c r="C572" s="171">
        <v>-1.0757798809975587</v>
      </c>
      <c r="D572" s="171">
        <v>-4.997772423355884E-2</v>
      </c>
      <c r="E572" s="170">
        <v>0</v>
      </c>
      <c r="F572" s="170">
        <f>-$L$1</f>
        <v>-1.4990492230334603E-2</v>
      </c>
      <c r="G572" s="171">
        <v>0</v>
      </c>
      <c r="H572" s="171">
        <v>0</v>
      </c>
      <c r="I572" s="177">
        <f>-$N$1</f>
        <v>-4.7716218756768064E-3</v>
      </c>
      <c r="J572" s="170">
        <v>0</v>
      </c>
      <c r="L572">
        <v>0</v>
      </c>
      <c r="M572">
        <v>1.8195694195295511</v>
      </c>
      <c r="N572">
        <v>0</v>
      </c>
    </row>
    <row r="573" spans="1:16">
      <c r="A573" s="170"/>
      <c r="B573" s="171">
        <v>-2.4772611105726599</v>
      </c>
      <c r="C573" s="171">
        <v>1.0605572692523213</v>
      </c>
      <c r="D573" s="171">
        <v>3.9812674620544719E-2</v>
      </c>
      <c r="E573" s="170">
        <v>0</v>
      </c>
      <c r="F573" s="171">
        <v>0</v>
      </c>
      <c r="G573" s="170">
        <f>-$L$1</f>
        <v>-1.4990492230334603E-2</v>
      </c>
      <c r="H573" s="171">
        <v>0</v>
      </c>
      <c r="I573" s="171">
        <v>0</v>
      </c>
      <c r="J573" s="177">
        <f>-$N$1</f>
        <v>-4.7716218756768064E-3</v>
      </c>
      <c r="L573">
        <v>0</v>
      </c>
      <c r="M573">
        <v>0</v>
      </c>
      <c r="N573">
        <v>0.56660956410095153</v>
      </c>
    </row>
    <row r="574" spans="1:16">
      <c r="A574" s="170"/>
      <c r="B574" s="171"/>
      <c r="C574" s="171"/>
      <c r="D574" s="171"/>
      <c r="E574" s="170"/>
      <c r="F574" s="170"/>
      <c r="G574" s="170"/>
      <c r="H574" s="170"/>
      <c r="I574" s="170"/>
      <c r="J574" s="170"/>
    </row>
    <row r="575" spans="1:16">
      <c r="A575" s="170"/>
      <c r="B575" s="171">
        <v>-1.4421025939282253</v>
      </c>
      <c r="C575" s="171">
        <v>-1.0431877148697888</v>
      </c>
      <c r="D575" s="171">
        <v>-0.78932433807079116</v>
      </c>
      <c r="E575" s="170">
        <f>-$L$1</f>
        <v>-1.4990492230334603E-2</v>
      </c>
      <c r="F575" s="171">
        <v>0</v>
      </c>
      <c r="G575" s="171">
        <v>0</v>
      </c>
      <c r="H575" s="177">
        <f>-$N$1</f>
        <v>-4.7716218756768064E-3</v>
      </c>
      <c r="I575" s="170">
        <v>0</v>
      </c>
      <c r="J575" s="170">
        <v>0</v>
      </c>
      <c r="L575">
        <f t="array" ref="L575:N577">SVDD(B575:D577)</f>
        <v>3.4334767470623184</v>
      </c>
      <c r="M575">
        <v>0</v>
      </c>
      <c r="N575">
        <v>0</v>
      </c>
      <c r="P575">
        <f t="shared" ref="P575" si="188">MAX(L575,M576,N577)/MIN(L575,M576,N577)</f>
        <v>5.6287738318733966</v>
      </c>
    </row>
    <row r="576" spans="1:16">
      <c r="A576" s="170" t="s">
        <v>357</v>
      </c>
      <c r="B576" s="171">
        <v>-2.6959782234951333</v>
      </c>
      <c r="C576" s="171">
        <v>-1.0757798809975587</v>
      </c>
      <c r="D576" s="171">
        <v>-4.997772423355884E-2</v>
      </c>
      <c r="E576" s="170">
        <v>0</v>
      </c>
      <c r="F576" s="170">
        <f>-$L$1</f>
        <v>-1.4990492230334603E-2</v>
      </c>
      <c r="G576" s="171">
        <v>0</v>
      </c>
      <c r="H576" s="171">
        <v>0</v>
      </c>
      <c r="I576" s="177">
        <f>-$N$1</f>
        <v>-4.7716218756768064E-3</v>
      </c>
      <c r="J576" s="170">
        <v>0</v>
      </c>
      <c r="L576">
        <v>0</v>
      </c>
      <c r="M576">
        <v>1.3711700163412144</v>
      </c>
      <c r="N576">
        <v>0</v>
      </c>
    </row>
    <row r="577" spans="1:16">
      <c r="A577" s="170"/>
      <c r="B577" s="171">
        <v>-0.85843073718374274</v>
      </c>
      <c r="C577" s="171">
        <v>1.040962775001312</v>
      </c>
      <c r="D577" s="171">
        <v>-3.7610117674176324E-2</v>
      </c>
      <c r="E577" s="170">
        <v>0</v>
      </c>
      <c r="F577" s="171">
        <v>0</v>
      </c>
      <c r="G577" s="170">
        <f>-$L$1</f>
        <v>-1.4990492230334603E-2</v>
      </c>
      <c r="H577" s="171">
        <v>0</v>
      </c>
      <c r="I577" s="171">
        <v>0</v>
      </c>
      <c r="J577" s="177">
        <f>-$N$1</f>
        <v>-4.7716218756768064E-3</v>
      </c>
      <c r="L577">
        <v>0</v>
      </c>
      <c r="M577">
        <v>0</v>
      </c>
      <c r="N577">
        <v>0.60998662401746773</v>
      </c>
    </row>
    <row r="578" spans="1:16">
      <c r="A578" s="170"/>
      <c r="B578" s="171"/>
      <c r="C578" s="171"/>
      <c r="D578" s="171"/>
      <c r="E578" s="170"/>
      <c r="F578" s="170"/>
      <c r="G578" s="170"/>
      <c r="H578" s="170"/>
      <c r="I578" s="170"/>
      <c r="J578" s="170"/>
    </row>
    <row r="579" spans="1:16">
      <c r="A579" s="170"/>
      <c r="B579" s="171">
        <v>-1.4421025939282253</v>
      </c>
      <c r="C579" s="171">
        <v>-1.0431877148697888</v>
      </c>
      <c r="D579" s="171">
        <v>-0.78932433807079116</v>
      </c>
      <c r="E579" s="170">
        <f>-$L$1</f>
        <v>-1.4990492230334603E-2</v>
      </c>
      <c r="F579" s="171">
        <v>0</v>
      </c>
      <c r="G579" s="171">
        <v>0</v>
      </c>
      <c r="H579" s="177">
        <f>-$N$1</f>
        <v>-4.7716218756768064E-3</v>
      </c>
      <c r="I579" s="170">
        <v>0</v>
      </c>
      <c r="J579" s="170">
        <v>0</v>
      </c>
      <c r="L579">
        <f t="array" ref="L579:N581">SVDD(B579:D581)</f>
        <v>3.5589664314805911</v>
      </c>
      <c r="M579">
        <v>0</v>
      </c>
      <c r="N579">
        <v>0</v>
      </c>
      <c r="P579">
        <f t="shared" ref="P579" si="189">MAX(L579,M580,N581)/MIN(L579,M580,N581)</f>
        <v>4.9007064832167684</v>
      </c>
    </row>
    <row r="580" spans="1:16">
      <c r="A580" s="170" t="s">
        <v>358</v>
      </c>
      <c r="B580" s="171">
        <v>-2.6959782234951333</v>
      </c>
      <c r="C580" s="171">
        <v>-1.0757798809975587</v>
      </c>
      <c r="D580" s="171">
        <v>-4.997772423355884E-2</v>
      </c>
      <c r="E580" s="170">
        <v>0</v>
      </c>
      <c r="F580" s="170">
        <f>-$L$1</f>
        <v>-1.4990492230334603E-2</v>
      </c>
      <c r="G580" s="171">
        <v>0</v>
      </c>
      <c r="H580" s="171">
        <v>0</v>
      </c>
      <c r="I580" s="177">
        <f>-$N$1</f>
        <v>-4.7716218756768064E-3</v>
      </c>
      <c r="J580" s="170">
        <v>0</v>
      </c>
      <c r="L580">
        <v>0</v>
      </c>
      <c r="M580">
        <v>1.8594483366819019</v>
      </c>
      <c r="N580">
        <v>0</v>
      </c>
    </row>
    <row r="581" spans="1:16">
      <c r="A581" s="170"/>
      <c r="B581" s="171">
        <v>-1.4675604394566215</v>
      </c>
      <c r="C581" s="171">
        <v>1.3235781323919831</v>
      </c>
      <c r="D581" s="171">
        <v>-0.72564008456612294</v>
      </c>
      <c r="E581" s="170">
        <v>0</v>
      </c>
      <c r="F581" s="171">
        <v>0</v>
      </c>
      <c r="G581" s="170">
        <f>-$L$1</f>
        <v>-1.4990492230334603E-2</v>
      </c>
      <c r="H581" s="171">
        <v>0</v>
      </c>
      <c r="I581" s="171">
        <v>0</v>
      </c>
      <c r="J581" s="177">
        <f>-$N$1</f>
        <v>-4.7716218756768064E-3</v>
      </c>
      <c r="L581">
        <v>0</v>
      </c>
      <c r="M581">
        <v>0</v>
      </c>
      <c r="N581">
        <v>0.72621497403870749</v>
      </c>
    </row>
    <row r="582" spans="1:16">
      <c r="A582" s="170"/>
      <c r="B582" s="171"/>
      <c r="C582" s="171"/>
      <c r="D582" s="171"/>
      <c r="E582" s="170"/>
      <c r="F582" s="170"/>
      <c r="G582" s="170"/>
      <c r="H582" s="170"/>
      <c r="I582" s="170"/>
      <c r="J582" s="170"/>
    </row>
    <row r="583" spans="1:16">
      <c r="A583" s="170"/>
      <c r="B583" s="171">
        <v>-1.4421025939282253</v>
      </c>
      <c r="C583" s="171">
        <v>-1.0431877148697888</v>
      </c>
      <c r="D583" s="171">
        <v>-0.78932433807079116</v>
      </c>
      <c r="E583" s="170">
        <f>-$L$1</f>
        <v>-1.4990492230334603E-2</v>
      </c>
      <c r="F583" s="171">
        <v>0</v>
      </c>
      <c r="G583" s="171">
        <v>0</v>
      </c>
      <c r="H583" s="177">
        <f>-$N$1</f>
        <v>-4.7716218756768064E-3</v>
      </c>
      <c r="I583" s="170">
        <v>0</v>
      </c>
      <c r="J583" s="170">
        <v>0</v>
      </c>
      <c r="L583">
        <f t="array" ref="L583:N585">SVDD(B583:D585)</f>
        <v>3.363962680655133</v>
      </c>
      <c r="M583">
        <v>0</v>
      </c>
      <c r="N583">
        <v>0</v>
      </c>
      <c r="P583">
        <f t="shared" ref="P583" si="190">MAX(L583,M584,N585)/MIN(L583,M584,N585)</f>
        <v>6.5952649754803758</v>
      </c>
    </row>
    <row r="584" spans="1:16">
      <c r="A584" s="170" t="s">
        <v>359</v>
      </c>
      <c r="B584" s="171">
        <v>-0.40019020491700363</v>
      </c>
      <c r="C584" s="171">
        <v>-1.0840062473010013</v>
      </c>
      <c r="D584" s="171">
        <v>-1.6840506224230944E-2</v>
      </c>
      <c r="E584" s="170">
        <v>0</v>
      </c>
      <c r="F584" s="170">
        <f>-$L$1</f>
        <v>-1.4990492230334603E-2</v>
      </c>
      <c r="G584" s="171">
        <v>0</v>
      </c>
      <c r="H584" s="171">
        <v>0</v>
      </c>
      <c r="I584" s="177">
        <f>-$N$1</f>
        <v>-4.7716218756768064E-3</v>
      </c>
      <c r="J584" s="170">
        <v>0</v>
      </c>
      <c r="L584">
        <v>0</v>
      </c>
      <c r="M584">
        <v>1.3041703628229029</v>
      </c>
      <c r="N584">
        <v>0</v>
      </c>
    </row>
    <row r="585" spans="1:16">
      <c r="A585" s="170"/>
      <c r="B585" s="171">
        <v>-2.8449497700634536</v>
      </c>
      <c r="C585" s="171">
        <v>-0.22852225552422287</v>
      </c>
      <c r="D585" s="171">
        <v>-6.9737163040410666E-2</v>
      </c>
      <c r="E585" s="170">
        <v>0</v>
      </c>
      <c r="F585" s="171">
        <v>0</v>
      </c>
      <c r="G585" s="170">
        <f>-$L$1</f>
        <v>-1.4990492230334603E-2</v>
      </c>
      <c r="H585" s="171">
        <v>0</v>
      </c>
      <c r="I585" s="171">
        <v>0</v>
      </c>
      <c r="J585" s="177">
        <f>-$N$1</f>
        <v>-4.7716218756768064E-3</v>
      </c>
      <c r="L585">
        <v>0</v>
      </c>
      <c r="M585">
        <v>0</v>
      </c>
      <c r="N585">
        <v>0.51005724457797297</v>
      </c>
    </row>
    <row r="586" spans="1:16">
      <c r="A586" s="170"/>
      <c r="B586" s="171"/>
      <c r="C586" s="171"/>
      <c r="D586" s="171"/>
      <c r="E586" s="170"/>
      <c r="F586" s="170"/>
      <c r="G586" s="170"/>
      <c r="H586" s="170"/>
      <c r="I586" s="170"/>
      <c r="J586" s="170"/>
    </row>
    <row r="587" spans="1:16">
      <c r="A587" s="170"/>
      <c r="B587" s="171">
        <v>-1.4421025939282253</v>
      </c>
      <c r="C587" s="171">
        <v>-1.0431877148697888</v>
      </c>
      <c r="D587" s="171">
        <v>-0.78932433807079116</v>
      </c>
      <c r="E587" s="170">
        <f>-$L$1</f>
        <v>-1.4990492230334603E-2</v>
      </c>
      <c r="F587" s="171">
        <v>0</v>
      </c>
      <c r="G587" s="171">
        <v>0</v>
      </c>
      <c r="H587" s="177">
        <f>-$N$1</f>
        <v>-4.7716218756768064E-3</v>
      </c>
      <c r="I587" s="170">
        <v>0</v>
      </c>
      <c r="J587" s="170">
        <v>0</v>
      </c>
      <c r="L587">
        <f t="array" ref="L587:N589">SVDD(B587:D589)</f>
        <v>2.9289465042484881</v>
      </c>
      <c r="M587">
        <v>0</v>
      </c>
      <c r="N587">
        <v>0</v>
      </c>
      <c r="P587">
        <f t="shared" ref="P587" si="191">MAX(L587,M588,N589)/MIN(L587,M588,N589)</f>
        <v>6.7148325139077363</v>
      </c>
    </row>
    <row r="588" spans="1:16">
      <c r="A588" s="170" t="s">
        <v>360</v>
      </c>
      <c r="B588" s="171">
        <v>-0.40019020491700363</v>
      </c>
      <c r="C588" s="171">
        <v>-1.0840062473010013</v>
      </c>
      <c r="D588" s="171">
        <v>-1.6840506224230944E-2</v>
      </c>
      <c r="E588" s="170">
        <v>0</v>
      </c>
      <c r="F588" s="170">
        <f>-$L$1</f>
        <v>-1.4990492230334603E-2</v>
      </c>
      <c r="G588" s="171">
        <v>0</v>
      </c>
      <c r="H588" s="171">
        <v>0</v>
      </c>
      <c r="I588" s="177">
        <f>-$N$1</f>
        <v>-4.7716218756768064E-3</v>
      </c>
      <c r="J588" s="170">
        <v>0</v>
      </c>
      <c r="L588">
        <v>0</v>
      </c>
      <c r="M588">
        <v>1.9027974971136499</v>
      </c>
      <c r="N588">
        <v>0</v>
      </c>
    </row>
    <row r="589" spans="1:16">
      <c r="A589" s="170"/>
      <c r="B589" s="171">
        <v>-2.4772611105726599</v>
      </c>
      <c r="C589" s="171">
        <v>1.0605572692523213</v>
      </c>
      <c r="D589" s="171">
        <v>3.9812674620544719E-2</v>
      </c>
      <c r="E589" s="170">
        <v>0</v>
      </c>
      <c r="F589" s="171">
        <v>0</v>
      </c>
      <c r="G589" s="170">
        <f>-$L$1</f>
        <v>-1.4990492230334603E-2</v>
      </c>
      <c r="H589" s="171">
        <v>0</v>
      </c>
      <c r="I589" s="171">
        <v>0</v>
      </c>
      <c r="J589" s="177">
        <f>-$N$1</f>
        <v>-4.7716218756768064E-3</v>
      </c>
      <c r="L589">
        <v>0</v>
      </c>
      <c r="M589">
        <v>0</v>
      </c>
      <c r="N589">
        <v>0.43619055250924949</v>
      </c>
    </row>
    <row r="590" spans="1:16">
      <c r="A590" s="170"/>
      <c r="B590" s="171"/>
      <c r="C590" s="171"/>
      <c r="D590" s="171"/>
      <c r="E590" s="170"/>
      <c r="F590" s="170"/>
      <c r="G590" s="170"/>
      <c r="H590" s="170"/>
      <c r="I590" s="170"/>
      <c r="J590" s="170"/>
    </row>
    <row r="591" spans="1:16">
      <c r="A591" s="170"/>
      <c r="B591" s="171">
        <v>-1.4421025939282253</v>
      </c>
      <c r="C591" s="171">
        <v>-1.0431877148697888</v>
      </c>
      <c r="D591" s="171">
        <v>-0.78932433807079116</v>
      </c>
      <c r="E591" s="170">
        <f>-$L$1</f>
        <v>-1.4990492230334603E-2</v>
      </c>
      <c r="F591" s="171">
        <v>0</v>
      </c>
      <c r="G591" s="171">
        <v>0</v>
      </c>
      <c r="H591" s="177">
        <f>-$N$1</f>
        <v>-4.7716218756768064E-3</v>
      </c>
      <c r="I591" s="170">
        <v>0</v>
      </c>
      <c r="J591" s="170">
        <v>0</v>
      </c>
      <c r="L591">
        <f t="array" ref="L591:N593">SVDD(B591:D593)</f>
        <v>2.1660448283808087</v>
      </c>
      <c r="M591">
        <v>0</v>
      </c>
      <c r="N591">
        <v>0</v>
      </c>
      <c r="P591">
        <f t="shared" ref="P591" si="192">MAX(L591,M592,N593)/MIN(L591,M592,N593)</f>
        <v>7.0402993519910142</v>
      </c>
    </row>
    <row r="592" spans="1:16">
      <c r="A592" s="170" t="s">
        <v>361</v>
      </c>
      <c r="B592" s="171">
        <v>-0.40019020491700363</v>
      </c>
      <c r="C592" s="171">
        <v>-1.0840062473010013</v>
      </c>
      <c r="D592" s="171">
        <v>-1.6840506224230944E-2</v>
      </c>
      <c r="E592" s="170">
        <v>0</v>
      </c>
      <c r="F592" s="170">
        <f>-$L$1</f>
        <v>-1.4990492230334603E-2</v>
      </c>
      <c r="G592" s="171">
        <v>0</v>
      </c>
      <c r="H592" s="171">
        <v>0</v>
      </c>
      <c r="I592" s="177">
        <f>-$N$1</f>
        <v>-4.7716218756768064E-3</v>
      </c>
      <c r="J592" s="170">
        <v>0</v>
      </c>
      <c r="L592">
        <v>0</v>
      </c>
      <c r="M592">
        <v>1.4703580967030885</v>
      </c>
      <c r="N592">
        <v>0</v>
      </c>
    </row>
    <row r="593" spans="1:16">
      <c r="A593" s="170"/>
      <c r="B593" s="171">
        <v>-0.85843073718374274</v>
      </c>
      <c r="C593" s="171">
        <v>1.040962775001312</v>
      </c>
      <c r="D593" s="171">
        <v>-3.7610117674176324E-2</v>
      </c>
      <c r="E593" s="170">
        <v>0</v>
      </c>
      <c r="F593" s="171">
        <v>0</v>
      </c>
      <c r="G593" s="170">
        <f>-$L$1</f>
        <v>-1.4990492230334603E-2</v>
      </c>
      <c r="H593" s="171">
        <v>0</v>
      </c>
      <c r="I593" s="171">
        <v>0</v>
      </c>
      <c r="J593" s="177">
        <f>-$N$1</f>
        <v>-4.7716218756768064E-3</v>
      </c>
      <c r="L593">
        <v>0</v>
      </c>
      <c r="M593">
        <v>0</v>
      </c>
      <c r="N593">
        <v>0.30766373986189177</v>
      </c>
    </row>
    <row r="594" spans="1:16">
      <c r="A594" s="170"/>
      <c r="B594" s="171"/>
      <c r="C594" s="171"/>
      <c r="D594" s="171"/>
      <c r="E594" s="170"/>
      <c r="F594" s="170"/>
      <c r="G594" s="170"/>
      <c r="H594" s="170"/>
      <c r="I594" s="170"/>
      <c r="J594" s="170"/>
    </row>
    <row r="595" spans="1:16">
      <c r="A595" s="170"/>
      <c r="B595" s="171">
        <v>-1.4421025939282253</v>
      </c>
      <c r="C595" s="171">
        <v>-1.0431877148697888</v>
      </c>
      <c r="D595" s="171">
        <v>-0.78932433807079116</v>
      </c>
      <c r="E595" s="170">
        <f>-$L$1</f>
        <v>-1.4990492230334603E-2</v>
      </c>
      <c r="F595" s="171">
        <v>0</v>
      </c>
      <c r="G595" s="171">
        <v>0</v>
      </c>
      <c r="H595" s="177">
        <f>-$N$1</f>
        <v>-4.7716218756768064E-3</v>
      </c>
      <c r="I595" s="170">
        <v>0</v>
      </c>
      <c r="J595" s="170">
        <v>0</v>
      </c>
      <c r="L595">
        <f t="array" ref="L595:N597">SVDD(B595:D597)</f>
        <v>2.3484291353760662</v>
      </c>
      <c r="M595">
        <v>0</v>
      </c>
      <c r="N595">
        <v>0</v>
      </c>
      <c r="P595">
        <f t="shared" ref="P595" si="193">MAX(L595,M596,N597)/MIN(L595,M596,N597)</f>
        <v>14.088858695576636</v>
      </c>
    </row>
    <row r="596" spans="1:16">
      <c r="A596" s="170" t="s">
        <v>362</v>
      </c>
      <c r="B596" s="171">
        <v>-0.40019020491700363</v>
      </c>
      <c r="C596" s="171">
        <v>-1.0840062473010013</v>
      </c>
      <c r="D596" s="171">
        <v>-1.6840506224230944E-2</v>
      </c>
      <c r="E596" s="170">
        <v>0</v>
      </c>
      <c r="F596" s="170">
        <f>-$L$1</f>
        <v>-1.4990492230334603E-2</v>
      </c>
      <c r="G596" s="171">
        <v>0</v>
      </c>
      <c r="H596" s="171">
        <v>0</v>
      </c>
      <c r="I596" s="177">
        <f>-$N$1</f>
        <v>-4.7716218756768064E-3</v>
      </c>
      <c r="J596" s="170">
        <v>0</v>
      </c>
      <c r="L596">
        <v>0</v>
      </c>
      <c r="M596">
        <v>2.003916429573338</v>
      </c>
      <c r="N596">
        <v>0</v>
      </c>
    </row>
    <row r="597" spans="1:16">
      <c r="A597" s="170"/>
      <c r="B597" s="171">
        <v>-1.4675604394566215</v>
      </c>
      <c r="C597" s="171">
        <v>1.3235781323919831</v>
      </c>
      <c r="D597" s="171">
        <v>-0.72564008456612294</v>
      </c>
      <c r="E597" s="170">
        <v>0</v>
      </c>
      <c r="F597" s="171">
        <v>0</v>
      </c>
      <c r="G597" s="170">
        <f>-$L$1</f>
        <v>-1.4990492230334603E-2</v>
      </c>
      <c r="H597" s="171">
        <v>0</v>
      </c>
      <c r="I597" s="171">
        <v>0</v>
      </c>
      <c r="J597" s="177">
        <f>-$N$1</f>
        <v>-4.7716218756768064E-3</v>
      </c>
      <c r="L597">
        <v>0</v>
      </c>
      <c r="M597">
        <v>0</v>
      </c>
      <c r="N597">
        <v>0.16668696777499681</v>
      </c>
    </row>
    <row r="598" spans="1:16">
      <c r="A598" s="170"/>
      <c r="B598" s="171"/>
      <c r="C598" s="171"/>
      <c r="D598" s="171"/>
      <c r="E598" s="170"/>
      <c r="F598" s="170"/>
      <c r="G598" s="170"/>
      <c r="H598" s="170"/>
      <c r="I598" s="170"/>
      <c r="J598" s="170"/>
    </row>
    <row r="599" spans="1:16">
      <c r="A599" s="170"/>
      <c r="B599" s="171">
        <v>-1.4421025939282253</v>
      </c>
      <c r="C599" s="171">
        <v>-1.0431877148697888</v>
      </c>
      <c r="D599" s="171">
        <v>-0.78932433807079116</v>
      </c>
      <c r="E599" s="170">
        <f>-$L$1</f>
        <v>-1.4990492230334603E-2</v>
      </c>
      <c r="F599" s="171">
        <v>0</v>
      </c>
      <c r="G599" s="171">
        <v>0</v>
      </c>
      <c r="H599" s="177">
        <f>-$N$1</f>
        <v>-4.7716218756768064E-3</v>
      </c>
      <c r="I599" s="170">
        <v>0</v>
      </c>
      <c r="J599" s="170">
        <v>0</v>
      </c>
      <c r="L599">
        <f t="array" ref="L599:N601">SVDD(B599:D601)</f>
        <v>4.0520180290321051</v>
      </c>
      <c r="M599">
        <v>0</v>
      </c>
      <c r="N599">
        <v>0</v>
      </c>
      <c r="P599">
        <f t="shared" ref="P599" si="194">MAX(L599,M600,N601)/MIN(L599,M600,N601)</f>
        <v>10.969037156132696</v>
      </c>
    </row>
    <row r="600" spans="1:16">
      <c r="A600" s="170" t="s">
        <v>363</v>
      </c>
      <c r="B600" s="171">
        <v>-2.8449497700634536</v>
      </c>
      <c r="C600" s="171">
        <v>-0.22852225552422287</v>
      </c>
      <c r="D600" s="171">
        <v>-6.9737163040410666E-2</v>
      </c>
      <c r="E600" s="170">
        <v>0</v>
      </c>
      <c r="F600" s="170">
        <f>-$L$1</f>
        <v>-1.4990492230334603E-2</v>
      </c>
      <c r="G600" s="171">
        <v>0</v>
      </c>
      <c r="H600" s="171">
        <v>0</v>
      </c>
      <c r="I600" s="177">
        <f>-$N$1</f>
        <v>-4.7716218756768064E-3</v>
      </c>
      <c r="J600" s="170">
        <v>0</v>
      </c>
      <c r="L600">
        <v>0</v>
      </c>
      <c r="M600">
        <v>1.627770702169864</v>
      </c>
      <c r="N600">
        <v>0</v>
      </c>
    </row>
    <row r="601" spans="1:16">
      <c r="A601" s="170"/>
      <c r="B601" s="171">
        <v>-2.4772611105726599</v>
      </c>
      <c r="C601" s="171">
        <v>1.0605572692523213</v>
      </c>
      <c r="D601" s="171">
        <v>3.9812674620544719E-2</v>
      </c>
      <c r="E601" s="170">
        <v>0</v>
      </c>
      <c r="F601" s="171">
        <v>0</v>
      </c>
      <c r="G601" s="170">
        <f>-$L$1</f>
        <v>-1.4990492230334603E-2</v>
      </c>
      <c r="H601" s="171">
        <v>0</v>
      </c>
      <c r="I601" s="171">
        <v>0</v>
      </c>
      <c r="J601" s="177">
        <f>-$N$1</f>
        <v>-4.7716218756768064E-3</v>
      </c>
      <c r="L601">
        <v>0</v>
      </c>
      <c r="M601">
        <v>0</v>
      </c>
      <c r="N601">
        <v>0.36940507825398838</v>
      </c>
    </row>
    <row r="602" spans="1:16">
      <c r="A602" s="170"/>
      <c r="B602" s="171"/>
      <c r="C602" s="171"/>
      <c r="D602" s="171"/>
      <c r="E602" s="170"/>
      <c r="F602" s="170"/>
      <c r="G602" s="170"/>
      <c r="H602" s="170"/>
      <c r="I602" s="170"/>
      <c r="J602" s="170"/>
    </row>
    <row r="603" spans="1:16">
      <c r="A603" s="170"/>
      <c r="B603" s="171">
        <v>-1.4421025939282253</v>
      </c>
      <c r="C603" s="171">
        <v>-1.0431877148697888</v>
      </c>
      <c r="D603" s="171">
        <v>-0.78932433807079116</v>
      </c>
      <c r="E603" s="170">
        <f>-$L$1</f>
        <v>-1.4990492230334603E-2</v>
      </c>
      <c r="F603" s="171">
        <v>0</v>
      </c>
      <c r="G603" s="171">
        <v>0</v>
      </c>
      <c r="H603" s="177">
        <f>-$N$1</f>
        <v>-4.7716218756768064E-3</v>
      </c>
      <c r="I603" s="170">
        <v>0</v>
      </c>
      <c r="J603" s="170">
        <v>0</v>
      </c>
      <c r="L603">
        <f t="array" ref="L603:N605">SVDD(B603:D605)</f>
        <v>3.3604286587114824</v>
      </c>
      <c r="M603">
        <v>0</v>
      </c>
      <c r="N603">
        <v>0</v>
      </c>
      <c r="P603">
        <f t="shared" ref="P603" si="195">MAX(L603,M604,N605)/MIN(L603,M604,N605)</f>
        <v>6.9688671966435978</v>
      </c>
    </row>
    <row r="604" spans="1:16">
      <c r="A604" s="170" t="s">
        <v>364</v>
      </c>
      <c r="B604" s="171">
        <v>-2.8449497700634536</v>
      </c>
      <c r="C604" s="171">
        <v>-0.22852225552422287</v>
      </c>
      <c r="D604" s="171">
        <v>-6.9737163040410666E-2</v>
      </c>
      <c r="E604" s="170">
        <v>0</v>
      </c>
      <c r="F604" s="170">
        <f>-$L$1</f>
        <v>-1.4990492230334603E-2</v>
      </c>
      <c r="G604" s="171">
        <v>0</v>
      </c>
      <c r="H604" s="171">
        <v>0</v>
      </c>
      <c r="I604" s="177">
        <f>-$N$1</f>
        <v>-4.7716218756768064E-3</v>
      </c>
      <c r="J604" s="170">
        <v>0</v>
      </c>
      <c r="L604">
        <v>0</v>
      </c>
      <c r="M604">
        <v>1.4962206984507656</v>
      </c>
      <c r="N604">
        <v>0</v>
      </c>
    </row>
    <row r="605" spans="1:16">
      <c r="A605" s="170"/>
      <c r="B605" s="171">
        <v>-0.85843073718374274</v>
      </c>
      <c r="C605" s="171">
        <v>1.040962775001312</v>
      </c>
      <c r="D605" s="171">
        <v>-3.7610117674176324E-2</v>
      </c>
      <c r="E605" s="170">
        <v>0</v>
      </c>
      <c r="F605" s="171">
        <v>0</v>
      </c>
      <c r="G605" s="170">
        <f>-$L$1</f>
        <v>-1.4990492230334603E-2</v>
      </c>
      <c r="H605" s="171">
        <v>0</v>
      </c>
      <c r="I605" s="171">
        <v>0</v>
      </c>
      <c r="J605" s="177">
        <f>-$N$1</f>
        <v>-4.7716218756768064E-3</v>
      </c>
      <c r="L605">
        <v>0</v>
      </c>
      <c r="M605">
        <v>0</v>
      </c>
      <c r="N605">
        <v>0.48220586845591767</v>
      </c>
    </row>
    <row r="606" spans="1:16">
      <c r="A606" s="170"/>
      <c r="B606" s="171"/>
      <c r="C606" s="171"/>
      <c r="D606" s="171"/>
      <c r="E606" s="170"/>
      <c r="F606" s="170"/>
      <c r="G606" s="170"/>
      <c r="H606" s="170"/>
      <c r="I606" s="170"/>
      <c r="J606" s="170"/>
    </row>
    <row r="607" spans="1:16">
      <c r="A607" s="170"/>
      <c r="B607" s="171">
        <v>-1.4421025939282253</v>
      </c>
      <c r="C607" s="171">
        <v>-1.0431877148697888</v>
      </c>
      <c r="D607" s="171">
        <v>-0.78932433807079116</v>
      </c>
      <c r="E607" s="170">
        <f>-$L$1</f>
        <v>-1.4990492230334603E-2</v>
      </c>
      <c r="F607" s="171">
        <v>0</v>
      </c>
      <c r="G607" s="171">
        <v>0</v>
      </c>
      <c r="H607" s="177">
        <f>-$N$1</f>
        <v>-4.7716218756768064E-3</v>
      </c>
      <c r="I607" s="170">
        <v>0</v>
      </c>
      <c r="J607" s="170">
        <v>0</v>
      </c>
      <c r="L607">
        <f t="array" ref="L607:N609">SVDD(B607:D609)</f>
        <v>3.5811836289499288</v>
      </c>
      <c r="M607">
        <v>0</v>
      </c>
      <c r="N607">
        <v>0</v>
      </c>
      <c r="P607">
        <f t="shared" ref="P607" si="196">MAX(L607,M608,N609)/MIN(L607,M608,N609)</f>
        <v>4.4471433415054369</v>
      </c>
    </row>
    <row r="608" spans="1:16">
      <c r="A608" s="170" t="s">
        <v>365</v>
      </c>
      <c r="B608" s="171">
        <v>-2.8449497700634536</v>
      </c>
      <c r="C608" s="171">
        <v>-0.22852225552422287</v>
      </c>
      <c r="D608" s="171">
        <v>-6.9737163040410666E-2</v>
      </c>
      <c r="E608" s="170">
        <v>0</v>
      </c>
      <c r="F608" s="170">
        <f>-$L$1</f>
        <v>-1.4990492230334603E-2</v>
      </c>
      <c r="G608" s="171">
        <v>0</v>
      </c>
      <c r="H608" s="171">
        <v>0</v>
      </c>
      <c r="I608" s="177">
        <f>-$N$1</f>
        <v>-4.7716218756768064E-3</v>
      </c>
      <c r="J608" s="170">
        <v>0</v>
      </c>
      <c r="L608">
        <v>0</v>
      </c>
      <c r="M608">
        <v>1.7031021153633268</v>
      </c>
      <c r="N608">
        <v>0</v>
      </c>
    </row>
    <row r="609" spans="1:16">
      <c r="A609" s="170"/>
      <c r="B609" s="171">
        <v>-1.4675604394566215</v>
      </c>
      <c r="C609" s="171">
        <v>1.3235781323919831</v>
      </c>
      <c r="D609" s="171">
        <v>-0.72564008456612294</v>
      </c>
      <c r="E609" s="170">
        <v>0</v>
      </c>
      <c r="F609" s="171">
        <v>0</v>
      </c>
      <c r="G609" s="170">
        <f>-$L$1</f>
        <v>-1.4990492230334603E-2</v>
      </c>
      <c r="H609" s="171">
        <v>0</v>
      </c>
      <c r="I609" s="171">
        <v>0</v>
      </c>
      <c r="J609" s="177">
        <f>-$N$1</f>
        <v>-4.7716218756768064E-3</v>
      </c>
      <c r="L609">
        <v>0</v>
      </c>
      <c r="M609">
        <v>0</v>
      </c>
      <c r="N609">
        <v>0.80527731038631967</v>
      </c>
    </row>
    <row r="610" spans="1:16">
      <c r="A610" s="170"/>
      <c r="B610" s="171"/>
      <c r="C610" s="171"/>
      <c r="D610" s="171"/>
      <c r="E610" s="170"/>
      <c r="F610" s="170"/>
      <c r="G610" s="170"/>
      <c r="H610" s="170"/>
      <c r="I610" s="170"/>
      <c r="J610" s="170"/>
    </row>
    <row r="611" spans="1:16">
      <c r="A611" s="170"/>
      <c r="B611" s="171">
        <v>-1.4421025939282253</v>
      </c>
      <c r="C611" s="171">
        <v>-1.0431877148697888</v>
      </c>
      <c r="D611" s="171">
        <v>-0.78932433807079116</v>
      </c>
      <c r="E611" s="170">
        <f>-$L$1</f>
        <v>-1.4990492230334603E-2</v>
      </c>
      <c r="F611" s="171">
        <v>0</v>
      </c>
      <c r="G611" s="171">
        <v>0</v>
      </c>
      <c r="H611" s="177">
        <f>-$N$1</f>
        <v>-4.7716218756768064E-3</v>
      </c>
      <c r="I611" s="170">
        <v>0</v>
      </c>
      <c r="J611" s="170">
        <v>0</v>
      </c>
      <c r="L611">
        <f t="array" ref="L611:N613">SVDD(B611:D613)</f>
        <v>3.1089153647279377</v>
      </c>
      <c r="M611">
        <v>0</v>
      </c>
      <c r="N611">
        <v>0</v>
      </c>
      <c r="P611">
        <f t="shared" ref="P611" si="197">MAX(L611,M612,N613)/MIN(L611,M612,N613)</f>
        <v>10.911698904326556</v>
      </c>
    </row>
    <row r="612" spans="1:16">
      <c r="A612" s="170" t="s">
        <v>366</v>
      </c>
      <c r="B612" s="171">
        <v>-2.4772611105726599</v>
      </c>
      <c r="C612" s="171">
        <v>1.0605572692523213</v>
      </c>
      <c r="D612" s="171">
        <v>3.9812674620544719E-2</v>
      </c>
      <c r="E612" s="170">
        <v>0</v>
      </c>
      <c r="F612" s="170">
        <f>-$L$1</f>
        <v>-1.4990492230334603E-2</v>
      </c>
      <c r="G612" s="171">
        <v>0</v>
      </c>
      <c r="H612" s="171">
        <v>0</v>
      </c>
      <c r="I612" s="177">
        <f>-$N$1</f>
        <v>-4.7716218756768064E-3</v>
      </c>
      <c r="J612" s="170">
        <v>0</v>
      </c>
      <c r="L612">
        <v>0</v>
      </c>
      <c r="M612">
        <v>1.7690427881337454</v>
      </c>
      <c r="N612">
        <v>0</v>
      </c>
    </row>
    <row r="613" spans="1:16">
      <c r="A613" s="170"/>
      <c r="B613" s="171">
        <v>-0.85843073718374274</v>
      </c>
      <c r="C613" s="171">
        <v>1.040962775001312</v>
      </c>
      <c r="D613" s="171">
        <v>-3.7610117674176324E-2</v>
      </c>
      <c r="E613" s="170">
        <v>0</v>
      </c>
      <c r="F613" s="171">
        <v>0</v>
      </c>
      <c r="G613" s="170">
        <f>-$L$1</f>
        <v>-1.4990492230334603E-2</v>
      </c>
      <c r="H613" s="171">
        <v>0</v>
      </c>
      <c r="I613" s="171">
        <v>0</v>
      </c>
      <c r="J613" s="177">
        <f>-$N$1</f>
        <v>-4.7716218756768064E-3</v>
      </c>
      <c r="L613">
        <v>0</v>
      </c>
      <c r="M613">
        <v>0</v>
      </c>
      <c r="N613">
        <v>0.28491579468850936</v>
      </c>
    </row>
    <row r="614" spans="1:16">
      <c r="A614" s="170"/>
      <c r="B614" s="171"/>
      <c r="C614" s="171"/>
      <c r="D614" s="171"/>
      <c r="E614" s="170"/>
      <c r="F614" s="170"/>
      <c r="G614" s="170"/>
      <c r="H614" s="170"/>
      <c r="I614" s="170"/>
      <c r="J614" s="170"/>
    </row>
    <row r="615" spans="1:16">
      <c r="A615" s="170"/>
      <c r="B615" s="171">
        <v>-1.4421025939282253</v>
      </c>
      <c r="C615" s="171">
        <v>-1.0431877148697888</v>
      </c>
      <c r="D615" s="171">
        <v>-0.78932433807079116</v>
      </c>
      <c r="E615" s="170">
        <f>-$L$1</f>
        <v>-1.4990492230334603E-2</v>
      </c>
      <c r="F615" s="171">
        <v>0</v>
      </c>
      <c r="G615" s="171">
        <v>0</v>
      </c>
      <c r="H615" s="177">
        <f>-$N$1</f>
        <v>-4.7716218756768064E-3</v>
      </c>
      <c r="I615" s="170">
        <v>0</v>
      </c>
      <c r="J615" s="170">
        <v>0</v>
      </c>
      <c r="L615">
        <f t="array" ref="L615:N617">SVDD(B615:D617)</f>
        <v>3.4594870063114533</v>
      </c>
      <c r="M615">
        <v>0</v>
      </c>
      <c r="N615">
        <v>0</v>
      </c>
      <c r="P615">
        <f t="shared" ref="P615" si="198">MAX(L615,M616,N617)/MIN(L615,M616,N617)</f>
        <v>4.5861496106463111</v>
      </c>
    </row>
    <row r="616" spans="1:16">
      <c r="A616" s="170" t="s">
        <v>367</v>
      </c>
      <c r="B616" s="171">
        <v>-2.4772611105726599</v>
      </c>
      <c r="C616" s="171">
        <v>1.0605572692523213</v>
      </c>
      <c r="D616" s="171">
        <v>3.9812674620544719E-2</v>
      </c>
      <c r="E616" s="170">
        <v>0</v>
      </c>
      <c r="F616" s="170">
        <f>-$L$1</f>
        <v>-1.4990492230334603E-2</v>
      </c>
      <c r="G616" s="171">
        <v>0</v>
      </c>
      <c r="H616" s="171">
        <v>0</v>
      </c>
      <c r="I616" s="177">
        <f>-$N$1</f>
        <v>-4.7716218756768064E-3</v>
      </c>
      <c r="J616" s="170">
        <v>0</v>
      </c>
      <c r="L616">
        <v>0</v>
      </c>
      <c r="M616">
        <v>1.7173233320124732</v>
      </c>
      <c r="N616">
        <v>0</v>
      </c>
    </row>
    <row r="617" spans="1:16">
      <c r="A617" s="170"/>
      <c r="B617" s="171">
        <v>-1.4675604394566215</v>
      </c>
      <c r="C617" s="171">
        <v>1.3235781323919831</v>
      </c>
      <c r="D617" s="171">
        <v>-0.72564008456612294</v>
      </c>
      <c r="E617" s="170">
        <v>0</v>
      </c>
      <c r="F617" s="171">
        <v>0</v>
      </c>
      <c r="G617" s="170">
        <f>-$L$1</f>
        <v>-1.4990492230334603E-2</v>
      </c>
      <c r="H617" s="171">
        <v>0</v>
      </c>
      <c r="I617" s="171">
        <v>0</v>
      </c>
      <c r="J617" s="177">
        <f>-$N$1</f>
        <v>-4.7716218756768064E-3</v>
      </c>
      <c r="L617">
        <v>0</v>
      </c>
      <c r="M617">
        <v>0</v>
      </c>
      <c r="N617">
        <v>0.75433365677399233</v>
      </c>
    </row>
    <row r="618" spans="1:16">
      <c r="A618" s="170"/>
      <c r="B618" s="171"/>
      <c r="C618" s="171"/>
      <c r="D618" s="171"/>
      <c r="E618" s="170"/>
      <c r="F618" s="170"/>
      <c r="G618" s="170"/>
      <c r="H618" s="170"/>
      <c r="I618" s="170"/>
      <c r="J618" s="170"/>
    </row>
    <row r="619" spans="1:16">
      <c r="A619" s="170"/>
      <c r="B619" s="171">
        <v>-1.4421025939282253</v>
      </c>
      <c r="C619" s="171">
        <v>-1.0431877148697888</v>
      </c>
      <c r="D619" s="171">
        <v>-0.78932433807079116</v>
      </c>
      <c r="E619" s="170">
        <f>-$L$1</f>
        <v>-1.4990492230334603E-2</v>
      </c>
      <c r="F619" s="171">
        <v>0</v>
      </c>
      <c r="G619" s="171">
        <v>0</v>
      </c>
      <c r="H619" s="177">
        <f>-$N$1</f>
        <v>-4.7716218756768064E-3</v>
      </c>
      <c r="I619" s="170">
        <v>0</v>
      </c>
      <c r="J619" s="170">
        <v>0</v>
      </c>
      <c r="L619">
        <f t="array" ref="L619:N621">SVDD(B619:D621)</f>
        <v>2.5724462723154975</v>
      </c>
      <c r="M619">
        <v>0</v>
      </c>
      <c r="N619">
        <v>0</v>
      </c>
      <c r="P619">
        <f t="shared" ref="P619" si="199">MAX(L619,M620,N621)/MIN(L619,M620,N621)</f>
        <v>9.3131735466476471</v>
      </c>
    </row>
    <row r="620" spans="1:16">
      <c r="A620" s="170" t="s">
        <v>368</v>
      </c>
      <c r="B620" s="171">
        <v>-0.85843073718374274</v>
      </c>
      <c r="C620" s="171">
        <v>1.040962775001312</v>
      </c>
      <c r="D620" s="171">
        <v>-3.7610117674176324E-2</v>
      </c>
      <c r="E620" s="170">
        <v>0</v>
      </c>
      <c r="F620" s="170">
        <f>-$L$1</f>
        <v>-1.4990492230334603E-2</v>
      </c>
      <c r="G620" s="171">
        <v>0</v>
      </c>
      <c r="H620" s="171">
        <v>0</v>
      </c>
      <c r="I620" s="177">
        <f>-$N$1</f>
        <v>-4.7716218756768064E-3</v>
      </c>
      <c r="J620" s="170">
        <v>0</v>
      </c>
      <c r="L620">
        <v>0</v>
      </c>
      <c r="M620">
        <v>1.83063540393881</v>
      </c>
      <c r="N620">
        <v>0</v>
      </c>
    </row>
    <row r="621" spans="1:16">
      <c r="A621" s="170"/>
      <c r="B621" s="171">
        <v>-1.4675604394566215</v>
      </c>
      <c r="C621" s="171">
        <v>1.3235781323919831</v>
      </c>
      <c r="D621" s="171">
        <v>-0.72564008456612294</v>
      </c>
      <c r="E621" s="170">
        <v>0</v>
      </c>
      <c r="F621" s="171">
        <v>0</v>
      </c>
      <c r="G621" s="170">
        <f>-$L$1</f>
        <v>-1.4990492230334603E-2</v>
      </c>
      <c r="H621" s="171">
        <v>0</v>
      </c>
      <c r="I621" s="171">
        <v>0</v>
      </c>
      <c r="J621" s="177">
        <f>-$N$1</f>
        <v>-4.7716218756768064E-3</v>
      </c>
      <c r="L621">
        <v>0</v>
      </c>
      <c r="M621">
        <v>0</v>
      </c>
      <c r="N621">
        <v>0.27621586341440729</v>
      </c>
    </row>
    <row r="622" spans="1:16">
      <c r="A622" s="170"/>
      <c r="B622" s="171"/>
      <c r="C622" s="171"/>
      <c r="D622" s="171"/>
      <c r="E622" s="170"/>
      <c r="F622" s="170"/>
      <c r="G622" s="170"/>
      <c r="H622" s="170"/>
      <c r="I622" s="170"/>
      <c r="J622" s="170"/>
    </row>
    <row r="623" spans="1:16">
      <c r="A623" s="170"/>
      <c r="B623" s="171">
        <v>-2.6959782234951333</v>
      </c>
      <c r="C623" s="171">
        <v>-1.0757798809975587</v>
      </c>
      <c r="D623" s="171">
        <v>-4.997772423355884E-2</v>
      </c>
      <c r="E623" s="170">
        <f>-$L$1</f>
        <v>-1.4990492230334603E-2</v>
      </c>
      <c r="F623" s="171">
        <v>0</v>
      </c>
      <c r="G623" s="171">
        <v>0</v>
      </c>
      <c r="H623" s="177">
        <f>-$N$1</f>
        <v>-4.7716218756768064E-3</v>
      </c>
      <c r="I623" s="170">
        <v>0</v>
      </c>
      <c r="J623" s="170">
        <v>0</v>
      </c>
      <c r="L623">
        <f t="array" ref="L623:N625">SVDD(B623:D625)</f>
        <v>4.0796384102096237</v>
      </c>
      <c r="M623">
        <v>0</v>
      </c>
      <c r="N623">
        <v>0</v>
      </c>
      <c r="P623">
        <f t="shared" ref="P623" si="200">MAX(L623,M624,N625)/MIN(L623,M624,N625)</f>
        <v>286.9294314386575</v>
      </c>
    </row>
    <row r="624" spans="1:16">
      <c r="A624" s="170" t="s">
        <v>369</v>
      </c>
      <c r="B624" s="171">
        <v>-0.40019020491700363</v>
      </c>
      <c r="C624" s="171">
        <v>-1.0840062473010013</v>
      </c>
      <c r="D624" s="171">
        <v>-1.6840506224230944E-2</v>
      </c>
      <c r="E624" s="170">
        <v>0</v>
      </c>
      <c r="F624" s="170">
        <f>-$L$1</f>
        <v>-1.4990492230334603E-2</v>
      </c>
      <c r="G624" s="171">
        <v>0</v>
      </c>
      <c r="H624" s="171">
        <v>0</v>
      </c>
      <c r="I624" s="177">
        <f>-$N$1</f>
        <v>-4.7716218756768064E-3</v>
      </c>
      <c r="J624" s="170">
        <v>0</v>
      </c>
      <c r="L624">
        <v>0</v>
      </c>
      <c r="M624">
        <v>1.1272875516305596</v>
      </c>
      <c r="N624">
        <v>0</v>
      </c>
    </row>
    <row r="625" spans="1:16">
      <c r="A625" s="170"/>
      <c r="B625" s="171">
        <v>-2.8449497700634536</v>
      </c>
      <c r="C625" s="171">
        <v>-0.22852225552422287</v>
      </c>
      <c r="D625" s="171">
        <v>-6.9737163040410666E-2</v>
      </c>
      <c r="E625" s="170">
        <v>0</v>
      </c>
      <c r="F625" s="171">
        <v>0</v>
      </c>
      <c r="G625" s="170">
        <f>-$L$1</f>
        <v>-1.4990492230334603E-2</v>
      </c>
      <c r="H625" s="171">
        <v>0</v>
      </c>
      <c r="I625" s="171">
        <v>0</v>
      </c>
      <c r="J625" s="177">
        <f>-$N$1</f>
        <v>-4.7716218756768064E-3</v>
      </c>
      <c r="L625">
        <v>0</v>
      </c>
      <c r="M625">
        <v>0</v>
      </c>
      <c r="N625">
        <v>1.4218264016188272E-2</v>
      </c>
    </row>
    <row r="626" spans="1:16">
      <c r="A626" s="170"/>
      <c r="B626" s="171"/>
      <c r="C626" s="171"/>
      <c r="D626" s="171"/>
      <c r="E626" s="170"/>
      <c r="F626" s="170"/>
      <c r="G626" s="170"/>
      <c r="H626" s="170"/>
      <c r="I626" s="170"/>
      <c r="J626" s="170"/>
    </row>
    <row r="627" spans="1:16">
      <c r="A627" s="170"/>
      <c r="B627" s="171">
        <v>-2.6959782234951333</v>
      </c>
      <c r="C627" s="171">
        <v>-1.0757798809975587</v>
      </c>
      <c r="D627" s="171">
        <v>-4.997772423355884E-2</v>
      </c>
      <c r="E627" s="170">
        <f>-$L$1</f>
        <v>-1.4990492230334603E-2</v>
      </c>
      <c r="F627" s="171">
        <v>0</v>
      </c>
      <c r="G627" s="171">
        <v>0</v>
      </c>
      <c r="H627" s="177">
        <f>-$N$1</f>
        <v>-4.7716218756768064E-3</v>
      </c>
      <c r="I627" s="170">
        <v>0</v>
      </c>
      <c r="J627" s="170">
        <v>0</v>
      </c>
      <c r="L627">
        <f t="array" ref="L627:N629">SVDD(B627:D629)</f>
        <v>3.6898030487606412</v>
      </c>
      <c r="M627">
        <v>0</v>
      </c>
      <c r="N627">
        <v>0</v>
      </c>
      <c r="P627">
        <f t="shared" ref="P627" si="201">MAX(L627,M628,N629)/MIN(L627,M628,N629)</f>
        <v>155.61168544988374</v>
      </c>
    </row>
    <row r="628" spans="1:16">
      <c r="A628" s="170" t="s">
        <v>370</v>
      </c>
      <c r="B628" s="171">
        <v>-0.40019020491700363</v>
      </c>
      <c r="C628" s="171">
        <v>-1.0840062473010013</v>
      </c>
      <c r="D628" s="171">
        <v>-1.6840506224230944E-2</v>
      </c>
      <c r="E628" s="170">
        <v>0</v>
      </c>
      <c r="F628" s="170">
        <f>-$L$1</f>
        <v>-1.4990492230334603E-2</v>
      </c>
      <c r="G628" s="171">
        <v>0</v>
      </c>
      <c r="H628" s="171">
        <v>0</v>
      </c>
      <c r="I628" s="177">
        <f>-$N$1</f>
        <v>-4.7716218756768064E-3</v>
      </c>
      <c r="J628" s="170">
        <v>0</v>
      </c>
      <c r="L628">
        <v>0</v>
      </c>
      <c r="M628">
        <v>1.8470475508883464</v>
      </c>
      <c r="N628">
        <v>0</v>
      </c>
    </row>
    <row r="629" spans="1:16">
      <c r="A629" s="170"/>
      <c r="B629" s="171">
        <v>-2.4772611105726599</v>
      </c>
      <c r="C629" s="171">
        <v>1.0605572692523213</v>
      </c>
      <c r="D629" s="171">
        <v>3.9812674620544719E-2</v>
      </c>
      <c r="E629" s="170">
        <v>0</v>
      </c>
      <c r="F629" s="171">
        <v>0</v>
      </c>
      <c r="G629" s="170">
        <f>-$L$1</f>
        <v>-1.4990492230334603E-2</v>
      </c>
      <c r="H629" s="171">
        <v>0</v>
      </c>
      <c r="I629" s="171">
        <v>0</v>
      </c>
      <c r="J629" s="177">
        <f>-$N$1</f>
        <v>-4.7716218756768064E-3</v>
      </c>
      <c r="L629">
        <v>0</v>
      </c>
      <c r="M629">
        <v>0</v>
      </c>
      <c r="N629">
        <v>2.3711606477965809E-2</v>
      </c>
    </row>
    <row r="630" spans="1:16">
      <c r="A630" s="170"/>
      <c r="B630" s="171"/>
      <c r="C630" s="171"/>
      <c r="D630" s="171"/>
      <c r="E630" s="170"/>
      <c r="F630" s="170"/>
      <c r="G630" s="170"/>
      <c r="H630" s="170"/>
      <c r="I630" s="170"/>
      <c r="J630" s="170"/>
    </row>
    <row r="631" spans="1:16">
      <c r="A631" s="170"/>
      <c r="B631" s="171">
        <v>-2.6959782234951333</v>
      </c>
      <c r="C631" s="171">
        <v>-1.0757798809975587</v>
      </c>
      <c r="D631" s="171">
        <v>-4.997772423355884E-2</v>
      </c>
      <c r="E631" s="170">
        <f>-$L$1</f>
        <v>-1.4990492230334603E-2</v>
      </c>
      <c r="F631" s="171">
        <v>0</v>
      </c>
      <c r="G631" s="171">
        <v>0</v>
      </c>
      <c r="H631" s="177">
        <f>-$N$1</f>
        <v>-4.7716218756768064E-3</v>
      </c>
      <c r="I631" s="170">
        <v>0</v>
      </c>
      <c r="J631" s="170">
        <v>0</v>
      </c>
      <c r="L631">
        <f t="array" ref="L631:N633">SVDD(B631:D633)</f>
        <v>3.0329986788177234</v>
      </c>
      <c r="M631">
        <v>0</v>
      </c>
      <c r="N631">
        <v>0</v>
      </c>
      <c r="P631">
        <f t="shared" ref="P631" si="202">MAX(L631,M632,N633)/MIN(L631,M632,N633)</f>
        <v>159.28604006876967</v>
      </c>
    </row>
    <row r="632" spans="1:16">
      <c r="A632" s="170" t="s">
        <v>371</v>
      </c>
      <c r="B632" s="171">
        <v>-0.40019020491700363</v>
      </c>
      <c r="C632" s="171">
        <v>-1.0840062473010013</v>
      </c>
      <c r="D632" s="171">
        <v>-1.6840506224230944E-2</v>
      </c>
      <c r="E632" s="170">
        <v>0</v>
      </c>
      <c r="F632" s="170">
        <f>-$L$1</f>
        <v>-1.4990492230334603E-2</v>
      </c>
      <c r="G632" s="171">
        <v>0</v>
      </c>
      <c r="H632" s="171">
        <v>0</v>
      </c>
      <c r="I632" s="177">
        <f>-$N$1</f>
        <v>-4.7716218756768064E-3</v>
      </c>
      <c r="J632" s="170">
        <v>0</v>
      </c>
      <c r="L632">
        <v>0</v>
      </c>
      <c r="M632">
        <v>1.5446947435960519</v>
      </c>
      <c r="N632">
        <v>0</v>
      </c>
    </row>
    <row r="633" spans="1:16">
      <c r="A633" s="170"/>
      <c r="B633" s="171">
        <v>-0.85843073718374274</v>
      </c>
      <c r="C633" s="171">
        <v>1.040962775001312</v>
      </c>
      <c r="D633" s="171">
        <v>-3.7610117674176324E-2</v>
      </c>
      <c r="E633" s="170">
        <v>0</v>
      </c>
      <c r="F633" s="171">
        <v>0</v>
      </c>
      <c r="G633" s="170">
        <f>-$L$1</f>
        <v>-1.4990492230334603E-2</v>
      </c>
      <c r="H633" s="171">
        <v>0</v>
      </c>
      <c r="I633" s="171">
        <v>0</v>
      </c>
      <c r="J633" s="177">
        <f>-$N$1</f>
        <v>-4.7716218756768064E-3</v>
      </c>
      <c r="L633">
        <v>0</v>
      </c>
      <c r="M633">
        <v>0</v>
      </c>
      <c r="N633">
        <v>1.9041208366459898E-2</v>
      </c>
    </row>
    <row r="634" spans="1:16">
      <c r="A634" s="170"/>
      <c r="B634" s="171"/>
      <c r="C634" s="171"/>
      <c r="D634" s="171"/>
      <c r="E634" s="170"/>
      <c r="F634" s="170"/>
      <c r="G634" s="170"/>
      <c r="H634" s="170"/>
      <c r="I634" s="170"/>
      <c r="J634" s="170"/>
    </row>
    <row r="635" spans="1:16">
      <c r="A635" s="170"/>
      <c r="B635" s="171">
        <v>-2.6959782234951333</v>
      </c>
      <c r="C635" s="171">
        <v>-1.0757798809975587</v>
      </c>
      <c r="D635" s="171">
        <v>-4.997772423355884E-2</v>
      </c>
      <c r="E635" s="170">
        <f>-$L$1</f>
        <v>-1.4990492230334603E-2</v>
      </c>
      <c r="F635" s="171">
        <v>0</v>
      </c>
      <c r="G635" s="171">
        <v>0</v>
      </c>
      <c r="H635" s="177">
        <f>-$N$1</f>
        <v>-4.7716218756768064E-3</v>
      </c>
      <c r="I635" s="170">
        <v>0</v>
      </c>
      <c r="J635" s="170">
        <v>0</v>
      </c>
      <c r="L635">
        <f t="array" ref="L635:N637">SVDD(B635:D637)</f>
        <v>3.1646809187710834</v>
      </c>
      <c r="M635">
        <v>0</v>
      </c>
      <c r="N635">
        <v>0</v>
      </c>
      <c r="P635">
        <f t="shared" ref="P635" si="203">MAX(L635,M636,N637)/MIN(L635,M636,N637)</f>
        <v>11.339490785679912</v>
      </c>
    </row>
    <row r="636" spans="1:16">
      <c r="A636" s="170" t="s">
        <v>372</v>
      </c>
      <c r="B636" s="171">
        <v>-0.40019020491700363</v>
      </c>
      <c r="C636" s="171">
        <v>-1.0840062473010013</v>
      </c>
      <c r="D636" s="171">
        <v>-1.6840506224230944E-2</v>
      </c>
      <c r="E636" s="170">
        <v>0</v>
      </c>
      <c r="F636" s="170">
        <f>-$L$1</f>
        <v>-1.4990492230334603E-2</v>
      </c>
      <c r="G636" s="171">
        <v>0</v>
      </c>
      <c r="H636" s="171">
        <v>0</v>
      </c>
      <c r="I636" s="177">
        <f>-$N$1</f>
        <v>-4.7716218756768064E-3</v>
      </c>
      <c r="J636" s="170">
        <v>0</v>
      </c>
      <c r="L636">
        <v>0</v>
      </c>
      <c r="M636">
        <v>2.0255015650318771</v>
      </c>
      <c r="N636">
        <v>0</v>
      </c>
    </row>
    <row r="637" spans="1:16">
      <c r="A637" s="170"/>
      <c r="B637" s="171">
        <v>-1.4675604394566215</v>
      </c>
      <c r="C637" s="171">
        <v>1.3235781323919831</v>
      </c>
      <c r="D637" s="171">
        <v>-0.72564008456612294</v>
      </c>
      <c r="E637" s="170">
        <v>0</v>
      </c>
      <c r="F637" s="171">
        <v>0</v>
      </c>
      <c r="G637" s="170">
        <f>-$L$1</f>
        <v>-1.4990492230334603E-2</v>
      </c>
      <c r="H637" s="171">
        <v>0</v>
      </c>
      <c r="I637" s="171">
        <v>0</v>
      </c>
      <c r="J637" s="177">
        <f>-$N$1</f>
        <v>-4.7716218756768064E-3</v>
      </c>
      <c r="L637">
        <v>0</v>
      </c>
      <c r="M637">
        <v>0</v>
      </c>
      <c r="N637">
        <v>0.2790849235282773</v>
      </c>
    </row>
    <row r="638" spans="1:16">
      <c r="A638" s="170"/>
      <c r="B638" s="171"/>
      <c r="C638" s="171"/>
      <c r="D638" s="171"/>
      <c r="E638" s="170"/>
      <c r="F638" s="170"/>
      <c r="G638" s="170"/>
      <c r="H638" s="170"/>
      <c r="I638" s="170"/>
      <c r="J638" s="170"/>
    </row>
    <row r="639" spans="1:16">
      <c r="A639" s="170"/>
      <c r="B639" s="171">
        <v>-2.6959782234951333</v>
      </c>
      <c r="C639" s="171">
        <v>-1.0757798809975587</v>
      </c>
      <c r="D639" s="171">
        <v>-4.997772423355884E-2</v>
      </c>
      <c r="E639" s="170">
        <f>-$L$1</f>
        <v>-1.4990492230334603E-2</v>
      </c>
      <c r="F639" s="171">
        <v>0</v>
      </c>
      <c r="G639" s="171">
        <v>0</v>
      </c>
      <c r="H639" s="177">
        <f>-$N$1</f>
        <v>-4.7716218756768064E-3</v>
      </c>
      <c r="I639" s="170">
        <v>0</v>
      </c>
      <c r="J639" s="170">
        <v>0</v>
      </c>
      <c r="L639">
        <f t="array" ref="L639:N641">SVDD(B639:D641)</f>
        <v>4.6417550678723405</v>
      </c>
      <c r="M639">
        <v>0</v>
      </c>
      <c r="N639">
        <v>0</v>
      </c>
      <c r="P639">
        <f t="shared" ref="P639" si="204">MAX(L639,M640,N641)/MIN(L639,M640,N641)</f>
        <v>107.5399530016923</v>
      </c>
    </row>
    <row r="640" spans="1:16">
      <c r="A640" s="170" t="s">
        <v>373</v>
      </c>
      <c r="B640" s="171">
        <v>-2.8449497700634536</v>
      </c>
      <c r="C640" s="171">
        <v>-0.22852225552422287</v>
      </c>
      <c r="D640" s="171">
        <v>-6.9737163040410666E-2</v>
      </c>
      <c r="E640" s="170">
        <v>0</v>
      </c>
      <c r="F640" s="170">
        <f>-$L$1</f>
        <v>-1.4990492230334603E-2</v>
      </c>
      <c r="G640" s="171">
        <v>0</v>
      </c>
      <c r="H640" s="171">
        <v>0</v>
      </c>
      <c r="I640" s="177">
        <f>-$N$1</f>
        <v>-4.7716218756768064E-3</v>
      </c>
      <c r="J640" s="170">
        <v>0</v>
      </c>
      <c r="L640">
        <v>0</v>
      </c>
      <c r="M640">
        <v>1.5147144329578435</v>
      </c>
      <c r="N640">
        <v>0</v>
      </c>
    </row>
    <row r="641" spans="1:16">
      <c r="A641" s="170"/>
      <c r="B641" s="171">
        <v>-2.4772611105726599</v>
      </c>
      <c r="C641" s="171">
        <v>1.0605572692523213</v>
      </c>
      <c r="D641" s="171">
        <v>3.9812674620544719E-2</v>
      </c>
      <c r="E641" s="170">
        <v>0</v>
      </c>
      <c r="F641" s="171">
        <v>0</v>
      </c>
      <c r="G641" s="170">
        <f>-$L$1</f>
        <v>-1.4990492230334603E-2</v>
      </c>
      <c r="H641" s="171">
        <v>0</v>
      </c>
      <c r="I641" s="171">
        <v>0</v>
      </c>
      <c r="J641" s="177">
        <f>-$N$1</f>
        <v>-4.7716218756768064E-3</v>
      </c>
      <c r="L641">
        <v>0</v>
      </c>
      <c r="M641">
        <v>0</v>
      </c>
      <c r="N641">
        <v>4.3163075101951137E-2</v>
      </c>
    </row>
    <row r="642" spans="1:16">
      <c r="A642" s="170"/>
      <c r="B642" s="171"/>
      <c r="C642" s="171"/>
      <c r="D642" s="171"/>
      <c r="E642" s="170"/>
      <c r="F642" s="170"/>
      <c r="G642" s="170"/>
      <c r="H642" s="170"/>
      <c r="I642" s="170"/>
      <c r="J642" s="170"/>
    </row>
    <row r="643" spans="1:16">
      <c r="A643" s="170"/>
      <c r="B643" s="171">
        <v>-2.6959782234951333</v>
      </c>
      <c r="C643" s="171">
        <v>-1.0757798809975587</v>
      </c>
      <c r="D643" s="171">
        <v>-4.997772423355884E-2</v>
      </c>
      <c r="E643" s="170">
        <f>-$L$1</f>
        <v>-1.4990492230334603E-2</v>
      </c>
      <c r="F643" s="171">
        <v>0</v>
      </c>
      <c r="G643" s="171">
        <v>0</v>
      </c>
      <c r="H643" s="177">
        <f>-$N$1</f>
        <v>-4.7716218756768064E-3</v>
      </c>
      <c r="I643" s="170">
        <v>0</v>
      </c>
      <c r="J643" s="170">
        <v>0</v>
      </c>
      <c r="L643">
        <f t="array" ref="L643:N645">SVDD(B643:D645)</f>
        <v>4.0743831379965254</v>
      </c>
      <c r="M643">
        <v>0</v>
      </c>
      <c r="N643">
        <v>0</v>
      </c>
      <c r="P643">
        <f t="shared" ref="P643" si="205">MAX(L643,M644,N645)/MIN(L643,M644,N645)</f>
        <v>2149.1679832149403</v>
      </c>
    </row>
    <row r="644" spans="1:16">
      <c r="A644" s="170" t="s">
        <v>374</v>
      </c>
      <c r="B644" s="171">
        <v>-2.8449497700634536</v>
      </c>
      <c r="C644" s="171">
        <v>-0.22852225552422287</v>
      </c>
      <c r="D644" s="171">
        <v>-6.9737163040410666E-2</v>
      </c>
      <c r="E644" s="170">
        <v>0</v>
      </c>
      <c r="F644" s="170">
        <f>-$L$1</f>
        <v>-1.4990492230334603E-2</v>
      </c>
      <c r="G644" s="171">
        <v>0</v>
      </c>
      <c r="H644" s="171">
        <v>0</v>
      </c>
      <c r="I644" s="177">
        <f>-$N$1</f>
        <v>-4.7716218756768064E-3</v>
      </c>
      <c r="J644" s="170">
        <v>0</v>
      </c>
      <c r="L644">
        <v>0</v>
      </c>
      <c r="M644">
        <v>1.3417314915444269</v>
      </c>
      <c r="N644">
        <v>0</v>
      </c>
    </row>
    <row r="645" spans="1:16">
      <c r="A645" s="170"/>
      <c r="B645" s="171">
        <v>-0.85843073718374274</v>
      </c>
      <c r="C645" s="171">
        <v>1.040962775001312</v>
      </c>
      <c r="D645" s="171">
        <v>-3.7610117674176324E-2</v>
      </c>
      <c r="E645" s="170">
        <v>0</v>
      </c>
      <c r="F645" s="171">
        <v>0</v>
      </c>
      <c r="G645" s="170">
        <f>-$L$1</f>
        <v>-1.4990492230334603E-2</v>
      </c>
      <c r="H645" s="171">
        <v>0</v>
      </c>
      <c r="I645" s="171">
        <v>0</v>
      </c>
      <c r="J645" s="177">
        <f>-$N$1</f>
        <v>-4.7716218756768064E-3</v>
      </c>
      <c r="L645">
        <v>0</v>
      </c>
      <c r="M645">
        <v>0</v>
      </c>
      <c r="N645">
        <v>1.8957955682466739E-3</v>
      </c>
    </row>
    <row r="646" spans="1:16">
      <c r="A646" s="170"/>
      <c r="B646" s="171"/>
      <c r="C646" s="171"/>
      <c r="D646" s="171"/>
      <c r="E646" s="170"/>
      <c r="F646" s="170"/>
      <c r="G646" s="170"/>
      <c r="H646" s="170"/>
      <c r="I646" s="170"/>
      <c r="J646" s="170"/>
    </row>
    <row r="647" spans="1:16">
      <c r="A647" s="170"/>
      <c r="B647" s="171">
        <v>-2.6959782234951333</v>
      </c>
      <c r="C647" s="171">
        <v>-1.0757798809975587</v>
      </c>
      <c r="D647" s="171">
        <v>-4.997772423355884E-2</v>
      </c>
      <c r="E647" s="170">
        <f>-$L$1</f>
        <v>-1.4990492230334603E-2</v>
      </c>
      <c r="F647" s="171">
        <v>0</v>
      </c>
      <c r="G647" s="171">
        <v>0</v>
      </c>
      <c r="H647" s="177">
        <f>-$N$1</f>
        <v>-4.7716218756768064E-3</v>
      </c>
      <c r="I647" s="170">
        <v>0</v>
      </c>
      <c r="J647" s="170">
        <v>0</v>
      </c>
      <c r="L647">
        <f t="array" ref="L647:N649">SVDD(B647:D649)</f>
        <v>4.2176561494948626</v>
      </c>
      <c r="M647">
        <v>0</v>
      </c>
      <c r="N647">
        <v>0</v>
      </c>
      <c r="P647">
        <f t="shared" ref="P647" si="206">MAX(L647,M648,N649)/MIN(L647,M648,N649)</f>
        <v>19.571411138788417</v>
      </c>
    </row>
    <row r="648" spans="1:16">
      <c r="A648" s="170" t="s">
        <v>375</v>
      </c>
      <c r="B648" s="171">
        <v>-2.8449497700634536</v>
      </c>
      <c r="C648" s="171">
        <v>-0.22852225552422287</v>
      </c>
      <c r="D648" s="171">
        <v>-6.9737163040410666E-2</v>
      </c>
      <c r="E648" s="170">
        <v>0</v>
      </c>
      <c r="F648" s="170">
        <f>-$L$1</f>
        <v>-1.4990492230334603E-2</v>
      </c>
      <c r="G648" s="171">
        <v>0</v>
      </c>
      <c r="H648" s="171">
        <v>0</v>
      </c>
      <c r="I648" s="177">
        <f>-$N$1</f>
        <v>-4.7716218756768064E-3</v>
      </c>
      <c r="J648" s="170">
        <v>0</v>
      </c>
      <c r="L648">
        <v>0</v>
      </c>
      <c r="M648">
        <v>1.7821351861486001</v>
      </c>
      <c r="N648">
        <v>0</v>
      </c>
    </row>
    <row r="649" spans="1:16">
      <c r="A649" s="170"/>
      <c r="B649" s="171">
        <v>-1.4675604394566215</v>
      </c>
      <c r="C649" s="171">
        <v>1.3235781323919831</v>
      </c>
      <c r="D649" s="171">
        <v>-0.72564008456612294</v>
      </c>
      <c r="E649" s="170">
        <v>0</v>
      </c>
      <c r="F649" s="171">
        <v>0</v>
      </c>
      <c r="G649" s="170">
        <f>-$L$1</f>
        <v>-1.4990492230334603E-2</v>
      </c>
      <c r="H649" s="171">
        <v>0</v>
      </c>
      <c r="I649" s="171">
        <v>0</v>
      </c>
      <c r="J649" s="177">
        <f>-$N$1</f>
        <v>-4.7716218756768064E-3</v>
      </c>
      <c r="L649">
        <v>0</v>
      </c>
      <c r="M649">
        <v>0</v>
      </c>
      <c r="N649">
        <v>0.21550087112195632</v>
      </c>
    </row>
    <row r="650" spans="1:16">
      <c r="A650" s="170"/>
      <c r="B650" s="171"/>
      <c r="C650" s="171"/>
      <c r="D650" s="171"/>
      <c r="E650" s="170"/>
      <c r="F650" s="170"/>
      <c r="G650" s="170"/>
      <c r="H650" s="170"/>
      <c r="I650" s="170"/>
      <c r="J650" s="170"/>
    </row>
    <row r="651" spans="1:16">
      <c r="A651" s="170"/>
      <c r="B651" s="171">
        <v>-2.6959782234951333</v>
      </c>
      <c r="C651" s="171">
        <v>-1.0757798809975587</v>
      </c>
      <c r="D651" s="171">
        <v>-4.997772423355884E-2</v>
      </c>
      <c r="E651" s="170">
        <f>-$L$1</f>
        <v>-1.4990492230334603E-2</v>
      </c>
      <c r="F651" s="171">
        <v>0</v>
      </c>
      <c r="G651" s="171">
        <v>0</v>
      </c>
      <c r="H651" s="177">
        <f>-$N$1</f>
        <v>-4.7716218756768064E-3</v>
      </c>
      <c r="I651" s="170">
        <v>0</v>
      </c>
      <c r="J651" s="170">
        <v>0</v>
      </c>
      <c r="L651">
        <f t="array" ref="L651:N653">SVDD(B651:D653)</f>
        <v>3.7653610886539575</v>
      </c>
      <c r="M651">
        <v>0</v>
      </c>
      <c r="N651">
        <v>0</v>
      </c>
      <c r="P651">
        <f t="shared" ref="P651" si="207">MAX(L651,M652,N653)/MIN(L651,M652,N653)</f>
        <v>58.858855955017582</v>
      </c>
    </row>
    <row r="652" spans="1:16">
      <c r="A652" s="170" t="s">
        <v>376</v>
      </c>
      <c r="B652" s="171">
        <v>-2.4772611105726599</v>
      </c>
      <c r="C652" s="171">
        <v>1.0605572692523213</v>
      </c>
      <c r="D652" s="171">
        <v>3.9812674620544719E-2</v>
      </c>
      <c r="E652" s="170">
        <v>0</v>
      </c>
      <c r="F652" s="170">
        <f>-$L$1</f>
        <v>-1.4990492230334603E-2</v>
      </c>
      <c r="G652" s="171">
        <v>0</v>
      </c>
      <c r="H652" s="171">
        <v>0</v>
      </c>
      <c r="I652" s="177">
        <f>-$N$1</f>
        <v>-4.7716218756768064E-3</v>
      </c>
      <c r="J652" s="170">
        <v>0</v>
      </c>
      <c r="L652">
        <v>0</v>
      </c>
      <c r="M652">
        <v>1.8251500762530917</v>
      </c>
      <c r="N652">
        <v>0</v>
      </c>
    </row>
    <row r="653" spans="1:16">
      <c r="A653" s="170"/>
      <c r="B653" s="171">
        <v>-0.85843073718374274</v>
      </c>
      <c r="C653" s="171">
        <v>1.040962775001312</v>
      </c>
      <c r="D653" s="171">
        <v>-3.7610117674176324E-2</v>
      </c>
      <c r="E653" s="170">
        <v>0</v>
      </c>
      <c r="F653" s="171">
        <v>0</v>
      </c>
      <c r="G653" s="170">
        <f>-$L$1</f>
        <v>-1.4990492230334603E-2</v>
      </c>
      <c r="H653" s="171">
        <v>0</v>
      </c>
      <c r="I653" s="171">
        <v>0</v>
      </c>
      <c r="J653" s="177">
        <f>-$N$1</f>
        <v>-4.7716218756768064E-3</v>
      </c>
      <c r="L653">
        <v>0</v>
      </c>
      <c r="M653">
        <v>0</v>
      </c>
      <c r="N653">
        <v>6.3972719611329262E-2</v>
      </c>
    </row>
    <row r="654" spans="1:16">
      <c r="A654" s="170"/>
      <c r="B654" s="171"/>
      <c r="C654" s="171"/>
      <c r="D654" s="171"/>
      <c r="E654" s="170"/>
      <c r="F654" s="170"/>
      <c r="G654" s="170"/>
      <c r="H654" s="170"/>
      <c r="I654" s="170"/>
      <c r="J654" s="170"/>
    </row>
    <row r="655" spans="1:16">
      <c r="A655" s="170"/>
      <c r="B655" s="171">
        <v>-2.6959782234951333</v>
      </c>
      <c r="C655" s="171">
        <v>-1.0757798809975587</v>
      </c>
      <c r="D655" s="171">
        <v>-4.997772423355884E-2</v>
      </c>
      <c r="E655" s="170">
        <f>-$L$1</f>
        <v>-1.4990492230334603E-2</v>
      </c>
      <c r="F655" s="171">
        <v>0</v>
      </c>
      <c r="G655" s="171">
        <v>0</v>
      </c>
      <c r="H655" s="177">
        <f>-$N$1</f>
        <v>-4.7716218756768064E-3</v>
      </c>
      <c r="I655" s="170">
        <v>0</v>
      </c>
      <c r="J655" s="170">
        <v>0</v>
      </c>
      <c r="L655">
        <f t="array" ref="L655:N657">SVDD(B655:D657)</f>
        <v>3.9864298650085872</v>
      </c>
      <c r="M655">
        <v>0</v>
      </c>
      <c r="N655">
        <v>0</v>
      </c>
      <c r="P655">
        <f t="shared" ref="P655" si="208">MAX(L655,M656,N657)/MIN(L655,M656,N657)</f>
        <v>7.33302063772613</v>
      </c>
    </row>
    <row r="656" spans="1:16">
      <c r="A656" s="170" t="s">
        <v>377</v>
      </c>
      <c r="B656" s="171">
        <v>-2.4772611105726599</v>
      </c>
      <c r="C656" s="171">
        <v>1.0605572692523213</v>
      </c>
      <c r="D656" s="171">
        <v>3.9812674620544719E-2</v>
      </c>
      <c r="E656" s="170">
        <v>0</v>
      </c>
      <c r="F656" s="170">
        <f>-$L$1</f>
        <v>-1.4990492230334603E-2</v>
      </c>
      <c r="G656" s="171">
        <v>0</v>
      </c>
      <c r="H656" s="171">
        <v>0</v>
      </c>
      <c r="I656" s="177">
        <f>-$N$1</f>
        <v>-4.7716218756768064E-3</v>
      </c>
      <c r="J656" s="170">
        <v>0</v>
      </c>
      <c r="L656">
        <v>0</v>
      </c>
      <c r="M656">
        <v>1.9840062189381586</v>
      </c>
      <c r="N656">
        <v>0</v>
      </c>
    </row>
    <row r="657" spans="1:16">
      <c r="A657" s="170"/>
      <c r="B657" s="171">
        <v>-1.4675604394566215</v>
      </c>
      <c r="C657" s="171">
        <v>1.3235781323919831</v>
      </c>
      <c r="D657" s="171">
        <v>-0.72564008456612294</v>
      </c>
      <c r="E657" s="170">
        <v>0</v>
      </c>
      <c r="F657" s="171">
        <v>0</v>
      </c>
      <c r="G657" s="170">
        <f>-$L$1</f>
        <v>-1.4990492230334603E-2</v>
      </c>
      <c r="H657" s="171">
        <v>0</v>
      </c>
      <c r="I657" s="171">
        <v>0</v>
      </c>
      <c r="J657" s="177">
        <f>-$N$1</f>
        <v>-4.7716218756768064E-3</v>
      </c>
      <c r="L657">
        <v>0</v>
      </c>
      <c r="M657">
        <v>0</v>
      </c>
      <c r="N657">
        <v>0.54362725293580039</v>
      </c>
    </row>
    <row r="658" spans="1:16">
      <c r="A658" s="170"/>
      <c r="B658" s="171"/>
      <c r="C658" s="171"/>
      <c r="D658" s="171"/>
      <c r="E658" s="170"/>
      <c r="F658" s="170"/>
      <c r="G658" s="170"/>
      <c r="H658" s="170"/>
      <c r="I658" s="170"/>
      <c r="J658" s="170"/>
    </row>
    <row r="659" spans="1:16">
      <c r="A659" s="170"/>
      <c r="B659" s="171">
        <v>-2.6959782234951333</v>
      </c>
      <c r="C659" s="171">
        <v>-1.0757798809975587</v>
      </c>
      <c r="D659" s="171">
        <v>-4.997772423355884E-2</v>
      </c>
      <c r="E659" s="170">
        <f>-$L$1</f>
        <v>-1.4990492230334603E-2</v>
      </c>
      <c r="F659" s="171">
        <v>0</v>
      </c>
      <c r="G659" s="171">
        <v>0</v>
      </c>
      <c r="H659" s="177">
        <f>-$N$1</f>
        <v>-4.7716218756768064E-3</v>
      </c>
      <c r="I659" s="170">
        <v>0</v>
      </c>
      <c r="J659" s="170">
        <v>0</v>
      </c>
      <c r="L659">
        <f t="array" ref="L659:N661">SVDD(B659:D661)</f>
        <v>3.2116252266340304</v>
      </c>
      <c r="M659">
        <v>0</v>
      </c>
      <c r="N659">
        <v>0</v>
      </c>
      <c r="P659">
        <f t="shared" ref="P659" si="209">MAX(L659,M660,N661)/MIN(L659,M660,N661)</f>
        <v>8.5028993454699311</v>
      </c>
    </row>
    <row r="660" spans="1:16">
      <c r="A660" s="170" t="s">
        <v>378</v>
      </c>
      <c r="B660" s="171">
        <v>-0.85843073718374274</v>
      </c>
      <c r="C660" s="171">
        <v>1.040962775001312</v>
      </c>
      <c r="D660" s="171">
        <v>-3.7610117674176324E-2</v>
      </c>
      <c r="E660" s="170">
        <v>0</v>
      </c>
      <c r="F660" s="170">
        <f>-$L$1</f>
        <v>-1.4990492230334603E-2</v>
      </c>
      <c r="G660" s="171">
        <v>0</v>
      </c>
      <c r="H660" s="171">
        <v>0</v>
      </c>
      <c r="I660" s="177">
        <f>-$N$1</f>
        <v>-4.7716218756768064E-3</v>
      </c>
      <c r="J660" s="170">
        <v>0</v>
      </c>
      <c r="L660">
        <v>0</v>
      </c>
      <c r="M660">
        <v>2.0554720380390674</v>
      </c>
      <c r="N660">
        <v>0</v>
      </c>
    </row>
    <row r="661" spans="1:16">
      <c r="A661" s="170"/>
      <c r="B661" s="171">
        <v>-1.4675604394566215</v>
      </c>
      <c r="C661" s="171">
        <v>1.3235781323919831</v>
      </c>
      <c r="D661" s="171">
        <v>-0.72564008456612294</v>
      </c>
      <c r="E661" s="170">
        <v>0</v>
      </c>
      <c r="F661" s="171">
        <v>0</v>
      </c>
      <c r="G661" s="170">
        <f>-$L$1</f>
        <v>-1.4990492230334603E-2</v>
      </c>
      <c r="H661" s="171">
        <v>0</v>
      </c>
      <c r="I661" s="171">
        <v>0</v>
      </c>
      <c r="J661" s="177">
        <f>-$N$1</f>
        <v>-4.7716218756768064E-3</v>
      </c>
      <c r="L661">
        <v>0</v>
      </c>
      <c r="M661">
        <v>0</v>
      </c>
      <c r="N661">
        <v>0.37770942547321584</v>
      </c>
    </row>
    <row r="662" spans="1:16">
      <c r="A662" s="170"/>
      <c r="B662" s="171"/>
      <c r="C662" s="171"/>
      <c r="D662" s="171"/>
      <c r="E662" s="170"/>
      <c r="F662" s="170"/>
      <c r="G662" s="170"/>
      <c r="H662" s="170"/>
      <c r="I662" s="170"/>
      <c r="J662" s="170"/>
    </row>
    <row r="663" spans="1:16">
      <c r="A663" s="170"/>
      <c r="B663" s="171">
        <v>-0.40019020491700363</v>
      </c>
      <c r="C663" s="171">
        <v>-1.0840062473010013</v>
      </c>
      <c r="D663" s="171">
        <v>-1.6840506224230944E-2</v>
      </c>
      <c r="E663" s="170">
        <f>-$L$1</f>
        <v>-1.4990492230334603E-2</v>
      </c>
      <c r="F663" s="171">
        <v>0</v>
      </c>
      <c r="G663" s="171">
        <v>0</v>
      </c>
      <c r="H663" s="177">
        <f>-$N$1</f>
        <v>-4.7716218756768064E-3</v>
      </c>
      <c r="I663" s="170">
        <v>0</v>
      </c>
      <c r="J663" s="170">
        <v>0</v>
      </c>
      <c r="L663">
        <f t="array" ref="L663:N665">SVDD(B663:D665)</f>
        <v>3.819168963019361</v>
      </c>
      <c r="M663">
        <v>0</v>
      </c>
      <c r="N663">
        <v>0</v>
      </c>
      <c r="P663">
        <f t="shared" ref="P663" si="210">MAX(L663,M664,N665)/MIN(L663,M664,N665)</f>
        <v>77.784722012998088</v>
      </c>
    </row>
    <row r="664" spans="1:16">
      <c r="A664" s="170" t="s">
        <v>379</v>
      </c>
      <c r="B664" s="171">
        <v>-2.8449497700634536</v>
      </c>
      <c r="C664" s="171">
        <v>-0.22852225552422287</v>
      </c>
      <c r="D664" s="171">
        <v>-6.9737163040410666E-2</v>
      </c>
      <c r="E664" s="170">
        <v>0</v>
      </c>
      <c r="F664" s="170">
        <f>-$L$1</f>
        <v>-1.4990492230334603E-2</v>
      </c>
      <c r="G664" s="171">
        <v>0</v>
      </c>
      <c r="H664" s="171">
        <v>0</v>
      </c>
      <c r="I664" s="177">
        <f>-$N$1</f>
        <v>-4.7716218756768064E-3</v>
      </c>
      <c r="J664" s="170">
        <v>0</v>
      </c>
      <c r="L664">
        <v>0</v>
      </c>
      <c r="M664">
        <v>1.4700535070089573</v>
      </c>
      <c r="N664">
        <v>0</v>
      </c>
    </row>
    <row r="665" spans="1:16">
      <c r="A665" s="170"/>
      <c r="B665" s="171">
        <v>-2.4772611105726599</v>
      </c>
      <c r="C665" s="171">
        <v>1.0605572692523213</v>
      </c>
      <c r="D665" s="171">
        <v>3.9812674620544719E-2</v>
      </c>
      <c r="E665" s="170">
        <v>0</v>
      </c>
      <c r="F665" s="171">
        <v>0</v>
      </c>
      <c r="G665" s="170">
        <f>-$L$1</f>
        <v>-1.4990492230334603E-2</v>
      </c>
      <c r="H665" s="171">
        <v>0</v>
      </c>
      <c r="I665" s="171">
        <v>0</v>
      </c>
      <c r="J665" s="177">
        <f>-$N$1</f>
        <v>-4.7716218756768064E-3</v>
      </c>
      <c r="L665">
        <v>0</v>
      </c>
      <c r="M665">
        <v>0</v>
      </c>
      <c r="N665">
        <v>4.9099217226503233E-2</v>
      </c>
    </row>
    <row r="666" spans="1:16">
      <c r="A666" s="170"/>
      <c r="B666" s="171"/>
      <c r="C666" s="171"/>
      <c r="D666" s="171"/>
      <c r="E666" s="170"/>
      <c r="F666" s="170"/>
      <c r="G666" s="170"/>
      <c r="H666" s="170"/>
      <c r="I666" s="170"/>
      <c r="J666" s="170"/>
    </row>
    <row r="667" spans="1:16">
      <c r="A667" s="170"/>
      <c r="B667" s="171">
        <v>-0.40019020491700363</v>
      </c>
      <c r="C667" s="171">
        <v>-1.0840062473010013</v>
      </c>
      <c r="D667" s="171">
        <v>-1.6840506224230944E-2</v>
      </c>
      <c r="E667" s="170">
        <f>-$L$1</f>
        <v>-1.4990492230334603E-2</v>
      </c>
      <c r="F667" s="171">
        <v>0</v>
      </c>
      <c r="G667" s="171">
        <v>0</v>
      </c>
      <c r="H667" s="177">
        <f>-$N$1</f>
        <v>-4.7716218756768064E-3</v>
      </c>
      <c r="I667" s="170">
        <v>0</v>
      </c>
      <c r="J667" s="170">
        <v>0</v>
      </c>
      <c r="L667">
        <f t="array" ref="L667:N669">SVDD(B667:D669)</f>
        <v>3.0004113272618786</v>
      </c>
      <c r="M667">
        <v>0</v>
      </c>
      <c r="N667">
        <v>0</v>
      </c>
      <c r="P667">
        <f t="shared" ref="P667" si="211">MAX(L667,M668,N669)/MIN(L667,M668,N669)</f>
        <v>190.43474137765517</v>
      </c>
    </row>
    <row r="668" spans="1:16">
      <c r="A668" s="170" t="s">
        <v>380</v>
      </c>
      <c r="B668" s="171">
        <v>-2.8449497700634536</v>
      </c>
      <c r="C668" s="171">
        <v>-0.22852225552422287</v>
      </c>
      <c r="D668" s="171">
        <v>-6.9737163040410666E-2</v>
      </c>
      <c r="E668" s="170">
        <v>0</v>
      </c>
      <c r="F668" s="170">
        <f>-$L$1</f>
        <v>-1.4990492230334603E-2</v>
      </c>
      <c r="G668" s="171">
        <v>0</v>
      </c>
      <c r="H668" s="171">
        <v>0</v>
      </c>
      <c r="I668" s="177">
        <f>-$N$1</f>
        <v>-4.7716218756768064E-3</v>
      </c>
      <c r="J668" s="170">
        <v>0</v>
      </c>
      <c r="L668">
        <v>0</v>
      </c>
      <c r="M668">
        <v>1.5183988979938086</v>
      </c>
      <c r="N668">
        <v>0</v>
      </c>
    </row>
    <row r="669" spans="1:16">
      <c r="A669" s="170"/>
      <c r="B669" s="171">
        <v>-0.85843073718374274</v>
      </c>
      <c r="C669" s="171">
        <v>1.040962775001312</v>
      </c>
      <c r="D669" s="171">
        <v>-3.7610117674176324E-2</v>
      </c>
      <c r="E669" s="170">
        <v>0</v>
      </c>
      <c r="F669" s="171">
        <v>0</v>
      </c>
      <c r="G669" s="170">
        <f>-$L$1</f>
        <v>-1.4990492230334603E-2</v>
      </c>
      <c r="H669" s="171">
        <v>0</v>
      </c>
      <c r="I669" s="171">
        <v>0</v>
      </c>
      <c r="J669" s="177">
        <f>-$N$1</f>
        <v>-4.7716218756768064E-3</v>
      </c>
      <c r="L669">
        <v>0</v>
      </c>
      <c r="M669">
        <v>0</v>
      </c>
      <c r="N669">
        <v>1.5755588006453609E-2</v>
      </c>
    </row>
    <row r="670" spans="1:16">
      <c r="A670" s="170"/>
      <c r="B670" s="171"/>
      <c r="C670" s="171"/>
      <c r="D670" s="171"/>
      <c r="E670" s="170"/>
      <c r="F670" s="170"/>
      <c r="G670" s="170"/>
      <c r="H670" s="170"/>
      <c r="I670" s="170"/>
      <c r="J670" s="170"/>
    </row>
    <row r="671" spans="1:16">
      <c r="A671" s="170"/>
      <c r="B671" s="171">
        <v>-0.40019020491700363</v>
      </c>
      <c r="C671" s="171">
        <v>-1.0840062473010013</v>
      </c>
      <c r="D671" s="171">
        <v>-1.6840506224230944E-2</v>
      </c>
      <c r="E671" s="170">
        <f>-$L$1</f>
        <v>-1.4990492230334603E-2</v>
      </c>
      <c r="F671" s="171">
        <v>0</v>
      </c>
      <c r="G671" s="171">
        <v>0</v>
      </c>
      <c r="H671" s="177">
        <f>-$N$1</f>
        <v>-4.7716218756768064E-3</v>
      </c>
      <c r="I671" s="170">
        <v>0</v>
      </c>
      <c r="J671" s="170">
        <v>0</v>
      </c>
      <c r="L671">
        <f t="array" ref="L671:N673">SVDD(B671:D673)</f>
        <v>3.2696873343647042</v>
      </c>
      <c r="M671">
        <v>0</v>
      </c>
      <c r="N671">
        <v>0</v>
      </c>
      <c r="P671">
        <f t="shared" ref="P671" si="212">MAX(L671,M672,N673)/MIN(L671,M672,N673)</f>
        <v>8.9880513431210201</v>
      </c>
    </row>
    <row r="672" spans="1:16">
      <c r="A672" s="170" t="s">
        <v>381</v>
      </c>
      <c r="B672" s="171">
        <v>-2.8449497700634536</v>
      </c>
      <c r="C672" s="171">
        <v>-0.22852225552422287</v>
      </c>
      <c r="D672" s="171">
        <v>-6.9737163040410666E-2</v>
      </c>
      <c r="E672" s="170">
        <v>0</v>
      </c>
      <c r="F672" s="170">
        <f>-$L$1</f>
        <v>-1.4990492230334603E-2</v>
      </c>
      <c r="G672" s="171">
        <v>0</v>
      </c>
      <c r="H672" s="171">
        <v>0</v>
      </c>
      <c r="I672" s="177">
        <f>-$N$1</f>
        <v>-4.7716218756768064E-3</v>
      </c>
      <c r="J672" s="170">
        <v>0</v>
      </c>
      <c r="L672">
        <v>0</v>
      </c>
      <c r="M672">
        <v>1.7593419778759418</v>
      </c>
      <c r="N672">
        <v>0</v>
      </c>
    </row>
    <row r="673" spans="1:16">
      <c r="A673" s="170"/>
      <c r="B673" s="171">
        <v>-1.4675604394566215</v>
      </c>
      <c r="C673" s="171">
        <v>1.3235781323919831</v>
      </c>
      <c r="D673" s="171">
        <v>-0.72564008456612294</v>
      </c>
      <c r="E673" s="170">
        <v>0</v>
      </c>
      <c r="F673" s="171">
        <v>0</v>
      </c>
      <c r="G673" s="170">
        <f>-$L$1</f>
        <v>-1.4990492230334603E-2</v>
      </c>
      <c r="H673" s="171">
        <v>0</v>
      </c>
      <c r="I673" s="171">
        <v>0</v>
      </c>
      <c r="J673" s="177">
        <f>-$N$1</f>
        <v>-4.7716218756768064E-3</v>
      </c>
      <c r="L673">
        <v>0</v>
      </c>
      <c r="M673">
        <v>0</v>
      </c>
      <c r="N673">
        <v>0.36378155948865937</v>
      </c>
    </row>
    <row r="674" spans="1:16">
      <c r="A674" s="170"/>
      <c r="B674" s="171"/>
      <c r="C674" s="171"/>
      <c r="D674" s="171"/>
      <c r="E674" s="170"/>
      <c r="F674" s="170"/>
      <c r="G674" s="170"/>
      <c r="H674" s="170"/>
      <c r="I674" s="170"/>
      <c r="J674" s="170"/>
    </row>
    <row r="675" spans="1:16">
      <c r="A675" s="170"/>
      <c r="B675" s="171">
        <v>-0.40019020491700363</v>
      </c>
      <c r="C675" s="171">
        <v>-1.0840062473010013</v>
      </c>
      <c r="D675" s="171">
        <v>-1.6840506224230944E-2</v>
      </c>
      <c r="E675" s="170">
        <f>-$L$1</f>
        <v>-1.4990492230334603E-2</v>
      </c>
      <c r="F675" s="171">
        <v>0</v>
      </c>
      <c r="G675" s="171">
        <v>0</v>
      </c>
      <c r="H675" s="177">
        <f>-$N$1</f>
        <v>-4.7716218756768064E-3</v>
      </c>
      <c r="I675" s="170">
        <v>0</v>
      </c>
      <c r="J675" s="170">
        <v>0</v>
      </c>
      <c r="L675">
        <f t="array" ref="L675:N677">SVDD(B675:D677)</f>
        <v>2.9657008797877782</v>
      </c>
      <c r="M675">
        <v>0</v>
      </c>
      <c r="N675">
        <v>0</v>
      </c>
      <c r="P675">
        <f t="shared" ref="P675" si="213">MAX(L675,M676,N677)/MIN(L675,M676,N677)</f>
        <v>56.386053470483816</v>
      </c>
    </row>
    <row r="676" spans="1:16">
      <c r="A676" s="170" t="s">
        <v>382</v>
      </c>
      <c r="B676" s="171">
        <v>-2.4772611105726599</v>
      </c>
      <c r="C676" s="171">
        <v>1.0605572692523213</v>
      </c>
      <c r="D676" s="171">
        <v>3.9812674620544719E-2</v>
      </c>
      <c r="E676" s="170">
        <v>0</v>
      </c>
      <c r="F676" s="170">
        <f>-$L$1</f>
        <v>-1.4990492230334603E-2</v>
      </c>
      <c r="G676" s="171">
        <v>0</v>
      </c>
      <c r="H676" s="171">
        <v>0</v>
      </c>
      <c r="I676" s="177">
        <f>-$N$1</f>
        <v>-4.7716218756768064E-3</v>
      </c>
      <c r="J676" s="170">
        <v>0</v>
      </c>
      <c r="L676">
        <v>0</v>
      </c>
      <c r="M676">
        <v>1.273761356313633</v>
      </c>
      <c r="N676">
        <v>0</v>
      </c>
    </row>
    <row r="677" spans="1:16">
      <c r="A677" s="170"/>
      <c r="B677" s="171">
        <v>-0.85843073718374274</v>
      </c>
      <c r="C677" s="171">
        <v>1.040962775001312</v>
      </c>
      <c r="D677" s="171">
        <v>-3.7610117674176324E-2</v>
      </c>
      <c r="E677" s="170">
        <v>0</v>
      </c>
      <c r="F677" s="171">
        <v>0</v>
      </c>
      <c r="G677" s="170">
        <f>-$L$1</f>
        <v>-1.4990492230334603E-2</v>
      </c>
      <c r="H677" s="171">
        <v>0</v>
      </c>
      <c r="I677" s="171">
        <v>0</v>
      </c>
      <c r="J677" s="177">
        <f>-$N$1</f>
        <v>-4.7716218756768064E-3</v>
      </c>
      <c r="L677">
        <v>0</v>
      </c>
      <c r="M677">
        <v>0</v>
      </c>
      <c r="N677">
        <v>5.2596354900777402E-2</v>
      </c>
    </row>
    <row r="678" spans="1:16">
      <c r="A678" s="170"/>
      <c r="B678" s="171"/>
      <c r="C678" s="171"/>
      <c r="D678" s="171"/>
      <c r="E678" s="170"/>
      <c r="F678" s="170"/>
      <c r="G678" s="170"/>
      <c r="H678" s="170"/>
      <c r="I678" s="170"/>
      <c r="J678" s="170"/>
    </row>
    <row r="679" spans="1:16">
      <c r="A679" s="170"/>
      <c r="B679" s="171">
        <v>-0.40019020491700363</v>
      </c>
      <c r="C679" s="171">
        <v>-1.0840062473010013</v>
      </c>
      <c r="D679" s="171">
        <v>-1.6840506224230944E-2</v>
      </c>
      <c r="E679" s="170">
        <f>-$L$1</f>
        <v>-1.4990492230334603E-2</v>
      </c>
      <c r="F679" s="171">
        <v>0</v>
      </c>
      <c r="G679" s="171">
        <v>0</v>
      </c>
      <c r="H679" s="177">
        <f>-$N$1</f>
        <v>-4.7716218756768064E-3</v>
      </c>
      <c r="I679" s="170">
        <v>0</v>
      </c>
      <c r="J679" s="170">
        <v>0</v>
      </c>
      <c r="L679">
        <f t="array" ref="L679:N681">SVDD(B679:D681)</f>
        <v>3.3309228431412232</v>
      </c>
      <c r="M679">
        <v>0</v>
      </c>
      <c r="N679">
        <v>0</v>
      </c>
      <c r="P679">
        <f t="shared" ref="P679" si="214">MAX(L679,M680,N681)/MIN(L679,M680,N681)</f>
        <v>5.9659507309582951</v>
      </c>
    </row>
    <row r="680" spans="1:16">
      <c r="A680" s="170" t="s">
        <v>383</v>
      </c>
      <c r="B680" s="171">
        <v>-2.4772611105726599</v>
      </c>
      <c r="C680" s="171">
        <v>1.0605572692523213</v>
      </c>
      <c r="D680" s="171">
        <v>3.9812674620544719E-2</v>
      </c>
      <c r="E680" s="170">
        <v>0</v>
      </c>
      <c r="F680" s="170">
        <f>-$L$1</f>
        <v>-1.4990492230334603E-2</v>
      </c>
      <c r="G680" s="171">
        <v>0</v>
      </c>
      <c r="H680" s="171">
        <v>0</v>
      </c>
      <c r="I680" s="177">
        <f>-$N$1</f>
        <v>-4.7716218756768064E-3</v>
      </c>
      <c r="J680" s="170">
        <v>0</v>
      </c>
      <c r="L680">
        <v>0</v>
      </c>
      <c r="M680">
        <v>1.274390163906169</v>
      </c>
      <c r="N680">
        <v>0</v>
      </c>
    </row>
    <row r="681" spans="1:16">
      <c r="A681" s="170"/>
      <c r="B681" s="171">
        <v>-1.4675604394566215</v>
      </c>
      <c r="C681" s="171">
        <v>1.3235781323919831</v>
      </c>
      <c r="D681" s="171">
        <v>-0.72564008456612294</v>
      </c>
      <c r="E681" s="170">
        <v>0</v>
      </c>
      <c r="F681" s="171">
        <v>0</v>
      </c>
      <c r="G681" s="170">
        <f>-$L$1</f>
        <v>-1.4990492230334603E-2</v>
      </c>
      <c r="H681" s="171">
        <v>0</v>
      </c>
      <c r="I681" s="171">
        <v>0</v>
      </c>
      <c r="J681" s="177">
        <f>-$N$1</f>
        <v>-4.7716218756768064E-3</v>
      </c>
      <c r="L681">
        <v>0</v>
      </c>
      <c r="M681">
        <v>0</v>
      </c>
      <c r="N681">
        <v>0.55832221775760216</v>
      </c>
    </row>
    <row r="682" spans="1:16">
      <c r="A682" s="170"/>
      <c r="B682" s="171"/>
      <c r="C682" s="171"/>
      <c r="D682" s="171"/>
      <c r="E682" s="170"/>
      <c r="F682" s="170"/>
      <c r="G682" s="170"/>
      <c r="H682" s="170"/>
      <c r="I682" s="170"/>
      <c r="J682" s="170"/>
    </row>
    <row r="683" spans="1:16">
      <c r="A683" s="170"/>
      <c r="B683" s="171">
        <v>-0.40019020491700363</v>
      </c>
      <c r="C683" s="171">
        <v>-1.0840062473010013</v>
      </c>
      <c r="D683" s="171">
        <v>-1.6840506224230944E-2</v>
      </c>
      <c r="E683" s="170">
        <f>-$L$1</f>
        <v>-1.4990492230334603E-2</v>
      </c>
      <c r="F683" s="171">
        <v>0</v>
      </c>
      <c r="G683" s="171">
        <v>0</v>
      </c>
      <c r="H683" s="177">
        <f>-$N$1</f>
        <v>-4.7716218756768064E-3</v>
      </c>
      <c r="I683" s="170">
        <v>0</v>
      </c>
      <c r="J683" s="170">
        <v>0</v>
      </c>
      <c r="L683">
        <f t="array" ref="L683:N685">SVDD(B683:D685)</f>
        <v>2.5192734950938114</v>
      </c>
      <c r="M683">
        <v>0</v>
      </c>
      <c r="N683">
        <v>0</v>
      </c>
      <c r="P683">
        <f t="shared" ref="P683" si="215">MAX(L683,M684,N685)/MIN(L683,M684,N685)</f>
        <v>7.5782362388487288</v>
      </c>
    </row>
    <row r="684" spans="1:16">
      <c r="A684" s="170" t="s">
        <v>384</v>
      </c>
      <c r="B684" s="171">
        <v>-0.85843073718374274</v>
      </c>
      <c r="C684" s="171">
        <v>1.040962775001312</v>
      </c>
      <c r="D684" s="171">
        <v>-3.7610117674176324E-2</v>
      </c>
      <c r="E684" s="170">
        <v>0</v>
      </c>
      <c r="F684" s="170">
        <f>-$L$1</f>
        <v>-1.4990492230334603E-2</v>
      </c>
      <c r="G684" s="171">
        <v>0</v>
      </c>
      <c r="H684" s="171">
        <v>0</v>
      </c>
      <c r="I684" s="177">
        <f>-$N$1</f>
        <v>-4.7716218756768064E-3</v>
      </c>
      <c r="J684" s="170">
        <v>0</v>
      </c>
      <c r="L684">
        <v>0</v>
      </c>
      <c r="M684">
        <v>1.0641056109940419</v>
      </c>
      <c r="N684">
        <v>0</v>
      </c>
    </row>
    <row r="685" spans="1:16">
      <c r="A685" s="170"/>
      <c r="B685" s="171">
        <v>-1.4675604394566215</v>
      </c>
      <c r="C685" s="171">
        <v>1.3235781323919831</v>
      </c>
      <c r="D685" s="171">
        <v>-0.72564008456612294</v>
      </c>
      <c r="E685" s="170">
        <v>0</v>
      </c>
      <c r="F685" s="171">
        <v>0</v>
      </c>
      <c r="G685" s="170">
        <f>-$L$1</f>
        <v>-1.4990492230334603E-2</v>
      </c>
      <c r="H685" s="171">
        <v>0</v>
      </c>
      <c r="I685" s="171">
        <v>0</v>
      </c>
      <c r="J685" s="177">
        <f>-$N$1</f>
        <v>-4.7716218756768064E-3</v>
      </c>
      <c r="L685">
        <v>0</v>
      </c>
      <c r="M685">
        <v>0</v>
      </c>
      <c r="N685">
        <v>0.33243533398696667</v>
      </c>
    </row>
    <row r="686" spans="1:16">
      <c r="A686" s="170"/>
      <c r="B686" s="171"/>
      <c r="C686" s="171"/>
      <c r="D686" s="171"/>
      <c r="E686" s="170"/>
      <c r="F686" s="170"/>
      <c r="G686" s="170"/>
      <c r="H686" s="170"/>
      <c r="I686" s="170"/>
      <c r="J686" s="170"/>
    </row>
    <row r="687" spans="1:16">
      <c r="A687" s="170"/>
      <c r="B687" s="171">
        <v>-2.8449497700634536</v>
      </c>
      <c r="C687" s="171">
        <v>-0.22852225552422287</v>
      </c>
      <c r="D687" s="171">
        <v>-6.9737163040410666E-2</v>
      </c>
      <c r="E687" s="170">
        <f>-$L$1</f>
        <v>-1.4990492230334603E-2</v>
      </c>
      <c r="F687" s="171">
        <v>0</v>
      </c>
      <c r="G687" s="171">
        <v>0</v>
      </c>
      <c r="H687" s="177">
        <f>-$N$1</f>
        <v>-4.7716218756768064E-3</v>
      </c>
      <c r="I687" s="170">
        <v>0</v>
      </c>
      <c r="J687" s="170">
        <v>0</v>
      </c>
      <c r="L687">
        <f t="array" ref="L687:N689">SVDD(B687:D689)</f>
        <v>3.9480281808906286</v>
      </c>
      <c r="M687">
        <v>0</v>
      </c>
      <c r="N687">
        <v>0</v>
      </c>
      <c r="P687">
        <f t="shared" ref="P687" si="216">MAX(L687,M688,N689)/MIN(L687,M688,N689)</f>
        <v>53.026975700344195</v>
      </c>
    </row>
    <row r="688" spans="1:16">
      <c r="A688" s="170" t="s">
        <v>385</v>
      </c>
      <c r="B688" s="171">
        <v>-2.4772611105726599</v>
      </c>
      <c r="C688" s="171">
        <v>1.0605572692523213</v>
      </c>
      <c r="D688" s="171">
        <v>3.9812674620544719E-2</v>
      </c>
      <c r="E688" s="170">
        <v>0</v>
      </c>
      <c r="F688" s="170">
        <f>-$L$1</f>
        <v>-1.4990492230334603E-2</v>
      </c>
      <c r="G688" s="171">
        <v>0</v>
      </c>
      <c r="H688" s="171">
        <v>0</v>
      </c>
      <c r="I688" s="177">
        <f>-$N$1</f>
        <v>-4.7716218756768064E-3</v>
      </c>
      <c r="J688" s="170">
        <v>0</v>
      </c>
      <c r="L688">
        <v>0</v>
      </c>
      <c r="M688">
        <v>1.2819773093336515</v>
      </c>
      <c r="N688">
        <v>0</v>
      </c>
    </row>
    <row r="689" spans="1:16">
      <c r="A689" s="170"/>
      <c r="B689" s="171">
        <v>-0.85843073718374274</v>
      </c>
      <c r="C689" s="171">
        <v>1.040962775001312</v>
      </c>
      <c r="D689" s="171">
        <v>-3.7610117674176324E-2</v>
      </c>
      <c r="E689" s="170">
        <v>0</v>
      </c>
      <c r="F689" s="171">
        <v>0</v>
      </c>
      <c r="G689" s="170">
        <f>-$L$1</f>
        <v>-1.4990492230334603E-2</v>
      </c>
      <c r="H689" s="171">
        <v>0</v>
      </c>
      <c r="I689" s="171">
        <v>0</v>
      </c>
      <c r="J689" s="177">
        <f>-$N$1</f>
        <v>-4.7716218756768064E-3</v>
      </c>
      <c r="L689">
        <v>0</v>
      </c>
      <c r="M689">
        <v>0</v>
      </c>
      <c r="N689">
        <v>7.445320289810535E-2</v>
      </c>
    </row>
    <row r="690" spans="1:16">
      <c r="A690" s="170"/>
      <c r="B690" s="171"/>
      <c r="C690" s="171"/>
      <c r="D690" s="171"/>
      <c r="E690" s="170"/>
      <c r="F690" s="170"/>
      <c r="G690" s="170"/>
      <c r="H690" s="170"/>
      <c r="I690" s="170"/>
      <c r="J690" s="170"/>
    </row>
    <row r="691" spans="1:16">
      <c r="A691" s="170"/>
      <c r="B691" s="171">
        <v>-2.8449497700634536</v>
      </c>
      <c r="C691" s="171">
        <v>-0.22852225552422287</v>
      </c>
      <c r="D691" s="171">
        <v>-6.9737163040410666E-2</v>
      </c>
      <c r="E691" s="170">
        <f>-$L$1</f>
        <v>-1.4990492230334603E-2</v>
      </c>
      <c r="F691" s="171">
        <v>0</v>
      </c>
      <c r="G691" s="171">
        <v>0</v>
      </c>
      <c r="H691" s="177">
        <f>-$N$1</f>
        <v>-4.7716218756768064E-3</v>
      </c>
      <c r="I691" s="170">
        <v>0</v>
      </c>
      <c r="J691" s="170">
        <v>0</v>
      </c>
      <c r="L691">
        <f t="array" ref="L691:N693">SVDD(B691:D693)</f>
        <v>4.1894577685528418</v>
      </c>
      <c r="M691">
        <v>0</v>
      </c>
      <c r="N691">
        <v>0</v>
      </c>
      <c r="P691">
        <f t="shared" ref="P691" si="217">MAX(L691,M692,N693)/MIN(L691,M692,N693)</f>
        <v>8.7470632700269135</v>
      </c>
    </row>
    <row r="692" spans="1:16">
      <c r="A692" s="170" t="s">
        <v>386</v>
      </c>
      <c r="B692" s="171">
        <v>-2.4772611105726599</v>
      </c>
      <c r="C692" s="171">
        <v>1.0605572692523213</v>
      </c>
      <c r="D692" s="171">
        <v>3.9812674620544719E-2</v>
      </c>
      <c r="E692" s="170">
        <v>0</v>
      </c>
      <c r="F692" s="170">
        <f>-$L$1</f>
        <v>-1.4990492230334603E-2</v>
      </c>
      <c r="G692" s="171">
        <v>0</v>
      </c>
      <c r="H692" s="171">
        <v>0</v>
      </c>
      <c r="I692" s="177">
        <f>-$N$1</f>
        <v>-4.7716218756768064E-3</v>
      </c>
      <c r="J692" s="170">
        <v>0</v>
      </c>
      <c r="L692">
        <v>0</v>
      </c>
      <c r="M692">
        <v>1.4370822331022506</v>
      </c>
      <c r="N692">
        <v>0</v>
      </c>
    </row>
    <row r="693" spans="1:16">
      <c r="A693" s="170"/>
      <c r="B693" s="171">
        <v>-1.4675604394566215</v>
      </c>
      <c r="C693" s="171">
        <v>1.3235781323919831</v>
      </c>
      <c r="D693" s="171">
        <v>-0.72564008456612294</v>
      </c>
      <c r="E693" s="170">
        <v>0</v>
      </c>
      <c r="F693" s="171">
        <v>0</v>
      </c>
      <c r="G693" s="170">
        <f>-$L$1</f>
        <v>-1.4990492230334603E-2</v>
      </c>
      <c r="H693" s="171">
        <v>0</v>
      </c>
      <c r="I693" s="171">
        <v>0</v>
      </c>
      <c r="J693" s="177">
        <f>-$N$1</f>
        <v>-4.7716218756768064E-3</v>
      </c>
      <c r="L693">
        <v>0</v>
      </c>
      <c r="M693">
        <v>0</v>
      </c>
      <c r="N693">
        <v>0.47895592374513041</v>
      </c>
    </row>
    <row r="694" spans="1:16">
      <c r="A694" s="170"/>
      <c r="B694" s="171"/>
      <c r="C694" s="171"/>
      <c r="D694" s="171"/>
      <c r="E694" s="170"/>
      <c r="F694" s="170"/>
      <c r="G694" s="170"/>
      <c r="H694" s="170"/>
      <c r="I694" s="170"/>
      <c r="J694" s="170"/>
    </row>
    <row r="695" spans="1:16">
      <c r="A695" s="170"/>
      <c r="B695" s="171">
        <v>-2.8449497700634536</v>
      </c>
      <c r="C695" s="171">
        <v>-0.22852225552422287</v>
      </c>
      <c r="D695" s="171">
        <v>-6.9737163040410666E-2</v>
      </c>
      <c r="E695" s="170">
        <f>-$L$1</f>
        <v>-1.4990492230334603E-2</v>
      </c>
      <c r="F695" s="171">
        <v>0</v>
      </c>
      <c r="G695" s="171">
        <v>0</v>
      </c>
      <c r="H695" s="177">
        <f>-$N$1</f>
        <v>-4.7716218756768064E-3</v>
      </c>
      <c r="I695" s="170">
        <v>0</v>
      </c>
      <c r="J695" s="170">
        <v>0</v>
      </c>
      <c r="L695">
        <f t="array" ref="L695:N697">SVDD(B695:D697)</f>
        <v>3.4260219730339339</v>
      </c>
      <c r="M695">
        <v>0</v>
      </c>
      <c r="N695">
        <v>0</v>
      </c>
      <c r="P695">
        <f t="shared" ref="P695" si="218">MAX(L695,M696,N697)/MIN(L695,M696,N697)</f>
        <v>8.8256455143170687</v>
      </c>
    </row>
    <row r="696" spans="1:16">
      <c r="A696" s="170" t="s">
        <v>387</v>
      </c>
      <c r="B696" s="171">
        <v>-0.85843073718374274</v>
      </c>
      <c r="C696" s="171">
        <v>1.040962775001312</v>
      </c>
      <c r="D696" s="171">
        <v>-3.7610117674176324E-2</v>
      </c>
      <c r="E696" s="170">
        <v>0</v>
      </c>
      <c r="F696" s="170">
        <f>-$L$1</f>
        <v>-1.4990492230334603E-2</v>
      </c>
      <c r="G696" s="171">
        <v>0</v>
      </c>
      <c r="H696" s="171">
        <v>0</v>
      </c>
      <c r="I696" s="177">
        <f>-$N$1</f>
        <v>-4.7716218756768064E-3</v>
      </c>
      <c r="J696" s="170">
        <v>0</v>
      </c>
      <c r="L696">
        <v>0</v>
      </c>
      <c r="M696">
        <v>1.5863716215802615</v>
      </c>
      <c r="N696">
        <v>0</v>
      </c>
    </row>
    <row r="697" spans="1:16">
      <c r="A697" s="170"/>
      <c r="B697" s="171">
        <v>-1.4675604394566215</v>
      </c>
      <c r="C697" s="171">
        <v>1.3235781323919831</v>
      </c>
      <c r="D697" s="171">
        <v>-0.72564008456612294</v>
      </c>
      <c r="E697" s="170">
        <v>0</v>
      </c>
      <c r="F697" s="171">
        <v>0</v>
      </c>
      <c r="G697" s="170">
        <f>-$L$1</f>
        <v>-1.4990492230334603E-2</v>
      </c>
      <c r="H697" s="171">
        <v>0</v>
      </c>
      <c r="I697" s="171">
        <v>0</v>
      </c>
      <c r="J697" s="177">
        <f>-$N$1</f>
        <v>-4.7716218756768064E-3</v>
      </c>
      <c r="L697">
        <v>0</v>
      </c>
      <c r="M697">
        <v>0</v>
      </c>
      <c r="N697">
        <v>0.38818939277316311</v>
      </c>
    </row>
    <row r="698" spans="1:16">
      <c r="A698" s="170"/>
      <c r="B698" s="171"/>
      <c r="C698" s="171"/>
      <c r="D698" s="171"/>
      <c r="E698" s="170"/>
      <c r="F698" s="170"/>
      <c r="G698" s="170"/>
      <c r="H698" s="170"/>
      <c r="I698" s="170"/>
      <c r="J698" s="170"/>
    </row>
    <row r="699" spans="1:16">
      <c r="A699" s="170"/>
      <c r="B699" s="171">
        <v>-2.4772611105726599</v>
      </c>
      <c r="C699" s="171">
        <v>1.0605572692523213</v>
      </c>
      <c r="D699" s="171">
        <v>3.9812674620544719E-2</v>
      </c>
      <c r="E699" s="170">
        <f>-$L$1</f>
        <v>-1.4990492230334603E-2</v>
      </c>
      <c r="F699" s="171">
        <v>0</v>
      </c>
      <c r="G699" s="171">
        <v>0</v>
      </c>
      <c r="H699" s="177">
        <f>-$N$1</f>
        <v>-4.7716218756768064E-3</v>
      </c>
      <c r="I699" s="170">
        <v>0</v>
      </c>
      <c r="J699" s="170">
        <v>0</v>
      </c>
      <c r="L699">
        <f t="array" ref="L699:N701">SVDD(B699:D701)</f>
        <v>3.5591852842515079</v>
      </c>
      <c r="M699">
        <v>0</v>
      </c>
      <c r="N699">
        <v>0</v>
      </c>
      <c r="P699">
        <f t="shared" ref="P699" si="219">MAX(L699,M700,N701)/MIN(L699,M700,N701)</f>
        <v>9.1035115127969473</v>
      </c>
    </row>
    <row r="700" spans="1:16">
      <c r="A700" s="170" t="s">
        <v>388</v>
      </c>
      <c r="B700" s="171">
        <v>-0.85843073718374274</v>
      </c>
      <c r="C700" s="171">
        <v>1.040962775001312</v>
      </c>
      <c r="D700" s="171">
        <v>-3.7610117674176324E-2</v>
      </c>
      <c r="E700" s="170">
        <v>0</v>
      </c>
      <c r="F700" s="170">
        <f>-$L$1</f>
        <v>-1.4990492230334603E-2</v>
      </c>
      <c r="G700" s="171">
        <v>0</v>
      </c>
      <c r="H700" s="171">
        <v>0</v>
      </c>
      <c r="I700" s="177">
        <f>-$N$1</f>
        <v>-4.7716218756768064E-3</v>
      </c>
      <c r="J700" s="170">
        <v>0</v>
      </c>
      <c r="L700">
        <v>0</v>
      </c>
      <c r="M700">
        <v>0.83462614726003892</v>
      </c>
      <c r="N700">
        <v>0</v>
      </c>
    </row>
    <row r="701" spans="1:16">
      <c r="A701" s="170"/>
      <c r="B701" s="171">
        <v>-1.4675604394566215</v>
      </c>
      <c r="C701" s="171">
        <v>1.3235781323919831</v>
      </c>
      <c r="D701" s="171">
        <v>-0.72564008456612294</v>
      </c>
      <c r="E701" s="170">
        <v>0</v>
      </c>
      <c r="F701" s="171">
        <v>0</v>
      </c>
      <c r="G701" s="170">
        <f>-$L$1</f>
        <v>-1.4990492230334603E-2</v>
      </c>
      <c r="H701" s="171">
        <v>0</v>
      </c>
      <c r="I701" s="171">
        <v>0</v>
      </c>
      <c r="J701" s="177">
        <f>-$N$1</f>
        <v>-4.7716218756768064E-3</v>
      </c>
      <c r="L701">
        <v>0</v>
      </c>
      <c r="M701">
        <v>0</v>
      </c>
      <c r="N701">
        <v>0.39096839491533636</v>
      </c>
    </row>
    <row r="702" spans="1:16">
      <c r="A702" s="170"/>
      <c r="B702" s="171"/>
      <c r="C702" s="171"/>
      <c r="D702" s="171"/>
      <c r="E702" s="170"/>
      <c r="F702" s="170"/>
      <c r="G702" s="170"/>
      <c r="H702" s="170"/>
      <c r="I702" s="170"/>
      <c r="J702" s="170"/>
    </row>
    <row r="703" spans="1:16">
      <c r="A703" s="170"/>
      <c r="B703" s="171">
        <v>1.0351585166444348</v>
      </c>
      <c r="C703" s="171">
        <v>-2.1037449841221099</v>
      </c>
      <c r="D703" s="171">
        <v>-0.82913701269133588</v>
      </c>
      <c r="E703" s="170">
        <f>-$L$1</f>
        <v>-1.4990492230334603E-2</v>
      </c>
      <c r="F703" s="171">
        <v>0</v>
      </c>
      <c r="G703" s="171">
        <v>0</v>
      </c>
      <c r="H703" s="177">
        <f>-$N$1</f>
        <v>-4.7716218756768064E-3</v>
      </c>
      <c r="I703" s="170">
        <v>0</v>
      </c>
      <c r="J703" s="170">
        <v>0</v>
      </c>
      <c r="L703">
        <f t="array" ref="L703:N705">SVDD(B703:D705)</f>
        <v>4.1488931378959277</v>
      </c>
      <c r="M703">
        <v>0</v>
      </c>
      <c r="N703">
        <v>0</v>
      </c>
      <c r="P703">
        <f t="shared" ref="P703" si="220">MAX(L703,M704,N705)/MIN(L703,M704,N705)</f>
        <v>6.7459428276848676</v>
      </c>
    </row>
    <row r="704" spans="1:16">
      <c r="A704" s="170" t="s">
        <v>389</v>
      </c>
      <c r="B704" s="171">
        <v>-0.21871711292247331</v>
      </c>
      <c r="C704" s="171">
        <v>-2.1363371502498802</v>
      </c>
      <c r="D704" s="171">
        <v>-8.9790398854103559E-2</v>
      </c>
      <c r="E704" s="170">
        <v>0</v>
      </c>
      <c r="F704" s="170">
        <f>-$L$1</f>
        <v>-1.4990492230334603E-2</v>
      </c>
      <c r="G704" s="171">
        <v>0</v>
      </c>
      <c r="H704" s="171">
        <v>0</v>
      </c>
      <c r="I704" s="177">
        <f>-$N$1</f>
        <v>-4.7716218756768064E-3</v>
      </c>
      <c r="J704" s="170">
        <v>0</v>
      </c>
      <c r="L704">
        <v>0</v>
      </c>
      <c r="M704">
        <v>1.459322284326841</v>
      </c>
      <c r="N704">
        <v>0</v>
      </c>
    </row>
    <row r="705" spans="1:16">
      <c r="A705" s="170"/>
      <c r="B705" s="171">
        <v>2.0770709056556562</v>
      </c>
      <c r="C705" s="171">
        <v>-2.1445635165533226</v>
      </c>
      <c r="D705" s="171">
        <v>-5.6653180844775664E-2</v>
      </c>
      <c r="E705" s="170">
        <v>0</v>
      </c>
      <c r="F705" s="171">
        <v>0</v>
      </c>
      <c r="G705" s="170">
        <f>-$L$1</f>
        <v>-1.4990492230334603E-2</v>
      </c>
      <c r="H705" s="171">
        <v>0</v>
      </c>
      <c r="I705" s="171">
        <v>0</v>
      </c>
      <c r="J705" s="177">
        <f>-$N$1</f>
        <v>-4.7716218756768064E-3</v>
      </c>
      <c r="L705">
        <v>0</v>
      </c>
      <c r="M705">
        <v>0</v>
      </c>
      <c r="N705">
        <v>0.61502050104385209</v>
      </c>
    </row>
    <row r="706" spans="1:16">
      <c r="A706" s="170"/>
      <c r="B706" s="171"/>
      <c r="C706" s="171"/>
      <c r="D706" s="171"/>
      <c r="E706" s="170"/>
      <c r="F706" s="170"/>
      <c r="G706" s="170"/>
      <c r="H706" s="170"/>
      <c r="I706" s="170"/>
      <c r="J706" s="170"/>
    </row>
    <row r="707" spans="1:16">
      <c r="A707" s="170"/>
      <c r="B707" s="171">
        <v>1.0351585166444348</v>
      </c>
      <c r="C707" s="171">
        <v>-2.1037449841221099</v>
      </c>
      <c r="D707" s="171">
        <v>-0.82913701269133588</v>
      </c>
      <c r="E707" s="170">
        <f>-$L$1</f>
        <v>-1.4990492230334603E-2</v>
      </c>
      <c r="F707" s="171">
        <v>0</v>
      </c>
      <c r="G707" s="171">
        <v>0</v>
      </c>
      <c r="H707" s="177">
        <f>-$N$1</f>
        <v>-4.7716218756768064E-3</v>
      </c>
      <c r="I707" s="170">
        <v>0</v>
      </c>
      <c r="J707" s="170">
        <v>0</v>
      </c>
      <c r="L707">
        <f t="array" ref="L707:N709">SVDD(B707:D709)</f>
        <v>3.3549812262886487</v>
      </c>
      <c r="M707">
        <v>0</v>
      </c>
      <c r="N707">
        <v>0</v>
      </c>
      <c r="P707">
        <f t="shared" ref="P707" si="221">MAX(L707,M708,N709)/MIN(L707,M708,N709)</f>
        <v>25.009188868397612</v>
      </c>
    </row>
    <row r="708" spans="1:16">
      <c r="A708" s="170" t="s">
        <v>390</v>
      </c>
      <c r="B708" s="171">
        <v>-0.21871711292247331</v>
      </c>
      <c r="C708" s="171">
        <v>-2.1363371502498802</v>
      </c>
      <c r="D708" s="171">
        <v>-8.9790398854103559E-2</v>
      </c>
      <c r="E708" s="170">
        <v>0</v>
      </c>
      <c r="F708" s="170">
        <f>-$L$1</f>
        <v>-1.4990492230334603E-2</v>
      </c>
      <c r="G708" s="171">
        <v>0</v>
      </c>
      <c r="H708" s="171">
        <v>0</v>
      </c>
      <c r="I708" s="177">
        <f>-$N$1</f>
        <v>-4.7716218756768064E-3</v>
      </c>
      <c r="J708" s="170">
        <v>0</v>
      </c>
      <c r="L708">
        <v>0</v>
      </c>
      <c r="M708">
        <v>1.1574226160872636</v>
      </c>
      <c r="N708">
        <v>0</v>
      </c>
    </row>
    <row r="709" spans="1:16">
      <c r="A709" s="170"/>
      <c r="B709" s="171">
        <v>-0.36768865949079377</v>
      </c>
      <c r="C709" s="171">
        <v>-1.2890795247765441</v>
      </c>
      <c r="D709" s="171">
        <v>-0.10954983766095538</v>
      </c>
      <c r="E709" s="170">
        <v>0</v>
      </c>
      <c r="F709" s="171">
        <v>0</v>
      </c>
      <c r="G709" s="170">
        <f>-$L$1</f>
        <v>-1.4990492230334603E-2</v>
      </c>
      <c r="H709" s="171">
        <v>0</v>
      </c>
      <c r="I709" s="171">
        <v>0</v>
      </c>
      <c r="J709" s="177">
        <f>-$N$1</f>
        <v>-4.7716218756768064E-3</v>
      </c>
      <c r="L709">
        <v>0</v>
      </c>
      <c r="M709">
        <v>0</v>
      </c>
      <c r="N709">
        <v>0.13414994160518764</v>
      </c>
    </row>
    <row r="710" spans="1:16">
      <c r="A710" s="170"/>
      <c r="B710" s="171"/>
      <c r="C710" s="171"/>
      <c r="D710" s="171"/>
      <c r="E710" s="170"/>
      <c r="F710" s="170"/>
      <c r="G710" s="170"/>
      <c r="H710" s="170"/>
      <c r="I710" s="170"/>
      <c r="J710" s="170"/>
    </row>
    <row r="711" spans="1:16">
      <c r="A711" s="170"/>
      <c r="B711" s="171">
        <v>1.0351585166444348</v>
      </c>
      <c r="C711" s="171">
        <v>-2.1037449841221099</v>
      </c>
      <c r="D711" s="171">
        <v>-0.82913701269133588</v>
      </c>
      <c r="E711" s="170">
        <f>-$L$1</f>
        <v>-1.4990492230334603E-2</v>
      </c>
      <c r="F711" s="171">
        <v>0</v>
      </c>
      <c r="G711" s="171">
        <v>0</v>
      </c>
      <c r="H711" s="177">
        <f>-$N$1</f>
        <v>-4.7716218756768064E-3</v>
      </c>
      <c r="I711" s="170">
        <v>0</v>
      </c>
      <c r="J711" s="170">
        <v>0</v>
      </c>
      <c r="L711">
        <f t="array" ref="L711:N713">SVDD(B711:D713)</f>
        <v>3.6893874976045287</v>
      </c>
      <c r="M711">
        <v>0</v>
      </c>
      <c r="N711">
        <v>0</v>
      </c>
      <c r="P711">
        <f t="shared" ref="P711" si="222">MAX(L711,M712,N713)/MIN(L711,M712,N713)</f>
        <v>6.7625217711569316</v>
      </c>
    </row>
    <row r="712" spans="1:16">
      <c r="A712" s="170" t="s">
        <v>391</v>
      </c>
      <c r="B712" s="171">
        <v>-0.21871711292247331</v>
      </c>
      <c r="C712" s="171">
        <v>-2.1363371502498802</v>
      </c>
      <c r="D712" s="171">
        <v>-8.9790398854103559E-2</v>
      </c>
      <c r="E712" s="170">
        <v>0</v>
      </c>
      <c r="F712" s="170">
        <f>-$L$1</f>
        <v>-1.4990492230334603E-2</v>
      </c>
      <c r="G712" s="171">
        <v>0</v>
      </c>
      <c r="H712" s="171">
        <v>0</v>
      </c>
      <c r="I712" s="177">
        <f>-$N$1</f>
        <v>-4.7716218756768064E-3</v>
      </c>
      <c r="J712" s="170">
        <v>0</v>
      </c>
      <c r="L712">
        <v>0</v>
      </c>
      <c r="M712">
        <v>2.0392571084136129</v>
      </c>
      <c r="N712">
        <v>0</v>
      </c>
    </row>
    <row r="713" spans="1:16">
      <c r="A713" s="170"/>
      <c r="B713" s="171">
        <v>2.4772611105726599</v>
      </c>
      <c r="C713" s="171">
        <v>-1.0605572692523213</v>
      </c>
      <c r="D713" s="171">
        <v>-3.9812674620544719E-2</v>
      </c>
      <c r="E713" s="170">
        <v>0</v>
      </c>
      <c r="F713" s="171">
        <v>0</v>
      </c>
      <c r="G713" s="170">
        <f>-$L$1</f>
        <v>-1.4990492230334603E-2</v>
      </c>
      <c r="H713" s="171">
        <v>0</v>
      </c>
      <c r="I713" s="171">
        <v>0</v>
      </c>
      <c r="J713" s="177">
        <f>-$N$1</f>
        <v>-4.7716218756768064E-3</v>
      </c>
      <c r="L713">
        <v>0</v>
      </c>
      <c r="M713">
        <v>0</v>
      </c>
      <c r="N713">
        <v>0.54556386248400179</v>
      </c>
    </row>
    <row r="714" spans="1:16">
      <c r="A714" s="170"/>
      <c r="B714" s="171"/>
      <c r="C714" s="171"/>
      <c r="D714" s="171"/>
      <c r="E714" s="170"/>
      <c r="F714" s="170"/>
      <c r="G714" s="170"/>
      <c r="H714" s="170"/>
      <c r="I714" s="170"/>
      <c r="J714" s="170"/>
    </row>
    <row r="715" spans="1:16">
      <c r="A715" s="170"/>
      <c r="B715" s="171">
        <v>1.0351585166444348</v>
      </c>
      <c r="C715" s="171">
        <v>-2.1037449841221099</v>
      </c>
      <c r="D715" s="171">
        <v>-0.82913701269133588</v>
      </c>
      <c r="E715" s="170">
        <f>-$L$1</f>
        <v>-1.4990492230334603E-2</v>
      </c>
      <c r="F715" s="171">
        <v>0</v>
      </c>
      <c r="G715" s="171">
        <v>0</v>
      </c>
      <c r="H715" s="177">
        <f>-$N$1</f>
        <v>-4.7716218756768064E-3</v>
      </c>
      <c r="I715" s="170">
        <v>0</v>
      </c>
      <c r="J715" s="170">
        <v>0</v>
      </c>
      <c r="L715">
        <f t="array" ref="L715:N717">SVDD(B715:D717)</f>
        <v>3.1631959039485196</v>
      </c>
      <c r="M715">
        <v>0</v>
      </c>
      <c r="N715">
        <v>0</v>
      </c>
      <c r="P715">
        <f t="shared" ref="P715" si="223">MAX(L715,M716,N717)/MIN(L715,M716,N717)</f>
        <v>7.648214420981799</v>
      </c>
    </row>
    <row r="716" spans="1:16">
      <c r="A716" s="170" t="s">
        <v>392</v>
      </c>
      <c r="B716" s="171">
        <v>-0.21871711292247331</v>
      </c>
      <c r="C716" s="171">
        <v>-2.1363371502498802</v>
      </c>
      <c r="D716" s="171">
        <v>-8.9790398854103559E-2</v>
      </c>
      <c r="E716" s="170">
        <v>0</v>
      </c>
      <c r="F716" s="170">
        <f>-$L$1</f>
        <v>-1.4990492230334603E-2</v>
      </c>
      <c r="G716" s="171">
        <v>0</v>
      </c>
      <c r="H716" s="171">
        <v>0</v>
      </c>
      <c r="I716" s="177">
        <f>-$N$1</f>
        <v>-4.7716218756768064E-3</v>
      </c>
      <c r="J716" s="170">
        <v>0</v>
      </c>
      <c r="L716">
        <v>0</v>
      </c>
      <c r="M716">
        <v>1.8040865700857025</v>
      </c>
      <c r="N716">
        <v>0</v>
      </c>
    </row>
    <row r="717" spans="1:16">
      <c r="A717" s="170"/>
      <c r="B717" s="171">
        <v>1.6188303733889171</v>
      </c>
      <c r="C717" s="171">
        <v>-1.9594494251009342E-2</v>
      </c>
      <c r="D717" s="171">
        <v>-7.7422792294721043E-2</v>
      </c>
      <c r="E717" s="170">
        <v>0</v>
      </c>
      <c r="F717" s="171">
        <v>0</v>
      </c>
      <c r="G717" s="170">
        <f>-$L$1</f>
        <v>-1.4990492230334603E-2</v>
      </c>
      <c r="H717" s="171">
        <v>0</v>
      </c>
      <c r="I717" s="171">
        <v>0</v>
      </c>
      <c r="J717" s="177">
        <f>-$N$1</f>
        <v>-4.7716218756768064E-3</v>
      </c>
      <c r="L717">
        <v>0</v>
      </c>
      <c r="M717">
        <v>0</v>
      </c>
      <c r="N717">
        <v>0.41358619539624009</v>
      </c>
    </row>
    <row r="718" spans="1:16">
      <c r="A718" s="170"/>
      <c r="B718" s="171"/>
      <c r="C718" s="171"/>
      <c r="D718" s="171"/>
      <c r="E718" s="170"/>
      <c r="F718" s="170"/>
      <c r="G718" s="170"/>
      <c r="H718" s="170"/>
      <c r="I718" s="170"/>
      <c r="J718" s="170"/>
    </row>
    <row r="719" spans="1:16">
      <c r="A719" s="170"/>
      <c r="B719" s="171">
        <v>1.0351585166444348</v>
      </c>
      <c r="C719" s="171">
        <v>-2.1037449841221099</v>
      </c>
      <c r="D719" s="171">
        <v>-0.82913701269133588</v>
      </c>
      <c r="E719" s="170">
        <f>-$L$1</f>
        <v>-1.4990492230334603E-2</v>
      </c>
      <c r="F719" s="171">
        <v>0</v>
      </c>
      <c r="G719" s="171">
        <v>0</v>
      </c>
      <c r="H719" s="177">
        <f>-$N$1</f>
        <v>-4.7716218756768064E-3</v>
      </c>
      <c r="I719" s="170">
        <v>0</v>
      </c>
      <c r="J719" s="170">
        <v>0</v>
      </c>
      <c r="L719">
        <f t="array" ref="L719:N721">SVDD(B719:D721)</f>
        <v>3.136126001209397</v>
      </c>
      <c r="M719">
        <v>0</v>
      </c>
      <c r="N719">
        <v>0</v>
      </c>
      <c r="P719">
        <f t="shared" ref="P719" si="224">MAX(L719,M720,N721)/MIN(L719,M720,N721)</f>
        <v>30.732928259329775</v>
      </c>
    </row>
    <row r="720" spans="1:16">
      <c r="A720" s="170" t="s">
        <v>393</v>
      </c>
      <c r="B720" s="171">
        <v>-0.21871711292247331</v>
      </c>
      <c r="C720" s="171">
        <v>-2.1363371502498802</v>
      </c>
      <c r="D720" s="171">
        <v>-8.9790398854103559E-2</v>
      </c>
      <c r="E720" s="170">
        <v>0</v>
      </c>
      <c r="F720" s="170">
        <f>-$L$1</f>
        <v>-1.4990492230334603E-2</v>
      </c>
      <c r="G720" s="171">
        <v>0</v>
      </c>
      <c r="H720" s="171">
        <v>0</v>
      </c>
      <c r="I720" s="177">
        <f>-$N$1</f>
        <v>-4.7716218756768064E-3</v>
      </c>
      <c r="J720" s="170">
        <v>0</v>
      </c>
      <c r="L720">
        <v>0</v>
      </c>
      <c r="M720">
        <v>1.6228044189418709</v>
      </c>
      <c r="N720">
        <v>0</v>
      </c>
    </row>
    <row r="721" spans="1:16">
      <c r="A721" s="170"/>
      <c r="B721" s="171">
        <v>1.0097006711160386</v>
      </c>
      <c r="C721" s="171">
        <v>0.26302086313966178</v>
      </c>
      <c r="D721" s="171">
        <v>-0.76545275918666766</v>
      </c>
      <c r="E721" s="170">
        <v>0</v>
      </c>
      <c r="F721" s="171">
        <v>0</v>
      </c>
      <c r="G721" s="170">
        <f>-$L$1</f>
        <v>-1.4990492230334603E-2</v>
      </c>
      <c r="H721" s="171">
        <v>0</v>
      </c>
      <c r="I721" s="171">
        <v>0</v>
      </c>
      <c r="J721" s="177">
        <f>-$N$1</f>
        <v>-4.7716218756768064E-3</v>
      </c>
      <c r="L721">
        <v>0</v>
      </c>
      <c r="M721">
        <v>0</v>
      </c>
      <c r="N721">
        <v>0.10204449035074765</v>
      </c>
    </row>
    <row r="722" spans="1:16">
      <c r="A722" s="170"/>
      <c r="B722" s="171"/>
      <c r="C722" s="171"/>
      <c r="D722" s="171"/>
      <c r="E722" s="170"/>
      <c r="F722" s="170"/>
      <c r="G722" s="170"/>
      <c r="H722" s="170"/>
      <c r="I722" s="170"/>
      <c r="J722" s="170"/>
    </row>
    <row r="723" spans="1:16">
      <c r="A723" s="170"/>
      <c r="B723" s="171">
        <v>1.0351585166444348</v>
      </c>
      <c r="C723" s="171">
        <v>-2.1037449841221099</v>
      </c>
      <c r="D723" s="171">
        <v>-0.82913701269133588</v>
      </c>
      <c r="E723" s="170">
        <f>-$L$1</f>
        <v>-1.4990492230334603E-2</v>
      </c>
      <c r="F723" s="171">
        <v>0</v>
      </c>
      <c r="G723" s="171">
        <v>0</v>
      </c>
      <c r="H723" s="177">
        <f>-$N$1</f>
        <v>-4.7716218756768064E-3</v>
      </c>
      <c r="I723" s="170">
        <v>0</v>
      </c>
      <c r="J723" s="170">
        <v>0</v>
      </c>
      <c r="L723">
        <f t="array" ref="L723:N725">SVDD(B723:D725)</f>
        <v>3.8877273585887941</v>
      </c>
      <c r="M723">
        <v>0</v>
      </c>
      <c r="N723">
        <v>0</v>
      </c>
      <c r="P723">
        <f t="shared" ref="P723" si="225">MAX(L723,M724,N725)/MIN(L723,M724,N725)</f>
        <v>7.3967963927114955</v>
      </c>
    </row>
    <row r="724" spans="1:16">
      <c r="A724" s="170" t="s">
        <v>394</v>
      </c>
      <c r="B724" s="171">
        <v>2.0770709056556562</v>
      </c>
      <c r="C724" s="171">
        <v>-2.1445635165533226</v>
      </c>
      <c r="D724" s="171">
        <v>-5.6653180844775664E-2</v>
      </c>
      <c r="E724" s="170">
        <v>0</v>
      </c>
      <c r="F724" s="170">
        <f>-$L$1</f>
        <v>-1.4990492230334603E-2</v>
      </c>
      <c r="G724" s="171">
        <v>0</v>
      </c>
      <c r="H724" s="171">
        <v>0</v>
      </c>
      <c r="I724" s="177">
        <f>-$N$1</f>
        <v>-4.7716218756768064E-3</v>
      </c>
      <c r="J724" s="170">
        <v>0</v>
      </c>
      <c r="L724">
        <v>0</v>
      </c>
      <c r="M724">
        <v>1.2327193376522698</v>
      </c>
      <c r="N724">
        <v>0</v>
      </c>
    </row>
    <row r="725" spans="1:16">
      <c r="A725" s="170"/>
      <c r="B725" s="171">
        <v>-0.36768865949079377</v>
      </c>
      <c r="C725" s="171">
        <v>-1.2890795247765441</v>
      </c>
      <c r="D725" s="171">
        <v>-0.10954983766095538</v>
      </c>
      <c r="E725" s="170">
        <v>0</v>
      </c>
      <c r="F725" s="171">
        <v>0</v>
      </c>
      <c r="G725" s="170">
        <f>-$L$1</f>
        <v>-1.4990492230334603E-2</v>
      </c>
      <c r="H725" s="171">
        <v>0</v>
      </c>
      <c r="I725" s="171">
        <v>0</v>
      </c>
      <c r="J725" s="177">
        <f>-$N$1</f>
        <v>-4.7716218756768064E-3</v>
      </c>
      <c r="L725">
        <v>0</v>
      </c>
      <c r="M725">
        <v>0</v>
      </c>
      <c r="N725">
        <v>0.52559610298582826</v>
      </c>
    </row>
    <row r="726" spans="1:16">
      <c r="A726" s="170"/>
      <c r="B726" s="171"/>
      <c r="C726" s="171"/>
      <c r="D726" s="171"/>
      <c r="E726" s="170"/>
      <c r="F726" s="170"/>
      <c r="G726" s="170"/>
      <c r="H726" s="170"/>
      <c r="I726" s="170"/>
      <c r="J726" s="170"/>
    </row>
    <row r="727" spans="1:16">
      <c r="A727" s="170"/>
      <c r="B727" s="171">
        <v>1.0351585166444348</v>
      </c>
      <c r="C727" s="171">
        <v>-2.1037449841221099</v>
      </c>
      <c r="D727" s="171">
        <v>-0.82913701269133588</v>
      </c>
      <c r="E727" s="170">
        <f>-$L$1</f>
        <v>-1.4990492230334603E-2</v>
      </c>
      <c r="F727" s="171">
        <v>0</v>
      </c>
      <c r="G727" s="171">
        <v>0</v>
      </c>
      <c r="H727" s="177">
        <f>-$N$1</f>
        <v>-4.7716218756768064E-3</v>
      </c>
      <c r="I727" s="170">
        <v>0</v>
      </c>
      <c r="J727" s="170">
        <v>0</v>
      </c>
      <c r="L727">
        <f t="array" ref="L727:N729">SVDD(B727:D729)</f>
        <v>4.5102779027945443</v>
      </c>
      <c r="M727">
        <v>0</v>
      </c>
      <c r="N727">
        <v>0</v>
      </c>
      <c r="P727">
        <f t="shared" ref="P727" si="226">MAX(L727,M728,N729)/MIN(L727,M728,N729)</f>
        <v>11.431778758175978</v>
      </c>
    </row>
    <row r="728" spans="1:16">
      <c r="A728" s="170" t="s">
        <v>395</v>
      </c>
      <c r="B728" s="171">
        <v>2.0770709056556562</v>
      </c>
      <c r="C728" s="171">
        <v>-2.1445635165533226</v>
      </c>
      <c r="D728" s="171">
        <v>-5.6653180844775664E-2</v>
      </c>
      <c r="E728" s="170">
        <v>0</v>
      </c>
      <c r="F728" s="170">
        <f>-$L$1</f>
        <v>-1.4990492230334603E-2</v>
      </c>
      <c r="G728" s="171">
        <v>0</v>
      </c>
      <c r="H728" s="171">
        <v>0</v>
      </c>
      <c r="I728" s="177">
        <f>-$N$1</f>
        <v>-4.7716218756768064E-3</v>
      </c>
      <c r="J728" s="170">
        <v>0</v>
      </c>
      <c r="L728">
        <v>0</v>
      </c>
      <c r="M728">
        <v>1.3661156700722137</v>
      </c>
      <c r="N728">
        <v>0</v>
      </c>
    </row>
    <row r="729" spans="1:16">
      <c r="A729" s="170"/>
      <c r="B729" s="171">
        <v>2.4772611105726599</v>
      </c>
      <c r="C729" s="171">
        <v>-1.0605572692523213</v>
      </c>
      <c r="D729" s="171">
        <v>-3.9812674620544719E-2</v>
      </c>
      <c r="E729" s="170">
        <v>0</v>
      </c>
      <c r="F729" s="171">
        <v>0</v>
      </c>
      <c r="G729" s="170">
        <f>-$L$1</f>
        <v>-1.4990492230334603E-2</v>
      </c>
      <c r="H729" s="171">
        <v>0</v>
      </c>
      <c r="I729" s="171">
        <v>0</v>
      </c>
      <c r="J729" s="177">
        <f>-$N$1</f>
        <v>-4.7716218756768064E-3</v>
      </c>
      <c r="L729">
        <v>0</v>
      </c>
      <c r="M729">
        <v>0</v>
      </c>
      <c r="N729">
        <v>0.39453859265504115</v>
      </c>
    </row>
    <row r="730" spans="1:16">
      <c r="A730" s="170"/>
      <c r="B730" s="171"/>
      <c r="C730" s="171"/>
      <c r="D730" s="171"/>
      <c r="E730" s="170"/>
      <c r="F730" s="170"/>
      <c r="G730" s="170"/>
      <c r="H730" s="170"/>
      <c r="I730" s="170"/>
      <c r="J730" s="170"/>
    </row>
    <row r="731" spans="1:16">
      <c r="A731" s="170"/>
      <c r="B731" s="171">
        <v>1.0351585166444348</v>
      </c>
      <c r="C731" s="171">
        <v>-2.1037449841221099</v>
      </c>
      <c r="D731" s="171">
        <v>-0.82913701269133588</v>
      </c>
      <c r="E731" s="170">
        <f>-$L$1</f>
        <v>-1.4990492230334603E-2</v>
      </c>
      <c r="F731" s="171">
        <v>0</v>
      </c>
      <c r="G731" s="171">
        <v>0</v>
      </c>
      <c r="H731" s="177">
        <f>-$N$1</f>
        <v>-4.7716218756768064E-3</v>
      </c>
      <c r="I731" s="170">
        <v>0</v>
      </c>
      <c r="J731" s="170">
        <v>0</v>
      </c>
      <c r="L731">
        <f t="array" ref="L731:N733">SVDD(B731:D733)</f>
        <v>3.9373205842418306</v>
      </c>
      <c r="M731">
        <v>0</v>
      </c>
      <c r="N731">
        <v>0</v>
      </c>
      <c r="P731">
        <f t="shared" ref="P731" si="227">MAX(L731,M732,N733)/MIN(L731,M732,N733)</f>
        <v>7.7074988340721093</v>
      </c>
    </row>
    <row r="732" spans="1:16">
      <c r="A732" s="170" t="s">
        <v>396</v>
      </c>
      <c r="B732" s="171">
        <v>2.0770709056556562</v>
      </c>
      <c r="C732" s="171">
        <v>-2.1445635165533226</v>
      </c>
      <c r="D732" s="171">
        <v>-5.6653180844775664E-2</v>
      </c>
      <c r="E732" s="170">
        <v>0</v>
      </c>
      <c r="F732" s="170">
        <f>-$L$1</f>
        <v>-1.4990492230334603E-2</v>
      </c>
      <c r="G732" s="171">
        <v>0</v>
      </c>
      <c r="H732" s="171">
        <v>0</v>
      </c>
      <c r="I732" s="177">
        <f>-$N$1</f>
        <v>-4.7716218756768064E-3</v>
      </c>
      <c r="J732" s="170">
        <v>0</v>
      </c>
      <c r="L732">
        <v>0</v>
      </c>
      <c r="M732">
        <v>1.4017440304581956</v>
      </c>
      <c r="N732">
        <v>0</v>
      </c>
    </row>
    <row r="733" spans="1:16">
      <c r="A733" s="170"/>
      <c r="B733" s="171">
        <v>1.6188303733889171</v>
      </c>
      <c r="C733" s="171">
        <v>-1.9594494251009342E-2</v>
      </c>
      <c r="D733" s="171">
        <v>-7.7422792294721043E-2</v>
      </c>
      <c r="E733" s="170">
        <v>0</v>
      </c>
      <c r="F733" s="171">
        <v>0</v>
      </c>
      <c r="G733" s="170">
        <f>-$L$1</f>
        <v>-1.4990492230334603E-2</v>
      </c>
      <c r="H733" s="171">
        <v>0</v>
      </c>
      <c r="I733" s="171">
        <v>0</v>
      </c>
      <c r="J733" s="177">
        <f>-$N$1</f>
        <v>-4.7716218756768064E-3</v>
      </c>
      <c r="L733">
        <v>0</v>
      </c>
      <c r="M733">
        <v>0</v>
      </c>
      <c r="N733">
        <v>0.51084283877362879</v>
      </c>
    </row>
    <row r="734" spans="1:16">
      <c r="A734" s="170"/>
      <c r="B734" s="171"/>
      <c r="C734" s="171"/>
      <c r="D734" s="171"/>
      <c r="E734" s="170"/>
      <c r="F734" s="170"/>
      <c r="G734" s="170"/>
      <c r="H734" s="170"/>
      <c r="I734" s="170"/>
      <c r="J734" s="170"/>
    </row>
    <row r="735" spans="1:16">
      <c r="A735" s="170"/>
      <c r="B735" s="171">
        <v>1.0351585166444348</v>
      </c>
      <c r="C735" s="171">
        <v>-2.1037449841221099</v>
      </c>
      <c r="D735" s="171">
        <v>-0.82913701269133588</v>
      </c>
      <c r="E735" s="170">
        <f>-$L$1</f>
        <v>-1.4990492230334603E-2</v>
      </c>
      <c r="F735" s="171">
        <v>0</v>
      </c>
      <c r="G735" s="171">
        <v>0</v>
      </c>
      <c r="H735" s="177">
        <f>-$N$1</f>
        <v>-4.7716218756768064E-3</v>
      </c>
      <c r="I735" s="170">
        <v>0</v>
      </c>
      <c r="J735" s="170">
        <v>0</v>
      </c>
      <c r="L735">
        <f t="array" ref="L735:N737">SVDD(B735:D737)</f>
        <v>3.8320249276687934</v>
      </c>
      <c r="M735">
        <v>0</v>
      </c>
      <c r="N735">
        <v>0</v>
      </c>
      <c r="P735">
        <f t="shared" ref="P735" si="228">MAX(L735,M736,N737)/MIN(L735,M736,N737)</f>
        <v>4.638002539904412</v>
      </c>
    </row>
    <row r="736" spans="1:16">
      <c r="A736" s="170" t="s">
        <v>397</v>
      </c>
      <c r="B736" s="171">
        <v>2.0770709056556562</v>
      </c>
      <c r="C736" s="171">
        <v>-2.1445635165533226</v>
      </c>
      <c r="D736" s="171">
        <v>-5.6653180844775664E-2</v>
      </c>
      <c r="E736" s="170">
        <v>0</v>
      </c>
      <c r="F736" s="170">
        <f>-$L$1</f>
        <v>-1.4990492230334603E-2</v>
      </c>
      <c r="G736" s="171">
        <v>0</v>
      </c>
      <c r="H736" s="171">
        <v>0</v>
      </c>
      <c r="I736" s="177">
        <f>-$N$1</f>
        <v>-4.7716218756768064E-3</v>
      </c>
      <c r="J736" s="170">
        <v>0</v>
      </c>
      <c r="L736">
        <v>0</v>
      </c>
      <c r="M736">
        <v>1.1869640944953379</v>
      </c>
      <c r="N736">
        <v>0</v>
      </c>
    </row>
    <row r="737" spans="1:16">
      <c r="A737" s="170"/>
      <c r="B737" s="171">
        <v>1.0097006711160386</v>
      </c>
      <c r="C737" s="171">
        <v>0.26302086313966178</v>
      </c>
      <c r="D737" s="171">
        <v>-0.76545275918666766</v>
      </c>
      <c r="E737" s="170">
        <v>0</v>
      </c>
      <c r="F737" s="171">
        <v>0</v>
      </c>
      <c r="G737" s="170">
        <f>-$L$1</f>
        <v>-1.4990492230334603E-2</v>
      </c>
      <c r="H737" s="171">
        <v>0</v>
      </c>
      <c r="I737" s="171">
        <v>0</v>
      </c>
      <c r="J737" s="177">
        <f>-$N$1</f>
        <v>-4.7716218756768064E-3</v>
      </c>
      <c r="L737">
        <v>0</v>
      </c>
      <c r="M737">
        <v>0</v>
      </c>
      <c r="N737">
        <v>0.82622311969405915</v>
      </c>
    </row>
    <row r="738" spans="1:16">
      <c r="A738" s="170"/>
      <c r="B738" s="171"/>
      <c r="C738" s="171"/>
      <c r="D738" s="171"/>
      <c r="E738" s="170"/>
      <c r="F738" s="170"/>
      <c r="G738" s="170"/>
      <c r="H738" s="170"/>
      <c r="I738" s="170"/>
      <c r="J738" s="170"/>
    </row>
    <row r="739" spans="1:16">
      <c r="A739" s="170"/>
      <c r="B739" s="171">
        <v>1.0351585166444348</v>
      </c>
      <c r="C739" s="171">
        <v>-2.1037449841221099</v>
      </c>
      <c r="D739" s="171">
        <v>-0.82913701269133588</v>
      </c>
      <c r="E739" s="170">
        <f>-$L$1</f>
        <v>-1.4990492230334603E-2</v>
      </c>
      <c r="F739" s="171">
        <v>0</v>
      </c>
      <c r="G739" s="171">
        <v>0</v>
      </c>
      <c r="H739" s="177">
        <f>-$N$1</f>
        <v>-4.7716218756768064E-3</v>
      </c>
      <c r="I739" s="170">
        <v>0</v>
      </c>
      <c r="J739" s="170">
        <v>0</v>
      </c>
      <c r="L739">
        <f t="array" ref="L739:N741">SVDD(B739:D741)</f>
        <v>3.459532885344919</v>
      </c>
      <c r="M739">
        <v>0</v>
      </c>
      <c r="N739">
        <v>0</v>
      </c>
      <c r="P739">
        <f t="shared" ref="P739" si="229">MAX(L739,M740,N741)/MIN(L739,M740,N741)</f>
        <v>8.6904484429411184</v>
      </c>
    </row>
    <row r="740" spans="1:16">
      <c r="A740" s="170" t="s">
        <v>398</v>
      </c>
      <c r="B740" s="171">
        <v>-0.36768865949079377</v>
      </c>
      <c r="C740" s="171">
        <v>-1.2890795247765441</v>
      </c>
      <c r="D740" s="171">
        <v>-0.10954983766095538</v>
      </c>
      <c r="E740" s="170">
        <v>0</v>
      </c>
      <c r="F740" s="170">
        <f>-$L$1</f>
        <v>-1.4990492230334603E-2</v>
      </c>
      <c r="G740" s="171">
        <v>0</v>
      </c>
      <c r="H740" s="171">
        <v>0</v>
      </c>
      <c r="I740" s="177">
        <f>-$N$1</f>
        <v>-4.7716218756768064E-3</v>
      </c>
      <c r="J740" s="170">
        <v>0</v>
      </c>
      <c r="L740">
        <v>0</v>
      </c>
      <c r="M740">
        <v>1.7691909896404598</v>
      </c>
      <c r="N740">
        <v>0</v>
      </c>
    </row>
    <row r="741" spans="1:16">
      <c r="A741" s="170"/>
      <c r="B741" s="171">
        <v>2.4772611105726599</v>
      </c>
      <c r="C741" s="171">
        <v>-1.0605572692523213</v>
      </c>
      <c r="D741" s="171">
        <v>-3.9812674620544719E-2</v>
      </c>
      <c r="E741" s="170">
        <v>0</v>
      </c>
      <c r="F741" s="171">
        <v>0</v>
      </c>
      <c r="G741" s="170">
        <f>-$L$1</f>
        <v>-1.4990492230334603E-2</v>
      </c>
      <c r="H741" s="171">
        <v>0</v>
      </c>
      <c r="I741" s="171">
        <v>0</v>
      </c>
      <c r="J741" s="177">
        <f>-$N$1</f>
        <v>-4.7716218756768064E-3</v>
      </c>
      <c r="L741">
        <v>0</v>
      </c>
      <c r="M741">
        <v>0</v>
      </c>
      <c r="N741">
        <v>0.39808450715278682</v>
      </c>
    </row>
    <row r="742" spans="1:16">
      <c r="A742" s="170"/>
      <c r="B742" s="171"/>
      <c r="C742" s="171"/>
      <c r="D742" s="171"/>
      <c r="E742" s="170"/>
      <c r="F742" s="170"/>
      <c r="G742" s="170"/>
      <c r="H742" s="170"/>
      <c r="I742" s="170"/>
      <c r="J742" s="170"/>
    </row>
    <row r="743" spans="1:16">
      <c r="A743" s="170"/>
      <c r="B743" s="171">
        <v>1.0351585166444348</v>
      </c>
      <c r="C743" s="171">
        <v>-2.1037449841221099</v>
      </c>
      <c r="D743" s="171">
        <v>-0.82913701269133588</v>
      </c>
      <c r="E743" s="170">
        <f>-$L$1</f>
        <v>-1.4990492230334603E-2</v>
      </c>
      <c r="F743" s="171">
        <v>0</v>
      </c>
      <c r="G743" s="171">
        <v>0</v>
      </c>
      <c r="H743" s="177">
        <f>-$N$1</f>
        <v>-4.7716218756768064E-3</v>
      </c>
      <c r="I743" s="170">
        <v>0</v>
      </c>
      <c r="J743" s="170">
        <v>0</v>
      </c>
      <c r="L743">
        <f t="array" ref="L743:N745">SVDD(B743:D745)</f>
        <v>2.7689981089008926</v>
      </c>
      <c r="M743">
        <v>0</v>
      </c>
      <c r="N743">
        <v>0</v>
      </c>
      <c r="P743">
        <f t="shared" ref="P743" si="230">MAX(L743,M744,N745)/MIN(L743,M744,N745)</f>
        <v>10.838976396829279</v>
      </c>
    </row>
    <row r="744" spans="1:16">
      <c r="A744" s="170" t="s">
        <v>399</v>
      </c>
      <c r="B744" s="171">
        <v>-0.36768865949079377</v>
      </c>
      <c r="C744" s="171">
        <v>-1.2890795247765441</v>
      </c>
      <c r="D744" s="171">
        <v>-0.10954983766095538</v>
      </c>
      <c r="E744" s="170">
        <v>0</v>
      </c>
      <c r="F744" s="170">
        <f>-$L$1</f>
        <v>-1.4990492230334603E-2</v>
      </c>
      <c r="G744" s="171">
        <v>0</v>
      </c>
      <c r="H744" s="171">
        <v>0</v>
      </c>
      <c r="I744" s="177">
        <f>-$N$1</f>
        <v>-4.7716218756768064E-3</v>
      </c>
      <c r="J744" s="170">
        <v>0</v>
      </c>
      <c r="L744">
        <v>0</v>
      </c>
      <c r="M744">
        <v>1.6994300982142647</v>
      </c>
      <c r="N744">
        <v>0</v>
      </c>
    </row>
    <row r="745" spans="1:16">
      <c r="A745" s="170"/>
      <c r="B745" s="171">
        <v>1.6188303733889171</v>
      </c>
      <c r="C745" s="171">
        <v>-1.9594494251009342E-2</v>
      </c>
      <c r="D745" s="171">
        <v>-7.7422792294721043E-2</v>
      </c>
      <c r="E745" s="170">
        <v>0</v>
      </c>
      <c r="F745" s="171">
        <v>0</v>
      </c>
      <c r="G745" s="170">
        <f>-$L$1</f>
        <v>-1.4990492230334603E-2</v>
      </c>
      <c r="H745" s="171">
        <v>0</v>
      </c>
      <c r="I745" s="171">
        <v>0</v>
      </c>
      <c r="J745" s="177">
        <f>-$N$1</f>
        <v>-4.7716218756768064E-3</v>
      </c>
      <c r="L745">
        <v>0</v>
      </c>
      <c r="M745">
        <v>0</v>
      </c>
      <c r="N745">
        <v>0.25546675327302182</v>
      </c>
    </row>
    <row r="746" spans="1:16">
      <c r="A746" s="170"/>
      <c r="B746" s="171"/>
      <c r="C746" s="171"/>
      <c r="D746" s="171"/>
      <c r="E746" s="170"/>
      <c r="F746" s="170"/>
      <c r="G746" s="170"/>
      <c r="H746" s="170"/>
      <c r="I746" s="170"/>
      <c r="J746" s="170"/>
    </row>
    <row r="747" spans="1:16">
      <c r="A747" s="170"/>
      <c r="B747" s="171">
        <v>1.0351585166444348</v>
      </c>
      <c r="C747" s="171">
        <v>-2.1037449841221099</v>
      </c>
      <c r="D747" s="171">
        <v>-0.82913701269133588</v>
      </c>
      <c r="E747" s="170">
        <f>-$L$1</f>
        <v>-1.4990492230334603E-2</v>
      </c>
      <c r="F747" s="171">
        <v>0</v>
      </c>
      <c r="G747" s="171">
        <v>0</v>
      </c>
      <c r="H747" s="177">
        <f>-$N$1</f>
        <v>-4.7716218756768064E-3</v>
      </c>
      <c r="I747" s="170">
        <v>0</v>
      </c>
      <c r="J747" s="170">
        <v>0</v>
      </c>
      <c r="L747">
        <f t="array" ref="L747:N749">SVDD(B747:D749)</f>
        <v>2.7146624302807973</v>
      </c>
      <c r="M747">
        <v>0</v>
      </c>
      <c r="N747">
        <v>0</v>
      </c>
      <c r="P747">
        <f t="shared" ref="P747" si="231">MAX(L747,M748,N749)/MIN(L747,M748,N749)</f>
        <v>12.611025430513319</v>
      </c>
    </row>
    <row r="748" spans="1:16">
      <c r="A748" s="170" t="s">
        <v>400</v>
      </c>
      <c r="B748" s="171">
        <v>-0.36768865949079377</v>
      </c>
      <c r="C748" s="171">
        <v>-1.2890795247765441</v>
      </c>
      <c r="D748" s="171">
        <v>-0.10954983766095538</v>
      </c>
      <c r="E748" s="170">
        <v>0</v>
      </c>
      <c r="F748" s="170">
        <f>-$L$1</f>
        <v>-1.4990492230334603E-2</v>
      </c>
      <c r="G748" s="171">
        <v>0</v>
      </c>
      <c r="H748" s="171">
        <v>0</v>
      </c>
      <c r="I748" s="177">
        <f>-$N$1</f>
        <v>-4.7716218756768064E-3</v>
      </c>
      <c r="J748" s="170">
        <v>0</v>
      </c>
      <c r="L748">
        <v>0</v>
      </c>
      <c r="M748">
        <v>1.5008498786518518</v>
      </c>
      <c r="N748">
        <v>0</v>
      </c>
    </row>
    <row r="749" spans="1:16">
      <c r="A749" s="170"/>
      <c r="B749" s="171">
        <v>1.0097006711160386</v>
      </c>
      <c r="C749" s="171">
        <v>0.26302086313966178</v>
      </c>
      <c r="D749" s="171">
        <v>-0.76545275918666766</v>
      </c>
      <c r="E749" s="170">
        <v>0</v>
      </c>
      <c r="F749" s="171">
        <v>0</v>
      </c>
      <c r="G749" s="170">
        <f>-$L$1</f>
        <v>-1.4990492230334603E-2</v>
      </c>
      <c r="H749" s="171">
        <v>0</v>
      </c>
      <c r="I749" s="171">
        <v>0</v>
      </c>
      <c r="J749" s="177">
        <f>-$N$1</f>
        <v>-4.7716218756768064E-3</v>
      </c>
      <c r="L749">
        <v>0</v>
      </c>
      <c r="M749">
        <v>0</v>
      </c>
      <c r="N749">
        <v>0.21526103846499814</v>
      </c>
    </row>
    <row r="750" spans="1:16">
      <c r="A750" s="170"/>
      <c r="B750" s="171"/>
      <c r="C750" s="171"/>
      <c r="D750" s="171"/>
      <c r="E750" s="170"/>
      <c r="F750" s="170"/>
      <c r="G750" s="170"/>
      <c r="H750" s="170"/>
      <c r="I750" s="170"/>
      <c r="J750" s="170"/>
    </row>
    <row r="751" spans="1:16">
      <c r="A751" s="170"/>
      <c r="B751" s="171">
        <v>1.0351585166444348</v>
      </c>
      <c r="C751" s="171">
        <v>-2.1037449841221099</v>
      </c>
      <c r="D751" s="171">
        <v>-0.82913701269133588</v>
      </c>
      <c r="E751" s="170">
        <f>-$L$1</f>
        <v>-1.4990492230334603E-2</v>
      </c>
      <c r="F751" s="171">
        <v>0</v>
      </c>
      <c r="G751" s="171">
        <v>0</v>
      </c>
      <c r="H751" s="177">
        <f>-$N$1</f>
        <v>-4.7716218756768064E-3</v>
      </c>
      <c r="I751" s="170">
        <v>0</v>
      </c>
      <c r="J751" s="170">
        <v>0</v>
      </c>
      <c r="L751">
        <f t="array" ref="L751:N753">SVDD(B751:D753)</f>
        <v>3.641740921112417</v>
      </c>
      <c r="M751">
        <v>0</v>
      </c>
      <c r="N751">
        <v>0</v>
      </c>
      <c r="P751">
        <f t="shared" ref="P751" si="232">MAX(L751,M752,N753)/MIN(L751,M752,N753)</f>
        <v>14.023075414159493</v>
      </c>
    </row>
    <row r="752" spans="1:16">
      <c r="A752" s="170" t="s">
        <v>401</v>
      </c>
      <c r="B752" s="171">
        <v>2.4772611105726599</v>
      </c>
      <c r="C752" s="171">
        <v>-1.0605572692523213</v>
      </c>
      <c r="D752" s="171">
        <v>-3.9812674620544719E-2</v>
      </c>
      <c r="E752" s="170">
        <v>0</v>
      </c>
      <c r="F752" s="170">
        <f>-$L$1</f>
        <v>-1.4990492230334603E-2</v>
      </c>
      <c r="G752" s="171">
        <v>0</v>
      </c>
      <c r="H752" s="171">
        <v>0</v>
      </c>
      <c r="I752" s="177">
        <f>-$N$1</f>
        <v>-4.7716218756768064E-3</v>
      </c>
      <c r="J752" s="170">
        <v>0</v>
      </c>
      <c r="L752">
        <v>0</v>
      </c>
      <c r="M752">
        <v>1.6568719264135214</v>
      </c>
      <c r="N752">
        <v>0</v>
      </c>
    </row>
    <row r="753" spans="1:16">
      <c r="A753" s="170"/>
      <c r="B753" s="171">
        <v>1.6188303733889171</v>
      </c>
      <c r="C753" s="171">
        <v>-1.9594494251009342E-2</v>
      </c>
      <c r="D753" s="171">
        <v>-7.7422792294721043E-2</v>
      </c>
      <c r="E753" s="170">
        <v>0</v>
      </c>
      <c r="F753" s="171">
        <v>0</v>
      </c>
      <c r="G753" s="170">
        <f>-$L$1</f>
        <v>-1.4990492230334603E-2</v>
      </c>
      <c r="H753" s="171">
        <v>0</v>
      </c>
      <c r="I753" s="171">
        <v>0</v>
      </c>
      <c r="J753" s="177">
        <f>-$N$1</f>
        <v>-4.7716218756768064E-3</v>
      </c>
      <c r="L753">
        <v>0</v>
      </c>
      <c r="M753">
        <v>0</v>
      </c>
      <c r="N753">
        <v>0.25969630865960036</v>
      </c>
    </row>
    <row r="754" spans="1:16">
      <c r="A754" s="170"/>
      <c r="B754" s="171"/>
      <c r="C754" s="171"/>
      <c r="D754" s="171"/>
      <c r="E754" s="170"/>
      <c r="F754" s="170"/>
      <c r="G754" s="170"/>
      <c r="H754" s="170"/>
      <c r="I754" s="170"/>
      <c r="J754" s="170"/>
    </row>
    <row r="755" spans="1:16">
      <c r="A755" s="170"/>
      <c r="B755" s="171">
        <v>1.0351585166444348</v>
      </c>
      <c r="C755" s="171">
        <v>-2.1037449841221099</v>
      </c>
      <c r="D755" s="171">
        <v>-0.82913701269133588</v>
      </c>
      <c r="E755" s="170">
        <f>-$L$1</f>
        <v>-1.4990492230334603E-2</v>
      </c>
      <c r="F755" s="171">
        <v>0</v>
      </c>
      <c r="G755" s="171">
        <v>0</v>
      </c>
      <c r="H755" s="177">
        <f>-$N$1</f>
        <v>-4.7716218756768064E-3</v>
      </c>
      <c r="I755" s="170">
        <v>0</v>
      </c>
      <c r="J755" s="170">
        <v>0</v>
      </c>
      <c r="L755">
        <f t="array" ref="L755:N757">SVDD(B755:D757)</f>
        <v>3.4854891246578172</v>
      </c>
      <c r="M755">
        <v>0</v>
      </c>
      <c r="N755">
        <v>0</v>
      </c>
      <c r="P755">
        <f t="shared" ref="P755" si="233">MAX(L755,M756,N757)/MIN(L755,M756,N757)</f>
        <v>4.0515953972785423</v>
      </c>
    </row>
    <row r="756" spans="1:16">
      <c r="A756" s="170" t="s">
        <v>402</v>
      </c>
      <c r="B756" s="171">
        <v>2.4772611105726599</v>
      </c>
      <c r="C756" s="171">
        <v>-1.0605572692523213</v>
      </c>
      <c r="D756" s="171">
        <v>-3.9812674620544719E-2</v>
      </c>
      <c r="E756" s="170">
        <v>0</v>
      </c>
      <c r="F756" s="170">
        <f>-$L$1</f>
        <v>-1.4990492230334603E-2</v>
      </c>
      <c r="G756" s="171">
        <v>0</v>
      </c>
      <c r="H756" s="171">
        <v>0</v>
      </c>
      <c r="I756" s="177">
        <f>-$N$1</f>
        <v>-4.7716218756768064E-3</v>
      </c>
      <c r="J756" s="170">
        <v>0</v>
      </c>
      <c r="L756">
        <v>0</v>
      </c>
      <c r="M756">
        <v>1.4946030517931475</v>
      </c>
      <c r="N756">
        <v>0</v>
      </c>
    </row>
    <row r="757" spans="1:16">
      <c r="A757" s="170"/>
      <c r="B757" s="171">
        <v>1.0097006711160386</v>
      </c>
      <c r="C757" s="171">
        <v>0.26302086313966178</v>
      </c>
      <c r="D757" s="171">
        <v>-0.76545275918666766</v>
      </c>
      <c r="E757" s="170">
        <v>0</v>
      </c>
      <c r="F757" s="171">
        <v>0</v>
      </c>
      <c r="G757" s="170">
        <f>-$L$1</f>
        <v>-1.4990492230334603E-2</v>
      </c>
      <c r="H757" s="171">
        <v>0</v>
      </c>
      <c r="I757" s="171">
        <v>0</v>
      </c>
      <c r="J757" s="177">
        <f>-$N$1</f>
        <v>-4.7716218756768064E-3</v>
      </c>
      <c r="L757">
        <v>0</v>
      </c>
      <c r="M757">
        <v>0</v>
      </c>
      <c r="N757">
        <v>0.86027571435169004</v>
      </c>
    </row>
    <row r="758" spans="1:16">
      <c r="A758" s="170"/>
      <c r="B758" s="171"/>
      <c r="C758" s="171"/>
      <c r="D758" s="171"/>
      <c r="E758" s="170"/>
      <c r="F758" s="170"/>
      <c r="G758" s="170"/>
      <c r="H758" s="170"/>
      <c r="I758" s="170"/>
      <c r="J758" s="170"/>
    </row>
    <row r="759" spans="1:16">
      <c r="A759" s="170"/>
      <c r="B759" s="171">
        <v>1.0351585166444348</v>
      </c>
      <c r="C759" s="171">
        <v>-2.1037449841221099</v>
      </c>
      <c r="D759" s="171">
        <v>-0.82913701269133588</v>
      </c>
      <c r="E759" s="170">
        <f>-$L$1</f>
        <v>-1.4990492230334603E-2</v>
      </c>
      <c r="F759" s="171">
        <v>0</v>
      </c>
      <c r="G759" s="171">
        <v>0</v>
      </c>
      <c r="H759" s="177">
        <f>-$N$1</f>
        <v>-4.7716218756768064E-3</v>
      </c>
      <c r="I759" s="170">
        <v>0</v>
      </c>
      <c r="J759" s="170">
        <v>0</v>
      </c>
      <c r="L759">
        <f t="array" ref="L759:N761">SVDD(B759:D761)</f>
        <v>2.7272208733088839</v>
      </c>
      <c r="M759">
        <v>0</v>
      </c>
      <c r="N759">
        <v>0</v>
      </c>
      <c r="P759">
        <f t="shared" ref="P759" si="234">MAX(L759,M760,N761)/MIN(L759,M760,N761)</f>
        <v>4.3704074811251417</v>
      </c>
    </row>
    <row r="760" spans="1:16">
      <c r="A760" s="170" t="s">
        <v>403</v>
      </c>
      <c r="B760" s="171">
        <v>1.6188303733889171</v>
      </c>
      <c r="C760" s="171">
        <v>-1.9594494251009342E-2</v>
      </c>
      <c r="D760" s="171">
        <v>-7.7422792294721043E-2</v>
      </c>
      <c r="E760" s="170">
        <v>0</v>
      </c>
      <c r="F760" s="170">
        <f>-$L$1</f>
        <v>-1.4990492230334603E-2</v>
      </c>
      <c r="G760" s="171">
        <v>0</v>
      </c>
      <c r="H760" s="171">
        <v>0</v>
      </c>
      <c r="I760" s="177">
        <f>-$N$1</f>
        <v>-4.7716218756768064E-3</v>
      </c>
      <c r="J760" s="170">
        <v>0</v>
      </c>
      <c r="L760">
        <v>0</v>
      </c>
      <c r="M760">
        <v>1.6307094262174668</v>
      </c>
      <c r="N760">
        <v>0</v>
      </c>
    </row>
    <row r="761" spans="1:16">
      <c r="A761" s="170"/>
      <c r="B761" s="171">
        <v>1.0097006711160386</v>
      </c>
      <c r="C761" s="171">
        <v>0.26302086313966178</v>
      </c>
      <c r="D761" s="171">
        <v>-0.76545275918666766</v>
      </c>
      <c r="E761" s="170">
        <v>0</v>
      </c>
      <c r="F761" s="171">
        <v>0</v>
      </c>
      <c r="G761" s="170">
        <f>-$L$1</f>
        <v>-1.4990492230334603E-2</v>
      </c>
      <c r="H761" s="171">
        <v>0</v>
      </c>
      <c r="I761" s="171">
        <v>0</v>
      </c>
      <c r="J761" s="177">
        <f>-$N$1</f>
        <v>-4.7716218756768064E-3</v>
      </c>
      <c r="L761">
        <v>0</v>
      </c>
      <c r="M761">
        <v>0</v>
      </c>
      <c r="N761">
        <v>0.62401981624989644</v>
      </c>
    </row>
    <row r="762" spans="1:16">
      <c r="A762" s="170"/>
      <c r="B762" s="171"/>
      <c r="C762" s="171"/>
      <c r="D762" s="171"/>
      <c r="E762" s="170"/>
      <c r="F762" s="170"/>
      <c r="G762" s="170"/>
      <c r="H762" s="170"/>
      <c r="I762" s="170"/>
      <c r="J762" s="170"/>
    </row>
    <row r="763" spans="1:16">
      <c r="A763" s="170"/>
      <c r="B763" s="171">
        <v>-0.21871711292247331</v>
      </c>
      <c r="C763" s="171">
        <v>-2.1363371502498802</v>
      </c>
      <c r="D763" s="171">
        <v>-8.9790398854103559E-2</v>
      </c>
      <c r="E763" s="170">
        <f>-$L$1</f>
        <v>-1.4990492230334603E-2</v>
      </c>
      <c r="F763" s="171">
        <v>0</v>
      </c>
      <c r="G763" s="171">
        <v>0</v>
      </c>
      <c r="H763" s="177">
        <f>-$N$1</f>
        <v>-4.7716218756768064E-3</v>
      </c>
      <c r="I763" s="170">
        <v>0</v>
      </c>
      <c r="J763" s="170">
        <v>0</v>
      </c>
      <c r="L763">
        <f t="array" ref="L763:N765">SVDD(B763:D765)</f>
        <v>3.5219832458219291</v>
      </c>
      <c r="M763">
        <v>0</v>
      </c>
      <c r="N763">
        <v>0</v>
      </c>
      <c r="P763">
        <f t="shared" ref="P763" si="235">MAX(L763,M764,N765)/MIN(L763,M764,N765)</f>
        <v>83.460835017935977</v>
      </c>
    </row>
    <row r="764" spans="1:16">
      <c r="A764" s="170" t="s">
        <v>404</v>
      </c>
      <c r="B764" s="171">
        <v>2.0770709056556562</v>
      </c>
      <c r="C764" s="171">
        <v>-2.1445635165533226</v>
      </c>
      <c r="D764" s="171">
        <v>-5.6653180844775664E-2</v>
      </c>
      <c r="E764" s="170">
        <v>0</v>
      </c>
      <c r="F764" s="170">
        <f>-$L$1</f>
        <v>-1.4990492230334603E-2</v>
      </c>
      <c r="G764" s="171">
        <v>0</v>
      </c>
      <c r="H764" s="171">
        <v>0</v>
      </c>
      <c r="I764" s="177">
        <f>-$N$1</f>
        <v>-4.7716218756768064E-3</v>
      </c>
      <c r="J764" s="170">
        <v>0</v>
      </c>
      <c r="L764">
        <v>0</v>
      </c>
      <c r="M764">
        <v>1.7144086725780303</v>
      </c>
      <c r="N764">
        <v>0</v>
      </c>
    </row>
    <row r="765" spans="1:16">
      <c r="A765" s="170"/>
      <c r="B765" s="171">
        <v>-0.36768865949079377</v>
      </c>
      <c r="C765" s="171">
        <v>-1.2890795247765441</v>
      </c>
      <c r="D765" s="171">
        <v>-0.10954983766095538</v>
      </c>
      <c r="E765" s="170">
        <v>0</v>
      </c>
      <c r="F765" s="171">
        <v>0</v>
      </c>
      <c r="G765" s="170">
        <f>-$L$1</f>
        <v>-1.4990492230334603E-2</v>
      </c>
      <c r="H765" s="171">
        <v>0</v>
      </c>
      <c r="I765" s="171">
        <v>0</v>
      </c>
      <c r="J765" s="177">
        <f>-$N$1</f>
        <v>-4.7716218756768064E-3</v>
      </c>
      <c r="L765">
        <v>0</v>
      </c>
      <c r="M765">
        <v>0</v>
      </c>
      <c r="N765">
        <v>4.2199233269892937E-2</v>
      </c>
    </row>
    <row r="766" spans="1:16">
      <c r="A766" s="170"/>
      <c r="B766" s="171"/>
      <c r="C766" s="171"/>
      <c r="D766" s="171"/>
      <c r="E766" s="170"/>
      <c r="F766" s="170"/>
      <c r="G766" s="170"/>
      <c r="H766" s="170"/>
      <c r="I766" s="170"/>
      <c r="J766" s="170"/>
    </row>
    <row r="767" spans="1:16">
      <c r="A767" s="170"/>
      <c r="B767" s="171">
        <v>-0.21871711292247331</v>
      </c>
      <c r="C767" s="171">
        <v>-2.1363371502498802</v>
      </c>
      <c r="D767" s="171">
        <v>-8.9790398854103559E-2</v>
      </c>
      <c r="E767" s="170">
        <f>-$L$1</f>
        <v>-1.4990492230334603E-2</v>
      </c>
      <c r="F767" s="171">
        <v>0</v>
      </c>
      <c r="G767" s="171">
        <v>0</v>
      </c>
      <c r="H767" s="177">
        <f>-$N$1</f>
        <v>-4.7716218756768064E-3</v>
      </c>
      <c r="I767" s="170">
        <v>0</v>
      </c>
      <c r="J767" s="170">
        <v>0</v>
      </c>
      <c r="L767">
        <f t="array" ref="L767:N769">SVDD(B767:D769)</f>
        <v>4.1252366715348998</v>
      </c>
      <c r="M767">
        <v>0</v>
      </c>
      <c r="N767">
        <v>0</v>
      </c>
      <c r="P767">
        <f t="shared" ref="P767" si="236">MAX(L767,M768,N769)/MIN(L767,M768,N769)</f>
        <v>204.78346391597921</v>
      </c>
    </row>
    <row r="768" spans="1:16">
      <c r="A768" s="170" t="s">
        <v>405</v>
      </c>
      <c r="B768" s="171">
        <v>2.0770709056556562</v>
      </c>
      <c r="C768" s="171">
        <v>-2.1445635165533226</v>
      </c>
      <c r="D768" s="171">
        <v>-5.6653180844775664E-2</v>
      </c>
      <c r="E768" s="170">
        <v>0</v>
      </c>
      <c r="F768" s="170">
        <f>-$L$1</f>
        <v>-1.4990492230334603E-2</v>
      </c>
      <c r="G768" s="171">
        <v>0</v>
      </c>
      <c r="H768" s="171">
        <v>0</v>
      </c>
      <c r="I768" s="177">
        <f>-$N$1</f>
        <v>-4.7716218756768064E-3</v>
      </c>
      <c r="J768" s="170">
        <v>0</v>
      </c>
      <c r="L768">
        <v>0</v>
      </c>
      <c r="M768">
        <v>1.9446407651057727</v>
      </c>
      <c r="N768">
        <v>0</v>
      </c>
    </row>
    <row r="769" spans="1:16">
      <c r="A769" s="170"/>
      <c r="B769" s="171">
        <v>2.4772611105726599</v>
      </c>
      <c r="C769" s="171">
        <v>-1.0605572692523213</v>
      </c>
      <c r="D769" s="171">
        <v>-3.9812674620544719E-2</v>
      </c>
      <c r="E769" s="170">
        <v>0</v>
      </c>
      <c r="F769" s="171">
        <v>0</v>
      </c>
      <c r="G769" s="170">
        <f>-$L$1</f>
        <v>-1.4990492230334603E-2</v>
      </c>
      <c r="H769" s="171">
        <v>0</v>
      </c>
      <c r="I769" s="171">
        <v>0</v>
      </c>
      <c r="J769" s="177">
        <f>-$N$1</f>
        <v>-4.7716218756768064E-3</v>
      </c>
      <c r="L769">
        <v>0</v>
      </c>
      <c r="M769">
        <v>0</v>
      </c>
      <c r="N769">
        <v>2.0144383695098775E-2</v>
      </c>
    </row>
    <row r="770" spans="1:16">
      <c r="A770" s="170"/>
      <c r="B770" s="171"/>
      <c r="C770" s="171"/>
      <c r="D770" s="171"/>
      <c r="E770" s="170"/>
      <c r="F770" s="170"/>
      <c r="G770" s="170"/>
      <c r="H770" s="170"/>
      <c r="I770" s="170"/>
      <c r="J770" s="170"/>
    </row>
    <row r="771" spans="1:16">
      <c r="A771" s="170"/>
      <c r="B771" s="171">
        <v>-0.21871711292247331</v>
      </c>
      <c r="C771" s="171">
        <v>-2.1363371502498802</v>
      </c>
      <c r="D771" s="171">
        <v>-8.9790398854103559E-2</v>
      </c>
      <c r="E771" s="170">
        <f>-$L$1</f>
        <v>-1.4990492230334603E-2</v>
      </c>
      <c r="F771" s="171">
        <v>0</v>
      </c>
      <c r="G771" s="171">
        <v>0</v>
      </c>
      <c r="H771" s="177">
        <f>-$N$1</f>
        <v>-4.7716218756768064E-3</v>
      </c>
      <c r="I771" s="170">
        <v>0</v>
      </c>
      <c r="J771" s="170">
        <v>0</v>
      </c>
      <c r="L771">
        <f t="array" ref="L771:N773">SVDD(B771:D773)</f>
        <v>3.4999162168287778</v>
      </c>
      <c r="M771">
        <v>0</v>
      </c>
      <c r="N771">
        <v>0</v>
      </c>
      <c r="P771">
        <f t="shared" ref="P771" si="237">MAX(L771,M772,N773)/MIN(L771,M772,N773)</f>
        <v>49.247927504726903</v>
      </c>
    </row>
    <row r="772" spans="1:16">
      <c r="A772" s="170" t="s">
        <v>406</v>
      </c>
      <c r="B772" s="171">
        <v>2.0770709056556562</v>
      </c>
      <c r="C772" s="171">
        <v>-2.1445635165533226</v>
      </c>
      <c r="D772" s="171">
        <v>-5.6653180844775664E-2</v>
      </c>
      <c r="E772" s="170">
        <v>0</v>
      </c>
      <c r="F772" s="170">
        <f>-$L$1</f>
        <v>-1.4990492230334603E-2</v>
      </c>
      <c r="G772" s="171">
        <v>0</v>
      </c>
      <c r="H772" s="171">
        <v>0</v>
      </c>
      <c r="I772" s="177">
        <f>-$N$1</f>
        <v>-4.7716218756768064E-3</v>
      </c>
      <c r="J772" s="170">
        <v>0</v>
      </c>
      <c r="L772">
        <v>0</v>
      </c>
      <c r="M772">
        <v>1.9771058760415288</v>
      </c>
      <c r="N772">
        <v>0</v>
      </c>
    </row>
    <row r="773" spans="1:16">
      <c r="A773" s="170"/>
      <c r="B773" s="171">
        <v>1.6188303733889171</v>
      </c>
      <c r="C773" s="171">
        <v>-1.9594494251009342E-2</v>
      </c>
      <c r="D773" s="171">
        <v>-7.7422792294721043E-2</v>
      </c>
      <c r="E773" s="170">
        <v>0</v>
      </c>
      <c r="F773" s="171">
        <v>0</v>
      </c>
      <c r="G773" s="170">
        <f>-$L$1</f>
        <v>-1.4990492230334603E-2</v>
      </c>
      <c r="H773" s="171">
        <v>0</v>
      </c>
      <c r="I773" s="171">
        <v>0</v>
      </c>
      <c r="J773" s="177">
        <f>-$N$1</f>
        <v>-4.7716218756768064E-3</v>
      </c>
      <c r="L773">
        <v>0</v>
      </c>
      <c r="M773">
        <v>0</v>
      </c>
      <c r="N773">
        <v>7.1067279257443869E-2</v>
      </c>
    </row>
    <row r="774" spans="1:16">
      <c r="A774" s="170"/>
      <c r="B774" s="171"/>
      <c r="C774" s="171"/>
      <c r="D774" s="171"/>
      <c r="E774" s="170"/>
      <c r="F774" s="170"/>
      <c r="G774" s="170"/>
      <c r="H774" s="170"/>
      <c r="I774" s="170"/>
      <c r="J774" s="170"/>
    </row>
    <row r="775" spans="1:16">
      <c r="A775" s="170"/>
      <c r="B775" s="171">
        <v>-0.21871711292247331</v>
      </c>
      <c r="C775" s="171">
        <v>-2.1363371502498802</v>
      </c>
      <c r="D775" s="171">
        <v>-8.9790398854103559E-2</v>
      </c>
      <c r="E775" s="170">
        <f>-$L$1</f>
        <v>-1.4990492230334603E-2</v>
      </c>
      <c r="F775" s="171">
        <v>0</v>
      </c>
      <c r="G775" s="171">
        <v>0</v>
      </c>
      <c r="H775" s="177">
        <f>-$N$1</f>
        <v>-4.7716218756768064E-3</v>
      </c>
      <c r="I775" s="170">
        <v>0</v>
      </c>
      <c r="J775" s="170">
        <v>0</v>
      </c>
      <c r="L775">
        <f t="array" ref="L775:N777">SVDD(B775:D777)</f>
        <v>3.3948059572691527</v>
      </c>
      <c r="M775">
        <v>0</v>
      </c>
      <c r="N775">
        <v>0</v>
      </c>
      <c r="P775">
        <f t="shared" ref="P775" si="238">MAX(L775,M776,N777)/MIN(L775,M776,N777)</f>
        <v>5.3867085530333512</v>
      </c>
    </row>
    <row r="776" spans="1:16">
      <c r="A776" s="170" t="s">
        <v>407</v>
      </c>
      <c r="B776" s="171">
        <v>2.0770709056556562</v>
      </c>
      <c r="C776" s="171">
        <v>-2.1445635165533226</v>
      </c>
      <c r="D776" s="171">
        <v>-5.6653180844775664E-2</v>
      </c>
      <c r="E776" s="170">
        <v>0</v>
      </c>
      <c r="F776" s="170">
        <f>-$L$1</f>
        <v>-1.4990492230334603E-2</v>
      </c>
      <c r="G776" s="171">
        <v>0</v>
      </c>
      <c r="H776" s="171">
        <v>0</v>
      </c>
      <c r="I776" s="177">
        <f>-$N$1</f>
        <v>-4.7716218756768064E-3</v>
      </c>
      <c r="J776" s="170">
        <v>0</v>
      </c>
      <c r="L776">
        <v>0</v>
      </c>
      <c r="M776">
        <v>1.8135963211885682</v>
      </c>
      <c r="N776">
        <v>0</v>
      </c>
    </row>
    <row r="777" spans="1:16">
      <c r="A777" s="170"/>
      <c r="B777" s="171">
        <v>1.0097006711160386</v>
      </c>
      <c r="C777" s="171">
        <v>0.26302086313966178</v>
      </c>
      <c r="D777" s="171">
        <v>-0.76545275918666766</v>
      </c>
      <c r="E777" s="170">
        <v>0</v>
      </c>
      <c r="F777" s="171">
        <v>0</v>
      </c>
      <c r="G777" s="170">
        <f>-$L$1</f>
        <v>-1.4990492230334603E-2</v>
      </c>
      <c r="H777" s="171">
        <v>0</v>
      </c>
      <c r="I777" s="171">
        <v>0</v>
      </c>
      <c r="J777" s="177">
        <f>-$N$1</f>
        <v>-4.7716218756768064E-3</v>
      </c>
      <c r="L777">
        <v>0</v>
      </c>
      <c r="M777">
        <v>0</v>
      </c>
      <c r="N777">
        <v>0.63021897766447332</v>
      </c>
    </row>
    <row r="778" spans="1:16">
      <c r="A778" s="170"/>
      <c r="B778" s="171"/>
      <c r="C778" s="171"/>
      <c r="D778" s="171"/>
      <c r="E778" s="170"/>
      <c r="F778" s="170"/>
      <c r="G778" s="170"/>
      <c r="H778" s="170"/>
      <c r="I778" s="170"/>
      <c r="J778" s="170"/>
    </row>
    <row r="779" spans="1:16">
      <c r="A779" s="170"/>
      <c r="B779" s="171">
        <v>-0.21871711292247331</v>
      </c>
      <c r="C779" s="171">
        <v>-2.1363371502498802</v>
      </c>
      <c r="D779" s="171">
        <v>-8.9790398854103559E-2</v>
      </c>
      <c r="E779" s="170">
        <f>-$L$1</f>
        <v>-1.4990492230334603E-2</v>
      </c>
      <c r="F779" s="171">
        <v>0</v>
      </c>
      <c r="G779" s="171">
        <v>0</v>
      </c>
      <c r="H779" s="177">
        <f>-$N$1</f>
        <v>-4.7716218756768064E-3</v>
      </c>
      <c r="I779" s="170">
        <v>0</v>
      </c>
      <c r="J779" s="170">
        <v>0</v>
      </c>
      <c r="L779">
        <f t="array" ref="L779:N781">SVDD(B779:D781)</f>
        <v>2.9343597301016002</v>
      </c>
      <c r="M779">
        <v>0</v>
      </c>
      <c r="N779">
        <v>0</v>
      </c>
      <c r="P779">
        <f t="shared" ref="P779" si="239">MAX(L779,M780,N781)/MIN(L779,M780,N781)</f>
        <v>63.944981854448542</v>
      </c>
    </row>
    <row r="780" spans="1:16">
      <c r="A780" s="170" t="s">
        <v>408</v>
      </c>
      <c r="B780" s="171">
        <v>-0.36768865949079377</v>
      </c>
      <c r="C780" s="171">
        <v>-1.2890795247765441</v>
      </c>
      <c r="D780" s="171">
        <v>-0.10954983766095538</v>
      </c>
      <c r="E780" s="170">
        <v>0</v>
      </c>
      <c r="F780" s="170">
        <f>-$L$1</f>
        <v>-1.4990492230334603E-2</v>
      </c>
      <c r="G780" s="171">
        <v>0</v>
      </c>
      <c r="H780" s="171">
        <v>0</v>
      </c>
      <c r="I780" s="177">
        <f>-$N$1</f>
        <v>-4.7716218756768064E-3</v>
      </c>
      <c r="J780" s="170">
        <v>0</v>
      </c>
      <c r="L780">
        <v>0</v>
      </c>
      <c r="M780">
        <v>2.2537467959334609</v>
      </c>
      <c r="N780">
        <v>0</v>
      </c>
    </row>
    <row r="781" spans="1:16">
      <c r="A781" s="170"/>
      <c r="B781" s="171">
        <v>2.4772611105726599</v>
      </c>
      <c r="C781" s="171">
        <v>-1.0605572692523213</v>
      </c>
      <c r="D781" s="171">
        <v>-3.9812674620544719E-2</v>
      </c>
      <c r="E781" s="170">
        <v>0</v>
      </c>
      <c r="F781" s="171">
        <v>0</v>
      </c>
      <c r="G781" s="170">
        <f>-$L$1</f>
        <v>-1.4990492230334603E-2</v>
      </c>
      <c r="H781" s="171">
        <v>0</v>
      </c>
      <c r="I781" s="171">
        <v>0</v>
      </c>
      <c r="J781" s="177">
        <f>-$N$1</f>
        <v>-4.7716218756768064E-3</v>
      </c>
      <c r="L781">
        <v>0</v>
      </c>
      <c r="M781">
        <v>0</v>
      </c>
      <c r="N781">
        <v>4.588881949768607E-2</v>
      </c>
    </row>
    <row r="782" spans="1:16">
      <c r="A782" s="170"/>
      <c r="B782" s="171"/>
      <c r="C782" s="171"/>
      <c r="D782" s="171"/>
      <c r="E782" s="170"/>
      <c r="F782" s="170"/>
      <c r="G782" s="170"/>
      <c r="H782" s="170"/>
      <c r="I782" s="170"/>
      <c r="J782" s="170"/>
    </row>
    <row r="783" spans="1:16">
      <c r="A783" s="170"/>
      <c r="B783" s="171">
        <v>-0.21871711292247331</v>
      </c>
      <c r="C783" s="171">
        <v>-2.1363371502498802</v>
      </c>
      <c r="D783" s="171">
        <v>-8.9790398854103559E-2</v>
      </c>
      <c r="E783" s="170">
        <f>-$L$1</f>
        <v>-1.4990492230334603E-2</v>
      </c>
      <c r="F783" s="171">
        <v>0</v>
      </c>
      <c r="G783" s="171">
        <v>0</v>
      </c>
      <c r="H783" s="177">
        <f>-$N$1</f>
        <v>-4.7716218756768064E-3</v>
      </c>
      <c r="I783" s="170">
        <v>0</v>
      </c>
      <c r="J783" s="170">
        <v>0</v>
      </c>
      <c r="L783">
        <f t="array" ref="L783:N785">SVDD(B783:D785)</f>
        <v>2.5431384826606735</v>
      </c>
      <c r="M783">
        <v>0</v>
      </c>
      <c r="N783">
        <v>0</v>
      </c>
      <c r="P783">
        <f t="shared" ref="P783" si="240">MAX(L783,M784,N785)/MIN(L783,M784,N785)</f>
        <v>45.152375765832033</v>
      </c>
    </row>
    <row r="784" spans="1:16">
      <c r="A784" s="170" t="s">
        <v>409</v>
      </c>
      <c r="B784" s="171">
        <v>-0.36768865949079377</v>
      </c>
      <c r="C784" s="171">
        <v>-1.2890795247765441</v>
      </c>
      <c r="D784" s="171">
        <v>-0.10954983766095538</v>
      </c>
      <c r="E784" s="170">
        <v>0</v>
      </c>
      <c r="F784" s="170">
        <f>-$L$1</f>
        <v>-1.4990492230334603E-2</v>
      </c>
      <c r="G784" s="171">
        <v>0</v>
      </c>
      <c r="H784" s="171">
        <v>0</v>
      </c>
      <c r="I784" s="177">
        <f>-$N$1</f>
        <v>-4.7716218756768064E-3</v>
      </c>
      <c r="J784" s="170">
        <v>0</v>
      </c>
      <c r="L784">
        <v>0</v>
      </c>
      <c r="M784">
        <v>1.6078004803802042</v>
      </c>
      <c r="N784">
        <v>0</v>
      </c>
    </row>
    <row r="785" spans="1:16">
      <c r="A785" s="170"/>
      <c r="B785" s="171">
        <v>1.6188303733889171</v>
      </c>
      <c r="C785" s="171">
        <v>-1.9594494251009342E-2</v>
      </c>
      <c r="D785" s="171">
        <v>-7.7422792294721043E-2</v>
      </c>
      <c r="E785" s="170">
        <v>0</v>
      </c>
      <c r="F785" s="171">
        <v>0</v>
      </c>
      <c r="G785" s="170">
        <f>-$L$1</f>
        <v>-1.4990492230334603E-2</v>
      </c>
      <c r="H785" s="171">
        <v>0</v>
      </c>
      <c r="I785" s="171">
        <v>0</v>
      </c>
      <c r="J785" s="177">
        <f>-$N$1</f>
        <v>-4.7716218756768064E-3</v>
      </c>
      <c r="L785">
        <v>0</v>
      </c>
      <c r="M785">
        <v>0</v>
      </c>
      <c r="N785">
        <v>5.6323470017387925E-2</v>
      </c>
    </row>
    <row r="786" spans="1:16">
      <c r="A786" s="170"/>
      <c r="B786" s="171"/>
      <c r="C786" s="171"/>
      <c r="D786" s="171"/>
      <c r="E786" s="170"/>
      <c r="F786" s="170"/>
      <c r="G786" s="170"/>
      <c r="H786" s="170"/>
      <c r="I786" s="170"/>
      <c r="J786" s="170"/>
    </row>
    <row r="787" spans="1:16">
      <c r="A787" s="170"/>
      <c r="B787" s="171">
        <v>-0.21871711292247331</v>
      </c>
      <c r="C787" s="171">
        <v>-2.1363371502498802</v>
      </c>
      <c r="D787" s="171">
        <v>-8.9790398854103559E-2</v>
      </c>
      <c r="E787" s="170">
        <f>-$L$1</f>
        <v>-1.4990492230334603E-2</v>
      </c>
      <c r="F787" s="171">
        <v>0</v>
      </c>
      <c r="G787" s="171">
        <v>0</v>
      </c>
      <c r="H787" s="177">
        <f>-$N$1</f>
        <v>-4.7716218756768064E-3</v>
      </c>
      <c r="I787" s="170">
        <v>0</v>
      </c>
      <c r="J787" s="170">
        <v>0</v>
      </c>
      <c r="L787">
        <f t="array" ref="L787:N789">SVDD(B787:D789)</f>
        <v>2.5625172269353693</v>
      </c>
      <c r="M787">
        <v>0</v>
      </c>
      <c r="N787">
        <v>0</v>
      </c>
      <c r="P787">
        <f t="shared" ref="P787" si="241">MAX(L787,M788,N789)/MIN(L787,M788,N789)</f>
        <v>15.911611789340494</v>
      </c>
    </row>
    <row r="788" spans="1:16">
      <c r="A788" s="170" t="s">
        <v>410</v>
      </c>
      <c r="B788" s="171">
        <v>-0.36768865949079377</v>
      </c>
      <c r="C788" s="171">
        <v>-1.2890795247765441</v>
      </c>
      <c r="D788" s="171">
        <v>-0.10954983766095538</v>
      </c>
      <c r="E788" s="170">
        <v>0</v>
      </c>
      <c r="F788" s="170">
        <f>-$L$1</f>
        <v>-1.4990492230334603E-2</v>
      </c>
      <c r="G788" s="171">
        <v>0</v>
      </c>
      <c r="H788" s="171">
        <v>0</v>
      </c>
      <c r="I788" s="177">
        <f>-$N$1</f>
        <v>-4.7716218756768064E-3</v>
      </c>
      <c r="J788" s="170">
        <v>0</v>
      </c>
      <c r="L788">
        <v>0</v>
      </c>
      <c r="M788">
        <v>1.2291951526341842</v>
      </c>
      <c r="N788">
        <v>0</v>
      </c>
    </row>
    <row r="789" spans="1:16">
      <c r="A789" s="170"/>
      <c r="B789" s="171">
        <v>1.0097006711160386</v>
      </c>
      <c r="C789" s="171">
        <v>0.26302086313966178</v>
      </c>
      <c r="D789" s="171">
        <v>-0.76545275918666766</v>
      </c>
      <c r="E789" s="170">
        <v>0</v>
      </c>
      <c r="F789" s="171">
        <v>0</v>
      </c>
      <c r="G789" s="170">
        <f>-$L$1</f>
        <v>-1.4990492230334603E-2</v>
      </c>
      <c r="H789" s="171">
        <v>0</v>
      </c>
      <c r="I789" s="171">
        <v>0</v>
      </c>
      <c r="J789" s="177">
        <f>-$N$1</f>
        <v>-4.7716218756768064E-3</v>
      </c>
      <c r="L789">
        <v>0</v>
      </c>
      <c r="M789">
        <v>0</v>
      </c>
      <c r="N789">
        <v>0.16104699265300393</v>
      </c>
    </row>
    <row r="790" spans="1:16">
      <c r="A790" s="170"/>
      <c r="B790" s="171"/>
      <c r="C790" s="171"/>
      <c r="D790" s="171"/>
      <c r="E790" s="170"/>
      <c r="F790" s="170"/>
      <c r="G790" s="170"/>
      <c r="H790" s="170"/>
      <c r="I790" s="170"/>
      <c r="J790" s="170"/>
    </row>
    <row r="791" spans="1:16">
      <c r="A791" s="170"/>
      <c r="B791" s="171">
        <v>-0.21871711292247331</v>
      </c>
      <c r="C791" s="171">
        <v>-2.1363371502498802</v>
      </c>
      <c r="D791" s="171">
        <v>-8.9790398854103559E-2</v>
      </c>
      <c r="E791" s="170">
        <f>-$L$1</f>
        <v>-1.4990492230334603E-2</v>
      </c>
      <c r="F791" s="171">
        <v>0</v>
      </c>
      <c r="G791" s="171">
        <v>0</v>
      </c>
      <c r="H791" s="177">
        <f>-$N$1</f>
        <v>-4.7716218756768064E-3</v>
      </c>
      <c r="I791" s="170">
        <v>0</v>
      </c>
      <c r="J791" s="170">
        <v>0</v>
      </c>
      <c r="L791">
        <f t="array" ref="L791:N793">SVDD(B791:D793)</f>
        <v>3.1535307222798994</v>
      </c>
      <c r="M791">
        <v>0</v>
      </c>
      <c r="N791">
        <v>0</v>
      </c>
      <c r="P791">
        <f t="shared" ref="P791" si="242">MAX(L791,M792,N793)/MIN(L791,M792,N793)</f>
        <v>48.308554874402986</v>
      </c>
    </row>
    <row r="792" spans="1:16">
      <c r="A792" s="170" t="s">
        <v>411</v>
      </c>
      <c r="B792" s="171">
        <v>2.4772611105726599</v>
      </c>
      <c r="C792" s="171">
        <v>-1.0605572692523213</v>
      </c>
      <c r="D792" s="171">
        <v>-3.9812674620544719E-2</v>
      </c>
      <c r="E792" s="170">
        <v>0</v>
      </c>
      <c r="F792" s="170">
        <f>-$L$1</f>
        <v>-1.4990492230334603E-2</v>
      </c>
      <c r="G792" s="171">
        <v>0</v>
      </c>
      <c r="H792" s="171">
        <v>0</v>
      </c>
      <c r="I792" s="177">
        <f>-$N$1</f>
        <v>-4.7716218756768064E-3</v>
      </c>
      <c r="J792" s="170">
        <v>0</v>
      </c>
      <c r="L792">
        <v>0</v>
      </c>
      <c r="M792">
        <v>2.1356493033681625</v>
      </c>
      <c r="N792">
        <v>0</v>
      </c>
    </row>
    <row r="793" spans="1:16">
      <c r="A793" s="170"/>
      <c r="B793" s="171">
        <v>1.6188303733889171</v>
      </c>
      <c r="C793" s="171">
        <v>-1.9594494251009342E-2</v>
      </c>
      <c r="D793" s="171">
        <v>-7.7422792294721043E-2</v>
      </c>
      <c r="E793" s="170">
        <v>0</v>
      </c>
      <c r="F793" s="171">
        <v>0</v>
      </c>
      <c r="G793" s="170">
        <f>-$L$1</f>
        <v>-1.4990492230334603E-2</v>
      </c>
      <c r="H793" s="171">
        <v>0</v>
      </c>
      <c r="I793" s="171">
        <v>0</v>
      </c>
      <c r="J793" s="177">
        <f>-$N$1</f>
        <v>-4.7716218756768064E-3</v>
      </c>
      <c r="L793">
        <v>0</v>
      </c>
      <c r="M793">
        <v>0</v>
      </c>
      <c r="N793">
        <v>6.5278928969801267E-2</v>
      </c>
    </row>
    <row r="794" spans="1:16">
      <c r="A794" s="170"/>
      <c r="B794" s="171"/>
      <c r="C794" s="171"/>
      <c r="D794" s="171"/>
      <c r="E794" s="170"/>
      <c r="F794" s="170"/>
      <c r="G794" s="170"/>
      <c r="H794" s="170"/>
      <c r="I794" s="170"/>
      <c r="J794" s="170"/>
    </row>
    <row r="795" spans="1:16">
      <c r="A795" s="170"/>
      <c r="B795" s="171">
        <v>-0.21871711292247331</v>
      </c>
      <c r="C795" s="171">
        <v>-2.1363371502498802</v>
      </c>
      <c r="D795" s="171">
        <v>-8.9790398854103559E-2</v>
      </c>
      <c r="E795" s="170">
        <f>-$L$1</f>
        <v>-1.4990492230334603E-2</v>
      </c>
      <c r="F795" s="171">
        <v>0</v>
      </c>
      <c r="G795" s="171">
        <v>0</v>
      </c>
      <c r="H795" s="177">
        <f>-$N$1</f>
        <v>-4.7716218756768064E-3</v>
      </c>
      <c r="I795" s="170">
        <v>0</v>
      </c>
      <c r="J795" s="170">
        <v>0</v>
      </c>
      <c r="L795">
        <f t="array" ref="L795:N797">SVDD(B795:D797)</f>
        <v>2.9281757437962925</v>
      </c>
      <c r="M795">
        <v>0</v>
      </c>
      <c r="N795">
        <v>0</v>
      </c>
      <c r="P795">
        <f t="shared" ref="P795" si="243">MAX(L795,M796,N797)/MIN(L795,M796,N797)</f>
        <v>4.2325598033353158</v>
      </c>
    </row>
    <row r="796" spans="1:16">
      <c r="A796" s="170" t="s">
        <v>412</v>
      </c>
      <c r="B796" s="171">
        <v>2.4772611105726599</v>
      </c>
      <c r="C796" s="171">
        <v>-1.0605572692523213</v>
      </c>
      <c r="D796" s="171">
        <v>-3.9812674620544719E-2</v>
      </c>
      <c r="E796" s="170">
        <v>0</v>
      </c>
      <c r="F796" s="170">
        <f>-$L$1</f>
        <v>-1.4990492230334603E-2</v>
      </c>
      <c r="G796" s="171">
        <v>0</v>
      </c>
      <c r="H796" s="171">
        <v>0</v>
      </c>
      <c r="I796" s="177">
        <f>-$N$1</f>
        <v>-4.7716218756768064E-3</v>
      </c>
      <c r="J796" s="170">
        <v>0</v>
      </c>
      <c r="L796">
        <v>0</v>
      </c>
      <c r="M796">
        <v>2.1224487048832086</v>
      </c>
      <c r="N796">
        <v>0</v>
      </c>
    </row>
    <row r="797" spans="1:16">
      <c r="A797" s="170"/>
      <c r="B797" s="171">
        <v>1.0097006711160386</v>
      </c>
      <c r="C797" s="171">
        <v>0.26302086313966178</v>
      </c>
      <c r="D797" s="171">
        <v>-0.76545275918666766</v>
      </c>
      <c r="E797" s="170">
        <v>0</v>
      </c>
      <c r="F797" s="171">
        <v>0</v>
      </c>
      <c r="G797" s="170">
        <f>-$L$1</f>
        <v>-1.4990492230334603E-2</v>
      </c>
      <c r="H797" s="171">
        <v>0</v>
      </c>
      <c r="I797" s="171">
        <v>0</v>
      </c>
      <c r="J797" s="177">
        <f>-$N$1</f>
        <v>-4.7716218756768064E-3</v>
      </c>
      <c r="L797">
        <v>0</v>
      </c>
      <c r="M797">
        <v>0</v>
      </c>
      <c r="N797">
        <v>0.69182146971410763</v>
      </c>
    </row>
    <row r="798" spans="1:16">
      <c r="A798" s="170"/>
      <c r="B798" s="171"/>
      <c r="C798" s="171"/>
      <c r="D798" s="171"/>
      <c r="E798" s="170"/>
      <c r="F798" s="170"/>
      <c r="G798" s="170"/>
      <c r="H798" s="170"/>
      <c r="I798" s="170"/>
      <c r="J798" s="170"/>
    </row>
    <row r="799" spans="1:16">
      <c r="A799" s="170"/>
      <c r="B799" s="171">
        <v>-0.21871711292247331</v>
      </c>
      <c r="C799" s="171">
        <v>-2.1363371502498802</v>
      </c>
      <c r="D799" s="171">
        <v>-8.9790398854103559E-2</v>
      </c>
      <c r="E799" s="170">
        <f>-$L$1</f>
        <v>-1.4990492230334603E-2</v>
      </c>
      <c r="F799" s="171">
        <v>0</v>
      </c>
      <c r="G799" s="171">
        <v>0</v>
      </c>
      <c r="H799" s="177">
        <f>-$N$1</f>
        <v>-4.7716218756768064E-3</v>
      </c>
      <c r="I799" s="170">
        <v>0</v>
      </c>
      <c r="J799" s="170">
        <v>0</v>
      </c>
      <c r="L799">
        <f t="array" ref="L799:N801">SVDD(B799:D801)</f>
        <v>2.2470462117852015</v>
      </c>
      <c r="M799">
        <v>0</v>
      </c>
      <c r="N799">
        <v>0</v>
      </c>
      <c r="P799">
        <f t="shared" ref="P799" si="244">MAX(L799,M800,N801)/MIN(L799,M800,N801)</f>
        <v>3.743001491301829</v>
      </c>
    </row>
    <row r="800" spans="1:16">
      <c r="A800" s="170" t="s">
        <v>413</v>
      </c>
      <c r="B800" s="171">
        <v>1.6188303733889171</v>
      </c>
      <c r="C800" s="171">
        <v>-1.9594494251009342E-2</v>
      </c>
      <c r="D800" s="171">
        <v>-7.7422792294721043E-2</v>
      </c>
      <c r="E800" s="170">
        <v>0</v>
      </c>
      <c r="F800" s="170">
        <f>-$L$1</f>
        <v>-1.4990492230334603E-2</v>
      </c>
      <c r="G800" s="171">
        <v>0</v>
      </c>
      <c r="H800" s="171">
        <v>0</v>
      </c>
      <c r="I800" s="177">
        <f>-$N$1</f>
        <v>-4.7716218756768064E-3</v>
      </c>
      <c r="J800" s="170">
        <v>0</v>
      </c>
      <c r="L800">
        <v>0</v>
      </c>
      <c r="M800">
        <v>1.8739805849151565</v>
      </c>
      <c r="N800">
        <v>0</v>
      </c>
    </row>
    <row r="801" spans="1:16">
      <c r="A801" s="170"/>
      <c r="B801" s="171">
        <v>1.0097006711160386</v>
      </c>
      <c r="C801" s="171">
        <v>0.26302086313966178</v>
      </c>
      <c r="D801" s="171">
        <v>-0.76545275918666766</v>
      </c>
      <c r="E801" s="170">
        <v>0</v>
      </c>
      <c r="F801" s="171">
        <v>0</v>
      </c>
      <c r="G801" s="170">
        <f>-$L$1</f>
        <v>-1.4990492230334603E-2</v>
      </c>
      <c r="H801" s="171">
        <v>0</v>
      </c>
      <c r="I801" s="171">
        <v>0</v>
      </c>
      <c r="J801" s="177">
        <f>-$N$1</f>
        <v>-4.7716218756768064E-3</v>
      </c>
      <c r="L801">
        <v>0</v>
      </c>
      <c r="M801">
        <v>0</v>
      </c>
      <c r="N801">
        <v>0.60033270545229489</v>
      </c>
    </row>
    <row r="802" spans="1:16">
      <c r="A802" s="170"/>
      <c r="B802" s="171"/>
      <c r="C802" s="171"/>
      <c r="D802" s="171"/>
      <c r="E802" s="170"/>
      <c r="F802" s="170"/>
      <c r="G802" s="170"/>
      <c r="H802" s="170"/>
      <c r="I802" s="170"/>
      <c r="J802" s="170"/>
    </row>
    <row r="803" spans="1:16">
      <c r="A803" s="170"/>
      <c r="B803" s="171">
        <v>2.0770709056556562</v>
      </c>
      <c r="C803" s="171">
        <v>-2.1445635165533226</v>
      </c>
      <c r="D803" s="171">
        <v>-5.6653180844775664E-2</v>
      </c>
      <c r="E803" s="170">
        <f>-$L$1</f>
        <v>-1.4990492230334603E-2</v>
      </c>
      <c r="F803" s="171">
        <v>0</v>
      </c>
      <c r="G803" s="171">
        <v>0</v>
      </c>
      <c r="H803" s="177">
        <f>-$N$1</f>
        <v>-4.7716218756768064E-3</v>
      </c>
      <c r="I803" s="170">
        <v>0</v>
      </c>
      <c r="J803" s="170">
        <v>0</v>
      </c>
      <c r="L803">
        <f t="array" ref="L803:N805">SVDD(B803:D805)</f>
        <v>3.9738464102962552</v>
      </c>
      <c r="M803">
        <v>0</v>
      </c>
      <c r="N803">
        <v>0</v>
      </c>
      <c r="P803">
        <f t="shared" ref="P803" si="245">MAX(L803,M804,N805)/MIN(L803,M804,N805)</f>
        <v>84.872649675684883</v>
      </c>
    </row>
    <row r="804" spans="1:16">
      <c r="A804" s="170" t="s">
        <v>414</v>
      </c>
      <c r="B804" s="171">
        <v>-0.36768865949079377</v>
      </c>
      <c r="C804" s="171">
        <v>-1.2890795247765441</v>
      </c>
      <c r="D804" s="171">
        <v>-0.10954983766095538</v>
      </c>
      <c r="E804" s="170">
        <v>0</v>
      </c>
      <c r="F804" s="170">
        <f>-$L$1</f>
        <v>-1.4990492230334603E-2</v>
      </c>
      <c r="G804" s="171">
        <v>0</v>
      </c>
      <c r="H804" s="171">
        <v>0</v>
      </c>
      <c r="I804" s="177">
        <f>-$N$1</f>
        <v>-4.7716218756768064E-3</v>
      </c>
      <c r="J804" s="170">
        <v>0</v>
      </c>
      <c r="L804">
        <v>0</v>
      </c>
      <c r="M804">
        <v>1.4815700456431651</v>
      </c>
      <c r="N804">
        <v>0</v>
      </c>
    </row>
    <row r="805" spans="1:16">
      <c r="A805" s="170"/>
      <c r="B805" s="171">
        <v>2.4772611105726599</v>
      </c>
      <c r="C805" s="171">
        <v>-1.0605572692523213</v>
      </c>
      <c r="D805" s="171">
        <v>-3.9812674620544719E-2</v>
      </c>
      <c r="E805" s="170">
        <v>0</v>
      </c>
      <c r="F805" s="171">
        <v>0</v>
      </c>
      <c r="G805" s="170">
        <f>-$L$1</f>
        <v>-1.4990492230334603E-2</v>
      </c>
      <c r="H805" s="171">
        <v>0</v>
      </c>
      <c r="I805" s="171">
        <v>0</v>
      </c>
      <c r="J805" s="177">
        <f>-$N$1</f>
        <v>-4.7716218756768064E-3</v>
      </c>
      <c r="L805">
        <v>0</v>
      </c>
      <c r="M805">
        <v>0</v>
      </c>
      <c r="N805">
        <v>4.6821283717205779E-2</v>
      </c>
    </row>
    <row r="806" spans="1:16">
      <c r="A806" s="170"/>
      <c r="B806" s="171"/>
      <c r="C806" s="171"/>
      <c r="D806" s="171"/>
      <c r="E806" s="170"/>
      <c r="F806" s="170"/>
      <c r="G806" s="170"/>
      <c r="H806" s="170"/>
      <c r="I806" s="170"/>
      <c r="J806" s="170"/>
    </row>
    <row r="807" spans="1:16">
      <c r="A807" s="170"/>
      <c r="B807" s="171">
        <v>2.0770709056556562</v>
      </c>
      <c r="C807" s="171">
        <v>-2.1445635165533226</v>
      </c>
      <c r="D807" s="171">
        <v>-5.6653180844775664E-2</v>
      </c>
      <c r="E807" s="170">
        <f>-$L$1</f>
        <v>-1.4990492230334603E-2</v>
      </c>
      <c r="F807" s="171">
        <v>0</v>
      </c>
      <c r="G807" s="171">
        <v>0</v>
      </c>
      <c r="H807" s="177">
        <f>-$N$1</f>
        <v>-4.7716218756768064E-3</v>
      </c>
      <c r="I807" s="170">
        <v>0</v>
      </c>
      <c r="J807" s="170">
        <v>0</v>
      </c>
      <c r="L807">
        <f t="array" ref="L807:N809">SVDD(B807:D809)</f>
        <v>3.2723335212773668</v>
      </c>
      <c r="M807">
        <v>0</v>
      </c>
      <c r="N807">
        <v>0</v>
      </c>
      <c r="P807">
        <f t="shared" ref="P807" si="246">MAX(L807,M808,N809)/MIN(L807,M808,N809)</f>
        <v>33.069426713699293</v>
      </c>
    </row>
    <row r="808" spans="1:16">
      <c r="A808" s="170" t="s">
        <v>415</v>
      </c>
      <c r="B808" s="171">
        <v>-0.36768865949079377</v>
      </c>
      <c r="C808" s="171">
        <v>-1.2890795247765441</v>
      </c>
      <c r="D808" s="171">
        <v>-0.10954983766095538</v>
      </c>
      <c r="E808" s="170">
        <v>0</v>
      </c>
      <c r="F808" s="170">
        <f>-$L$1</f>
        <v>-1.4990492230334603E-2</v>
      </c>
      <c r="G808" s="171">
        <v>0</v>
      </c>
      <c r="H808" s="171">
        <v>0</v>
      </c>
      <c r="I808" s="177">
        <f>-$N$1</f>
        <v>-4.7716218756768064E-3</v>
      </c>
      <c r="J808" s="170">
        <v>0</v>
      </c>
      <c r="L808">
        <v>0</v>
      </c>
      <c r="M808">
        <v>1.6231264578215259</v>
      </c>
      <c r="N808">
        <v>0</v>
      </c>
    </row>
    <row r="809" spans="1:16">
      <c r="A809" s="170"/>
      <c r="B809" s="171">
        <v>1.6188303733889171</v>
      </c>
      <c r="C809" s="171">
        <v>-1.9594494251009342E-2</v>
      </c>
      <c r="D809" s="171">
        <v>-7.7422792294721043E-2</v>
      </c>
      <c r="E809" s="170">
        <v>0</v>
      </c>
      <c r="F809" s="171">
        <v>0</v>
      </c>
      <c r="G809" s="170">
        <f>-$L$1</f>
        <v>-1.4990492230334603E-2</v>
      </c>
      <c r="H809" s="171">
        <v>0</v>
      </c>
      <c r="I809" s="171">
        <v>0</v>
      </c>
      <c r="J809" s="177">
        <f>-$N$1</f>
        <v>-4.7716218756768064E-3</v>
      </c>
      <c r="L809">
        <v>0</v>
      </c>
      <c r="M809">
        <v>0</v>
      </c>
      <c r="N809">
        <v>9.8953439671265131E-2</v>
      </c>
    </row>
    <row r="810" spans="1:16">
      <c r="A810" s="170"/>
      <c r="B810" s="171"/>
      <c r="C810" s="171"/>
      <c r="D810" s="171"/>
      <c r="E810" s="170"/>
      <c r="F810" s="170"/>
      <c r="G810" s="170"/>
      <c r="H810" s="170"/>
      <c r="I810" s="170"/>
      <c r="J810" s="170"/>
    </row>
    <row r="811" spans="1:16">
      <c r="A811" s="170"/>
      <c r="B811" s="171">
        <v>2.0770709056556562</v>
      </c>
      <c r="C811" s="171">
        <v>-2.1445635165533226</v>
      </c>
      <c r="D811" s="171">
        <v>-5.6653180844775664E-2</v>
      </c>
      <c r="E811" s="170">
        <f>-$L$1</f>
        <v>-1.4990492230334603E-2</v>
      </c>
      <c r="F811" s="171">
        <v>0</v>
      </c>
      <c r="G811" s="171">
        <v>0</v>
      </c>
      <c r="H811" s="177">
        <f>-$N$1</f>
        <v>-4.7716218756768064E-3</v>
      </c>
      <c r="I811" s="170">
        <v>0</v>
      </c>
      <c r="J811" s="170">
        <v>0</v>
      </c>
      <c r="L811">
        <f t="array" ref="L811:N813">SVDD(B811:D813)</f>
        <v>3.1113660625776034</v>
      </c>
      <c r="M811">
        <v>0</v>
      </c>
      <c r="N811">
        <v>0</v>
      </c>
      <c r="P811">
        <f t="shared" ref="P811" si="247">MAX(L811,M812,N813)/MIN(L811,M812,N813)</f>
        <v>5.155149298810846</v>
      </c>
    </row>
    <row r="812" spans="1:16">
      <c r="A812" s="170" t="s">
        <v>416</v>
      </c>
      <c r="B812" s="171">
        <v>-0.36768865949079377</v>
      </c>
      <c r="C812" s="171">
        <v>-1.2890795247765441</v>
      </c>
      <c r="D812" s="171">
        <v>-0.10954983766095538</v>
      </c>
      <c r="E812" s="170">
        <v>0</v>
      </c>
      <c r="F812" s="170">
        <f>-$L$1</f>
        <v>-1.4990492230334603E-2</v>
      </c>
      <c r="G812" s="171">
        <v>0</v>
      </c>
      <c r="H812" s="171">
        <v>0</v>
      </c>
      <c r="I812" s="177">
        <f>-$N$1</f>
        <v>-4.7716218756768064E-3</v>
      </c>
      <c r="J812" s="170">
        <v>0</v>
      </c>
      <c r="L812">
        <v>0</v>
      </c>
      <c r="M812">
        <v>1.5346776868592058</v>
      </c>
      <c r="N812">
        <v>0</v>
      </c>
    </row>
    <row r="813" spans="1:16">
      <c r="A813" s="170"/>
      <c r="B813" s="171">
        <v>1.0097006711160386</v>
      </c>
      <c r="C813" s="171">
        <v>0.26302086313966178</v>
      </c>
      <c r="D813" s="171">
        <v>-0.76545275918666766</v>
      </c>
      <c r="E813" s="170">
        <v>0</v>
      </c>
      <c r="F813" s="171">
        <v>0</v>
      </c>
      <c r="G813" s="170">
        <f>-$L$1</f>
        <v>-1.4990492230334603E-2</v>
      </c>
      <c r="H813" s="171">
        <v>0</v>
      </c>
      <c r="I813" s="171">
        <v>0</v>
      </c>
      <c r="J813" s="177">
        <f>-$N$1</f>
        <v>-4.7716218756768064E-3</v>
      </c>
      <c r="L813">
        <v>0</v>
      </c>
      <c r="M813">
        <v>0</v>
      </c>
      <c r="N813">
        <v>0.6035452869028084</v>
      </c>
    </row>
    <row r="814" spans="1:16">
      <c r="A814" s="170"/>
      <c r="B814" s="171"/>
      <c r="C814" s="171"/>
      <c r="D814" s="171"/>
      <c r="E814" s="170"/>
      <c r="F814" s="170"/>
      <c r="G814" s="170"/>
      <c r="H814" s="170"/>
      <c r="I814" s="170"/>
      <c r="J814" s="170"/>
    </row>
    <row r="815" spans="1:16">
      <c r="A815" s="170"/>
      <c r="B815" s="171">
        <v>2.0770709056556562</v>
      </c>
      <c r="C815" s="171">
        <v>-2.1445635165533226</v>
      </c>
      <c r="D815" s="171">
        <v>-5.6653180844775664E-2</v>
      </c>
      <c r="E815" s="170">
        <f>-$L$1</f>
        <v>-1.4990492230334603E-2</v>
      </c>
      <c r="F815" s="171">
        <v>0</v>
      </c>
      <c r="G815" s="171">
        <v>0</v>
      </c>
      <c r="H815" s="177">
        <f>-$N$1</f>
        <v>-4.7716218756768064E-3</v>
      </c>
      <c r="I815" s="170">
        <v>0</v>
      </c>
      <c r="J815" s="170">
        <v>0</v>
      </c>
      <c r="L815">
        <f t="array" ref="L815:N817">SVDD(B815:D817)</f>
        <v>4.1727942118786858</v>
      </c>
      <c r="M815">
        <v>0</v>
      </c>
      <c r="N815">
        <v>0</v>
      </c>
      <c r="P815">
        <f t="shared" ref="P815" si="248">MAX(L815,M816,N817)/MIN(L815,M816,N817)</f>
        <v>103.43008876337434</v>
      </c>
    </row>
    <row r="816" spans="1:16">
      <c r="A816" s="170" t="s">
        <v>417</v>
      </c>
      <c r="B816" s="171">
        <v>2.4772611105726599</v>
      </c>
      <c r="C816" s="171">
        <v>-1.0605572692523213</v>
      </c>
      <c r="D816" s="171">
        <v>-3.9812674620544719E-2</v>
      </c>
      <c r="E816" s="170">
        <v>0</v>
      </c>
      <c r="F816" s="170">
        <f>-$L$1</f>
        <v>-1.4990492230334603E-2</v>
      </c>
      <c r="G816" s="171">
        <v>0</v>
      </c>
      <c r="H816" s="171">
        <v>0</v>
      </c>
      <c r="I816" s="177">
        <f>-$N$1</f>
        <v>-4.7716218756768064E-3</v>
      </c>
      <c r="J816" s="170">
        <v>0</v>
      </c>
      <c r="L816">
        <v>0</v>
      </c>
      <c r="M816">
        <v>1.1802228672292419</v>
      </c>
      <c r="N816">
        <v>0</v>
      </c>
    </row>
    <row r="817" spans="1:16">
      <c r="A817" s="170"/>
      <c r="B817" s="171">
        <v>1.6188303733889171</v>
      </c>
      <c r="C817" s="171">
        <v>-1.9594494251009342E-2</v>
      </c>
      <c r="D817" s="171">
        <v>-7.7422792294721043E-2</v>
      </c>
      <c r="E817" s="170">
        <v>0</v>
      </c>
      <c r="F817" s="171">
        <v>0</v>
      </c>
      <c r="G817" s="170">
        <f>-$L$1</f>
        <v>-1.4990492230334603E-2</v>
      </c>
      <c r="H817" s="171">
        <v>0</v>
      </c>
      <c r="I817" s="171">
        <v>0</v>
      </c>
      <c r="J817" s="177">
        <f>-$N$1</f>
        <v>-4.7716218756768064E-3</v>
      </c>
      <c r="L817">
        <v>0</v>
      </c>
      <c r="M817">
        <v>0</v>
      </c>
      <c r="N817">
        <v>4.0344103556027452E-2</v>
      </c>
    </row>
    <row r="818" spans="1:16">
      <c r="A818" s="170"/>
      <c r="B818" s="171"/>
      <c r="C818" s="171"/>
      <c r="D818" s="171"/>
      <c r="E818" s="170"/>
      <c r="F818" s="170"/>
      <c r="G818" s="170"/>
      <c r="H818" s="170"/>
      <c r="I818" s="170"/>
      <c r="J818" s="170"/>
    </row>
    <row r="819" spans="1:16">
      <c r="A819" s="170"/>
      <c r="B819" s="171">
        <v>2.0770709056556562</v>
      </c>
      <c r="C819" s="171">
        <v>-2.1445635165533226</v>
      </c>
      <c r="D819" s="171">
        <v>-5.6653180844775664E-2</v>
      </c>
      <c r="E819" s="170">
        <f>-$L$1</f>
        <v>-1.4990492230334603E-2</v>
      </c>
      <c r="F819" s="171">
        <v>0</v>
      </c>
      <c r="G819" s="171">
        <v>0</v>
      </c>
      <c r="H819" s="177">
        <f>-$N$1</f>
        <v>-4.7716218756768064E-3</v>
      </c>
      <c r="I819" s="170">
        <v>0</v>
      </c>
      <c r="J819" s="170">
        <v>0</v>
      </c>
      <c r="L819">
        <f t="array" ref="L819:N821">SVDD(B819:D821)</f>
        <v>4.0071314220990235</v>
      </c>
      <c r="M819">
        <v>0</v>
      </c>
      <c r="N819">
        <v>0</v>
      </c>
      <c r="P819">
        <f t="shared" ref="P819" si="249">MAX(L819,M820,N821)/MIN(L819,M820,N821)</f>
        <v>8.5031850746050246</v>
      </c>
    </row>
    <row r="820" spans="1:16">
      <c r="A820" s="170" t="s">
        <v>418</v>
      </c>
      <c r="B820" s="171">
        <v>2.4772611105726599</v>
      </c>
      <c r="C820" s="171">
        <v>-1.0605572692523213</v>
      </c>
      <c r="D820" s="171">
        <v>-3.9812674620544719E-2</v>
      </c>
      <c r="E820" s="170">
        <v>0</v>
      </c>
      <c r="F820" s="170">
        <f>-$L$1</f>
        <v>-1.4990492230334603E-2</v>
      </c>
      <c r="G820" s="171">
        <v>0</v>
      </c>
      <c r="H820" s="171">
        <v>0</v>
      </c>
      <c r="I820" s="177">
        <f>-$N$1</f>
        <v>-4.7716218756768064E-3</v>
      </c>
      <c r="J820" s="170">
        <v>0</v>
      </c>
      <c r="L820">
        <v>0</v>
      </c>
      <c r="M820">
        <v>1.2550653895279651</v>
      </c>
      <c r="N820">
        <v>0</v>
      </c>
    </row>
    <row r="821" spans="1:16">
      <c r="A821" s="170"/>
      <c r="B821" s="171">
        <v>1.0097006711160386</v>
      </c>
      <c r="C821" s="171">
        <v>0.26302086313966178</v>
      </c>
      <c r="D821" s="171">
        <v>-0.76545275918666766</v>
      </c>
      <c r="E821" s="170">
        <v>0</v>
      </c>
      <c r="F821" s="171">
        <v>0</v>
      </c>
      <c r="G821" s="170">
        <f>-$L$1</f>
        <v>-1.4990492230334603E-2</v>
      </c>
      <c r="H821" s="171">
        <v>0</v>
      </c>
      <c r="I821" s="171">
        <v>0</v>
      </c>
      <c r="J821" s="177">
        <f>-$N$1</f>
        <v>-4.7716218756768064E-3</v>
      </c>
      <c r="L821">
        <v>0</v>
      </c>
      <c r="M821">
        <v>0</v>
      </c>
      <c r="N821">
        <v>0.47125064160562868</v>
      </c>
    </row>
    <row r="822" spans="1:16">
      <c r="A822" s="170"/>
      <c r="B822" s="171"/>
      <c r="C822" s="171"/>
      <c r="D822" s="171"/>
      <c r="E822" s="170"/>
      <c r="F822" s="170"/>
      <c r="G822" s="170"/>
      <c r="H822" s="170"/>
      <c r="I822" s="170"/>
      <c r="J822" s="170"/>
    </row>
    <row r="823" spans="1:16">
      <c r="A823" s="170"/>
      <c r="B823" s="171">
        <v>2.0770709056556562</v>
      </c>
      <c r="C823" s="171">
        <v>-2.1445635165533226</v>
      </c>
      <c r="D823" s="171">
        <v>-5.6653180844775664E-2</v>
      </c>
      <c r="E823" s="170">
        <f>-$L$1</f>
        <v>-1.4990492230334603E-2</v>
      </c>
      <c r="F823" s="171">
        <v>0</v>
      </c>
      <c r="G823" s="171">
        <v>0</v>
      </c>
      <c r="H823" s="177">
        <f>-$N$1</f>
        <v>-4.7716218756768064E-3</v>
      </c>
      <c r="I823" s="170">
        <v>0</v>
      </c>
      <c r="J823" s="170">
        <v>0</v>
      </c>
      <c r="L823">
        <f t="array" ref="L823:N825">SVDD(B823:D825)</f>
        <v>3.3018207639188994</v>
      </c>
      <c r="M823">
        <v>0</v>
      </c>
      <c r="N823">
        <v>0</v>
      </c>
      <c r="P823">
        <f t="shared" ref="P823" si="250">MAX(L823,M824,N825)/MIN(L823,M824,N825)</f>
        <v>6.3921465350608555</v>
      </c>
    </row>
    <row r="824" spans="1:16">
      <c r="A824" s="170" t="s">
        <v>419</v>
      </c>
      <c r="B824" s="171">
        <v>1.6188303733889171</v>
      </c>
      <c r="C824" s="171">
        <v>-1.9594494251009342E-2</v>
      </c>
      <c r="D824" s="171">
        <v>-7.7422792294721043E-2</v>
      </c>
      <c r="E824" s="170">
        <v>0</v>
      </c>
      <c r="F824" s="170">
        <f>-$L$1</f>
        <v>-1.4990492230334603E-2</v>
      </c>
      <c r="G824" s="171">
        <v>0</v>
      </c>
      <c r="H824" s="171">
        <v>0</v>
      </c>
      <c r="I824" s="177">
        <f>-$N$1</f>
        <v>-4.7716218756768064E-3</v>
      </c>
      <c r="J824" s="170">
        <v>0</v>
      </c>
      <c r="L824">
        <v>0</v>
      </c>
      <c r="M824">
        <v>1.4315487338870729</v>
      </c>
      <c r="N824">
        <v>0</v>
      </c>
    </row>
    <row r="825" spans="1:16">
      <c r="A825" s="170"/>
      <c r="B825" s="171">
        <v>1.0097006711160386</v>
      </c>
      <c r="C825" s="171">
        <v>0.26302086313966178</v>
      </c>
      <c r="D825" s="171">
        <v>-0.76545275918666766</v>
      </c>
      <c r="E825" s="170">
        <v>0</v>
      </c>
      <c r="F825" s="171">
        <v>0</v>
      </c>
      <c r="G825" s="170">
        <f>-$L$1</f>
        <v>-1.4990492230334603E-2</v>
      </c>
      <c r="H825" s="171">
        <v>0</v>
      </c>
      <c r="I825" s="171">
        <v>0</v>
      </c>
      <c r="J825" s="177">
        <f>-$N$1</f>
        <v>-4.7716218756768064E-3</v>
      </c>
      <c r="L825">
        <v>0</v>
      </c>
      <c r="M825">
        <v>0</v>
      </c>
      <c r="N825">
        <v>0.51654334671591895</v>
      </c>
    </row>
    <row r="826" spans="1:16">
      <c r="A826" s="170"/>
      <c r="B826" s="171"/>
      <c r="C826" s="171"/>
      <c r="D826" s="171"/>
      <c r="E826" s="170"/>
      <c r="F826" s="170"/>
      <c r="G826" s="170"/>
      <c r="H826" s="170"/>
      <c r="I826" s="170"/>
      <c r="J826" s="170"/>
    </row>
    <row r="827" spans="1:16">
      <c r="A827" s="170"/>
      <c r="B827" s="171">
        <v>-0.36768865949079377</v>
      </c>
      <c r="C827" s="171">
        <v>-1.2890795247765441</v>
      </c>
      <c r="D827" s="171">
        <v>-0.10954983766095538</v>
      </c>
      <c r="E827" s="170">
        <f>-$L$1</f>
        <v>-1.4990492230334603E-2</v>
      </c>
      <c r="F827" s="171">
        <v>0</v>
      </c>
      <c r="G827" s="171">
        <v>0</v>
      </c>
      <c r="H827" s="177">
        <f>-$N$1</f>
        <v>-4.7716218756768064E-3</v>
      </c>
      <c r="I827" s="170">
        <v>0</v>
      </c>
      <c r="J827" s="170">
        <v>0</v>
      </c>
      <c r="L827">
        <f t="array" ref="L827:N829">SVDD(B827:D829)</f>
        <v>3.0983206515463517</v>
      </c>
      <c r="M827">
        <v>0</v>
      </c>
      <c r="N827">
        <v>0</v>
      </c>
      <c r="P827">
        <f t="shared" ref="P827" si="251">MAX(L827,M828,N829)/MIN(L827,M828,N829)</f>
        <v>36.849822091727596</v>
      </c>
    </row>
    <row r="828" spans="1:16">
      <c r="A828" s="170" t="s">
        <v>420</v>
      </c>
      <c r="B828" s="171">
        <v>2.4772611105726599</v>
      </c>
      <c r="C828" s="171">
        <v>-1.0605572692523213</v>
      </c>
      <c r="D828" s="171">
        <v>-3.9812674620544719E-2</v>
      </c>
      <c r="E828" s="170">
        <v>0</v>
      </c>
      <c r="F828" s="170">
        <f>-$L$1</f>
        <v>-1.4990492230334603E-2</v>
      </c>
      <c r="G828" s="171">
        <v>0</v>
      </c>
      <c r="H828" s="171">
        <v>0</v>
      </c>
      <c r="I828" s="177">
        <f>-$N$1</f>
        <v>-4.7716218756768064E-3</v>
      </c>
      <c r="J828" s="170">
        <v>0</v>
      </c>
      <c r="L828">
        <v>0</v>
      </c>
      <c r="M828">
        <v>1.4465273173871775</v>
      </c>
      <c r="N828">
        <v>0</v>
      </c>
    </row>
    <row r="829" spans="1:16">
      <c r="A829" s="170"/>
      <c r="B829" s="171">
        <v>1.6188303733889171</v>
      </c>
      <c r="C829" s="171">
        <v>-1.9594494251009342E-2</v>
      </c>
      <c r="D829" s="171">
        <v>-7.7422792294721043E-2</v>
      </c>
      <c r="E829" s="170">
        <v>0</v>
      </c>
      <c r="F829" s="171">
        <v>0</v>
      </c>
      <c r="G829" s="170">
        <f>-$L$1</f>
        <v>-1.4990492230334603E-2</v>
      </c>
      <c r="H829" s="171">
        <v>0</v>
      </c>
      <c r="I829" s="171">
        <v>0</v>
      </c>
      <c r="J829" s="177">
        <f>-$N$1</f>
        <v>-4.7716218756768064E-3</v>
      </c>
      <c r="L829">
        <v>0</v>
      </c>
      <c r="M829">
        <v>0</v>
      </c>
      <c r="N829">
        <v>8.4079663772430882E-2</v>
      </c>
    </row>
    <row r="830" spans="1:16">
      <c r="A830" s="170"/>
      <c r="B830" s="171"/>
      <c r="C830" s="171"/>
      <c r="D830" s="171"/>
      <c r="E830" s="170"/>
      <c r="F830" s="170"/>
      <c r="G830" s="170"/>
      <c r="H830" s="170"/>
      <c r="I830" s="170"/>
      <c r="J830" s="170"/>
    </row>
    <row r="831" spans="1:16">
      <c r="A831" s="170"/>
      <c r="B831" s="171">
        <v>-0.36768865949079377</v>
      </c>
      <c r="C831" s="171">
        <v>-1.2890795247765441</v>
      </c>
      <c r="D831" s="171">
        <v>-0.10954983766095538</v>
      </c>
      <c r="E831" s="170">
        <f>-$L$1</f>
        <v>-1.4990492230334603E-2</v>
      </c>
      <c r="F831" s="171">
        <v>0</v>
      </c>
      <c r="G831" s="171">
        <v>0</v>
      </c>
      <c r="H831" s="177">
        <f>-$N$1</f>
        <v>-4.7716218756768064E-3</v>
      </c>
      <c r="I831" s="170">
        <v>0</v>
      </c>
      <c r="J831" s="170">
        <v>0</v>
      </c>
      <c r="L831">
        <f t="array" ref="L831:N833">SVDD(B831:D833)</f>
        <v>2.8401547386876218</v>
      </c>
      <c r="M831">
        <v>0</v>
      </c>
      <c r="N831">
        <v>0</v>
      </c>
      <c r="P831">
        <f t="shared" ref="P831" si="252">MAX(L831,M832,N833)/MIN(L831,M832,N833)</f>
        <v>4.1630934361703984</v>
      </c>
    </row>
    <row r="832" spans="1:16">
      <c r="A832" s="170" t="s">
        <v>421</v>
      </c>
      <c r="B832" s="171">
        <v>2.4772611105726599</v>
      </c>
      <c r="C832" s="171">
        <v>-1.0605572692523213</v>
      </c>
      <c r="D832" s="171">
        <v>-3.9812674620544719E-2</v>
      </c>
      <c r="E832" s="170">
        <v>0</v>
      </c>
      <c r="F832" s="170">
        <f>-$L$1</f>
        <v>-1.4990492230334603E-2</v>
      </c>
      <c r="G832" s="171">
        <v>0</v>
      </c>
      <c r="H832" s="171">
        <v>0</v>
      </c>
      <c r="I832" s="177">
        <f>-$N$1</f>
        <v>-4.7716218756768064E-3</v>
      </c>
      <c r="J832" s="170">
        <v>0</v>
      </c>
      <c r="L832">
        <v>0</v>
      </c>
      <c r="M832">
        <v>1.488220011666012</v>
      </c>
      <c r="N832">
        <v>0</v>
      </c>
    </row>
    <row r="833" spans="1:16">
      <c r="A833" s="170"/>
      <c r="B833" s="171">
        <v>1.0097006711160386</v>
      </c>
      <c r="C833" s="171">
        <v>0.26302086313966178</v>
      </c>
      <c r="D833" s="171">
        <v>-0.76545275918666766</v>
      </c>
      <c r="E833" s="170">
        <v>0</v>
      </c>
      <c r="F833" s="171">
        <v>0</v>
      </c>
      <c r="G833" s="170">
        <f>-$L$1</f>
        <v>-1.4990492230334603E-2</v>
      </c>
      <c r="H833" s="171">
        <v>0</v>
      </c>
      <c r="I833" s="171">
        <v>0</v>
      </c>
      <c r="J833" s="177">
        <f>-$N$1</f>
        <v>-4.7716218756768064E-3</v>
      </c>
      <c r="L833">
        <v>0</v>
      </c>
      <c r="M833">
        <v>0</v>
      </c>
      <c r="N833">
        <v>0.68222219420092123</v>
      </c>
    </row>
    <row r="834" spans="1:16">
      <c r="A834" s="170"/>
      <c r="B834" s="171"/>
      <c r="C834" s="171"/>
      <c r="D834" s="171"/>
      <c r="E834" s="170"/>
      <c r="F834" s="170"/>
      <c r="G834" s="170"/>
      <c r="H834" s="170"/>
      <c r="I834" s="170"/>
      <c r="J834" s="170"/>
    </row>
    <row r="835" spans="1:16">
      <c r="A835" s="170"/>
      <c r="B835" s="171">
        <v>-0.36768865949079377</v>
      </c>
      <c r="C835" s="171">
        <v>-1.2890795247765441</v>
      </c>
      <c r="D835" s="171">
        <v>-0.10954983766095538</v>
      </c>
      <c r="E835" s="170">
        <f>-$L$1</f>
        <v>-1.4990492230334603E-2</v>
      </c>
      <c r="F835" s="171">
        <v>0</v>
      </c>
      <c r="G835" s="171">
        <v>0</v>
      </c>
      <c r="H835" s="177">
        <f>-$N$1</f>
        <v>-4.7716218756768064E-3</v>
      </c>
      <c r="I835" s="170">
        <v>0</v>
      </c>
      <c r="J835" s="170">
        <v>0</v>
      </c>
      <c r="L835">
        <f t="array" ref="L835:N837">SVDD(B835:D837)</f>
        <v>2.0474953131802383</v>
      </c>
      <c r="M835">
        <v>0</v>
      </c>
      <c r="N835">
        <v>0</v>
      </c>
      <c r="P835">
        <f t="shared" ref="P835" si="253">MAX(L835,M836,N837)/MIN(L835,M836,N837)</f>
        <v>3.3413406696182579</v>
      </c>
    </row>
    <row r="836" spans="1:16">
      <c r="A836" s="170" t="s">
        <v>422</v>
      </c>
      <c r="B836" s="171">
        <v>1.6188303733889171</v>
      </c>
      <c r="C836" s="171">
        <v>-1.9594494251009342E-2</v>
      </c>
      <c r="D836" s="171">
        <v>-7.7422792294721043E-2</v>
      </c>
      <c r="E836" s="170">
        <v>0</v>
      </c>
      <c r="F836" s="170">
        <f>-$L$1</f>
        <v>-1.4990492230334603E-2</v>
      </c>
      <c r="G836" s="171">
        <v>0</v>
      </c>
      <c r="H836" s="171">
        <v>0</v>
      </c>
      <c r="I836" s="177">
        <f>-$N$1</f>
        <v>-4.7716218756768064E-3</v>
      </c>
      <c r="J836" s="170">
        <v>0</v>
      </c>
      <c r="L836">
        <v>0</v>
      </c>
      <c r="M836">
        <v>1.2420842560520802</v>
      </c>
      <c r="N836">
        <v>0</v>
      </c>
    </row>
    <row r="837" spans="1:16">
      <c r="A837" s="170"/>
      <c r="B837" s="171">
        <v>1.0097006711160386</v>
      </c>
      <c r="C837" s="171">
        <v>0.26302086313966178</v>
      </c>
      <c r="D837" s="171">
        <v>-0.76545275918666766</v>
      </c>
      <c r="E837" s="170">
        <v>0</v>
      </c>
      <c r="F837" s="171">
        <v>0</v>
      </c>
      <c r="G837" s="170">
        <f>-$L$1</f>
        <v>-1.4990492230334603E-2</v>
      </c>
      <c r="H837" s="171">
        <v>0</v>
      </c>
      <c r="I837" s="171">
        <v>0</v>
      </c>
      <c r="J837" s="177">
        <f>-$N$1</f>
        <v>-4.7716218756768064E-3</v>
      </c>
      <c r="L837">
        <v>0</v>
      </c>
      <c r="M837">
        <v>0</v>
      </c>
      <c r="N837">
        <v>0.61277658150737468</v>
      </c>
    </row>
    <row r="838" spans="1:16">
      <c r="A838" s="170"/>
      <c r="B838" s="171"/>
      <c r="C838" s="171"/>
      <c r="D838" s="171"/>
      <c r="E838" s="170"/>
      <c r="F838" s="170"/>
      <c r="G838" s="170"/>
      <c r="H838" s="170"/>
      <c r="I838" s="170"/>
      <c r="J838" s="170"/>
    </row>
    <row r="839" spans="1:16">
      <c r="A839" s="170"/>
      <c r="B839" s="171">
        <v>2.4772611105726599</v>
      </c>
      <c r="C839" s="171">
        <v>-1.0605572692523213</v>
      </c>
      <c r="D839" s="171">
        <v>-3.9812674620544719E-2</v>
      </c>
      <c r="E839" s="170">
        <f>-$L$1</f>
        <v>-1.4990492230334603E-2</v>
      </c>
      <c r="F839" s="171">
        <v>0</v>
      </c>
      <c r="G839" s="171">
        <v>0</v>
      </c>
      <c r="H839" s="177">
        <f>-$N$1</f>
        <v>-4.7716218756768064E-3</v>
      </c>
      <c r="I839" s="170">
        <v>0</v>
      </c>
      <c r="J839" s="170">
        <v>0</v>
      </c>
      <c r="L839">
        <f t="array" ref="L839:N841">SVDD(B839:D841)</f>
        <v>3.2381962058319842</v>
      </c>
      <c r="M839">
        <v>0</v>
      </c>
      <c r="N839">
        <v>0</v>
      </c>
      <c r="P839">
        <f t="shared" ref="P839" si="254">MAX(L839,M840,N841)/MIN(L839,M840,N841)</f>
        <v>8.7645356999874178</v>
      </c>
    </row>
    <row r="840" spans="1:16">
      <c r="A840" s="170" t="s">
        <v>423</v>
      </c>
      <c r="B840" s="171">
        <v>1.6188303733889171</v>
      </c>
      <c r="C840" s="171">
        <v>-1.9594494251009342E-2</v>
      </c>
      <c r="D840" s="171">
        <v>-7.7422792294721043E-2</v>
      </c>
      <c r="E840" s="170">
        <v>0</v>
      </c>
      <c r="F840" s="170">
        <f>-$L$1</f>
        <v>-1.4990492230334603E-2</v>
      </c>
      <c r="G840" s="171">
        <v>0</v>
      </c>
      <c r="H840" s="171">
        <v>0</v>
      </c>
      <c r="I840" s="177">
        <f>-$N$1</f>
        <v>-4.7716218756768064E-3</v>
      </c>
      <c r="J840" s="170">
        <v>0</v>
      </c>
      <c r="L840">
        <v>0</v>
      </c>
      <c r="M840">
        <v>0.97074872730992479</v>
      </c>
      <c r="N840">
        <v>0</v>
      </c>
    </row>
    <row r="841" spans="1:16">
      <c r="A841" s="170"/>
      <c r="B841" s="171">
        <v>1.0097006711160386</v>
      </c>
      <c r="C841" s="171">
        <v>0.26302086313966178</v>
      </c>
      <c r="D841" s="171">
        <v>-0.76545275918666766</v>
      </c>
      <c r="E841" s="170">
        <v>0</v>
      </c>
      <c r="F841" s="171">
        <v>0</v>
      </c>
      <c r="G841" s="170">
        <f>-$L$1</f>
        <v>-1.4990492230334603E-2</v>
      </c>
      <c r="H841" s="171">
        <v>0</v>
      </c>
      <c r="I841" s="171">
        <v>0</v>
      </c>
      <c r="J841" s="177">
        <f>-$N$1</f>
        <v>-4.7716218756768064E-3</v>
      </c>
      <c r="L841">
        <v>0</v>
      </c>
      <c r="M841">
        <v>0</v>
      </c>
      <c r="N841">
        <v>0.36946580134719892</v>
      </c>
    </row>
    <row r="842" spans="1:16">
      <c r="A842" s="170"/>
      <c r="B842" s="171"/>
      <c r="C842" s="171"/>
      <c r="D842" s="171"/>
      <c r="E842" s="170"/>
      <c r="F842" s="170"/>
      <c r="G842" s="170"/>
      <c r="H842" s="170"/>
      <c r="I842" s="170"/>
      <c r="J842" s="170"/>
    </row>
    <row r="843" spans="1:16">
      <c r="A843" s="170"/>
      <c r="B843" s="171">
        <v>-0.58367185674448252</v>
      </c>
      <c r="C843" s="171">
        <v>-2.0841504898711007</v>
      </c>
      <c r="D843" s="171">
        <v>-0.75171422039661484</v>
      </c>
      <c r="E843" s="170">
        <f>-$L$1</f>
        <v>-1.4990492230334603E-2</v>
      </c>
      <c r="F843" s="171">
        <v>0</v>
      </c>
      <c r="G843" s="171">
        <v>0</v>
      </c>
      <c r="H843" s="177">
        <f>-$N$1</f>
        <v>-4.7716218756768064E-3</v>
      </c>
      <c r="I843" s="170">
        <v>0</v>
      </c>
      <c r="J843" s="170">
        <v>0</v>
      </c>
      <c r="L843">
        <f t="array" ref="L843:N845">SVDD(B843:D845)</f>
        <v>3.8828255485993144</v>
      </c>
      <c r="M843">
        <v>0</v>
      </c>
      <c r="N843">
        <v>0</v>
      </c>
      <c r="P843">
        <f t="shared" ref="P843" si="255">MAX(L843,M844,N845)/MIN(L843,M844,N845)</f>
        <v>6.2959412294601558</v>
      </c>
    </row>
    <row r="844" spans="1:16">
      <c r="A844" s="170" t="s">
        <v>424</v>
      </c>
      <c r="B844" s="171">
        <v>-1.8375474863113905</v>
      </c>
      <c r="C844" s="171">
        <v>-2.1167426559988707</v>
      </c>
      <c r="D844" s="171">
        <v>-1.2367606559382516E-2</v>
      </c>
      <c r="E844" s="170">
        <v>0</v>
      </c>
      <c r="F844" s="170">
        <f>-$L$1</f>
        <v>-1.4990492230334603E-2</v>
      </c>
      <c r="G844" s="171">
        <v>0</v>
      </c>
      <c r="H844" s="171">
        <v>0</v>
      </c>
      <c r="I844" s="177">
        <f>-$N$1</f>
        <v>-4.7716218756768064E-3</v>
      </c>
      <c r="J844" s="170">
        <v>0</v>
      </c>
      <c r="L844">
        <v>0</v>
      </c>
      <c r="M844">
        <v>1.5414267117777389</v>
      </c>
      <c r="N844">
        <v>0</v>
      </c>
    </row>
    <row r="845" spans="1:16">
      <c r="A845" s="170"/>
      <c r="B845" s="171">
        <v>0.45824053226673911</v>
      </c>
      <c r="C845" s="171">
        <v>-2.124969022302313</v>
      </c>
      <c r="D845" s="171">
        <v>2.076961144994538E-2</v>
      </c>
      <c r="E845" s="170">
        <v>0</v>
      </c>
      <c r="F845" s="171">
        <v>0</v>
      </c>
      <c r="G845" s="170">
        <f>-$L$1</f>
        <v>-1.4990492230334603E-2</v>
      </c>
      <c r="H845" s="171">
        <v>0</v>
      </c>
      <c r="I845" s="171">
        <v>0</v>
      </c>
      <c r="J845" s="177">
        <f>-$N$1</f>
        <v>-4.7716218756768064E-3</v>
      </c>
      <c r="L845">
        <v>0</v>
      </c>
      <c r="M845">
        <v>0</v>
      </c>
      <c r="N845">
        <v>0.61671883632437374</v>
      </c>
    </row>
    <row r="846" spans="1:16">
      <c r="A846" s="170"/>
      <c r="B846" s="171"/>
      <c r="C846" s="171"/>
      <c r="D846" s="171"/>
      <c r="E846" s="170"/>
      <c r="F846" s="170"/>
      <c r="G846" s="170"/>
      <c r="H846" s="170"/>
      <c r="I846" s="170"/>
      <c r="J846" s="170"/>
    </row>
    <row r="847" spans="1:16">
      <c r="A847" s="170"/>
      <c r="B847" s="171">
        <v>-0.58367185674448252</v>
      </c>
      <c r="C847" s="171">
        <v>-2.0841504898711007</v>
      </c>
      <c r="D847" s="171">
        <v>-0.75171422039661484</v>
      </c>
      <c r="E847" s="170">
        <f>-$L$1</f>
        <v>-1.4990492230334603E-2</v>
      </c>
      <c r="F847" s="171">
        <v>0</v>
      </c>
      <c r="G847" s="171">
        <v>0</v>
      </c>
      <c r="H847" s="177">
        <f>-$N$1</f>
        <v>-4.7716218756768064E-3</v>
      </c>
      <c r="I847" s="170">
        <v>0</v>
      </c>
      <c r="J847" s="170">
        <v>0</v>
      </c>
      <c r="L847">
        <f t="array" ref="L847:N849">SVDD(B847:D849)</f>
        <v>4.1179113948983668</v>
      </c>
      <c r="M847">
        <v>0</v>
      </c>
      <c r="N847">
        <v>0</v>
      </c>
      <c r="P847">
        <f t="shared" ref="P847" si="256">MAX(L847,M848,N849)/MIN(L847,M848,N849)</f>
        <v>14.956503161585864</v>
      </c>
    </row>
    <row r="848" spans="1:16">
      <c r="A848" s="170" t="s">
        <v>425</v>
      </c>
      <c r="B848" s="171">
        <v>-1.8375474863113905</v>
      </c>
      <c r="C848" s="171">
        <v>-2.1167426559988707</v>
      </c>
      <c r="D848" s="171">
        <v>-1.2367606559382516E-2</v>
      </c>
      <c r="E848" s="170">
        <v>0</v>
      </c>
      <c r="F848" s="170">
        <f>-$L$1</f>
        <v>-1.4990492230334603E-2</v>
      </c>
      <c r="G848" s="171">
        <v>0</v>
      </c>
      <c r="H848" s="171">
        <v>0</v>
      </c>
      <c r="I848" s="177">
        <f>-$N$1</f>
        <v>-4.7716218756768064E-3</v>
      </c>
      <c r="J848" s="170">
        <v>0</v>
      </c>
      <c r="L848">
        <v>0</v>
      </c>
      <c r="M848">
        <v>1.277750860669516</v>
      </c>
      <c r="N848">
        <v>0</v>
      </c>
    </row>
    <row r="849" spans="1:16">
      <c r="A849" s="170"/>
      <c r="B849" s="171">
        <v>-1.9865190328797109</v>
      </c>
      <c r="C849" s="171">
        <v>-1.2694850305255347</v>
      </c>
      <c r="D849" s="171">
        <v>-3.2127045366234341E-2</v>
      </c>
      <c r="E849" s="170">
        <v>0</v>
      </c>
      <c r="F849" s="171">
        <v>0</v>
      </c>
      <c r="G849" s="170">
        <f>-$L$1</f>
        <v>-1.4990492230334603E-2</v>
      </c>
      <c r="H849" s="171">
        <v>0</v>
      </c>
      <c r="I849" s="171">
        <v>0</v>
      </c>
      <c r="J849" s="177">
        <f>-$N$1</f>
        <v>-4.7716218756768064E-3</v>
      </c>
      <c r="L849">
        <v>0</v>
      </c>
      <c r="M849">
        <v>0</v>
      </c>
      <c r="N849">
        <v>0.27532581315362337</v>
      </c>
    </row>
    <row r="850" spans="1:16">
      <c r="A850" s="170"/>
      <c r="B850" s="171"/>
      <c r="C850" s="171"/>
      <c r="D850" s="171"/>
      <c r="E850" s="170"/>
      <c r="F850" s="170"/>
      <c r="G850" s="170"/>
      <c r="H850" s="170"/>
      <c r="I850" s="170"/>
      <c r="J850" s="170"/>
    </row>
    <row r="851" spans="1:16">
      <c r="A851" s="170"/>
      <c r="B851" s="171">
        <v>-0.58367185674448252</v>
      </c>
      <c r="C851" s="171">
        <v>-2.0841504898711007</v>
      </c>
      <c r="D851" s="171">
        <v>-0.75171422039661484</v>
      </c>
      <c r="E851" s="170">
        <f>-$L$1</f>
        <v>-1.4990492230334603E-2</v>
      </c>
      <c r="F851" s="171">
        <v>0</v>
      </c>
      <c r="G851" s="171">
        <v>0</v>
      </c>
      <c r="H851" s="177">
        <f>-$N$1</f>
        <v>-4.7716218756768064E-3</v>
      </c>
      <c r="I851" s="170">
        <v>0</v>
      </c>
      <c r="J851" s="170">
        <v>0</v>
      </c>
      <c r="L851">
        <f t="array" ref="L851:N853">SVDD(B851:D853)</f>
        <v>3.5235650009466695</v>
      </c>
      <c r="M851">
        <v>0</v>
      </c>
      <c r="N851">
        <v>0</v>
      </c>
      <c r="P851">
        <f t="shared" ref="P851" si="257">MAX(L851,M852,N853)/MIN(L851,M852,N853)</f>
        <v>6.4314927648957179</v>
      </c>
    </row>
    <row r="852" spans="1:16">
      <c r="A852" s="170" t="s">
        <v>426</v>
      </c>
      <c r="B852" s="171">
        <v>-1.8375474863113905</v>
      </c>
      <c r="C852" s="171">
        <v>-2.1167426559988707</v>
      </c>
      <c r="D852" s="171">
        <v>-1.2367606559382516E-2</v>
      </c>
      <c r="E852" s="170">
        <v>0</v>
      </c>
      <c r="F852" s="170">
        <f>-$L$1</f>
        <v>-1.4990492230334603E-2</v>
      </c>
      <c r="G852" s="171">
        <v>0</v>
      </c>
      <c r="H852" s="171">
        <v>0</v>
      </c>
      <c r="I852" s="177">
        <f>-$N$1</f>
        <v>-4.7716218756768064E-3</v>
      </c>
      <c r="J852" s="170">
        <v>0</v>
      </c>
      <c r="L852">
        <v>0</v>
      </c>
      <c r="M852">
        <v>1.4876231923132439</v>
      </c>
      <c r="N852">
        <v>0</v>
      </c>
    </row>
    <row r="853" spans="1:16">
      <c r="A853" s="170"/>
      <c r="B853" s="171">
        <v>0.85843073718374274</v>
      </c>
      <c r="C853" s="171">
        <v>-1.040962775001312</v>
      </c>
      <c r="D853" s="171">
        <v>3.7610117674176324E-2</v>
      </c>
      <c r="E853" s="170">
        <v>0</v>
      </c>
      <c r="F853" s="171">
        <v>0</v>
      </c>
      <c r="G853" s="170">
        <f>-$L$1</f>
        <v>-1.4990492230334603E-2</v>
      </c>
      <c r="H853" s="171">
        <v>0</v>
      </c>
      <c r="I853" s="171">
        <v>0</v>
      </c>
      <c r="J853" s="177">
        <f>-$N$1</f>
        <v>-4.7716218756768064E-3</v>
      </c>
      <c r="L853">
        <v>0</v>
      </c>
      <c r="M853">
        <v>0</v>
      </c>
      <c r="N853">
        <v>0.54786114666550534</v>
      </c>
    </row>
    <row r="854" spans="1:16">
      <c r="A854" s="170"/>
      <c r="B854" s="171"/>
      <c r="C854" s="171"/>
      <c r="D854" s="171"/>
      <c r="E854" s="170"/>
      <c r="F854" s="170"/>
      <c r="G854" s="170"/>
      <c r="H854" s="170"/>
      <c r="I854" s="170"/>
      <c r="J854" s="170"/>
    </row>
    <row r="855" spans="1:16">
      <c r="A855" s="170"/>
      <c r="B855" s="171">
        <v>-0.58367185674448252</v>
      </c>
      <c r="C855" s="171">
        <v>-2.0841504898711007</v>
      </c>
      <c r="D855" s="171">
        <v>-0.75171422039661484</v>
      </c>
      <c r="E855" s="170">
        <f>-$L$1</f>
        <v>-1.4990492230334603E-2</v>
      </c>
      <c r="F855" s="171">
        <v>0</v>
      </c>
      <c r="G855" s="171">
        <v>0</v>
      </c>
      <c r="H855" s="177">
        <f>-$N$1</f>
        <v>-4.7716218756768064E-3</v>
      </c>
      <c r="I855" s="170">
        <v>0</v>
      </c>
      <c r="J855" s="170">
        <v>0</v>
      </c>
      <c r="L855">
        <f t="array" ref="L855:N857">SVDD(B855:D857)</f>
        <v>3.6025913242238974</v>
      </c>
      <c r="M855">
        <v>0</v>
      </c>
      <c r="N855">
        <v>0</v>
      </c>
      <c r="P855">
        <f t="shared" ref="P855" si="258">MAX(L855,M856,N857)/MIN(L855,M856,N857)</f>
        <v>8.8485901024953062</v>
      </c>
    </row>
    <row r="856" spans="1:16">
      <c r="A856" s="170" t="s">
        <v>427</v>
      </c>
      <c r="B856" s="171">
        <v>-1.8375474863113905</v>
      </c>
      <c r="C856" s="171">
        <v>-2.1167426559988707</v>
      </c>
      <c r="D856" s="171">
        <v>-1.2367606559382516E-2</v>
      </c>
      <c r="E856" s="170">
        <v>0</v>
      </c>
      <c r="F856" s="170">
        <f>-$L$1</f>
        <v>-1.4990492230334603E-2</v>
      </c>
      <c r="G856" s="171">
        <v>0</v>
      </c>
      <c r="H856" s="171">
        <v>0</v>
      </c>
      <c r="I856" s="177">
        <f>-$N$1</f>
        <v>-4.7716218756768064E-3</v>
      </c>
      <c r="J856" s="170">
        <v>0</v>
      </c>
      <c r="L856">
        <v>0</v>
      </c>
      <c r="M856">
        <v>1.6091390623455886</v>
      </c>
      <c r="N856">
        <v>0</v>
      </c>
    </row>
    <row r="857" spans="1:16">
      <c r="A857" s="170"/>
      <c r="B857" s="171">
        <v>-1.6188303733889171</v>
      </c>
      <c r="C857" s="171">
        <v>1.9594494251009342E-2</v>
      </c>
      <c r="D857" s="171">
        <v>7.7422792294721043E-2</v>
      </c>
      <c r="E857" s="170">
        <v>0</v>
      </c>
      <c r="F857" s="171">
        <v>0</v>
      </c>
      <c r="G857" s="170">
        <f>-$L$1</f>
        <v>-1.4990492230334603E-2</v>
      </c>
      <c r="H857" s="171">
        <v>0</v>
      </c>
      <c r="I857" s="171">
        <v>0</v>
      </c>
      <c r="J857" s="177">
        <f>-$N$1</f>
        <v>-4.7716218756768064E-3</v>
      </c>
      <c r="L857">
        <v>0</v>
      </c>
      <c r="M857">
        <v>0</v>
      </c>
      <c r="N857">
        <v>0.40713732724583601</v>
      </c>
    </row>
    <row r="858" spans="1:16">
      <c r="A858" s="170"/>
      <c r="B858" s="171"/>
      <c r="C858" s="171"/>
      <c r="D858" s="171"/>
      <c r="E858" s="170"/>
      <c r="F858" s="170"/>
      <c r="G858" s="170"/>
      <c r="H858" s="170"/>
      <c r="I858" s="170"/>
      <c r="J858" s="170"/>
    </row>
    <row r="859" spans="1:16">
      <c r="A859" s="170"/>
      <c r="B859" s="171">
        <v>-0.58367185674448252</v>
      </c>
      <c r="C859" s="171">
        <v>-2.0841504898711007</v>
      </c>
      <c r="D859" s="171">
        <v>-0.75171422039661484</v>
      </c>
      <c r="E859" s="170">
        <f>-$L$1</f>
        <v>-1.4990492230334603E-2</v>
      </c>
      <c r="F859" s="171">
        <v>0</v>
      </c>
      <c r="G859" s="171">
        <v>0</v>
      </c>
      <c r="H859" s="177">
        <f>-$N$1</f>
        <v>-4.7716218756768064E-3</v>
      </c>
      <c r="I859" s="170">
        <v>0</v>
      </c>
      <c r="J859" s="170">
        <v>0</v>
      </c>
      <c r="L859">
        <f t="array" ref="L859:N861">SVDD(B859:D861)</f>
        <v>3.4971972415503321</v>
      </c>
      <c r="M859">
        <v>0</v>
      </c>
      <c r="N859">
        <v>0</v>
      </c>
      <c r="P859">
        <f t="shared" ref="P859" si="259">MAX(L859,M860,N861)/MIN(L859,M860,N861)</f>
        <v>3.9236550276169364</v>
      </c>
    </row>
    <row r="860" spans="1:16">
      <c r="A860" s="170" t="s">
        <v>428</v>
      </c>
      <c r="B860" s="171">
        <v>-1.8375474863113905</v>
      </c>
      <c r="C860" s="171">
        <v>-2.1167426559988707</v>
      </c>
      <c r="D860" s="171">
        <v>-1.2367606559382516E-2</v>
      </c>
      <c r="E860" s="170">
        <v>0</v>
      </c>
      <c r="F860" s="170">
        <f>-$L$1</f>
        <v>-1.4990492230334603E-2</v>
      </c>
      <c r="G860" s="171">
        <v>0</v>
      </c>
      <c r="H860" s="171">
        <v>0</v>
      </c>
      <c r="I860" s="177">
        <f>-$N$1</f>
        <v>-4.7716218756768064E-3</v>
      </c>
      <c r="J860" s="170">
        <v>0</v>
      </c>
      <c r="L860">
        <v>0</v>
      </c>
      <c r="M860">
        <v>1.003112768907404</v>
      </c>
      <c r="N860">
        <v>0</v>
      </c>
    </row>
    <row r="861" spans="1:16">
      <c r="A861" s="170"/>
      <c r="B861" s="171">
        <v>-0.60912970227287866</v>
      </c>
      <c r="C861" s="171">
        <v>0.28261535739067112</v>
      </c>
      <c r="D861" s="171">
        <v>-0.68802996689194662</v>
      </c>
      <c r="E861" s="170">
        <v>0</v>
      </c>
      <c r="F861" s="171">
        <v>0</v>
      </c>
      <c r="G861" s="170">
        <f>-$L$1</f>
        <v>-1.4990492230334603E-2</v>
      </c>
      <c r="H861" s="171">
        <v>0</v>
      </c>
      <c r="I861" s="171">
        <v>0</v>
      </c>
      <c r="J861" s="177">
        <f>-$N$1</f>
        <v>-4.7716218756768064E-3</v>
      </c>
      <c r="L861">
        <v>0</v>
      </c>
      <c r="M861">
        <v>0</v>
      </c>
      <c r="N861">
        <v>0.89131109053549573</v>
      </c>
    </row>
    <row r="862" spans="1:16">
      <c r="A862" s="170"/>
      <c r="B862" s="171"/>
      <c r="C862" s="171"/>
      <c r="D862" s="171"/>
      <c r="E862" s="170"/>
      <c r="F862" s="170"/>
      <c r="G862" s="170"/>
      <c r="H862" s="170"/>
      <c r="I862" s="170"/>
      <c r="J862" s="170"/>
    </row>
    <row r="863" spans="1:16">
      <c r="A863" s="170"/>
      <c r="B863" s="171">
        <v>-0.58367185674448252</v>
      </c>
      <c r="C863" s="171">
        <v>-2.0841504898711007</v>
      </c>
      <c r="D863" s="171">
        <v>-0.75171422039661484</v>
      </c>
      <c r="E863" s="170">
        <f>-$L$1</f>
        <v>-1.4990492230334603E-2</v>
      </c>
      <c r="F863" s="171">
        <v>0</v>
      </c>
      <c r="G863" s="171">
        <v>0</v>
      </c>
      <c r="H863" s="177">
        <f>-$N$1</f>
        <v>-4.7716218756768064E-3</v>
      </c>
      <c r="I863" s="170">
        <v>0</v>
      </c>
      <c r="J863" s="170">
        <v>0</v>
      </c>
      <c r="L863">
        <f t="array" ref="L863:N865">SVDD(B863:D865)</f>
        <v>3.4342516004219661</v>
      </c>
      <c r="M863">
        <v>0</v>
      </c>
      <c r="N863">
        <v>0</v>
      </c>
      <c r="P863">
        <f t="shared" ref="P863" si="260">MAX(L863,M864,N865)/MIN(L863,M864,N865)</f>
        <v>6.037916237878159</v>
      </c>
    </row>
    <row r="864" spans="1:16">
      <c r="A864" s="170" t="s">
        <v>429</v>
      </c>
      <c r="B864" s="171">
        <v>0.45824053226673911</v>
      </c>
      <c r="C864" s="171">
        <v>-2.124969022302313</v>
      </c>
      <c r="D864" s="171">
        <v>2.076961144994538E-2</v>
      </c>
      <c r="E864" s="170">
        <v>0</v>
      </c>
      <c r="F864" s="170">
        <f>-$L$1</f>
        <v>-1.4990492230334603E-2</v>
      </c>
      <c r="G864" s="171">
        <v>0</v>
      </c>
      <c r="H864" s="171">
        <v>0</v>
      </c>
      <c r="I864" s="177">
        <f>-$N$1</f>
        <v>-4.7716218756768064E-3</v>
      </c>
      <c r="J864" s="170">
        <v>0</v>
      </c>
      <c r="L864">
        <v>0</v>
      </c>
      <c r="M864">
        <v>1.8484117335321331</v>
      </c>
      <c r="N864">
        <v>0</v>
      </c>
    </row>
    <row r="865" spans="1:16">
      <c r="A865" s="170"/>
      <c r="B865" s="171">
        <v>-1.9865190328797109</v>
      </c>
      <c r="C865" s="171">
        <v>-1.2694850305255347</v>
      </c>
      <c r="D865" s="171">
        <v>-3.2127045366234341E-2</v>
      </c>
      <c r="E865" s="170">
        <v>0</v>
      </c>
      <c r="F865" s="171">
        <v>0</v>
      </c>
      <c r="G865" s="170">
        <f>-$L$1</f>
        <v>-1.4990492230334603E-2</v>
      </c>
      <c r="H865" s="171">
        <v>0</v>
      </c>
      <c r="I865" s="171">
        <v>0</v>
      </c>
      <c r="J865" s="177">
        <f>-$N$1</f>
        <v>-4.7716218756768064E-3</v>
      </c>
      <c r="L865">
        <v>0</v>
      </c>
      <c r="M865">
        <v>0</v>
      </c>
      <c r="N865">
        <v>0.5687809279097964</v>
      </c>
    </row>
    <row r="866" spans="1:16">
      <c r="A866" s="170"/>
      <c r="B866" s="171"/>
      <c r="C866" s="171"/>
      <c r="D866" s="171"/>
      <c r="E866" s="170"/>
      <c r="F866" s="170"/>
      <c r="G866" s="170"/>
      <c r="H866" s="170"/>
      <c r="I866" s="170"/>
      <c r="J866" s="170"/>
    </row>
    <row r="867" spans="1:16">
      <c r="A867" s="170"/>
      <c r="B867" s="171">
        <v>-0.58367185674448252</v>
      </c>
      <c r="C867" s="171">
        <v>-2.0841504898711007</v>
      </c>
      <c r="D867" s="171">
        <v>-0.75171422039661484</v>
      </c>
      <c r="E867" s="170">
        <f>-$L$1</f>
        <v>-1.4990492230334603E-2</v>
      </c>
      <c r="F867" s="171">
        <v>0</v>
      </c>
      <c r="G867" s="171">
        <v>0</v>
      </c>
      <c r="H867" s="177">
        <f>-$N$1</f>
        <v>-4.7716218756768064E-3</v>
      </c>
      <c r="I867" s="170">
        <v>0</v>
      </c>
      <c r="J867" s="170">
        <v>0</v>
      </c>
      <c r="L867">
        <f t="array" ref="L867:N869">SVDD(B867:D869)</f>
        <v>3.1950623203761879</v>
      </c>
      <c r="M867">
        <v>0</v>
      </c>
      <c r="N867">
        <v>0</v>
      </c>
      <c r="P867">
        <f t="shared" ref="P867" si="261">MAX(L867,M868,N869)/MIN(L867,M868,N869)</f>
        <v>12.875006476495159</v>
      </c>
    </row>
    <row r="868" spans="1:16">
      <c r="A868" s="170" t="s">
        <v>430</v>
      </c>
      <c r="B868" s="171">
        <v>0.45824053226673911</v>
      </c>
      <c r="C868" s="171">
        <v>-2.124969022302313</v>
      </c>
      <c r="D868" s="171">
        <v>2.076961144994538E-2</v>
      </c>
      <c r="E868" s="170">
        <v>0</v>
      </c>
      <c r="F868" s="170">
        <f>-$L$1</f>
        <v>-1.4990492230334603E-2</v>
      </c>
      <c r="G868" s="171">
        <v>0</v>
      </c>
      <c r="H868" s="171">
        <v>0</v>
      </c>
      <c r="I868" s="177">
        <f>-$N$1</f>
        <v>-4.7716218756768064E-3</v>
      </c>
      <c r="J868" s="170">
        <v>0</v>
      </c>
      <c r="L868">
        <v>0</v>
      </c>
      <c r="M868">
        <v>1.2358212589611564</v>
      </c>
      <c r="N868">
        <v>0</v>
      </c>
    </row>
    <row r="869" spans="1:16">
      <c r="A869" s="170"/>
      <c r="B869" s="171">
        <v>0.85843073718374274</v>
      </c>
      <c r="C869" s="171">
        <v>-1.040962775001312</v>
      </c>
      <c r="D869" s="171">
        <v>3.7610117674176324E-2</v>
      </c>
      <c r="E869" s="170">
        <v>0</v>
      </c>
      <c r="F869" s="171">
        <v>0</v>
      </c>
      <c r="G869" s="170">
        <f>-$L$1</f>
        <v>-1.4990492230334603E-2</v>
      </c>
      <c r="H869" s="171">
        <v>0</v>
      </c>
      <c r="I869" s="171">
        <v>0</v>
      </c>
      <c r="J869" s="177">
        <f>-$N$1</f>
        <v>-4.7716218756768064E-3</v>
      </c>
      <c r="L869">
        <v>0</v>
      </c>
      <c r="M869">
        <v>0</v>
      </c>
      <c r="N869">
        <v>0.24816005539175073</v>
      </c>
    </row>
    <row r="870" spans="1:16">
      <c r="A870" s="170"/>
      <c r="B870" s="171"/>
      <c r="C870" s="171"/>
      <c r="D870" s="171"/>
      <c r="E870" s="170"/>
      <c r="F870" s="170"/>
      <c r="G870" s="170"/>
      <c r="H870" s="170"/>
      <c r="I870" s="170"/>
      <c r="J870" s="170"/>
    </row>
    <row r="871" spans="1:16">
      <c r="A871" s="170"/>
      <c r="B871" s="171">
        <v>-0.58367185674448252</v>
      </c>
      <c r="C871" s="171">
        <v>-2.0841504898711007</v>
      </c>
      <c r="D871" s="171">
        <v>-0.75171422039661484</v>
      </c>
      <c r="E871" s="170">
        <f>-$L$1</f>
        <v>-1.4990492230334603E-2</v>
      </c>
      <c r="F871" s="171">
        <v>0</v>
      </c>
      <c r="G871" s="171">
        <v>0</v>
      </c>
      <c r="H871" s="177">
        <f>-$N$1</f>
        <v>-4.7716218756768064E-3</v>
      </c>
      <c r="I871" s="170">
        <v>0</v>
      </c>
      <c r="J871" s="170">
        <v>0</v>
      </c>
      <c r="L871">
        <f t="array" ref="L871:N873">SVDD(B871:D873)</f>
        <v>3.023681641462963</v>
      </c>
      <c r="M871">
        <v>0</v>
      </c>
      <c r="N871">
        <v>0</v>
      </c>
      <c r="P871">
        <f t="shared" ref="P871" si="262">MAX(L871,M872,N873)/MIN(L871,M872,N873)</f>
        <v>5.7889076511012911</v>
      </c>
    </row>
    <row r="872" spans="1:16">
      <c r="A872" s="170" t="s">
        <v>431</v>
      </c>
      <c r="B872" s="171">
        <v>0.45824053226673911</v>
      </c>
      <c r="C872" s="171">
        <v>-2.124969022302313</v>
      </c>
      <c r="D872" s="171">
        <v>2.076961144994538E-2</v>
      </c>
      <c r="E872" s="170">
        <v>0</v>
      </c>
      <c r="F872" s="170">
        <f>-$L$1</f>
        <v>-1.4990492230334603E-2</v>
      </c>
      <c r="G872" s="171">
        <v>0</v>
      </c>
      <c r="H872" s="171">
        <v>0</v>
      </c>
      <c r="I872" s="177">
        <f>-$N$1</f>
        <v>-4.7716218756768064E-3</v>
      </c>
      <c r="J872" s="170">
        <v>0</v>
      </c>
      <c r="L872">
        <v>0</v>
      </c>
      <c r="M872">
        <v>1.7851770603991368</v>
      </c>
      <c r="N872">
        <v>0</v>
      </c>
    </row>
    <row r="873" spans="1:16">
      <c r="A873" s="170"/>
      <c r="B873" s="171">
        <v>-1.6188303733889171</v>
      </c>
      <c r="C873" s="171">
        <v>1.9594494251009342E-2</v>
      </c>
      <c r="D873" s="171">
        <v>7.7422792294721043E-2</v>
      </c>
      <c r="E873" s="170">
        <v>0</v>
      </c>
      <c r="F873" s="171">
        <v>0</v>
      </c>
      <c r="G873" s="170">
        <f>-$L$1</f>
        <v>-1.4990492230334603E-2</v>
      </c>
      <c r="H873" s="171">
        <v>0</v>
      </c>
      <c r="I873" s="171">
        <v>0</v>
      </c>
      <c r="J873" s="177">
        <f>-$N$1</f>
        <v>-4.7716218756768064E-3</v>
      </c>
      <c r="L873">
        <v>0</v>
      </c>
      <c r="M873">
        <v>0</v>
      </c>
      <c r="N873">
        <v>0.52232335074264535</v>
      </c>
    </row>
    <row r="874" spans="1:16">
      <c r="A874" s="170"/>
      <c r="B874" s="171"/>
      <c r="C874" s="171"/>
      <c r="D874" s="171"/>
      <c r="E874" s="170"/>
      <c r="F874" s="170"/>
      <c r="G874" s="170"/>
      <c r="H874" s="170"/>
      <c r="I874" s="170"/>
      <c r="J874" s="170"/>
    </row>
    <row r="875" spans="1:16">
      <c r="A875" s="170"/>
      <c r="B875" s="171">
        <v>-0.58367185674448252</v>
      </c>
      <c r="C875" s="171">
        <v>-2.0841504898711007</v>
      </c>
      <c r="D875" s="171">
        <v>-0.75171422039661484</v>
      </c>
      <c r="E875" s="170">
        <f>-$L$1</f>
        <v>-1.4990492230334603E-2</v>
      </c>
      <c r="F875" s="171">
        <v>0</v>
      </c>
      <c r="G875" s="171">
        <v>0</v>
      </c>
      <c r="H875" s="177">
        <f>-$N$1</f>
        <v>-4.7716218756768064E-3</v>
      </c>
      <c r="I875" s="170">
        <v>0</v>
      </c>
      <c r="J875" s="170">
        <v>0</v>
      </c>
      <c r="L875">
        <f t="array" ref="L875:N877">SVDD(B875:D877)</f>
        <v>3.0268353239664156</v>
      </c>
      <c r="M875">
        <v>0</v>
      </c>
      <c r="N875">
        <v>0</v>
      </c>
      <c r="P875">
        <f t="shared" ref="P875" si="263">MAX(L875,M876,N877)/MIN(L875,M876,N877)</f>
        <v>19.829028382126939</v>
      </c>
    </row>
    <row r="876" spans="1:16">
      <c r="A876" s="170" t="s">
        <v>432</v>
      </c>
      <c r="B876" s="171">
        <v>0.45824053226673911</v>
      </c>
      <c r="C876" s="171">
        <v>-2.124969022302313</v>
      </c>
      <c r="D876" s="171">
        <v>2.076961144994538E-2</v>
      </c>
      <c r="E876" s="170">
        <v>0</v>
      </c>
      <c r="F876" s="170">
        <f>-$L$1</f>
        <v>-1.4990492230334603E-2</v>
      </c>
      <c r="G876" s="171">
        <v>0</v>
      </c>
      <c r="H876" s="171">
        <v>0</v>
      </c>
      <c r="I876" s="177">
        <f>-$N$1</f>
        <v>-4.7716218756768064E-3</v>
      </c>
      <c r="J876" s="170">
        <v>0</v>
      </c>
      <c r="L876">
        <v>0</v>
      </c>
      <c r="M876">
        <v>1.309428142622227</v>
      </c>
      <c r="N876">
        <v>0</v>
      </c>
    </row>
    <row r="877" spans="1:16">
      <c r="A877" s="170"/>
      <c r="B877" s="171">
        <v>-0.60912970227287866</v>
      </c>
      <c r="C877" s="171">
        <v>0.28261535739067112</v>
      </c>
      <c r="D877" s="171">
        <v>-0.68802996689194662</v>
      </c>
      <c r="E877" s="170">
        <v>0</v>
      </c>
      <c r="F877" s="171">
        <v>0</v>
      </c>
      <c r="G877" s="170">
        <f>-$L$1</f>
        <v>-1.4990492230334603E-2</v>
      </c>
      <c r="H877" s="171">
        <v>0</v>
      </c>
      <c r="I877" s="171">
        <v>0</v>
      </c>
      <c r="J877" s="177">
        <f>-$N$1</f>
        <v>-4.7716218756768064E-3</v>
      </c>
      <c r="L877">
        <v>0</v>
      </c>
      <c r="M877">
        <v>0</v>
      </c>
      <c r="N877">
        <v>0.15264667867915702</v>
      </c>
    </row>
    <row r="878" spans="1:16">
      <c r="A878" s="170"/>
      <c r="B878" s="171"/>
      <c r="C878" s="171"/>
      <c r="D878" s="171"/>
      <c r="E878" s="170"/>
      <c r="F878" s="170"/>
      <c r="G878" s="170"/>
      <c r="H878" s="170"/>
      <c r="I878" s="170"/>
      <c r="J878" s="170"/>
    </row>
    <row r="879" spans="1:16">
      <c r="A879" s="170"/>
      <c r="B879" s="171">
        <v>-0.58367185674448252</v>
      </c>
      <c r="C879" s="171">
        <v>-2.0841504898711007</v>
      </c>
      <c r="D879" s="171">
        <v>-0.75171422039661484</v>
      </c>
      <c r="E879" s="170">
        <f>-$L$1</f>
        <v>-1.4990492230334603E-2</v>
      </c>
      <c r="F879" s="171">
        <v>0</v>
      </c>
      <c r="G879" s="171">
        <v>0</v>
      </c>
      <c r="H879" s="177">
        <f>-$N$1</f>
        <v>-4.7716218756768064E-3</v>
      </c>
      <c r="I879" s="170">
        <v>0</v>
      </c>
      <c r="J879" s="170">
        <v>0</v>
      </c>
      <c r="L879">
        <f t="array" ref="L879:N881">SVDD(B879:D881)</f>
        <v>3.0558815092398603</v>
      </c>
      <c r="M879">
        <v>0</v>
      </c>
      <c r="N879">
        <v>0</v>
      </c>
      <c r="P879">
        <f t="shared" ref="P879" si="264">MAX(L879,M880,N881)/MIN(L879,M880,N881)</f>
        <v>6.768419778847786</v>
      </c>
    </row>
    <row r="880" spans="1:16">
      <c r="A880" s="170" t="s">
        <v>433</v>
      </c>
      <c r="B880" s="171">
        <v>-1.9865190328797109</v>
      </c>
      <c r="C880" s="171">
        <v>-1.2694850305255347</v>
      </c>
      <c r="D880" s="171">
        <v>-3.2127045366234341E-2</v>
      </c>
      <c r="E880" s="170">
        <v>0</v>
      </c>
      <c r="F880" s="170">
        <f>-$L$1</f>
        <v>-1.4990492230334603E-2</v>
      </c>
      <c r="G880" s="171">
        <v>0</v>
      </c>
      <c r="H880" s="171">
        <v>0</v>
      </c>
      <c r="I880" s="177">
        <f>-$N$1</f>
        <v>-4.7716218756768064E-3</v>
      </c>
      <c r="J880" s="170">
        <v>0</v>
      </c>
      <c r="L880">
        <v>0</v>
      </c>
      <c r="M880">
        <v>1.7572643333172846</v>
      </c>
      <c r="N880">
        <v>0</v>
      </c>
    </row>
    <row r="881" spans="1:16">
      <c r="A881" s="170"/>
      <c r="B881" s="171">
        <v>0.85843073718374274</v>
      </c>
      <c r="C881" s="171">
        <v>-1.040962775001312</v>
      </c>
      <c r="D881" s="171">
        <v>3.7610117674176324E-2</v>
      </c>
      <c r="E881" s="170">
        <v>0</v>
      </c>
      <c r="F881" s="171">
        <v>0</v>
      </c>
      <c r="G881" s="170">
        <f>-$L$1</f>
        <v>-1.4990492230334603E-2</v>
      </c>
      <c r="H881" s="171">
        <v>0</v>
      </c>
      <c r="I881" s="171">
        <v>0</v>
      </c>
      <c r="J881" s="177">
        <f>-$N$1</f>
        <v>-4.7716218756768064E-3</v>
      </c>
      <c r="L881">
        <v>0</v>
      </c>
      <c r="M881">
        <v>0</v>
      </c>
      <c r="N881">
        <v>0.45149113221226284</v>
      </c>
    </row>
    <row r="882" spans="1:16">
      <c r="A882" s="170"/>
      <c r="B882" s="171"/>
      <c r="C882" s="171"/>
      <c r="D882" s="171"/>
      <c r="E882" s="170"/>
      <c r="F882" s="170"/>
      <c r="G882" s="170"/>
      <c r="H882" s="170"/>
      <c r="I882" s="170"/>
      <c r="J882" s="170"/>
    </row>
    <row r="883" spans="1:16">
      <c r="A883" s="170"/>
      <c r="B883" s="171">
        <v>-0.58367185674448252</v>
      </c>
      <c r="C883" s="171">
        <v>-2.0841504898711007</v>
      </c>
      <c r="D883" s="171">
        <v>-0.75171422039661484</v>
      </c>
      <c r="E883" s="170">
        <f>-$L$1</f>
        <v>-1.4990492230334603E-2</v>
      </c>
      <c r="F883" s="171">
        <v>0</v>
      </c>
      <c r="G883" s="171">
        <v>0</v>
      </c>
      <c r="H883" s="177">
        <f>-$N$1</f>
        <v>-4.7716218756768064E-3</v>
      </c>
      <c r="I883" s="170">
        <v>0</v>
      </c>
      <c r="J883" s="170">
        <v>0</v>
      </c>
      <c r="L883">
        <f t="array" ref="L883:N885">SVDD(B883:D885)</f>
        <v>3.2180909104056896</v>
      </c>
      <c r="M883">
        <v>0</v>
      </c>
      <c r="N883">
        <v>0</v>
      </c>
      <c r="P883">
        <f t="shared" ref="P883" si="265">MAX(L883,M884,N885)/MIN(L883,M884,N885)</f>
        <v>15.003266209049313</v>
      </c>
    </row>
    <row r="884" spans="1:16">
      <c r="A884" s="170" t="s">
        <v>434</v>
      </c>
      <c r="B884" s="171">
        <v>-1.9865190328797109</v>
      </c>
      <c r="C884" s="171">
        <v>-1.2694850305255347</v>
      </c>
      <c r="D884" s="171">
        <v>-3.2127045366234341E-2</v>
      </c>
      <c r="E884" s="170">
        <v>0</v>
      </c>
      <c r="F884" s="170">
        <f>-$L$1</f>
        <v>-1.4990492230334603E-2</v>
      </c>
      <c r="G884" s="171">
        <v>0</v>
      </c>
      <c r="H884" s="171">
        <v>0</v>
      </c>
      <c r="I884" s="177">
        <f>-$N$1</f>
        <v>-4.7716218756768064E-3</v>
      </c>
      <c r="J884" s="170">
        <v>0</v>
      </c>
      <c r="L884">
        <v>0</v>
      </c>
      <c r="M884">
        <v>1.7416045524971555</v>
      </c>
      <c r="N884">
        <v>0</v>
      </c>
    </row>
    <row r="885" spans="1:16">
      <c r="A885" s="170"/>
      <c r="B885" s="171">
        <v>-1.6188303733889171</v>
      </c>
      <c r="C885" s="171">
        <v>1.9594494251009342E-2</v>
      </c>
      <c r="D885" s="171">
        <v>7.7422792294721043E-2</v>
      </c>
      <c r="E885" s="170">
        <v>0</v>
      </c>
      <c r="F885" s="171">
        <v>0</v>
      </c>
      <c r="G885" s="170">
        <f>-$L$1</f>
        <v>-1.4990492230334603E-2</v>
      </c>
      <c r="H885" s="171">
        <v>0</v>
      </c>
      <c r="I885" s="171">
        <v>0</v>
      </c>
      <c r="J885" s="177">
        <f>-$N$1</f>
        <v>-4.7716218756768064E-3</v>
      </c>
      <c r="L885">
        <v>0</v>
      </c>
      <c r="M885">
        <v>0</v>
      </c>
      <c r="N885">
        <v>0.21449268882962819</v>
      </c>
    </row>
    <row r="886" spans="1:16">
      <c r="A886" s="170"/>
      <c r="B886" s="171"/>
      <c r="C886" s="171"/>
      <c r="D886" s="171"/>
      <c r="E886" s="170"/>
      <c r="F886" s="170"/>
      <c r="G886" s="170"/>
      <c r="H886" s="170"/>
      <c r="I886" s="170"/>
      <c r="J886" s="170"/>
    </row>
    <row r="887" spans="1:16">
      <c r="A887" s="170"/>
      <c r="B887" s="171">
        <v>-0.58367185674448252</v>
      </c>
      <c r="C887" s="171">
        <v>-2.0841504898711007</v>
      </c>
      <c r="D887" s="171">
        <v>-0.75171422039661484</v>
      </c>
      <c r="E887" s="170">
        <f>-$L$1</f>
        <v>-1.4990492230334603E-2</v>
      </c>
      <c r="F887" s="171">
        <v>0</v>
      </c>
      <c r="G887" s="171">
        <v>0</v>
      </c>
      <c r="H887" s="177">
        <f>-$N$1</f>
        <v>-4.7716218756768064E-3</v>
      </c>
      <c r="I887" s="170">
        <v>0</v>
      </c>
      <c r="J887" s="170">
        <v>0</v>
      </c>
      <c r="L887">
        <f t="array" ref="L887:N889">SVDD(B887:D889)</f>
        <v>3.0525848191593834</v>
      </c>
      <c r="M887">
        <v>0</v>
      </c>
      <c r="N887">
        <v>0</v>
      </c>
      <c r="P887">
        <f t="shared" ref="P887" si="266">MAX(L887,M888,N889)/MIN(L887,M888,N889)</f>
        <v>3.7367318839826384</v>
      </c>
    </row>
    <row r="888" spans="1:16">
      <c r="A888" s="170" t="s">
        <v>435</v>
      </c>
      <c r="B888" s="171">
        <v>-1.9865190328797109</v>
      </c>
      <c r="C888" s="171">
        <v>-1.2694850305255347</v>
      </c>
      <c r="D888" s="171">
        <v>-3.2127045366234341E-2</v>
      </c>
      <c r="E888" s="170">
        <v>0</v>
      </c>
      <c r="F888" s="170">
        <f>-$L$1</f>
        <v>-1.4990492230334603E-2</v>
      </c>
      <c r="G888" s="171">
        <v>0</v>
      </c>
      <c r="H888" s="171">
        <v>0</v>
      </c>
      <c r="I888" s="177">
        <f>-$N$1</f>
        <v>-4.7716218756768064E-3</v>
      </c>
      <c r="J888" s="170">
        <v>0</v>
      </c>
      <c r="L888">
        <v>0</v>
      </c>
      <c r="M888">
        <v>1.3217365035301709</v>
      </c>
      <c r="N888">
        <v>0</v>
      </c>
    </row>
    <row r="889" spans="1:16">
      <c r="A889" s="170"/>
      <c r="B889" s="171">
        <v>-0.60912970227287866</v>
      </c>
      <c r="C889" s="171">
        <v>0.28261535739067112</v>
      </c>
      <c r="D889" s="171">
        <v>-0.68802996689194662</v>
      </c>
      <c r="E889" s="170">
        <v>0</v>
      </c>
      <c r="F889" s="171">
        <v>0</v>
      </c>
      <c r="G889" s="170">
        <f>-$L$1</f>
        <v>-1.4990492230334603E-2</v>
      </c>
      <c r="H889" s="171">
        <v>0</v>
      </c>
      <c r="I889" s="171">
        <v>0</v>
      </c>
      <c r="J889" s="177">
        <f>-$N$1</f>
        <v>-4.7716218756768064E-3</v>
      </c>
      <c r="L889">
        <v>0</v>
      </c>
      <c r="M889">
        <v>0</v>
      </c>
      <c r="N889">
        <v>0.81691299079930624</v>
      </c>
    </row>
    <row r="890" spans="1:16">
      <c r="A890" s="170"/>
      <c r="B890" s="171"/>
      <c r="C890" s="171"/>
      <c r="D890" s="171"/>
      <c r="E890" s="170"/>
      <c r="F890" s="170"/>
      <c r="G890" s="170"/>
      <c r="H890" s="170"/>
      <c r="I890" s="170"/>
      <c r="J890" s="170"/>
    </row>
    <row r="891" spans="1:16">
      <c r="A891" s="170"/>
      <c r="B891" s="171">
        <v>-0.58367185674448252</v>
      </c>
      <c r="C891" s="171">
        <v>-2.0841504898711007</v>
      </c>
      <c r="D891" s="171">
        <v>-0.75171422039661484</v>
      </c>
      <c r="E891" s="170">
        <f>-$L$1</f>
        <v>-1.4990492230334603E-2</v>
      </c>
      <c r="F891" s="171">
        <v>0</v>
      </c>
      <c r="G891" s="171">
        <v>0</v>
      </c>
      <c r="H891" s="177">
        <f>-$N$1</f>
        <v>-4.7716218756768064E-3</v>
      </c>
      <c r="I891" s="170">
        <v>0</v>
      </c>
      <c r="J891" s="170">
        <v>0</v>
      </c>
      <c r="L891">
        <f t="array" ref="L891:N893">SVDD(B891:D893)</f>
        <v>2.4356799574378889</v>
      </c>
      <c r="M891">
        <v>0</v>
      </c>
      <c r="N891">
        <v>0</v>
      </c>
      <c r="P891">
        <f t="shared" ref="P891" si="267">MAX(L891,M892,N893)/MIN(L891,M892,N893)</f>
        <v>7.2355412286088452</v>
      </c>
    </row>
    <row r="892" spans="1:16">
      <c r="A892" s="170" t="s">
        <v>436</v>
      </c>
      <c r="B892" s="171">
        <v>0.85843073718374274</v>
      </c>
      <c r="C892" s="171">
        <v>-1.040962775001312</v>
      </c>
      <c r="D892" s="171">
        <v>3.7610117674176324E-2</v>
      </c>
      <c r="E892" s="170">
        <v>0</v>
      </c>
      <c r="F892" s="170">
        <f>-$L$1</f>
        <v>-1.4990492230334603E-2</v>
      </c>
      <c r="G892" s="171">
        <v>0</v>
      </c>
      <c r="H892" s="171">
        <v>0</v>
      </c>
      <c r="I892" s="177">
        <f>-$N$1</f>
        <v>-4.7716218756768064E-3</v>
      </c>
      <c r="J892" s="170">
        <v>0</v>
      </c>
      <c r="L892">
        <v>0</v>
      </c>
      <c r="M892">
        <v>1.911148086045189</v>
      </c>
      <c r="N892">
        <v>0</v>
      </c>
    </row>
    <row r="893" spans="1:16">
      <c r="A893" s="170"/>
      <c r="B893" s="171">
        <v>-1.6188303733889171</v>
      </c>
      <c r="C893" s="171">
        <v>1.9594494251009342E-2</v>
      </c>
      <c r="D893" s="171">
        <v>7.7422792294721043E-2</v>
      </c>
      <c r="E893" s="170">
        <v>0</v>
      </c>
      <c r="F893" s="171">
        <v>0</v>
      </c>
      <c r="G893" s="170">
        <f>-$L$1</f>
        <v>-1.4990492230334603E-2</v>
      </c>
      <c r="H893" s="171">
        <v>0</v>
      </c>
      <c r="I893" s="171">
        <v>0</v>
      </c>
      <c r="J893" s="177">
        <f>-$N$1</f>
        <v>-4.7716218756768064E-3</v>
      </c>
      <c r="L893">
        <v>0</v>
      </c>
      <c r="M893">
        <v>0</v>
      </c>
      <c r="N893">
        <v>0.33662719629146381</v>
      </c>
    </row>
    <row r="894" spans="1:16">
      <c r="A894" s="170"/>
      <c r="B894" s="171"/>
      <c r="C894" s="171"/>
      <c r="D894" s="171"/>
      <c r="E894" s="170"/>
      <c r="F894" s="170"/>
      <c r="G894" s="170"/>
      <c r="H894" s="170"/>
      <c r="I894" s="170"/>
      <c r="J894" s="170"/>
    </row>
    <row r="895" spans="1:16">
      <c r="A895" s="170"/>
      <c r="B895" s="171">
        <v>-0.58367185674448252</v>
      </c>
      <c r="C895" s="171">
        <v>-2.0841504898711007</v>
      </c>
      <c r="D895" s="171">
        <v>-0.75171422039661484</v>
      </c>
      <c r="E895" s="170">
        <f>-$L$1</f>
        <v>-1.4990492230334603E-2</v>
      </c>
      <c r="F895" s="171">
        <v>0</v>
      </c>
      <c r="G895" s="171">
        <v>0</v>
      </c>
      <c r="H895" s="177">
        <f>-$N$1</f>
        <v>-4.7716218756768064E-3</v>
      </c>
      <c r="I895" s="170">
        <v>0</v>
      </c>
      <c r="J895" s="170">
        <v>0</v>
      </c>
      <c r="L895">
        <f t="array" ref="L895:N897">SVDD(B895:D897)</f>
        <v>2.4307181354751757</v>
      </c>
      <c r="M895">
        <v>0</v>
      </c>
      <c r="N895">
        <v>0</v>
      </c>
      <c r="P895">
        <f t="shared" ref="P895" si="268">MAX(L895,M896,N897)/MIN(L895,M896,N897)</f>
        <v>6.3260146733038898</v>
      </c>
    </row>
    <row r="896" spans="1:16">
      <c r="A896" s="170" t="s">
        <v>437</v>
      </c>
      <c r="B896" s="171">
        <v>0.85843073718374274</v>
      </c>
      <c r="C896" s="171">
        <v>-1.040962775001312</v>
      </c>
      <c r="D896" s="171">
        <v>3.7610117674176324E-2</v>
      </c>
      <c r="E896" s="170">
        <v>0</v>
      </c>
      <c r="F896" s="170">
        <f>-$L$1</f>
        <v>-1.4990492230334603E-2</v>
      </c>
      <c r="G896" s="171">
        <v>0</v>
      </c>
      <c r="H896" s="171">
        <v>0</v>
      </c>
      <c r="I896" s="177">
        <f>-$N$1</f>
        <v>-4.7716218756768064E-3</v>
      </c>
      <c r="J896" s="170">
        <v>0</v>
      </c>
      <c r="L896">
        <v>0</v>
      </c>
      <c r="M896">
        <v>1.3927006542455453</v>
      </c>
      <c r="N896">
        <v>0</v>
      </c>
    </row>
    <row r="897" spans="1:16">
      <c r="A897" s="170"/>
      <c r="B897" s="171">
        <v>-0.60912970227287866</v>
      </c>
      <c r="C897" s="171">
        <v>0.28261535739067112</v>
      </c>
      <c r="D897" s="171">
        <v>-0.68802996689194662</v>
      </c>
      <c r="E897" s="170">
        <v>0</v>
      </c>
      <c r="F897" s="171">
        <v>0</v>
      </c>
      <c r="G897" s="170">
        <f>-$L$1</f>
        <v>-1.4990492230334603E-2</v>
      </c>
      <c r="H897" s="171">
        <v>0</v>
      </c>
      <c r="I897" s="171">
        <v>0</v>
      </c>
      <c r="J897" s="177">
        <f>-$N$1</f>
        <v>-4.7716218756768064E-3</v>
      </c>
      <c r="L897">
        <v>0</v>
      </c>
      <c r="M897">
        <v>0</v>
      </c>
      <c r="N897">
        <v>0.38424162146397356</v>
      </c>
    </row>
    <row r="898" spans="1:16">
      <c r="A898" s="170"/>
      <c r="B898" s="171"/>
      <c r="C898" s="171"/>
      <c r="D898" s="171"/>
      <c r="E898" s="170"/>
      <c r="F898" s="170"/>
      <c r="G898" s="170"/>
      <c r="H898" s="170"/>
      <c r="I898" s="170"/>
      <c r="J898" s="170"/>
    </row>
    <row r="899" spans="1:16">
      <c r="A899" s="170"/>
      <c r="B899" s="171">
        <v>-0.58367185674448252</v>
      </c>
      <c r="C899" s="171">
        <v>-2.0841504898711007</v>
      </c>
      <c r="D899" s="171">
        <v>-0.75171422039661484</v>
      </c>
      <c r="E899" s="170">
        <f>-$L$1</f>
        <v>-1.4990492230334603E-2</v>
      </c>
      <c r="F899" s="171">
        <v>0</v>
      </c>
      <c r="G899" s="171">
        <v>0</v>
      </c>
      <c r="H899" s="177">
        <f>-$N$1</f>
        <v>-4.7716218756768064E-3</v>
      </c>
      <c r="I899" s="170">
        <v>0</v>
      </c>
      <c r="J899" s="170">
        <v>0</v>
      </c>
      <c r="L899">
        <f t="array" ref="L899:N901">SVDD(B899:D901)</f>
        <v>2.3587619461470801</v>
      </c>
      <c r="M899">
        <v>0</v>
      </c>
      <c r="N899">
        <v>0</v>
      </c>
      <c r="P899">
        <f t="shared" ref="P899" si="269">MAX(L899,M900,N901)/MIN(L899,M900,N901)</f>
        <v>3.3124115126012943</v>
      </c>
    </row>
    <row r="900" spans="1:16">
      <c r="A900" s="170" t="s">
        <v>438</v>
      </c>
      <c r="B900" s="171">
        <v>-1.6188303733889171</v>
      </c>
      <c r="C900" s="171">
        <v>1.9594494251009342E-2</v>
      </c>
      <c r="D900" s="171">
        <v>7.7422792294721043E-2</v>
      </c>
      <c r="E900" s="170">
        <v>0</v>
      </c>
      <c r="F900" s="170">
        <f>-$L$1</f>
        <v>-1.4990492230334603E-2</v>
      </c>
      <c r="G900" s="171">
        <v>0</v>
      </c>
      <c r="H900" s="171">
        <v>0</v>
      </c>
      <c r="I900" s="177">
        <f>-$N$1</f>
        <v>-4.7716218756768064E-3</v>
      </c>
      <c r="J900" s="170">
        <v>0</v>
      </c>
      <c r="L900">
        <v>0</v>
      </c>
      <c r="M900">
        <v>1.6522331636818361</v>
      </c>
      <c r="N900">
        <v>0</v>
      </c>
    </row>
    <row r="901" spans="1:16">
      <c r="A901" s="170"/>
      <c r="B901" s="171">
        <v>-0.60912970227287866</v>
      </c>
      <c r="C901" s="171">
        <v>0.28261535739067112</v>
      </c>
      <c r="D901" s="171">
        <v>-0.68802996689194662</v>
      </c>
      <c r="E901" s="170">
        <v>0</v>
      </c>
      <c r="F901" s="171">
        <v>0</v>
      </c>
      <c r="G901" s="170">
        <f>-$L$1</f>
        <v>-1.4990492230334603E-2</v>
      </c>
      <c r="H901" s="171">
        <v>0</v>
      </c>
      <c r="I901" s="171">
        <v>0</v>
      </c>
      <c r="J901" s="177">
        <f>-$N$1</f>
        <v>-4.7716218756768064E-3</v>
      </c>
      <c r="L901">
        <v>0</v>
      </c>
      <c r="M901">
        <v>0</v>
      </c>
      <c r="N901">
        <v>0.712098100484714</v>
      </c>
    </row>
    <row r="902" spans="1:16">
      <c r="A902" s="170"/>
      <c r="B902" s="171"/>
      <c r="C902" s="171"/>
      <c r="D902" s="171"/>
      <c r="E902" s="170"/>
      <c r="F902" s="170"/>
      <c r="G902" s="170"/>
      <c r="H902" s="170"/>
      <c r="I902" s="170"/>
      <c r="J902" s="170"/>
    </row>
    <row r="903" spans="1:16">
      <c r="A903" s="170"/>
      <c r="B903" s="171">
        <v>-1.8375474863113905</v>
      </c>
      <c r="C903" s="171">
        <v>-2.1167426559988707</v>
      </c>
      <c r="D903" s="171">
        <v>-1.2367606559382516E-2</v>
      </c>
      <c r="E903" s="170">
        <f>-$L$1</f>
        <v>-1.4990492230334603E-2</v>
      </c>
      <c r="F903" s="171">
        <v>0</v>
      </c>
      <c r="G903" s="171">
        <v>0</v>
      </c>
      <c r="H903" s="177">
        <f>-$N$1</f>
        <v>-4.7716218756768064E-3</v>
      </c>
      <c r="I903" s="170">
        <v>0</v>
      </c>
      <c r="J903" s="170">
        <v>0</v>
      </c>
      <c r="L903">
        <f t="array" ref="L903:N905">SVDD(B903:D905)</f>
        <v>3.8368654651729148</v>
      </c>
      <c r="M903">
        <v>0</v>
      </c>
      <c r="N903">
        <v>0</v>
      </c>
      <c r="P903">
        <f t="shared" ref="P903" si="270">MAX(L903,M904,N905)/MIN(L903,M904,N905)</f>
        <v>466.83042019142619</v>
      </c>
    </row>
    <row r="904" spans="1:16">
      <c r="A904" s="170" t="s">
        <v>439</v>
      </c>
      <c r="B904" s="171">
        <v>0.45824053226673911</v>
      </c>
      <c r="C904" s="171">
        <v>-2.124969022302313</v>
      </c>
      <c r="D904" s="171">
        <v>2.076961144994538E-2</v>
      </c>
      <c r="E904" s="170">
        <v>0</v>
      </c>
      <c r="F904" s="170">
        <f>-$L$1</f>
        <v>-1.4990492230334603E-2</v>
      </c>
      <c r="G904" s="171">
        <v>0</v>
      </c>
      <c r="H904" s="171">
        <v>0</v>
      </c>
      <c r="I904" s="177">
        <f>-$N$1</f>
        <v>-4.7716218756768064E-3</v>
      </c>
      <c r="J904" s="170">
        <v>0</v>
      </c>
      <c r="L904">
        <v>0</v>
      </c>
      <c r="M904">
        <v>1.8494648983517943</v>
      </c>
      <c r="N904">
        <v>0</v>
      </c>
    </row>
    <row r="905" spans="1:16">
      <c r="A905" s="170"/>
      <c r="B905" s="171">
        <v>-1.9865190328797109</v>
      </c>
      <c r="C905" s="171">
        <v>-1.2694850305255347</v>
      </c>
      <c r="D905" s="171">
        <v>-3.2127045366234341E-2</v>
      </c>
      <c r="E905" s="170">
        <v>0</v>
      </c>
      <c r="F905" s="171">
        <v>0</v>
      </c>
      <c r="G905" s="170">
        <f>-$L$1</f>
        <v>-1.4990492230334603E-2</v>
      </c>
      <c r="H905" s="171">
        <v>0</v>
      </c>
      <c r="I905" s="171">
        <v>0</v>
      </c>
      <c r="J905" s="177">
        <f>-$N$1</f>
        <v>-4.7716218756768064E-3</v>
      </c>
      <c r="L905">
        <v>0</v>
      </c>
      <c r="M905">
        <v>0</v>
      </c>
      <c r="N905">
        <v>8.2189705280979516E-3</v>
      </c>
    </row>
    <row r="906" spans="1:16">
      <c r="A906" s="170"/>
      <c r="B906" s="171"/>
      <c r="C906" s="171"/>
      <c r="D906" s="171"/>
      <c r="E906" s="170"/>
      <c r="F906" s="170"/>
      <c r="G906" s="170"/>
      <c r="H906" s="170"/>
      <c r="I906" s="170"/>
      <c r="J906" s="170"/>
    </row>
    <row r="907" spans="1:16">
      <c r="A907" s="170"/>
      <c r="B907" s="171">
        <v>-1.8375474863113905</v>
      </c>
      <c r="C907" s="171">
        <v>-2.1167426559988707</v>
      </c>
      <c r="D907" s="171">
        <v>-1.2367606559382516E-2</v>
      </c>
      <c r="E907" s="170">
        <f>-$L$1</f>
        <v>-1.4990492230334603E-2</v>
      </c>
      <c r="F907" s="171">
        <v>0</v>
      </c>
      <c r="G907" s="171">
        <v>0</v>
      </c>
      <c r="H907" s="177">
        <f>-$N$1</f>
        <v>-4.7716218756768064E-3</v>
      </c>
      <c r="I907" s="170">
        <v>0</v>
      </c>
      <c r="J907" s="170">
        <v>0</v>
      </c>
      <c r="L907">
        <f t="array" ref="L907:N909">SVDD(B907:D909)</f>
        <v>3.2740254774554596</v>
      </c>
      <c r="M907">
        <v>0</v>
      </c>
      <c r="N907">
        <v>0</v>
      </c>
      <c r="P907">
        <f t="shared" ref="P907" si="271">MAX(L907,M908,N909)/MIN(L907,M908,N909)</f>
        <v>230.68313650592344</v>
      </c>
    </row>
    <row r="908" spans="1:16">
      <c r="A908" s="170" t="s">
        <v>440</v>
      </c>
      <c r="B908" s="171">
        <v>0.45824053226673911</v>
      </c>
      <c r="C908" s="171">
        <v>-2.124969022302313</v>
      </c>
      <c r="D908" s="171">
        <v>2.076961144994538E-2</v>
      </c>
      <c r="E908" s="170">
        <v>0</v>
      </c>
      <c r="F908" s="170">
        <f>-$L$1</f>
        <v>-1.4990492230334603E-2</v>
      </c>
      <c r="G908" s="171">
        <v>0</v>
      </c>
      <c r="H908" s="171">
        <v>0</v>
      </c>
      <c r="I908" s="177">
        <f>-$N$1</f>
        <v>-4.7716218756768064E-3</v>
      </c>
      <c r="J908" s="170">
        <v>0</v>
      </c>
      <c r="L908">
        <v>0</v>
      </c>
      <c r="M908">
        <v>1.9198227499838207</v>
      </c>
      <c r="N908">
        <v>0</v>
      </c>
    </row>
    <row r="909" spans="1:16">
      <c r="A909" s="170"/>
      <c r="B909" s="171">
        <v>0.85843073718374274</v>
      </c>
      <c r="C909" s="171">
        <v>-1.040962775001312</v>
      </c>
      <c r="D909" s="171">
        <v>3.7610117674176324E-2</v>
      </c>
      <c r="E909" s="170">
        <v>0</v>
      </c>
      <c r="F909" s="171">
        <v>0</v>
      </c>
      <c r="G909" s="170">
        <f>-$L$1</f>
        <v>-1.4990492230334603E-2</v>
      </c>
      <c r="H909" s="171">
        <v>0</v>
      </c>
      <c r="I909" s="171">
        <v>0</v>
      </c>
      <c r="J909" s="177">
        <f>-$N$1</f>
        <v>-4.7716218756768064E-3</v>
      </c>
      <c r="L909">
        <v>0</v>
      </c>
      <c r="M909">
        <v>0</v>
      </c>
      <c r="N909">
        <v>1.4192738693629605E-2</v>
      </c>
    </row>
    <row r="910" spans="1:16">
      <c r="A910" s="170"/>
      <c r="B910" s="171"/>
      <c r="C910" s="171"/>
      <c r="D910" s="171"/>
      <c r="E910" s="170"/>
      <c r="F910" s="170"/>
      <c r="G910" s="170"/>
      <c r="H910" s="170"/>
      <c r="I910" s="170"/>
      <c r="J910" s="170"/>
    </row>
    <row r="911" spans="1:16">
      <c r="A911" s="170"/>
      <c r="B911" s="171">
        <v>-1.8375474863113905</v>
      </c>
      <c r="C911" s="171">
        <v>-2.1167426559988707</v>
      </c>
      <c r="D911" s="171">
        <v>-1.2367606559382516E-2</v>
      </c>
      <c r="E911" s="170">
        <f>-$L$1</f>
        <v>-1.4990492230334603E-2</v>
      </c>
      <c r="F911" s="171">
        <v>0</v>
      </c>
      <c r="G911" s="171">
        <v>0</v>
      </c>
      <c r="H911" s="177">
        <f>-$N$1</f>
        <v>-4.7716218756768064E-3</v>
      </c>
      <c r="I911" s="170">
        <v>0</v>
      </c>
      <c r="J911" s="170">
        <v>0</v>
      </c>
      <c r="L911">
        <f t="array" ref="L911:N913">SVDD(B911:D913)</f>
        <v>3.2872247602348836</v>
      </c>
      <c r="M911">
        <v>0</v>
      </c>
      <c r="N911">
        <v>0</v>
      </c>
      <c r="P911">
        <f t="shared" ref="P911" si="272">MAX(L911,M912,N913)/MIN(L911,M912,N913)</f>
        <v>46.088572117461673</v>
      </c>
    </row>
    <row r="912" spans="1:16">
      <c r="A912" s="170" t="s">
        <v>441</v>
      </c>
      <c r="B912" s="171">
        <v>0.45824053226673911</v>
      </c>
      <c r="C912" s="171">
        <v>-2.124969022302313</v>
      </c>
      <c r="D912" s="171">
        <v>2.076961144994538E-2</v>
      </c>
      <c r="E912" s="170">
        <v>0</v>
      </c>
      <c r="F912" s="170">
        <f>-$L$1</f>
        <v>-1.4990492230334603E-2</v>
      </c>
      <c r="G912" s="171">
        <v>0</v>
      </c>
      <c r="H912" s="171">
        <v>0</v>
      </c>
      <c r="I912" s="177">
        <f>-$N$1</f>
        <v>-4.7716218756768064E-3</v>
      </c>
      <c r="J912" s="170">
        <v>0</v>
      </c>
      <c r="L912">
        <v>0</v>
      </c>
      <c r="M912">
        <v>2.0974504915798966</v>
      </c>
      <c r="N912">
        <v>0</v>
      </c>
    </row>
    <row r="913" spans="1:16">
      <c r="A913" s="170"/>
      <c r="B913" s="171">
        <v>-1.6188303733889171</v>
      </c>
      <c r="C913" s="171">
        <v>1.9594494251009342E-2</v>
      </c>
      <c r="D913" s="171">
        <v>7.7422792294721043E-2</v>
      </c>
      <c r="E913" s="170">
        <v>0</v>
      </c>
      <c r="F913" s="171">
        <v>0</v>
      </c>
      <c r="G913" s="170">
        <f>-$L$1</f>
        <v>-1.4990492230334603E-2</v>
      </c>
      <c r="H913" s="171">
        <v>0</v>
      </c>
      <c r="I913" s="171">
        <v>0</v>
      </c>
      <c r="J913" s="177">
        <f>-$N$1</f>
        <v>-4.7716218756768064E-3</v>
      </c>
      <c r="L913">
        <v>0</v>
      </c>
      <c r="M913">
        <v>0</v>
      </c>
      <c r="N913">
        <v>7.1324074693766573E-2</v>
      </c>
    </row>
    <row r="914" spans="1:16">
      <c r="A914" s="170"/>
      <c r="B914" s="171"/>
      <c r="C914" s="171"/>
      <c r="D914" s="171"/>
      <c r="E914" s="170"/>
      <c r="F914" s="170"/>
      <c r="G914" s="170"/>
      <c r="H914" s="170"/>
      <c r="I914" s="170"/>
      <c r="J914" s="170"/>
    </row>
    <row r="915" spans="1:16">
      <c r="A915" s="170"/>
      <c r="B915" s="171">
        <v>-1.8375474863113905</v>
      </c>
      <c r="C915" s="171">
        <v>-2.1167426559988707</v>
      </c>
      <c r="D915" s="171">
        <v>-1.2367606559382516E-2</v>
      </c>
      <c r="E915" s="170">
        <f>-$L$1</f>
        <v>-1.4990492230334603E-2</v>
      </c>
      <c r="F915" s="171">
        <v>0</v>
      </c>
      <c r="G915" s="171">
        <v>0</v>
      </c>
      <c r="H915" s="177">
        <f>-$N$1</f>
        <v>-4.7716218756768064E-3</v>
      </c>
      <c r="I915" s="170">
        <v>0</v>
      </c>
      <c r="J915" s="170">
        <v>0</v>
      </c>
      <c r="L915">
        <f t="array" ref="L915:N917">SVDD(B915:D917)</f>
        <v>3.2044956398912232</v>
      </c>
      <c r="M915">
        <v>0</v>
      </c>
      <c r="N915">
        <v>0</v>
      </c>
      <c r="P915">
        <f t="shared" ref="P915" si="273">MAX(L915,M916,N917)/MIN(L915,M916,N917)</f>
        <v>5.2672257276525398</v>
      </c>
    </row>
    <row r="916" spans="1:16">
      <c r="A916" s="170" t="s">
        <v>442</v>
      </c>
      <c r="B916" s="171">
        <v>0.45824053226673911</v>
      </c>
      <c r="C916" s="171">
        <v>-2.124969022302313</v>
      </c>
      <c r="D916" s="171">
        <v>2.076961144994538E-2</v>
      </c>
      <c r="E916" s="170">
        <v>0</v>
      </c>
      <c r="F916" s="170">
        <f>-$L$1</f>
        <v>-1.4990492230334603E-2</v>
      </c>
      <c r="G916" s="171">
        <v>0</v>
      </c>
      <c r="H916" s="171">
        <v>0</v>
      </c>
      <c r="I916" s="177">
        <f>-$N$1</f>
        <v>-4.7716218756768064E-3</v>
      </c>
      <c r="J916" s="170">
        <v>0</v>
      </c>
      <c r="L916">
        <v>0</v>
      </c>
      <c r="M916">
        <v>1.6936985045117692</v>
      </c>
      <c r="N916">
        <v>0</v>
      </c>
    </row>
    <row r="917" spans="1:16">
      <c r="A917" s="170"/>
      <c r="B917" s="171">
        <v>-0.60912970227287866</v>
      </c>
      <c r="C917" s="171">
        <v>0.28261535739067112</v>
      </c>
      <c r="D917" s="171">
        <v>-0.68802996689194662</v>
      </c>
      <c r="E917" s="170">
        <v>0</v>
      </c>
      <c r="F917" s="171">
        <v>0</v>
      </c>
      <c r="G917" s="170">
        <f>-$L$1</f>
        <v>-1.4990492230334603E-2</v>
      </c>
      <c r="H917" s="171">
        <v>0</v>
      </c>
      <c r="I917" s="171">
        <v>0</v>
      </c>
      <c r="J917" s="177">
        <f>-$N$1</f>
        <v>-4.7716218756768064E-3</v>
      </c>
      <c r="L917">
        <v>0</v>
      </c>
      <c r="M917">
        <v>0</v>
      </c>
      <c r="N917">
        <v>0.60838395876369256</v>
      </c>
    </row>
    <row r="918" spans="1:16">
      <c r="A918" s="170"/>
      <c r="B918" s="171"/>
      <c r="C918" s="171"/>
      <c r="D918" s="171"/>
      <c r="E918" s="170"/>
      <c r="F918" s="170"/>
      <c r="G918" s="170"/>
      <c r="H918" s="170"/>
      <c r="I918" s="170"/>
      <c r="J918" s="170"/>
    </row>
    <row r="919" spans="1:16">
      <c r="A919" s="170"/>
      <c r="B919" s="171">
        <v>-1.8375474863113905</v>
      </c>
      <c r="C919" s="171">
        <v>-2.1167426559988707</v>
      </c>
      <c r="D919" s="171">
        <v>-1.2367606559382516E-2</v>
      </c>
      <c r="E919" s="170">
        <f>-$L$1</f>
        <v>-1.4990492230334603E-2</v>
      </c>
      <c r="F919" s="171">
        <v>0</v>
      </c>
      <c r="G919" s="171">
        <v>0</v>
      </c>
      <c r="H919" s="177">
        <f>-$N$1</f>
        <v>-4.7716218756768064E-3</v>
      </c>
      <c r="I919" s="170">
        <v>0</v>
      </c>
      <c r="J919" s="170">
        <v>0</v>
      </c>
      <c r="L919">
        <f t="array" ref="L919:N921">SVDD(B919:D921)</f>
        <v>3.6268685083074095</v>
      </c>
      <c r="M919">
        <v>0</v>
      </c>
      <c r="N919">
        <v>0</v>
      </c>
      <c r="P919">
        <f t="shared" ref="P919" si="274">MAX(L919,M920,N921)/MIN(L919,M920,N921)</f>
        <v>1832.2683886248421</v>
      </c>
    </row>
    <row r="920" spans="1:16">
      <c r="A920" s="170" t="s">
        <v>443</v>
      </c>
      <c r="B920" s="171">
        <v>-1.9865190328797109</v>
      </c>
      <c r="C920" s="171">
        <v>-1.2694850305255347</v>
      </c>
      <c r="D920" s="171">
        <v>-3.2127045366234341E-2</v>
      </c>
      <c r="E920" s="170">
        <v>0</v>
      </c>
      <c r="F920" s="170">
        <f>-$L$1</f>
        <v>-1.4990492230334603E-2</v>
      </c>
      <c r="G920" s="171">
        <v>0</v>
      </c>
      <c r="H920" s="171">
        <v>0</v>
      </c>
      <c r="I920" s="177">
        <f>-$N$1</f>
        <v>-4.7716218756768064E-3</v>
      </c>
      <c r="J920" s="170">
        <v>0</v>
      </c>
      <c r="L920">
        <v>0</v>
      </c>
      <c r="M920">
        <v>1.4435919462654072</v>
      </c>
      <c r="N920">
        <v>0</v>
      </c>
    </row>
    <row r="921" spans="1:16">
      <c r="A921" s="170"/>
      <c r="B921" s="171">
        <v>0.85843073718374274</v>
      </c>
      <c r="C921" s="171">
        <v>-1.040962775001312</v>
      </c>
      <c r="D921" s="171">
        <v>3.7610117674176324E-2</v>
      </c>
      <c r="E921" s="170">
        <v>0</v>
      </c>
      <c r="F921" s="171">
        <v>0</v>
      </c>
      <c r="G921" s="170">
        <f>-$L$1</f>
        <v>-1.4990492230334603E-2</v>
      </c>
      <c r="H921" s="171">
        <v>0</v>
      </c>
      <c r="I921" s="171">
        <v>0</v>
      </c>
      <c r="J921" s="177">
        <f>-$N$1</f>
        <v>-4.7716218756768064E-3</v>
      </c>
      <c r="L921">
        <v>0</v>
      </c>
      <c r="M921">
        <v>0</v>
      </c>
      <c r="N921">
        <v>1.9794417296198916E-3</v>
      </c>
    </row>
    <row r="922" spans="1:16">
      <c r="A922" s="170"/>
      <c r="B922" s="171"/>
      <c r="C922" s="171"/>
      <c r="D922" s="171"/>
      <c r="E922" s="170"/>
      <c r="F922" s="170"/>
      <c r="G922" s="170"/>
      <c r="H922" s="170"/>
      <c r="I922" s="170"/>
      <c r="J922" s="170"/>
    </row>
    <row r="923" spans="1:16">
      <c r="A923" s="170"/>
      <c r="B923" s="171">
        <v>-1.8375474863113905</v>
      </c>
      <c r="C923" s="171">
        <v>-2.1167426559988707</v>
      </c>
      <c r="D923" s="171">
        <v>-1.2367606559382516E-2</v>
      </c>
      <c r="E923" s="170">
        <f>-$L$1</f>
        <v>-1.4990492230334603E-2</v>
      </c>
      <c r="F923" s="171">
        <v>0</v>
      </c>
      <c r="G923" s="171">
        <v>0</v>
      </c>
      <c r="H923" s="177">
        <f>-$N$1</f>
        <v>-4.7716218756768064E-3</v>
      </c>
      <c r="I923" s="170">
        <v>0</v>
      </c>
      <c r="J923" s="170">
        <v>0</v>
      </c>
      <c r="L923">
        <f t="array" ref="L923:N925">SVDD(B923:D925)</f>
        <v>3.8317087930137994</v>
      </c>
      <c r="M923">
        <v>0</v>
      </c>
      <c r="N923">
        <v>0</v>
      </c>
      <c r="P923">
        <f t="shared" ref="P923" si="275">MAX(L923,M924,N925)/MIN(L923,M924,N925)</f>
        <v>74.307372366081026</v>
      </c>
    </row>
    <row r="924" spans="1:16">
      <c r="A924" s="170" t="s">
        <v>444</v>
      </c>
      <c r="B924" s="171">
        <v>-1.9865190328797109</v>
      </c>
      <c r="C924" s="171">
        <v>-1.2694850305255347</v>
      </c>
      <c r="D924" s="171">
        <v>-3.2127045366234341E-2</v>
      </c>
      <c r="E924" s="170">
        <v>0</v>
      </c>
      <c r="F924" s="170">
        <f>-$L$1</f>
        <v>-1.4990492230334603E-2</v>
      </c>
      <c r="G924" s="171">
        <v>0</v>
      </c>
      <c r="H924" s="171">
        <v>0</v>
      </c>
      <c r="I924" s="177">
        <f>-$N$1</f>
        <v>-4.7716218756768064E-3</v>
      </c>
      <c r="J924" s="170">
        <v>0</v>
      </c>
      <c r="L924">
        <v>0</v>
      </c>
      <c r="M924">
        <v>1.1655703198560197</v>
      </c>
      <c r="N924">
        <v>0</v>
      </c>
    </row>
    <row r="925" spans="1:16">
      <c r="A925" s="170"/>
      <c r="B925" s="171">
        <v>-1.6188303733889171</v>
      </c>
      <c r="C925" s="171">
        <v>1.9594494251009342E-2</v>
      </c>
      <c r="D925" s="171">
        <v>7.7422792294721043E-2</v>
      </c>
      <c r="E925" s="170">
        <v>0</v>
      </c>
      <c r="F925" s="171">
        <v>0</v>
      </c>
      <c r="G925" s="170">
        <f>-$L$1</f>
        <v>-1.4990492230334603E-2</v>
      </c>
      <c r="H925" s="171">
        <v>0</v>
      </c>
      <c r="I925" s="171">
        <v>0</v>
      </c>
      <c r="J925" s="177">
        <f>-$N$1</f>
        <v>-4.7716218756768064E-3</v>
      </c>
      <c r="L925">
        <v>0</v>
      </c>
      <c r="M925">
        <v>0</v>
      </c>
      <c r="N925">
        <v>5.1565661266241382E-2</v>
      </c>
    </row>
    <row r="926" spans="1:16">
      <c r="A926" s="170"/>
      <c r="B926" s="171"/>
      <c r="C926" s="171"/>
      <c r="D926" s="171"/>
      <c r="E926" s="170"/>
      <c r="F926" s="170"/>
      <c r="G926" s="170"/>
      <c r="H926" s="170"/>
      <c r="I926" s="170"/>
      <c r="J926" s="170"/>
    </row>
    <row r="927" spans="1:16">
      <c r="A927" s="170"/>
      <c r="B927" s="171">
        <v>-1.8375474863113905</v>
      </c>
      <c r="C927" s="171">
        <v>-2.1167426559988707</v>
      </c>
      <c r="D927" s="171">
        <v>-1.2367606559382516E-2</v>
      </c>
      <c r="E927" s="170">
        <f>-$L$1</f>
        <v>-1.4990492230334603E-2</v>
      </c>
      <c r="F927" s="171">
        <v>0</v>
      </c>
      <c r="G927" s="171">
        <v>0</v>
      </c>
      <c r="H927" s="177">
        <f>-$N$1</f>
        <v>-4.7716218756768064E-3</v>
      </c>
      <c r="I927" s="170">
        <v>0</v>
      </c>
      <c r="J927" s="170">
        <v>0</v>
      </c>
      <c r="L927">
        <f t="array" ref="L927:N929">SVDD(B927:D929)</f>
        <v>3.6366616704212342</v>
      </c>
      <c r="M927">
        <v>0</v>
      </c>
      <c r="N927">
        <v>0</v>
      </c>
      <c r="P927">
        <f t="shared" ref="P927" si="276">MAX(L927,M928,N929)/MIN(L927,M928,N929)</f>
        <v>10.595880661889572</v>
      </c>
    </row>
    <row r="928" spans="1:16">
      <c r="A928" s="170" t="s">
        <v>445</v>
      </c>
      <c r="B928" s="171">
        <v>-1.9865190328797109</v>
      </c>
      <c r="C928" s="171">
        <v>-1.2694850305255347</v>
      </c>
      <c r="D928" s="171">
        <v>-3.2127045366234341E-2</v>
      </c>
      <c r="E928" s="170">
        <v>0</v>
      </c>
      <c r="F928" s="170">
        <f>-$L$1</f>
        <v>-1.4990492230334603E-2</v>
      </c>
      <c r="G928" s="171">
        <v>0</v>
      </c>
      <c r="H928" s="171">
        <v>0</v>
      </c>
      <c r="I928" s="177">
        <f>-$N$1</f>
        <v>-4.7716218756768064E-3</v>
      </c>
      <c r="J928" s="170">
        <v>0</v>
      </c>
      <c r="L928">
        <v>0</v>
      </c>
      <c r="M928">
        <v>0.99870251201767479</v>
      </c>
      <c r="N928">
        <v>0</v>
      </c>
    </row>
    <row r="929" spans="1:16">
      <c r="A929" s="170"/>
      <c r="B929" s="171">
        <v>-0.60912970227287866</v>
      </c>
      <c r="C929" s="171">
        <v>0.28261535739067112</v>
      </c>
      <c r="D929" s="171">
        <v>-0.68802996689194662</v>
      </c>
      <c r="E929" s="170">
        <v>0</v>
      </c>
      <c r="F929" s="171">
        <v>0</v>
      </c>
      <c r="G929" s="170">
        <f>-$L$1</f>
        <v>-1.4990492230334603E-2</v>
      </c>
      <c r="H929" s="171">
        <v>0</v>
      </c>
      <c r="I929" s="171">
        <v>0</v>
      </c>
      <c r="J929" s="177">
        <f>-$N$1</f>
        <v>-4.7716218756768064E-3</v>
      </c>
      <c r="L929">
        <v>0</v>
      </c>
      <c r="M929">
        <v>0</v>
      </c>
      <c r="N929">
        <v>0.34321466864960948</v>
      </c>
    </row>
    <row r="930" spans="1:16">
      <c r="A930" s="170"/>
      <c r="B930" s="171"/>
      <c r="C930" s="171"/>
      <c r="D930" s="171"/>
      <c r="E930" s="170"/>
      <c r="F930" s="170"/>
      <c r="G930" s="170"/>
      <c r="H930" s="170"/>
      <c r="I930" s="170"/>
      <c r="J930" s="170"/>
    </row>
    <row r="931" spans="1:16">
      <c r="A931" s="170"/>
      <c r="B931" s="171">
        <v>-1.8375474863113905</v>
      </c>
      <c r="C931" s="171">
        <v>-2.1167426559988707</v>
      </c>
      <c r="D931" s="171">
        <v>-1.2367606559382516E-2</v>
      </c>
      <c r="E931" s="170">
        <f>-$L$1</f>
        <v>-1.4990492230334603E-2</v>
      </c>
      <c r="F931" s="171">
        <v>0</v>
      </c>
      <c r="G931" s="171">
        <v>0</v>
      </c>
      <c r="H931" s="177">
        <f>-$N$1</f>
        <v>-4.7716218756768064E-3</v>
      </c>
      <c r="I931" s="170">
        <v>0</v>
      </c>
      <c r="J931" s="170">
        <v>0</v>
      </c>
      <c r="L931">
        <f t="array" ref="L931:N933">SVDD(B931:D933)</f>
        <v>3.0283958698034081</v>
      </c>
      <c r="M931">
        <v>0</v>
      </c>
      <c r="N931">
        <v>0</v>
      </c>
      <c r="P931">
        <f t="shared" ref="P931" si="277">MAX(L931,M932,N933)/MIN(L931,M932,N933)</f>
        <v>36.89616878253937</v>
      </c>
    </row>
    <row r="932" spans="1:16">
      <c r="A932" s="170" t="s">
        <v>446</v>
      </c>
      <c r="B932" s="171">
        <v>0.85843073718374274</v>
      </c>
      <c r="C932" s="171">
        <v>-1.040962775001312</v>
      </c>
      <c r="D932" s="171">
        <v>3.7610117674176324E-2</v>
      </c>
      <c r="E932" s="170">
        <v>0</v>
      </c>
      <c r="F932" s="170">
        <f>-$L$1</f>
        <v>-1.4990492230334603E-2</v>
      </c>
      <c r="G932" s="171">
        <v>0</v>
      </c>
      <c r="H932" s="171">
        <v>0</v>
      </c>
      <c r="I932" s="177">
        <f>-$N$1</f>
        <v>-4.7716218756768064E-3</v>
      </c>
      <c r="J932" s="170">
        <v>0</v>
      </c>
      <c r="L932">
        <v>0</v>
      </c>
      <c r="M932">
        <v>1.7687074573838917</v>
      </c>
      <c r="N932">
        <v>0</v>
      </c>
    </row>
    <row r="933" spans="1:16">
      <c r="A933" s="170"/>
      <c r="B933" s="171">
        <v>-1.6188303733889171</v>
      </c>
      <c r="C933" s="171">
        <v>1.9594494251009342E-2</v>
      </c>
      <c r="D933" s="171">
        <v>7.7422792294721043E-2</v>
      </c>
      <c r="E933" s="170">
        <v>0</v>
      </c>
      <c r="F933" s="171">
        <v>0</v>
      </c>
      <c r="G933" s="170">
        <f>-$L$1</f>
        <v>-1.4990492230334603E-2</v>
      </c>
      <c r="H933" s="171">
        <v>0</v>
      </c>
      <c r="I933" s="171">
        <v>0</v>
      </c>
      <c r="J933" s="177">
        <f>-$N$1</f>
        <v>-4.7716218756768064E-3</v>
      </c>
      <c r="L933">
        <v>0</v>
      </c>
      <c r="M933">
        <v>0</v>
      </c>
      <c r="N933">
        <v>8.2078870780658314E-2</v>
      </c>
    </row>
    <row r="934" spans="1:16">
      <c r="A934" s="170"/>
      <c r="B934" s="171"/>
      <c r="C934" s="171"/>
      <c r="D934" s="171"/>
      <c r="E934" s="170"/>
      <c r="F934" s="170"/>
      <c r="G934" s="170"/>
      <c r="H934" s="170"/>
      <c r="I934" s="170"/>
      <c r="J934" s="170"/>
    </row>
    <row r="935" spans="1:16">
      <c r="A935" s="170"/>
      <c r="B935" s="171">
        <v>-1.8375474863113905</v>
      </c>
      <c r="C935" s="171">
        <v>-2.1167426559988707</v>
      </c>
      <c r="D935" s="171">
        <v>-1.2367606559382516E-2</v>
      </c>
      <c r="E935" s="170">
        <f>-$L$1</f>
        <v>-1.4990492230334603E-2</v>
      </c>
      <c r="F935" s="171">
        <v>0</v>
      </c>
      <c r="G935" s="171">
        <v>0</v>
      </c>
      <c r="H935" s="177">
        <f>-$N$1</f>
        <v>-4.7716218756768064E-3</v>
      </c>
      <c r="I935" s="170">
        <v>0</v>
      </c>
      <c r="J935" s="170">
        <v>0</v>
      </c>
      <c r="L935">
        <f t="array" ref="L935:N937">SVDD(B935:D937)</f>
        <v>2.8195158259150368</v>
      </c>
      <c r="M935">
        <v>0</v>
      </c>
      <c r="N935">
        <v>0</v>
      </c>
      <c r="P935">
        <f t="shared" ref="P935" si="278">MAX(L935,M936,N937)/MIN(L935,M936,N937)</f>
        <v>4.8522872767527137</v>
      </c>
    </row>
    <row r="936" spans="1:16">
      <c r="A936" s="170" t="s">
        <v>447</v>
      </c>
      <c r="B936" s="171">
        <v>0.85843073718374274</v>
      </c>
      <c r="C936" s="171">
        <v>-1.040962775001312</v>
      </c>
      <c r="D936" s="171">
        <v>3.7610117674176324E-2</v>
      </c>
      <c r="E936" s="170">
        <v>0</v>
      </c>
      <c r="F936" s="170">
        <f>-$L$1</f>
        <v>-1.4990492230334603E-2</v>
      </c>
      <c r="G936" s="171">
        <v>0</v>
      </c>
      <c r="H936" s="171">
        <v>0</v>
      </c>
      <c r="I936" s="177">
        <f>-$N$1</f>
        <v>-4.7716218756768064E-3</v>
      </c>
      <c r="J936" s="170">
        <v>0</v>
      </c>
      <c r="L936">
        <v>0</v>
      </c>
      <c r="M936">
        <v>1.5219195226074604</v>
      </c>
      <c r="N936">
        <v>0</v>
      </c>
    </row>
    <row r="937" spans="1:16">
      <c r="A937" s="170"/>
      <c r="B937" s="171">
        <v>-0.60912970227287866</v>
      </c>
      <c r="C937" s="171">
        <v>0.28261535739067112</v>
      </c>
      <c r="D937" s="171">
        <v>-0.68802996689194662</v>
      </c>
      <c r="E937" s="170">
        <v>0</v>
      </c>
      <c r="F937" s="171">
        <v>0</v>
      </c>
      <c r="G937" s="170">
        <f>-$L$1</f>
        <v>-1.4990492230334603E-2</v>
      </c>
      <c r="H937" s="171">
        <v>0</v>
      </c>
      <c r="I937" s="171">
        <v>0</v>
      </c>
      <c r="J937" s="177">
        <f>-$N$1</f>
        <v>-4.7716218756768064E-3</v>
      </c>
      <c r="L937">
        <v>0</v>
      </c>
      <c r="M937">
        <v>0</v>
      </c>
      <c r="N937">
        <v>0.58106943490821827</v>
      </c>
    </row>
    <row r="938" spans="1:16">
      <c r="A938" s="170"/>
      <c r="B938" s="171"/>
      <c r="C938" s="171"/>
      <c r="D938" s="171"/>
      <c r="E938" s="170"/>
      <c r="F938" s="170"/>
      <c r="G938" s="170"/>
      <c r="H938" s="170"/>
      <c r="I938" s="170"/>
      <c r="J938" s="170"/>
    </row>
    <row r="939" spans="1:16">
      <c r="A939" s="170"/>
      <c r="B939" s="171">
        <v>-1.8375474863113905</v>
      </c>
      <c r="C939" s="171">
        <v>-2.1167426559988707</v>
      </c>
      <c r="D939" s="171">
        <v>-1.2367606559382516E-2</v>
      </c>
      <c r="E939" s="170">
        <f>-$L$1</f>
        <v>-1.4990492230334603E-2</v>
      </c>
      <c r="F939" s="171">
        <v>0</v>
      </c>
      <c r="G939" s="171">
        <v>0</v>
      </c>
      <c r="H939" s="177">
        <f>-$N$1</f>
        <v>-4.7716218756768064E-3</v>
      </c>
      <c r="I939" s="170">
        <v>0</v>
      </c>
      <c r="J939" s="170">
        <v>0</v>
      </c>
      <c r="L939">
        <f t="array" ref="L939:N941">SVDD(B939:D941)</f>
        <v>3.0433356062670596</v>
      </c>
      <c r="M939">
        <v>0</v>
      </c>
      <c r="N939">
        <v>0</v>
      </c>
      <c r="P939">
        <f t="shared" ref="P939" si="279">MAX(L939,M940,N941)/MIN(L939,M940,N941)</f>
        <v>4.8511161019732283</v>
      </c>
    </row>
    <row r="940" spans="1:16">
      <c r="A940" s="170" t="s">
        <v>448</v>
      </c>
      <c r="B940" s="171">
        <v>-1.6188303733889171</v>
      </c>
      <c r="C940" s="171">
        <v>1.9594494251009342E-2</v>
      </c>
      <c r="D940" s="171">
        <v>7.7422792294721043E-2</v>
      </c>
      <c r="E940" s="170">
        <v>0</v>
      </c>
      <c r="F940" s="170">
        <f>-$L$1</f>
        <v>-1.4990492230334603E-2</v>
      </c>
      <c r="G940" s="171">
        <v>0</v>
      </c>
      <c r="H940" s="171">
        <v>0</v>
      </c>
      <c r="I940" s="177">
        <f>-$N$1</f>
        <v>-4.7716218756768064E-3</v>
      </c>
      <c r="J940" s="170">
        <v>0</v>
      </c>
      <c r="L940">
        <v>0</v>
      </c>
      <c r="M940">
        <v>1.3240703772834506</v>
      </c>
      <c r="N940">
        <v>0</v>
      </c>
    </row>
    <row r="941" spans="1:16">
      <c r="A941" s="170"/>
      <c r="B941" s="171">
        <v>-0.60912970227287866</v>
      </c>
      <c r="C941" s="171">
        <v>0.28261535739067112</v>
      </c>
      <c r="D941" s="171">
        <v>-0.68802996689194662</v>
      </c>
      <c r="E941" s="170">
        <v>0</v>
      </c>
      <c r="F941" s="171">
        <v>0</v>
      </c>
      <c r="G941" s="170">
        <f>-$L$1</f>
        <v>-1.4990492230334603E-2</v>
      </c>
      <c r="H941" s="171">
        <v>0</v>
      </c>
      <c r="I941" s="171">
        <v>0</v>
      </c>
      <c r="J941" s="177">
        <f>-$N$1</f>
        <v>-4.7716218756768064E-3</v>
      </c>
      <c r="L941">
        <v>0</v>
      </c>
      <c r="M941">
        <v>0</v>
      </c>
      <c r="N941">
        <v>0.62734750978834741</v>
      </c>
    </row>
    <row r="942" spans="1:16">
      <c r="A942" s="170"/>
      <c r="B942" s="171"/>
      <c r="C942" s="171"/>
      <c r="D942" s="171"/>
      <c r="E942" s="170"/>
      <c r="F942" s="170"/>
      <c r="G942" s="170"/>
      <c r="H942" s="170"/>
      <c r="I942" s="170"/>
      <c r="J942" s="170"/>
    </row>
    <row r="943" spans="1:16">
      <c r="A943" s="170"/>
      <c r="B943" s="171">
        <v>0.45824053226673911</v>
      </c>
      <c r="C943" s="171">
        <v>-2.124969022302313</v>
      </c>
      <c r="D943" s="171">
        <v>2.076961144994538E-2</v>
      </c>
      <c r="E943" s="170">
        <f>-$L$1</f>
        <v>-1.4990492230334603E-2</v>
      </c>
      <c r="F943" s="171">
        <v>0</v>
      </c>
      <c r="G943" s="171">
        <v>0</v>
      </c>
      <c r="H943" s="177">
        <f>-$N$1</f>
        <v>-4.7716218756768064E-3</v>
      </c>
      <c r="I943" s="170">
        <v>0</v>
      </c>
      <c r="J943" s="170">
        <v>0</v>
      </c>
      <c r="L943">
        <f t="array" ref="L943:N945">SVDD(B943:D945)</f>
        <v>2.7171285024870011</v>
      </c>
      <c r="M943">
        <v>0</v>
      </c>
      <c r="N943">
        <v>0</v>
      </c>
      <c r="P943">
        <f t="shared" ref="P943" si="280">MAX(L943,M944,N945)/MIN(L943,M944,N945)</f>
        <v>223.5443970413034</v>
      </c>
    </row>
    <row r="944" spans="1:16">
      <c r="A944" s="170" t="s">
        <v>449</v>
      </c>
      <c r="B944" s="171">
        <v>-1.9865190328797109</v>
      </c>
      <c r="C944" s="171">
        <v>-1.2694850305255347</v>
      </c>
      <c r="D944" s="171">
        <v>-3.2127045366234341E-2</v>
      </c>
      <c r="E944" s="170">
        <v>0</v>
      </c>
      <c r="F944" s="170">
        <f>-$L$1</f>
        <v>-1.4990492230334603E-2</v>
      </c>
      <c r="G944" s="171">
        <v>0</v>
      </c>
      <c r="H944" s="171">
        <v>0</v>
      </c>
      <c r="I944" s="177">
        <f>-$N$1</f>
        <v>-4.7716218756768064E-3</v>
      </c>
      <c r="J944" s="170">
        <v>0</v>
      </c>
      <c r="L944">
        <v>0</v>
      </c>
      <c r="M944">
        <v>2.1734253331768989</v>
      </c>
      <c r="N944">
        <v>0</v>
      </c>
    </row>
    <row r="945" spans="1:16">
      <c r="A945" s="170"/>
      <c r="B945" s="171">
        <v>0.85843073718374274</v>
      </c>
      <c r="C945" s="171">
        <v>-1.040962775001312</v>
      </c>
      <c r="D945" s="171">
        <v>3.7610117674176324E-2</v>
      </c>
      <c r="E945" s="170">
        <v>0</v>
      </c>
      <c r="F945" s="171">
        <v>0</v>
      </c>
      <c r="G945" s="170">
        <f>-$L$1</f>
        <v>-1.4990492230334603E-2</v>
      </c>
      <c r="H945" s="171">
        <v>0</v>
      </c>
      <c r="I945" s="171">
        <v>0</v>
      </c>
      <c r="J945" s="177">
        <f>-$N$1</f>
        <v>-4.7716218756768064E-3</v>
      </c>
      <c r="L945">
        <v>0</v>
      </c>
      <c r="M945">
        <v>0</v>
      </c>
      <c r="N945">
        <v>1.2154760031784506E-2</v>
      </c>
    </row>
    <row r="946" spans="1:16">
      <c r="A946" s="170"/>
      <c r="B946" s="171"/>
      <c r="C946" s="171"/>
      <c r="D946" s="171"/>
      <c r="E946" s="170"/>
      <c r="F946" s="170"/>
      <c r="G946" s="170"/>
      <c r="H946" s="170"/>
      <c r="I946" s="170"/>
      <c r="J946" s="170"/>
    </row>
    <row r="947" spans="1:16">
      <c r="A947" s="170"/>
      <c r="B947" s="171">
        <v>0.45824053226673911</v>
      </c>
      <c r="C947" s="171">
        <v>-2.124969022302313</v>
      </c>
      <c r="D947" s="171">
        <v>2.076961144994538E-2</v>
      </c>
      <c r="E947" s="170">
        <f>-$L$1</f>
        <v>-1.4990492230334603E-2</v>
      </c>
      <c r="F947" s="171">
        <v>0</v>
      </c>
      <c r="G947" s="171">
        <v>0</v>
      </c>
      <c r="H947" s="177">
        <f>-$N$1</f>
        <v>-4.7716218756768064E-3</v>
      </c>
      <c r="I947" s="170">
        <v>0</v>
      </c>
      <c r="J947" s="170">
        <v>0</v>
      </c>
      <c r="L947">
        <f t="array" ref="L947:N949">SVDD(B947:D949)</f>
        <v>2.8289820544938413</v>
      </c>
      <c r="M947">
        <v>0</v>
      </c>
      <c r="N947">
        <v>0</v>
      </c>
      <c r="P947">
        <f t="shared" ref="P947" si="281">MAX(L947,M948,N949)/MIN(L947,M948,N949)</f>
        <v>33.712309903347119</v>
      </c>
    </row>
    <row r="948" spans="1:16">
      <c r="A948" s="170" t="s">
        <v>450</v>
      </c>
      <c r="B948" s="171">
        <v>-1.9865190328797109</v>
      </c>
      <c r="C948" s="171">
        <v>-1.2694850305255347</v>
      </c>
      <c r="D948" s="171">
        <v>-3.2127045366234341E-2</v>
      </c>
      <c r="E948" s="170">
        <v>0</v>
      </c>
      <c r="F948" s="170">
        <f>-$L$1</f>
        <v>-1.4990492230334603E-2</v>
      </c>
      <c r="G948" s="171">
        <v>0</v>
      </c>
      <c r="H948" s="171">
        <v>0</v>
      </c>
      <c r="I948" s="177">
        <f>-$N$1</f>
        <v>-4.7716218756768064E-3</v>
      </c>
      <c r="J948" s="170">
        <v>0</v>
      </c>
      <c r="L948">
        <v>0</v>
      </c>
      <c r="M948">
        <v>2.2139557622130872</v>
      </c>
      <c r="N948">
        <v>0</v>
      </c>
    </row>
    <row r="949" spans="1:16">
      <c r="A949" s="170"/>
      <c r="B949" s="171">
        <v>-1.6188303733889171</v>
      </c>
      <c r="C949" s="171">
        <v>1.9594494251009342E-2</v>
      </c>
      <c r="D949" s="171">
        <v>7.7422792294721043E-2</v>
      </c>
      <c r="E949" s="170">
        <v>0</v>
      </c>
      <c r="F949" s="171">
        <v>0</v>
      </c>
      <c r="G949" s="170">
        <f>-$L$1</f>
        <v>-1.4990492230334603E-2</v>
      </c>
      <c r="H949" s="171">
        <v>0</v>
      </c>
      <c r="I949" s="171">
        <v>0</v>
      </c>
      <c r="J949" s="177">
        <f>-$N$1</f>
        <v>-4.7716218756768064E-3</v>
      </c>
      <c r="L949">
        <v>0</v>
      </c>
      <c r="M949">
        <v>0</v>
      </c>
      <c r="N949">
        <v>8.3915402492576355E-2</v>
      </c>
    </row>
    <row r="950" spans="1:16">
      <c r="A950" s="170"/>
      <c r="B950" s="171"/>
      <c r="C950" s="171"/>
      <c r="D950" s="171"/>
      <c r="E950" s="170"/>
      <c r="F950" s="170"/>
      <c r="G950" s="170"/>
      <c r="H950" s="170"/>
      <c r="I950" s="170"/>
      <c r="J950" s="170"/>
    </row>
    <row r="951" spans="1:16">
      <c r="A951" s="170"/>
      <c r="B951" s="171">
        <v>0.45824053226673911</v>
      </c>
      <c r="C951" s="171">
        <v>-2.124969022302313</v>
      </c>
      <c r="D951" s="171">
        <v>2.076961144994538E-2</v>
      </c>
      <c r="E951" s="170">
        <f>-$L$1</f>
        <v>-1.4990492230334603E-2</v>
      </c>
      <c r="F951" s="171">
        <v>0</v>
      </c>
      <c r="G951" s="171">
        <v>0</v>
      </c>
      <c r="H951" s="177">
        <f>-$N$1</f>
        <v>-4.7716218756768064E-3</v>
      </c>
      <c r="I951" s="170">
        <v>0</v>
      </c>
      <c r="J951" s="170">
        <v>0</v>
      </c>
      <c r="L951">
        <f t="array" ref="L951:N953">SVDD(B951:D953)</f>
        <v>2.6419434983933723</v>
      </c>
      <c r="M951">
        <v>0</v>
      </c>
      <c r="N951">
        <v>0</v>
      </c>
      <c r="P951">
        <f t="shared" ref="P951" si="282">MAX(L951,M952,N953)/MIN(L951,M952,N953)</f>
        <v>4.2207727224315219</v>
      </c>
    </row>
    <row r="952" spans="1:16">
      <c r="A952" s="170" t="s">
        <v>451</v>
      </c>
      <c r="B952" s="171">
        <v>-1.9865190328797109</v>
      </c>
      <c r="C952" s="171">
        <v>-1.2694850305255347</v>
      </c>
      <c r="D952" s="171">
        <v>-3.2127045366234341E-2</v>
      </c>
      <c r="E952" s="170">
        <v>0</v>
      </c>
      <c r="F952" s="170">
        <f>-$L$1</f>
        <v>-1.4990492230334603E-2</v>
      </c>
      <c r="G952" s="171">
        <v>0</v>
      </c>
      <c r="H952" s="171">
        <v>0</v>
      </c>
      <c r="I952" s="177">
        <f>-$N$1</f>
        <v>-4.7716218756768064E-3</v>
      </c>
      <c r="J952" s="170">
        <v>0</v>
      </c>
      <c r="L952">
        <v>0</v>
      </c>
      <c r="M952">
        <v>1.9589340910952444</v>
      </c>
      <c r="N952">
        <v>0</v>
      </c>
    </row>
    <row r="953" spans="1:16">
      <c r="A953" s="170"/>
      <c r="B953" s="171">
        <v>-0.60912970227287866</v>
      </c>
      <c r="C953" s="171">
        <v>0.28261535739067112</v>
      </c>
      <c r="D953" s="171">
        <v>-0.68802996689194662</v>
      </c>
      <c r="E953" s="170">
        <v>0</v>
      </c>
      <c r="F953" s="171">
        <v>0</v>
      </c>
      <c r="G953" s="170">
        <f>-$L$1</f>
        <v>-1.4990492230334603E-2</v>
      </c>
      <c r="H953" s="171">
        <v>0</v>
      </c>
      <c r="I953" s="171">
        <v>0</v>
      </c>
      <c r="J953" s="177">
        <f>-$N$1</f>
        <v>-4.7716218756768064E-3</v>
      </c>
      <c r="L953">
        <v>0</v>
      </c>
      <c r="M953">
        <v>0</v>
      </c>
      <c r="N953">
        <v>0.62593834639629431</v>
      </c>
    </row>
    <row r="954" spans="1:16">
      <c r="A954" s="170"/>
      <c r="B954" s="171"/>
      <c r="C954" s="171"/>
      <c r="D954" s="171"/>
      <c r="E954" s="170"/>
      <c r="F954" s="170"/>
      <c r="G954" s="170"/>
      <c r="H954" s="170"/>
      <c r="I954" s="170"/>
      <c r="J954" s="170"/>
    </row>
    <row r="955" spans="1:16">
      <c r="A955" s="170"/>
      <c r="B955" s="171">
        <v>0.45824053226673911</v>
      </c>
      <c r="C955" s="171">
        <v>-2.124969022302313</v>
      </c>
      <c r="D955" s="171">
        <v>2.076961144994538E-2</v>
      </c>
      <c r="E955" s="170">
        <f>-$L$1</f>
        <v>-1.4990492230334603E-2</v>
      </c>
      <c r="F955" s="171">
        <v>0</v>
      </c>
      <c r="G955" s="171">
        <v>0</v>
      </c>
      <c r="H955" s="177">
        <f>-$N$1</f>
        <v>-4.7716218756768064E-3</v>
      </c>
      <c r="I955" s="170">
        <v>0</v>
      </c>
      <c r="J955" s="170">
        <v>0</v>
      </c>
      <c r="L955">
        <f t="array" ref="L955:N957">SVDD(B955:D957)</f>
        <v>2.5956420821761785</v>
      </c>
      <c r="M955">
        <v>0</v>
      </c>
      <c r="N955">
        <v>0</v>
      </c>
      <c r="P955">
        <f t="shared" ref="P955" si="283">MAX(L955,M956,N957)/MIN(L955,M956,N957)</f>
        <v>52.914300823005625</v>
      </c>
    </row>
    <row r="956" spans="1:16">
      <c r="A956" s="170" t="s">
        <v>452</v>
      </c>
      <c r="B956" s="171">
        <v>0.85843073718374274</v>
      </c>
      <c r="C956" s="171">
        <v>-1.040962775001312</v>
      </c>
      <c r="D956" s="171">
        <v>3.7610117674176324E-2</v>
      </c>
      <c r="E956" s="170">
        <v>0</v>
      </c>
      <c r="F956" s="170">
        <f>-$L$1</f>
        <v>-1.4990492230334603E-2</v>
      </c>
      <c r="G956" s="171">
        <v>0</v>
      </c>
      <c r="H956" s="171">
        <v>0</v>
      </c>
      <c r="I956" s="177">
        <f>-$N$1</f>
        <v>-4.7716218756768064E-3</v>
      </c>
      <c r="J956" s="170">
        <v>0</v>
      </c>
      <c r="L956">
        <v>0</v>
      </c>
      <c r="M956">
        <v>1.5604667203013576</v>
      </c>
      <c r="N956">
        <v>0</v>
      </c>
    </row>
    <row r="957" spans="1:16">
      <c r="A957" s="170"/>
      <c r="B957" s="171">
        <v>-1.6188303733889171</v>
      </c>
      <c r="C957" s="171">
        <v>1.9594494251009342E-2</v>
      </c>
      <c r="D957" s="171">
        <v>7.7422792294721043E-2</v>
      </c>
      <c r="E957" s="170">
        <v>0</v>
      </c>
      <c r="F957" s="171">
        <v>0</v>
      </c>
      <c r="G957" s="170">
        <f>-$L$1</f>
        <v>-1.4990492230334603E-2</v>
      </c>
      <c r="H957" s="171">
        <v>0</v>
      </c>
      <c r="I957" s="171">
        <v>0</v>
      </c>
      <c r="J957" s="177">
        <f>-$N$1</f>
        <v>-4.7716218756768064E-3</v>
      </c>
      <c r="L957">
        <v>0</v>
      </c>
      <c r="M957">
        <v>0</v>
      </c>
      <c r="N957">
        <v>4.9053697049846828E-2</v>
      </c>
    </row>
    <row r="958" spans="1:16">
      <c r="A958" s="170"/>
      <c r="B958" s="171"/>
      <c r="C958" s="171"/>
      <c r="D958" s="171"/>
      <c r="E958" s="170"/>
      <c r="F958" s="170"/>
      <c r="G958" s="170"/>
      <c r="H958" s="170"/>
      <c r="I958" s="170"/>
      <c r="J958" s="170"/>
    </row>
    <row r="959" spans="1:16">
      <c r="A959" s="170"/>
      <c r="B959" s="171">
        <v>0.45824053226673911</v>
      </c>
      <c r="C959" s="171">
        <v>-2.124969022302313</v>
      </c>
      <c r="D959" s="171">
        <v>2.076961144994538E-2</v>
      </c>
      <c r="E959" s="170">
        <f>-$L$1</f>
        <v>-1.4990492230334603E-2</v>
      </c>
      <c r="F959" s="171">
        <v>0</v>
      </c>
      <c r="G959" s="171">
        <v>0</v>
      </c>
      <c r="H959" s="177">
        <f>-$N$1</f>
        <v>-4.7716218756768064E-3</v>
      </c>
      <c r="I959" s="170">
        <v>0</v>
      </c>
      <c r="J959" s="170">
        <v>0</v>
      </c>
      <c r="L959">
        <f t="array" ref="L959:N961">SVDD(B959:D961)</f>
        <v>2.5523466833091679</v>
      </c>
      <c r="M959">
        <v>0</v>
      </c>
      <c r="N959">
        <v>0</v>
      </c>
      <c r="P959">
        <f t="shared" ref="P959" si="284">MAX(L959,M960,N961)/MIN(L959,M960,N961)</f>
        <v>6.5646293729706269</v>
      </c>
    </row>
    <row r="960" spans="1:16">
      <c r="A960" s="170" t="s">
        <v>453</v>
      </c>
      <c r="B960" s="171">
        <v>0.85843073718374274</v>
      </c>
      <c r="C960" s="171">
        <v>-1.040962775001312</v>
      </c>
      <c r="D960" s="171">
        <v>3.7610117674176324E-2</v>
      </c>
      <c r="E960" s="170">
        <v>0</v>
      </c>
      <c r="F960" s="170">
        <f>-$L$1</f>
        <v>-1.4990492230334603E-2</v>
      </c>
      <c r="G960" s="171">
        <v>0</v>
      </c>
      <c r="H960" s="171">
        <v>0</v>
      </c>
      <c r="I960" s="177">
        <f>-$N$1</f>
        <v>-4.7716218756768064E-3</v>
      </c>
      <c r="J960" s="170">
        <v>0</v>
      </c>
      <c r="L960">
        <v>0</v>
      </c>
      <c r="M960">
        <v>0.8980450274857007</v>
      </c>
      <c r="N960">
        <v>0</v>
      </c>
    </row>
    <row r="961" spans="1:16">
      <c r="A961" s="170"/>
      <c r="B961" s="171">
        <v>-0.60912970227287866</v>
      </c>
      <c r="C961" s="171">
        <v>0.28261535739067112</v>
      </c>
      <c r="D961" s="171">
        <v>-0.68802996689194662</v>
      </c>
      <c r="E961" s="170">
        <v>0</v>
      </c>
      <c r="F961" s="171">
        <v>0</v>
      </c>
      <c r="G961" s="170">
        <f>-$L$1</f>
        <v>-1.4990492230334603E-2</v>
      </c>
      <c r="H961" s="171">
        <v>0</v>
      </c>
      <c r="I961" s="171">
        <v>0</v>
      </c>
      <c r="J961" s="177">
        <f>-$N$1</f>
        <v>-4.7716218756768064E-3</v>
      </c>
      <c r="L961">
        <v>0</v>
      </c>
      <c r="M961">
        <v>0</v>
      </c>
      <c r="N961">
        <v>0.38880286125798136</v>
      </c>
    </row>
    <row r="962" spans="1:16">
      <c r="A962" s="170"/>
      <c r="B962" s="171"/>
      <c r="C962" s="171"/>
      <c r="D962" s="171"/>
      <c r="E962" s="170"/>
      <c r="F962" s="170"/>
      <c r="G962" s="170"/>
      <c r="H962" s="170"/>
      <c r="I962" s="170"/>
      <c r="J962" s="170"/>
    </row>
    <row r="963" spans="1:16">
      <c r="A963" s="170"/>
      <c r="B963" s="171">
        <v>0.45824053226673911</v>
      </c>
      <c r="C963" s="171">
        <v>-2.124969022302313</v>
      </c>
      <c r="D963" s="171">
        <v>2.076961144994538E-2</v>
      </c>
      <c r="E963" s="170">
        <f>-$L$1</f>
        <v>-1.4990492230334603E-2</v>
      </c>
      <c r="F963" s="171">
        <v>0</v>
      </c>
      <c r="G963" s="171">
        <v>0</v>
      </c>
      <c r="H963" s="177">
        <f>-$N$1</f>
        <v>-4.7716218756768064E-3</v>
      </c>
      <c r="I963" s="170">
        <v>0</v>
      </c>
      <c r="J963" s="170">
        <v>0</v>
      </c>
      <c r="L963">
        <f t="array" ref="L963:N965">SVDD(B963:D965)</f>
        <v>2.3007695693998889</v>
      </c>
      <c r="M963">
        <v>0</v>
      </c>
      <c r="N963">
        <v>0</v>
      </c>
      <c r="P963">
        <f t="shared" ref="P963" si="285">MAX(L963,M964,N965)/MIN(L963,M964,N965)</f>
        <v>3.455632551064447</v>
      </c>
    </row>
    <row r="964" spans="1:16">
      <c r="A964" s="170" t="s">
        <v>454</v>
      </c>
      <c r="B964" s="171">
        <v>-1.6188303733889171</v>
      </c>
      <c r="C964" s="171">
        <v>1.9594494251009342E-2</v>
      </c>
      <c r="D964" s="171">
        <v>7.7422792294721043E-2</v>
      </c>
      <c r="E964" s="170">
        <v>0</v>
      </c>
      <c r="F964" s="170">
        <f>-$L$1</f>
        <v>-1.4990492230334603E-2</v>
      </c>
      <c r="G964" s="171">
        <v>0</v>
      </c>
      <c r="H964" s="171">
        <v>0</v>
      </c>
      <c r="I964" s="177">
        <f>-$N$1</f>
        <v>-4.7716218756768064E-3</v>
      </c>
      <c r="J964" s="170">
        <v>0</v>
      </c>
      <c r="L964">
        <v>0</v>
      </c>
      <c r="M964">
        <v>1.5938509680172095</v>
      </c>
      <c r="N964">
        <v>0</v>
      </c>
    </row>
    <row r="965" spans="1:16">
      <c r="A965" s="170"/>
      <c r="B965" s="171">
        <v>-0.60912970227287866</v>
      </c>
      <c r="C965" s="171">
        <v>0.28261535739067112</v>
      </c>
      <c r="D965" s="171">
        <v>-0.68802996689194662</v>
      </c>
      <c r="E965" s="170">
        <v>0</v>
      </c>
      <c r="F965" s="171">
        <v>0</v>
      </c>
      <c r="G965" s="170">
        <f>-$L$1</f>
        <v>-1.4990492230334603E-2</v>
      </c>
      <c r="H965" s="171">
        <v>0</v>
      </c>
      <c r="I965" s="171">
        <v>0</v>
      </c>
      <c r="J965" s="177">
        <f>-$N$1</f>
        <v>-4.7716218756768064E-3</v>
      </c>
      <c r="L965">
        <v>0</v>
      </c>
      <c r="M965">
        <v>0</v>
      </c>
      <c r="N965">
        <v>0.66580272508753202</v>
      </c>
    </row>
    <row r="966" spans="1:16">
      <c r="A966" s="170"/>
      <c r="B966" s="171"/>
      <c r="C966" s="171"/>
      <c r="D966" s="171"/>
      <c r="E966" s="170"/>
      <c r="F966" s="170"/>
      <c r="G966" s="170"/>
      <c r="H966" s="170"/>
      <c r="I966" s="170"/>
      <c r="J966" s="170"/>
    </row>
    <row r="967" spans="1:16">
      <c r="A967" s="170"/>
      <c r="B967" s="171">
        <v>-1.9865190328797109</v>
      </c>
      <c r="C967" s="171">
        <v>-1.2694850305255347</v>
      </c>
      <c r="D967" s="171">
        <v>-3.2127045366234341E-2</v>
      </c>
      <c r="E967" s="170">
        <f>-$L$1</f>
        <v>-1.4990492230334603E-2</v>
      </c>
      <c r="F967" s="171">
        <v>0</v>
      </c>
      <c r="G967" s="171">
        <v>0</v>
      </c>
      <c r="H967" s="177">
        <f>-$N$1</f>
        <v>-4.7716218756768064E-3</v>
      </c>
      <c r="I967" s="170">
        <v>0</v>
      </c>
      <c r="J967" s="170">
        <v>0</v>
      </c>
      <c r="L967">
        <f t="array" ref="L967:N969">SVDD(B967:D969)</f>
        <v>2.793375638110704</v>
      </c>
      <c r="M967">
        <v>0</v>
      </c>
      <c r="N967">
        <v>0</v>
      </c>
      <c r="P967">
        <f t="shared" ref="P967" si="286">MAX(L967,M968,N969)/MIN(L967,M968,N969)</f>
        <v>30.68925723895747</v>
      </c>
    </row>
    <row r="968" spans="1:16">
      <c r="A968" s="170" t="s">
        <v>455</v>
      </c>
      <c r="B968" s="171">
        <v>0.85843073718374274</v>
      </c>
      <c r="C968" s="171">
        <v>-1.040962775001312</v>
      </c>
      <c r="D968" s="171">
        <v>3.7610117674176324E-2</v>
      </c>
      <c r="E968" s="170">
        <v>0</v>
      </c>
      <c r="F968" s="170">
        <f>-$L$1</f>
        <v>-1.4990492230334603E-2</v>
      </c>
      <c r="G968" s="171">
        <v>0</v>
      </c>
      <c r="H968" s="171">
        <v>0</v>
      </c>
      <c r="I968" s="177">
        <f>-$N$1</f>
        <v>-4.7716218756768064E-3</v>
      </c>
      <c r="J968" s="170">
        <v>0</v>
      </c>
      <c r="L968">
        <v>0</v>
      </c>
      <c r="M968">
        <v>1.4820800548592565</v>
      </c>
      <c r="N968">
        <v>0</v>
      </c>
    </row>
    <row r="969" spans="1:16">
      <c r="A969" s="170"/>
      <c r="B969" s="171">
        <v>-1.6188303733889171</v>
      </c>
      <c r="C969" s="171">
        <v>1.9594494251009342E-2</v>
      </c>
      <c r="D969" s="171">
        <v>7.7422792294721043E-2</v>
      </c>
      <c r="E969" s="170">
        <v>0</v>
      </c>
      <c r="F969" s="171">
        <v>0</v>
      </c>
      <c r="G969" s="170">
        <f>-$L$1</f>
        <v>-1.4990492230334603E-2</v>
      </c>
      <c r="H969" s="171">
        <v>0</v>
      </c>
      <c r="I969" s="171">
        <v>0</v>
      </c>
      <c r="J969" s="177">
        <f>-$N$1</f>
        <v>-4.7716218756768064E-3</v>
      </c>
      <c r="L969">
        <v>0</v>
      </c>
      <c r="M969">
        <v>0</v>
      </c>
      <c r="N969">
        <v>9.1021285277792421E-2</v>
      </c>
    </row>
    <row r="970" spans="1:16">
      <c r="A970" s="170"/>
      <c r="B970" s="171"/>
      <c r="C970" s="171"/>
      <c r="D970" s="171"/>
      <c r="E970" s="170"/>
      <c r="F970" s="170"/>
      <c r="G970" s="170"/>
      <c r="H970" s="170"/>
      <c r="I970" s="170"/>
      <c r="J970" s="170"/>
    </row>
    <row r="971" spans="1:16">
      <c r="A971" s="170"/>
      <c r="B971" s="171">
        <v>-1.9865190328797109</v>
      </c>
      <c r="C971" s="171">
        <v>-1.2694850305255347</v>
      </c>
      <c r="D971" s="171">
        <v>-3.2127045366234341E-2</v>
      </c>
      <c r="E971" s="170">
        <f>-$L$1</f>
        <v>-1.4990492230334603E-2</v>
      </c>
      <c r="F971" s="171">
        <v>0</v>
      </c>
      <c r="G971" s="171">
        <v>0</v>
      </c>
      <c r="H971" s="177">
        <f>-$N$1</f>
        <v>-4.7716218756768064E-3</v>
      </c>
      <c r="I971" s="170">
        <v>0</v>
      </c>
      <c r="J971" s="170">
        <v>0</v>
      </c>
      <c r="L971">
        <f t="array" ref="L971:N973">SVDD(B971:D973)</f>
        <v>2.4064196796033306</v>
      </c>
      <c r="M971">
        <v>0</v>
      </c>
      <c r="N971">
        <v>0</v>
      </c>
      <c r="P971">
        <f t="shared" ref="P971" si="287">MAX(L971,M972,N973)/MIN(L971,M972,N973)</f>
        <v>4.0321439196075497</v>
      </c>
    </row>
    <row r="972" spans="1:16">
      <c r="A972" s="170" t="s">
        <v>456</v>
      </c>
      <c r="B972" s="171">
        <v>0.85843073718374274</v>
      </c>
      <c r="C972" s="171">
        <v>-1.040962775001312</v>
      </c>
      <c r="D972" s="171">
        <v>3.7610117674176324E-2</v>
      </c>
      <c r="E972" s="170">
        <v>0</v>
      </c>
      <c r="F972" s="170">
        <f>-$L$1</f>
        <v>-1.4990492230334603E-2</v>
      </c>
      <c r="G972" s="171">
        <v>0</v>
      </c>
      <c r="H972" s="171">
        <v>0</v>
      </c>
      <c r="I972" s="177">
        <f>-$N$1</f>
        <v>-4.7716218756768064E-3</v>
      </c>
      <c r="J972" s="170">
        <v>0</v>
      </c>
      <c r="L972">
        <v>0</v>
      </c>
      <c r="M972">
        <v>1.4690345982898902</v>
      </c>
      <c r="N972">
        <v>0</v>
      </c>
    </row>
    <row r="973" spans="1:16">
      <c r="A973" s="170"/>
      <c r="B973" s="171">
        <v>-0.60912970227287866</v>
      </c>
      <c r="C973" s="171">
        <v>0.28261535739067112</v>
      </c>
      <c r="D973" s="171">
        <v>-0.68802996689194662</v>
      </c>
      <c r="E973" s="170">
        <v>0</v>
      </c>
      <c r="F973" s="171">
        <v>0</v>
      </c>
      <c r="G973" s="170">
        <f>-$L$1</f>
        <v>-1.4990492230334603E-2</v>
      </c>
      <c r="H973" s="171">
        <v>0</v>
      </c>
      <c r="I973" s="171">
        <v>0</v>
      </c>
      <c r="J973" s="177">
        <f>-$N$1</f>
        <v>-4.7716218756768064E-3</v>
      </c>
      <c r="L973">
        <v>0</v>
      </c>
      <c r="M973">
        <v>0</v>
      </c>
      <c r="N973">
        <v>0.59680897497268615</v>
      </c>
    </row>
    <row r="974" spans="1:16">
      <c r="A974" s="170"/>
      <c r="B974" s="171"/>
      <c r="C974" s="171"/>
      <c r="D974" s="171"/>
      <c r="E974" s="170"/>
      <c r="F974" s="170"/>
      <c r="G974" s="170"/>
      <c r="H974" s="170"/>
      <c r="I974" s="170"/>
      <c r="J974" s="170"/>
    </row>
    <row r="975" spans="1:16">
      <c r="A975" s="170"/>
      <c r="B975" s="171">
        <v>-1.9865190328797109</v>
      </c>
      <c r="C975" s="171">
        <v>-1.2694850305255347</v>
      </c>
      <c r="D975" s="171">
        <v>-3.2127045366234341E-2</v>
      </c>
      <c r="E975" s="170">
        <f>-$L$1</f>
        <v>-1.4990492230334603E-2</v>
      </c>
      <c r="F975" s="171">
        <v>0</v>
      </c>
      <c r="G975" s="171">
        <v>0</v>
      </c>
      <c r="H975" s="177">
        <f>-$N$1</f>
        <v>-4.7716218756768064E-3</v>
      </c>
      <c r="I975" s="170">
        <v>0</v>
      </c>
      <c r="J975" s="170">
        <v>0</v>
      </c>
      <c r="L975">
        <f t="array" ref="L975:N977">SVDD(B975:D977)</f>
        <v>2.7975145901109673</v>
      </c>
      <c r="M975">
        <v>0</v>
      </c>
      <c r="N975">
        <v>0</v>
      </c>
      <c r="P975">
        <f t="shared" ref="P975" si="288">MAX(L975,M976,N977)/MIN(L975,M976,N977)</f>
        <v>4.9236532994760909</v>
      </c>
    </row>
    <row r="976" spans="1:16">
      <c r="A976" s="170" t="s">
        <v>457</v>
      </c>
      <c r="B976" s="171">
        <v>-1.6188303733889171</v>
      </c>
      <c r="C976" s="171">
        <v>1.9594494251009342E-2</v>
      </c>
      <c r="D976" s="171">
        <v>7.7422792294721043E-2</v>
      </c>
      <c r="E976" s="170">
        <v>0</v>
      </c>
      <c r="F976" s="170">
        <f>-$L$1</f>
        <v>-1.4990492230334603E-2</v>
      </c>
      <c r="G976" s="171">
        <v>0</v>
      </c>
      <c r="H976" s="171">
        <v>0</v>
      </c>
      <c r="I976" s="177">
        <f>-$N$1</f>
        <v>-4.7716218756768064E-3</v>
      </c>
      <c r="J976" s="170">
        <v>0</v>
      </c>
      <c r="L976">
        <v>0</v>
      </c>
      <c r="M976">
        <v>0.9804351584655423</v>
      </c>
      <c r="N976">
        <v>0</v>
      </c>
    </row>
    <row r="977" spans="1:16">
      <c r="A977" s="170"/>
      <c r="B977" s="171">
        <v>-0.60912970227287866</v>
      </c>
      <c r="C977" s="171">
        <v>0.28261535739067112</v>
      </c>
      <c r="D977" s="171">
        <v>-0.68802996689194662</v>
      </c>
      <c r="E977" s="170">
        <v>0</v>
      </c>
      <c r="F977" s="171">
        <v>0</v>
      </c>
      <c r="G977" s="170">
        <f>-$L$1</f>
        <v>-1.4990492230334603E-2</v>
      </c>
      <c r="H977" s="171">
        <v>0</v>
      </c>
      <c r="I977" s="171">
        <v>0</v>
      </c>
      <c r="J977" s="177">
        <f>-$N$1</f>
        <v>-4.7716218756768064E-3</v>
      </c>
      <c r="L977">
        <v>0</v>
      </c>
      <c r="M977">
        <v>0</v>
      </c>
      <c r="N977">
        <v>0.56817863077577802</v>
      </c>
    </row>
    <row r="978" spans="1:16">
      <c r="A978" s="170"/>
      <c r="B978" s="171"/>
      <c r="C978" s="171"/>
      <c r="D978" s="171"/>
      <c r="E978" s="170"/>
      <c r="F978" s="170"/>
      <c r="G978" s="170"/>
      <c r="H978" s="170"/>
      <c r="I978" s="170"/>
      <c r="J978" s="170"/>
    </row>
    <row r="979" spans="1:16">
      <c r="A979" s="170"/>
      <c r="B979" s="171">
        <v>0.85843073718374274</v>
      </c>
      <c r="C979" s="171">
        <v>-1.040962775001312</v>
      </c>
      <c r="D979" s="171">
        <v>3.7610117674176324E-2</v>
      </c>
      <c r="E979" s="170">
        <f>-$L$1</f>
        <v>-1.4990492230334603E-2</v>
      </c>
      <c r="F979" s="171">
        <v>0</v>
      </c>
      <c r="G979" s="171">
        <v>0</v>
      </c>
      <c r="H979" s="177">
        <f>-$N$1</f>
        <v>-4.7716218756768064E-3</v>
      </c>
      <c r="I979" s="170">
        <v>0</v>
      </c>
      <c r="J979" s="170">
        <v>0</v>
      </c>
      <c r="L979">
        <f t="array" ref="L979:N981">SVDD(B979:D981)</f>
        <v>2.0431566725377897</v>
      </c>
      <c r="M979">
        <v>0</v>
      </c>
      <c r="N979">
        <v>0</v>
      </c>
      <c r="P979">
        <f t="shared" ref="P979" si="289">MAX(L979,M980,N981)/MIN(L979,M980,N981)</f>
        <v>3.1934764631216082</v>
      </c>
    </row>
    <row r="980" spans="1:16">
      <c r="A980" s="170" t="s">
        <v>458</v>
      </c>
      <c r="B980" s="171">
        <v>-1.6188303733889171</v>
      </c>
      <c r="C980" s="171">
        <v>1.9594494251009342E-2</v>
      </c>
      <c r="D980" s="171">
        <v>7.7422792294721043E-2</v>
      </c>
      <c r="E980" s="170">
        <v>0</v>
      </c>
      <c r="F980" s="170">
        <f>-$L$1</f>
        <v>-1.4990492230334603E-2</v>
      </c>
      <c r="G980" s="171">
        <v>0</v>
      </c>
      <c r="H980" s="171">
        <v>0</v>
      </c>
      <c r="I980" s="177">
        <f>-$N$1</f>
        <v>-4.7716218756768064E-3</v>
      </c>
      <c r="J980" s="170">
        <v>0</v>
      </c>
      <c r="L980">
        <v>0</v>
      </c>
      <c r="M980">
        <v>0.88847377577391495</v>
      </c>
      <c r="N980">
        <v>0</v>
      </c>
    </row>
    <row r="981" spans="1:16">
      <c r="A981" s="170"/>
      <c r="B981" s="171">
        <v>-0.60912970227287866</v>
      </c>
      <c r="C981" s="171">
        <v>0.28261535739067112</v>
      </c>
      <c r="D981" s="171">
        <v>-0.68802996689194662</v>
      </c>
      <c r="E981" s="170">
        <v>0</v>
      </c>
      <c r="F981" s="171">
        <v>0</v>
      </c>
      <c r="G981" s="170">
        <f>-$L$1</f>
        <v>-1.4990492230334603E-2</v>
      </c>
      <c r="H981" s="171">
        <v>0</v>
      </c>
      <c r="I981" s="171">
        <v>0</v>
      </c>
      <c r="J981" s="177">
        <f>-$N$1</f>
        <v>-4.7716218756768064E-3</v>
      </c>
      <c r="L981">
        <v>0</v>
      </c>
      <c r="M981">
        <v>0</v>
      </c>
      <c r="N981">
        <v>0.63979074094712873</v>
      </c>
    </row>
    <row r="982" spans="1:16">
      <c r="A982" s="170"/>
      <c r="B982" s="171"/>
      <c r="C982" s="171"/>
      <c r="D982" s="171"/>
      <c r="E982" s="170"/>
      <c r="F982" s="170"/>
      <c r="G982" s="170"/>
      <c r="H982" s="170"/>
      <c r="I982" s="170"/>
      <c r="J982" s="170"/>
    </row>
    <row r="983" spans="1:16">
      <c r="A983" s="170"/>
      <c r="B983" s="171">
        <v>2.5457845528396139E-2</v>
      </c>
      <c r="C983" s="171">
        <v>-2.3667658472617719</v>
      </c>
      <c r="D983" s="171">
        <v>-6.368425350466822E-2</v>
      </c>
      <c r="E983" s="170">
        <f>-$L$1</f>
        <v>-1.4990492230334603E-2</v>
      </c>
      <c r="F983" s="171">
        <v>0</v>
      </c>
      <c r="G983" s="171">
        <v>0</v>
      </c>
      <c r="H983" s="177">
        <f>-$N$1</f>
        <v>-4.7716218756768064E-3</v>
      </c>
      <c r="I983" s="170">
        <v>0</v>
      </c>
      <c r="J983" s="170">
        <v>0</v>
      </c>
      <c r="L983">
        <f t="array" ref="L983:N985">SVDD(B983:D985)</f>
        <v>4.2146174454973702</v>
      </c>
      <c r="M983">
        <v>0</v>
      </c>
      <c r="N983">
        <v>0</v>
      </c>
      <c r="P983">
        <f t="shared" ref="P983" si="290">MAX(L983,M984,N985)/MIN(L983,M984,N985)</f>
        <v>7.0062729721822521</v>
      </c>
    </row>
    <row r="984" spans="1:16">
      <c r="A984" s="170" t="s">
        <v>459</v>
      </c>
      <c r="B984" s="171">
        <v>-1.2284177840385118</v>
      </c>
      <c r="C984" s="171">
        <v>-2.3993580133895418</v>
      </c>
      <c r="D984" s="171">
        <v>0.6756623603325641</v>
      </c>
      <c r="E984" s="170">
        <v>0</v>
      </c>
      <c r="F984" s="170">
        <f>-$L$1</f>
        <v>-1.4990492230334603E-2</v>
      </c>
      <c r="G984" s="171">
        <v>0</v>
      </c>
      <c r="H984" s="171">
        <v>0</v>
      </c>
      <c r="I984" s="177">
        <f>-$N$1</f>
        <v>-4.7716218756768064E-3</v>
      </c>
      <c r="J984" s="170">
        <v>0</v>
      </c>
      <c r="L984">
        <v>0</v>
      </c>
      <c r="M984">
        <v>1.6254261432289234</v>
      </c>
      <c r="N984">
        <v>0</v>
      </c>
    </row>
    <row r="985" spans="1:16">
      <c r="A985" s="170"/>
      <c r="B985" s="171">
        <v>1.0673702345396179</v>
      </c>
      <c r="C985" s="171">
        <v>-2.4075843796929846</v>
      </c>
      <c r="D985" s="171">
        <v>0.708799578341892</v>
      </c>
      <c r="E985" s="170">
        <v>0</v>
      </c>
      <c r="F985" s="171">
        <v>0</v>
      </c>
      <c r="G985" s="170">
        <f>-$L$1</f>
        <v>-1.4990492230334603E-2</v>
      </c>
      <c r="H985" s="171">
        <v>0</v>
      </c>
      <c r="I985" s="171">
        <v>0</v>
      </c>
      <c r="J985" s="177">
        <f>-$N$1</f>
        <v>-4.7716218756768064E-3</v>
      </c>
      <c r="L985">
        <v>0</v>
      </c>
      <c r="M985">
        <v>0</v>
      </c>
      <c r="N985">
        <v>0.60154913492967121</v>
      </c>
    </row>
    <row r="986" spans="1:16">
      <c r="A986" s="170"/>
      <c r="B986" s="171"/>
      <c r="C986" s="171"/>
      <c r="D986" s="171"/>
      <c r="E986" s="170"/>
      <c r="F986" s="170"/>
      <c r="G986" s="170"/>
      <c r="H986" s="170"/>
      <c r="I986" s="170"/>
      <c r="J986" s="170"/>
    </row>
    <row r="987" spans="1:16">
      <c r="A987" s="170"/>
      <c r="B987" s="171">
        <v>2.5457845528396139E-2</v>
      </c>
      <c r="C987" s="171">
        <v>-2.3667658472617719</v>
      </c>
      <c r="D987" s="171">
        <v>-6.368425350466822E-2</v>
      </c>
      <c r="E987" s="170">
        <f>-$L$1</f>
        <v>-1.4990492230334603E-2</v>
      </c>
      <c r="F987" s="171">
        <v>0</v>
      </c>
      <c r="G987" s="171">
        <v>0</v>
      </c>
      <c r="H987" s="177">
        <f>-$N$1</f>
        <v>-4.7716218756768064E-3</v>
      </c>
      <c r="I987" s="170">
        <v>0</v>
      </c>
      <c r="J987" s="170">
        <v>0</v>
      </c>
      <c r="L987">
        <f t="array" ref="L987:N989">SVDD(B987:D989)</f>
        <v>4.0460618428115298</v>
      </c>
      <c r="M987">
        <v>0</v>
      </c>
      <c r="N987">
        <v>0</v>
      </c>
      <c r="P987">
        <f t="shared" ref="P987" si="291">MAX(L987,M988,N989)/MIN(L987,M988,N989)</f>
        <v>57.301482607717354</v>
      </c>
    </row>
    <row r="988" spans="1:16">
      <c r="A988" s="170" t="s">
        <v>460</v>
      </c>
      <c r="B988" s="171">
        <v>-1.2284177840385118</v>
      </c>
      <c r="C988" s="171">
        <v>-2.3993580133895418</v>
      </c>
      <c r="D988" s="171">
        <v>0.6756623603325641</v>
      </c>
      <c r="E988" s="170">
        <v>0</v>
      </c>
      <c r="F988" s="170">
        <f>-$L$1</f>
        <v>-1.4990492230334603E-2</v>
      </c>
      <c r="G988" s="171">
        <v>0</v>
      </c>
      <c r="H988" s="171">
        <v>0</v>
      </c>
      <c r="I988" s="177">
        <f>-$N$1</f>
        <v>-4.7716218756768064E-3</v>
      </c>
      <c r="J988" s="170">
        <v>0</v>
      </c>
      <c r="L988">
        <v>0</v>
      </c>
      <c r="M988">
        <v>1.2998294203642669</v>
      </c>
      <c r="N988">
        <v>0</v>
      </c>
    </row>
    <row r="989" spans="1:16">
      <c r="A989" s="170"/>
      <c r="B989" s="171">
        <v>-1.3773893306068323</v>
      </c>
      <c r="C989" s="171">
        <v>-1.5521003879162059</v>
      </c>
      <c r="D989" s="171">
        <v>0.65590292152571228</v>
      </c>
      <c r="E989" s="170">
        <v>0</v>
      </c>
      <c r="F989" s="171">
        <v>0</v>
      </c>
      <c r="G989" s="170">
        <f>-$L$1</f>
        <v>-1.4990492230334603E-2</v>
      </c>
      <c r="H989" s="171">
        <v>0</v>
      </c>
      <c r="I989" s="171">
        <v>0</v>
      </c>
      <c r="J989" s="177">
        <f>-$N$1</f>
        <v>-4.7716218756768064E-3</v>
      </c>
      <c r="L989">
        <v>0</v>
      </c>
      <c r="M989">
        <v>0</v>
      </c>
      <c r="N989">
        <v>7.0610072526580789E-2</v>
      </c>
    </row>
    <row r="990" spans="1:16">
      <c r="A990" s="170"/>
      <c r="B990" s="171"/>
      <c r="C990" s="171"/>
      <c r="D990" s="171"/>
      <c r="E990" s="170"/>
      <c r="F990" s="170"/>
      <c r="G990" s="170"/>
      <c r="H990" s="170"/>
      <c r="I990" s="170"/>
      <c r="J990" s="170"/>
    </row>
    <row r="991" spans="1:16">
      <c r="A991" s="170"/>
      <c r="B991" s="171">
        <v>2.5457845528396139E-2</v>
      </c>
      <c r="C991" s="171">
        <v>-2.3667658472617719</v>
      </c>
      <c r="D991" s="171">
        <v>-6.368425350466822E-2</v>
      </c>
      <c r="E991" s="170">
        <f>-$L$1</f>
        <v>-1.4990492230334603E-2</v>
      </c>
      <c r="F991" s="171">
        <v>0</v>
      </c>
      <c r="G991" s="171">
        <v>0</v>
      </c>
      <c r="H991" s="177">
        <f>-$N$1</f>
        <v>-4.7716218756768064E-3</v>
      </c>
      <c r="I991" s="170">
        <v>0</v>
      </c>
      <c r="J991" s="170">
        <v>0</v>
      </c>
      <c r="L991">
        <f t="array" ref="L991:N993">SVDD(B991:D993)</f>
        <v>3.6956456724658651</v>
      </c>
      <c r="M991">
        <v>0</v>
      </c>
      <c r="N991">
        <v>0</v>
      </c>
      <c r="P991">
        <f t="shared" ref="P991" si="292">MAX(L991,M992,N993)/MIN(L991,M992,N993)</f>
        <v>5.4207004825352429</v>
      </c>
    </row>
    <row r="992" spans="1:16">
      <c r="A992" s="170" t="s">
        <v>461</v>
      </c>
      <c r="B992" s="171">
        <v>-1.2284177840385118</v>
      </c>
      <c r="C992" s="171">
        <v>-2.3993580133895418</v>
      </c>
      <c r="D992" s="171">
        <v>0.6756623603325641</v>
      </c>
      <c r="E992" s="170">
        <v>0</v>
      </c>
      <c r="F992" s="170">
        <f>-$L$1</f>
        <v>-1.4990492230334603E-2</v>
      </c>
      <c r="G992" s="171">
        <v>0</v>
      </c>
      <c r="H992" s="171">
        <v>0</v>
      </c>
      <c r="I992" s="177">
        <f>-$N$1</f>
        <v>-4.7716218756768064E-3</v>
      </c>
      <c r="J992" s="170">
        <v>0</v>
      </c>
      <c r="L992">
        <v>0</v>
      </c>
      <c r="M992">
        <v>1.9074271827373903</v>
      </c>
      <c r="N992">
        <v>0</v>
      </c>
    </row>
    <row r="993" spans="1:16">
      <c r="A993" s="170"/>
      <c r="B993" s="171">
        <v>1.4675604394566215</v>
      </c>
      <c r="C993" s="171">
        <v>-1.3235781323919831</v>
      </c>
      <c r="D993" s="171">
        <v>0.72564008456612294</v>
      </c>
      <c r="E993" s="170">
        <v>0</v>
      </c>
      <c r="F993" s="171">
        <v>0</v>
      </c>
      <c r="G993" s="170">
        <f>-$L$1</f>
        <v>-1.4990492230334603E-2</v>
      </c>
      <c r="H993" s="171">
        <v>0</v>
      </c>
      <c r="I993" s="171">
        <v>0</v>
      </c>
      <c r="J993" s="177">
        <f>-$N$1</f>
        <v>-4.7716218756768064E-3</v>
      </c>
      <c r="L993">
        <v>0</v>
      </c>
      <c r="M993">
        <v>0</v>
      </c>
      <c r="N993">
        <v>0.68176533353442625</v>
      </c>
    </row>
    <row r="994" spans="1:16">
      <c r="A994" s="170"/>
      <c r="B994" s="171"/>
      <c r="C994" s="171"/>
      <c r="D994" s="171"/>
      <c r="E994" s="170"/>
      <c r="F994" s="170"/>
      <c r="G994" s="170"/>
      <c r="H994" s="170"/>
      <c r="I994" s="170"/>
      <c r="J994" s="170"/>
    </row>
    <row r="995" spans="1:16">
      <c r="A995" s="170"/>
      <c r="B995" s="171">
        <v>2.5457845528396139E-2</v>
      </c>
      <c r="C995" s="171">
        <v>-2.3667658472617719</v>
      </c>
      <c r="D995" s="171">
        <v>-6.368425350466822E-2</v>
      </c>
      <c r="E995" s="170">
        <f>-$L$1</f>
        <v>-1.4990492230334603E-2</v>
      </c>
      <c r="F995" s="171">
        <v>0</v>
      </c>
      <c r="G995" s="171">
        <v>0</v>
      </c>
      <c r="H995" s="177">
        <f>-$N$1</f>
        <v>-4.7716218756768064E-3</v>
      </c>
      <c r="I995" s="170">
        <v>0</v>
      </c>
      <c r="J995" s="170">
        <v>0</v>
      </c>
      <c r="L995">
        <f t="array" ref="L995:N997">SVDD(B995:D997)</f>
        <v>3.5780314255299053</v>
      </c>
      <c r="M995">
        <v>0</v>
      </c>
      <c r="N995">
        <v>0</v>
      </c>
      <c r="P995">
        <f t="shared" ref="P995" si="293">MAX(L995,M996,N997)/MIN(L995,M996,N997)</f>
        <v>36.492219185194912</v>
      </c>
    </row>
    <row r="996" spans="1:16">
      <c r="A996" s="170" t="s">
        <v>462</v>
      </c>
      <c r="B996" s="171">
        <v>-1.2284177840385118</v>
      </c>
      <c r="C996" s="171">
        <v>-2.3993580133895418</v>
      </c>
      <c r="D996" s="171">
        <v>0.6756623603325641</v>
      </c>
      <c r="E996" s="170">
        <v>0</v>
      </c>
      <c r="F996" s="170">
        <f>-$L$1</f>
        <v>-1.4990492230334603E-2</v>
      </c>
      <c r="G996" s="171">
        <v>0</v>
      </c>
      <c r="H996" s="171">
        <v>0</v>
      </c>
      <c r="I996" s="177">
        <f>-$N$1</f>
        <v>-4.7716218756768064E-3</v>
      </c>
      <c r="J996" s="170">
        <v>0</v>
      </c>
      <c r="L996">
        <v>0</v>
      </c>
      <c r="M996">
        <v>1.4803391307370171</v>
      </c>
      <c r="N996">
        <v>0</v>
      </c>
    </row>
    <row r="997" spans="1:16">
      <c r="A997" s="170"/>
      <c r="B997" s="171">
        <v>-1.0097006711160386</v>
      </c>
      <c r="C997" s="171">
        <v>-0.26302086313966178</v>
      </c>
      <c r="D997" s="171">
        <v>0.76545275918666766</v>
      </c>
      <c r="E997" s="170">
        <v>0</v>
      </c>
      <c r="F997" s="171">
        <v>0</v>
      </c>
      <c r="G997" s="170">
        <f>-$L$1</f>
        <v>-1.4990492230334603E-2</v>
      </c>
      <c r="H997" s="171">
        <v>0</v>
      </c>
      <c r="I997" s="171">
        <v>0</v>
      </c>
      <c r="J997" s="177">
        <f>-$N$1</f>
        <v>-4.7716218756768064E-3</v>
      </c>
      <c r="L997">
        <v>0</v>
      </c>
      <c r="M997">
        <v>0</v>
      </c>
      <c r="N997">
        <v>9.8049159668029504E-2</v>
      </c>
    </row>
    <row r="998" spans="1:16">
      <c r="A998" s="170"/>
      <c r="B998" s="171"/>
      <c r="C998" s="171"/>
      <c r="D998" s="171"/>
      <c r="E998" s="170"/>
      <c r="F998" s="170"/>
      <c r="G998" s="170"/>
      <c r="H998" s="170"/>
      <c r="I998" s="170"/>
      <c r="J998" s="170"/>
    </row>
    <row r="999" spans="1:16">
      <c r="A999" s="170"/>
      <c r="B999" s="171">
        <v>2.5457845528396139E-2</v>
      </c>
      <c r="C999" s="171">
        <v>-2.3667658472617719</v>
      </c>
      <c r="D999" s="171">
        <v>-6.368425350466822E-2</v>
      </c>
      <c r="E999" s="170">
        <f>-$L$1</f>
        <v>-1.4990492230334603E-2</v>
      </c>
      <c r="F999" s="171">
        <v>0</v>
      </c>
      <c r="G999" s="171">
        <v>0</v>
      </c>
      <c r="H999" s="177">
        <f>-$N$1</f>
        <v>-4.7716218756768064E-3</v>
      </c>
      <c r="I999" s="170">
        <v>0</v>
      </c>
      <c r="J999" s="170">
        <v>0</v>
      </c>
      <c r="L999">
        <f t="array" ref="L999:N1001">SVDD(B999:D1001)</f>
        <v>3.523069816289977</v>
      </c>
      <c r="M999">
        <v>0</v>
      </c>
      <c r="N999">
        <v>0</v>
      </c>
      <c r="P999">
        <f t="shared" ref="P999" si="294">MAX(L999,M1000,N1001)/MIN(L999,M1000,N1001)</f>
        <v>4.2840265157871062</v>
      </c>
    </row>
    <row r="1000" spans="1:16">
      <c r="A1000" s="170" t="s">
        <v>463</v>
      </c>
      <c r="B1000" s="171">
        <v>-1.2284177840385118</v>
      </c>
      <c r="C1000" s="171">
        <v>-2.3993580133895418</v>
      </c>
      <c r="D1000" s="171">
        <v>0.6756623603325641</v>
      </c>
      <c r="E1000" s="170">
        <v>0</v>
      </c>
      <c r="F1000" s="170">
        <f>-$L$1</f>
        <v>-1.4990492230334603E-2</v>
      </c>
      <c r="G1000" s="171">
        <v>0</v>
      </c>
      <c r="H1000" s="171">
        <v>0</v>
      </c>
      <c r="I1000" s="177">
        <f>-$N$1</f>
        <v>-4.7716218756768064E-3</v>
      </c>
      <c r="J1000" s="170">
        <v>0</v>
      </c>
      <c r="L1000">
        <v>0</v>
      </c>
      <c r="M1000">
        <v>1.0792171726583881</v>
      </c>
      <c r="N1000">
        <v>0</v>
      </c>
    </row>
    <row r="1001" spans="1:16">
      <c r="A1001" s="170"/>
      <c r="B1001" s="171">
        <v>0.60912970227287866</v>
      </c>
      <c r="C1001" s="171">
        <v>-0.28261535739067112</v>
      </c>
      <c r="D1001" s="171">
        <v>0.68802996689194662</v>
      </c>
      <c r="E1001" s="170">
        <v>0</v>
      </c>
      <c r="F1001" s="171">
        <v>0</v>
      </c>
      <c r="G1001" s="170">
        <f>-$L$1</f>
        <v>-1.4990492230334603E-2</v>
      </c>
      <c r="H1001" s="171">
        <v>0</v>
      </c>
      <c r="I1001" s="171">
        <v>0</v>
      </c>
      <c r="J1001" s="177">
        <f>-$N$1</f>
        <v>-4.7716218756768064E-3</v>
      </c>
      <c r="L1001">
        <v>0</v>
      </c>
      <c r="M1001">
        <v>0</v>
      </c>
      <c r="N1001">
        <v>0.82237348515633124</v>
      </c>
    </row>
    <row r="1002" spans="1:16">
      <c r="A1002" s="170"/>
      <c r="B1002" s="171"/>
      <c r="C1002" s="171"/>
      <c r="D1002" s="171"/>
      <c r="E1002" s="170"/>
      <c r="F1002" s="170"/>
      <c r="G1002" s="170"/>
      <c r="H1002" s="170"/>
      <c r="I1002" s="170"/>
      <c r="J1002" s="170"/>
    </row>
    <row r="1003" spans="1:16">
      <c r="A1003" s="170"/>
      <c r="B1003" s="171">
        <v>2.5457845528396139E-2</v>
      </c>
      <c r="C1003" s="171">
        <v>-2.3667658472617719</v>
      </c>
      <c r="D1003" s="171">
        <v>-6.368425350466822E-2</v>
      </c>
      <c r="E1003" s="170">
        <f>-$L$1</f>
        <v>-1.4990492230334603E-2</v>
      </c>
      <c r="F1003" s="171">
        <v>0</v>
      </c>
      <c r="G1003" s="171">
        <v>0</v>
      </c>
      <c r="H1003" s="177">
        <f>-$N$1</f>
        <v>-4.7716218756768064E-3</v>
      </c>
      <c r="I1003" s="170">
        <v>0</v>
      </c>
      <c r="J1003" s="170">
        <v>0</v>
      </c>
      <c r="L1003">
        <f t="array" ref="L1003:N1005">SVDD(B1003:D1005)</f>
        <v>3.7843160767800486</v>
      </c>
      <c r="M1003">
        <v>0</v>
      </c>
      <c r="N1003">
        <v>0</v>
      </c>
      <c r="P1003">
        <f t="shared" ref="P1003" si="295">MAX(L1003,M1004,N1005)/MIN(L1003,M1004,N1005)</f>
        <v>5.8454524208722907</v>
      </c>
    </row>
    <row r="1004" spans="1:16">
      <c r="A1004" s="170" t="s">
        <v>464</v>
      </c>
      <c r="B1004" s="171">
        <v>1.0673702345396179</v>
      </c>
      <c r="C1004" s="171">
        <v>-2.4075843796929846</v>
      </c>
      <c r="D1004" s="171">
        <v>0.708799578341892</v>
      </c>
      <c r="E1004" s="170">
        <v>0</v>
      </c>
      <c r="F1004" s="170">
        <f>-$L$1</f>
        <v>-1.4990492230334603E-2</v>
      </c>
      <c r="G1004" s="171">
        <v>0</v>
      </c>
      <c r="H1004" s="171">
        <v>0</v>
      </c>
      <c r="I1004" s="177">
        <f>-$N$1</f>
        <v>-4.7716218756768064E-3</v>
      </c>
      <c r="J1004" s="170">
        <v>0</v>
      </c>
      <c r="L1004">
        <v>0</v>
      </c>
      <c r="M1004">
        <v>1.743754646759575</v>
      </c>
      <c r="N1004">
        <v>0</v>
      </c>
    </row>
    <row r="1005" spans="1:16">
      <c r="A1005" s="170"/>
      <c r="B1005" s="171">
        <v>-1.3773893306068323</v>
      </c>
      <c r="C1005" s="171">
        <v>-1.5521003879162059</v>
      </c>
      <c r="D1005" s="171">
        <v>0.65590292152571228</v>
      </c>
      <c r="E1005" s="170">
        <v>0</v>
      </c>
      <c r="F1005" s="171">
        <v>0</v>
      </c>
      <c r="G1005" s="170">
        <f>-$L$1</f>
        <v>-1.4990492230334603E-2</v>
      </c>
      <c r="H1005" s="171">
        <v>0</v>
      </c>
      <c r="I1005" s="171">
        <v>0</v>
      </c>
      <c r="J1005" s="177">
        <f>-$N$1</f>
        <v>-4.7716218756768064E-3</v>
      </c>
      <c r="L1005">
        <v>0</v>
      </c>
      <c r="M1005">
        <v>0</v>
      </c>
      <c r="N1005">
        <v>0.64739489851417387</v>
      </c>
    </row>
    <row r="1006" spans="1:16">
      <c r="A1006" s="170"/>
      <c r="B1006" s="171"/>
      <c r="C1006" s="171"/>
      <c r="D1006" s="171"/>
      <c r="E1006" s="170"/>
      <c r="F1006" s="170"/>
      <c r="G1006" s="170"/>
      <c r="H1006" s="170"/>
      <c r="I1006" s="170"/>
      <c r="J1006" s="170"/>
    </row>
    <row r="1007" spans="1:16">
      <c r="A1007" s="170"/>
      <c r="B1007" s="171">
        <v>2.5457845528396139E-2</v>
      </c>
      <c r="C1007" s="171">
        <v>-2.3667658472617719</v>
      </c>
      <c r="D1007" s="171">
        <v>-6.368425350466822E-2</v>
      </c>
      <c r="E1007" s="170">
        <f>-$L$1</f>
        <v>-1.4990492230334603E-2</v>
      </c>
      <c r="F1007" s="171">
        <v>0</v>
      </c>
      <c r="G1007" s="171">
        <v>0</v>
      </c>
      <c r="H1007" s="177">
        <f>-$N$1</f>
        <v>-4.7716218756768064E-3</v>
      </c>
      <c r="I1007" s="170">
        <v>0</v>
      </c>
      <c r="J1007" s="170">
        <v>0</v>
      </c>
      <c r="L1007">
        <f t="array" ref="L1007:N1009">SVDD(B1007:D1009)</f>
        <v>3.9456782065845815</v>
      </c>
      <c r="M1007">
        <v>0</v>
      </c>
      <c r="N1007">
        <v>0</v>
      </c>
      <c r="P1007">
        <f t="shared" ref="P1007" si="296">MAX(L1007,M1008,N1009)/MIN(L1007,M1008,N1009)</f>
        <v>27.264608409535779</v>
      </c>
    </row>
    <row r="1008" spans="1:16">
      <c r="A1008" s="170" t="s">
        <v>465</v>
      </c>
      <c r="B1008" s="171">
        <v>1.0673702345396179</v>
      </c>
      <c r="C1008" s="171">
        <v>-2.4075843796929846</v>
      </c>
      <c r="D1008" s="171">
        <v>0.708799578341892</v>
      </c>
      <c r="E1008" s="170">
        <v>0</v>
      </c>
      <c r="F1008" s="170">
        <f>-$L$1</f>
        <v>-1.4990492230334603E-2</v>
      </c>
      <c r="G1008" s="171">
        <v>0</v>
      </c>
      <c r="H1008" s="171">
        <v>0</v>
      </c>
      <c r="I1008" s="177">
        <f>-$N$1</f>
        <v>-4.7716218756768064E-3</v>
      </c>
      <c r="J1008" s="170">
        <v>0</v>
      </c>
      <c r="L1008">
        <v>0</v>
      </c>
      <c r="M1008">
        <v>1.3737719682217171</v>
      </c>
      <c r="N1008">
        <v>0</v>
      </c>
    </row>
    <row r="1009" spans="1:16">
      <c r="A1009" s="170"/>
      <c r="B1009" s="171">
        <v>1.4675604394566215</v>
      </c>
      <c r="C1009" s="171">
        <v>-1.3235781323919831</v>
      </c>
      <c r="D1009" s="171">
        <v>0.72564008456612294</v>
      </c>
      <c r="E1009" s="170">
        <v>0</v>
      </c>
      <c r="F1009" s="171">
        <v>0</v>
      </c>
      <c r="G1009" s="170">
        <f>-$L$1</f>
        <v>-1.4990492230334603E-2</v>
      </c>
      <c r="H1009" s="171">
        <v>0</v>
      </c>
      <c r="I1009" s="171">
        <v>0</v>
      </c>
      <c r="J1009" s="177">
        <f>-$N$1</f>
        <v>-4.7716218756768064E-3</v>
      </c>
      <c r="L1009">
        <v>0</v>
      </c>
      <c r="M1009">
        <v>0</v>
      </c>
      <c r="N1009">
        <v>0.14471794889981193</v>
      </c>
    </row>
    <row r="1010" spans="1:16">
      <c r="A1010" s="170"/>
      <c r="B1010" s="171"/>
      <c r="C1010" s="171"/>
      <c r="D1010" s="171"/>
      <c r="E1010" s="170"/>
      <c r="F1010" s="170"/>
      <c r="G1010" s="170"/>
      <c r="H1010" s="170"/>
      <c r="I1010" s="170"/>
      <c r="J1010" s="170"/>
    </row>
    <row r="1011" spans="1:16">
      <c r="A1011" s="170"/>
      <c r="B1011" s="171">
        <v>2.5457845528396139E-2</v>
      </c>
      <c r="C1011" s="171">
        <v>-2.3667658472617719</v>
      </c>
      <c r="D1011" s="171">
        <v>-6.368425350466822E-2</v>
      </c>
      <c r="E1011" s="170">
        <f>-$L$1</f>
        <v>-1.4990492230334603E-2</v>
      </c>
      <c r="F1011" s="171">
        <v>0</v>
      </c>
      <c r="G1011" s="171">
        <v>0</v>
      </c>
      <c r="H1011" s="177">
        <f>-$N$1</f>
        <v>-4.7716218756768064E-3</v>
      </c>
      <c r="I1011" s="170">
        <v>0</v>
      </c>
      <c r="J1011" s="170">
        <v>0</v>
      </c>
      <c r="L1011">
        <f t="array" ref="L1011:N1013">SVDD(B1011:D1013)</f>
        <v>3.506171344100621</v>
      </c>
      <c r="M1011">
        <v>0</v>
      </c>
      <c r="N1011">
        <v>0</v>
      </c>
      <c r="P1011">
        <f t="shared" ref="P1011" si="297">MAX(L1011,M1012,N1013)/MIN(L1011,M1012,N1013)</f>
        <v>4.3649803826438793</v>
      </c>
    </row>
    <row r="1012" spans="1:16">
      <c r="A1012" s="170" t="s">
        <v>466</v>
      </c>
      <c r="B1012" s="171">
        <v>1.0673702345396179</v>
      </c>
      <c r="C1012" s="171">
        <v>-2.4075843796929846</v>
      </c>
      <c r="D1012" s="171">
        <v>0.708799578341892</v>
      </c>
      <c r="E1012" s="170">
        <v>0</v>
      </c>
      <c r="F1012" s="170">
        <f>-$L$1</f>
        <v>-1.4990492230334603E-2</v>
      </c>
      <c r="G1012" s="171">
        <v>0</v>
      </c>
      <c r="H1012" s="171">
        <v>0</v>
      </c>
      <c r="I1012" s="177">
        <f>-$N$1</f>
        <v>-4.7716218756768064E-3</v>
      </c>
      <c r="J1012" s="170">
        <v>0</v>
      </c>
      <c r="L1012">
        <v>0</v>
      </c>
      <c r="M1012">
        <v>1.3343792350992441</v>
      </c>
      <c r="N1012">
        <v>0</v>
      </c>
    </row>
    <row r="1013" spans="1:16">
      <c r="A1013" s="170"/>
      <c r="B1013" s="171">
        <v>-1.0097006711160386</v>
      </c>
      <c r="C1013" s="171">
        <v>-0.26302086313966178</v>
      </c>
      <c r="D1013" s="171">
        <v>0.76545275918666766</v>
      </c>
      <c r="E1013" s="170">
        <v>0</v>
      </c>
      <c r="F1013" s="171">
        <v>0</v>
      </c>
      <c r="G1013" s="170">
        <f>-$L$1</f>
        <v>-1.4990492230334603E-2</v>
      </c>
      <c r="H1013" s="171">
        <v>0</v>
      </c>
      <c r="I1013" s="171">
        <v>0</v>
      </c>
      <c r="J1013" s="177">
        <f>-$N$1</f>
        <v>-4.7716218756768064E-3</v>
      </c>
      <c r="L1013">
        <v>0</v>
      </c>
      <c r="M1013">
        <v>0</v>
      </c>
      <c r="N1013">
        <v>0.80325019513075668</v>
      </c>
    </row>
    <row r="1014" spans="1:16">
      <c r="A1014" s="170"/>
      <c r="B1014" s="171"/>
      <c r="C1014" s="171"/>
      <c r="D1014" s="171"/>
      <c r="E1014" s="170"/>
      <c r="F1014" s="170"/>
      <c r="G1014" s="170"/>
      <c r="H1014" s="170"/>
      <c r="I1014" s="170"/>
      <c r="J1014" s="170"/>
    </row>
    <row r="1015" spans="1:16">
      <c r="A1015" s="170"/>
      <c r="B1015" s="171">
        <v>2.5457845528396139E-2</v>
      </c>
      <c r="C1015" s="171">
        <v>-2.3667658472617719</v>
      </c>
      <c r="D1015" s="171">
        <v>-6.368425350466822E-2</v>
      </c>
      <c r="E1015" s="170">
        <f>-$L$1</f>
        <v>-1.4990492230334603E-2</v>
      </c>
      <c r="F1015" s="171">
        <v>0</v>
      </c>
      <c r="G1015" s="171">
        <v>0</v>
      </c>
      <c r="H1015" s="177">
        <f>-$N$1</f>
        <v>-4.7716218756768064E-3</v>
      </c>
      <c r="I1015" s="170">
        <v>0</v>
      </c>
      <c r="J1015" s="170">
        <v>0</v>
      </c>
      <c r="L1015">
        <f t="array" ref="L1015:N1017">SVDD(B1015:D1017)</f>
        <v>3.5433352671462508</v>
      </c>
      <c r="M1015">
        <v>0</v>
      </c>
      <c r="N1015">
        <v>0</v>
      </c>
      <c r="P1015">
        <f t="shared" ref="P1015" si="298">MAX(L1015,M1016,N1017)/MIN(L1015,M1016,N1017)</f>
        <v>24.489132951843487</v>
      </c>
    </row>
    <row r="1016" spans="1:16">
      <c r="A1016" s="170" t="s">
        <v>467</v>
      </c>
      <c r="B1016" s="171">
        <v>1.0673702345396179</v>
      </c>
      <c r="C1016" s="171">
        <v>-2.4075843796929846</v>
      </c>
      <c r="D1016" s="171">
        <v>0.708799578341892</v>
      </c>
      <c r="E1016" s="170">
        <v>0</v>
      </c>
      <c r="F1016" s="170">
        <f>-$L$1</f>
        <v>-1.4990492230334603E-2</v>
      </c>
      <c r="G1016" s="171">
        <v>0</v>
      </c>
      <c r="H1016" s="171">
        <v>0</v>
      </c>
      <c r="I1016" s="177">
        <f>-$N$1</f>
        <v>-4.7716218756768064E-3</v>
      </c>
      <c r="J1016" s="170">
        <v>0</v>
      </c>
      <c r="L1016">
        <v>0</v>
      </c>
      <c r="M1016">
        <v>1.1800671990559992</v>
      </c>
      <c r="N1016">
        <v>0</v>
      </c>
    </row>
    <row r="1017" spans="1:16">
      <c r="A1017" s="170"/>
      <c r="B1017" s="171">
        <v>0.60912970227287866</v>
      </c>
      <c r="C1017" s="171">
        <v>-0.28261535739067112</v>
      </c>
      <c r="D1017" s="171">
        <v>0.68802996689194662</v>
      </c>
      <c r="E1017" s="170">
        <v>0</v>
      </c>
      <c r="F1017" s="171">
        <v>0</v>
      </c>
      <c r="G1017" s="170">
        <f>-$L$1</f>
        <v>-1.4990492230334603E-2</v>
      </c>
      <c r="H1017" s="171">
        <v>0</v>
      </c>
      <c r="I1017" s="171">
        <v>0</v>
      </c>
      <c r="J1017" s="177">
        <f>-$N$1</f>
        <v>-4.7716218756768064E-3</v>
      </c>
      <c r="L1017">
        <v>0</v>
      </c>
      <c r="M1017">
        <v>0</v>
      </c>
      <c r="N1017">
        <v>0.14469010700027729</v>
      </c>
    </row>
    <row r="1018" spans="1:16">
      <c r="A1018" s="170"/>
      <c r="B1018" s="171"/>
      <c r="C1018" s="171"/>
      <c r="D1018" s="171"/>
      <c r="E1018" s="170"/>
      <c r="F1018" s="170"/>
      <c r="G1018" s="170"/>
      <c r="H1018" s="170"/>
      <c r="I1018" s="170"/>
      <c r="J1018" s="170"/>
    </row>
    <row r="1019" spans="1:16">
      <c r="A1019" s="170"/>
      <c r="B1019" s="171">
        <v>2.5457845528396139E-2</v>
      </c>
      <c r="C1019" s="171">
        <v>-2.3667658472617719</v>
      </c>
      <c r="D1019" s="171">
        <v>-6.368425350466822E-2</v>
      </c>
      <c r="E1019" s="170">
        <f>-$L$1</f>
        <v>-1.4990492230334603E-2</v>
      </c>
      <c r="F1019" s="171">
        <v>0</v>
      </c>
      <c r="G1019" s="171">
        <v>0</v>
      </c>
      <c r="H1019" s="177">
        <f>-$N$1</f>
        <v>-4.7716218756768064E-3</v>
      </c>
      <c r="I1019" s="170">
        <v>0</v>
      </c>
      <c r="J1019" s="170">
        <v>0</v>
      </c>
      <c r="L1019">
        <f t="array" ref="L1019:N1021">SVDD(B1019:D1021)</f>
        <v>3.182546336666745</v>
      </c>
      <c r="M1019">
        <v>0</v>
      </c>
      <c r="N1019">
        <v>0</v>
      </c>
      <c r="P1019">
        <f t="shared" ref="P1019" si="299">MAX(L1019,M1020,N1021)/MIN(L1019,M1020,N1021)</f>
        <v>4.155062022143496</v>
      </c>
    </row>
    <row r="1020" spans="1:16">
      <c r="A1020" s="170" t="s">
        <v>468</v>
      </c>
      <c r="B1020" s="171">
        <v>-1.3773893306068323</v>
      </c>
      <c r="C1020" s="171">
        <v>-1.5521003879162059</v>
      </c>
      <c r="D1020" s="171">
        <v>0.65590292152571228</v>
      </c>
      <c r="E1020" s="170">
        <v>0</v>
      </c>
      <c r="F1020" s="170">
        <f>-$L$1</f>
        <v>-1.4990492230334603E-2</v>
      </c>
      <c r="G1020" s="171">
        <v>0</v>
      </c>
      <c r="H1020" s="171">
        <v>0</v>
      </c>
      <c r="I1020" s="177">
        <f>-$N$1</f>
        <v>-4.7716218756768064E-3</v>
      </c>
      <c r="J1020" s="170">
        <v>0</v>
      </c>
      <c r="L1020">
        <v>0</v>
      </c>
      <c r="M1020">
        <v>2.0148410065160633</v>
      </c>
      <c r="N1020">
        <v>0</v>
      </c>
    </row>
    <row r="1021" spans="1:16">
      <c r="A1021" s="170"/>
      <c r="B1021" s="171">
        <v>1.4675604394566215</v>
      </c>
      <c r="C1021" s="171">
        <v>-1.3235781323919831</v>
      </c>
      <c r="D1021" s="171">
        <v>0.72564008456612294</v>
      </c>
      <c r="E1021" s="170">
        <v>0</v>
      </c>
      <c r="F1021" s="171">
        <v>0</v>
      </c>
      <c r="G1021" s="170">
        <f>-$L$1</f>
        <v>-1.4990492230334603E-2</v>
      </c>
      <c r="H1021" s="171">
        <v>0</v>
      </c>
      <c r="I1021" s="171">
        <v>0</v>
      </c>
      <c r="J1021" s="177">
        <f>-$N$1</f>
        <v>-4.7716218756768064E-3</v>
      </c>
      <c r="L1021">
        <v>0</v>
      </c>
      <c r="M1021">
        <v>0</v>
      </c>
      <c r="N1021">
        <v>0.76594436369567032</v>
      </c>
    </row>
    <row r="1022" spans="1:16">
      <c r="A1022" s="170"/>
      <c r="B1022" s="171"/>
      <c r="C1022" s="171"/>
      <c r="D1022" s="171"/>
      <c r="E1022" s="170"/>
      <c r="F1022" s="170"/>
      <c r="G1022" s="170"/>
      <c r="H1022" s="170"/>
      <c r="I1022" s="170"/>
      <c r="J1022" s="170"/>
    </row>
    <row r="1023" spans="1:16">
      <c r="A1023" s="170"/>
      <c r="B1023" s="171">
        <v>2.5457845528396139E-2</v>
      </c>
      <c r="C1023" s="171">
        <v>-2.3667658472617719</v>
      </c>
      <c r="D1023" s="171">
        <v>-6.368425350466822E-2</v>
      </c>
      <c r="E1023" s="170">
        <f>-$L$1</f>
        <v>-1.4990492230334603E-2</v>
      </c>
      <c r="F1023" s="171">
        <v>0</v>
      </c>
      <c r="G1023" s="171">
        <v>0</v>
      </c>
      <c r="H1023" s="177">
        <f>-$N$1</f>
        <v>-4.7716218756768064E-3</v>
      </c>
      <c r="I1023" s="170">
        <v>0</v>
      </c>
      <c r="J1023" s="170">
        <v>0</v>
      </c>
      <c r="L1023">
        <f t="array" ref="L1023:N1025">SVDD(B1023:D1025)</f>
        <v>3.0498618936832269</v>
      </c>
      <c r="M1023">
        <v>0</v>
      </c>
      <c r="N1023">
        <v>0</v>
      </c>
      <c r="P1023">
        <f t="shared" ref="P1023" si="300">MAX(L1023,M1024,N1025)/MIN(L1023,M1024,N1025)</f>
        <v>17.378066776989606</v>
      </c>
    </row>
    <row r="1024" spans="1:16">
      <c r="A1024" s="170" t="s">
        <v>469</v>
      </c>
      <c r="B1024" s="171">
        <v>-1.3773893306068323</v>
      </c>
      <c r="C1024" s="171">
        <v>-1.5521003879162059</v>
      </c>
      <c r="D1024" s="171">
        <v>0.65590292152571228</v>
      </c>
      <c r="E1024" s="170">
        <v>0</v>
      </c>
      <c r="F1024" s="170">
        <f>-$L$1</f>
        <v>-1.4990492230334603E-2</v>
      </c>
      <c r="G1024" s="171">
        <v>0</v>
      </c>
      <c r="H1024" s="171">
        <v>0</v>
      </c>
      <c r="I1024" s="177">
        <f>-$N$1</f>
        <v>-4.7716218756768064E-3</v>
      </c>
      <c r="J1024" s="170">
        <v>0</v>
      </c>
      <c r="L1024">
        <v>0</v>
      </c>
      <c r="M1024">
        <v>1.6385497510053413</v>
      </c>
      <c r="N1024">
        <v>0</v>
      </c>
    </row>
    <row r="1025" spans="1:16">
      <c r="A1025" s="170"/>
      <c r="B1025" s="171">
        <v>-1.0097006711160386</v>
      </c>
      <c r="C1025" s="171">
        <v>-0.26302086313966178</v>
      </c>
      <c r="D1025" s="171">
        <v>0.76545275918666766</v>
      </c>
      <c r="E1025" s="170">
        <v>0</v>
      </c>
      <c r="F1025" s="171">
        <v>0</v>
      </c>
      <c r="G1025" s="170">
        <f>-$L$1</f>
        <v>-1.4990492230334603E-2</v>
      </c>
      <c r="H1025" s="171">
        <v>0</v>
      </c>
      <c r="I1025" s="171">
        <v>0</v>
      </c>
      <c r="J1025" s="177">
        <f>-$N$1</f>
        <v>-4.7716218756768064E-3</v>
      </c>
      <c r="L1025">
        <v>0</v>
      </c>
      <c r="M1025">
        <v>0</v>
      </c>
      <c r="N1025">
        <v>0.17550064301292512</v>
      </c>
    </row>
    <row r="1026" spans="1:16">
      <c r="A1026" s="170"/>
      <c r="B1026" s="171"/>
      <c r="C1026" s="171"/>
      <c r="D1026" s="171"/>
      <c r="E1026" s="170"/>
      <c r="F1026" s="170"/>
      <c r="G1026" s="170"/>
      <c r="H1026" s="170"/>
      <c r="I1026" s="170"/>
      <c r="J1026" s="170"/>
    </row>
    <row r="1027" spans="1:16">
      <c r="A1027" s="170"/>
      <c r="B1027" s="171">
        <v>2.5457845528396139E-2</v>
      </c>
      <c r="C1027" s="171">
        <v>-2.3667658472617719</v>
      </c>
      <c r="D1027" s="171">
        <v>-6.368425350466822E-2</v>
      </c>
      <c r="E1027" s="170">
        <f>-$L$1</f>
        <v>-1.4990492230334603E-2</v>
      </c>
      <c r="F1027" s="171">
        <v>0</v>
      </c>
      <c r="G1027" s="171">
        <v>0</v>
      </c>
      <c r="H1027" s="177">
        <f>-$N$1</f>
        <v>-4.7716218756768064E-3</v>
      </c>
      <c r="I1027" s="170">
        <v>0</v>
      </c>
      <c r="J1027" s="170">
        <v>0</v>
      </c>
      <c r="L1027">
        <f t="array" ref="L1027:N1029">SVDD(B1027:D1029)</f>
        <v>2.9711250283122634</v>
      </c>
      <c r="M1027">
        <v>0</v>
      </c>
      <c r="N1027">
        <v>0</v>
      </c>
      <c r="P1027">
        <f t="shared" ref="P1027" si="301">MAX(L1027,M1028,N1029)/MIN(L1027,M1028,N1029)</f>
        <v>3.5193506190429562</v>
      </c>
    </row>
    <row r="1028" spans="1:16">
      <c r="A1028" s="170" t="s">
        <v>470</v>
      </c>
      <c r="B1028" s="171">
        <v>-1.3773893306068323</v>
      </c>
      <c r="C1028" s="171">
        <v>-1.5521003879162059</v>
      </c>
      <c r="D1028" s="171">
        <v>0.65590292152571228</v>
      </c>
      <c r="E1028" s="170">
        <v>0</v>
      </c>
      <c r="F1028" s="170">
        <f>-$L$1</f>
        <v>-1.4990492230334603E-2</v>
      </c>
      <c r="G1028" s="171">
        <v>0</v>
      </c>
      <c r="H1028" s="171">
        <v>0</v>
      </c>
      <c r="I1028" s="177">
        <f>-$N$1</f>
        <v>-4.7716218756768064E-3</v>
      </c>
      <c r="J1028" s="170">
        <v>0</v>
      </c>
      <c r="L1028">
        <v>0</v>
      </c>
      <c r="M1028">
        <v>1.3140415789281132</v>
      </c>
      <c r="N1028">
        <v>0</v>
      </c>
    </row>
    <row r="1029" spans="1:16">
      <c r="A1029" s="170"/>
      <c r="B1029" s="171">
        <v>0.60912970227287866</v>
      </c>
      <c r="C1029" s="171">
        <v>-0.28261535739067112</v>
      </c>
      <c r="D1029" s="171">
        <v>0.68802996689194662</v>
      </c>
      <c r="E1029" s="170">
        <v>0</v>
      </c>
      <c r="F1029" s="171">
        <v>0</v>
      </c>
      <c r="G1029" s="170">
        <f>-$L$1</f>
        <v>-1.4990492230334603E-2</v>
      </c>
      <c r="H1029" s="171">
        <v>0</v>
      </c>
      <c r="I1029" s="171">
        <v>0</v>
      </c>
      <c r="J1029" s="177">
        <f>-$N$1</f>
        <v>-4.7716218756768064E-3</v>
      </c>
      <c r="L1029">
        <v>0</v>
      </c>
      <c r="M1029">
        <v>0</v>
      </c>
      <c r="N1029">
        <v>0.84422535573344615</v>
      </c>
    </row>
    <row r="1030" spans="1:16">
      <c r="A1030" s="170"/>
      <c r="B1030" s="171"/>
      <c r="C1030" s="171"/>
      <c r="D1030" s="171"/>
      <c r="E1030" s="170"/>
      <c r="F1030" s="170"/>
      <c r="G1030" s="170"/>
      <c r="H1030" s="170"/>
      <c r="I1030" s="170"/>
      <c r="J1030" s="170"/>
    </row>
    <row r="1031" spans="1:16">
      <c r="A1031" s="170"/>
      <c r="B1031" s="171">
        <v>2.5457845528396139E-2</v>
      </c>
      <c r="C1031" s="171">
        <v>-2.3667658472617719</v>
      </c>
      <c r="D1031" s="171">
        <v>-6.368425350466822E-2</v>
      </c>
      <c r="E1031" s="170">
        <f>-$L$1</f>
        <v>-1.4990492230334603E-2</v>
      </c>
      <c r="F1031" s="171">
        <v>0</v>
      </c>
      <c r="G1031" s="171">
        <v>0</v>
      </c>
      <c r="H1031" s="177">
        <f>-$N$1</f>
        <v>-4.7716218756768064E-3</v>
      </c>
      <c r="I1031" s="170">
        <v>0</v>
      </c>
      <c r="J1031" s="170">
        <v>0</v>
      </c>
      <c r="L1031">
        <f t="array" ref="L1031:N1033">SVDD(B1031:D1033)</f>
        <v>2.8632293721056468</v>
      </c>
      <c r="M1031">
        <v>0</v>
      </c>
      <c r="N1031">
        <v>0</v>
      </c>
      <c r="P1031">
        <f t="shared" ref="P1031" si="302">MAX(L1031,M1032,N1033)/MIN(L1031,M1032,N1033)</f>
        <v>2.9250187817951137</v>
      </c>
    </row>
    <row r="1032" spans="1:16">
      <c r="A1032" s="170" t="s">
        <v>471</v>
      </c>
      <c r="B1032" s="171">
        <v>1.4675604394566215</v>
      </c>
      <c r="C1032" s="171">
        <v>-1.3235781323919831</v>
      </c>
      <c r="D1032" s="171">
        <v>0.72564008456612294</v>
      </c>
      <c r="E1032" s="170">
        <v>0</v>
      </c>
      <c r="F1032" s="170">
        <f>-$L$1</f>
        <v>-1.4990492230334603E-2</v>
      </c>
      <c r="G1032" s="171">
        <v>0</v>
      </c>
      <c r="H1032" s="171">
        <v>0</v>
      </c>
      <c r="I1032" s="177">
        <f>-$N$1</f>
        <v>-4.7716218756768064E-3</v>
      </c>
      <c r="J1032" s="170">
        <v>0</v>
      </c>
      <c r="L1032">
        <v>0</v>
      </c>
      <c r="M1032">
        <v>1.5989822308241957</v>
      </c>
      <c r="N1032">
        <v>0</v>
      </c>
    </row>
    <row r="1033" spans="1:16">
      <c r="A1033" s="170"/>
      <c r="B1033" s="171">
        <v>-1.0097006711160386</v>
      </c>
      <c r="C1033" s="171">
        <v>-0.26302086313966178</v>
      </c>
      <c r="D1033" s="171">
        <v>0.76545275918666766</v>
      </c>
      <c r="E1033" s="170">
        <v>0</v>
      </c>
      <c r="F1033" s="171">
        <v>0</v>
      </c>
      <c r="G1033" s="170">
        <f>-$L$1</f>
        <v>-1.4990492230334603E-2</v>
      </c>
      <c r="H1033" s="171">
        <v>0</v>
      </c>
      <c r="I1033" s="171">
        <v>0</v>
      </c>
      <c r="J1033" s="177">
        <f>-$N$1</f>
        <v>-4.7716218756768064E-3</v>
      </c>
      <c r="L1033">
        <v>0</v>
      </c>
      <c r="M1033">
        <v>0</v>
      </c>
      <c r="N1033">
        <v>0.97887555113353975</v>
      </c>
    </row>
    <row r="1034" spans="1:16">
      <c r="A1034" s="170"/>
      <c r="B1034" s="171"/>
      <c r="C1034" s="171"/>
      <c r="D1034" s="171"/>
      <c r="E1034" s="170"/>
      <c r="F1034" s="170"/>
      <c r="G1034" s="170"/>
      <c r="H1034" s="170"/>
      <c r="I1034" s="170"/>
      <c r="J1034" s="170"/>
    </row>
    <row r="1035" spans="1:16">
      <c r="A1035" s="170"/>
      <c r="B1035" s="171">
        <v>2.5457845528396139E-2</v>
      </c>
      <c r="C1035" s="171">
        <v>-2.3667658472617719</v>
      </c>
      <c r="D1035" s="171">
        <v>-6.368425350466822E-2</v>
      </c>
      <c r="E1035" s="170">
        <f>-$L$1</f>
        <v>-1.4990492230334603E-2</v>
      </c>
      <c r="F1035" s="171">
        <v>0</v>
      </c>
      <c r="G1035" s="171">
        <v>0</v>
      </c>
      <c r="H1035" s="177">
        <f>-$N$1</f>
        <v>-4.7716218756768064E-3</v>
      </c>
      <c r="I1035" s="170">
        <v>0</v>
      </c>
      <c r="J1035" s="170">
        <v>0</v>
      </c>
      <c r="L1035">
        <f t="array" ref="L1035:N1037">SVDD(B1035:D1037)</f>
        <v>2.9238079013395506</v>
      </c>
      <c r="M1035">
        <v>0</v>
      </c>
      <c r="N1035">
        <v>0</v>
      </c>
      <c r="P1035">
        <f t="shared" ref="P1035" si="303">MAX(L1035,M1036,N1037)/MIN(L1035,M1036,N1037)</f>
        <v>10.029851549914012</v>
      </c>
    </row>
    <row r="1036" spans="1:16">
      <c r="A1036" s="170" t="s">
        <v>472</v>
      </c>
      <c r="B1036" s="171">
        <v>1.4675604394566215</v>
      </c>
      <c r="C1036" s="171">
        <v>-1.3235781323919831</v>
      </c>
      <c r="D1036" s="171">
        <v>0.72564008456612294</v>
      </c>
      <c r="E1036" s="170">
        <v>0</v>
      </c>
      <c r="F1036" s="170">
        <f>-$L$1</f>
        <v>-1.4990492230334603E-2</v>
      </c>
      <c r="G1036" s="171">
        <v>0</v>
      </c>
      <c r="H1036" s="171">
        <v>0</v>
      </c>
      <c r="I1036" s="177">
        <f>-$N$1</f>
        <v>-4.7716218756768064E-3</v>
      </c>
      <c r="J1036" s="170">
        <v>0</v>
      </c>
      <c r="L1036">
        <v>0</v>
      </c>
      <c r="M1036">
        <v>1.5261373510620782</v>
      </c>
      <c r="N1036">
        <v>0</v>
      </c>
    </row>
    <row r="1037" spans="1:16">
      <c r="A1037" s="170"/>
      <c r="B1037" s="171">
        <v>0.60912970227287866</v>
      </c>
      <c r="C1037" s="171">
        <v>-0.28261535739067112</v>
      </c>
      <c r="D1037" s="171">
        <v>0.68802996689194662</v>
      </c>
      <c r="E1037" s="170">
        <v>0</v>
      </c>
      <c r="F1037" s="171">
        <v>0</v>
      </c>
      <c r="G1037" s="170">
        <f>-$L$1</f>
        <v>-1.4990492230334603E-2</v>
      </c>
      <c r="H1037" s="171">
        <v>0</v>
      </c>
      <c r="I1037" s="171">
        <v>0</v>
      </c>
      <c r="J1037" s="177">
        <f>-$N$1</f>
        <v>-4.7716218756768064E-3</v>
      </c>
      <c r="L1037">
        <v>0</v>
      </c>
      <c r="M1037">
        <v>0</v>
      </c>
      <c r="N1037">
        <v>0.29151058585354805</v>
      </c>
    </row>
    <row r="1038" spans="1:16">
      <c r="A1038" s="170"/>
      <c r="B1038" s="171"/>
      <c r="C1038" s="171"/>
      <c r="D1038" s="171"/>
      <c r="E1038" s="170"/>
      <c r="F1038" s="170"/>
      <c r="G1038" s="170"/>
      <c r="H1038" s="170"/>
      <c r="I1038" s="170"/>
      <c r="J1038" s="170"/>
    </row>
    <row r="1039" spans="1:16">
      <c r="A1039" s="170"/>
      <c r="B1039" s="171">
        <v>2.5457845528396139E-2</v>
      </c>
      <c r="C1039" s="171">
        <v>-2.3667658472617719</v>
      </c>
      <c r="D1039" s="171">
        <v>-6.368425350466822E-2</v>
      </c>
      <c r="E1039" s="170">
        <f>-$L$1</f>
        <v>-1.4990492230334603E-2</v>
      </c>
      <c r="F1039" s="171">
        <v>0</v>
      </c>
      <c r="G1039" s="171">
        <v>0</v>
      </c>
      <c r="H1039" s="177">
        <f>-$N$1</f>
        <v>-4.7716218756768064E-3</v>
      </c>
      <c r="I1039" s="170">
        <v>0</v>
      </c>
      <c r="J1039" s="170">
        <v>0</v>
      </c>
      <c r="L1039">
        <f t="array" ref="L1039:N1041">SVDD(B1039:D1041)</f>
        <v>2.4008377445984457</v>
      </c>
      <c r="M1039">
        <v>0</v>
      </c>
      <c r="N1039">
        <v>0</v>
      </c>
      <c r="P1039">
        <f t="shared" ref="P1039" si="304">MAX(L1039,M1040,N1041)/MIN(L1039,M1040,N1041)</f>
        <v>2.6374470926098281</v>
      </c>
    </row>
    <row r="1040" spans="1:16">
      <c r="A1040" s="170" t="s">
        <v>473</v>
      </c>
      <c r="B1040" s="171">
        <v>-1.0097006711160386</v>
      </c>
      <c r="C1040" s="171">
        <v>-0.26302086313966178</v>
      </c>
      <c r="D1040" s="171">
        <v>0.76545275918666766</v>
      </c>
      <c r="E1040" s="170">
        <v>0</v>
      </c>
      <c r="F1040" s="170">
        <f>-$L$1</f>
        <v>-1.4990492230334603E-2</v>
      </c>
      <c r="G1040" s="171">
        <v>0</v>
      </c>
      <c r="H1040" s="171">
        <v>0</v>
      </c>
      <c r="I1040" s="177">
        <f>-$N$1</f>
        <v>-4.7716218756768064E-3</v>
      </c>
      <c r="J1040" s="170">
        <v>0</v>
      </c>
      <c r="L1040">
        <v>0</v>
      </c>
      <c r="M1040">
        <v>1.2698528882449782</v>
      </c>
      <c r="N1040">
        <v>0</v>
      </c>
    </row>
    <row r="1041" spans="1:16">
      <c r="A1041" s="170"/>
      <c r="B1041" s="171">
        <v>0.60912970227287866</v>
      </c>
      <c r="C1041" s="171">
        <v>-0.28261535739067112</v>
      </c>
      <c r="D1041" s="171">
        <v>0.68802996689194662</v>
      </c>
      <c r="E1041" s="170">
        <v>0</v>
      </c>
      <c r="F1041" s="171">
        <v>0</v>
      </c>
      <c r="G1041" s="170">
        <f>-$L$1</f>
        <v>-1.4990492230334603E-2</v>
      </c>
      <c r="H1041" s="171">
        <v>0</v>
      </c>
      <c r="I1041" s="171">
        <v>0</v>
      </c>
      <c r="J1041" s="177">
        <f>-$N$1</f>
        <v>-4.7716218756768064E-3</v>
      </c>
      <c r="L1041">
        <v>0</v>
      </c>
      <c r="M1041">
        <v>0</v>
      </c>
      <c r="N1041">
        <v>0.91028849500929665</v>
      </c>
    </row>
    <row r="1042" spans="1:16">
      <c r="A1042" s="170"/>
      <c r="B1042" s="171"/>
      <c r="C1042" s="171"/>
      <c r="D1042" s="171"/>
      <c r="E1042" s="170"/>
      <c r="F1042" s="170"/>
      <c r="G1042" s="170"/>
      <c r="H1042" s="170"/>
      <c r="I1042" s="170"/>
      <c r="J1042" s="170"/>
    </row>
    <row r="1043" spans="1:16">
      <c r="A1043" s="170"/>
      <c r="B1043" s="171">
        <v>-1.2284177840385118</v>
      </c>
      <c r="C1043" s="171">
        <v>-2.3993580133895418</v>
      </c>
      <c r="D1043" s="171">
        <v>0.6756623603325641</v>
      </c>
      <c r="E1043" s="170">
        <f>-$L$1</f>
        <v>-1.4990492230334603E-2</v>
      </c>
      <c r="F1043" s="171">
        <v>0</v>
      </c>
      <c r="G1043" s="171">
        <v>0</v>
      </c>
      <c r="H1043" s="177">
        <f>-$N$1</f>
        <v>-4.7716218756768064E-3</v>
      </c>
      <c r="I1043" s="170">
        <v>0</v>
      </c>
      <c r="J1043" s="170">
        <v>0</v>
      </c>
      <c r="L1043">
        <f t="array" ref="L1043:N1045">SVDD(B1043:D1045)</f>
        <v>3.9942040650318029</v>
      </c>
      <c r="M1043">
        <v>0</v>
      </c>
      <c r="N1043">
        <v>0</v>
      </c>
      <c r="P1043">
        <f t="shared" ref="P1043" si="305">MAX(L1043,M1044,N1045)/MIN(L1043,M1044,N1045)</f>
        <v>25.249585470075854</v>
      </c>
    </row>
    <row r="1044" spans="1:16">
      <c r="A1044" s="170" t="s">
        <v>474</v>
      </c>
      <c r="B1044" s="171">
        <v>1.0673702345396179</v>
      </c>
      <c r="C1044" s="171">
        <v>-2.4075843796929846</v>
      </c>
      <c r="D1044" s="171">
        <v>0.708799578341892</v>
      </c>
      <c r="E1044" s="170">
        <v>0</v>
      </c>
      <c r="F1044" s="170">
        <f>-$L$1</f>
        <v>-1.4990492230334603E-2</v>
      </c>
      <c r="G1044" s="171">
        <v>0</v>
      </c>
      <c r="H1044" s="171">
        <v>0</v>
      </c>
      <c r="I1044" s="177">
        <f>-$N$1</f>
        <v>-4.7716218756768064E-3</v>
      </c>
      <c r="J1044" s="170">
        <v>0</v>
      </c>
      <c r="L1044">
        <v>0</v>
      </c>
      <c r="M1044">
        <v>1.979475471808493</v>
      </c>
      <c r="N1044">
        <v>0</v>
      </c>
    </row>
    <row r="1045" spans="1:16">
      <c r="A1045" s="170"/>
      <c r="B1045" s="171">
        <v>-1.3773893306068323</v>
      </c>
      <c r="C1045" s="171">
        <v>-1.5521003879162059</v>
      </c>
      <c r="D1045" s="171">
        <v>0.65590292152571228</v>
      </c>
      <c r="E1045" s="170">
        <v>0</v>
      </c>
      <c r="F1045" s="171">
        <v>0</v>
      </c>
      <c r="G1045" s="170">
        <f>-$L$1</f>
        <v>-1.4990492230334603E-2</v>
      </c>
      <c r="H1045" s="171">
        <v>0</v>
      </c>
      <c r="I1045" s="171">
        <v>0</v>
      </c>
      <c r="J1045" s="177">
        <f>-$N$1</f>
        <v>-4.7716218756768064E-3</v>
      </c>
      <c r="L1045">
        <v>0</v>
      </c>
      <c r="M1045">
        <v>0</v>
      </c>
      <c r="N1045">
        <v>0.1581888965965588</v>
      </c>
    </row>
    <row r="1046" spans="1:16">
      <c r="A1046" s="170"/>
      <c r="B1046" s="171"/>
      <c r="C1046" s="171"/>
      <c r="D1046" s="171"/>
      <c r="E1046" s="170"/>
      <c r="F1046" s="170"/>
      <c r="G1046" s="170"/>
      <c r="H1046" s="170"/>
      <c r="I1046" s="170"/>
      <c r="J1046" s="170"/>
    </row>
    <row r="1047" spans="1:16">
      <c r="A1047" s="170"/>
      <c r="B1047" s="171">
        <v>-1.2284177840385118</v>
      </c>
      <c r="C1047" s="171">
        <v>-2.3993580133895418</v>
      </c>
      <c r="D1047" s="171">
        <v>0.6756623603325641</v>
      </c>
      <c r="E1047" s="170">
        <f>-$L$1</f>
        <v>-1.4990492230334603E-2</v>
      </c>
      <c r="F1047" s="171">
        <v>0</v>
      </c>
      <c r="G1047" s="171">
        <v>0</v>
      </c>
      <c r="H1047" s="177">
        <f>-$N$1</f>
        <v>-4.7716218756768064E-3</v>
      </c>
      <c r="I1047" s="170">
        <v>0</v>
      </c>
      <c r="J1047" s="170">
        <v>0</v>
      </c>
      <c r="L1047">
        <f t="array" ref="L1047:N1049">SVDD(B1047:D1049)</f>
        <v>3.8746390920736222</v>
      </c>
      <c r="M1047">
        <v>0</v>
      </c>
      <c r="N1047">
        <v>0</v>
      </c>
      <c r="P1047">
        <f t="shared" ref="P1047" si="306">MAX(L1047,M1048,N1049)/MIN(L1047,M1048,N1049)</f>
        <v>17.866956947533616</v>
      </c>
    </row>
    <row r="1048" spans="1:16">
      <c r="A1048" s="170" t="s">
        <v>475</v>
      </c>
      <c r="B1048" s="171">
        <v>1.0673702345396179</v>
      </c>
      <c r="C1048" s="171">
        <v>-2.4075843796929846</v>
      </c>
      <c r="D1048" s="171">
        <v>0.708799578341892</v>
      </c>
      <c r="E1048" s="170">
        <v>0</v>
      </c>
      <c r="F1048" s="170">
        <f>-$L$1</f>
        <v>-1.4990492230334603E-2</v>
      </c>
      <c r="G1048" s="171">
        <v>0</v>
      </c>
      <c r="H1048" s="171">
        <v>0</v>
      </c>
      <c r="I1048" s="177">
        <f>-$N$1</f>
        <v>-4.7716218756768064E-3</v>
      </c>
      <c r="J1048" s="170">
        <v>0</v>
      </c>
      <c r="L1048">
        <v>0</v>
      </c>
      <c r="M1048">
        <v>2.1290554223511631</v>
      </c>
      <c r="N1048">
        <v>0</v>
      </c>
    </row>
    <row r="1049" spans="1:16">
      <c r="A1049" s="170"/>
      <c r="B1049" s="171">
        <v>1.4675604394566215</v>
      </c>
      <c r="C1049" s="171">
        <v>-1.3235781323919831</v>
      </c>
      <c r="D1049" s="171">
        <v>0.72564008456612294</v>
      </c>
      <c r="E1049" s="170">
        <v>0</v>
      </c>
      <c r="F1049" s="171">
        <v>0</v>
      </c>
      <c r="G1049" s="170">
        <f>-$L$1</f>
        <v>-1.4990492230334603E-2</v>
      </c>
      <c r="H1049" s="171">
        <v>0</v>
      </c>
      <c r="I1049" s="171">
        <v>0</v>
      </c>
      <c r="J1049" s="177">
        <f>-$N$1</f>
        <v>-4.7716218756768064E-3</v>
      </c>
      <c r="L1049">
        <v>0</v>
      </c>
      <c r="M1049">
        <v>0</v>
      </c>
      <c r="N1049">
        <v>0.21686060493969475</v>
      </c>
    </row>
    <row r="1050" spans="1:16">
      <c r="A1050" s="170"/>
      <c r="B1050" s="171"/>
      <c r="C1050" s="171"/>
      <c r="D1050" s="171"/>
      <c r="E1050" s="170"/>
      <c r="F1050" s="170"/>
      <c r="G1050" s="170"/>
      <c r="H1050" s="170"/>
      <c r="I1050" s="170"/>
      <c r="J1050" s="170"/>
    </row>
    <row r="1051" spans="1:16">
      <c r="A1051" s="170"/>
      <c r="B1051" s="171">
        <v>-1.2284177840385118</v>
      </c>
      <c r="C1051" s="171">
        <v>-2.3993580133895418</v>
      </c>
      <c r="D1051" s="171">
        <v>0.6756623603325641</v>
      </c>
      <c r="E1051" s="170">
        <f>-$L$1</f>
        <v>-1.4990492230334603E-2</v>
      </c>
      <c r="F1051" s="171">
        <v>0</v>
      </c>
      <c r="G1051" s="171">
        <v>0</v>
      </c>
      <c r="H1051" s="177">
        <f>-$N$1</f>
        <v>-4.7716218756768064E-3</v>
      </c>
      <c r="I1051" s="170">
        <v>0</v>
      </c>
      <c r="J1051" s="170">
        <v>0</v>
      </c>
      <c r="L1051">
        <f t="array" ref="L1051:N1053">SVDD(B1051:D1053)</f>
        <v>3.5802288939633073</v>
      </c>
      <c r="M1051">
        <v>0</v>
      </c>
      <c r="N1051">
        <v>0</v>
      </c>
      <c r="P1051">
        <f t="shared" ref="P1051" si="307">MAX(L1051,M1052,N1053)/MIN(L1051,M1052,N1053)</f>
        <v>6.3541258749953187</v>
      </c>
    </row>
    <row r="1052" spans="1:16">
      <c r="A1052" s="170" t="s">
        <v>476</v>
      </c>
      <c r="B1052" s="171">
        <v>1.0673702345396179</v>
      </c>
      <c r="C1052" s="171">
        <v>-2.4075843796929846</v>
      </c>
      <c r="D1052" s="171">
        <v>0.708799578341892</v>
      </c>
      <c r="E1052" s="170">
        <v>0</v>
      </c>
      <c r="F1052" s="170">
        <f>-$L$1</f>
        <v>-1.4990492230334603E-2</v>
      </c>
      <c r="G1052" s="171">
        <v>0</v>
      </c>
      <c r="H1052" s="171">
        <v>0</v>
      </c>
      <c r="I1052" s="177">
        <f>-$N$1</f>
        <v>-4.7716218756768064E-3</v>
      </c>
      <c r="J1052" s="170">
        <v>0</v>
      </c>
      <c r="L1052">
        <v>0</v>
      </c>
      <c r="M1052">
        <v>1.9234517046475874</v>
      </c>
      <c r="N1052">
        <v>0</v>
      </c>
    </row>
    <row r="1053" spans="1:16">
      <c r="A1053" s="170"/>
      <c r="B1053" s="171">
        <v>-1.0097006711160386</v>
      </c>
      <c r="C1053" s="171">
        <v>-0.26302086313966178</v>
      </c>
      <c r="D1053" s="171">
        <v>0.76545275918666766</v>
      </c>
      <c r="E1053" s="170">
        <v>0</v>
      </c>
      <c r="F1053" s="171">
        <v>0</v>
      </c>
      <c r="G1053" s="170">
        <f>-$L$1</f>
        <v>-1.4990492230334603E-2</v>
      </c>
      <c r="H1053" s="171">
        <v>0</v>
      </c>
      <c r="I1053" s="171">
        <v>0</v>
      </c>
      <c r="J1053" s="177">
        <f>-$N$1</f>
        <v>-4.7716218756768064E-3</v>
      </c>
      <c r="L1053">
        <v>0</v>
      </c>
      <c r="M1053">
        <v>0</v>
      </c>
      <c r="N1053">
        <v>0.56344947588340699</v>
      </c>
    </row>
    <row r="1054" spans="1:16">
      <c r="A1054" s="170"/>
      <c r="B1054" s="171"/>
      <c r="C1054" s="171"/>
      <c r="D1054" s="171"/>
      <c r="E1054" s="170"/>
      <c r="F1054" s="170"/>
      <c r="G1054" s="170"/>
      <c r="H1054" s="170"/>
      <c r="I1054" s="170"/>
      <c r="J1054" s="170"/>
    </row>
    <row r="1055" spans="1:16">
      <c r="A1055" s="170"/>
      <c r="B1055" s="171">
        <v>-1.2284177840385118</v>
      </c>
      <c r="C1055" s="171">
        <v>-2.3993580133895418</v>
      </c>
      <c r="D1055" s="171">
        <v>0.6756623603325641</v>
      </c>
      <c r="E1055" s="170">
        <f>-$L$1</f>
        <v>-1.4990492230334603E-2</v>
      </c>
      <c r="F1055" s="171">
        <v>0</v>
      </c>
      <c r="G1055" s="171">
        <v>0</v>
      </c>
      <c r="H1055" s="177">
        <f>-$N$1</f>
        <v>-4.7716218756768064E-3</v>
      </c>
      <c r="I1055" s="170">
        <v>0</v>
      </c>
      <c r="J1055" s="170">
        <v>0</v>
      </c>
      <c r="L1055">
        <f t="array" ref="L1055:N1057">SVDD(B1055:D1057)</f>
        <v>3.5682017854896069</v>
      </c>
      <c r="M1055">
        <v>0</v>
      </c>
      <c r="N1055">
        <v>0</v>
      </c>
      <c r="P1055">
        <f t="shared" ref="P1055" si="308">MAX(L1055,M1056,N1057)/MIN(L1055,M1056,N1057)</f>
        <v>6.7607681639683301</v>
      </c>
    </row>
    <row r="1056" spans="1:16">
      <c r="A1056" s="170" t="s">
        <v>477</v>
      </c>
      <c r="B1056" s="171">
        <v>1.0673702345396179</v>
      </c>
      <c r="C1056" s="171">
        <v>-2.4075843796929846</v>
      </c>
      <c r="D1056" s="171">
        <v>0.708799578341892</v>
      </c>
      <c r="E1056" s="170">
        <v>0</v>
      </c>
      <c r="F1056" s="170">
        <f>-$L$1</f>
        <v>-1.4990492230334603E-2</v>
      </c>
      <c r="G1056" s="171">
        <v>0</v>
      </c>
      <c r="H1056" s="171">
        <v>0</v>
      </c>
      <c r="I1056" s="177">
        <f>-$N$1</f>
        <v>-4.7716218756768064E-3</v>
      </c>
      <c r="J1056" s="170">
        <v>0</v>
      </c>
      <c r="L1056">
        <v>0</v>
      </c>
      <c r="M1056">
        <v>1.7533587088411988</v>
      </c>
      <c r="N1056">
        <v>0</v>
      </c>
    </row>
    <row r="1057" spans="1:16">
      <c r="A1057" s="170"/>
      <c r="B1057" s="171">
        <v>0.60912970227287866</v>
      </c>
      <c r="C1057" s="171">
        <v>-0.28261535739067112</v>
      </c>
      <c r="D1057" s="171">
        <v>0.68802996689194662</v>
      </c>
      <c r="E1057" s="170">
        <v>0</v>
      </c>
      <c r="F1057" s="171">
        <v>0</v>
      </c>
      <c r="G1057" s="170">
        <f>-$L$1</f>
        <v>-1.4990492230334603E-2</v>
      </c>
      <c r="H1057" s="171">
        <v>0</v>
      </c>
      <c r="I1057" s="171">
        <v>0</v>
      </c>
      <c r="J1057" s="177">
        <f>-$N$1</f>
        <v>-4.7716218756768064E-3</v>
      </c>
      <c r="L1057">
        <v>0</v>
      </c>
      <c r="M1057">
        <v>0</v>
      </c>
      <c r="N1057">
        <v>0.52778052714577917</v>
      </c>
    </row>
    <row r="1058" spans="1:16">
      <c r="A1058" s="170"/>
      <c r="B1058" s="171"/>
      <c r="C1058" s="171"/>
      <c r="D1058" s="171"/>
      <c r="E1058" s="170"/>
      <c r="F1058" s="170"/>
      <c r="G1058" s="170"/>
      <c r="H1058" s="170"/>
      <c r="I1058" s="170"/>
      <c r="J1058" s="170"/>
    </row>
    <row r="1059" spans="1:16">
      <c r="A1059" s="170"/>
      <c r="B1059" s="171">
        <v>-1.2284177840385118</v>
      </c>
      <c r="C1059" s="171">
        <v>-2.3993580133895418</v>
      </c>
      <c r="D1059" s="171">
        <v>0.6756623603325641</v>
      </c>
      <c r="E1059" s="170">
        <f>-$L$1</f>
        <v>-1.4990492230334603E-2</v>
      </c>
      <c r="F1059" s="171">
        <v>0</v>
      </c>
      <c r="G1059" s="171">
        <v>0</v>
      </c>
      <c r="H1059" s="177">
        <f>-$N$1</f>
        <v>-4.7716218756768064E-3</v>
      </c>
      <c r="I1059" s="170">
        <v>0</v>
      </c>
      <c r="J1059" s="170">
        <v>0</v>
      </c>
      <c r="L1059">
        <f t="array" ref="L1059:N1061">SVDD(B1059:D1061)</f>
        <v>3.5587005063271553</v>
      </c>
      <c r="M1059">
        <v>0</v>
      </c>
      <c r="N1059">
        <v>0</v>
      </c>
      <c r="P1059">
        <f t="shared" ref="P1059" si="309">MAX(L1059,M1060,N1061)/MIN(L1059,M1060,N1061)</f>
        <v>15.979311741978162</v>
      </c>
    </row>
    <row r="1060" spans="1:16">
      <c r="A1060" s="170" t="s">
        <v>478</v>
      </c>
      <c r="B1060" s="171">
        <v>-1.3773893306068323</v>
      </c>
      <c r="C1060" s="171">
        <v>-1.5521003879162059</v>
      </c>
      <c r="D1060" s="171">
        <v>0.65590292152571228</v>
      </c>
      <c r="E1060" s="170">
        <v>0</v>
      </c>
      <c r="F1060" s="170">
        <f>-$L$1</f>
        <v>-1.4990492230334603E-2</v>
      </c>
      <c r="G1060" s="171">
        <v>0</v>
      </c>
      <c r="H1060" s="171">
        <v>0</v>
      </c>
      <c r="I1060" s="177">
        <f>-$N$1</f>
        <v>-4.7716218756768064E-3</v>
      </c>
      <c r="J1060" s="170">
        <v>0</v>
      </c>
      <c r="L1060">
        <v>0</v>
      </c>
      <c r="M1060">
        <v>2.0437888928996366</v>
      </c>
      <c r="N1060">
        <v>0</v>
      </c>
    </row>
    <row r="1061" spans="1:16">
      <c r="A1061" s="170"/>
      <c r="B1061" s="171">
        <v>1.4675604394566215</v>
      </c>
      <c r="C1061" s="171">
        <v>-1.3235781323919831</v>
      </c>
      <c r="D1061" s="171">
        <v>0.72564008456612294</v>
      </c>
      <c r="E1061" s="170">
        <v>0</v>
      </c>
      <c r="F1061" s="171">
        <v>0</v>
      </c>
      <c r="G1061" s="170">
        <f>-$L$1</f>
        <v>-1.4990492230334603E-2</v>
      </c>
      <c r="H1061" s="171">
        <v>0</v>
      </c>
      <c r="I1061" s="171">
        <v>0</v>
      </c>
      <c r="J1061" s="177">
        <f>-$N$1</f>
        <v>-4.7716218756768064E-3</v>
      </c>
      <c r="L1061">
        <v>0</v>
      </c>
      <c r="M1061">
        <v>0</v>
      </c>
      <c r="N1061">
        <v>0.22270674505825777</v>
      </c>
    </row>
    <row r="1062" spans="1:16">
      <c r="A1062" s="170"/>
      <c r="B1062" s="171"/>
      <c r="C1062" s="171"/>
      <c r="D1062" s="171"/>
      <c r="E1062" s="170"/>
      <c r="F1062" s="170"/>
      <c r="G1062" s="170"/>
      <c r="H1062" s="170"/>
      <c r="I1062" s="170"/>
      <c r="J1062" s="170"/>
    </row>
    <row r="1063" spans="1:16">
      <c r="A1063" s="170"/>
      <c r="B1063" s="171">
        <v>-1.2284177840385118</v>
      </c>
      <c r="C1063" s="171">
        <v>-2.3993580133895418</v>
      </c>
      <c r="D1063" s="171">
        <v>0.6756623603325641</v>
      </c>
      <c r="E1063" s="170">
        <f>-$L$1</f>
        <v>-1.4990492230334603E-2</v>
      </c>
      <c r="F1063" s="171">
        <v>0</v>
      </c>
      <c r="G1063" s="171">
        <v>0</v>
      </c>
      <c r="H1063" s="177">
        <f>-$N$1</f>
        <v>-4.7716218756768064E-3</v>
      </c>
      <c r="I1063" s="170">
        <v>0</v>
      </c>
      <c r="J1063" s="170">
        <v>0</v>
      </c>
      <c r="L1063">
        <f t="array" ref="L1063:N1065">SVDD(B1063:D1065)</f>
        <v>3.6357742154824866</v>
      </c>
      <c r="M1063">
        <v>0</v>
      </c>
      <c r="N1063">
        <v>0</v>
      </c>
      <c r="P1063">
        <f t="shared" ref="P1063" si="310">MAX(L1063,M1064,N1065)/MIN(L1063,M1064,N1065)</f>
        <v>24.622553140187737</v>
      </c>
    </row>
    <row r="1064" spans="1:16">
      <c r="A1064" s="170" t="s">
        <v>479</v>
      </c>
      <c r="B1064" s="171">
        <v>-1.3773893306068323</v>
      </c>
      <c r="C1064" s="171">
        <v>-1.5521003879162059</v>
      </c>
      <c r="D1064" s="171">
        <v>0.65590292152571228</v>
      </c>
      <c r="E1064" s="170">
        <v>0</v>
      </c>
      <c r="F1064" s="170">
        <f>-$L$1</f>
        <v>-1.4990492230334603E-2</v>
      </c>
      <c r="G1064" s="171">
        <v>0</v>
      </c>
      <c r="H1064" s="171">
        <v>0</v>
      </c>
      <c r="I1064" s="177">
        <f>-$N$1</f>
        <v>-4.7716218756768064E-3</v>
      </c>
      <c r="J1064" s="170">
        <v>0</v>
      </c>
      <c r="L1064">
        <v>0</v>
      </c>
      <c r="M1064">
        <v>0.94488624020854128</v>
      </c>
      <c r="N1064">
        <v>0</v>
      </c>
    </row>
    <row r="1065" spans="1:16">
      <c r="A1065" s="170"/>
      <c r="B1065" s="171">
        <v>-1.0097006711160386</v>
      </c>
      <c r="C1065" s="171">
        <v>-0.26302086313966178</v>
      </c>
      <c r="D1065" s="171">
        <v>0.76545275918666766</v>
      </c>
      <c r="E1065" s="170">
        <v>0</v>
      </c>
      <c r="F1065" s="171">
        <v>0</v>
      </c>
      <c r="G1065" s="170">
        <f>-$L$1</f>
        <v>-1.4990492230334603E-2</v>
      </c>
      <c r="H1065" s="171">
        <v>0</v>
      </c>
      <c r="I1065" s="171">
        <v>0</v>
      </c>
      <c r="J1065" s="177">
        <f>-$N$1</f>
        <v>-4.7716218756768064E-3</v>
      </c>
      <c r="L1065">
        <v>0</v>
      </c>
      <c r="M1065">
        <v>0</v>
      </c>
      <c r="N1065">
        <v>0.14766032566900433</v>
      </c>
    </row>
    <row r="1066" spans="1:16">
      <c r="A1066" s="170"/>
      <c r="B1066" s="171"/>
      <c r="C1066" s="171"/>
      <c r="D1066" s="171"/>
      <c r="E1066" s="170"/>
      <c r="F1066" s="170"/>
      <c r="G1066" s="170"/>
      <c r="H1066" s="170"/>
      <c r="I1066" s="170"/>
      <c r="J1066" s="170"/>
    </row>
    <row r="1067" spans="1:16">
      <c r="A1067" s="170"/>
      <c r="B1067" s="171">
        <v>-1.2284177840385118</v>
      </c>
      <c r="C1067" s="171">
        <v>-2.3993580133895418</v>
      </c>
      <c r="D1067" s="171">
        <v>0.6756623603325641</v>
      </c>
      <c r="E1067" s="170">
        <f>-$L$1</f>
        <v>-1.4990492230334603E-2</v>
      </c>
      <c r="F1067" s="171">
        <v>0</v>
      </c>
      <c r="G1067" s="171">
        <v>0</v>
      </c>
      <c r="H1067" s="177">
        <f>-$N$1</f>
        <v>-4.7716218756768064E-3</v>
      </c>
      <c r="I1067" s="170">
        <v>0</v>
      </c>
      <c r="J1067" s="170">
        <v>0</v>
      </c>
      <c r="L1067">
        <f t="array" ref="L1067:N1069">SVDD(B1067:D1069)</f>
        <v>3.5051734226819606</v>
      </c>
      <c r="M1067">
        <v>0</v>
      </c>
      <c r="N1067">
        <v>0</v>
      </c>
      <c r="P1067">
        <f t="shared" ref="P1067" si="311">MAX(L1067,M1068,N1069)/MIN(L1067,M1068,N1069)</f>
        <v>9.6873396835531249</v>
      </c>
    </row>
    <row r="1068" spans="1:16">
      <c r="A1068" s="170" t="s">
        <v>480</v>
      </c>
      <c r="B1068" s="171">
        <v>-1.3773893306068323</v>
      </c>
      <c r="C1068" s="171">
        <v>-1.5521003879162059</v>
      </c>
      <c r="D1068" s="171">
        <v>0.65590292152571228</v>
      </c>
      <c r="E1068" s="170">
        <v>0</v>
      </c>
      <c r="F1068" s="170">
        <f>-$L$1</f>
        <v>-1.4990492230334603E-2</v>
      </c>
      <c r="G1068" s="171">
        <v>0</v>
      </c>
      <c r="H1068" s="171">
        <v>0</v>
      </c>
      <c r="I1068" s="177">
        <f>-$N$1</f>
        <v>-4.7716218756768064E-3</v>
      </c>
      <c r="J1068" s="170">
        <v>0</v>
      </c>
      <c r="L1068">
        <v>0</v>
      </c>
      <c r="M1068">
        <v>0.98285712559650795</v>
      </c>
      <c r="N1068">
        <v>0</v>
      </c>
    </row>
    <row r="1069" spans="1:16">
      <c r="A1069" s="170"/>
      <c r="B1069" s="171">
        <v>0.60912970227287866</v>
      </c>
      <c r="C1069" s="171">
        <v>-0.28261535739067112</v>
      </c>
      <c r="D1069" s="171">
        <v>0.68802996689194662</v>
      </c>
      <c r="E1069" s="170">
        <v>0</v>
      </c>
      <c r="F1069" s="171">
        <v>0</v>
      </c>
      <c r="G1069" s="170">
        <f>-$L$1</f>
        <v>-1.4990492230334603E-2</v>
      </c>
      <c r="H1069" s="171">
        <v>0</v>
      </c>
      <c r="I1069" s="171">
        <v>0</v>
      </c>
      <c r="J1069" s="177">
        <f>-$N$1</f>
        <v>-4.7716218756768064E-3</v>
      </c>
      <c r="L1069">
        <v>0</v>
      </c>
      <c r="M1069">
        <v>0</v>
      </c>
      <c r="N1069">
        <v>0.36183034116507123</v>
      </c>
    </row>
    <row r="1070" spans="1:16">
      <c r="A1070" s="170"/>
      <c r="B1070" s="171"/>
      <c r="C1070" s="171"/>
      <c r="D1070" s="171"/>
      <c r="E1070" s="170"/>
      <c r="F1070" s="170"/>
      <c r="G1070" s="170"/>
      <c r="H1070" s="170"/>
      <c r="I1070" s="170"/>
      <c r="J1070" s="170"/>
    </row>
    <row r="1071" spans="1:16">
      <c r="A1071" s="170"/>
      <c r="B1071" s="171">
        <v>-1.2284177840385118</v>
      </c>
      <c r="C1071" s="171">
        <v>-2.3993580133895418</v>
      </c>
      <c r="D1071" s="171">
        <v>0.6756623603325641</v>
      </c>
      <c r="E1071" s="170">
        <f>-$L$1</f>
        <v>-1.4990492230334603E-2</v>
      </c>
      <c r="F1071" s="171">
        <v>0</v>
      </c>
      <c r="G1071" s="171">
        <v>0</v>
      </c>
      <c r="H1071" s="177">
        <f>-$N$1</f>
        <v>-4.7716218756768064E-3</v>
      </c>
      <c r="I1071" s="170">
        <v>0</v>
      </c>
      <c r="J1071" s="170">
        <v>0</v>
      </c>
      <c r="L1071">
        <f t="array" ref="L1071:N1073">SVDD(B1071:D1073)</f>
        <v>3.016531981625759</v>
      </c>
      <c r="M1071">
        <v>0</v>
      </c>
      <c r="N1071">
        <v>0</v>
      </c>
      <c r="P1071">
        <f t="shared" ref="P1071" si="312">MAX(L1071,M1072,N1073)/MIN(L1071,M1072,N1073)</f>
        <v>4.3639483646416055</v>
      </c>
    </row>
    <row r="1072" spans="1:16">
      <c r="A1072" s="170" t="s">
        <v>481</v>
      </c>
      <c r="B1072" s="171">
        <v>1.4675604394566215</v>
      </c>
      <c r="C1072" s="171">
        <v>-1.3235781323919831</v>
      </c>
      <c r="D1072" s="171">
        <v>0.72564008456612294</v>
      </c>
      <c r="E1072" s="170">
        <v>0</v>
      </c>
      <c r="F1072" s="170">
        <f>-$L$1</f>
        <v>-1.4990492230334603E-2</v>
      </c>
      <c r="G1072" s="171">
        <v>0</v>
      </c>
      <c r="H1072" s="171">
        <v>0</v>
      </c>
      <c r="I1072" s="177">
        <f>-$N$1</f>
        <v>-4.7716218756768064E-3</v>
      </c>
      <c r="J1072" s="170">
        <v>0</v>
      </c>
      <c r="L1072">
        <v>0</v>
      </c>
      <c r="M1072">
        <v>2.0620163874782311</v>
      </c>
      <c r="N1072">
        <v>0</v>
      </c>
    </row>
    <row r="1073" spans="1:16">
      <c r="A1073" s="170"/>
      <c r="B1073" s="171">
        <v>-1.0097006711160386</v>
      </c>
      <c r="C1073" s="171">
        <v>-0.26302086313966178</v>
      </c>
      <c r="D1073" s="171">
        <v>0.76545275918666766</v>
      </c>
      <c r="E1073" s="170">
        <v>0</v>
      </c>
      <c r="F1073" s="171">
        <v>0</v>
      </c>
      <c r="G1073" s="170">
        <f>-$L$1</f>
        <v>-1.4990492230334603E-2</v>
      </c>
      <c r="H1073" s="171">
        <v>0</v>
      </c>
      <c r="I1073" s="171">
        <v>0</v>
      </c>
      <c r="J1073" s="177">
        <f>-$N$1</f>
        <v>-4.7716218756768064E-3</v>
      </c>
      <c r="L1073">
        <v>0</v>
      </c>
      <c r="M1073">
        <v>0</v>
      </c>
      <c r="N1073">
        <v>0.69123915536372194</v>
      </c>
    </row>
    <row r="1074" spans="1:16">
      <c r="A1074" s="170"/>
      <c r="B1074" s="171"/>
      <c r="C1074" s="171"/>
      <c r="D1074" s="171"/>
      <c r="E1074" s="170"/>
      <c r="F1074" s="170"/>
      <c r="G1074" s="170"/>
      <c r="H1074" s="170"/>
      <c r="I1074" s="170"/>
      <c r="J1074" s="170"/>
    </row>
    <row r="1075" spans="1:16">
      <c r="A1075" s="170"/>
      <c r="B1075" s="171">
        <v>-1.2284177840385118</v>
      </c>
      <c r="C1075" s="171">
        <v>-2.3993580133895418</v>
      </c>
      <c r="D1075" s="171">
        <v>0.6756623603325641</v>
      </c>
      <c r="E1075" s="170">
        <f>-$L$1</f>
        <v>-1.4990492230334603E-2</v>
      </c>
      <c r="F1075" s="171">
        <v>0</v>
      </c>
      <c r="G1075" s="171">
        <v>0</v>
      </c>
      <c r="H1075" s="177">
        <f>-$N$1</f>
        <v>-4.7716218756768064E-3</v>
      </c>
      <c r="I1075" s="170">
        <v>0</v>
      </c>
      <c r="J1075" s="170">
        <v>0</v>
      </c>
      <c r="L1075">
        <f t="array" ref="L1075:N1077">SVDD(B1075:D1077)</f>
        <v>2.9534114012954329</v>
      </c>
      <c r="M1075">
        <v>0</v>
      </c>
      <c r="N1075">
        <v>0</v>
      </c>
      <c r="P1075">
        <f t="shared" ref="P1075" si="313">MAX(L1075,M1076,N1077)/MIN(L1075,M1076,N1077)</f>
        <v>7.1573490093416128</v>
      </c>
    </row>
    <row r="1076" spans="1:16">
      <c r="A1076" s="170" t="s">
        <v>482</v>
      </c>
      <c r="B1076" s="171">
        <v>1.4675604394566215</v>
      </c>
      <c r="C1076" s="171">
        <v>-1.3235781323919831</v>
      </c>
      <c r="D1076" s="171">
        <v>0.72564008456612294</v>
      </c>
      <c r="E1076" s="170">
        <v>0</v>
      </c>
      <c r="F1076" s="170">
        <f>-$L$1</f>
        <v>-1.4990492230334603E-2</v>
      </c>
      <c r="G1076" s="171">
        <v>0</v>
      </c>
      <c r="H1076" s="171">
        <v>0</v>
      </c>
      <c r="I1076" s="177">
        <f>-$N$1</f>
        <v>-4.7716218756768064E-3</v>
      </c>
      <c r="J1076" s="170">
        <v>0</v>
      </c>
      <c r="L1076">
        <v>0</v>
      </c>
      <c r="M1076">
        <v>2.0459666815076392</v>
      </c>
      <c r="N1076">
        <v>0</v>
      </c>
    </row>
    <row r="1077" spans="1:16">
      <c r="A1077" s="170"/>
      <c r="B1077" s="171">
        <v>0.60912970227287866</v>
      </c>
      <c r="C1077" s="171">
        <v>-0.28261535739067112</v>
      </c>
      <c r="D1077" s="171">
        <v>0.68802996689194662</v>
      </c>
      <c r="E1077" s="170">
        <v>0</v>
      </c>
      <c r="F1077" s="171">
        <v>0</v>
      </c>
      <c r="G1077" s="170">
        <f>-$L$1</f>
        <v>-1.4990492230334603E-2</v>
      </c>
      <c r="H1077" s="171">
        <v>0</v>
      </c>
      <c r="I1077" s="171">
        <v>0</v>
      </c>
      <c r="J1077" s="177">
        <f>-$N$1</f>
        <v>-4.7716218756768064E-3</v>
      </c>
      <c r="L1077">
        <v>0</v>
      </c>
      <c r="M1077">
        <v>0</v>
      </c>
      <c r="N1077">
        <v>0.41264040602752583</v>
      </c>
    </row>
    <row r="1078" spans="1:16">
      <c r="A1078" s="170"/>
      <c r="B1078" s="171"/>
      <c r="C1078" s="171"/>
      <c r="D1078" s="171"/>
      <c r="E1078" s="170"/>
      <c r="F1078" s="170"/>
      <c r="G1078" s="170"/>
      <c r="H1078" s="170"/>
      <c r="I1078" s="170"/>
      <c r="J1078" s="170"/>
    </row>
    <row r="1079" spans="1:16">
      <c r="A1079" s="170"/>
      <c r="B1079" s="171">
        <v>-1.2284177840385118</v>
      </c>
      <c r="C1079" s="171">
        <v>-2.3993580133895418</v>
      </c>
      <c r="D1079" s="171">
        <v>0.6756623603325641</v>
      </c>
      <c r="E1079" s="170">
        <f>-$L$1</f>
        <v>-1.4990492230334603E-2</v>
      </c>
      <c r="F1079" s="171">
        <v>0</v>
      </c>
      <c r="G1079" s="171">
        <v>0</v>
      </c>
      <c r="H1079" s="177">
        <f>-$N$1</f>
        <v>-4.7716218756768064E-3</v>
      </c>
      <c r="I1079" s="170">
        <v>0</v>
      </c>
      <c r="J1079" s="170">
        <v>0</v>
      </c>
      <c r="L1079">
        <f t="array" ref="L1079:N1081">SVDD(B1079:D1081)</f>
        <v>2.927418171241388</v>
      </c>
      <c r="M1079">
        <v>0</v>
      </c>
      <c r="N1079">
        <v>0</v>
      </c>
      <c r="P1079">
        <f t="shared" ref="P1079" si="314">MAX(L1079,M1080,N1081)/MIN(L1079,M1080,N1081)</f>
        <v>3.4265372448109996</v>
      </c>
    </row>
    <row r="1080" spans="1:16">
      <c r="A1080" s="170" t="s">
        <v>483</v>
      </c>
      <c r="B1080" s="171">
        <v>-1.0097006711160386</v>
      </c>
      <c r="C1080" s="171">
        <v>-0.26302086313966178</v>
      </c>
      <c r="D1080" s="171">
        <v>0.76545275918666766</v>
      </c>
      <c r="E1080" s="170">
        <v>0</v>
      </c>
      <c r="F1080" s="170">
        <f>-$L$1</f>
        <v>-1.4990492230334603E-2</v>
      </c>
      <c r="G1080" s="171">
        <v>0</v>
      </c>
      <c r="H1080" s="171">
        <v>0</v>
      </c>
      <c r="I1080" s="177">
        <f>-$N$1</f>
        <v>-4.7716218756768064E-3</v>
      </c>
      <c r="J1080" s="170">
        <v>0</v>
      </c>
      <c r="L1080">
        <v>0</v>
      </c>
      <c r="M1080">
        <v>1.0107762369231874</v>
      </c>
      <c r="N1080">
        <v>0</v>
      </c>
    </row>
    <row r="1081" spans="1:16">
      <c r="A1081" s="170"/>
      <c r="B1081" s="171">
        <v>0.60912970227287866</v>
      </c>
      <c r="C1081" s="171">
        <v>-0.28261535739067112</v>
      </c>
      <c r="D1081" s="171">
        <v>0.68802996689194662</v>
      </c>
      <c r="E1081" s="170">
        <v>0</v>
      </c>
      <c r="F1081" s="171">
        <v>0</v>
      </c>
      <c r="G1081" s="170">
        <f>-$L$1</f>
        <v>-1.4990492230334603E-2</v>
      </c>
      <c r="H1081" s="171">
        <v>0</v>
      </c>
      <c r="I1081" s="171">
        <v>0</v>
      </c>
      <c r="J1081" s="177">
        <f>-$N$1</f>
        <v>-4.7716218756768064E-3</v>
      </c>
      <c r="L1081">
        <v>0</v>
      </c>
      <c r="M1081">
        <v>0</v>
      </c>
      <c r="N1081">
        <v>0.85433718126792402</v>
      </c>
    </row>
    <row r="1082" spans="1:16">
      <c r="A1082" s="170"/>
      <c r="B1082" s="171"/>
      <c r="C1082" s="171"/>
      <c r="D1082" s="171"/>
      <c r="E1082" s="170"/>
      <c r="F1082" s="170"/>
      <c r="G1082" s="170"/>
      <c r="H1082" s="170"/>
      <c r="I1082" s="170"/>
      <c r="J1082" s="170"/>
    </row>
    <row r="1083" spans="1:16">
      <c r="A1083" s="170"/>
      <c r="B1083" s="171">
        <v>1.0673702345396179</v>
      </c>
      <c r="C1083" s="171">
        <v>-2.4075843796929846</v>
      </c>
      <c r="D1083" s="171">
        <v>0.708799578341892</v>
      </c>
      <c r="E1083" s="170">
        <f>-$L$1</f>
        <v>-1.4990492230334603E-2</v>
      </c>
      <c r="F1083" s="171">
        <v>0</v>
      </c>
      <c r="G1083" s="171">
        <v>0</v>
      </c>
      <c r="H1083" s="177">
        <f>-$N$1</f>
        <v>-4.7716218756768064E-3</v>
      </c>
      <c r="I1083" s="170">
        <v>0</v>
      </c>
      <c r="J1083" s="170">
        <v>0</v>
      </c>
      <c r="L1083">
        <f t="array" ref="L1083:N1085">SVDD(B1083:D1085)</f>
        <v>3.5000570370775606</v>
      </c>
      <c r="M1083">
        <v>0</v>
      </c>
      <c r="N1083">
        <v>0</v>
      </c>
      <c r="P1083">
        <f t="shared" ref="P1083" si="315">MAX(L1083,M1084,N1085)/MIN(L1083,M1084,N1085)</f>
        <v>12.100449578887144</v>
      </c>
    </row>
    <row r="1084" spans="1:16">
      <c r="A1084" s="170" t="s">
        <v>484</v>
      </c>
      <c r="B1084" s="171">
        <v>-1.3773893306068323</v>
      </c>
      <c r="C1084" s="171">
        <v>-1.5521003879162059</v>
      </c>
      <c r="D1084" s="171">
        <v>0.65590292152571228</v>
      </c>
      <c r="E1084" s="170">
        <v>0</v>
      </c>
      <c r="F1084" s="170">
        <f>-$L$1</f>
        <v>-1.4990492230334603E-2</v>
      </c>
      <c r="G1084" s="171">
        <v>0</v>
      </c>
      <c r="H1084" s="171">
        <v>0</v>
      </c>
      <c r="I1084" s="177">
        <f>-$N$1</f>
        <v>-4.7716218756768064E-3</v>
      </c>
      <c r="J1084" s="170">
        <v>0</v>
      </c>
      <c r="L1084">
        <v>0</v>
      </c>
      <c r="M1084">
        <v>2.0670378703544543</v>
      </c>
      <c r="N1084">
        <v>0</v>
      </c>
    </row>
    <row r="1085" spans="1:16">
      <c r="A1085" s="170"/>
      <c r="B1085" s="171">
        <v>1.4675604394566215</v>
      </c>
      <c r="C1085" s="171">
        <v>-1.3235781323919831</v>
      </c>
      <c r="D1085" s="171">
        <v>0.72564008456612294</v>
      </c>
      <c r="E1085" s="170">
        <v>0</v>
      </c>
      <c r="F1085" s="171">
        <v>0</v>
      </c>
      <c r="G1085" s="170">
        <f>-$L$1</f>
        <v>-1.4990492230334603E-2</v>
      </c>
      <c r="H1085" s="171">
        <v>0</v>
      </c>
      <c r="I1085" s="171">
        <v>0</v>
      </c>
      <c r="J1085" s="177">
        <f>-$N$1</f>
        <v>-4.7716218756768064E-3</v>
      </c>
      <c r="L1085">
        <v>0</v>
      </c>
      <c r="M1085">
        <v>0</v>
      </c>
      <c r="N1085">
        <v>0.28925016498432071</v>
      </c>
    </row>
    <row r="1086" spans="1:16">
      <c r="A1086" s="170"/>
      <c r="B1086" s="171"/>
      <c r="C1086" s="171"/>
      <c r="D1086" s="171"/>
      <c r="E1086" s="170"/>
      <c r="F1086" s="170"/>
      <c r="G1086" s="170"/>
      <c r="H1086" s="170"/>
      <c r="I1086" s="170"/>
      <c r="J1086" s="170"/>
    </row>
    <row r="1087" spans="1:16">
      <c r="A1087" s="170"/>
      <c r="B1087" s="171">
        <v>1.0673702345396179</v>
      </c>
      <c r="C1087" s="171">
        <v>-2.4075843796929846</v>
      </c>
      <c r="D1087" s="171">
        <v>0.708799578341892</v>
      </c>
      <c r="E1087" s="170">
        <f>-$L$1</f>
        <v>-1.4990492230334603E-2</v>
      </c>
      <c r="F1087" s="171">
        <v>0</v>
      </c>
      <c r="G1087" s="171">
        <v>0</v>
      </c>
      <c r="H1087" s="177">
        <f>-$N$1</f>
        <v>-4.7716218756768064E-3</v>
      </c>
      <c r="I1087" s="170">
        <v>0</v>
      </c>
      <c r="J1087" s="170">
        <v>0</v>
      </c>
      <c r="L1087">
        <f t="array" ref="L1087:N1089">SVDD(B1087:D1089)</f>
        <v>3.061181665535972</v>
      </c>
      <c r="M1087">
        <v>0</v>
      </c>
      <c r="N1087">
        <v>0</v>
      </c>
      <c r="P1087">
        <f t="shared" ref="P1087" si="316">MAX(L1087,M1088,N1089)/MIN(L1087,M1088,N1089)</f>
        <v>6.7197741867997447</v>
      </c>
    </row>
    <row r="1088" spans="1:16">
      <c r="A1088" s="170" t="s">
        <v>485</v>
      </c>
      <c r="B1088" s="171">
        <v>-1.3773893306068323</v>
      </c>
      <c r="C1088" s="171">
        <v>-1.5521003879162059</v>
      </c>
      <c r="D1088" s="171">
        <v>0.65590292152571228</v>
      </c>
      <c r="E1088" s="170">
        <v>0</v>
      </c>
      <c r="F1088" s="170">
        <f>-$L$1</f>
        <v>-1.4990492230334603E-2</v>
      </c>
      <c r="G1088" s="171">
        <v>0</v>
      </c>
      <c r="H1088" s="171">
        <v>0</v>
      </c>
      <c r="I1088" s="177">
        <f>-$N$1</f>
        <v>-4.7716218756768064E-3</v>
      </c>
      <c r="J1088" s="170">
        <v>0</v>
      </c>
      <c r="L1088">
        <v>0</v>
      </c>
      <c r="M1088">
        <v>2.0665914300438915</v>
      </c>
      <c r="N1088">
        <v>0</v>
      </c>
    </row>
    <row r="1089" spans="1:16">
      <c r="A1089" s="170"/>
      <c r="B1089" s="171">
        <v>-1.0097006711160386</v>
      </c>
      <c r="C1089" s="171">
        <v>-0.26302086313966178</v>
      </c>
      <c r="D1089" s="171">
        <v>0.76545275918666766</v>
      </c>
      <c r="E1089" s="170">
        <v>0</v>
      </c>
      <c r="F1089" s="171">
        <v>0</v>
      </c>
      <c r="G1089" s="170">
        <f>-$L$1</f>
        <v>-1.4990492230334603E-2</v>
      </c>
      <c r="H1089" s="171">
        <v>0</v>
      </c>
      <c r="I1089" s="171">
        <v>0</v>
      </c>
      <c r="J1089" s="177">
        <f>-$N$1</f>
        <v>-4.7716218756768064E-3</v>
      </c>
      <c r="L1089">
        <v>0</v>
      </c>
      <c r="M1089">
        <v>0</v>
      </c>
      <c r="N1089">
        <v>0.45554829380268846</v>
      </c>
    </row>
    <row r="1090" spans="1:16">
      <c r="A1090" s="170"/>
      <c r="B1090" s="171"/>
      <c r="C1090" s="171"/>
      <c r="D1090" s="171"/>
      <c r="E1090" s="170"/>
      <c r="F1090" s="170"/>
      <c r="G1090" s="170"/>
      <c r="H1090" s="170"/>
      <c r="I1090" s="170"/>
      <c r="J1090" s="170"/>
    </row>
    <row r="1091" spans="1:16">
      <c r="A1091" s="170"/>
      <c r="B1091" s="171">
        <v>1.0673702345396179</v>
      </c>
      <c r="C1091" s="171">
        <v>-2.4075843796929846</v>
      </c>
      <c r="D1091" s="171">
        <v>0.708799578341892</v>
      </c>
      <c r="E1091" s="170">
        <f>-$L$1</f>
        <v>-1.4990492230334603E-2</v>
      </c>
      <c r="F1091" s="171">
        <v>0</v>
      </c>
      <c r="G1091" s="171">
        <v>0</v>
      </c>
      <c r="H1091" s="177">
        <f>-$N$1</f>
        <v>-4.7716218756768064E-3</v>
      </c>
      <c r="I1091" s="170">
        <v>0</v>
      </c>
      <c r="J1091" s="170">
        <v>0</v>
      </c>
      <c r="L1091">
        <f t="array" ref="L1091:N1093">SVDD(B1091:D1093)</f>
        <v>3.070748910281913</v>
      </c>
      <c r="M1091">
        <v>0</v>
      </c>
      <c r="N1091">
        <v>0</v>
      </c>
      <c r="P1091">
        <f t="shared" ref="P1091" si="317">MAX(L1091,M1092,N1093)/MIN(L1091,M1092,N1093)</f>
        <v>5.3162933238372769</v>
      </c>
    </row>
    <row r="1092" spans="1:16">
      <c r="A1092" s="170" t="s">
        <v>486</v>
      </c>
      <c r="B1092" s="171">
        <v>-1.3773893306068323</v>
      </c>
      <c r="C1092" s="171">
        <v>-1.5521003879162059</v>
      </c>
      <c r="D1092" s="171">
        <v>0.65590292152571228</v>
      </c>
      <c r="E1092" s="170">
        <v>0</v>
      </c>
      <c r="F1092" s="170">
        <f>-$L$1</f>
        <v>-1.4990492230334603E-2</v>
      </c>
      <c r="G1092" s="171">
        <v>0</v>
      </c>
      <c r="H1092" s="171">
        <v>0</v>
      </c>
      <c r="I1092" s="177">
        <f>-$N$1</f>
        <v>-4.7716218756768064E-3</v>
      </c>
      <c r="J1092" s="170">
        <v>0</v>
      </c>
      <c r="L1092">
        <v>0</v>
      </c>
      <c r="M1092">
        <v>1.8263971887695858</v>
      </c>
      <c r="N1092">
        <v>0</v>
      </c>
    </row>
    <row r="1093" spans="1:16">
      <c r="A1093" s="170"/>
      <c r="B1093" s="171">
        <v>0.60912970227287866</v>
      </c>
      <c r="C1093" s="171">
        <v>-0.28261535739067112</v>
      </c>
      <c r="D1093" s="171">
        <v>0.68802996689194662</v>
      </c>
      <c r="E1093" s="170">
        <v>0</v>
      </c>
      <c r="F1093" s="171">
        <v>0</v>
      </c>
      <c r="G1093" s="170">
        <f>-$L$1</f>
        <v>-1.4990492230334603E-2</v>
      </c>
      <c r="H1093" s="171">
        <v>0</v>
      </c>
      <c r="I1093" s="171">
        <v>0</v>
      </c>
      <c r="J1093" s="177">
        <f>-$N$1</f>
        <v>-4.7716218756768064E-3</v>
      </c>
      <c r="L1093">
        <v>0</v>
      </c>
      <c r="M1093">
        <v>0</v>
      </c>
      <c r="N1093">
        <v>0.57761088849504261</v>
      </c>
    </row>
    <row r="1094" spans="1:16">
      <c r="A1094" s="170"/>
      <c r="B1094" s="171"/>
      <c r="C1094" s="171"/>
      <c r="D1094" s="171"/>
      <c r="E1094" s="170"/>
      <c r="F1094" s="170"/>
      <c r="G1094" s="170"/>
      <c r="H1094" s="170"/>
      <c r="I1094" s="170"/>
      <c r="J1094" s="170"/>
    </row>
    <row r="1095" spans="1:16">
      <c r="A1095" s="170"/>
      <c r="B1095" s="171">
        <v>1.0673702345396179</v>
      </c>
      <c r="C1095" s="171">
        <v>-2.4075843796929846</v>
      </c>
      <c r="D1095" s="171">
        <v>0.708799578341892</v>
      </c>
      <c r="E1095" s="170">
        <f>-$L$1</f>
        <v>-1.4990492230334603E-2</v>
      </c>
      <c r="F1095" s="171">
        <v>0</v>
      </c>
      <c r="G1095" s="171">
        <v>0</v>
      </c>
      <c r="H1095" s="177">
        <f>-$N$1</f>
        <v>-4.7716218756768064E-3</v>
      </c>
      <c r="I1095" s="170">
        <v>0</v>
      </c>
      <c r="J1095" s="170">
        <v>0</v>
      </c>
      <c r="L1095">
        <f t="array" ref="L1095:N1097">SVDD(B1095:D1097)</f>
        <v>3.3793887183855067</v>
      </c>
      <c r="M1095">
        <v>0</v>
      </c>
      <c r="N1095">
        <v>0</v>
      </c>
      <c r="P1095">
        <f t="shared" ref="P1095" si="318">MAX(L1095,M1096,N1097)/MIN(L1095,M1096,N1097)</f>
        <v>6.5721137062563466</v>
      </c>
    </row>
    <row r="1096" spans="1:16">
      <c r="A1096" s="170" t="s">
        <v>487</v>
      </c>
      <c r="B1096" s="171">
        <v>1.4675604394566215</v>
      </c>
      <c r="C1096" s="171">
        <v>-1.3235781323919831</v>
      </c>
      <c r="D1096" s="171">
        <v>0.72564008456612294</v>
      </c>
      <c r="E1096" s="170">
        <v>0</v>
      </c>
      <c r="F1096" s="170">
        <f>-$L$1</f>
        <v>-1.4990492230334603E-2</v>
      </c>
      <c r="G1096" s="171">
        <v>0</v>
      </c>
      <c r="H1096" s="171">
        <v>0</v>
      </c>
      <c r="I1096" s="177">
        <f>-$N$1</f>
        <v>-4.7716218756768064E-3</v>
      </c>
      <c r="J1096" s="170">
        <v>0</v>
      </c>
      <c r="L1096">
        <v>0</v>
      </c>
      <c r="M1096">
        <v>1.3638941386139694</v>
      </c>
      <c r="N1096">
        <v>0</v>
      </c>
    </row>
    <row r="1097" spans="1:16">
      <c r="A1097" s="170"/>
      <c r="B1097" s="171">
        <v>-1.0097006711160386</v>
      </c>
      <c r="C1097" s="171">
        <v>-0.26302086313966178</v>
      </c>
      <c r="D1097" s="171">
        <v>0.76545275918666766</v>
      </c>
      <c r="E1097" s="170">
        <v>0</v>
      </c>
      <c r="F1097" s="171">
        <v>0</v>
      </c>
      <c r="G1097" s="170">
        <f>-$L$1</f>
        <v>-1.4990492230334603E-2</v>
      </c>
      <c r="H1097" s="171">
        <v>0</v>
      </c>
      <c r="I1097" s="171">
        <v>0</v>
      </c>
      <c r="J1097" s="177">
        <f>-$N$1</f>
        <v>-4.7716218756768064E-3</v>
      </c>
      <c r="L1097">
        <v>0</v>
      </c>
      <c r="M1097">
        <v>0</v>
      </c>
      <c r="N1097">
        <v>0.51420119453631574</v>
      </c>
    </row>
    <row r="1098" spans="1:16">
      <c r="A1098" s="170"/>
      <c r="B1098" s="171"/>
      <c r="C1098" s="171"/>
      <c r="D1098" s="171"/>
      <c r="E1098" s="170"/>
      <c r="F1098" s="170"/>
      <c r="G1098" s="170"/>
      <c r="H1098" s="170"/>
      <c r="I1098" s="170"/>
      <c r="J1098" s="170"/>
    </row>
    <row r="1099" spans="1:16">
      <c r="A1099" s="170"/>
      <c r="B1099" s="171">
        <v>1.0673702345396179</v>
      </c>
      <c r="C1099" s="171">
        <v>-2.4075843796929846</v>
      </c>
      <c r="D1099" s="171">
        <v>0.708799578341892</v>
      </c>
      <c r="E1099" s="170">
        <f>-$L$1</f>
        <v>-1.4990492230334603E-2</v>
      </c>
      <c r="F1099" s="171">
        <v>0</v>
      </c>
      <c r="G1099" s="171">
        <v>0</v>
      </c>
      <c r="H1099" s="177">
        <f>-$N$1</f>
        <v>-4.7716218756768064E-3</v>
      </c>
      <c r="I1099" s="170">
        <v>0</v>
      </c>
      <c r="J1099" s="170">
        <v>0</v>
      </c>
      <c r="L1099">
        <f t="array" ref="L1099:N1101">SVDD(B1099:D1101)</f>
        <v>3.4620030538804016</v>
      </c>
      <c r="M1099">
        <v>0</v>
      </c>
      <c r="N1099">
        <v>0</v>
      </c>
      <c r="P1099">
        <f t="shared" ref="P1099" si="319">MAX(L1099,M1100,N1101)/MIN(L1099,M1100,N1101)</f>
        <v>11.385227489967416</v>
      </c>
    </row>
    <row r="1100" spans="1:16">
      <c r="A1100" s="170" t="s">
        <v>488</v>
      </c>
      <c r="B1100" s="171">
        <v>1.4675604394566215</v>
      </c>
      <c r="C1100" s="171">
        <v>-1.3235781323919831</v>
      </c>
      <c r="D1100" s="171">
        <v>0.72564008456612294</v>
      </c>
      <c r="E1100" s="170">
        <v>0</v>
      </c>
      <c r="F1100" s="170">
        <f>-$L$1</f>
        <v>-1.4990492230334603E-2</v>
      </c>
      <c r="G1100" s="171">
        <v>0</v>
      </c>
      <c r="H1100" s="171">
        <v>0</v>
      </c>
      <c r="I1100" s="177">
        <f>-$N$1</f>
        <v>-4.7716218756768064E-3</v>
      </c>
      <c r="J1100" s="170">
        <v>0</v>
      </c>
      <c r="L1100">
        <v>0</v>
      </c>
      <c r="M1100">
        <v>0.84655279556349683</v>
      </c>
      <c r="N1100">
        <v>0</v>
      </c>
    </row>
    <row r="1101" spans="1:16">
      <c r="A1101" s="170"/>
      <c r="B1101" s="171">
        <v>0.60912970227287866</v>
      </c>
      <c r="C1101" s="171">
        <v>-0.28261535739067112</v>
      </c>
      <c r="D1101" s="171">
        <v>0.68802996689194662</v>
      </c>
      <c r="E1101" s="170">
        <v>0</v>
      </c>
      <c r="F1101" s="171">
        <v>0</v>
      </c>
      <c r="G1101" s="170">
        <f>-$L$1</f>
        <v>-1.4990492230334603E-2</v>
      </c>
      <c r="H1101" s="171">
        <v>0</v>
      </c>
      <c r="I1101" s="171">
        <v>0</v>
      </c>
      <c r="J1101" s="177">
        <f>-$N$1</f>
        <v>-4.7716218756768064E-3</v>
      </c>
      <c r="L1101">
        <v>0</v>
      </c>
      <c r="M1101">
        <v>0</v>
      </c>
      <c r="N1101">
        <v>0.30407851375223682</v>
      </c>
    </row>
    <row r="1102" spans="1:16">
      <c r="A1102" s="170"/>
      <c r="B1102" s="171"/>
      <c r="C1102" s="171"/>
      <c r="D1102" s="171"/>
      <c r="E1102" s="170"/>
      <c r="F1102" s="170"/>
      <c r="G1102" s="170"/>
      <c r="H1102" s="170"/>
      <c r="I1102" s="170"/>
      <c r="J1102" s="170"/>
    </row>
    <row r="1103" spans="1:16">
      <c r="A1103" s="170"/>
      <c r="B1103" s="171">
        <v>1.0673702345396179</v>
      </c>
      <c r="C1103" s="171">
        <v>-2.4075843796929846</v>
      </c>
      <c r="D1103" s="171">
        <v>0.708799578341892</v>
      </c>
      <c r="E1103" s="170">
        <f>-$L$1</f>
        <v>-1.4990492230334603E-2</v>
      </c>
      <c r="F1103" s="171">
        <v>0</v>
      </c>
      <c r="G1103" s="171">
        <v>0</v>
      </c>
      <c r="H1103" s="177">
        <f>-$N$1</f>
        <v>-4.7716218756768064E-3</v>
      </c>
      <c r="I1103" s="170">
        <v>0</v>
      </c>
      <c r="J1103" s="170">
        <v>0</v>
      </c>
      <c r="L1103">
        <f t="array" ref="L1103:N1105">SVDD(B1103:D1105)</f>
        <v>2.8129435835585523</v>
      </c>
      <c r="M1103">
        <v>0</v>
      </c>
      <c r="N1103">
        <v>0</v>
      </c>
      <c r="P1103">
        <f t="shared" ref="P1103" si="320">MAX(L1103,M1104,N1105)/MIN(L1103,M1104,N1105)</f>
        <v>4.1936501463501141</v>
      </c>
    </row>
    <row r="1104" spans="1:16">
      <c r="A1104" s="170" t="s">
        <v>489</v>
      </c>
      <c r="B1104" s="171">
        <v>-1.0097006711160386</v>
      </c>
      <c r="C1104" s="171">
        <v>-0.26302086313966178</v>
      </c>
      <c r="D1104" s="171">
        <v>0.76545275918666766</v>
      </c>
      <c r="E1104" s="170">
        <v>0</v>
      </c>
      <c r="F1104" s="170">
        <f>-$L$1</f>
        <v>-1.4990492230334603E-2</v>
      </c>
      <c r="G1104" s="171">
        <v>0</v>
      </c>
      <c r="H1104" s="171">
        <v>0</v>
      </c>
      <c r="I1104" s="177">
        <f>-$N$1</f>
        <v>-4.7716218756768064E-3</v>
      </c>
      <c r="J1104" s="170">
        <v>0</v>
      </c>
      <c r="L1104">
        <v>0</v>
      </c>
      <c r="M1104">
        <v>1.2940067931857282</v>
      </c>
      <c r="N1104">
        <v>0</v>
      </c>
    </row>
    <row r="1105" spans="1:16">
      <c r="A1105" s="170"/>
      <c r="B1105" s="171">
        <v>0.60912970227287866</v>
      </c>
      <c r="C1105" s="171">
        <v>-0.28261535739067112</v>
      </c>
      <c r="D1105" s="171">
        <v>0.68802996689194662</v>
      </c>
      <c r="E1105" s="170">
        <v>0</v>
      </c>
      <c r="F1105" s="171">
        <v>0</v>
      </c>
      <c r="G1105" s="170">
        <f>-$L$1</f>
        <v>-1.4990492230334603E-2</v>
      </c>
      <c r="H1105" s="171">
        <v>0</v>
      </c>
      <c r="I1105" s="171">
        <v>0</v>
      </c>
      <c r="J1105" s="177">
        <f>-$N$1</f>
        <v>-4.7716218756768064E-3</v>
      </c>
      <c r="L1105">
        <v>0</v>
      </c>
      <c r="M1105">
        <v>0</v>
      </c>
      <c r="N1105">
        <v>0.67076257803879014</v>
      </c>
    </row>
    <row r="1106" spans="1:16">
      <c r="A1106" s="170"/>
      <c r="B1106" s="171"/>
      <c r="C1106" s="171"/>
      <c r="D1106" s="171"/>
      <c r="E1106" s="170"/>
      <c r="F1106" s="170"/>
      <c r="G1106" s="170"/>
      <c r="H1106" s="170"/>
      <c r="I1106" s="170"/>
      <c r="J1106" s="170"/>
    </row>
    <row r="1107" spans="1:16">
      <c r="A1107" s="170"/>
      <c r="B1107" s="171">
        <v>-1.3773893306068323</v>
      </c>
      <c r="C1107" s="171">
        <v>-1.5521003879162059</v>
      </c>
      <c r="D1107" s="171">
        <v>0.65590292152571228</v>
      </c>
      <c r="E1107" s="170">
        <f>-$L$1</f>
        <v>-1.4990492230334603E-2</v>
      </c>
      <c r="F1107" s="171">
        <v>0</v>
      </c>
      <c r="G1107" s="171">
        <v>0</v>
      </c>
      <c r="H1107" s="177">
        <f>-$N$1</f>
        <v>-4.7716218756768064E-3</v>
      </c>
      <c r="I1107" s="170">
        <v>0</v>
      </c>
      <c r="J1107" s="170">
        <v>0</v>
      </c>
      <c r="L1107">
        <f t="array" ref="L1107:N1109">SVDD(B1107:D1109)</f>
        <v>2.4475358135177725</v>
      </c>
      <c r="M1107">
        <v>0</v>
      </c>
      <c r="N1107">
        <v>0</v>
      </c>
      <c r="P1107">
        <f t="shared" ref="P1107" si="321">MAX(L1107,M1108,N1109)/MIN(L1107,M1108,N1109)</f>
        <v>4.4300562065933597</v>
      </c>
    </row>
    <row r="1108" spans="1:16">
      <c r="A1108" s="170" t="s">
        <v>490</v>
      </c>
      <c r="B1108" s="171">
        <v>1.4675604394566215</v>
      </c>
      <c r="C1108" s="171">
        <v>-1.3235781323919831</v>
      </c>
      <c r="D1108" s="171">
        <v>0.72564008456612294</v>
      </c>
      <c r="E1108" s="170">
        <v>0</v>
      </c>
      <c r="F1108" s="170">
        <f>-$L$1</f>
        <v>-1.4990492230334603E-2</v>
      </c>
      <c r="G1108" s="171">
        <v>0</v>
      </c>
      <c r="H1108" s="171">
        <v>0</v>
      </c>
      <c r="I1108" s="177">
        <f>-$N$1</f>
        <v>-4.7716218756768064E-3</v>
      </c>
      <c r="J1108" s="170">
        <v>0</v>
      </c>
      <c r="L1108">
        <v>0</v>
      </c>
      <c r="M1108">
        <v>2.1324856226655595</v>
      </c>
      <c r="N1108">
        <v>0</v>
      </c>
    </row>
    <row r="1109" spans="1:16">
      <c r="A1109" s="170"/>
      <c r="B1109" s="171">
        <v>-1.0097006711160386</v>
      </c>
      <c r="C1109" s="171">
        <v>-0.26302086313966178</v>
      </c>
      <c r="D1109" s="171">
        <v>0.76545275918666766</v>
      </c>
      <c r="E1109" s="170">
        <v>0</v>
      </c>
      <c r="F1109" s="171">
        <v>0</v>
      </c>
      <c r="G1109" s="170">
        <f>-$L$1</f>
        <v>-1.4990492230334603E-2</v>
      </c>
      <c r="H1109" s="171">
        <v>0</v>
      </c>
      <c r="I1109" s="171">
        <v>0</v>
      </c>
      <c r="J1109" s="177">
        <f>-$N$1</f>
        <v>-4.7716218756768064E-3</v>
      </c>
      <c r="L1109">
        <v>0</v>
      </c>
      <c r="M1109">
        <v>0</v>
      </c>
      <c r="N1109">
        <v>0.55248414452959893</v>
      </c>
    </row>
    <row r="1110" spans="1:16">
      <c r="A1110" s="170"/>
      <c r="B1110" s="171"/>
      <c r="C1110" s="171"/>
      <c r="D1110" s="171"/>
      <c r="E1110" s="170"/>
      <c r="F1110" s="170"/>
      <c r="G1110" s="170"/>
      <c r="H1110" s="170"/>
      <c r="I1110" s="170"/>
      <c r="J1110" s="170"/>
    </row>
    <row r="1111" spans="1:16">
      <c r="A1111" s="170"/>
      <c r="B1111" s="171">
        <v>-1.3773893306068323</v>
      </c>
      <c r="C1111" s="171">
        <v>-1.5521003879162059</v>
      </c>
      <c r="D1111" s="171">
        <v>0.65590292152571228</v>
      </c>
      <c r="E1111" s="170">
        <f>-$L$1</f>
        <v>-1.4990492230334603E-2</v>
      </c>
      <c r="F1111" s="171">
        <v>0</v>
      </c>
      <c r="G1111" s="171">
        <v>0</v>
      </c>
      <c r="H1111" s="177">
        <f>-$N$1</f>
        <v>-4.7716218756768064E-3</v>
      </c>
      <c r="I1111" s="170">
        <v>0</v>
      </c>
      <c r="J1111" s="170">
        <v>0</v>
      </c>
      <c r="L1111">
        <f t="array" ref="L1111:N1113">SVDD(B1111:D1113)</f>
        <v>2.3427192870917382</v>
      </c>
      <c r="M1111">
        <v>0</v>
      </c>
      <c r="N1111">
        <v>0</v>
      </c>
      <c r="P1111">
        <f t="shared" ref="P1111" si="322">MAX(L1111,M1112,N1113)/MIN(L1111,M1112,N1113)</f>
        <v>5.4697357909735507</v>
      </c>
    </row>
    <row r="1112" spans="1:16">
      <c r="A1112" s="170" t="s">
        <v>491</v>
      </c>
      <c r="B1112" s="171">
        <v>1.4675604394566215</v>
      </c>
      <c r="C1112" s="171">
        <v>-1.3235781323919831</v>
      </c>
      <c r="D1112" s="171">
        <v>0.72564008456612294</v>
      </c>
      <c r="E1112" s="170">
        <v>0</v>
      </c>
      <c r="F1112" s="170">
        <f>-$L$1</f>
        <v>-1.4990492230334603E-2</v>
      </c>
      <c r="G1112" s="171">
        <v>0</v>
      </c>
      <c r="H1112" s="171">
        <v>0</v>
      </c>
      <c r="I1112" s="177">
        <f>-$N$1</f>
        <v>-4.7716218756768064E-3</v>
      </c>
      <c r="J1112" s="170">
        <v>0</v>
      </c>
      <c r="L1112">
        <v>0</v>
      </c>
      <c r="M1112">
        <v>2.1026383592298372</v>
      </c>
      <c r="N1112">
        <v>0</v>
      </c>
    </row>
    <row r="1113" spans="1:16">
      <c r="A1113" s="170"/>
      <c r="B1113" s="171">
        <v>0.60912970227287866</v>
      </c>
      <c r="C1113" s="171">
        <v>-0.28261535739067112</v>
      </c>
      <c r="D1113" s="171">
        <v>0.68802996689194662</v>
      </c>
      <c r="E1113" s="170">
        <v>0</v>
      </c>
      <c r="F1113" s="171">
        <v>0</v>
      </c>
      <c r="G1113" s="170">
        <f>-$L$1</f>
        <v>-1.4990492230334603E-2</v>
      </c>
      <c r="H1113" s="171">
        <v>0</v>
      </c>
      <c r="I1113" s="171">
        <v>0</v>
      </c>
      <c r="J1113" s="177">
        <f>-$N$1</f>
        <v>-4.7716218756768064E-3</v>
      </c>
      <c r="L1113">
        <v>0</v>
      </c>
      <c r="M1113">
        <v>0</v>
      </c>
      <c r="N1113">
        <v>0.42830574942172128</v>
      </c>
    </row>
    <row r="1114" spans="1:16">
      <c r="A1114" s="170"/>
      <c r="B1114" s="171"/>
      <c r="C1114" s="171"/>
      <c r="D1114" s="171"/>
      <c r="E1114" s="170"/>
      <c r="F1114" s="170"/>
      <c r="G1114" s="170"/>
      <c r="H1114" s="170"/>
      <c r="I1114" s="170"/>
      <c r="J1114" s="170"/>
    </row>
    <row r="1115" spans="1:16">
      <c r="A1115" s="170"/>
      <c r="B1115" s="171">
        <v>-1.3773893306068323</v>
      </c>
      <c r="C1115" s="171">
        <v>-1.5521003879162059</v>
      </c>
      <c r="D1115" s="171">
        <v>0.65590292152571228</v>
      </c>
      <c r="E1115" s="170">
        <f>-$L$1</f>
        <v>-1.4990492230334603E-2</v>
      </c>
      <c r="F1115" s="171">
        <v>0</v>
      </c>
      <c r="G1115" s="171">
        <v>0</v>
      </c>
      <c r="H1115" s="177">
        <f>-$N$1</f>
        <v>-4.7716218756768064E-3</v>
      </c>
      <c r="I1115" s="170">
        <v>0</v>
      </c>
      <c r="J1115" s="170">
        <v>0</v>
      </c>
      <c r="L1115">
        <f t="array" ref="L1115:N1117">SVDD(B1115:D1117)</f>
        <v>2.4432740653509919</v>
      </c>
      <c r="M1115">
        <v>0</v>
      </c>
      <c r="N1115">
        <v>0</v>
      </c>
      <c r="P1115">
        <f t="shared" ref="P1115" si="323">MAX(L1115,M1116,N1117)/MIN(L1115,M1116,N1117)</f>
        <v>3.6876331792039538</v>
      </c>
    </row>
    <row r="1116" spans="1:16">
      <c r="A1116" s="170" t="s">
        <v>492</v>
      </c>
      <c r="B1116" s="171">
        <v>-1.0097006711160386</v>
      </c>
      <c r="C1116" s="171">
        <v>-0.26302086313966178</v>
      </c>
      <c r="D1116" s="171">
        <v>0.76545275918666766</v>
      </c>
      <c r="E1116" s="170">
        <v>0</v>
      </c>
      <c r="F1116" s="170">
        <f>-$L$1</f>
        <v>-1.4990492230334603E-2</v>
      </c>
      <c r="G1116" s="171">
        <v>0</v>
      </c>
      <c r="H1116" s="171">
        <v>0</v>
      </c>
      <c r="I1116" s="177">
        <f>-$N$1</f>
        <v>-4.7716218756768064E-3</v>
      </c>
      <c r="J1116" s="170">
        <v>0</v>
      </c>
      <c r="L1116">
        <v>0</v>
      </c>
      <c r="M1116">
        <v>0.96267451848498797</v>
      </c>
      <c r="N1116">
        <v>0</v>
      </c>
    </row>
    <row r="1117" spans="1:16">
      <c r="A1117" s="170"/>
      <c r="B1117" s="171">
        <v>0.60912970227287866</v>
      </c>
      <c r="C1117" s="171">
        <v>-0.28261535739067112</v>
      </c>
      <c r="D1117" s="171">
        <v>0.68802996689194662</v>
      </c>
      <c r="E1117" s="170">
        <v>0</v>
      </c>
      <c r="F1117" s="171">
        <v>0</v>
      </c>
      <c r="G1117" s="170">
        <f>-$L$1</f>
        <v>-1.4990492230334603E-2</v>
      </c>
      <c r="H1117" s="171">
        <v>0</v>
      </c>
      <c r="I1117" s="171">
        <v>0</v>
      </c>
      <c r="J1117" s="177">
        <f>-$N$1</f>
        <v>-4.7716218756768064E-3</v>
      </c>
      <c r="L1117">
        <v>0</v>
      </c>
      <c r="M1117">
        <v>0</v>
      </c>
      <c r="N1117">
        <v>0.66255886814599585</v>
      </c>
    </row>
    <row r="1118" spans="1:16">
      <c r="A1118" s="170"/>
      <c r="B1118" s="171"/>
      <c r="C1118" s="171"/>
      <c r="D1118" s="171"/>
      <c r="E1118" s="170"/>
      <c r="F1118" s="170"/>
      <c r="G1118" s="170"/>
      <c r="H1118" s="170"/>
      <c r="I1118" s="170"/>
      <c r="J1118" s="170"/>
    </row>
    <row r="1119" spans="1:16">
      <c r="A1119" s="170"/>
      <c r="B1119" s="171">
        <v>1.4675604394566215</v>
      </c>
      <c r="C1119" s="171">
        <v>-1.3235781323919831</v>
      </c>
      <c r="D1119" s="171">
        <v>0.72564008456612294</v>
      </c>
      <c r="E1119" s="170">
        <f>-$L$1</f>
        <v>-1.4990492230334603E-2</v>
      </c>
      <c r="F1119" s="171">
        <v>0</v>
      </c>
      <c r="G1119" s="171">
        <v>0</v>
      </c>
      <c r="H1119" s="177">
        <f>-$N$1</f>
        <v>-4.7716218756768064E-3</v>
      </c>
      <c r="I1119" s="170">
        <v>0</v>
      </c>
      <c r="J1119" s="170">
        <v>0</v>
      </c>
      <c r="L1119">
        <f t="array" ref="L1119:N1121">SVDD(B1119:D1121)</f>
        <v>2.2912032620870262</v>
      </c>
      <c r="M1119">
        <v>0</v>
      </c>
      <c r="N1119">
        <v>0</v>
      </c>
      <c r="P1119">
        <f t="shared" ref="P1119" si="324">MAX(L1119,M1120,N1121)/MIN(L1119,M1120,N1121)</f>
        <v>5.7586173410951851</v>
      </c>
    </row>
    <row r="1120" spans="1:16">
      <c r="A1120" s="170" t="s">
        <v>493</v>
      </c>
      <c r="B1120" s="171">
        <v>-1.0097006711160386</v>
      </c>
      <c r="C1120" s="171">
        <v>-0.26302086313966178</v>
      </c>
      <c r="D1120" s="171">
        <v>0.76545275918666766</v>
      </c>
      <c r="E1120" s="170">
        <v>0</v>
      </c>
      <c r="F1120" s="170">
        <f>-$L$1</f>
        <v>-1.4990492230334603E-2</v>
      </c>
      <c r="G1120" s="171">
        <v>0</v>
      </c>
      <c r="H1120" s="171">
        <v>0</v>
      </c>
      <c r="I1120" s="177">
        <f>-$N$1</f>
        <v>-4.7716218756768064E-3</v>
      </c>
      <c r="J1120" s="170">
        <v>0</v>
      </c>
      <c r="L1120">
        <v>0</v>
      </c>
      <c r="M1120">
        <v>1.2740169835065172</v>
      </c>
      <c r="N1120">
        <v>0</v>
      </c>
    </row>
    <row r="1121" spans="1:14">
      <c r="A1121" s="170"/>
      <c r="B1121" s="171">
        <v>0.60912970227287866</v>
      </c>
      <c r="C1121" s="171">
        <v>-0.28261535739067112</v>
      </c>
      <c r="D1121" s="171">
        <v>0.68802996689194662</v>
      </c>
      <c r="E1121" s="170">
        <v>0</v>
      </c>
      <c r="F1121" s="171">
        <v>0</v>
      </c>
      <c r="G1121" s="170">
        <f>-$L$1</f>
        <v>-1.4990492230334603E-2</v>
      </c>
      <c r="H1121" s="171">
        <v>0</v>
      </c>
      <c r="I1121" s="171">
        <v>0</v>
      </c>
      <c r="J1121" s="177">
        <f>-$N$1</f>
        <v>-4.7716218756768064E-3</v>
      </c>
      <c r="L1121">
        <v>0</v>
      </c>
      <c r="M1121">
        <v>0</v>
      </c>
      <c r="N1121">
        <v>0.39787385172067724</v>
      </c>
    </row>
    <row r="1122" spans="1:14">
      <c r="A1122" s="170"/>
      <c r="B1122" s="170"/>
      <c r="C1122" s="170"/>
      <c r="D1122" s="170"/>
      <c r="E1122" s="170"/>
      <c r="F1122" s="170"/>
      <c r="G1122" s="170"/>
      <c r="H1122" s="170"/>
      <c r="I1122" s="170"/>
      <c r="J1122" s="170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38</vt:i4>
      </vt:variant>
    </vt:vector>
  </HeadingPairs>
  <TitlesOfParts>
    <vt:vector size="48" baseType="lpstr">
      <vt:lpstr>Messaufbau_Messdaten</vt:lpstr>
      <vt:lpstr>analytisch</vt:lpstr>
      <vt:lpstr>num.-Neues-Modell</vt:lpstr>
      <vt:lpstr>Matrix_Konfiguration</vt:lpstr>
      <vt:lpstr>Ref0_Alle-Kombinationen</vt:lpstr>
      <vt:lpstr>Modell+Rechnung</vt:lpstr>
      <vt:lpstr>ConditionAnalysis</vt:lpstr>
      <vt:lpstr>numerisch</vt:lpstr>
      <vt:lpstr>AntennenPermutation</vt:lpstr>
      <vt:lpstr>Analyse der Kondition</vt:lpstr>
      <vt:lpstr>'Ref0_Alle-Kombinationen'!A_1</vt:lpstr>
      <vt:lpstr>A_1</vt:lpstr>
      <vt:lpstr>'Ref0_Alle-Kombinationen'!A_2</vt:lpstr>
      <vt:lpstr>A_2</vt:lpstr>
      <vt:lpstr>d_10</vt:lpstr>
      <vt:lpstr>d_20</vt:lpstr>
      <vt:lpstr>d_30</vt:lpstr>
      <vt:lpstr>Matrix_Konfiguration!Druckbereich</vt:lpstr>
      <vt:lpstr>OFFSET</vt:lpstr>
      <vt:lpstr>SCALING</vt:lpstr>
      <vt:lpstr>'Ref0_Alle-Kombinationen'!T_0</vt:lpstr>
      <vt:lpstr>T_0</vt:lpstr>
      <vt:lpstr>'Ref0_Alle-Kombinationen'!T_1</vt:lpstr>
      <vt:lpstr>'Ref0_Alle-Kombinationen'!T_2</vt:lpstr>
      <vt:lpstr>T_2</vt:lpstr>
      <vt:lpstr>'Ref0_Alle-Kombinationen'!T_3</vt:lpstr>
      <vt:lpstr>T_3</vt:lpstr>
      <vt:lpstr>'Ref0_Alle-Kombinationen'!T_4</vt:lpstr>
      <vt:lpstr>T_4</vt:lpstr>
      <vt:lpstr>'Ref0_Alle-Kombinationen'!T_5</vt:lpstr>
      <vt:lpstr>'Ref0_Alle-Kombinationen'!T_6</vt:lpstr>
      <vt:lpstr>'Ref0_Alle-Kombinationen'!T_7</vt:lpstr>
      <vt:lpstr>'Ref0_Alle-Kombinationen'!THETA_0</vt:lpstr>
      <vt:lpstr>THETA_0</vt:lpstr>
      <vt:lpstr>'Ref0_Alle-Kombinationen'!THETA_1</vt:lpstr>
      <vt:lpstr>THETA_1</vt:lpstr>
      <vt:lpstr>'Ref0_Alle-Kombinationen'!THETA_1_alt</vt:lpstr>
      <vt:lpstr>'Ref0_Alle-Kombinationen'!THETA_1dasd</vt:lpstr>
      <vt:lpstr>'Ref0_Alle-Kombinationen'!THETA_2</vt:lpstr>
      <vt:lpstr>'Ref0_Alle-Kombinationen'!THETA_3</vt:lpstr>
      <vt:lpstr>Theta_A0</vt:lpstr>
      <vt:lpstr>Theta_A1</vt:lpstr>
      <vt:lpstr>Theta_A2</vt:lpstr>
      <vt:lpstr>Theta_A3</vt:lpstr>
      <vt:lpstr>Theta_A4</vt:lpstr>
      <vt:lpstr>Theta_A5</vt:lpstr>
      <vt:lpstr>Theta_A6</vt:lpstr>
      <vt:lpstr>Theta_A7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cp:lastPrinted>2013-05-29T07:02:31Z</cp:lastPrinted>
  <dcterms:created xsi:type="dcterms:W3CDTF">2013-05-15T11:03:42Z</dcterms:created>
  <dcterms:modified xsi:type="dcterms:W3CDTF">2013-08-29T12:59:04Z</dcterms:modified>
</cp:coreProperties>
</file>