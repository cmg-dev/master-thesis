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4245" yWindow="15" windowWidth="24615" windowHeight="12345" activeTab="2"/>
  </bookViews>
  <sheets>
    <sheet name="Messaufbau_Messdaten" sheetId="1" r:id="rId1"/>
    <sheet name="num.-Neues-Modell" sheetId="18" r:id="rId2"/>
    <sheet name="Ref0_Alle-Kombinationen" sheetId="20" r:id="rId3"/>
    <sheet name="numerisch" sheetId="15" r:id="rId4"/>
    <sheet name="analytisch" sheetId="14" r:id="rId5"/>
    <sheet name="Modell+Rechnung" sheetId="4" r:id="rId6"/>
    <sheet name="Tabelle1" sheetId="19" r:id="rId7"/>
  </sheets>
  <definedNames>
    <definedName name="A_1" localSheetId="2">'Ref0_Alle-Kombinationen'!$E$7</definedName>
    <definedName name="A_1">'num.-Neues-Modell'!$E$7</definedName>
    <definedName name="A_2" localSheetId="2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'num.-Neues-Modell'!$H$22:$H$28</definedName>
    <definedName name="solver_adj" localSheetId="3" hidden="1">numerisch!$K$18:$K$20</definedName>
    <definedName name="solver_adj" localSheetId="2" hidden="1">'Ref0_Alle-Kombinationen'!$H$22:$H$28</definedName>
    <definedName name="solver_cvg" localSheetId="1" hidden="1">0.0001</definedName>
    <definedName name="solver_cvg" localSheetId="3" hidden="1">0.0001</definedName>
    <definedName name="solver_cvg" localSheetId="2" hidden="1">0.0001</definedName>
    <definedName name="solver_drv" localSheetId="1" hidden="1">1</definedName>
    <definedName name="solver_drv" localSheetId="3" hidden="1">1</definedName>
    <definedName name="solver_drv" localSheetId="2" hidden="1">1</definedName>
    <definedName name="solver_est" localSheetId="1" hidden="1">1</definedName>
    <definedName name="solver_est" localSheetId="3" hidden="1">1</definedName>
    <definedName name="solver_est" localSheetId="2" hidden="1">1</definedName>
    <definedName name="solver_itr" localSheetId="1" hidden="1">100</definedName>
    <definedName name="solver_itr" localSheetId="3" hidden="1">100</definedName>
    <definedName name="solver_itr" localSheetId="2" hidden="1">100</definedName>
    <definedName name="solver_lhs1" localSheetId="1" hidden="1">'num.-Neues-Modell'!$H$22:$H$25</definedName>
    <definedName name="solver_lhs1" localSheetId="3" hidden="1">numerisch!$K$20</definedName>
    <definedName name="solver_lhs1" localSheetId="2" hidden="1">'Ref0_Alle-Kombinationen'!$H$22:$H$25</definedName>
    <definedName name="solver_lhs10" localSheetId="3" hidden="1">numerisch!$E$18</definedName>
    <definedName name="solver_lhs11" localSheetId="3" hidden="1">numerisch!$F$18</definedName>
    <definedName name="solver_lhs12" localSheetId="3" hidden="1">numerisch!$G$18</definedName>
    <definedName name="solver_lhs13" localSheetId="3" hidden="1">numerisch!$H$18</definedName>
    <definedName name="solver_lhs14" localSheetId="3" hidden="1">numerisch!$ID$18</definedName>
    <definedName name="solver_lhs15" localSheetId="3" hidden="1">numerisch!$J$18</definedName>
    <definedName name="solver_lhs16" localSheetId="3" hidden="1">numerisch!$K$18</definedName>
    <definedName name="solver_lhs17" localSheetId="3" hidden="1">numerisch!$D$18</definedName>
    <definedName name="solver_lhs18" localSheetId="3" hidden="1">numerisch!$E$18</definedName>
    <definedName name="solver_lhs19" localSheetId="3" hidden="1">numerisch!$F$18</definedName>
    <definedName name="solver_lhs2" localSheetId="1" hidden="1">'num.-Neues-Modell'!$D$22:$D$25</definedName>
    <definedName name="solver_lhs2" localSheetId="3" hidden="1">numerisch!$E$18</definedName>
    <definedName name="solver_lhs2" localSheetId="2" hidden="1">'Ref0_Alle-Kombinationen'!$D$22:$D$25</definedName>
    <definedName name="solver_lhs20" localSheetId="3" hidden="1">numerisch!$G$18</definedName>
    <definedName name="solver_lhs21" localSheetId="3" hidden="1">numerisch!$H$18</definedName>
    <definedName name="solver_lhs22" localSheetId="3" hidden="1">numerisch!$ID$18</definedName>
    <definedName name="solver_lhs23" localSheetId="3" hidden="1">numerisch!$J$18</definedName>
    <definedName name="solver_lhs24" localSheetId="3" hidden="1">numerisch!$K$18</definedName>
    <definedName name="solver_lhs3" localSheetId="1" hidden="1">'num.-Neues-Modell'!$D$28</definedName>
    <definedName name="solver_lhs3" localSheetId="3" hidden="1">numerisch!$F$18</definedName>
    <definedName name="solver_lhs3" localSheetId="2" hidden="1">'Ref0_Alle-Kombinationen'!$D$28</definedName>
    <definedName name="solver_lhs4" localSheetId="1" hidden="1">'num.-Neues-Modell'!$D$25</definedName>
    <definedName name="solver_lhs4" localSheetId="3" hidden="1">numerisch!$G$18</definedName>
    <definedName name="solver_lhs4" localSheetId="2" hidden="1">'Ref0_Alle-Kombinationen'!$D$25</definedName>
    <definedName name="solver_lhs5" localSheetId="3" hidden="1">numerisch!$H$18</definedName>
    <definedName name="solver_lhs6" localSheetId="3" hidden="1">numerisch!$ID$18</definedName>
    <definedName name="solver_lhs7" localSheetId="3" hidden="1">numerisch!$J$18</definedName>
    <definedName name="solver_lhs8" localSheetId="3" hidden="1">numerisch!$K$18</definedName>
    <definedName name="solver_lhs9" localSheetId="3" hidden="1">numerisch!$D$18</definedName>
    <definedName name="solver_lin" localSheetId="1" hidden="1">2</definedName>
    <definedName name="solver_lin" localSheetId="3" hidden="1">2</definedName>
    <definedName name="solver_lin" localSheetId="2" hidden="1">2</definedName>
    <definedName name="solver_neg" localSheetId="1" hidden="1">2</definedName>
    <definedName name="solver_neg" localSheetId="3" hidden="1">2</definedName>
    <definedName name="solver_neg" localSheetId="2" hidden="1">2</definedName>
    <definedName name="solver_num" localSheetId="1" hidden="1">1</definedName>
    <definedName name="solver_num" localSheetId="3" hidden="1">1</definedName>
    <definedName name="solver_num" localSheetId="2" hidden="1">1</definedName>
    <definedName name="solver_nwt" localSheetId="1" hidden="1">1</definedName>
    <definedName name="solver_nwt" localSheetId="3" hidden="1">1</definedName>
    <definedName name="solver_nwt" localSheetId="2" hidden="1">1</definedName>
    <definedName name="solver_opt" localSheetId="1" hidden="1">'num.-Neues-Modell'!$H$57</definedName>
    <definedName name="solver_opt" localSheetId="3" hidden="1">numerisch!$K$14</definedName>
    <definedName name="solver_opt" localSheetId="2" hidden="1">'Ref0_Alle-Kombinationen'!$H$57</definedName>
    <definedName name="solver_pre" localSheetId="1" hidden="1">0.00001</definedName>
    <definedName name="solver_pre" localSheetId="3" hidden="1">0.000001</definedName>
    <definedName name="solver_pre" localSheetId="2" hidden="1">0.00001</definedName>
    <definedName name="solver_rel1" localSheetId="1" hidden="1">3</definedName>
    <definedName name="solver_rel1" localSheetId="3" hidden="1">3</definedName>
    <definedName name="solver_rel1" localSheetId="2" hidden="1">3</definedName>
    <definedName name="solver_rel10" localSheetId="3" hidden="1">3</definedName>
    <definedName name="solver_rel11" localSheetId="3" hidden="1">3</definedName>
    <definedName name="solver_rel12" localSheetId="3" hidden="1">3</definedName>
    <definedName name="solver_rel13" localSheetId="3" hidden="1">3</definedName>
    <definedName name="solver_rel14" localSheetId="3" hidden="1">3</definedName>
    <definedName name="solver_rel15" localSheetId="3" hidden="1">3</definedName>
    <definedName name="solver_rel16" localSheetId="3" hidden="1">3</definedName>
    <definedName name="solver_rel17" localSheetId="3" hidden="1">3</definedName>
    <definedName name="solver_rel18" localSheetId="3" hidden="1">3</definedName>
    <definedName name="solver_rel19" localSheetId="3" hidden="1">3</definedName>
    <definedName name="solver_rel2" localSheetId="1" hidden="1">3</definedName>
    <definedName name="solver_rel2" localSheetId="3" hidden="1">3</definedName>
    <definedName name="solver_rel2" localSheetId="2" hidden="1">3</definedName>
    <definedName name="solver_rel20" localSheetId="3" hidden="1">3</definedName>
    <definedName name="solver_rel21" localSheetId="3" hidden="1">3</definedName>
    <definedName name="solver_rel22" localSheetId="3" hidden="1">3</definedName>
    <definedName name="solver_rel23" localSheetId="3" hidden="1">3</definedName>
    <definedName name="solver_rel24" localSheetId="3" hidden="1">3</definedName>
    <definedName name="solver_rel3" localSheetId="1" hidden="1">1</definedName>
    <definedName name="solver_rel3" localSheetId="3" hidden="1">3</definedName>
    <definedName name="solver_rel3" localSheetId="2" hidden="1">1</definedName>
    <definedName name="solver_rel4" localSheetId="1" hidden="1">3</definedName>
    <definedName name="solver_rel4" localSheetId="3" hidden="1">3</definedName>
    <definedName name="solver_rel4" localSheetId="2" hidden="1">3</definedName>
    <definedName name="solver_rel5" localSheetId="3" hidden="1">3</definedName>
    <definedName name="solver_rel6" localSheetId="3" hidden="1">3</definedName>
    <definedName name="solver_rel7" localSheetId="3" hidden="1">3</definedName>
    <definedName name="solver_rel8" localSheetId="3" hidden="1">3</definedName>
    <definedName name="solver_rel9" localSheetId="3" hidden="1">3</definedName>
    <definedName name="solver_rhs1" localSheetId="1" hidden="1">0</definedName>
    <definedName name="solver_rhs1" localSheetId="3" hidden="1">0</definedName>
    <definedName name="solver_rhs1" localSheetId="2" hidden="1">0</definedName>
    <definedName name="solver_rhs10" localSheetId="3" hidden="1">0</definedName>
    <definedName name="solver_rhs11" localSheetId="3" hidden="1">0</definedName>
    <definedName name="solver_rhs12" localSheetId="3" hidden="1">0</definedName>
    <definedName name="solver_rhs13" localSheetId="3" hidden="1">0</definedName>
    <definedName name="solver_rhs14" localSheetId="3" hidden="1">0</definedName>
    <definedName name="solver_rhs15" localSheetId="3" hidden="1">0</definedName>
    <definedName name="solver_rhs16" localSheetId="3" hidden="1">0</definedName>
    <definedName name="solver_rhs17" localSheetId="3" hidden="1">0</definedName>
    <definedName name="solver_rhs18" localSheetId="3" hidden="1">0</definedName>
    <definedName name="solver_rhs19" localSheetId="3" hidden="1">0</definedName>
    <definedName name="solver_rhs2" localSheetId="1" hidden="1">0</definedName>
    <definedName name="solver_rhs2" localSheetId="3" hidden="1">0</definedName>
    <definedName name="solver_rhs2" localSheetId="2" hidden="1">0</definedName>
    <definedName name="solver_rhs20" localSheetId="3" hidden="1">0</definedName>
    <definedName name="solver_rhs21" localSheetId="3" hidden="1">0</definedName>
    <definedName name="solver_rhs22" localSheetId="3" hidden="1">0</definedName>
    <definedName name="solver_rhs23" localSheetId="3" hidden="1">0</definedName>
    <definedName name="solver_rhs24" localSheetId="3" hidden="1">0</definedName>
    <definedName name="solver_rhs3" localSheetId="1" hidden="1">0</definedName>
    <definedName name="solver_rhs3" localSheetId="3" hidden="1">0</definedName>
    <definedName name="solver_rhs3" localSheetId="2" hidden="1">0</definedName>
    <definedName name="solver_rhs4" localSheetId="1" hidden="1">0</definedName>
    <definedName name="solver_rhs4" localSheetId="3" hidden="1">0</definedName>
    <definedName name="solver_rhs4" localSheetId="2" hidden="1">0</definedName>
    <definedName name="solver_rhs5" localSheetId="3" hidden="1">0</definedName>
    <definedName name="solver_rhs6" localSheetId="3" hidden="1">0</definedName>
    <definedName name="solver_rhs7" localSheetId="3" hidden="1">0</definedName>
    <definedName name="solver_rhs8" localSheetId="3" hidden="1">0</definedName>
    <definedName name="solver_rhs9" localSheetId="3" hidden="1">0</definedName>
    <definedName name="solver_scl" localSheetId="1" hidden="1">2</definedName>
    <definedName name="solver_scl" localSheetId="3" hidden="1">2</definedName>
    <definedName name="solver_scl" localSheetId="2" hidden="1">2</definedName>
    <definedName name="solver_sho" localSheetId="1" hidden="1">2</definedName>
    <definedName name="solver_sho" localSheetId="3" hidden="1">2</definedName>
    <definedName name="solver_sho" localSheetId="2" hidden="1">2</definedName>
    <definedName name="solver_tim" localSheetId="1" hidden="1">100</definedName>
    <definedName name="solver_tim" localSheetId="3" hidden="1">100</definedName>
    <definedName name="solver_tim" localSheetId="2" hidden="1">100</definedName>
    <definedName name="solver_tol" localSheetId="1" hidden="1">0.05</definedName>
    <definedName name="solver_tol" localSheetId="3" hidden="1">0.05</definedName>
    <definedName name="solver_tol" localSheetId="2" hidden="1">0.05</definedName>
    <definedName name="solver_typ" localSheetId="1" hidden="1">2</definedName>
    <definedName name="solver_typ" localSheetId="3" hidden="1">2</definedName>
    <definedName name="solver_typ" localSheetId="2" hidden="1">2</definedName>
    <definedName name="solver_val" localSheetId="1" hidden="1">0</definedName>
    <definedName name="solver_val" localSheetId="3" hidden="1">0</definedName>
    <definedName name="solver_val" localSheetId="2" hidden="1">0</definedName>
    <definedName name="T_0" localSheetId="2">'Ref0_Alle-Kombinationen'!$B$149</definedName>
    <definedName name="T_0">'num.-Neues-Modell'!$B$149</definedName>
    <definedName name="T_1" localSheetId="2">'Ref0_Alle-Kombinationen'!$B$150</definedName>
    <definedName name="T_1">'num.-Neues-Modell'!$B$150</definedName>
    <definedName name="T_2" localSheetId="2">'Ref0_Alle-Kombinationen'!$B$151</definedName>
    <definedName name="T_2">'num.-Neues-Modell'!$B$151</definedName>
    <definedName name="T_3" localSheetId="2">'Ref0_Alle-Kombinationen'!$B$152</definedName>
    <definedName name="T_3">'num.-Neues-Modell'!$B$152</definedName>
    <definedName name="T_4" localSheetId="2">'Ref0_Alle-Kombinationen'!$B$153</definedName>
    <definedName name="T_4">'num.-Neues-Modell'!$B$153</definedName>
    <definedName name="T_5" localSheetId="2">'Ref0_Alle-Kombinationen'!$B$154</definedName>
    <definedName name="T_5">'num.-Neues-Modell'!$B$154</definedName>
    <definedName name="T_6" localSheetId="2">'Ref0_Alle-Kombinationen'!$B$155</definedName>
    <definedName name="T_6">'num.-Neues-Modell'!$B$155</definedName>
    <definedName name="T_7" localSheetId="2">'Ref0_Alle-Kombinationen'!$B$156</definedName>
    <definedName name="T_7">'num.-Neues-Modell'!$B$156</definedName>
    <definedName name="THETA_0" localSheetId="2">'Ref0_Alle-Kombinationen'!$H$10</definedName>
    <definedName name="THETA_0">'num.-Neues-Modell'!$H$10</definedName>
    <definedName name="THETA_1" localSheetId="2">'Ref0_Alle-Kombinationen'!$H$7</definedName>
    <definedName name="THETA_1">'num.-Neues-Modell'!$H$7</definedName>
    <definedName name="THETA_1_alt" localSheetId="2">'Ref0_Alle-Kombinationen'!$H$7</definedName>
    <definedName name="THETA_1_alt">'num.-Neues-Modell'!$H$7</definedName>
    <definedName name="THETA_1dasd" localSheetId="2">'Ref0_Alle-Kombinationen'!$H$7</definedName>
    <definedName name="THETA_1dasd">'num.-Neues-Modell'!$H$7</definedName>
    <definedName name="THETA_2" localSheetId="2">'Ref0_Alle-Kombinationen'!$H$8</definedName>
    <definedName name="THETA_2">'num.-Neues-Modell'!$H$8</definedName>
    <definedName name="THETA_3" localSheetId="2">'Ref0_Alle-Kombinationen'!$H$9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P36" i="20"/>
  <c r="P34"/>
  <c r="P35"/>
  <c r="P33"/>
  <c r="E54" a="1"/>
  <c r="E56" s="1"/>
  <c r="E79"/>
  <c r="Q28" s="1"/>
  <c r="E78"/>
  <c r="Q27" s="1"/>
  <c r="E77"/>
  <c r="Q26" s="1"/>
  <c r="H65"/>
  <c r="H64"/>
  <c r="H63"/>
  <c r="G65"/>
  <c r="G64"/>
  <c r="G63"/>
  <c r="F65"/>
  <c r="F64"/>
  <c r="F63"/>
  <c r="E65"/>
  <c r="E64"/>
  <c r="E63"/>
  <c r="D65"/>
  <c r="D64"/>
  <c r="D63"/>
  <c r="J14"/>
  <c r="J13"/>
  <c r="D12"/>
  <c r="D18"/>
  <c r="D17"/>
  <c r="D16"/>
  <c r="D15"/>
  <c r="D14"/>
  <c r="D13"/>
  <c r="N14"/>
  <c r="N13"/>
  <c r="M13"/>
  <c r="M14"/>
  <c r="L14"/>
  <c r="L13"/>
  <c r="K14"/>
  <c r="K13"/>
  <c r="K12"/>
  <c r="L12"/>
  <c r="M12"/>
  <c r="N12"/>
  <c r="C43"/>
  <c r="D43"/>
  <c r="C44"/>
  <c r="D44"/>
  <c r="C45"/>
  <c r="D45"/>
  <c r="C47"/>
  <c r="D47"/>
  <c r="C48"/>
  <c r="D48"/>
  <c r="C49"/>
  <c r="D49"/>
  <c r="B44"/>
  <c r="B45"/>
  <c r="B47"/>
  <c r="B48"/>
  <c r="B49"/>
  <c r="D108"/>
  <c r="E108"/>
  <c r="D109"/>
  <c r="E109"/>
  <c r="C108"/>
  <c r="C109"/>
  <c r="D104"/>
  <c r="E104"/>
  <c r="D105"/>
  <c r="E105"/>
  <c r="C105"/>
  <c r="C104"/>
  <c r="D112"/>
  <c r="E112"/>
  <c r="D113"/>
  <c r="E113"/>
  <c r="C113"/>
  <c r="C112"/>
  <c r="D111"/>
  <c r="E111"/>
  <c r="D107"/>
  <c r="E107"/>
  <c r="D103"/>
  <c r="E103"/>
  <c r="C11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I123" s="1"/>
  <c r="H119"/>
  <c r="G119"/>
  <c r="G123" s="1"/>
  <c r="F119"/>
  <c r="F123" s="1"/>
  <c r="E119"/>
  <c r="E123" s="1"/>
  <c r="D119"/>
  <c r="D123" s="1"/>
  <c r="C119"/>
  <c r="B119"/>
  <c r="B123" s="1"/>
  <c r="C41"/>
  <c r="B40"/>
  <c r="D37"/>
  <c r="C36"/>
  <c r="B35"/>
  <c r="E97"/>
  <c r="D97"/>
  <c r="C97"/>
  <c r="E96"/>
  <c r="D32" s="1"/>
  <c r="D96"/>
  <c r="C96"/>
  <c r="R95"/>
  <c r="N95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Q91"/>
  <c r="Q95" s="1"/>
  <c r="P91"/>
  <c r="P95" s="1"/>
  <c r="O91"/>
  <c r="O95" s="1"/>
  <c r="N91"/>
  <c r="M91"/>
  <c r="M95" s="1"/>
  <c r="J84"/>
  <c r="J85" s="1"/>
  <c r="J87" s="1"/>
  <c r="J83"/>
  <c r="J86" s="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K84" s="1"/>
  <c r="J77"/>
  <c r="I77"/>
  <c r="I84" s="1"/>
  <c r="H77"/>
  <c r="G77"/>
  <c r="F77"/>
  <c r="R26" s="1"/>
  <c r="D77"/>
  <c r="H54" a="1"/>
  <c r="H54" s="1"/>
  <c r="B43"/>
  <c r="D41"/>
  <c r="B41"/>
  <c r="D40"/>
  <c r="C40"/>
  <c r="D39"/>
  <c r="C39"/>
  <c r="B39"/>
  <c r="F54" s="1" a="1"/>
  <c r="C37"/>
  <c r="B37"/>
  <c r="D36"/>
  <c r="B36"/>
  <c r="D35"/>
  <c r="C35"/>
  <c r="D33"/>
  <c r="C33"/>
  <c r="B33"/>
  <c r="C32"/>
  <c r="B32"/>
  <c r="D31"/>
  <c r="B31"/>
  <c r="M28"/>
  <c r="M27"/>
  <c r="M26"/>
  <c r="M25"/>
  <c r="M24"/>
  <c r="M23"/>
  <c r="M22"/>
  <c r="C4"/>
  <c r="E7" s="1"/>
  <c r="H54" i="18" a="1"/>
  <c r="H56" s="1"/>
  <c r="D61"/>
  <c r="N14"/>
  <c r="N13"/>
  <c r="N12"/>
  <c r="H14"/>
  <c r="H13"/>
  <c r="H12"/>
  <c r="G12"/>
  <c r="H65"/>
  <c r="H64"/>
  <c r="H63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G54" a="1"/>
  <c r="G56" s="1"/>
  <c r="F54" a="1"/>
  <c r="F56" s="1"/>
  <c r="C99"/>
  <c r="C95"/>
  <c r="G63"/>
  <c r="G14"/>
  <c r="G13"/>
  <c r="F14"/>
  <c r="F13"/>
  <c r="F12"/>
  <c r="E14"/>
  <c r="E13"/>
  <c r="E12"/>
  <c r="D14"/>
  <c r="D13"/>
  <c r="D12"/>
  <c r="A16" i="19"/>
  <c r="B16"/>
  <c r="A17"/>
  <c r="B17"/>
  <c r="A15"/>
  <c r="A12"/>
  <c r="B12"/>
  <c r="A13"/>
  <c r="B13"/>
  <c r="A11"/>
  <c r="A8"/>
  <c r="B8"/>
  <c r="A9"/>
  <c r="B9"/>
  <c r="A7"/>
  <c r="C12"/>
  <c r="D12"/>
  <c r="C13"/>
  <c r="D13"/>
  <c r="C11"/>
  <c r="D11"/>
  <c r="B11"/>
  <c r="C16"/>
  <c r="D16"/>
  <c r="C17"/>
  <c r="D17"/>
  <c r="C15"/>
  <c r="D15"/>
  <c r="B15"/>
  <c r="C7"/>
  <c r="D7"/>
  <c r="C8"/>
  <c r="D8"/>
  <c r="C9"/>
  <c r="D9"/>
  <c r="B7"/>
  <c r="E101" i="18"/>
  <c r="D37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E107"/>
  <c r="E105"/>
  <c r="E104"/>
  <c r="E103"/>
  <c r="D101"/>
  <c r="C37" s="1"/>
  <c r="D100"/>
  <c r="C36" s="1"/>
  <c r="D99"/>
  <c r="C35" s="1"/>
  <c r="C140"/>
  <c r="C144" s="1"/>
  <c r="D140"/>
  <c r="D144" s="1"/>
  <c r="E140"/>
  <c r="E144" s="1"/>
  <c r="F140"/>
  <c r="F144" s="1"/>
  <c r="G140"/>
  <c r="G144" s="1"/>
  <c r="H140"/>
  <c r="H144" s="1"/>
  <c r="I140"/>
  <c r="I144" s="1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44" s="1"/>
  <c r="B133"/>
  <c r="B137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D137" s="1"/>
  <c r="E133"/>
  <c r="E137" s="1"/>
  <c r="F133"/>
  <c r="F137" s="1"/>
  <c r="G133"/>
  <c r="G137" s="1"/>
  <c r="H133"/>
  <c r="H137" s="1"/>
  <c r="I133"/>
  <c r="I137" s="1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F126"/>
  <c r="F130" s="1"/>
  <c r="G126"/>
  <c r="G130" s="1"/>
  <c r="H126"/>
  <c r="H130" s="1"/>
  <c r="I126"/>
  <c r="I130" s="1"/>
  <c r="B126"/>
  <c r="B130" s="1"/>
  <c r="C126"/>
  <c r="C130" s="1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E119"/>
  <c r="E123" s="1"/>
  <c r="F119"/>
  <c r="F123" s="1"/>
  <c r="G119"/>
  <c r="G123" s="1"/>
  <c r="H119"/>
  <c r="H123" s="1"/>
  <c r="I119"/>
  <c r="I123" s="1"/>
  <c r="C119"/>
  <c r="C123" s="1"/>
  <c r="D112"/>
  <c r="D113"/>
  <c r="D114"/>
  <c r="D115"/>
  <c r="D111"/>
  <c r="C45"/>
  <c r="B45"/>
  <c r="D44"/>
  <c r="D108"/>
  <c r="C44" s="1"/>
  <c r="B44"/>
  <c r="D107"/>
  <c r="C43" s="1"/>
  <c r="D43"/>
  <c r="D104"/>
  <c r="C40" s="1"/>
  <c r="D40"/>
  <c r="D41"/>
  <c r="D105"/>
  <c r="C41" s="1"/>
  <c r="B41"/>
  <c r="D103"/>
  <c r="D39"/>
  <c r="B39"/>
  <c r="E100"/>
  <c r="D36" s="1"/>
  <c r="E99"/>
  <c r="D35" s="1"/>
  <c r="B31"/>
  <c r="B40"/>
  <c r="D45"/>
  <c r="C39"/>
  <c r="N91"/>
  <c r="O91"/>
  <c r="P91"/>
  <c r="Q91"/>
  <c r="R91"/>
  <c r="S91"/>
  <c r="N92"/>
  <c r="O92"/>
  <c r="P92"/>
  <c r="Q92"/>
  <c r="R92"/>
  <c r="S92"/>
  <c r="N93"/>
  <c r="O93"/>
  <c r="P93"/>
  <c r="Q93"/>
  <c r="R93"/>
  <c r="S93"/>
  <c r="M92"/>
  <c r="M93"/>
  <c r="M91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7" s="1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K86" s="1"/>
  <c r="J15" i="4"/>
  <c r="H84" i="20" l="1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H55"/>
  <c r="G54" a="1"/>
  <c r="G54" s="1"/>
  <c r="K62"/>
  <c r="G62"/>
  <c r="G68" s="1"/>
  <c r="K61"/>
  <c r="G61"/>
  <c r="G67" s="1"/>
  <c r="K60"/>
  <c r="G60"/>
  <c r="G66" s="1"/>
  <c r="J12"/>
  <c r="I62"/>
  <c r="E61"/>
  <c r="E67" s="1"/>
  <c r="H62"/>
  <c r="H68" s="1"/>
  <c r="D62"/>
  <c r="H61"/>
  <c r="H67" s="1"/>
  <c r="D61"/>
  <c r="H60"/>
  <c r="H66" s="1"/>
  <c r="D60"/>
  <c r="E62"/>
  <c r="E68" s="1"/>
  <c r="I61"/>
  <c r="E60"/>
  <c r="E66" s="1"/>
  <c r="F7"/>
  <c r="J62"/>
  <c r="F62"/>
  <c r="F68" s="1"/>
  <c r="J61"/>
  <c r="F61"/>
  <c r="F67" s="1"/>
  <c r="J60"/>
  <c r="F60"/>
  <c r="F66" s="1"/>
  <c r="I60"/>
  <c r="K54"/>
  <c r="I56"/>
  <c r="F54"/>
  <c r="F55"/>
  <c r="F56"/>
  <c r="K56"/>
  <c r="K85"/>
  <c r="K87" s="1"/>
  <c r="H56"/>
  <c r="I55"/>
  <c r="J56"/>
  <c r="J54"/>
  <c r="K55"/>
  <c r="I83"/>
  <c r="I86" s="1"/>
  <c r="E84"/>
  <c r="D54" a="1"/>
  <c r="I54"/>
  <c r="J55"/>
  <c r="H54" i="18"/>
  <c r="H55"/>
  <c r="G54"/>
  <c r="G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H66" s="1"/>
  <c r="K62"/>
  <c r="J61"/>
  <c r="I60"/>
  <c r="H62"/>
  <c r="H68" s="1"/>
  <c r="K61"/>
  <c r="J60"/>
  <c r="I62"/>
  <c r="H61"/>
  <c r="H67" s="1"/>
  <c r="K60"/>
  <c r="F7"/>
  <c r="L95"/>
  <c r="Q95"/>
  <c r="M95"/>
  <c r="P95"/>
  <c r="R95"/>
  <c r="N95"/>
  <c r="S95"/>
  <c r="O95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K11" s="1"/>
  <c r="K28" s="1"/>
  <c r="G16"/>
  <c r="J15"/>
  <c r="F15"/>
  <c r="J32"/>
  <c r="F32"/>
  <c r="F22" i="15"/>
  <c r="J22"/>
  <c r="F23"/>
  <c r="J23"/>
  <c r="F24"/>
  <c r="J24"/>
  <c r="F39"/>
  <c r="J39"/>
  <c r="D16" i="14"/>
  <c r="I17"/>
  <c r="I10" s="1"/>
  <c r="I27" s="1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H86" i="20" l="1"/>
  <c r="T25" s="1"/>
  <c r="G85"/>
  <c r="G87" s="1"/>
  <c r="F85"/>
  <c r="F87" s="1"/>
  <c r="D85"/>
  <c r="D87" s="1"/>
  <c r="G55"/>
  <c r="G56"/>
  <c r="K65"/>
  <c r="K68" s="1"/>
  <c r="K64"/>
  <c r="K63"/>
  <c r="K66" s="1"/>
  <c r="I63"/>
  <c r="D68"/>
  <c r="D67"/>
  <c r="D66"/>
  <c r="I65"/>
  <c r="I68" s="1"/>
  <c r="I64"/>
  <c r="I67" s="1"/>
  <c r="J65"/>
  <c r="J68" s="1"/>
  <c r="J64"/>
  <c r="J67" s="1"/>
  <c r="J63"/>
  <c r="J66" s="1"/>
  <c r="J57" s="1"/>
  <c r="E86"/>
  <c r="Q25" s="1"/>
  <c r="E85"/>
  <c r="E87" s="1"/>
  <c r="H10" i="14"/>
  <c r="H27" s="1"/>
  <c r="I85" i="20"/>
  <c r="I87" s="1"/>
  <c r="K67"/>
  <c r="D54"/>
  <c r="D55"/>
  <c r="D56"/>
  <c r="I6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F33" s="1"/>
  <c r="F35" s="1"/>
  <c r="G10"/>
  <c r="G27" s="1"/>
  <c r="E9"/>
  <c r="E26" s="1"/>
  <c r="E33" s="1"/>
  <c r="E35" s="1"/>
  <c r="G9"/>
  <c r="G26" s="1"/>
  <c r="F11"/>
  <c r="F28" s="1"/>
  <c r="I11"/>
  <c r="I28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I33"/>
  <c r="I35" s="1"/>
  <c r="D17" i="4"/>
  <c r="D36" s="1"/>
  <c r="D16"/>
  <c r="D35" s="1"/>
  <c r="D15"/>
  <c r="E57" i="20" l="1"/>
  <c r="H57"/>
  <c r="K57"/>
  <c r="I57"/>
  <c r="G33" i="14"/>
  <c r="G34" s="1"/>
  <c r="D57" i="20"/>
  <c r="G57"/>
  <c r="H33" i="14"/>
  <c r="H34" s="1"/>
  <c r="F57" i="20"/>
  <c r="H57" i="18"/>
  <c r="D56"/>
  <c r="D55"/>
  <c r="D54"/>
  <c r="D33" i="14"/>
  <c r="D35" s="1"/>
  <c r="H35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F34"/>
  <c r="E34"/>
  <c r="J34"/>
  <c r="J18" i="4"/>
  <c r="D34"/>
  <c r="J19"/>
  <c r="J20"/>
  <c r="G35" i="14" l="1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sharedStrings.xml><?xml version="1.0" encoding="utf-8"?>
<sst xmlns="http://schemas.openxmlformats.org/spreadsheetml/2006/main" count="438" uniqueCount="170">
  <si>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</si>
  <si>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</si>
  <si>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</si>
  <si>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</si>
  <si>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</si>
  <si>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</si>
  <si>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</si>
  <si>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</si>
  <si>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</si>
  <si>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</si>
  <si>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</si>
  <si>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</si>
  <si>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</si>
  <si>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</si>
  <si>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</si>
  <si>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</si>
  <si>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</si>
  <si>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</si>
  <si>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</si>
  <si>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</si>
  <si>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</si>
  <si>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</si>
  <si>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</si>
  <si>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</si>
  <si>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</si>
  <si>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</si>
  <si>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</si>
  <si>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</si>
  <si>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</si>
  <si>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</si>
  <si>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</si>
  <si>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</si>
  <si>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</si>
  <si>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</si>
  <si>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</si>
  <si>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</si>
  <si>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</si>
  <si>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</si>
  <si>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</si>
  <si>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</si>
  <si>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</si>
  <si>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</si>
  <si>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</si>
  <si>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</si>
  <si>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</si>
  <si>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</si>
  <si>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</si>
  <si>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</si>
  <si>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</si>
  <si>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</si>
  <si>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</si>
  <si>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</si>
  <si>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</si>
  <si>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</si>
  <si>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</si>
  <si>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</si>
  <si>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</si>
  <si>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</si>
  <si>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</si>
  <si>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</si>
  <si>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</si>
  <si>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</si>
  <si>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</si>
  <si>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</si>
  <si>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</si>
  <si>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</si>
  <si>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</si>
  <si>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</si>
  <si>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</si>
  <si>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</si>
  <si>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</si>
  <si>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</si>
  <si>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</si>
  <si>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</si>
  <si>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</si>
  <si>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</si>
  <si>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</si>
  <si>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</si>
  <si>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</si>
  <si>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</si>
  <si>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</si>
  <si>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</si>
  <si>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</si>
  <si>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</si>
  <si>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</si>
  <si>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</si>
  <si>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</si>
  <si>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</si>
  <si>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</si>
  <si>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</si>
  <si>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</si>
  <si>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</si>
  <si>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</si>
  <si>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</si>
  <si>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</si>
  <si>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</si>
  <si>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</si>
  <si>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</si>
  <si>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</si>
  <si>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</si>
  <si>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</si>
  <si>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</si>
  <si>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</si>
  <si>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</si>
  <si>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</si>
  <si>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</si>
  <si>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</si>
  <si>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</si>
  <si>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</si>
  <si>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</si>
  <si>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</si>
  <si>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</si>
  <si>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</si>
  <si>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</si>
  <si>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</si>
  <si>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</si>
  <si>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</si>
  <si>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</si>
  <si>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</si>
  <si>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</si>
  <si>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</si>
  <si>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</si>
  <si>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</si>
  <si>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</si>
  <si>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</si>
  <si>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</si>
  <si>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</si>
  <si>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</si>
  <si>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</si>
  <si>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</si>
  <si>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</si>
  <si>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</si>
  <si>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</si>
  <si>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</si>
  <si>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</si>
  <si>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</si>
  <si>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</si>
  <si>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</si>
  <si>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</si>
  <si>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</si>
  <si>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</si>
  <si>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</si>
  <si>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</si>
  <si>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</si>
  <si>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</si>
  <si>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</si>
  <si>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</si>
  <si>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</si>
  <si>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</si>
  <si>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</si>
  <si>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</si>
  <si>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</si>
  <si>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</si>
  <si>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</si>
  <si>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</si>
  <si>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</si>
  <si>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</si>
  <si>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</si>
  <si>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</si>
  <si>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</si>
  <si>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P1</t>
  </si>
  <si>
    <t>P2</t>
  </si>
  <si>
    <t>P3</t>
  </si>
  <si>
    <t>P0</t>
  </si>
  <si>
    <t>a_0423</t>
  </si>
  <si>
    <t>0423</t>
  </si>
  <si>
    <t>a_0257</t>
  </si>
  <si>
    <t>a_0245</t>
  </si>
  <si>
    <t>a_0237</t>
  </si>
  <si>
    <t>a_0235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</si>
</sst>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E+0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164" fontId="11" fillId="8" borderId="18" xfId="0" applyNumberFormat="1" applyFont="1" applyFill="1" applyBorder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22" zoomScale="85" zoomScaleNormal="85" workbookViewId="0">
      <selection activeCell="I56" sqref="I5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49" t="s">
        <v>6</v>
      </c>
      <c r="C1" s="149"/>
      <c r="D1" s="149"/>
      <c r="E1" s="149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48" t="s">
        <v>5</v>
      </c>
      <c r="I6" s="148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49" t="s">
        <v>9</v>
      </c>
      <c r="C19" s="149"/>
      <c r="D19" s="149"/>
      <c r="E19" s="149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</row>
    <row r="52" spans="8:24">
      <c r="H52" t="s">
        <v>121</v>
      </c>
      <c r="I52" t="e">
        <v>#DIV/0!</v>
      </c>
    </row>
    <row r="53" spans="8:24">
      <c r="H53" t="s">
        <v>122</v>
      </c>
      <c r="I53">
        <v>-12.232758620689655</v>
      </c>
    </row>
    <row r="54" spans="8:24">
      <c r="H54" t="s">
        <v>123</v>
      </c>
      <c r="I54">
        <v>-4.4375</v>
      </c>
    </row>
    <row r="55" spans="8:24">
      <c r="H55" t="s">
        <v>127</v>
      </c>
      <c r="I55">
        <v>14.42443729903537</v>
      </c>
    </row>
    <row r="56" spans="8:24">
      <c r="H56" t="s">
        <v>126</v>
      </c>
      <c r="I56">
        <v>38.125</v>
      </c>
    </row>
    <row r="57" spans="8:24">
      <c r="H57" t="s">
        <v>125</v>
      </c>
      <c r="I57" t="e">
        <v>#DIV/0!</v>
      </c>
    </row>
    <row r="58" spans="8:24">
      <c r="H58" t="s">
        <v>124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opLeftCell="A40" workbookViewId="0">
      <selection activeCell="E65" sqref="E65"/>
    </sheetView>
  </sheetViews>
  <sheetFormatPr baseColWidth="10" defaultRowHeight="15"/>
  <sheetData>
    <row r="1" spans="1:15">
      <c r="A1" s="152">
        <v>0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0.29506271563788528</v>
      </c>
      <c r="K12" s="2">
        <f>A_1*(1/(2*PI())^2)*(T_2^2-T_0^2)</f>
        <v>-0.29506271563788528</v>
      </c>
      <c r="L12" s="2">
        <f>A_1*(1/(2*PI())^2)*(T_3^2-T_2^2)</f>
        <v>-4.934339448225919E-2</v>
      </c>
      <c r="M12" s="2">
        <f>A_1*(1/(2*PI())^2)*(T_4^2-T_2^2)</f>
        <v>2.2184390610409613E-2</v>
      </c>
      <c r="N12" s="2">
        <f>A_1*(1/(2*PI())^2)*(T_0^2-T_4^2)</f>
        <v>0.27287832502747572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0.34440611012014449</v>
      </c>
      <c r="K13" s="2">
        <f>A_1*(1/(2*PI())^2)*(T_2^2-T_3^2)</f>
        <v>4.934339448225919E-2</v>
      </c>
      <c r="L13" s="2">
        <f>A_1*(1/(2*PI())^2)*(T_3^2-T_0^2)</f>
        <v>-0.34440611012014449</v>
      </c>
      <c r="M13" s="2">
        <f>A_1*(1/(2*PI())^2)*(T_4^2-T_3^2)</f>
        <v>7.15277850926688E-2</v>
      </c>
      <c r="N13" s="2">
        <f>A_1*(1/(2*PI())^2)*(T_0^2-T_2^2)</f>
        <v>0.29506271563788528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0.27287832502747572</v>
      </c>
      <c r="K14" s="2">
        <f>A_1*(1/(2*PI())^2)*(T_2^2-T_4^2)</f>
        <v>-2.2184390610409613E-2</v>
      </c>
      <c r="L14" s="2">
        <f>A_1*(1/(2*PI())^2)*(T_3^2-T_4^2)</f>
        <v>-7.15277850926688E-2</v>
      </c>
      <c r="M14" s="2">
        <f>A_1*(1/(2*PI())^2)*(T_4^2-T_0^2)</f>
        <v>-0.27287832502747572</v>
      </c>
      <c r="N14" s="2">
        <f>A_1*(1/(2*PI())^2)*(T_0^2-T_3^2)</f>
        <v>0.34440611012014449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-0.29354965098695418</v>
      </c>
      <c r="E22" s="126">
        <v>0.19645283854654952</v>
      </c>
      <c r="F22" s="126">
        <v>0.17958751254561342</v>
      </c>
      <c r="G22" s="126">
        <v>9.5168924696508075E-2</v>
      </c>
      <c r="H22" s="126">
        <v>0</v>
      </c>
      <c r="I22" s="70">
        <v>-0.15855509315995797</v>
      </c>
      <c r="J22" s="70">
        <v>-0.85603789680002773</v>
      </c>
      <c r="K22" s="70">
        <v>0.65342120690916317</v>
      </c>
      <c r="L22" s="153" t="s">
        <v>150</v>
      </c>
      <c r="M22" s="78">
        <f ca="1">RAND()-RAND()</f>
        <v>7.9453296716732957E-2</v>
      </c>
    </row>
    <row r="23" spans="1:20">
      <c r="B23" s="2" t="s">
        <v>82</v>
      </c>
      <c r="C23" s="2"/>
      <c r="D23" s="125">
        <v>5.3648243711669603E-2</v>
      </c>
      <c r="E23" s="126">
        <v>7.7680075149175413E-3</v>
      </c>
      <c r="F23" s="126">
        <v>-0.5186444911625343</v>
      </c>
      <c r="G23" s="126">
        <v>-0.46922310103493708</v>
      </c>
      <c r="H23" s="126">
        <v>0.49012609018165243</v>
      </c>
      <c r="I23" s="70">
        <v>-0.3582528703161334</v>
      </c>
      <c r="J23" s="70">
        <v>0.54958182007341416</v>
      </c>
      <c r="K23" s="70">
        <v>-0.40737763775813596</v>
      </c>
      <c r="L23" s="153"/>
      <c r="M23" s="78">
        <f t="shared" ref="M23:M28" ca="1" si="0">RAND()-RAND()</f>
        <v>0.12447346033102935</v>
      </c>
    </row>
    <row r="24" spans="1:20">
      <c r="B24" s="2" t="s">
        <v>83</v>
      </c>
      <c r="C24" s="2"/>
      <c r="D24" s="125">
        <v>-0.32592113041374748</v>
      </c>
      <c r="E24" s="126">
        <v>0.42916353390062578</v>
      </c>
      <c r="F24" s="126">
        <v>0.53553966624360649</v>
      </c>
      <c r="G24" s="126">
        <v>0.29148770222927073</v>
      </c>
      <c r="H24" s="126">
        <v>0</v>
      </c>
      <c r="I24" s="70">
        <v>-2.4909669184959959E-2</v>
      </c>
      <c r="J24" s="70">
        <v>-0.36477405011057273</v>
      </c>
      <c r="K24" s="70">
        <v>0.20797765241452781</v>
      </c>
      <c r="L24" s="153"/>
      <c r="M24" s="78">
        <f t="shared" ca="1" si="0"/>
        <v>0.22273342299547294</v>
      </c>
    </row>
    <row r="25" spans="1:20">
      <c r="B25" s="50" t="s">
        <v>84</v>
      </c>
      <c r="C25" s="2" t="s">
        <v>27</v>
      </c>
      <c r="D25" s="125">
        <v>-0.48287200132073005</v>
      </c>
      <c r="E25" s="126">
        <v>-0.24255667285058308</v>
      </c>
      <c r="F25" s="126">
        <v>0.43804556622083146</v>
      </c>
      <c r="G25" s="126">
        <v>0.17393393251720743</v>
      </c>
      <c r="H25" s="126">
        <v>0</v>
      </c>
      <c r="I25" s="70">
        <v>-0.60127917735887881</v>
      </c>
      <c r="J25" s="70">
        <v>7.3809363778690518E-2</v>
      </c>
      <c r="K25" s="70">
        <v>0.45904960287541474</v>
      </c>
      <c r="L25" s="153"/>
      <c r="M25" s="78">
        <f t="shared" ca="1" si="0"/>
        <v>0.28473529896575034</v>
      </c>
      <c r="P25" s="113">
        <f>D86</f>
        <v>6.7433609130082561E-2</v>
      </c>
      <c r="Q25" s="113">
        <f>E86</f>
        <v>-0.32645474039550004</v>
      </c>
      <c r="R25" s="113">
        <f t="shared" ref="R25:T25" si="1">F86</f>
        <v>-0.45017880327581161</v>
      </c>
      <c r="S25" s="113">
        <f t="shared" si="1"/>
        <v>-0.27836468849807017</v>
      </c>
      <c r="T25" s="113">
        <f t="shared" si="1"/>
        <v>1.8544028085214048E-2</v>
      </c>
    </row>
    <row r="26" spans="1:20">
      <c r="B26" s="2" t="s">
        <v>48</v>
      </c>
      <c r="C26" s="2"/>
      <c r="D26" s="125">
        <v>5.3822821172447452E-2</v>
      </c>
      <c r="E26" s="126">
        <v>-0.99592010107729134</v>
      </c>
      <c r="F26" s="126">
        <v>1.4357363842766808</v>
      </c>
      <c r="G26" s="126">
        <v>-1.4034382296987484</v>
      </c>
      <c r="H26" s="125">
        <v>3.2157631656179429E-2</v>
      </c>
      <c r="I26" s="70">
        <v>-0.64147819789622496</v>
      </c>
      <c r="J26" s="70">
        <v>-2.6436636559469484E-2</v>
      </c>
      <c r="K26" s="70">
        <v>-1.0305960682470916E-2</v>
      </c>
      <c r="L26" s="153"/>
      <c r="M26" s="78">
        <f t="shared" ca="1" si="0"/>
        <v>-0.58109138405606497</v>
      </c>
      <c r="P26" s="35">
        <f>D77</f>
        <v>5.3822821172447452E-2</v>
      </c>
      <c r="Q26" s="35">
        <f t="shared" ref="Q26:T28" si="2">E77</f>
        <v>-0.99592010107729134</v>
      </c>
      <c r="R26" s="35">
        <f t="shared" si="2"/>
        <v>1.4357363842766808</v>
      </c>
      <c r="S26" s="35">
        <f t="shared" si="2"/>
        <v>-1.4034382296987484</v>
      </c>
      <c r="T26" s="35">
        <f t="shared" si="2"/>
        <v>3.2157631656179429E-2</v>
      </c>
    </row>
    <row r="27" spans="1:20">
      <c r="B27" t="s">
        <v>47</v>
      </c>
      <c r="D27" s="125">
        <v>0.98539173383638723</v>
      </c>
      <c r="E27" s="126">
        <v>1.0096552566930388</v>
      </c>
      <c r="F27" s="126">
        <v>0.15773317025381986</v>
      </c>
      <c r="G27" s="126">
        <v>-5.2903230594342099E-2</v>
      </c>
      <c r="H27" s="125">
        <v>0.93489495057938043</v>
      </c>
      <c r="I27" s="70">
        <v>4.8639647915487139E-2</v>
      </c>
      <c r="J27" s="70">
        <v>-0.42478485919807984</v>
      </c>
      <c r="K27" s="70">
        <v>5.2954891334215048E-2</v>
      </c>
      <c r="L27" s="153"/>
      <c r="M27" s="78">
        <f t="shared" ca="1" si="0"/>
        <v>1.4687604379063579E-2</v>
      </c>
      <c r="P27" s="35">
        <f t="shared" ref="P27:P28" si="3">D78</f>
        <v>0.98539173383638723</v>
      </c>
      <c r="Q27" s="35">
        <f t="shared" si="2"/>
        <v>1.0096552566930388</v>
      </c>
      <c r="R27" s="35">
        <f t="shared" si="2"/>
        <v>0.15773317025381986</v>
      </c>
      <c r="S27" s="35">
        <f t="shared" si="2"/>
        <v>-5.2903230594342099E-2</v>
      </c>
      <c r="T27" s="35">
        <f t="shared" si="2"/>
        <v>0.93489495057938043</v>
      </c>
    </row>
    <row r="28" spans="1:20">
      <c r="B28" t="s">
        <v>52</v>
      </c>
      <c r="C28" s="2"/>
      <c r="D28" s="125">
        <v>0.74835310991101922</v>
      </c>
      <c r="E28" s="126">
        <v>-6.2676472439506359E-2</v>
      </c>
      <c r="F28" s="126">
        <v>-0.14409922721041254</v>
      </c>
      <c r="G28" s="126">
        <v>-0.15298194848103042</v>
      </c>
      <c r="H28" s="125">
        <v>0.71403766314909867</v>
      </c>
      <c r="I28" s="70">
        <v>-0.12219530665103107</v>
      </c>
      <c r="J28" s="70">
        <v>-0.2246402934383831</v>
      </c>
      <c r="K28" s="70">
        <v>-9.8948905880472005E-2</v>
      </c>
      <c r="L28" s="153"/>
      <c r="M28" s="78">
        <f t="shared" ca="1" si="0"/>
        <v>-0.13864540049294316</v>
      </c>
      <c r="P28" s="35">
        <f t="shared" si="3"/>
        <v>0.74835310991101922</v>
      </c>
      <c r="Q28" s="35">
        <f t="shared" si="2"/>
        <v>-6.2676472439506359E-2</v>
      </c>
      <c r="R28" s="35">
        <f t="shared" si="2"/>
        <v>-0.14409922721041254</v>
      </c>
      <c r="S28" s="35">
        <f t="shared" si="2"/>
        <v>-0.15298194848103042</v>
      </c>
      <c r="T28" s="35">
        <f t="shared" si="2"/>
        <v>0.71403766314909867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52" t="s">
        <v>152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</row>
    <row r="42" spans="1:13">
      <c r="A42" s="2"/>
      <c r="B42" s="79"/>
      <c r="C42" s="79"/>
      <c r="D42" s="79"/>
      <c r="E42" s="2"/>
      <c r="F42" s="68"/>
      <c r="G42" s="2"/>
      <c r="H42" s="66"/>
      <c r="I42" s="2"/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164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35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35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165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0.59394709766441345</v>
      </c>
      <c r="E54" s="109">
        <f t="array" ref="E54:E56">MMULT($B$35:$D$37,E$26:E$28)</f>
        <v>1.1272906992141021</v>
      </c>
      <c r="F54" s="109">
        <f t="array" ref="F54:F56">MMULT($B$39:$D$41,F$26:F$28)</f>
        <v>3.3674696889956248</v>
      </c>
      <c r="G54" s="109">
        <f t="array" ref="G54:G56">MMULT($B$43:$D$45,G$26:G$28)</f>
        <v>0.62156595865376096</v>
      </c>
      <c r="H54" s="109">
        <f t="array" ref="H54:H56">MMULT($B$47:$D$49,H$26:H$28)</f>
        <v>1.5852528369869496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1.2657647170738149</v>
      </c>
      <c r="E55" s="109">
        <v>3.3018444783975776</v>
      </c>
      <c r="F55" s="109">
        <v>1.9893109225906862</v>
      </c>
      <c r="G55" s="109">
        <v>4.0154693615431132</v>
      </c>
      <c r="H55" s="109">
        <v>0.5469269450760107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1.6962599042214146</v>
      </c>
      <c r="E56" s="109">
        <v>0.69485963302023546</v>
      </c>
      <c r="F56" s="109">
        <v>4.1105943648550971</v>
      </c>
      <c r="G56" s="109">
        <v>2.1998422869211121</v>
      </c>
      <c r="H56" s="109">
        <v>1.2303267264842874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3.2598763087949049E-13</v>
      </c>
      <c r="E57" s="127">
        <f>(E$66-E$54)^2+(E$67-E$55)^2+(E$68-E$56)^2</f>
        <v>3.2156080882258942E-12</v>
      </c>
      <c r="F57" s="127">
        <f>(F$66-F$54)^2+(F$67-F$55)^2+(F$68-F$56)^2</f>
        <v>1.4389055183163385E-12</v>
      </c>
      <c r="G57" s="127">
        <f>(G$66-G$54)^2+(G$67-G$55)^2+(G$68-G$56)^2</f>
        <v>7.5384161136630643E-13</v>
      </c>
      <c r="H57" s="127">
        <f>(H$66-H$54)^2+(H$67-H$55)^2+(H$68-H$56)^2</f>
        <v>6.4973998573667601E-14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1.2486070199538095E-3</v>
      </c>
      <c r="E60" s="80">
        <f>A_1*($E$22^2-E23^2)</f>
        <v>5.7763427102182937E-4</v>
      </c>
      <c r="F60" s="80">
        <f t="shared" ref="F60:K62" si="18">A_1*(F$22^2-F23^2)</f>
        <v>-3.548855629751161E-3</v>
      </c>
      <c r="G60" s="80">
        <f t="shared" si="18"/>
        <v>-3.1646906991294058E-3</v>
      </c>
      <c r="H60" s="80">
        <f t="shared" si="18"/>
        <v>-3.6010697736437998E-3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53" t="s">
        <v>96</v>
      </c>
    </row>
    <row r="61" spans="1:16" ht="18.75">
      <c r="B61" s="56" t="s">
        <v>88</v>
      </c>
      <c r="C61" s="57"/>
      <c r="D61" s="80">
        <f>A_1*($D$22^2-D24^2)</f>
        <v>-3.006071237639148E-4</v>
      </c>
      <c r="E61" s="80">
        <f>A_1*($E$22^2-E24^2)</f>
        <v>-2.1824301022890097E-3</v>
      </c>
      <c r="F61" s="80">
        <f t="shared" si="18"/>
        <v>-3.8158456790284788E-3</v>
      </c>
      <c r="G61" s="80">
        <f t="shared" si="18"/>
        <v>-1.1378976294806656E-3</v>
      </c>
      <c r="H61" s="80">
        <f t="shared" si="18"/>
        <v>0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53"/>
    </row>
    <row r="62" spans="1:16" ht="18.75">
      <c r="B62" s="56" t="s">
        <v>89</v>
      </c>
      <c r="C62" s="57"/>
      <c r="D62" s="80">
        <f>A_1*($D$22^2-D25^2)</f>
        <v>-2.2035119961452726E-3</v>
      </c>
      <c r="E62" s="80">
        <f>A_1*($E$22^2-E25^2)</f>
        <v>-3.0340788910519746E-4</v>
      </c>
      <c r="F62" s="80">
        <f t="shared" si="18"/>
        <v>-2.3929659047494793E-3</v>
      </c>
      <c r="G62" s="80">
        <f t="shared" si="18"/>
        <v>-3.177368041679964E-4</v>
      </c>
      <c r="H62" s="80">
        <f t="shared" si="18"/>
        <v>0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53"/>
    </row>
    <row r="63" spans="1:16">
      <c r="B63" s="56" t="s">
        <v>86</v>
      </c>
      <c r="C63" s="58"/>
      <c r="D63" s="80">
        <f>A_2*(T_0*$D$22-T_2*D23)</f>
        <v>4.577160882461144E-2</v>
      </c>
      <c r="E63" s="80">
        <f>A_2*(T_2*$E$22-T_0*E23)</f>
        <v>-1.0338613727694479E-2</v>
      </c>
      <c r="F63" s="80">
        <f>A_2*(T_3*F$22-T_2*F23)</f>
        <v>-3.4075929039431248E-2</v>
      </c>
      <c r="G63" s="80">
        <f>A_2*(T_4*G$22-T_2*G23)</f>
        <v>-2.0838315693340569E-2</v>
      </c>
      <c r="H63" s="80">
        <f>A_2*(T_0*H$22-T_4*H23)</f>
        <v>-3.3734379204648592E-2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53"/>
    </row>
    <row r="64" spans="1:16">
      <c r="B64" s="56" t="s">
        <v>91</v>
      </c>
      <c r="C64" s="58" t="s">
        <v>27</v>
      </c>
      <c r="D64" s="80">
        <f>A_2*(T_0*$D$22-T_3*D24)</f>
        <v>3.5739078042004019E-2</v>
      </c>
      <c r="E64" s="80">
        <f>A_2*(T_2*$E$22-T_3*E24)</f>
        <v>-2.3798319649106954E-3</v>
      </c>
      <c r="F64" s="80">
        <f>A_2*(T_3*F$22-T_0*F24)</f>
        <v>7.3988311713415134E-2</v>
      </c>
      <c r="G64" s="80">
        <f>A_2*(T_4*G$22-T_3*G24)</f>
        <v>1.2722264611075272E-2</v>
      </c>
      <c r="H64" s="80">
        <f>A_2*(T_0*H$22-T_2*H24)</f>
        <v>0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53"/>
    </row>
    <row r="65" spans="1:12">
      <c r="B65" s="56" t="s">
        <v>90</v>
      </c>
      <c r="C65" s="58"/>
      <c r="D65" s="80">
        <f>A_2*(T_0*$D$22-T_4*D25)</f>
        <v>7.5875250610228623E-2</v>
      </c>
      <c r="E65" s="80">
        <f>A_2*(T_2*$E$22-T_4*E25)</f>
        <v>5.2277095496616787E-3</v>
      </c>
      <c r="F65" s="80">
        <f>A_2*(T_3*F$22-T_4*F25)</f>
        <v>-3.3952381889616273E-2</v>
      </c>
      <c r="G65" s="80">
        <f>A_2*(T_4*G$22-T_0*G25)</f>
        <v>3.1815412463819442E-2</v>
      </c>
      <c r="H65" s="80">
        <f>A_2*(T_0*H$22-T_3*H25)</f>
        <v>0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53"/>
    </row>
    <row r="66" spans="1:12">
      <c r="B66" t="s">
        <v>45</v>
      </c>
      <c r="C66" s="2"/>
      <c r="D66" s="55">
        <f t="shared" ref="D66:G67" si="20">D12+D60+D63-J12</f>
        <v>0.59394692492130674</v>
      </c>
      <c r="E66" s="55">
        <f t="shared" si="20"/>
        <v>1.1272911608958394</v>
      </c>
      <c r="F66" s="55">
        <f t="shared" si="20"/>
        <v>3.3674687337449356</v>
      </c>
      <c r="G66" s="55">
        <f t="shared" si="20"/>
        <v>0.62156527647162108</v>
      </c>
      <c r="H66" s="142">
        <f>H12+H60+H63-$N$12</f>
        <v>1.5852529312645625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53"/>
    </row>
    <row r="67" spans="1:12">
      <c r="B67" t="s">
        <v>43</v>
      </c>
      <c r="D67" s="55">
        <f t="shared" si="20"/>
        <v>1.2657652171528506</v>
      </c>
      <c r="E67" s="55">
        <f t="shared" si="20"/>
        <v>3.3018444673824003</v>
      </c>
      <c r="F67" s="55">
        <f t="shared" si="20"/>
        <v>1.9893114325092862</v>
      </c>
      <c r="G67" s="55">
        <f t="shared" si="20"/>
        <v>4.0154690255703755</v>
      </c>
      <c r="H67" s="142">
        <f>H13+H61+H64-$N$13</f>
        <v>0.54692670907674157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53"/>
    </row>
    <row r="68" spans="1:12">
      <c r="B68" t="s">
        <v>42</v>
      </c>
      <c r="C68" s="2"/>
      <c r="D68" s="55">
        <f t="shared" ref="D68" si="23">D14+D62+D65-J14</f>
        <v>1.6962601188569382</v>
      </c>
      <c r="E68" s="55">
        <f>E14+E62+E65-K14</f>
        <v>0.69486136574546686</v>
      </c>
      <c r="F68" s="55">
        <f>F14+F62+F65-L14</f>
        <v>4.110594880979753</v>
      </c>
      <c r="G68" s="55">
        <f>G14+G62+G65-M14</f>
        <v>2.1998427059574577</v>
      </c>
      <c r="H68" s="142">
        <f>H14+H62+H65-$N$14</f>
        <v>1.2303267462346106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53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52" t="s">
        <v>62</v>
      </c>
      <c r="B70" s="152"/>
      <c r="C70" s="152"/>
      <c r="D70" s="152"/>
      <c r="E70" s="152"/>
      <c r="F70" s="152"/>
      <c r="G70" s="152"/>
      <c r="H70" s="152"/>
      <c r="I70" s="152"/>
      <c r="J70" s="152"/>
      <c r="K70" s="152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52" t="s">
        <v>64</v>
      </c>
      <c r="B75" s="152"/>
      <c r="C75" s="152"/>
      <c r="D75" s="152"/>
      <c r="E75" s="152"/>
      <c r="F75" s="152"/>
      <c r="G75" s="152"/>
      <c r="H75" s="152"/>
      <c r="I75" s="152"/>
      <c r="J75" s="152"/>
      <c r="K75" s="152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5.3822821172447452E-2</v>
      </c>
      <c r="E77" s="32">
        <f t="shared" ref="E77:G77" si="24">E26+E71</f>
        <v>-0.99592010107729134</v>
      </c>
      <c r="F77" s="32">
        <f t="shared" si="24"/>
        <v>1.4357363842766808</v>
      </c>
      <c r="G77" s="32">
        <f t="shared" si="24"/>
        <v>-1.4034382296987484</v>
      </c>
      <c r="H77" s="104">
        <f>H26+$D$71</f>
        <v>3.2157631656179429E-2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0.98539173383638723</v>
      </c>
      <c r="E78" s="32">
        <f t="shared" ref="E78:G78" si="27">E27+E72</f>
        <v>1.0096552566930388</v>
      </c>
      <c r="F78" s="32">
        <f t="shared" si="27"/>
        <v>0.15773317025381986</v>
      </c>
      <c r="G78" s="32">
        <f t="shared" si="27"/>
        <v>-5.2903230594342099E-2</v>
      </c>
      <c r="H78" s="104">
        <f t="shared" si="25"/>
        <v>0.93489495057938043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0.74835310991101922</v>
      </c>
      <c r="E79" s="32">
        <f t="shared" ref="E79:G79" si="28">E28+E73</f>
        <v>-6.2676472439506359E-2</v>
      </c>
      <c r="F79" s="32">
        <f t="shared" si="28"/>
        <v>-0.14409922721041254</v>
      </c>
      <c r="G79" s="32">
        <f t="shared" si="28"/>
        <v>-0.15298194848103042</v>
      </c>
      <c r="H79" s="104">
        <f t="shared" si="25"/>
        <v>0.71403766314909867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52" t="s">
        <v>67</v>
      </c>
      <c r="B81" s="152"/>
      <c r="C81" s="152"/>
      <c r="D81" s="152"/>
      <c r="E81" s="152"/>
      <c r="F81" s="152"/>
      <c r="G81" s="152"/>
      <c r="H81" s="152"/>
      <c r="I81" s="152"/>
      <c r="J81" s="152"/>
      <c r="K81" s="152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54" t="s">
        <v>71</v>
      </c>
      <c r="C83" s="154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50" t="s">
        <v>70</v>
      </c>
      <c r="C84" s="150"/>
      <c r="D84" s="36">
        <f>SQRT(D77^2+D78^2+D79^2)</f>
        <v>1.2385177198189523</v>
      </c>
      <c r="E84" s="106">
        <f t="shared" ref="E84:K84" si="29">SQRT(E77^2+E78^2+E79^2)</f>
        <v>1.4195735011950417</v>
      </c>
      <c r="F84" s="106">
        <f t="shared" si="29"/>
        <v>1.451545144119478</v>
      </c>
      <c r="G84" s="106">
        <f t="shared" si="29"/>
        <v>1.4127424014831322</v>
      </c>
      <c r="H84" s="106">
        <f t="shared" si="29"/>
        <v>1.176823039495736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50" t="s">
        <v>69</v>
      </c>
      <c r="C85" s="150"/>
      <c r="D85" s="36">
        <f>D84-D83</f>
        <v>8.3517719818952285E-2</v>
      </c>
      <c r="E85" s="106">
        <f t="shared" ref="E85:K85" si="30">E84-E83</f>
        <v>-0.46342649880495834</v>
      </c>
      <c r="F85" s="106">
        <f t="shared" si="30"/>
        <v>-0.65345485588052199</v>
      </c>
      <c r="G85" s="106">
        <f t="shared" si="30"/>
        <v>-0.39325759851686781</v>
      </c>
      <c r="H85" s="106">
        <f t="shared" si="30"/>
        <v>2.1823039495735941E-2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51" t="s">
        <v>68</v>
      </c>
      <c r="C86" s="151"/>
      <c r="D86" s="39">
        <f>1-D83/D84</f>
        <v>6.7433609130082561E-2</v>
      </c>
      <c r="E86" s="107">
        <f t="shared" ref="E86:K86" si="31">1-E83/E84</f>
        <v>-0.32645474039550004</v>
      </c>
      <c r="F86" s="107">
        <f t="shared" si="31"/>
        <v>-0.45017880327581161</v>
      </c>
      <c r="G86" s="107">
        <f t="shared" si="31"/>
        <v>-0.27836468849807017</v>
      </c>
      <c r="H86" s="107">
        <f t="shared" si="31"/>
        <v>1.8544028085214048E-2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6.9752095237570156E-3</v>
      </c>
      <c r="E87" s="108">
        <f t="shared" ref="E87:K87" si="32">E85*E85</f>
        <v>0.21476411979462207</v>
      </c>
      <c r="F87" s="108">
        <f t="shared" si="32"/>
        <v>0.42700324867383377</v>
      </c>
      <c r="G87" s="108">
        <f t="shared" si="32"/>
        <v>0.15465153879125398</v>
      </c>
      <c r="H87" s="108">
        <f t="shared" si="32"/>
        <v>4.7624505283245079E-4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33">D91-$C91</f>
        <v>-1.253875629566908</v>
      </c>
      <c r="N91" s="35">
        <f t="shared" si="33"/>
        <v>1.0419123890112216</v>
      </c>
      <c r="O91" s="35">
        <f t="shared" si="33"/>
        <v>-1.4028471761352286</v>
      </c>
      <c r="P91" s="35">
        <f t="shared" si="33"/>
        <v>1.4421025939282253</v>
      </c>
      <c r="Q91" s="35">
        <f t="shared" si="33"/>
        <v>-1.0351585166444344</v>
      </c>
      <c r="R91" s="35">
        <f t="shared" si="33"/>
        <v>0.58367185674448252</v>
      </c>
      <c r="S91" s="35">
        <f t="shared" si="33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33"/>
        <v>-3.2592166127769939E-2</v>
      </c>
      <c r="N92" s="35">
        <f t="shared" si="33"/>
        <v>-4.0818532431212473E-2</v>
      </c>
      <c r="O92" s="35">
        <f t="shared" si="33"/>
        <v>0.814665459345566</v>
      </c>
      <c r="P92" s="35">
        <f t="shared" si="33"/>
        <v>1.0431877148697888</v>
      </c>
      <c r="Q92" s="35">
        <f t="shared" si="33"/>
        <v>2.1037449841221099</v>
      </c>
      <c r="R92" s="35">
        <f t="shared" si="33"/>
        <v>2.0841504898711007</v>
      </c>
      <c r="S92" s="35">
        <f t="shared" si="33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33"/>
        <v>0.73934661383723232</v>
      </c>
      <c r="N93" s="35">
        <f t="shared" si="33"/>
        <v>0.77248383184656022</v>
      </c>
      <c r="O93" s="35">
        <f t="shared" si="33"/>
        <v>0.7195871750303805</v>
      </c>
      <c r="P93" s="35">
        <f t="shared" si="33"/>
        <v>0.78932433807079116</v>
      </c>
      <c r="Q93" s="35">
        <f t="shared" si="33"/>
        <v>0.82913701269133588</v>
      </c>
      <c r="R93" s="35">
        <f t="shared" si="33"/>
        <v>0.75171422039661484</v>
      </c>
      <c r="S93" s="35">
        <f t="shared" si="33"/>
        <v>6.368425350466822E-2</v>
      </c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4">M$101-M$99</f>
        <v>-4.0818532431212473E-2</v>
      </c>
      <c r="E95" s="85">
        <f t="shared" si="34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35">SQRT(N91^2+N92^2+N93^2)</f>
        <v>1.2976821064610753</v>
      </c>
      <c r="O95" s="35">
        <f t="shared" si="35"/>
        <v>1.7746734101545305</v>
      </c>
      <c r="P95" s="35">
        <f t="shared" si="35"/>
        <v>1.9470319490292554</v>
      </c>
      <c r="Q95" s="35">
        <f t="shared" si="35"/>
        <v>2.4869186353025614</v>
      </c>
      <c r="R95" s="35">
        <f t="shared" si="35"/>
        <v>2.2911635406343196</v>
      </c>
      <c r="S95" s="35">
        <f t="shared" si="35"/>
        <v>2.3677593547081863</v>
      </c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6">M$102-M$99</f>
        <v>0.814665459345566</v>
      </c>
      <c r="E96" s="85">
        <f t="shared" si="36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7">M$103-M$99</f>
        <v>1.0431877148697888</v>
      </c>
      <c r="E97" s="85">
        <f t="shared" si="37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8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9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40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41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2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3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4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5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6">E91-$C91</f>
        <v>1.0419123890112216</v>
      </c>
      <c r="E119" s="95">
        <f t="shared" si="46"/>
        <v>-1.4028471761352286</v>
      </c>
      <c r="F119" s="95">
        <f t="shared" si="46"/>
        <v>1.4421025939282253</v>
      </c>
      <c r="G119" s="136">
        <f t="shared" si="46"/>
        <v>-1.0351585166444344</v>
      </c>
      <c r="H119" s="118">
        <f t="shared" si="46"/>
        <v>0.58367185674448252</v>
      </c>
      <c r="I119" s="133">
        <f t="shared" si="46"/>
        <v>-2.5457845528396139E-2</v>
      </c>
      <c r="K119" s="99" t="s">
        <v>147</v>
      </c>
    </row>
    <row r="120" spans="1:13">
      <c r="B120" s="94">
        <f t="shared" ref="B120:C120" si="47">C92-$C92</f>
        <v>0</v>
      </c>
      <c r="C120" s="118">
        <f t="shared" si="47"/>
        <v>-3.2592166127769939E-2</v>
      </c>
      <c r="D120" s="95">
        <f t="shared" ref="D120:I120" si="48">E92-$C92</f>
        <v>-4.0818532431212473E-2</v>
      </c>
      <c r="E120" s="95">
        <f t="shared" si="48"/>
        <v>0.814665459345566</v>
      </c>
      <c r="F120" s="95">
        <f t="shared" si="48"/>
        <v>1.0431877148697888</v>
      </c>
      <c r="G120" s="136">
        <f t="shared" si="48"/>
        <v>2.1037449841221099</v>
      </c>
      <c r="H120" s="121">
        <f t="shared" si="48"/>
        <v>2.0841504898711007</v>
      </c>
      <c r="I120" s="133">
        <f t="shared" si="48"/>
        <v>2.3667658472617719</v>
      </c>
      <c r="K120" s="100" t="s">
        <v>148</v>
      </c>
    </row>
    <row r="121" spans="1:13">
      <c r="B121" s="94">
        <f t="shared" ref="B121:C121" si="49">C93-$C93</f>
        <v>0</v>
      </c>
      <c r="C121" s="118">
        <f t="shared" si="49"/>
        <v>0.73934661383723232</v>
      </c>
      <c r="D121" s="95">
        <f t="shared" ref="D121:I121" si="50">E93-$C93</f>
        <v>0.77248383184656022</v>
      </c>
      <c r="E121" s="95">
        <f t="shared" si="50"/>
        <v>0.7195871750303805</v>
      </c>
      <c r="F121" s="95">
        <f t="shared" si="50"/>
        <v>0.78932433807079116</v>
      </c>
      <c r="G121" s="136">
        <f t="shared" si="50"/>
        <v>0.82913701269133588</v>
      </c>
      <c r="H121" s="118">
        <f t="shared" si="50"/>
        <v>0.75171422039661484</v>
      </c>
      <c r="I121" s="133">
        <f t="shared" si="50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51">SQRT(C119^2+C120^2+C121^2)</f>
        <v>1.4559875545853034</v>
      </c>
      <c r="D123" s="98">
        <f t="shared" si="51"/>
        <v>1.2976821064610753</v>
      </c>
      <c r="E123" s="98">
        <f t="shared" si="51"/>
        <v>1.7746734101545305</v>
      </c>
      <c r="F123" s="98">
        <f t="shared" si="51"/>
        <v>1.9470319490292554</v>
      </c>
      <c r="G123" s="134">
        <f t="shared" si="51"/>
        <v>2.4869186353025614</v>
      </c>
      <c r="H123" s="97">
        <f t="shared" si="51"/>
        <v>2.2911635406343196</v>
      </c>
      <c r="I123" s="134">
        <f t="shared" si="51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2">E91-$E91</f>
        <v>0</v>
      </c>
      <c r="E126" s="95">
        <f t="shared" si="52"/>
        <v>-2.44475956514645</v>
      </c>
      <c r="F126" s="95">
        <f t="shared" si="52"/>
        <v>0.40019020491700363</v>
      </c>
      <c r="G126" s="123">
        <f t="shared" si="52"/>
        <v>-2.0770709056556558</v>
      </c>
      <c r="H126" s="118">
        <f t="shared" si="52"/>
        <v>-0.45824053226673911</v>
      </c>
      <c r="I126" s="123">
        <f t="shared" si="52"/>
        <v>-1.0673702345396179</v>
      </c>
    </row>
    <row r="127" spans="1:13">
      <c r="B127" s="95">
        <f t="shared" ref="B127:I127" si="53">C92-$E92</f>
        <v>4.0818532431212473E-2</v>
      </c>
      <c r="C127" s="118">
        <f t="shared" si="53"/>
        <v>8.2263663034425338E-3</v>
      </c>
      <c r="D127" s="94">
        <f t="shared" si="53"/>
        <v>0</v>
      </c>
      <c r="E127" s="95">
        <f t="shared" si="53"/>
        <v>0.85548399177677847</v>
      </c>
      <c r="F127" s="95">
        <f t="shared" si="53"/>
        <v>1.0840062473010013</v>
      </c>
      <c r="G127" s="123">
        <f t="shared" si="53"/>
        <v>2.1445635165533226</v>
      </c>
      <c r="H127" s="118">
        <f t="shared" si="53"/>
        <v>2.124969022302313</v>
      </c>
      <c r="I127" s="123">
        <f t="shared" si="53"/>
        <v>2.4075843796929846</v>
      </c>
    </row>
    <row r="128" spans="1:13">
      <c r="B128" s="95">
        <f t="shared" ref="B128:I128" si="54">C93-$E93</f>
        <v>-0.77248383184656022</v>
      </c>
      <c r="C128" s="118">
        <f t="shared" si="54"/>
        <v>-3.3137218009327896E-2</v>
      </c>
      <c r="D128" s="94">
        <f t="shared" si="54"/>
        <v>0</v>
      </c>
      <c r="E128" s="95">
        <f t="shared" si="54"/>
        <v>-5.2896656816179721E-2</v>
      </c>
      <c r="F128" s="95">
        <f t="shared" si="54"/>
        <v>1.6840506224230944E-2</v>
      </c>
      <c r="G128" s="123">
        <f t="shared" si="54"/>
        <v>5.6653180844775664E-2</v>
      </c>
      <c r="H128" s="118">
        <f t="shared" si="54"/>
        <v>-2.076961144994538E-2</v>
      </c>
      <c r="I128" s="123">
        <f t="shared" si="54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5">SQRT(C126^2+C127^2+C128^2)</f>
        <v>2.2960418930339337</v>
      </c>
      <c r="D130" s="96">
        <f t="shared" si="55"/>
        <v>0</v>
      </c>
      <c r="E130" s="98">
        <f t="shared" si="55"/>
        <v>2.5906563353451029</v>
      </c>
      <c r="F130" s="98">
        <f t="shared" si="55"/>
        <v>1.1556406651502886</v>
      </c>
      <c r="G130" s="134">
        <f t="shared" si="55"/>
        <v>2.9860652716497325</v>
      </c>
      <c r="H130" s="97">
        <f t="shared" si="55"/>
        <v>2.1739156165583644</v>
      </c>
      <c r="I130" s="134">
        <f t="shared" si="55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6">C91-$F91</f>
        <v>1.4028471761352286</v>
      </c>
      <c r="C133" s="118">
        <f>D91-$F91</f>
        <v>0.14897154656832046</v>
      </c>
      <c r="D133" s="95">
        <f t="shared" ref="D133:I133" si="57">E91-$F91</f>
        <v>2.44475956514645</v>
      </c>
      <c r="E133" s="94">
        <f t="shared" si="57"/>
        <v>0</v>
      </c>
      <c r="F133" s="95">
        <f t="shared" si="57"/>
        <v>2.8449497700634536</v>
      </c>
      <c r="G133" s="123">
        <f t="shared" si="57"/>
        <v>0.36768865949079421</v>
      </c>
      <c r="H133" s="118">
        <f t="shared" si="57"/>
        <v>1.9865190328797109</v>
      </c>
      <c r="I133" s="123">
        <f t="shared" si="57"/>
        <v>1.3773893306068323</v>
      </c>
    </row>
    <row r="134" spans="1:13">
      <c r="B134" s="95">
        <f t="shared" ref="B134" si="58">C92-$F92</f>
        <v>-0.814665459345566</v>
      </c>
      <c r="C134" s="118">
        <f t="shared" ref="C134:I134" si="59">D92-$F92</f>
        <v>-0.84725762547333594</v>
      </c>
      <c r="D134" s="95">
        <f t="shared" si="59"/>
        <v>-0.85548399177677847</v>
      </c>
      <c r="E134" s="94">
        <f t="shared" si="59"/>
        <v>0</v>
      </c>
      <c r="F134" s="95">
        <f t="shared" si="59"/>
        <v>0.22852225552422287</v>
      </c>
      <c r="G134" s="123">
        <f t="shared" si="59"/>
        <v>1.2890795247765441</v>
      </c>
      <c r="H134" s="118">
        <f t="shared" si="59"/>
        <v>1.2694850305255347</v>
      </c>
      <c r="I134" s="123">
        <f t="shared" si="59"/>
        <v>1.5521003879162059</v>
      </c>
    </row>
    <row r="135" spans="1:13">
      <c r="B135" s="95">
        <f t="shared" ref="B135" si="60">C93-$F93</f>
        <v>-0.7195871750303805</v>
      </c>
      <c r="C135" s="118">
        <f t="shared" ref="C135:I135" si="61">D93-$F93</f>
        <v>1.9759438806851826E-2</v>
      </c>
      <c r="D135" s="95">
        <f t="shared" si="61"/>
        <v>5.2896656816179721E-2</v>
      </c>
      <c r="E135" s="94">
        <f t="shared" si="61"/>
        <v>0</v>
      </c>
      <c r="F135" s="95">
        <f t="shared" si="61"/>
        <v>6.9737163040410666E-2</v>
      </c>
      <c r="G135" s="123">
        <f t="shared" si="61"/>
        <v>0.10954983766095538</v>
      </c>
      <c r="H135" s="118">
        <f t="shared" si="61"/>
        <v>3.2127045366234341E-2</v>
      </c>
      <c r="I135" s="123">
        <f t="shared" si="61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2">SQRT(C133^2+C134^2+C135^2)</f>
        <v>0.86048151696107611</v>
      </c>
      <c r="D137" s="98">
        <f t="shared" si="62"/>
        <v>2.5906563353451029</v>
      </c>
      <c r="E137" s="96">
        <f t="shared" si="62"/>
        <v>0</v>
      </c>
      <c r="F137" s="98">
        <f t="shared" si="62"/>
        <v>2.8549649537889077</v>
      </c>
      <c r="G137" s="134">
        <f t="shared" si="62"/>
        <v>1.3449617609611804</v>
      </c>
      <c r="H137" s="97">
        <f t="shared" si="62"/>
        <v>2.3577281984498817</v>
      </c>
      <c r="I137" s="134">
        <f t="shared" si="62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3">D91-$G91</f>
        <v>-2.6959782234951333</v>
      </c>
      <c r="D140" s="95">
        <f t="shared" si="63"/>
        <v>-0.40019020491700363</v>
      </c>
      <c r="E140" s="95">
        <f t="shared" si="63"/>
        <v>-2.8449497700634536</v>
      </c>
      <c r="F140" s="94">
        <f t="shared" si="63"/>
        <v>0</v>
      </c>
      <c r="G140" s="123">
        <f t="shared" si="63"/>
        <v>-2.4772611105726594</v>
      </c>
      <c r="H140" s="118">
        <f t="shared" si="63"/>
        <v>-0.85843073718374274</v>
      </c>
      <c r="I140" s="123">
        <f t="shared" si="63"/>
        <v>-1.4675604394566215</v>
      </c>
    </row>
    <row r="141" spans="1:13">
      <c r="B141" s="95">
        <f t="shared" ref="B141:I142" si="64">C92-$G92</f>
        <v>-1.0431877148697888</v>
      </c>
      <c r="C141" s="118">
        <f t="shared" si="64"/>
        <v>-1.0757798809975587</v>
      </c>
      <c r="D141" s="95">
        <f t="shared" si="64"/>
        <v>-1.0840062473010013</v>
      </c>
      <c r="E141" s="95">
        <f t="shared" si="64"/>
        <v>-0.22852225552422287</v>
      </c>
      <c r="F141" s="94">
        <f t="shared" si="64"/>
        <v>0</v>
      </c>
      <c r="G141" s="123">
        <f t="shared" si="64"/>
        <v>1.0605572692523213</v>
      </c>
      <c r="H141" s="118">
        <f t="shared" si="64"/>
        <v>1.040962775001312</v>
      </c>
      <c r="I141" s="123">
        <f t="shared" si="64"/>
        <v>1.3235781323919831</v>
      </c>
    </row>
    <row r="142" spans="1:13">
      <c r="B142" s="95">
        <f t="shared" si="64"/>
        <v>-0.78932433807079116</v>
      </c>
      <c r="C142" s="118">
        <f t="shared" si="64"/>
        <v>-4.997772423355884E-2</v>
      </c>
      <c r="D142" s="95">
        <f t="shared" si="64"/>
        <v>-1.6840506224230944E-2</v>
      </c>
      <c r="E142" s="95">
        <f t="shared" si="64"/>
        <v>-6.9737163040410666E-2</v>
      </c>
      <c r="F142" s="94">
        <f t="shared" si="64"/>
        <v>0</v>
      </c>
      <c r="G142" s="123">
        <f t="shared" si="64"/>
        <v>3.9812674620544719E-2</v>
      </c>
      <c r="H142" s="118">
        <f t="shared" si="64"/>
        <v>-3.7610117674176324E-2</v>
      </c>
      <c r="I142" s="123">
        <f t="shared" si="64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5">SQRT(C140^2+C141^2+C142^2)</f>
        <v>2.9031187896534068</v>
      </c>
      <c r="D144" s="98">
        <f t="shared" si="65"/>
        <v>1.1556406651502886</v>
      </c>
      <c r="E144" s="98">
        <f t="shared" si="65"/>
        <v>2.8549649537889077</v>
      </c>
      <c r="F144" s="96">
        <f t="shared" si="65"/>
        <v>0</v>
      </c>
      <c r="G144" s="134">
        <f t="shared" si="65"/>
        <v>2.6950304971150265</v>
      </c>
      <c r="H144" s="97">
        <f t="shared" si="65"/>
        <v>1.3497856683309841</v>
      </c>
      <c r="I144" s="134">
        <f t="shared" si="65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/>
      <c r="C150" s="146" t="e">
        <f t="shared" ref="C150:C156" si="66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-12.232758620689655</v>
      </c>
      <c r="C151" s="35">
        <f t="shared" si="66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-4.4375</v>
      </c>
      <c r="C152" s="35">
        <f t="shared" si="66"/>
        <v>-0.22535211267605634</v>
      </c>
      <c r="D152">
        <v>-4.4375</v>
      </c>
    </row>
    <row r="153" spans="1:9">
      <c r="A153" t="s">
        <v>127</v>
      </c>
      <c r="B153" s="35">
        <v>14.42443729903537</v>
      </c>
      <c r="C153" s="35">
        <f t="shared" si="66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6"/>
        <v>2.6229508196721311E-2</v>
      </c>
      <c r="D154">
        <v>38.125</v>
      </c>
    </row>
    <row r="155" spans="1:9">
      <c r="A155" s="112" t="s">
        <v>125</v>
      </c>
      <c r="B155" s="146"/>
      <c r="C155" s="146" t="e">
        <f t="shared" si="66"/>
        <v>#DIV/0!</v>
      </c>
      <c r="D155" s="112"/>
    </row>
    <row r="156" spans="1:9">
      <c r="A156" t="s">
        <v>124</v>
      </c>
      <c r="B156" s="35">
        <v>-18.798816568047336</v>
      </c>
      <c r="C156" s="35">
        <f t="shared" si="66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tabSelected="1" topLeftCell="A22" workbookViewId="0">
      <selection activeCell="F44" sqref="F44"/>
    </sheetView>
  </sheetViews>
  <sheetFormatPr baseColWidth="10" defaultRowHeight="15"/>
  <sheetData>
    <row r="1" spans="1:15">
      <c r="A1" s="152">
        <v>0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0.5*$C$123^2</f>
        <v>0</v>
      </c>
      <c r="E12" s="2"/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0.5*$D$123^2</f>
        <v>0.84198942471462679</v>
      </c>
      <c r="E13" s="2"/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/>
      <c r="C14" s="130">
        <v>3</v>
      </c>
      <c r="D14" s="2">
        <f>0.5*E$123^2</f>
        <v>1.5747328563547551</v>
      </c>
      <c r="E14" s="2"/>
      <c r="F14" s="2"/>
      <c r="G14" s="2"/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f>A_1*(1/(2*PI())^2)*(T_0^2-T_5^2)</f>
        <v>-0.20003645154081437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0.5*$F$123^2</f>
        <v>1.8954667052703305</v>
      </c>
      <c r="E15" s="2"/>
      <c r="F15" s="2"/>
      <c r="G15" s="2"/>
      <c r="H15" s="114">
        <v>3.6315946901900333</v>
      </c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0.5*$G$123^2</f>
        <v>3.0923821493075772</v>
      </c>
      <c r="E16" s="2"/>
      <c r="F16" s="2"/>
      <c r="G16" s="2"/>
      <c r="H16" s="114">
        <v>2.216073124166746</v>
      </c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0.5*$H$123^2</f>
        <v>0</v>
      </c>
      <c r="E17" s="2"/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0.5*$I$123^2</f>
        <v>2.8031421809040635</v>
      </c>
      <c r="E18" s="2"/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0.10696105443323572</v>
      </c>
      <c r="E22" s="126">
        <v>-0.50700934656861907</v>
      </c>
      <c r="F22" s="126">
        <v>0.27814320858003555</v>
      </c>
      <c r="G22" s="126">
        <v>-0.30292209055656671</v>
      </c>
      <c r="H22" s="126">
        <v>0.17538746771046651</v>
      </c>
      <c r="I22" s="70">
        <v>-0.15855509315995797</v>
      </c>
      <c r="J22" s="70">
        <v>-0.85603789680002773</v>
      </c>
      <c r="K22" s="70">
        <v>0.65342120690916317</v>
      </c>
      <c r="L22" s="153" t="s">
        <v>150</v>
      </c>
      <c r="M22" s="78">
        <f ca="1">RAND()-RAND()</f>
        <v>-0.41036631577809879</v>
      </c>
    </row>
    <row r="23" spans="1:20">
      <c r="B23" s="2" t="s">
        <v>82</v>
      </c>
      <c r="C23" s="2"/>
      <c r="D23" s="125">
        <v>0.84182439960288546</v>
      </c>
      <c r="E23" s="126">
        <v>-0.52339472084914096</v>
      </c>
      <c r="F23" s="126">
        <v>-0.64484259852731052</v>
      </c>
      <c r="G23" s="126">
        <v>0.19104930995281191</v>
      </c>
      <c r="H23" s="126">
        <v>0.14197992680873067</v>
      </c>
      <c r="I23" s="70">
        <v>-0.3582528703161334</v>
      </c>
      <c r="J23" s="70">
        <v>0.54958182007341416</v>
      </c>
      <c r="K23" s="70">
        <v>-0.40737763775813596</v>
      </c>
      <c r="L23" s="153"/>
      <c r="M23" s="78">
        <f t="shared" ref="M23:M28" ca="1" si="0">RAND()-RAND()</f>
        <v>0.94914531716500139</v>
      </c>
    </row>
    <row r="24" spans="1:20">
      <c r="B24" s="2" t="s">
        <v>83</v>
      </c>
      <c r="C24" s="2"/>
      <c r="D24" s="125">
        <v>-0.22291211401217037</v>
      </c>
      <c r="E24" s="126">
        <v>0.14178379878602532</v>
      </c>
      <c r="F24" s="126">
        <v>0.30478271280764446</v>
      </c>
      <c r="G24" s="126">
        <v>1.0661347277871023E-2</v>
      </c>
      <c r="H24" s="126">
        <v>2.3954543594522527E-2</v>
      </c>
      <c r="I24" s="70">
        <v>-2.4909669184959959E-2</v>
      </c>
      <c r="J24" s="70">
        <v>-0.36477405011057273</v>
      </c>
      <c r="K24" s="70">
        <v>0.20797765241452781</v>
      </c>
      <c r="L24" s="153"/>
      <c r="M24" s="78">
        <f t="shared" ca="1" si="0"/>
        <v>-0.45113238062167027</v>
      </c>
    </row>
    <row r="25" spans="1:20">
      <c r="B25" s="50" t="s">
        <v>84</v>
      </c>
      <c r="C25" s="2" t="s">
        <v>27</v>
      </c>
      <c r="D25" s="125">
        <v>7.5464245193593474E-2</v>
      </c>
      <c r="E25" s="126">
        <v>8.6431779343280266E-2</v>
      </c>
      <c r="F25" s="126">
        <v>-0.25984163327833215</v>
      </c>
      <c r="G25" s="126">
        <v>-1.446472732677012E-2</v>
      </c>
      <c r="H25" s="126">
        <v>0</v>
      </c>
      <c r="I25" s="70">
        <v>-0.60127917735887881</v>
      </c>
      <c r="J25" s="70">
        <v>7.3809363778690518E-2</v>
      </c>
      <c r="K25" s="70">
        <v>0.45904960287541474</v>
      </c>
      <c r="L25" s="153"/>
      <c r="M25" s="78">
        <f t="shared" ca="1" si="0"/>
        <v>-0.2754792942558455</v>
      </c>
      <c r="P25" s="113">
        <f>D86</f>
        <v>1.6994804171966194E-2</v>
      </c>
      <c r="Q25" s="113">
        <f>E86</f>
        <v>0.24148610901053424</v>
      </c>
      <c r="R25" s="113">
        <f t="shared" ref="R25:T25" si="1">F86</f>
        <v>0.20995887455232631</v>
      </c>
      <c r="S25" s="113">
        <f t="shared" si="1"/>
        <v>0.11758646429304387</v>
      </c>
      <c r="T25" s="113">
        <f t="shared" si="1"/>
        <v>0.26751905813862831</v>
      </c>
    </row>
    <row r="26" spans="1:20">
      <c r="B26" s="2" t="s">
        <v>48</v>
      </c>
      <c r="C26" s="2"/>
      <c r="D26" s="125">
        <v>4.598545394460743E-2</v>
      </c>
      <c r="E26" s="126">
        <v>-0.16323774651920922</v>
      </c>
      <c r="F26" s="126">
        <v>-0.22400913492910041</v>
      </c>
      <c r="G26" s="126">
        <v>9.1637324705564696E-2</v>
      </c>
      <c r="H26" s="125">
        <v>0.23663299340157265</v>
      </c>
      <c r="I26" s="70">
        <v>-0.64147819789622496</v>
      </c>
      <c r="J26" s="70">
        <v>-2.6436636559469484E-2</v>
      </c>
      <c r="K26" s="70">
        <v>-1.0305960682470916E-2</v>
      </c>
      <c r="L26" s="153"/>
      <c r="M26" s="78">
        <f t="shared" ca="1" si="0"/>
        <v>-0.46370236496883011</v>
      </c>
      <c r="P26" s="35">
        <f>D77</f>
        <v>4.598545394460743E-2</v>
      </c>
      <c r="Q26" s="35">
        <f t="shared" ref="Q26:T28" si="2">E77</f>
        <v>-0.16323774651920922</v>
      </c>
      <c r="R26" s="35">
        <f t="shared" si="2"/>
        <v>-0.22400913492910041</v>
      </c>
      <c r="S26" s="35">
        <f t="shared" si="2"/>
        <v>9.1637324705564696E-2</v>
      </c>
      <c r="T26" s="35">
        <f t="shared" si="2"/>
        <v>0.23663299340157265</v>
      </c>
    </row>
    <row r="27" spans="1:20">
      <c r="B27" t="s">
        <v>47</v>
      </c>
      <c r="D27" s="125">
        <v>0.9236658238439277</v>
      </c>
      <c r="E27" s="126">
        <v>1.0985846960401386</v>
      </c>
      <c r="F27" s="126">
        <v>1.0799273431667749</v>
      </c>
      <c r="G27" s="126">
        <v>1.0927767763745615</v>
      </c>
      <c r="H27" s="125">
        <v>1.4938957179169754</v>
      </c>
      <c r="I27" s="70">
        <v>4.8639647915487139E-2</v>
      </c>
      <c r="J27" s="70">
        <v>-0.42478485919807984</v>
      </c>
      <c r="K27" s="70">
        <v>5.2954891334215048E-2</v>
      </c>
      <c r="L27" s="153"/>
      <c r="M27" s="78">
        <f t="shared" ca="1" si="0"/>
        <v>-0.41600086928013824</v>
      </c>
      <c r="P27" s="35">
        <f t="shared" ref="P27:P28" si="3">D78</f>
        <v>0.9236658238439277</v>
      </c>
      <c r="Q27" s="35">
        <f t="shared" si="2"/>
        <v>1.0985846960401386</v>
      </c>
      <c r="R27" s="35">
        <f t="shared" si="2"/>
        <v>1.0799273431667749</v>
      </c>
      <c r="S27" s="35">
        <f t="shared" si="2"/>
        <v>1.0927767763745615</v>
      </c>
      <c r="T27" s="35">
        <f t="shared" si="2"/>
        <v>1.4938957179169754</v>
      </c>
    </row>
    <row r="28" spans="1:20">
      <c r="B28" t="s">
        <v>52</v>
      </c>
      <c r="C28" s="2"/>
      <c r="D28" s="125">
        <v>0.72476025288598733</v>
      </c>
      <c r="E28" s="126">
        <v>1.041692924858534</v>
      </c>
      <c r="F28" s="126">
        <v>0.95962093373956936</v>
      </c>
      <c r="G28" s="126">
        <v>0.71462381675301034</v>
      </c>
      <c r="H28" s="125">
        <v>0.44573781459502304</v>
      </c>
      <c r="I28" s="70">
        <v>-0.12219530665103107</v>
      </c>
      <c r="J28" s="70">
        <v>-0.2246402934383831</v>
      </c>
      <c r="K28" s="70">
        <v>-9.8948905880472005E-2</v>
      </c>
      <c r="L28" s="153"/>
      <c r="M28" s="78">
        <f t="shared" ca="1" si="0"/>
        <v>9.0674966900030407E-2</v>
      </c>
      <c r="P28" s="35">
        <f t="shared" si="3"/>
        <v>0.72476025288598733</v>
      </c>
      <c r="Q28" s="35">
        <f t="shared" si="2"/>
        <v>1.041692924858534</v>
      </c>
      <c r="R28" s="35">
        <f t="shared" si="2"/>
        <v>0.95962093373956936</v>
      </c>
      <c r="S28" s="35">
        <f t="shared" si="2"/>
        <v>0.71462381675301034</v>
      </c>
      <c r="T28" s="35">
        <f t="shared" si="2"/>
        <v>0.44573781459502304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52" t="s">
        <v>152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  <c r="P32">
        <v>100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>
        <f>D22*$P$32</f>
        <v>10.696105443323573</v>
      </c>
    </row>
    <row r="34" spans="1:16">
      <c r="D34" s="2"/>
      <c r="E34" s="2"/>
      <c r="F34" s="2"/>
      <c r="G34" s="2"/>
      <c r="H34" s="2"/>
      <c r="P34" s="35">
        <f t="shared" ref="P34:P36" si="6">D23*$P$32</f>
        <v>84.182439960288548</v>
      </c>
    </row>
    <row r="35" spans="1:16">
      <c r="A35" s="5"/>
      <c r="B35" s="79">
        <f>C99</f>
        <v>1.0419123890112216</v>
      </c>
      <c r="C35" s="79">
        <f t="shared" ref="C35:D35" si="7">D99</f>
        <v>-4.0818532431212473E-2</v>
      </c>
      <c r="D35" s="79">
        <f t="shared" si="7"/>
        <v>0.77248383184656022</v>
      </c>
      <c r="E35" s="137"/>
      <c r="F35" s="68"/>
      <c r="G35" s="2"/>
      <c r="H35" s="66"/>
      <c r="I35" s="2"/>
      <c r="P35" s="35">
        <f t="shared" si="6"/>
        <v>-22.291211401217037</v>
      </c>
    </row>
    <row r="36" spans="1:16">
      <c r="A36" s="5" t="s">
        <v>166</v>
      </c>
      <c r="B36" s="79">
        <f t="shared" ref="B36:D37" si="8">C100</f>
        <v>-1.0351585166444344</v>
      </c>
      <c r="C36" s="79">
        <f t="shared" si="8"/>
        <v>2.1037449841221099</v>
      </c>
      <c r="D36" s="79">
        <f t="shared" si="8"/>
        <v>0.82913701269133588</v>
      </c>
      <c r="E36" s="138"/>
      <c r="F36" s="68"/>
      <c r="G36" s="139"/>
      <c r="H36" s="66"/>
      <c r="I36" s="139"/>
      <c r="P36" s="35">
        <f t="shared" si="6"/>
        <v>7.5464245193593475</v>
      </c>
    </row>
    <row r="37" spans="1:16">
      <c r="A37" s="5"/>
      <c r="B37" s="79">
        <f t="shared" si="8"/>
        <v>-2.5457845528396139E-2</v>
      </c>
      <c r="C37" s="79">
        <f t="shared" si="8"/>
        <v>2.3667658472617719</v>
      </c>
      <c r="D37" s="79">
        <f t="shared" si="8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9">D103</f>
        <v>-4.0818532431212473E-2</v>
      </c>
      <c r="D39" s="85">
        <f t="shared" si="9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167</v>
      </c>
      <c r="B40" s="79">
        <f t="shared" ref="B40:B41" si="10">C104</f>
        <v>1.4421025939282253</v>
      </c>
      <c r="C40" s="79">
        <f t="shared" si="9"/>
        <v>1.0431877148697888</v>
      </c>
      <c r="D40" s="85">
        <f t="shared" si="9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10"/>
        <v>-1.0351585166444344</v>
      </c>
      <c r="C41" s="79">
        <f t="shared" si="9"/>
        <v>2.1037449841221099</v>
      </c>
      <c r="D41" s="85">
        <f t="shared" si="9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1">D107</f>
        <v>-4.0818532431212473E-2</v>
      </c>
      <c r="D43" s="79">
        <f t="shared" si="11"/>
        <v>0.77248383184656022</v>
      </c>
      <c r="E43" s="137"/>
      <c r="F43" s="68"/>
      <c r="G43" s="2"/>
      <c r="H43" s="66"/>
      <c r="I43" s="2"/>
    </row>
    <row r="44" spans="1:16">
      <c r="A44" s="5" t="s">
        <v>168</v>
      </c>
      <c r="B44" s="79">
        <f t="shared" ref="B44:D49" si="12">C108</f>
        <v>-1.4028471761352286</v>
      </c>
      <c r="C44" s="79">
        <f t="shared" si="12"/>
        <v>0.814665459345566</v>
      </c>
      <c r="D44" s="79">
        <f t="shared" si="12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2"/>
        <v>-2.5457845528396139E-2</v>
      </c>
      <c r="C45" s="79">
        <f t="shared" si="12"/>
        <v>2.3667658472617719</v>
      </c>
      <c r="D45" s="79">
        <f t="shared" si="12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2"/>
        <v>1.0419123890112216</v>
      </c>
      <c r="C47" s="79">
        <f t="shared" si="12"/>
        <v>-4.0818532431212473E-2</v>
      </c>
      <c r="D47" s="79">
        <f t="shared" si="12"/>
        <v>0.77248383184656022</v>
      </c>
      <c r="H47" s="66"/>
      <c r="I47" s="2"/>
    </row>
    <row r="48" spans="1:16" ht="14.25" customHeight="1">
      <c r="A48" s="5" t="s">
        <v>169</v>
      </c>
      <c r="B48" s="79">
        <f t="shared" si="12"/>
        <v>-1.4028471761352286</v>
      </c>
      <c r="C48" s="79">
        <f t="shared" si="12"/>
        <v>0.814665459345566</v>
      </c>
      <c r="D48" s="79">
        <f t="shared" si="12"/>
        <v>0.7195871750303805</v>
      </c>
      <c r="E48" s="138"/>
      <c r="F48" s="68"/>
      <c r="G48" s="139"/>
      <c r="H48" s="66"/>
      <c r="I48" s="139"/>
    </row>
    <row r="49" spans="1:16">
      <c r="B49" s="79">
        <f t="shared" si="12"/>
        <v>-1.0351585166444344</v>
      </c>
      <c r="C49" s="79">
        <f t="shared" si="12"/>
        <v>2.1037449841221099</v>
      </c>
      <c r="D49" s="79">
        <f t="shared" si="12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60"/>
      <c r="C50" s="160"/>
      <c r="D50" s="160"/>
      <c r="E50" s="2"/>
      <c r="F50" s="68"/>
      <c r="G50" s="2"/>
      <c r="H50" s="66"/>
      <c r="I50" s="2"/>
      <c r="O50" s="35"/>
      <c r="P50" s="35"/>
    </row>
    <row r="51" spans="1:16">
      <c r="A51" s="2"/>
      <c r="B51" s="160"/>
      <c r="C51" s="160"/>
      <c r="D51" s="160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165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0.570075708112465</v>
      </c>
      <c r="E54" s="109">
        <f t="array" ref="E54:E56">MMULT($B$35:$D$37,E$26:E$28)</f>
        <v>0.58976889670578569</v>
      </c>
      <c r="F54" s="109">
        <f t="array" ref="F54:F56">MMULT($B$39:$D$41,F$26:F$28)</f>
        <v>0.46381271380059447</v>
      </c>
      <c r="G54" s="109">
        <f t="array" ref="G54:G56">MMULT($B$43:$D$45,G$26:G$28)</f>
        <v>0.60290786391423068</v>
      </c>
      <c r="H54" s="109">
        <f t="array" ref="H54:H56">MMULT($B$47:$D$49,H$26:H$28)</f>
        <v>0.52989747168054069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1.2094962614026565</v>
      </c>
      <c r="E55" s="109">
        <v>3.343825147333864</v>
      </c>
      <c r="F55" s="109">
        <v>1.5609749411215368</v>
      </c>
      <c r="G55" s="109">
        <v>1.2759284658022874</v>
      </c>
      <c r="H55" s="109">
        <v>1.2058125294860325</v>
      </c>
      <c r="I55" s="71">
        <f t="shared" ref="I55:K56" si="13">INDEX(MMULT($B$31:$D$33,I$26:I$28),ROW($A1))</f>
        <v>-0.76474337943000381</v>
      </c>
      <c r="J55" s="71">
        <f t="shared" si="13"/>
        <v>-0.18373655926605126</v>
      </c>
      <c r="K55" s="71">
        <f t="shared" si="13"/>
        <v>-8.9335879036617633E-2</v>
      </c>
      <c r="O55" s="35"/>
    </row>
    <row r="56" spans="1:16">
      <c r="B56" t="s">
        <v>94</v>
      </c>
      <c r="D56" s="37">
        <v>1.6019434893648046</v>
      </c>
      <c r="E56" s="109">
        <v>2.6705878565482548</v>
      </c>
      <c r="F56" s="109">
        <v>3.2994339295483268</v>
      </c>
      <c r="G56" s="109">
        <v>2.6295241484537093</v>
      </c>
      <c r="H56" s="109">
        <v>3.2674006849675132</v>
      </c>
      <c r="I56" s="71">
        <f t="shared" si="13"/>
        <v>0.85159074406752489</v>
      </c>
      <c r="J56" s="71">
        <f t="shared" si="13"/>
        <v>-0.47061926565100198</v>
      </c>
      <c r="K56" s="71">
        <f t="shared" si="13"/>
        <v>-1.3604154940728003E-2</v>
      </c>
      <c r="O56" s="35"/>
    </row>
    <row r="57" spans="1:16">
      <c r="B57" t="s">
        <v>95</v>
      </c>
      <c r="D57" s="127">
        <f>(D$66-D$54)^2+(D$67-D$55)^2+(D$68-D$56)^2</f>
        <v>1.771739946710776E-13</v>
      </c>
      <c r="E57" s="127">
        <f>(E$66-E$54)^2+(E$67-E$55)^2+(E$68-E$56)^2</f>
        <v>3.0807268560830734E-12</v>
      </c>
      <c r="F57" s="127">
        <f>(F$66-F$54)^2+(F$67-F$55)^2+(F$68-F$56)^2</f>
        <v>2.7826914988581791E-12</v>
      </c>
      <c r="G57" s="127">
        <f>(G$66-G$54)^2+(G$67-G$55)^2+(G$68-G$56)^2</f>
        <v>6.1456070068043689E-13</v>
      </c>
      <c r="H57" s="127">
        <f>(H$66-H$54)^2+(H$67-H$55)^2+(H$68-H$56)^2</f>
        <v>1.3538666330873848E-11</v>
      </c>
      <c r="I57" s="128" t="e">
        <f t="shared" ref="I57:K57" si="14">(I$54-I$66)^2+(I$55-I$67)^2+(I$56-I$68)^2</f>
        <v>#REF!</v>
      </c>
      <c r="J57" s="128" t="e">
        <f t="shared" si="14"/>
        <v>#REF!</v>
      </c>
      <c r="K57" s="128" t="e">
        <f t="shared" si="14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-1.0451785709094056E-2</v>
      </c>
      <c r="E60" s="80">
        <f>A_1*($E$22^2-E23^2)</f>
        <v>-2.5309281960770241E-4</v>
      </c>
      <c r="F60" s="80">
        <f t="shared" ref="F60:K62" si="15">A_1*(F$22^2-F23^2)</f>
        <v>-5.0736570020780969E-3</v>
      </c>
      <c r="G60" s="80">
        <f t="shared" si="15"/>
        <v>8.2840389377475518E-4</v>
      </c>
      <c r="H60" s="80">
        <f t="shared" si="15"/>
        <v>1.5893615741153572E-4</v>
      </c>
      <c r="I60" s="80">
        <f t="shared" si="15"/>
        <v>-1.5470997696558767E-3</v>
      </c>
      <c r="J60" s="80">
        <f t="shared" si="15"/>
        <v>6.4573149834864655E-3</v>
      </c>
      <c r="K60" s="80">
        <f t="shared" si="15"/>
        <v>3.9125594545225302E-3</v>
      </c>
      <c r="L60" s="153" t="s">
        <v>96</v>
      </c>
    </row>
    <row r="61" spans="1:16" ht="18.75">
      <c r="B61" s="56" t="s">
        <v>88</v>
      </c>
      <c r="C61" s="57"/>
      <c r="D61" s="80">
        <f>A_1*($D$22^2-D24^2)</f>
        <v>-5.7337348707315727E-4</v>
      </c>
      <c r="E61" s="80">
        <f>A_1*($E$22^2-E24^2)</f>
        <v>3.5520845571754595E-3</v>
      </c>
      <c r="F61" s="80">
        <f t="shared" si="15"/>
        <v>-2.3278521840712344E-4</v>
      </c>
      <c r="G61" s="80">
        <f t="shared" si="15"/>
        <v>1.3738505600235248E-3</v>
      </c>
      <c r="H61" s="80">
        <f t="shared" si="15"/>
        <v>4.5251714455869389E-4</v>
      </c>
      <c r="I61" s="80">
        <f t="shared" si="15"/>
        <v>3.6755526606819416E-4</v>
      </c>
      <c r="J61" s="80">
        <f t="shared" si="15"/>
        <v>8.9904093997263575E-3</v>
      </c>
      <c r="K61" s="80">
        <f t="shared" si="15"/>
        <v>5.7519203713529404E-3</v>
      </c>
      <c r="L61" s="153"/>
    </row>
    <row r="62" spans="1:16" ht="18.75">
      <c r="B62" s="56" t="s">
        <v>89</v>
      </c>
      <c r="C62" s="57"/>
      <c r="D62" s="80">
        <f>A_1*($D$22^2-D25^2)</f>
        <v>8.6132593058206488E-5</v>
      </c>
      <c r="E62" s="80">
        <f>A_1*($E$22^2-E25^2)</f>
        <v>3.7414473499591864E-3</v>
      </c>
      <c r="F62" s="80">
        <f t="shared" si="15"/>
        <v>1.4759593820089841E-4</v>
      </c>
      <c r="G62" s="80">
        <f t="shared" si="15"/>
        <v>1.3724180084612517E-3</v>
      </c>
      <c r="H62" s="80">
        <f t="shared" si="15"/>
        <v>4.6111899119112272E-4</v>
      </c>
      <c r="I62" s="80">
        <f t="shared" si="15"/>
        <v>-5.0427555888347027E-3</v>
      </c>
      <c r="J62" s="80">
        <f t="shared" si="15"/>
        <v>1.0903380373299632E-2</v>
      </c>
      <c r="K62" s="80">
        <f t="shared" si="15"/>
        <v>3.2414351450327505E-3</v>
      </c>
      <c r="L62" s="153"/>
    </row>
    <row r="63" spans="1:16">
      <c r="B63" s="56" t="s">
        <v>86</v>
      </c>
      <c r="C63" s="58"/>
      <c r="D63" s="80">
        <f>A_2*(T_0*D$22-T_2*D23)</f>
        <v>3.3600526291176928E-2</v>
      </c>
      <c r="E63" s="80">
        <f>A_2*(T_0*$E$22-T_2*E23)</f>
        <v>4.3096079171440711E-2</v>
      </c>
      <c r="F63" s="80">
        <f>A_2*(T_0*$F$22-T_2*F23)</f>
        <v>-7.8041787293361198E-2</v>
      </c>
      <c r="G63" s="80">
        <f>A_2*(T_0*$G$22-T_2*G23)</f>
        <v>5.5153135511748941E-2</v>
      </c>
      <c r="H63" s="80">
        <f>A_2*(T_0*$H$22-T_2*H23)</f>
        <v>-1.7188883366673059E-2</v>
      </c>
      <c r="I63" s="80">
        <f t="shared" ref="I63:K65" si="16">A_2*(THETA_0*I$22-THETA_1*I23)</f>
        <v>0</v>
      </c>
      <c r="J63" s="80">
        <f t="shared" si="16"/>
        <v>0</v>
      </c>
      <c r="K63" s="80">
        <f t="shared" si="16"/>
        <v>0</v>
      </c>
      <c r="L63" s="153"/>
    </row>
    <row r="64" spans="1:16">
      <c r="B64" s="56" t="s">
        <v>91</v>
      </c>
      <c r="C64" s="58" t="s">
        <v>27</v>
      </c>
      <c r="D64" s="80">
        <f>A_2*(T_0*D$22-T_3*D24)</f>
        <v>-2.025680411456058E-2</v>
      </c>
      <c r="E64" s="80">
        <f>A_2*(T_0*$E$22-T_5*E24)</f>
        <v>4.7853643633268356E-2</v>
      </c>
      <c r="F64" s="80">
        <f>A_2*(T_0*$F$22-T_4*F24)</f>
        <v>-6.1379833750305139E-2</v>
      </c>
      <c r="G64" s="80">
        <f>A_2*(T_0*$G$22-T_3*G24)</f>
        <v>4.4227312581437798E-2</v>
      </c>
      <c r="H64" s="80">
        <f>A_2*(T_0*$H$22-T_3*H24)</f>
        <v>-2.496905046604362E-2</v>
      </c>
      <c r="I64" s="80">
        <f t="shared" si="16"/>
        <v>0</v>
      </c>
      <c r="J64" s="80">
        <f t="shared" si="16"/>
        <v>0</v>
      </c>
      <c r="K64" s="80">
        <f t="shared" si="16"/>
        <v>0</v>
      </c>
      <c r="L64" s="153"/>
    </row>
    <row r="65" spans="1:12">
      <c r="B65" s="56" t="s">
        <v>90</v>
      </c>
      <c r="C65" s="58"/>
      <c r="D65" s="80">
        <f>A_2*(T_0*D$22-T_4*D25)</f>
        <v>-2.0730897038357121E-2</v>
      </c>
      <c r="E65" s="80">
        <f>A_2*(T_0*$E$22-T_7*E25)</f>
        <v>8.1399684239853748E-2</v>
      </c>
      <c r="F65" s="80">
        <f>A_2*(T_0*$F$22-T_5*F25)</f>
        <v>6.8676308583824081E-3</v>
      </c>
      <c r="G65" s="80">
        <f>A_2*(T_0*$G$22-T_7*G25)</f>
        <v>4.2704070190942023E-2</v>
      </c>
      <c r="H65" s="80">
        <f>A_2*(T_0*$H$22-T_5*H25)</f>
        <v>-2.5476265698597428E-2</v>
      </c>
      <c r="I65" s="80">
        <f t="shared" si="16"/>
        <v>0</v>
      </c>
      <c r="J65" s="80">
        <f t="shared" si="16"/>
        <v>0</v>
      </c>
      <c r="K65" s="80">
        <f t="shared" si="16"/>
        <v>0</v>
      </c>
      <c r="L65" s="153"/>
    </row>
    <row r="66" spans="1:12">
      <c r="B66" t="s">
        <v>45</v>
      </c>
      <c r="C66" s="2"/>
      <c r="D66" s="55">
        <f>D13+D60+D63-J12</f>
        <v>0.57007544965882428</v>
      </c>
      <c r="E66" s="55">
        <f>D13+E60+E63-K12</f>
        <v>0.58976969542857449</v>
      </c>
      <c r="F66" s="55">
        <f>$D13+F60+F63-L12</f>
        <v>0.46381126478130225</v>
      </c>
      <c r="G66" s="55">
        <f>$D13+G60+G63-M12</f>
        <v>0.60290824848226521</v>
      </c>
      <c r="H66" s="55">
        <f t="shared" ref="G66:H66" si="17">$D13+H60+H63-N12</f>
        <v>0.52989676186748014</v>
      </c>
      <c r="I66" s="72">
        <f t="shared" ref="I66:K68" si="18">$D$7+$G$7+I60+I63</f>
        <v>-1.5470997696558767E-3</v>
      </c>
      <c r="J66" s="72">
        <f t="shared" si="18"/>
        <v>6.4573149834864655E-3</v>
      </c>
      <c r="K66" s="72">
        <f t="shared" si="18"/>
        <v>3.9125594545225302E-3</v>
      </c>
      <c r="L66" s="153"/>
    </row>
    <row r="67" spans="1:12">
      <c r="B67" t="s">
        <v>43</v>
      </c>
      <c r="D67" s="55">
        <f>D14+D61+D64-J13</f>
        <v>1.2094965686329768</v>
      </c>
      <c r="E67" s="55">
        <f>D16+E61+E64-K13</f>
        <v>3.3438243290388354</v>
      </c>
      <c r="F67" s="55">
        <f>D15+F61+F64-L13</f>
        <v>1.5609757612741424</v>
      </c>
      <c r="G67" s="55">
        <f>D14+G61+G64-M13</f>
        <v>1.275927909376072</v>
      </c>
      <c r="H67" s="142">
        <f>D14+H61+H64-N13</f>
        <v>1.2058102129131256</v>
      </c>
      <c r="I67" s="72">
        <f t="shared" si="18"/>
        <v>3.6755526606819416E-4</v>
      </c>
      <c r="J67" s="72">
        <f t="shared" si="18"/>
        <v>8.9904093997263575E-3</v>
      </c>
      <c r="K67" s="72">
        <f t="shared" si="18"/>
        <v>5.7519203713529404E-3</v>
      </c>
      <c r="L67" s="153"/>
    </row>
    <row r="68" spans="1:12">
      <c r="B68" t="s">
        <v>42</v>
      </c>
      <c r="C68" s="2"/>
      <c r="D68" s="55">
        <f>D15+D62+D65-J14</f>
        <v>1.6019436157975557</v>
      </c>
      <c r="E68" s="55">
        <f>D18+E62+E65-K14</f>
        <v>2.6705891881495498</v>
      </c>
      <c r="F68" s="55">
        <f>D16+F62+F65-L14</f>
        <v>3.2994338276449748</v>
      </c>
      <c r="G68" s="55">
        <f>D18+G62+G65-M14</f>
        <v>2.62952454475914</v>
      </c>
      <c r="H68" s="142">
        <f>D16+H62+H65-N14</f>
        <v>3.2674034541409851</v>
      </c>
      <c r="I68" s="72">
        <f t="shared" si="18"/>
        <v>-5.0427555888347027E-3</v>
      </c>
      <c r="J68" s="72">
        <f t="shared" si="18"/>
        <v>1.0903380373299632E-2</v>
      </c>
      <c r="K68" s="72">
        <f t="shared" si="18"/>
        <v>3.2414351450327505E-3</v>
      </c>
      <c r="L68" s="153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52" t="s">
        <v>62</v>
      </c>
      <c r="B70" s="152"/>
      <c r="C70" s="152"/>
      <c r="D70" s="152"/>
      <c r="E70" s="152"/>
      <c r="F70" s="152"/>
      <c r="G70" s="152"/>
      <c r="H70" s="152"/>
      <c r="I70" s="152"/>
      <c r="J70" s="152"/>
      <c r="K70" s="152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52" t="s">
        <v>64</v>
      </c>
      <c r="B75" s="152"/>
      <c r="C75" s="152"/>
      <c r="D75" s="152"/>
      <c r="E75" s="152"/>
      <c r="F75" s="152"/>
      <c r="G75" s="152"/>
      <c r="H75" s="152"/>
      <c r="I75" s="152"/>
      <c r="J75" s="152"/>
      <c r="K75" s="152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4.598545394460743E-2</v>
      </c>
      <c r="E77" s="32">
        <f>E26+E71</f>
        <v>-0.16323774651920922</v>
      </c>
      <c r="F77" s="32">
        <f t="shared" ref="E77:G79" si="19">F26+F71</f>
        <v>-0.22400913492910041</v>
      </c>
      <c r="G77" s="32">
        <f t="shared" si="19"/>
        <v>9.1637324705564696E-2</v>
      </c>
      <c r="H77" s="104">
        <f>H26+$D$71</f>
        <v>0.23663299340157265</v>
      </c>
      <c r="I77" s="73">
        <f t="shared" ref="H77:L79" si="20">I26+$D$71</f>
        <v>-0.64147819789622496</v>
      </c>
      <c r="J77" s="73">
        <f t="shared" si="20"/>
        <v>-2.6436636559469484E-2</v>
      </c>
      <c r="K77" s="73">
        <f t="shared" si="20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1">D27+D72</f>
        <v>0.9236658238439277</v>
      </c>
      <c r="E78" s="32">
        <f t="shared" si="21"/>
        <v>1.0985846960401386</v>
      </c>
      <c r="F78" s="32">
        <f t="shared" si="19"/>
        <v>1.0799273431667749</v>
      </c>
      <c r="G78" s="32">
        <f t="shared" si="19"/>
        <v>1.0927767763745615</v>
      </c>
      <c r="H78" s="104">
        <f t="shared" si="20"/>
        <v>1.4938957179169754</v>
      </c>
      <c r="I78" s="73">
        <f t="shared" si="20"/>
        <v>4.8639647915487139E-2</v>
      </c>
      <c r="J78" s="73">
        <f t="shared" si="20"/>
        <v>-0.42478485919807984</v>
      </c>
      <c r="K78" s="73">
        <f t="shared" si="20"/>
        <v>5.2954891334215048E-2</v>
      </c>
    </row>
    <row r="79" spans="1:12">
      <c r="B79" s="26" t="s">
        <v>61</v>
      </c>
      <c r="C79" s="26"/>
      <c r="D79" s="32">
        <f t="shared" si="21"/>
        <v>0.72476025288598733</v>
      </c>
      <c r="E79" s="32">
        <f t="shared" si="21"/>
        <v>1.041692924858534</v>
      </c>
      <c r="F79" s="32">
        <f t="shared" si="19"/>
        <v>0.95962093373956936</v>
      </c>
      <c r="G79" s="32">
        <f t="shared" si="19"/>
        <v>0.71462381675301034</v>
      </c>
      <c r="H79" s="104">
        <f t="shared" si="20"/>
        <v>0.44573781459502304</v>
      </c>
      <c r="I79" s="73">
        <f t="shared" si="20"/>
        <v>-0.12219530665103107</v>
      </c>
      <c r="J79" s="73">
        <f t="shared" si="20"/>
        <v>-0.2246402934383831</v>
      </c>
      <c r="K79" s="73">
        <f t="shared" si="20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52" t="s">
        <v>67</v>
      </c>
      <c r="B81" s="152"/>
      <c r="C81" s="152"/>
      <c r="D81" s="152"/>
      <c r="E81" s="152"/>
      <c r="F81" s="152"/>
      <c r="G81" s="152"/>
      <c r="H81" s="152"/>
      <c r="I81" s="152"/>
      <c r="J81" s="152"/>
      <c r="K81" s="152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54" t="s">
        <v>71</v>
      </c>
      <c r="C83" s="154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50" t="s">
        <v>70</v>
      </c>
      <c r="C84" s="150"/>
      <c r="D84" s="36">
        <f>SQRT(D77^2+D78^2+D79^2)</f>
        <v>1.174968357137814</v>
      </c>
      <c r="E84" s="106">
        <f t="shared" ref="E84:K84" si="22">SQRT(E77^2+E78^2+E79^2)</f>
        <v>1.5227143678190604</v>
      </c>
      <c r="F84" s="106">
        <f t="shared" si="22"/>
        <v>1.4619492109926857</v>
      </c>
      <c r="G84" s="106">
        <f t="shared" si="22"/>
        <v>1.3089101121671463</v>
      </c>
      <c r="H84" s="106">
        <f t="shared" si="22"/>
        <v>1.5768328348105931</v>
      </c>
      <c r="I84" s="75">
        <f t="shared" si="22"/>
        <v>0.65482195037511559</v>
      </c>
      <c r="J84" s="75">
        <f t="shared" si="22"/>
        <v>0.48125287925641846</v>
      </c>
      <c r="K84" s="75">
        <f t="shared" si="22"/>
        <v>0.1127001300653627</v>
      </c>
    </row>
    <row r="85" spans="1:19">
      <c r="B85" s="150" t="s">
        <v>69</v>
      </c>
      <c r="C85" s="150"/>
      <c r="D85" s="36">
        <f>D84-D83</f>
        <v>1.9968357137813975E-2</v>
      </c>
      <c r="E85" s="106">
        <f t="shared" ref="E85:K85" si="23">E84-E83</f>
        <v>0.36771436781906042</v>
      </c>
      <c r="F85" s="106">
        <f t="shared" si="23"/>
        <v>0.30694921099268568</v>
      </c>
      <c r="G85" s="106">
        <f t="shared" si="23"/>
        <v>0.15391011216714623</v>
      </c>
      <c r="H85" s="106">
        <f t="shared" si="23"/>
        <v>0.42183283481059308</v>
      </c>
      <c r="I85" s="75">
        <f t="shared" si="23"/>
        <v>-1.1961780496248844</v>
      </c>
      <c r="J85" s="75">
        <f t="shared" si="23"/>
        <v>-1.5737471207435818</v>
      </c>
      <c r="K85" s="75">
        <f t="shared" si="23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51" t="s">
        <v>68</v>
      </c>
      <c r="C86" s="151"/>
      <c r="D86" s="39">
        <f>1-D83/D84</f>
        <v>1.6994804171966194E-2</v>
      </c>
      <c r="E86" s="107">
        <f t="shared" ref="E86:K86" si="24">1-E83/E84</f>
        <v>0.24148610901053424</v>
      </c>
      <c r="F86" s="107">
        <f t="shared" si="24"/>
        <v>0.20995887455232631</v>
      </c>
      <c r="G86" s="107">
        <f t="shared" si="24"/>
        <v>0.11758646429304387</v>
      </c>
      <c r="H86" s="107">
        <f t="shared" si="24"/>
        <v>0.26751905813862831</v>
      </c>
      <c r="I86" s="76">
        <f t="shared" si="24"/>
        <v>-1.8267225906823255</v>
      </c>
      <c r="J86" s="76">
        <f t="shared" si="24"/>
        <v>-3.2701043226487725</v>
      </c>
      <c r="K86" s="76">
        <f t="shared" si="24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3.987352867832863E-4</v>
      </c>
      <c r="E87" s="108">
        <f t="shared" ref="E87:K87" si="25">E85*E85</f>
        <v>0.13521385630057126</v>
      </c>
      <c r="F87" s="108">
        <f t="shared" si="25"/>
        <v>9.421781812903228E-2</v>
      </c>
      <c r="G87" s="108">
        <f t="shared" si="25"/>
        <v>2.3688322627303533E-2</v>
      </c>
      <c r="H87" s="108">
        <f t="shared" si="25"/>
        <v>0.17794294052434112</v>
      </c>
      <c r="I87" s="77">
        <f t="shared" si="25"/>
        <v>1.4308419264043923</v>
      </c>
      <c r="J87" s="77">
        <f t="shared" si="25"/>
        <v>2.4766800000487139</v>
      </c>
      <c r="K87" s="77">
        <f t="shared" si="25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6">D91-$C91</f>
        <v>-1.253875629566908</v>
      </c>
      <c r="N91" s="35">
        <f t="shared" si="26"/>
        <v>1.0419123890112216</v>
      </c>
      <c r="O91" s="35">
        <f t="shared" si="26"/>
        <v>-1.4028471761352286</v>
      </c>
      <c r="P91" s="35">
        <f t="shared" si="26"/>
        <v>1.4421025939282253</v>
      </c>
      <c r="Q91" s="35">
        <f t="shared" si="26"/>
        <v>-1.0351585166444344</v>
      </c>
      <c r="R91" s="35">
        <f t="shared" si="26"/>
        <v>0.58367185674448252</v>
      </c>
      <c r="S91" s="35">
        <f t="shared" si="26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6"/>
        <v>-3.2592166127769939E-2</v>
      </c>
      <c r="N92" s="35">
        <f t="shared" si="26"/>
        <v>-4.0818532431212473E-2</v>
      </c>
      <c r="O92" s="35">
        <f t="shared" si="26"/>
        <v>0.814665459345566</v>
      </c>
      <c r="P92" s="35">
        <f t="shared" si="26"/>
        <v>1.0431877148697888</v>
      </c>
      <c r="Q92" s="35">
        <f t="shared" si="26"/>
        <v>2.1037449841221099</v>
      </c>
      <c r="R92" s="35">
        <f t="shared" si="26"/>
        <v>2.0841504898711007</v>
      </c>
      <c r="S92" s="35">
        <f t="shared" si="26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6"/>
        <v>0.73934661383723232</v>
      </c>
      <c r="N93" s="35">
        <f t="shared" si="26"/>
        <v>0.77248383184656022</v>
      </c>
      <c r="O93" s="35">
        <f t="shared" si="26"/>
        <v>0.7195871750303805</v>
      </c>
      <c r="P93" s="35">
        <f t="shared" si="26"/>
        <v>0.78932433807079116</v>
      </c>
      <c r="Q93" s="35">
        <f t="shared" si="26"/>
        <v>0.82913701269133588</v>
      </c>
      <c r="R93" s="35">
        <f t="shared" si="26"/>
        <v>0.75171422039661484</v>
      </c>
      <c r="S93" s="35">
        <f t="shared" si="26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7">M$101-M$99</f>
        <v>-4.0818532431212473E-2</v>
      </c>
      <c r="E95" s="85">
        <f t="shared" si="27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8">SQRT(N91^2+N92^2+N93^2)</f>
        <v>1.2976821064610753</v>
      </c>
      <c r="O95" s="35">
        <f t="shared" si="28"/>
        <v>1.7746734101545305</v>
      </c>
      <c r="P95" s="35">
        <f t="shared" si="28"/>
        <v>1.9470319490292554</v>
      </c>
      <c r="Q95" s="35">
        <f t="shared" si="28"/>
        <v>2.4869186353025614</v>
      </c>
      <c r="R95" s="35">
        <f t="shared" si="28"/>
        <v>2.2911635406343196</v>
      </c>
      <c r="S95" s="35">
        <f t="shared" si="28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9">M$102-M$99</f>
        <v>0.814665459345566</v>
      </c>
      <c r="E96" s="85">
        <f t="shared" si="29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30">M$103-M$99</f>
        <v>1.0431877148697888</v>
      </c>
      <c r="E97" s="85">
        <f t="shared" si="30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1">M$101-M$99</f>
        <v>-4.0818532431212473E-2</v>
      </c>
      <c r="E99" s="85">
        <f t="shared" si="31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166</v>
      </c>
      <c r="B100" s="5" t="s">
        <v>27</v>
      </c>
      <c r="C100" s="79">
        <f>L$104-L$99</f>
        <v>-1.0351585166444344</v>
      </c>
      <c r="D100" s="79">
        <f t="shared" ref="D100:E100" si="32">M$104-M$99</f>
        <v>2.1037449841221099</v>
      </c>
      <c r="E100" s="85">
        <f t="shared" si="32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3">M$106-M$99</f>
        <v>2.3667658472617719</v>
      </c>
      <c r="E101" s="85">
        <f t="shared" si="33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4">M$101-M$99</f>
        <v>-4.0818532431212473E-2</v>
      </c>
      <c r="E103" s="85">
        <f t="shared" si="34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167</v>
      </c>
      <c r="B104" s="5" t="s">
        <v>27</v>
      </c>
      <c r="C104" s="79">
        <f>L$103-L$99</f>
        <v>1.4421025939282253</v>
      </c>
      <c r="D104" s="79">
        <f t="shared" ref="D104:E104" si="35">M$103-M$99</f>
        <v>1.0431877148697888</v>
      </c>
      <c r="E104" s="85">
        <f t="shared" si="35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6">M$104-M$99</f>
        <v>2.1037449841221099</v>
      </c>
      <c r="E105" s="85">
        <f t="shared" si="36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7">M$101-M$99</f>
        <v>-4.0818532431212473E-2</v>
      </c>
      <c r="E107" s="85">
        <f t="shared" si="37"/>
        <v>0.77248383184656022</v>
      </c>
    </row>
    <row r="108" spans="1:14">
      <c r="A108" s="2" t="s">
        <v>168</v>
      </c>
      <c r="B108" s="5" t="s">
        <v>27</v>
      </c>
      <c r="C108" s="79">
        <f>L$102-L$99</f>
        <v>-1.4028471761352286</v>
      </c>
      <c r="D108" s="79">
        <f t="shared" ref="D108:E108" si="38">M$102-M$99</f>
        <v>0.814665459345566</v>
      </c>
      <c r="E108" s="85">
        <f t="shared" si="38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9">M$106-M$99</f>
        <v>2.3667658472617719</v>
      </c>
      <c r="E109" s="85">
        <f t="shared" si="39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40">M$101-M$99</f>
        <v>-4.0818532431212473E-2</v>
      </c>
      <c r="E111" s="85">
        <f t="shared" si="40"/>
        <v>0.77248383184656022</v>
      </c>
    </row>
    <row r="112" spans="1:14">
      <c r="A112" s="2" t="s">
        <v>169</v>
      </c>
      <c r="B112" s="5" t="s">
        <v>27</v>
      </c>
      <c r="C112" s="79">
        <f>L$102-L$99</f>
        <v>-1.4028471761352286</v>
      </c>
      <c r="D112" s="79">
        <f t="shared" ref="D112:E112" si="41">M$102-M$99</f>
        <v>0.814665459345566</v>
      </c>
      <c r="E112" s="85">
        <f t="shared" si="41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2">M$104-M$99</f>
        <v>2.1037449841221099</v>
      </c>
      <c r="E113" s="85">
        <f t="shared" si="42"/>
        <v>0.82913701269133588</v>
      </c>
    </row>
    <row r="114" spans="1:13">
      <c r="B114" s="2"/>
      <c r="C114" s="160"/>
      <c r="D114" s="160"/>
      <c r="E114" s="160"/>
      <c r="F114" s="2"/>
    </row>
    <row r="115" spans="1:13">
      <c r="B115" s="2"/>
      <c r="C115" s="160"/>
      <c r="D115" s="160"/>
      <c r="E115" s="160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61">
        <v>2</v>
      </c>
      <c r="E118" s="161">
        <v>3</v>
      </c>
      <c r="F118" s="161">
        <v>4</v>
      </c>
      <c r="G118" s="165">
        <v>5</v>
      </c>
      <c r="H118" s="120">
        <v>6</v>
      </c>
      <c r="I118" s="167">
        <v>7</v>
      </c>
    </row>
    <row r="119" spans="1:13">
      <c r="B119" s="94">
        <f>C91-$C91</f>
        <v>0</v>
      </c>
      <c r="C119" s="118">
        <f>D91-$C91</f>
        <v>-1.253875629566908</v>
      </c>
      <c r="D119" s="162">
        <f t="shared" ref="D119:I121" si="43">E91-$C91</f>
        <v>1.0419123890112216</v>
      </c>
      <c r="E119" s="162">
        <f t="shared" si="43"/>
        <v>-1.4028471761352286</v>
      </c>
      <c r="F119" s="162">
        <f t="shared" si="43"/>
        <v>1.4421025939282253</v>
      </c>
      <c r="G119" s="166">
        <f t="shared" si="43"/>
        <v>-1.0351585166444344</v>
      </c>
      <c r="H119" s="118">
        <f t="shared" si="43"/>
        <v>0.58367185674448252</v>
      </c>
      <c r="I119" s="168">
        <f t="shared" si="43"/>
        <v>-2.5457845528396139E-2</v>
      </c>
      <c r="K119" s="99" t="s">
        <v>147</v>
      </c>
    </row>
    <row r="120" spans="1:13">
      <c r="B120" s="94">
        <f t="shared" ref="B120:C121" si="44">C92-$C92</f>
        <v>0</v>
      </c>
      <c r="C120" s="118">
        <f t="shared" si="44"/>
        <v>-3.2592166127769939E-2</v>
      </c>
      <c r="D120" s="162">
        <f t="shared" si="43"/>
        <v>-4.0818532431212473E-2</v>
      </c>
      <c r="E120" s="162">
        <f t="shared" si="43"/>
        <v>0.814665459345566</v>
      </c>
      <c r="F120" s="162">
        <f t="shared" si="43"/>
        <v>1.0431877148697888</v>
      </c>
      <c r="G120" s="166">
        <f t="shared" si="43"/>
        <v>2.1037449841221099</v>
      </c>
      <c r="H120" s="121">
        <f t="shared" si="43"/>
        <v>2.0841504898711007</v>
      </c>
      <c r="I120" s="168">
        <f t="shared" si="43"/>
        <v>2.3667658472617719</v>
      </c>
      <c r="K120" s="100" t="s">
        <v>148</v>
      </c>
    </row>
    <row r="121" spans="1:13">
      <c r="B121" s="94">
        <f t="shared" si="44"/>
        <v>0</v>
      </c>
      <c r="C121" s="118">
        <f t="shared" si="44"/>
        <v>0.73934661383723232</v>
      </c>
      <c r="D121" s="162">
        <f t="shared" si="43"/>
        <v>0.77248383184656022</v>
      </c>
      <c r="E121" s="162">
        <f t="shared" si="43"/>
        <v>0.7195871750303805</v>
      </c>
      <c r="F121" s="162">
        <f t="shared" si="43"/>
        <v>0.78932433807079116</v>
      </c>
      <c r="G121" s="166">
        <f t="shared" si="43"/>
        <v>0.82913701269133588</v>
      </c>
      <c r="H121" s="118">
        <f t="shared" si="43"/>
        <v>0.75171422039661484</v>
      </c>
      <c r="I121" s="168">
        <f t="shared" si="43"/>
        <v>6.368425350466822E-2</v>
      </c>
      <c r="K121" s="101" t="s">
        <v>149</v>
      </c>
    </row>
    <row r="122" spans="1:13">
      <c r="C122" s="119"/>
      <c r="D122" s="163"/>
      <c r="E122" s="163"/>
      <c r="F122" s="163"/>
      <c r="G122" s="163"/>
      <c r="H122" s="119"/>
      <c r="I122" s="163"/>
    </row>
    <row r="123" spans="1:13">
      <c r="A123" s="16" t="s">
        <v>128</v>
      </c>
      <c r="B123" s="96">
        <f>SQRT(B119^2+B120^2+B121^2)</f>
        <v>0</v>
      </c>
      <c r="C123" s="97">
        <v>0</v>
      </c>
      <c r="D123" s="164">
        <f t="shared" ref="C123:I123" si="45">SQRT(D119^2+D120^2+D121^2)</f>
        <v>1.2976821064610753</v>
      </c>
      <c r="E123" s="164">
        <f t="shared" si="45"/>
        <v>1.7746734101545305</v>
      </c>
      <c r="F123" s="164">
        <f t="shared" si="45"/>
        <v>1.9470319490292554</v>
      </c>
      <c r="G123" s="164">
        <f t="shared" si="45"/>
        <v>2.4869186353025614</v>
      </c>
      <c r="H123" s="97">
        <v>0</v>
      </c>
      <c r="I123" s="164">
        <f t="shared" si="45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6">E91-$E91</f>
        <v>0</v>
      </c>
      <c r="E126" s="95">
        <f t="shared" si="46"/>
        <v>-2.44475956514645</v>
      </c>
      <c r="F126" s="95">
        <f t="shared" si="46"/>
        <v>0.40019020491700363</v>
      </c>
      <c r="G126" s="123">
        <f t="shared" si="46"/>
        <v>-2.0770709056556558</v>
      </c>
      <c r="H126" s="118">
        <f t="shared" si="46"/>
        <v>-0.45824053226673911</v>
      </c>
      <c r="I126" s="123">
        <f t="shared" si="46"/>
        <v>-1.0673702345396179</v>
      </c>
    </row>
    <row r="127" spans="1:13">
      <c r="B127" s="95">
        <f t="shared" ref="B127:I128" si="47">C92-$E92</f>
        <v>4.0818532431212473E-2</v>
      </c>
      <c r="C127" s="118">
        <f t="shared" si="47"/>
        <v>8.2263663034425338E-3</v>
      </c>
      <c r="D127" s="94">
        <f t="shared" si="47"/>
        <v>0</v>
      </c>
      <c r="E127" s="95">
        <f t="shared" si="47"/>
        <v>0.85548399177677847</v>
      </c>
      <c r="F127" s="95">
        <f t="shared" si="47"/>
        <v>1.0840062473010013</v>
      </c>
      <c r="G127" s="123">
        <f t="shared" si="47"/>
        <v>2.1445635165533226</v>
      </c>
      <c r="H127" s="118">
        <f t="shared" si="47"/>
        <v>2.124969022302313</v>
      </c>
      <c r="I127" s="123">
        <f t="shared" si="47"/>
        <v>2.4075843796929846</v>
      </c>
    </row>
    <row r="128" spans="1:13">
      <c r="B128" s="95">
        <f t="shared" si="47"/>
        <v>-0.77248383184656022</v>
      </c>
      <c r="C128" s="118">
        <f t="shared" si="47"/>
        <v>-3.3137218009327896E-2</v>
      </c>
      <c r="D128" s="94">
        <f t="shared" si="47"/>
        <v>0</v>
      </c>
      <c r="E128" s="95">
        <f t="shared" si="47"/>
        <v>-5.2896656816179721E-2</v>
      </c>
      <c r="F128" s="95">
        <f t="shared" si="47"/>
        <v>1.6840506224230944E-2</v>
      </c>
      <c r="G128" s="123">
        <f t="shared" si="47"/>
        <v>5.6653180844775664E-2</v>
      </c>
      <c r="H128" s="118">
        <f t="shared" si="47"/>
        <v>-2.076961144994538E-2</v>
      </c>
      <c r="I128" s="123">
        <f t="shared" si="47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8">SQRT(C126^2+C127^2+C128^2)</f>
        <v>2.2960418930339337</v>
      </c>
      <c r="D130" s="96">
        <f t="shared" si="48"/>
        <v>0</v>
      </c>
      <c r="E130" s="98">
        <f t="shared" si="48"/>
        <v>2.5906563353451029</v>
      </c>
      <c r="F130" s="98">
        <f t="shared" si="48"/>
        <v>1.1556406651502886</v>
      </c>
      <c r="G130" s="134">
        <f t="shared" si="48"/>
        <v>2.9860652716497325</v>
      </c>
      <c r="H130" s="97">
        <f t="shared" si="48"/>
        <v>2.1739156165583644</v>
      </c>
      <c r="I130" s="134">
        <f t="shared" si="48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9">C91-$F91</f>
        <v>1.4028471761352286</v>
      </c>
      <c r="C133" s="118">
        <f>D91-$F91</f>
        <v>0.14897154656832046</v>
      </c>
      <c r="D133" s="95">
        <f t="shared" ref="D133:I133" si="50">E91-$F91</f>
        <v>2.44475956514645</v>
      </c>
      <c r="E133" s="94">
        <f t="shared" si="50"/>
        <v>0</v>
      </c>
      <c r="F133" s="95">
        <f t="shared" si="50"/>
        <v>2.8449497700634536</v>
      </c>
      <c r="G133" s="123">
        <f t="shared" si="50"/>
        <v>0.36768865949079421</v>
      </c>
      <c r="H133" s="118">
        <f t="shared" si="50"/>
        <v>1.9865190328797109</v>
      </c>
      <c r="I133" s="123">
        <f t="shared" si="50"/>
        <v>1.3773893306068323</v>
      </c>
    </row>
    <row r="134" spans="1:13">
      <c r="B134" s="95">
        <f t="shared" si="49"/>
        <v>-0.814665459345566</v>
      </c>
      <c r="C134" s="118">
        <f t="shared" si="49"/>
        <v>-0.84725762547333594</v>
      </c>
      <c r="D134" s="95">
        <f t="shared" si="49"/>
        <v>-0.85548399177677847</v>
      </c>
      <c r="E134" s="94">
        <f t="shared" si="49"/>
        <v>0</v>
      </c>
      <c r="F134" s="95">
        <f t="shared" si="49"/>
        <v>0.22852225552422287</v>
      </c>
      <c r="G134" s="123">
        <f t="shared" si="49"/>
        <v>1.2890795247765441</v>
      </c>
      <c r="H134" s="118">
        <f t="shared" si="49"/>
        <v>1.2694850305255347</v>
      </c>
      <c r="I134" s="123">
        <f t="shared" si="49"/>
        <v>1.5521003879162059</v>
      </c>
    </row>
    <row r="135" spans="1:13">
      <c r="B135" s="95">
        <f t="shared" si="49"/>
        <v>-0.7195871750303805</v>
      </c>
      <c r="C135" s="118">
        <f t="shared" si="49"/>
        <v>1.9759438806851826E-2</v>
      </c>
      <c r="D135" s="95">
        <f t="shared" si="49"/>
        <v>5.2896656816179721E-2</v>
      </c>
      <c r="E135" s="94">
        <f t="shared" si="49"/>
        <v>0</v>
      </c>
      <c r="F135" s="95">
        <f t="shared" si="49"/>
        <v>6.9737163040410666E-2</v>
      </c>
      <c r="G135" s="123">
        <f t="shared" si="49"/>
        <v>0.10954983766095538</v>
      </c>
      <c r="H135" s="118">
        <f t="shared" si="49"/>
        <v>3.2127045366234341E-2</v>
      </c>
      <c r="I135" s="123">
        <f t="shared" si="4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1">SQRT(C133^2+C134^2+C135^2)</f>
        <v>0.86048151696107611</v>
      </c>
      <c r="D137" s="98">
        <f t="shared" si="51"/>
        <v>2.5906563353451029</v>
      </c>
      <c r="E137" s="96">
        <f t="shared" si="51"/>
        <v>0</v>
      </c>
      <c r="F137" s="98">
        <f t="shared" si="51"/>
        <v>2.8549649537889077</v>
      </c>
      <c r="G137" s="134">
        <f t="shared" si="51"/>
        <v>1.3449617609611804</v>
      </c>
      <c r="H137" s="97">
        <f t="shared" si="51"/>
        <v>2.3577281984498817</v>
      </c>
      <c r="I137" s="134">
        <f t="shared" si="51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2">D91-$G91</f>
        <v>-2.6959782234951333</v>
      </c>
      <c r="D140" s="95">
        <f t="shared" si="52"/>
        <v>-0.40019020491700363</v>
      </c>
      <c r="E140" s="95">
        <f t="shared" si="52"/>
        <v>-2.8449497700634536</v>
      </c>
      <c r="F140" s="94">
        <f t="shared" si="52"/>
        <v>0</v>
      </c>
      <c r="G140" s="123">
        <f t="shared" si="52"/>
        <v>-2.4772611105726594</v>
      </c>
      <c r="H140" s="118">
        <f t="shared" si="52"/>
        <v>-0.85843073718374274</v>
      </c>
      <c r="I140" s="123">
        <f t="shared" si="52"/>
        <v>-1.4675604394566215</v>
      </c>
    </row>
    <row r="141" spans="1:13">
      <c r="B141" s="95">
        <f t="shared" ref="B141:I142" si="53">C92-$G92</f>
        <v>-1.0431877148697888</v>
      </c>
      <c r="C141" s="118">
        <f t="shared" si="53"/>
        <v>-1.0757798809975587</v>
      </c>
      <c r="D141" s="95">
        <f t="shared" si="53"/>
        <v>-1.0840062473010013</v>
      </c>
      <c r="E141" s="95">
        <f t="shared" si="53"/>
        <v>-0.22852225552422287</v>
      </c>
      <c r="F141" s="94">
        <f t="shared" si="53"/>
        <v>0</v>
      </c>
      <c r="G141" s="123">
        <f t="shared" si="53"/>
        <v>1.0605572692523213</v>
      </c>
      <c r="H141" s="118">
        <f t="shared" si="53"/>
        <v>1.040962775001312</v>
      </c>
      <c r="I141" s="123">
        <f t="shared" si="53"/>
        <v>1.3235781323919831</v>
      </c>
    </row>
    <row r="142" spans="1:13">
      <c r="B142" s="95">
        <f t="shared" si="53"/>
        <v>-0.78932433807079116</v>
      </c>
      <c r="C142" s="118">
        <f t="shared" si="53"/>
        <v>-4.997772423355884E-2</v>
      </c>
      <c r="D142" s="95">
        <f t="shared" si="53"/>
        <v>-1.6840506224230944E-2</v>
      </c>
      <c r="E142" s="95">
        <f t="shared" si="53"/>
        <v>-6.9737163040410666E-2</v>
      </c>
      <c r="F142" s="94">
        <f t="shared" si="53"/>
        <v>0</v>
      </c>
      <c r="G142" s="123">
        <f t="shared" si="53"/>
        <v>3.9812674620544719E-2</v>
      </c>
      <c r="H142" s="118">
        <f t="shared" si="53"/>
        <v>-3.7610117674176324E-2</v>
      </c>
      <c r="I142" s="123">
        <f t="shared" si="53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4">SQRT(C140^2+C141^2+C142^2)</f>
        <v>2.9031187896534068</v>
      </c>
      <c r="D144" s="98">
        <f t="shared" si="54"/>
        <v>1.1556406651502886</v>
      </c>
      <c r="E144" s="98">
        <f t="shared" si="54"/>
        <v>2.8549649537889077</v>
      </c>
      <c r="F144" s="96">
        <f t="shared" si="54"/>
        <v>0</v>
      </c>
      <c r="G144" s="134">
        <f t="shared" si="54"/>
        <v>2.6950304971150265</v>
      </c>
      <c r="H144" s="97">
        <f t="shared" si="54"/>
        <v>1.3497856683309841</v>
      </c>
      <c r="I144" s="134">
        <f t="shared" si="54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/>
      <c r="C150" s="146" t="e">
        <f t="shared" ref="C150:C156" si="55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-12.232758620689655</v>
      </c>
      <c r="C151" s="35">
        <f t="shared" si="55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-4.4375</v>
      </c>
      <c r="C152" s="35">
        <f t="shared" si="55"/>
        <v>-0.22535211267605634</v>
      </c>
      <c r="D152">
        <v>-4.4375</v>
      </c>
    </row>
    <row r="153" spans="1:9">
      <c r="A153" t="s">
        <v>127</v>
      </c>
      <c r="B153" s="35">
        <v>14.42443729903537</v>
      </c>
      <c r="C153" s="35">
        <f t="shared" si="55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55"/>
        <v>2.6229508196721311E-2</v>
      </c>
      <c r="D154">
        <v>38.125</v>
      </c>
    </row>
    <row r="155" spans="1:9">
      <c r="A155" s="112" t="s">
        <v>125</v>
      </c>
      <c r="B155" s="146"/>
      <c r="C155" s="146" t="e">
        <f t="shared" si="55"/>
        <v>#DIV/0!</v>
      </c>
      <c r="D155" s="112"/>
    </row>
    <row r="156" spans="1:9">
      <c r="A156" t="s">
        <v>124</v>
      </c>
      <c r="B156" s="35">
        <v>-18.798816568047336</v>
      </c>
      <c r="C156" s="35">
        <f t="shared" si="55"/>
        <v>-5.3194837897387479E-2</v>
      </c>
      <c r="D156">
        <v>-18.798816568047336</v>
      </c>
    </row>
    <row r="158" spans="1:9">
      <c r="B158">
        <v>1</v>
      </c>
    </row>
  </sheetData>
  <mergeCells count="11">
    <mergeCell ref="A81:K81"/>
    <mergeCell ref="B83:C83"/>
    <mergeCell ref="B84:C84"/>
    <mergeCell ref="B85:C85"/>
    <mergeCell ref="B86:C86"/>
    <mergeCell ref="A1:K1"/>
    <mergeCell ref="L22:L28"/>
    <mergeCell ref="A30:K30"/>
    <mergeCell ref="L60:L68"/>
    <mergeCell ref="A70:K70"/>
    <mergeCell ref="A75:K75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9" zoomScale="115" zoomScaleNormal="115" workbookViewId="0">
      <selection activeCell="D51" sqref="D51"/>
    </sheetView>
  </sheetViews>
  <sheetFormatPr baseColWidth="10" defaultRowHeight="15"/>
  <sheetData>
    <row r="2" spans="1:14">
      <c r="A2" s="152" t="s">
        <v>108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49" t="s">
        <v>107</v>
      </c>
      <c r="C7" s="149"/>
      <c r="D7" s="149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56"/>
      <c r="B8" s="156"/>
      <c r="C8" s="156"/>
      <c r="D8" s="156"/>
      <c r="E8" s="156"/>
      <c r="F8" s="156"/>
      <c r="G8" s="156"/>
      <c r="H8" s="156"/>
      <c r="I8" s="156"/>
      <c r="J8" s="156"/>
      <c r="K8" s="156"/>
    </row>
    <row r="9" spans="1:14">
      <c r="A9" s="152" t="s">
        <v>112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0.36899024303035577</v>
      </c>
      <c r="E11" s="37">
        <f t="shared" si="0"/>
        <v>-0.59649384130796668</v>
      </c>
      <c r="F11" s="37">
        <f t="shared" si="0"/>
        <v>1.1712628708665425</v>
      </c>
      <c r="G11" s="37">
        <f t="shared" si="0"/>
        <v>-0.71120190357825341</v>
      </c>
      <c r="H11" s="37">
        <f t="shared" si="0"/>
        <v>1.4794093974992033</v>
      </c>
      <c r="I11" s="37">
        <f t="shared" si="0"/>
        <v>-0.42808167375333339</v>
      </c>
      <c r="J11" s="37">
        <f t="shared" si="0"/>
        <v>0.81841772972524474</v>
      </c>
      <c r="K11" s="37">
        <f t="shared" si="0"/>
        <v>0.34938787111529562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-0.77925421915625526</v>
      </c>
      <c r="E12" s="37">
        <f t="shared" si="0"/>
        <v>-0.8043500489760308</v>
      </c>
      <c r="F12" s="37">
        <f t="shared" si="0"/>
        <v>-0.81068431890966974</v>
      </c>
      <c r="G12" s="37">
        <f t="shared" si="0"/>
        <v>-0.15196156988652987</v>
      </c>
      <c r="H12" s="37">
        <f t="shared" si="0"/>
        <v>2.4000416015487816E-2</v>
      </c>
      <c r="I12" s="37">
        <f t="shared" si="0"/>
        <v>0.84062952967097482</v>
      </c>
      <c r="J12" s="37">
        <f t="shared" si="0"/>
        <v>0.8255417089917213</v>
      </c>
      <c r="K12" s="37">
        <f t="shared" si="0"/>
        <v>1.0431556052456747</v>
      </c>
      <c r="M12" s="31"/>
    </row>
    <row r="13" spans="1:14">
      <c r="B13" t="s">
        <v>111</v>
      </c>
      <c r="D13" s="37">
        <f t="shared" si="0"/>
        <v>0.48534053578965186</v>
      </c>
      <c r="E13" s="37">
        <f t="shared" si="0"/>
        <v>1.076817821311042</v>
      </c>
      <c r="F13" s="37">
        <f t="shared" si="0"/>
        <v>1.1033277056576982</v>
      </c>
      <c r="G13" s="37">
        <f t="shared" si="0"/>
        <v>1.0610103865425209</v>
      </c>
      <c r="H13" s="37">
        <f t="shared" si="0"/>
        <v>1.1168000278114449</v>
      </c>
      <c r="I13" s="37">
        <f t="shared" si="0"/>
        <v>1.1486502583401645</v>
      </c>
      <c r="J13" s="37">
        <f t="shared" si="0"/>
        <v>1.0867119932282054</v>
      </c>
      <c r="K13" s="37">
        <f t="shared" si="0"/>
        <v>0.53628774701977511</v>
      </c>
      <c r="M13" s="31"/>
    </row>
    <row r="14" spans="1:14">
      <c r="B14" t="s">
        <v>74</v>
      </c>
      <c r="D14" s="40">
        <f t="shared" ref="D14:K14" si="1">(D$11-D$22)^2+(D$12-D$23)^2+(D$13-D$24)^2</f>
        <v>1.1534376144074458E-13</v>
      </c>
      <c r="E14" s="40">
        <f t="shared" si="1"/>
        <v>5.9511556808419898E-14</v>
      </c>
      <c r="F14" s="40">
        <f t="shared" si="1"/>
        <v>5.8414967575823685E-13</v>
      </c>
      <c r="G14" s="40">
        <f t="shared" si="1"/>
        <v>2.7053879790262381E-14</v>
      </c>
      <c r="H14" s="40">
        <f t="shared" si="1"/>
        <v>5.9302264018418538E-13</v>
      </c>
      <c r="I14" s="40">
        <f t="shared" si="1"/>
        <v>3.0979908843458508E-13</v>
      </c>
      <c r="J14" s="40">
        <f t="shared" si="1"/>
        <v>4.1455191361086043E-13</v>
      </c>
      <c r="K14" s="40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152" t="s">
        <v>66</v>
      </c>
      <c r="B16" s="157"/>
      <c r="C16" s="157"/>
      <c r="D16" s="157"/>
      <c r="E16" s="157"/>
      <c r="F16" s="157"/>
      <c r="G16" s="157"/>
      <c r="H16" s="157"/>
      <c r="I16" s="157"/>
      <c r="J16" s="157"/>
      <c r="K16" s="157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0.47920810783163087</v>
      </c>
      <c r="E18" s="62">
        <v>-0.77466732637398272</v>
      </c>
      <c r="F18" s="62">
        <v>1.5211206115149902</v>
      </c>
      <c r="G18" s="62">
        <v>-0.92363883581591344</v>
      </c>
      <c r="H18" s="62">
        <v>1.9213109058431213</v>
      </c>
      <c r="I18" s="62">
        <v>-0.55595022565367969</v>
      </c>
      <c r="J18" s="62">
        <v>1.0628801684743439</v>
      </c>
      <c r="K18" s="62">
        <v>0.4537504819679164</v>
      </c>
      <c r="M18" s="63">
        <f ca="1">RAND()-RAND()</f>
        <v>-0.21716545450398961</v>
      </c>
      <c r="ID18">
        <v>0</v>
      </c>
    </row>
    <row r="19" spans="1:238">
      <c r="B19" s="16" t="s">
        <v>113</v>
      </c>
      <c r="C19" s="2" t="s">
        <v>27</v>
      </c>
      <c r="D19" s="62">
        <v>-1.0120184664366951</v>
      </c>
      <c r="E19" s="62">
        <v>-1.0446104532156244</v>
      </c>
      <c r="F19" s="62">
        <v>-1.0528367778047658</v>
      </c>
      <c r="G19" s="62">
        <v>-0.1973526881643245</v>
      </c>
      <c r="H19" s="62">
        <v>3.1169371448685475E-2</v>
      </c>
      <c r="I19" s="62">
        <v>1.0917266619103569</v>
      </c>
      <c r="J19" s="62">
        <v>1.072132089599638</v>
      </c>
      <c r="K19" s="62">
        <v>1.3547475392800972</v>
      </c>
      <c r="M19" s="63">
        <f t="shared" ref="M19" ca="1" si="2">RAND()-RAND()</f>
        <v>-0.12085023611954693</v>
      </c>
    </row>
    <row r="20" spans="1:238">
      <c r="C20" s="2"/>
      <c r="D20" s="62">
        <v>0.60667566973706477</v>
      </c>
      <c r="E20" s="62">
        <v>1.3460222766388024</v>
      </c>
      <c r="F20" s="62">
        <v>1.3791596320721227</v>
      </c>
      <c r="G20" s="62">
        <v>1.3262629831781512</v>
      </c>
      <c r="H20" s="62">
        <v>1.3960000347643062</v>
      </c>
      <c r="I20" s="62">
        <v>1.4358128229252056</v>
      </c>
      <c r="J20" s="62">
        <v>1.3583899915352569</v>
      </c>
      <c r="K20" s="62">
        <v>0.67035968377471888</v>
      </c>
      <c r="M20" s="63">
        <f ca="1">IF(RAND()-RAND()&lt;0,-1*RAND()-RAND(),RAND()-RAND())</f>
        <v>-0.81569502670009864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52" t="s">
        <v>62</v>
      </c>
      <c r="B26" s="157"/>
      <c r="C26" s="157"/>
      <c r="D26" s="157"/>
      <c r="E26" s="157"/>
      <c r="F26" s="157"/>
      <c r="G26" s="157"/>
      <c r="H26" s="157"/>
      <c r="I26" s="157"/>
      <c r="J26" s="157"/>
      <c r="K26" s="157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52" t="s">
        <v>64</v>
      </c>
      <c r="B31" s="157"/>
      <c r="C31" s="157"/>
      <c r="D31" s="157"/>
      <c r="E31" s="157"/>
      <c r="F31" s="157"/>
      <c r="G31" s="157"/>
      <c r="H31" s="157"/>
      <c r="I31" s="157"/>
      <c r="J31" s="157"/>
      <c r="K31" s="157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116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52" t="s">
        <v>67</v>
      </c>
      <c r="B37" s="152"/>
      <c r="C37" s="152"/>
      <c r="D37" s="152"/>
      <c r="E37" s="152"/>
      <c r="F37" s="152"/>
      <c r="G37" s="152"/>
      <c r="H37" s="152"/>
      <c r="I37" s="152"/>
      <c r="J37" s="152"/>
      <c r="K37" s="152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54" t="s">
        <v>71</v>
      </c>
      <c r="C39" s="154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50" t="s">
        <v>70</v>
      </c>
      <c r="C40" s="150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150" t="s">
        <v>69</v>
      </c>
      <c r="C41" s="150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151" t="s">
        <v>68</v>
      </c>
      <c r="C42" s="151"/>
      <c r="D42" s="39">
        <f>ABS(1-D39/D40)</f>
        <v>1.1408773738925349E-2</v>
      </c>
      <c r="E42" s="39">
        <f t="shared" ref="E42:K42" si="9">ABS(1-E39/E40)</f>
        <v>1.1938054733699355E-2</v>
      </c>
      <c r="F42" s="39">
        <f t="shared" si="9"/>
        <v>1.1503455025259735E-2</v>
      </c>
      <c r="G42" s="39">
        <f t="shared" si="9"/>
        <v>2.0145899071841056E-2</v>
      </c>
      <c r="H42" s="39">
        <f t="shared" si="9"/>
        <v>1.0051703416080082E-2</v>
      </c>
      <c r="I42" s="39">
        <f t="shared" si="9"/>
        <v>1.931709897609335E-2</v>
      </c>
      <c r="J42" s="39">
        <f t="shared" si="9"/>
        <v>1.1885056584151954E-2</v>
      </c>
      <c r="K42" s="39">
        <f t="shared" si="9"/>
        <v>2.6406894567404526E-3</v>
      </c>
    </row>
    <row r="43" spans="1:11">
      <c r="B43" s="155" t="s">
        <v>105</v>
      </c>
      <c r="C43" s="155"/>
      <c r="D43" s="41">
        <f>D41*D41</f>
        <v>2.1110372227815973E-4</v>
      </c>
      <c r="E43" s="41">
        <f t="shared" ref="E43:K43" si="10">E41*E41</f>
        <v>4.9925132294176169E-4</v>
      </c>
      <c r="F43" s="41">
        <f t="shared" si="10"/>
        <v>7.0456904728190631E-4</v>
      </c>
      <c r="G43" s="41">
        <f t="shared" si="10"/>
        <v>1.0759398588096941E-3</v>
      </c>
      <c r="H43" s="41">
        <f t="shared" si="10"/>
        <v>5.6997081296152573E-4</v>
      </c>
      <c r="I43" s="41">
        <f t="shared" si="10"/>
        <v>1.3293503106080124E-3</v>
      </c>
      <c r="J43" s="41">
        <f t="shared" si="10"/>
        <v>5.8259103210051174E-4</v>
      </c>
      <c r="K43" s="41">
        <f t="shared" si="10"/>
        <v>1.7367640724170797E-5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13" zoomScale="115" zoomScaleNormal="115" workbookViewId="0">
      <selection activeCell="E59" sqref="E59"/>
    </sheetView>
  </sheetViews>
  <sheetFormatPr baseColWidth="10" defaultRowHeight="15"/>
  <sheetData>
    <row r="2" spans="1:11">
      <c r="A2" s="152" t="s">
        <v>65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52" t="s">
        <v>66</v>
      </c>
      <c r="B7" s="157"/>
      <c r="C7" s="157"/>
      <c r="D7" s="157"/>
      <c r="E7" s="157"/>
      <c r="F7" s="157"/>
      <c r="G7" s="157"/>
      <c r="H7" s="157"/>
      <c r="I7" s="157"/>
      <c r="J7" s="157"/>
      <c r="K7" s="157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58" t="s">
        <v>73</v>
      </c>
      <c r="E13" s="159"/>
      <c r="F13" s="159"/>
      <c r="G13" s="159"/>
      <c r="H13" s="159"/>
      <c r="I13" s="159"/>
      <c r="J13" s="159"/>
      <c r="K13" s="159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52" t="s">
        <v>62</v>
      </c>
      <c r="B19" s="157"/>
      <c r="C19" s="157"/>
      <c r="D19" s="157"/>
      <c r="E19" s="157"/>
      <c r="F19" s="157"/>
      <c r="G19" s="157"/>
      <c r="H19" s="157"/>
      <c r="I19" s="157"/>
      <c r="J19" s="157"/>
      <c r="K19" s="157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52" t="s">
        <v>64</v>
      </c>
      <c r="B24" s="157"/>
      <c r="C24" s="157"/>
      <c r="D24" s="157"/>
      <c r="E24" s="157"/>
      <c r="F24" s="157"/>
      <c r="G24" s="157"/>
      <c r="H24" s="157"/>
      <c r="I24" s="157"/>
      <c r="J24" s="157"/>
      <c r="K24" s="157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52" t="s">
        <v>67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54" t="s">
        <v>71</v>
      </c>
      <c r="C32" s="154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50" t="s">
        <v>70</v>
      </c>
      <c r="C33" s="150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50" t="s">
        <v>69</v>
      </c>
      <c r="C34" s="150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51" t="s">
        <v>68</v>
      </c>
      <c r="C35" s="151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"/>
  <dimension ref="A2:D17"/>
  <sheetViews>
    <sheetView workbookViewId="0">
      <selection activeCell="B5" sqref="B5"/>
    </sheetView>
  </sheetViews>
  <sheetFormatPr baseColWidth="10" defaultRowHeight="15"/>
  <sheetData>
    <row r="2" spans="1:4">
      <c r="A2" t="s">
        <v>163</v>
      </c>
      <c r="B2" t="s">
        <v>160</v>
      </c>
      <c r="C2" t="s">
        <v>161</v>
      </c>
      <c r="D2" t="s">
        <v>162</v>
      </c>
    </row>
    <row r="3" spans="1:4">
      <c r="A3">
        <v>0</v>
      </c>
      <c r="B3">
        <v>-3</v>
      </c>
      <c r="C3">
        <v>3</v>
      </c>
      <c r="D3">
        <v>7</v>
      </c>
    </row>
    <row r="4" spans="1:4">
      <c r="A4">
        <v>0</v>
      </c>
      <c r="B4">
        <v>1</v>
      </c>
      <c r="C4">
        <v>6</v>
      </c>
      <c r="D4">
        <v>-1</v>
      </c>
    </row>
    <row r="5" spans="1:4">
      <c r="A5">
        <v>0</v>
      </c>
      <c r="B5">
        <v>0</v>
      </c>
      <c r="C5">
        <v>0</v>
      </c>
      <c r="D5">
        <v>0</v>
      </c>
    </row>
    <row r="7" spans="1:4">
      <c r="A7">
        <f>A3-$B3</f>
        <v>3</v>
      </c>
      <c r="B7">
        <f>B3-$B3</f>
        <v>0</v>
      </c>
      <c r="C7">
        <f t="shared" ref="C7:D7" si="0">C3-$B3</f>
        <v>6</v>
      </c>
      <c r="D7">
        <f t="shared" si="0"/>
        <v>10</v>
      </c>
    </row>
    <row r="8" spans="1:4">
      <c r="A8">
        <f t="shared" ref="A8:B8" si="1">A4-$B4</f>
        <v>-1</v>
      </c>
      <c r="B8">
        <f t="shared" si="1"/>
        <v>0</v>
      </c>
      <c r="C8">
        <f t="shared" ref="C8:D9" si="2">C4-$B4</f>
        <v>5</v>
      </c>
      <c r="D8">
        <f t="shared" si="2"/>
        <v>-2</v>
      </c>
    </row>
    <row r="9" spans="1:4">
      <c r="A9">
        <f t="shared" ref="A9:B9" si="3">A5-$B5</f>
        <v>0</v>
      </c>
      <c r="B9">
        <f t="shared" si="3"/>
        <v>0</v>
      </c>
      <c r="C9">
        <f t="shared" si="2"/>
        <v>0</v>
      </c>
      <c r="D9">
        <f t="shared" si="2"/>
        <v>0</v>
      </c>
    </row>
    <row r="11" spans="1:4">
      <c r="A11">
        <f>A3-$C3</f>
        <v>-3</v>
      </c>
      <c r="B11">
        <f>B3-$C3</f>
        <v>-6</v>
      </c>
      <c r="C11">
        <f t="shared" ref="C11:D11" si="4">C3-$C3</f>
        <v>0</v>
      </c>
      <c r="D11">
        <f t="shared" si="4"/>
        <v>4</v>
      </c>
    </row>
    <row r="12" spans="1:4">
      <c r="A12">
        <f t="shared" ref="A12:B12" si="5">A4-$C4</f>
        <v>-6</v>
      </c>
      <c r="B12">
        <f t="shared" si="5"/>
        <v>-5</v>
      </c>
      <c r="C12">
        <f t="shared" ref="C12:D12" si="6">C4-$C4</f>
        <v>0</v>
      </c>
      <c r="D12">
        <f t="shared" si="6"/>
        <v>-7</v>
      </c>
    </row>
    <row r="13" spans="1:4">
      <c r="A13">
        <f t="shared" ref="A13:B13" si="7">A5-$C5</f>
        <v>0</v>
      </c>
      <c r="B13">
        <f t="shared" si="7"/>
        <v>0</v>
      </c>
      <c r="C13">
        <f t="shared" ref="C13:D13" si="8">C5-$C5</f>
        <v>0</v>
      </c>
      <c r="D13">
        <f t="shared" si="8"/>
        <v>0</v>
      </c>
    </row>
    <row r="15" spans="1:4">
      <c r="A15">
        <f>A3-$D3</f>
        <v>-7</v>
      </c>
      <c r="B15">
        <f>B3-$D3</f>
        <v>-10</v>
      </c>
      <c r="C15">
        <f t="shared" ref="C15:D15" si="9">C3-$D3</f>
        <v>-4</v>
      </c>
      <c r="D15">
        <f t="shared" si="9"/>
        <v>0</v>
      </c>
    </row>
    <row r="16" spans="1:4">
      <c r="A16">
        <f t="shared" ref="A16:B16" si="10">A4-$D4</f>
        <v>1</v>
      </c>
      <c r="B16">
        <f t="shared" si="10"/>
        <v>2</v>
      </c>
      <c r="C16">
        <f t="shared" ref="C16:D16" si="11">C4-$D4</f>
        <v>7</v>
      </c>
      <c r="D16">
        <f t="shared" si="11"/>
        <v>0</v>
      </c>
    </row>
    <row r="17" spans="1:4">
      <c r="A17">
        <f t="shared" ref="A17:B17" si="12">A5-$D5</f>
        <v>0</v>
      </c>
      <c r="B17">
        <f t="shared" si="12"/>
        <v>0</v>
      </c>
      <c r="C17">
        <f t="shared" ref="C17:D17" si="13">C5-$D5</f>
        <v>0</v>
      </c>
      <c r="D17">
        <f t="shared" si="13"/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44</vt:i4>
      </vt:variant>
    </vt:vector>
  </HeadingPairs>
  <TitlesOfParts>
    <vt:vector size="51" baseType="lpstr">
      <vt:lpstr>Messaufbau_Messdaten</vt:lpstr>
      <vt:lpstr>num.-Neues-Modell</vt:lpstr>
      <vt:lpstr>Ref0_Alle-Kombinationen</vt:lpstr>
      <vt:lpstr>numerisch</vt:lpstr>
      <vt:lpstr>analytisch</vt:lpstr>
      <vt:lpstr>Modell+Rechnung</vt:lpstr>
      <vt:lpstr>Tabelle1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OFFSET</vt:lpstr>
      <vt:lpstr>'Ref0_Alle-Kombinationen'!T_0</vt:lpstr>
      <vt:lpstr>T_0</vt:lpstr>
      <vt:lpstr>'Ref0_Alle-Kombinationen'!T_1</vt:lpstr>
      <vt:lpstr>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T_5</vt:lpstr>
      <vt:lpstr>'Ref0_Alle-Kombinationen'!T_6</vt:lpstr>
      <vt:lpstr>T_6</vt:lpstr>
      <vt:lpstr>'Ref0_Alle-Kombinationen'!T_7</vt:lpstr>
      <vt:lpstr>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THETA_1_alt</vt:lpstr>
      <vt:lpstr>'Ref0_Alle-Kombinationen'!THETA_1dasd</vt:lpstr>
      <vt:lpstr>THETA_1dasd</vt:lpstr>
      <vt:lpstr>'Ref0_Alle-Kombinationen'!THETA_2</vt:lpstr>
      <vt:lpstr>THETA_2</vt:lpstr>
      <vt:lpstr>'Ref0_Alle-Kombinationen'!THETA_3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2013-06-03T11:59:18Z</dcterms:modified>
</cp:coreProperties>
</file>