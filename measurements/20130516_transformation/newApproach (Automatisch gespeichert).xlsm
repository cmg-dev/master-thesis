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60" yWindow="15" windowWidth="28485" windowHeight="12525"/>
  </bookViews>
  <sheets>
    <sheet name="Matrix_Konfiguration" sheetId="1" r:id="rId1"/>
    <sheet name="SolutionViaSolver" sheetId="2" r:id="rId2"/>
    <sheet name="Auswertung" sheetId="3" r:id="rId3"/>
    <sheet name="NormeriungsPlayground" sheetId="4" r:id="rId4"/>
    <sheet name="Konditionsbetrachtung" sheetId="6" r:id="rId5"/>
    <sheet name="KonditionsplotA" sheetId="8" r:id="rId6"/>
    <sheet name="KonditionsplotB" sheetId="9" r:id="rId7"/>
  </sheets>
  <externalReferences>
    <externalReference r:id="rId8"/>
    <externalReference r:id="rId9"/>
  </externalReferences>
  <definedNames>
    <definedName name="_xlnm._FilterDatabase" localSheetId="0" hidden="1">Matrix_Konfiguration!$S$294:$T$573</definedName>
    <definedName name="A_1">'[1]num.-Neues-Modell'!$E$7</definedName>
    <definedName name="A_2">'[2]num.-Neues-Modell'!$F$7</definedName>
    <definedName name="_xlnm.Print_Area" localSheetId="0">Matrix_Konfiguration!$11:$11</definedName>
    <definedName name="OFFSET">[1]Messaufbau_Messdaten!$I$4</definedName>
    <definedName name="solver_adj" localSheetId="1" hidden="1">SolutionViaSolver!$A$7:$J$7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SolutionViaSolver!$G$7:$J$7</definedName>
    <definedName name="solver_lhs2" localSheetId="1" hidden="1">SolutionViaSolver!$G$7:$J$7</definedName>
    <definedName name="solver_lhs3" localSheetId="1" hidden="1">SolutionViaSolver!$F$7</definedName>
    <definedName name="solver_lin" localSheetId="1" hidden="1">2</definedName>
    <definedName name="solver_neg" localSheetId="1" hidden="1">2</definedName>
    <definedName name="solver_num" localSheetId="1" hidden="1">1</definedName>
    <definedName name="solver_nwt" localSheetId="1" hidden="1">1</definedName>
    <definedName name="solver_opt" localSheetId="1" hidden="1">SolutionViaSolver!$P$7</definedName>
    <definedName name="solver_pre" localSheetId="1" hidden="1">0.00000001</definedName>
    <definedName name="solver_rel1" localSheetId="1" hidden="1">3</definedName>
    <definedName name="solver_rel2" localSheetId="1" hidden="1">3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T_0">'[1]num.-Neues-Modell'!$B$149</definedName>
    <definedName name="T_2">'[2]num.-Neues-Modell'!$B$151</definedName>
    <definedName name="T_3">'[2]num.-Neues-Modell'!$B$152</definedName>
    <definedName name="T_4">'[2]num.-Neues-Modell'!$B$153</definedName>
    <definedName name="THETA_0">'[2]num.-Neues-Modell'!$H$10</definedName>
    <definedName name="THETA_1">'[2]num.-Neues-Modell'!$H$7</definedName>
  </definedNames>
  <calcPr calcId="124519"/>
</workbook>
</file>

<file path=xl/calcChain.xml><?xml version="1.0" encoding="utf-8"?>
<calcChain xmlns="http://schemas.openxmlformats.org/spreadsheetml/2006/main">
  <c r="M11" i="6" a="1"/>
  <c r="M19" a="1"/>
  <c r="M27" a="1"/>
  <c r="M35" a="1"/>
  <c r="M43" a="1"/>
  <c r="M51" a="1"/>
  <c r="M59" a="1"/>
  <c r="M67" a="1"/>
  <c r="M75" a="1"/>
  <c r="M83" a="1"/>
  <c r="M91" a="1"/>
  <c r="M99" a="1"/>
  <c r="M107" a="1"/>
  <c r="M115" a="1"/>
  <c r="M123" a="1"/>
  <c r="M131" a="1"/>
  <c r="M139" a="1"/>
  <c r="M147" a="1"/>
  <c r="M155" a="1"/>
  <c r="M163" a="1"/>
  <c r="M171" a="1"/>
  <c r="M179" a="1"/>
  <c r="M187" a="1"/>
  <c r="M195" a="1"/>
  <c r="M7" a="1"/>
  <c r="M15" a="1"/>
  <c r="M23" a="1"/>
  <c r="M31" a="1"/>
  <c r="M39" a="1"/>
  <c r="M47" a="1"/>
  <c r="M55" a="1"/>
  <c r="M63" a="1"/>
  <c r="M71" a="1"/>
  <c r="M79" a="1"/>
  <c r="M87" a="1"/>
  <c r="M95" a="1"/>
  <c r="M103" a="1"/>
  <c r="M111" a="1"/>
  <c r="M119" a="1"/>
  <c r="M127" a="1"/>
  <c r="M135" a="1"/>
  <c r="M143" a="1"/>
  <c r="M151" a="1"/>
  <c r="M159" a="1"/>
  <c r="M167" a="1"/>
  <c r="M175" a="1"/>
  <c r="M183" a="1"/>
  <c r="M191" a="1"/>
  <c r="M199" a="1"/>
  <c r="M207" a="1"/>
  <c r="M215" a="1"/>
  <c r="M223" a="1"/>
  <c r="M231" a="1"/>
  <c r="M239" a="1"/>
  <c r="M247" a="1"/>
  <c r="M255" a="1"/>
  <c r="M263" a="1"/>
  <c r="M271" a="1"/>
  <c r="M279" a="1"/>
  <c r="M287" a="1"/>
  <c r="M295" a="1"/>
  <c r="M303" a="1"/>
  <c r="M311" a="1"/>
  <c r="M319" a="1"/>
  <c r="M327" a="1"/>
  <c r="M335" a="1"/>
  <c r="M343" a="1"/>
  <c r="M351" a="1"/>
  <c r="M359" a="1"/>
  <c r="M203" a="1"/>
  <c r="M219" a="1"/>
  <c r="M235" a="1"/>
  <c r="M251" a="1"/>
  <c r="M267" a="1"/>
  <c r="M283" a="1"/>
  <c r="M299" a="1"/>
  <c r="M315" a="1"/>
  <c r="M331" a="1"/>
  <c r="M347" a="1"/>
  <c r="M375" a="1"/>
  <c r="M379" a="1"/>
  <c r="M407" a="1"/>
  <c r="M411" a="1"/>
  <c r="M419" a="1"/>
  <c r="M427" a="1"/>
  <c r="M435" a="1"/>
  <c r="M443" a="1"/>
  <c r="M451" a="1"/>
  <c r="M459" a="1"/>
  <c r="M467" a="1"/>
  <c r="M475" a="1"/>
  <c r="M483" a="1"/>
  <c r="M367" a="1"/>
  <c r="M371" a="1"/>
  <c r="M399" a="1"/>
  <c r="M403" a="1"/>
  <c r="M415" a="1"/>
  <c r="M491" a="1"/>
  <c r="M519" a="1"/>
  <c r="M523" a="1"/>
  <c r="M551" a="1"/>
  <c r="M555" a="1"/>
  <c r="M583" a="1"/>
  <c r="M587" a="1"/>
  <c r="M615" a="1"/>
  <c r="M619" a="1"/>
  <c r="M647" a="1"/>
  <c r="M651" a="1"/>
  <c r="M211" a="1"/>
  <c r="M243" a="1"/>
  <c r="M275" a="1"/>
  <c r="M307" a="1"/>
  <c r="M339" a="1"/>
  <c r="M363" a="1"/>
  <c r="M431" a="1"/>
  <c r="M447" a="1"/>
  <c r="M463" a="1"/>
  <c r="M479" a="1"/>
  <c r="M495" a="1"/>
  <c r="M499" a="1"/>
  <c r="M527" a="1"/>
  <c r="M531" a="1"/>
  <c r="M559" a="1"/>
  <c r="M563" a="1"/>
  <c r="M591" a="1"/>
  <c r="M595" a="1"/>
  <c r="M623" a="1"/>
  <c r="M627" a="1"/>
  <c r="M655" a="1"/>
  <c r="M659" a="1"/>
  <c r="M663" a="1"/>
  <c r="M671" a="1"/>
  <c r="M679" a="1"/>
  <c r="M687" a="1"/>
  <c r="M695" a="1"/>
  <c r="M703" a="1"/>
  <c r="M711" a="1"/>
  <c r="M719" a="1"/>
  <c r="M727" a="1"/>
  <c r="M735" a="1"/>
  <c r="M743" a="1"/>
  <c r="M751" a="1"/>
  <c r="M759" a="1"/>
  <c r="M767" a="1"/>
  <c r="M775" a="1"/>
  <c r="M783" a="1"/>
  <c r="M791" a="1"/>
  <c r="M799" a="1"/>
  <c r="M807" a="1"/>
  <c r="M815" a="1"/>
  <c r="M823" a="1"/>
  <c r="M831" a="1"/>
  <c r="M839" a="1"/>
  <c r="M847" a="1"/>
  <c r="M855" a="1"/>
  <c r="M863" a="1"/>
  <c r="M871" a="1"/>
  <c r="M879" a="1"/>
  <c r="M887" a="1"/>
  <c r="M895" a="1"/>
  <c r="M903" a="1"/>
  <c r="M227" a="1"/>
  <c r="M259" a="1"/>
  <c r="M291" a="1"/>
  <c r="M323" a="1"/>
  <c r="M355" a="1"/>
  <c r="M391" a="1"/>
  <c r="M395" a="1"/>
  <c r="M423" a="1"/>
  <c r="M439" a="1"/>
  <c r="M455" a="1"/>
  <c r="M471" a="1"/>
  <c r="M487" a="1"/>
  <c r="M511" a="1"/>
  <c r="M515" a="1"/>
  <c r="M543" a="1"/>
  <c r="M547" a="1"/>
  <c r="M575" a="1"/>
  <c r="M579" a="1"/>
  <c r="M607" a="1"/>
  <c r="M611" a="1"/>
  <c r="M639" a="1"/>
  <c r="M643" a="1"/>
  <c r="M667" a="1"/>
  <c r="M675" a="1"/>
  <c r="M683" a="1"/>
  <c r="M691" a="1"/>
  <c r="M699" a="1"/>
  <c r="M707" a="1"/>
  <c r="M715" a="1"/>
  <c r="M723" a="1"/>
  <c r="M731" a="1"/>
  <c r="M739" a="1"/>
  <c r="M747" a="1"/>
  <c r="M755" a="1"/>
  <c r="M763" a="1"/>
  <c r="M771" a="1"/>
  <c r="M779" a="1"/>
  <c r="M787" a="1"/>
  <c r="M795" a="1"/>
  <c r="M803" a="1"/>
  <c r="M811" a="1"/>
  <c r="M819" a="1"/>
  <c r="M827" a="1"/>
  <c r="M835" a="1"/>
  <c r="M843" a="1"/>
  <c r="M851" a="1"/>
  <c r="M859" a="1"/>
  <c r="M867" a="1"/>
  <c r="M875" a="1"/>
  <c r="M883" a="1"/>
  <c r="M891" a="1"/>
  <c r="M899" a="1"/>
  <c r="M907" a="1"/>
  <c r="M915" a="1"/>
  <c r="M507" a="1"/>
  <c r="M567" a="1"/>
  <c r="M635" a="1"/>
  <c r="M939" a="1"/>
  <c r="M943" a="1"/>
  <c r="M971" a="1"/>
  <c r="M975" a="1"/>
  <c r="M979" a="1"/>
  <c r="M987" a="1"/>
  <c r="M995" a="1"/>
  <c r="M1003" a="1"/>
  <c r="M1011" a="1"/>
  <c r="M1019" a="1"/>
  <c r="M1027" a="1"/>
  <c r="M1035" a="1"/>
  <c r="M1043" a="1"/>
  <c r="M1051" a="1"/>
  <c r="M1059" a="1"/>
  <c r="M1067" a="1"/>
  <c r="M1075" a="1"/>
  <c r="M1083" a="1"/>
  <c r="M1091" a="1"/>
  <c r="M1099" a="1"/>
  <c r="M1107" a="1"/>
  <c r="M1115" a="1"/>
  <c r="M387" a="1"/>
  <c r="M571" a="1"/>
  <c r="M631" a="1"/>
  <c r="M927" a="1"/>
  <c r="M955" a="1"/>
  <c r="M1015" a="1"/>
  <c r="M1023" a="1"/>
  <c r="M1031" a="1"/>
  <c r="M1063" a="1"/>
  <c r="M1087" a="1"/>
  <c r="M1095" a="1"/>
  <c r="M1111" a="1"/>
  <c r="M1119" a="1"/>
  <c r="M539" a="1"/>
  <c r="M599" a="1"/>
  <c r="M911" a="1"/>
  <c r="M919" a="1"/>
  <c r="M947" a="1"/>
  <c r="M951" a="1"/>
  <c r="M503" a="1"/>
  <c r="M923" a="1"/>
  <c r="M959" a="1"/>
  <c r="M983" a="1"/>
  <c r="M991" a="1"/>
  <c r="M999" a="1"/>
  <c r="M1007" a="1"/>
  <c r="M1039" a="1"/>
  <c r="M1047" a="1"/>
  <c r="M1055" a="1"/>
  <c r="M1071" a="1"/>
  <c r="M1079" a="1"/>
  <c r="M1103" a="1"/>
  <c r="M383" a="1"/>
  <c r="M535" a="1"/>
  <c r="M603" a="1"/>
  <c r="M931" a="1"/>
  <c r="M935" a="1"/>
  <c r="M963" a="1"/>
  <c r="M967" a="1"/>
  <c r="M3" a="1"/>
  <c r="M967" l="1"/>
  <c r="N968"/>
  <c r="O969"/>
  <c r="M968"/>
  <c r="M969"/>
  <c r="O967"/>
  <c r="N969"/>
  <c r="N967"/>
  <c r="O968"/>
  <c r="O963"/>
  <c r="M965"/>
  <c r="M964"/>
  <c r="O965"/>
  <c r="O964"/>
  <c r="N963"/>
  <c r="N965"/>
  <c r="M963"/>
  <c r="N964"/>
  <c r="M935"/>
  <c r="N936"/>
  <c r="O937"/>
  <c r="M936"/>
  <c r="N935"/>
  <c r="M937"/>
  <c r="O935"/>
  <c r="N937"/>
  <c r="O936"/>
  <c r="O931"/>
  <c r="M933"/>
  <c r="M932"/>
  <c r="O933"/>
  <c r="N931"/>
  <c r="N933"/>
  <c r="M931"/>
  <c r="O932"/>
  <c r="N932"/>
  <c r="M603"/>
  <c r="N604"/>
  <c r="O605"/>
  <c r="O603"/>
  <c r="N605"/>
  <c r="N603"/>
  <c r="M605"/>
  <c r="M604"/>
  <c r="O604"/>
  <c r="O535"/>
  <c r="M537"/>
  <c r="N535"/>
  <c r="N537"/>
  <c r="M535"/>
  <c r="O536"/>
  <c r="M536"/>
  <c r="O537"/>
  <c r="N536"/>
  <c r="O383"/>
  <c r="M385"/>
  <c r="M383"/>
  <c r="O384"/>
  <c r="N383"/>
  <c r="N385"/>
  <c r="N384"/>
  <c r="M384"/>
  <c r="O385"/>
  <c r="N1103"/>
  <c r="O1104"/>
  <c r="M1104"/>
  <c r="M1103"/>
  <c r="N1104"/>
  <c r="O1105"/>
  <c r="N1105"/>
  <c r="O1103"/>
  <c r="M1105"/>
  <c r="N1079"/>
  <c r="O1080"/>
  <c r="M1080"/>
  <c r="N1081"/>
  <c r="M1079"/>
  <c r="N1080"/>
  <c r="O1081"/>
  <c r="O1079"/>
  <c r="M1081"/>
  <c r="N1071"/>
  <c r="O1072"/>
  <c r="M1072"/>
  <c r="N1073"/>
  <c r="M1071"/>
  <c r="N1072"/>
  <c r="O1073"/>
  <c r="O1071"/>
  <c r="M1073"/>
  <c r="N1055"/>
  <c r="O1056"/>
  <c r="M1056"/>
  <c r="N1057"/>
  <c r="M1055"/>
  <c r="N1056"/>
  <c r="O1057"/>
  <c r="O1055"/>
  <c r="M1057"/>
  <c r="N1047"/>
  <c r="O1048"/>
  <c r="M1048"/>
  <c r="N1049"/>
  <c r="M1047"/>
  <c r="N1048"/>
  <c r="O1049"/>
  <c r="O1047"/>
  <c r="M1049"/>
  <c r="N1039"/>
  <c r="O1040"/>
  <c r="M1040"/>
  <c r="N1041"/>
  <c r="M1039"/>
  <c r="N1040"/>
  <c r="O1041"/>
  <c r="O1039"/>
  <c r="M1041"/>
  <c r="N1007"/>
  <c r="O1008"/>
  <c r="M1008"/>
  <c r="N1009"/>
  <c r="M1007"/>
  <c r="N1008"/>
  <c r="O1009"/>
  <c r="O1007"/>
  <c r="M1009"/>
  <c r="N999"/>
  <c r="O1000"/>
  <c r="M1000"/>
  <c r="N1001"/>
  <c r="M999"/>
  <c r="N1000"/>
  <c r="O1001"/>
  <c r="O999"/>
  <c r="M1001"/>
  <c r="N991"/>
  <c r="O992"/>
  <c r="M992"/>
  <c r="N993"/>
  <c r="M991"/>
  <c r="N992"/>
  <c r="O993"/>
  <c r="O991"/>
  <c r="M993"/>
  <c r="N983"/>
  <c r="O984"/>
  <c r="M984"/>
  <c r="N985"/>
  <c r="M983"/>
  <c r="N984"/>
  <c r="O985"/>
  <c r="O983"/>
  <c r="M985"/>
  <c r="M959"/>
  <c r="N960"/>
  <c r="O961"/>
  <c r="O959"/>
  <c r="N961"/>
  <c r="O960"/>
  <c r="N959"/>
  <c r="M961"/>
  <c r="M960"/>
  <c r="O923"/>
  <c r="M925"/>
  <c r="N923"/>
  <c r="N925"/>
  <c r="N924"/>
  <c r="M923"/>
  <c r="O924"/>
  <c r="M924"/>
  <c r="O925"/>
  <c r="O503"/>
  <c r="M505"/>
  <c r="N503"/>
  <c r="N505"/>
  <c r="M503"/>
  <c r="O504"/>
  <c r="M504"/>
  <c r="O505"/>
  <c r="N504"/>
  <c r="M951"/>
  <c r="N952"/>
  <c r="O953"/>
  <c r="N951"/>
  <c r="M953"/>
  <c r="O952"/>
  <c r="M952"/>
  <c r="O951"/>
  <c r="N953"/>
  <c r="O947"/>
  <c r="M949"/>
  <c r="M947"/>
  <c r="O948"/>
  <c r="O949"/>
  <c r="N948"/>
  <c r="M948"/>
  <c r="N947"/>
  <c r="N949"/>
  <c r="M919"/>
  <c r="N920"/>
  <c r="O921"/>
  <c r="N919"/>
  <c r="M921"/>
  <c r="M920"/>
  <c r="O920"/>
  <c r="O919"/>
  <c r="N921"/>
  <c r="M911"/>
  <c r="N912"/>
  <c r="O913"/>
  <c r="N911"/>
  <c r="O912"/>
  <c r="O911"/>
  <c r="M913"/>
  <c r="N913"/>
  <c r="M912"/>
  <c r="O599"/>
  <c r="M601"/>
  <c r="N599"/>
  <c r="N601"/>
  <c r="M599"/>
  <c r="O600"/>
  <c r="M600"/>
  <c r="O601"/>
  <c r="N600"/>
  <c r="M539"/>
  <c r="N540"/>
  <c r="O541"/>
  <c r="O539"/>
  <c r="N541"/>
  <c r="N539"/>
  <c r="M541"/>
  <c r="M540"/>
  <c r="O540"/>
  <c r="N1119"/>
  <c r="O1120"/>
  <c r="M1119"/>
  <c r="N1120"/>
  <c r="Q1119" s="1"/>
  <c r="S282" s="1"/>
  <c r="O1121"/>
  <c r="M1120"/>
  <c r="N1121"/>
  <c r="O1119"/>
  <c r="M1121"/>
  <c r="N1111"/>
  <c r="O1112"/>
  <c r="M1111"/>
  <c r="N1112"/>
  <c r="O1113"/>
  <c r="M1112"/>
  <c r="N1113"/>
  <c r="O1111"/>
  <c r="M1113"/>
  <c r="N1095"/>
  <c r="O1096"/>
  <c r="M1095"/>
  <c r="N1096"/>
  <c r="O1097"/>
  <c r="M1096"/>
  <c r="N1097"/>
  <c r="O1095"/>
  <c r="M1097"/>
  <c r="N1087"/>
  <c r="O1088"/>
  <c r="M1087"/>
  <c r="N1088"/>
  <c r="O1089"/>
  <c r="M1088"/>
  <c r="N1089"/>
  <c r="O1087"/>
  <c r="M1089"/>
  <c r="N1063"/>
  <c r="O1064"/>
  <c r="M1063"/>
  <c r="N1064"/>
  <c r="Q1063" s="1"/>
  <c r="S268" s="1"/>
  <c r="O1065"/>
  <c r="M1064"/>
  <c r="N1065"/>
  <c r="O1063"/>
  <c r="M1065"/>
  <c r="N1031"/>
  <c r="O1032"/>
  <c r="M1031"/>
  <c r="N1032"/>
  <c r="O1033"/>
  <c r="M1032"/>
  <c r="N1033"/>
  <c r="O1031"/>
  <c r="M1033"/>
  <c r="N1023"/>
  <c r="O1024"/>
  <c r="M1023"/>
  <c r="N1024"/>
  <c r="O1025"/>
  <c r="M1024"/>
  <c r="N1025"/>
  <c r="O1023"/>
  <c r="M1025"/>
  <c r="N1015"/>
  <c r="O1016"/>
  <c r="M1015"/>
  <c r="N1016"/>
  <c r="O1017"/>
  <c r="M1016"/>
  <c r="N1017"/>
  <c r="O1015"/>
  <c r="M1017"/>
  <c r="O955"/>
  <c r="M957"/>
  <c r="N955"/>
  <c r="N957"/>
  <c r="M955"/>
  <c r="O956"/>
  <c r="N956"/>
  <c r="M956"/>
  <c r="O957"/>
  <c r="M927"/>
  <c r="N928"/>
  <c r="O929"/>
  <c r="Q927" s="1"/>
  <c r="S234" s="1"/>
  <c r="O927"/>
  <c r="N929"/>
  <c r="N927"/>
  <c r="M929"/>
  <c r="O928"/>
  <c r="M928"/>
  <c r="O631"/>
  <c r="M633"/>
  <c r="N631"/>
  <c r="N633"/>
  <c r="M631"/>
  <c r="O632"/>
  <c r="M632"/>
  <c r="O633"/>
  <c r="N632"/>
  <c r="M571"/>
  <c r="N572"/>
  <c r="O573"/>
  <c r="O571"/>
  <c r="N573"/>
  <c r="N571"/>
  <c r="M573"/>
  <c r="M572"/>
  <c r="O572"/>
  <c r="M387"/>
  <c r="N388"/>
  <c r="O389"/>
  <c r="N387"/>
  <c r="M389"/>
  <c r="O387"/>
  <c r="N389"/>
  <c r="O388"/>
  <c r="M388"/>
  <c r="M1116"/>
  <c r="N1117"/>
  <c r="O1115"/>
  <c r="M1117"/>
  <c r="N1115"/>
  <c r="O1116"/>
  <c r="M1115"/>
  <c r="N1116"/>
  <c r="O1117"/>
  <c r="M1108"/>
  <c r="N1109"/>
  <c r="N1107"/>
  <c r="O1107"/>
  <c r="M1109"/>
  <c r="O1108"/>
  <c r="M1107"/>
  <c r="N1108"/>
  <c r="O1109"/>
  <c r="M1100"/>
  <c r="N1101"/>
  <c r="O1100"/>
  <c r="O1099"/>
  <c r="M1101"/>
  <c r="N1099"/>
  <c r="M1099"/>
  <c r="N1100"/>
  <c r="O1101"/>
  <c r="M1092"/>
  <c r="N1093"/>
  <c r="O1092"/>
  <c r="O1091"/>
  <c r="M1093"/>
  <c r="N1091"/>
  <c r="M1091"/>
  <c r="N1092"/>
  <c r="O1093"/>
  <c r="M1084"/>
  <c r="N1085"/>
  <c r="N1083"/>
  <c r="O1083"/>
  <c r="M1085"/>
  <c r="O1084"/>
  <c r="M1083"/>
  <c r="Q1083" s="1"/>
  <c r="S273" s="1"/>
  <c r="N1084"/>
  <c r="O1085"/>
  <c r="M1076"/>
  <c r="N1077"/>
  <c r="N1075"/>
  <c r="O1076"/>
  <c r="O1075"/>
  <c r="M1077"/>
  <c r="M1075"/>
  <c r="N1076"/>
  <c r="O1077"/>
  <c r="M1068"/>
  <c r="N1069"/>
  <c r="N1067"/>
  <c r="O1067"/>
  <c r="M1069"/>
  <c r="O1068"/>
  <c r="M1067"/>
  <c r="N1068"/>
  <c r="O1069"/>
  <c r="M1060"/>
  <c r="N1061"/>
  <c r="N1059"/>
  <c r="O1059"/>
  <c r="M1061"/>
  <c r="O1060"/>
  <c r="M1059"/>
  <c r="N1060"/>
  <c r="O1061"/>
  <c r="M1052"/>
  <c r="N1053"/>
  <c r="O1052"/>
  <c r="O1051"/>
  <c r="M1053"/>
  <c r="N1051"/>
  <c r="M1051"/>
  <c r="N1052"/>
  <c r="O1053"/>
  <c r="M1044"/>
  <c r="N1045"/>
  <c r="O1044"/>
  <c r="O1043"/>
  <c r="M1045"/>
  <c r="N1043"/>
  <c r="M1043"/>
  <c r="N1044"/>
  <c r="O1045"/>
  <c r="M1036"/>
  <c r="N1037"/>
  <c r="O1035"/>
  <c r="M1037"/>
  <c r="N1035"/>
  <c r="O1036"/>
  <c r="M1035"/>
  <c r="N1036"/>
  <c r="O1037"/>
  <c r="M1028"/>
  <c r="N1029"/>
  <c r="N1027"/>
  <c r="O1027"/>
  <c r="M1029"/>
  <c r="O1028"/>
  <c r="M1027"/>
  <c r="N1028"/>
  <c r="O1029"/>
  <c r="M1020"/>
  <c r="N1021"/>
  <c r="N1019"/>
  <c r="O1019"/>
  <c r="M1021"/>
  <c r="O1020"/>
  <c r="M1019"/>
  <c r="Q1019" s="1"/>
  <c r="S257" s="1"/>
  <c r="N1020"/>
  <c r="O1021"/>
  <c r="M1012"/>
  <c r="N1013"/>
  <c r="N1011"/>
  <c r="O1011"/>
  <c r="M1013"/>
  <c r="O1012"/>
  <c r="M1011"/>
  <c r="N1012"/>
  <c r="O1013"/>
  <c r="M1004"/>
  <c r="N1005"/>
  <c r="N1003"/>
  <c r="O1004"/>
  <c r="O1003"/>
  <c r="M1005"/>
  <c r="M1003"/>
  <c r="N1004"/>
  <c r="O1005"/>
  <c r="M996"/>
  <c r="N997"/>
  <c r="O996"/>
  <c r="O995"/>
  <c r="M997"/>
  <c r="N995"/>
  <c r="M995"/>
  <c r="N996"/>
  <c r="O997"/>
  <c r="M988"/>
  <c r="N989"/>
  <c r="N987"/>
  <c r="O988"/>
  <c r="O987"/>
  <c r="M989"/>
  <c r="M987"/>
  <c r="N988"/>
  <c r="O989"/>
  <c r="M980"/>
  <c r="N981"/>
  <c r="O980"/>
  <c r="O979"/>
  <c r="M981"/>
  <c r="N979"/>
  <c r="M979"/>
  <c r="N980"/>
  <c r="O981"/>
  <c r="M975"/>
  <c r="N976"/>
  <c r="O976"/>
  <c r="N977"/>
  <c r="M976"/>
  <c r="O977"/>
  <c r="O975"/>
  <c r="N975"/>
  <c r="M977"/>
  <c r="O971"/>
  <c r="M973"/>
  <c r="N972"/>
  <c r="N973"/>
  <c r="M972"/>
  <c r="O973"/>
  <c r="N971"/>
  <c r="M971"/>
  <c r="O972"/>
  <c r="M943"/>
  <c r="N944"/>
  <c r="O945"/>
  <c r="O944"/>
  <c r="N945"/>
  <c r="M944"/>
  <c r="O943"/>
  <c r="N943"/>
  <c r="M945"/>
  <c r="O939"/>
  <c r="M941"/>
  <c r="N940"/>
  <c r="N941"/>
  <c r="M940"/>
  <c r="O941"/>
  <c r="N939"/>
  <c r="M939"/>
  <c r="O940"/>
  <c r="M635"/>
  <c r="N636"/>
  <c r="O637"/>
  <c r="O635"/>
  <c r="N637"/>
  <c r="N635"/>
  <c r="M637"/>
  <c r="M636"/>
  <c r="O636"/>
  <c r="O567"/>
  <c r="M569"/>
  <c r="N567"/>
  <c r="N569"/>
  <c r="M567"/>
  <c r="O568"/>
  <c r="M568"/>
  <c r="O569"/>
  <c r="N568"/>
  <c r="M507"/>
  <c r="N508"/>
  <c r="O509"/>
  <c r="O507"/>
  <c r="N509"/>
  <c r="N507"/>
  <c r="M509"/>
  <c r="M508"/>
  <c r="O508"/>
  <c r="O915"/>
  <c r="M917"/>
  <c r="M915"/>
  <c r="O916"/>
  <c r="N916"/>
  <c r="M916"/>
  <c r="O917"/>
  <c r="N915"/>
  <c r="N917"/>
  <c r="O907"/>
  <c r="M909"/>
  <c r="M908"/>
  <c r="N909"/>
  <c r="N908"/>
  <c r="N907"/>
  <c r="M907"/>
  <c r="O909"/>
  <c r="O908"/>
  <c r="O899"/>
  <c r="M901"/>
  <c r="N899"/>
  <c r="O900"/>
  <c r="M900"/>
  <c r="N901"/>
  <c r="O901"/>
  <c r="N900"/>
  <c r="M899"/>
  <c r="O891"/>
  <c r="M893"/>
  <c r="N891"/>
  <c r="O892"/>
  <c r="M892"/>
  <c r="N893"/>
  <c r="M891"/>
  <c r="O893"/>
  <c r="N892"/>
  <c r="O883"/>
  <c r="M885"/>
  <c r="N883"/>
  <c r="O884"/>
  <c r="M884"/>
  <c r="N885"/>
  <c r="N884"/>
  <c r="M883"/>
  <c r="O885"/>
  <c r="O875"/>
  <c r="M877"/>
  <c r="N875"/>
  <c r="O876"/>
  <c r="M876"/>
  <c r="N877"/>
  <c r="O877"/>
  <c r="N876"/>
  <c r="M875"/>
  <c r="O867"/>
  <c r="M869"/>
  <c r="N867"/>
  <c r="O868"/>
  <c r="M868"/>
  <c r="N869"/>
  <c r="N868"/>
  <c r="O869"/>
  <c r="M867"/>
  <c r="O859"/>
  <c r="M861"/>
  <c r="N859"/>
  <c r="O860"/>
  <c r="M860"/>
  <c r="N861"/>
  <c r="M859"/>
  <c r="O861"/>
  <c r="N860"/>
  <c r="O851"/>
  <c r="M853"/>
  <c r="N851"/>
  <c r="O852"/>
  <c r="M852"/>
  <c r="N853"/>
  <c r="N852"/>
  <c r="M851"/>
  <c r="O853"/>
  <c r="O843"/>
  <c r="M845"/>
  <c r="N843"/>
  <c r="O844"/>
  <c r="M844"/>
  <c r="N845"/>
  <c r="O845"/>
  <c r="M843"/>
  <c r="N844"/>
  <c r="O835"/>
  <c r="M837"/>
  <c r="N835"/>
  <c r="O836"/>
  <c r="M836"/>
  <c r="N837"/>
  <c r="O837"/>
  <c r="N836"/>
  <c r="M835"/>
  <c r="O827"/>
  <c r="M829"/>
  <c r="N827"/>
  <c r="O828"/>
  <c r="M828"/>
  <c r="N829"/>
  <c r="M827"/>
  <c r="Q827" s="1"/>
  <c r="S209" s="1"/>
  <c r="O829"/>
  <c r="N828"/>
  <c r="O819"/>
  <c r="M821"/>
  <c r="N819"/>
  <c r="O820"/>
  <c r="M820"/>
  <c r="N821"/>
  <c r="N820"/>
  <c r="M819"/>
  <c r="O821"/>
  <c r="O811"/>
  <c r="M813"/>
  <c r="N811"/>
  <c r="O812"/>
  <c r="M812"/>
  <c r="N813"/>
  <c r="O813"/>
  <c r="N812"/>
  <c r="M811"/>
  <c r="O803"/>
  <c r="M805"/>
  <c r="N803"/>
  <c r="O804"/>
  <c r="M804"/>
  <c r="N805"/>
  <c r="N804"/>
  <c r="O805"/>
  <c r="M803"/>
  <c r="O795"/>
  <c r="M797"/>
  <c r="N795"/>
  <c r="O796"/>
  <c r="M796"/>
  <c r="N797"/>
  <c r="M795"/>
  <c r="O797"/>
  <c r="N796"/>
  <c r="O787"/>
  <c r="M789"/>
  <c r="N787"/>
  <c r="O788"/>
  <c r="M788"/>
  <c r="N789"/>
  <c r="N788"/>
  <c r="M787"/>
  <c r="O789"/>
  <c r="O779"/>
  <c r="M781"/>
  <c r="N779"/>
  <c r="O780"/>
  <c r="M780"/>
  <c r="N781"/>
  <c r="O781"/>
  <c r="M779"/>
  <c r="N780"/>
  <c r="O771"/>
  <c r="M773"/>
  <c r="N771"/>
  <c r="O772"/>
  <c r="M772"/>
  <c r="N773"/>
  <c r="N772"/>
  <c r="O773"/>
  <c r="M771"/>
  <c r="O763"/>
  <c r="M765"/>
  <c r="N763"/>
  <c r="O764"/>
  <c r="M764"/>
  <c r="N765"/>
  <c r="M763"/>
  <c r="O765"/>
  <c r="N764"/>
  <c r="O755"/>
  <c r="M757"/>
  <c r="N755"/>
  <c r="O756"/>
  <c r="M756"/>
  <c r="N757"/>
  <c r="N756"/>
  <c r="M755"/>
  <c r="O757"/>
  <c r="O747"/>
  <c r="M749"/>
  <c r="N747"/>
  <c r="O748"/>
  <c r="M748"/>
  <c r="N749"/>
  <c r="O749"/>
  <c r="M747"/>
  <c r="N748"/>
  <c r="O739"/>
  <c r="M741"/>
  <c r="N739"/>
  <c r="O740"/>
  <c r="M740"/>
  <c r="N741"/>
  <c r="O741"/>
  <c r="N740"/>
  <c r="M739"/>
  <c r="O731"/>
  <c r="M733"/>
  <c r="N731"/>
  <c r="O732"/>
  <c r="M732"/>
  <c r="N733"/>
  <c r="M731"/>
  <c r="Q731" s="1"/>
  <c r="S185" s="1"/>
  <c r="O733"/>
  <c r="N732"/>
  <c r="O723"/>
  <c r="M725"/>
  <c r="N723"/>
  <c r="O724"/>
  <c r="M724"/>
  <c r="N725"/>
  <c r="N724"/>
  <c r="M723"/>
  <c r="O725"/>
  <c r="O715"/>
  <c r="M717"/>
  <c r="N715"/>
  <c r="O716"/>
  <c r="M716"/>
  <c r="N717"/>
  <c r="O717"/>
  <c r="N716"/>
  <c r="M715"/>
  <c r="O707"/>
  <c r="M709"/>
  <c r="N707"/>
  <c r="O708"/>
  <c r="M708"/>
  <c r="N709"/>
  <c r="N708"/>
  <c r="O709"/>
  <c r="M707"/>
  <c r="O699"/>
  <c r="M701"/>
  <c r="N699"/>
  <c r="O700"/>
  <c r="M700"/>
  <c r="N701"/>
  <c r="M699"/>
  <c r="O701"/>
  <c r="N700"/>
  <c r="O691"/>
  <c r="M693"/>
  <c r="N691"/>
  <c r="O692"/>
  <c r="M692"/>
  <c r="N693"/>
  <c r="N692"/>
  <c r="M691"/>
  <c r="O693"/>
  <c r="O683"/>
  <c r="M685"/>
  <c r="N683"/>
  <c r="O684"/>
  <c r="M684"/>
  <c r="N685"/>
  <c r="O685"/>
  <c r="M683"/>
  <c r="N684"/>
  <c r="O675"/>
  <c r="M677"/>
  <c r="N675"/>
  <c r="O676"/>
  <c r="M676"/>
  <c r="N677"/>
  <c r="O677"/>
  <c r="N676"/>
  <c r="Q675" s="1"/>
  <c r="S171" s="1"/>
  <c r="M675"/>
  <c r="O667"/>
  <c r="M669"/>
  <c r="N667"/>
  <c r="O668"/>
  <c r="M668"/>
  <c r="N669"/>
  <c r="M667"/>
  <c r="O669"/>
  <c r="N668"/>
  <c r="M643"/>
  <c r="N644"/>
  <c r="O645"/>
  <c r="M644"/>
  <c r="O643"/>
  <c r="N645"/>
  <c r="O644"/>
  <c r="N643"/>
  <c r="M645"/>
  <c r="O639"/>
  <c r="M641"/>
  <c r="M640"/>
  <c r="O641"/>
  <c r="N639"/>
  <c r="N641"/>
  <c r="N640"/>
  <c r="O640"/>
  <c r="M639"/>
  <c r="M611"/>
  <c r="N612"/>
  <c r="O613"/>
  <c r="M612"/>
  <c r="O611"/>
  <c r="N613"/>
  <c r="O612"/>
  <c r="M613"/>
  <c r="N611"/>
  <c r="O607"/>
  <c r="M609"/>
  <c r="M608"/>
  <c r="O609"/>
  <c r="N607"/>
  <c r="N609"/>
  <c r="N608"/>
  <c r="Q607" s="1"/>
  <c r="S154" s="1"/>
  <c r="O608"/>
  <c r="M607"/>
  <c r="M579"/>
  <c r="N580"/>
  <c r="O581"/>
  <c r="M580"/>
  <c r="O579"/>
  <c r="N581"/>
  <c r="O580"/>
  <c r="M581"/>
  <c r="N579"/>
  <c r="O575"/>
  <c r="M577"/>
  <c r="M576"/>
  <c r="O577"/>
  <c r="N575"/>
  <c r="N577"/>
  <c r="N576"/>
  <c r="M575"/>
  <c r="O576"/>
  <c r="M547"/>
  <c r="N548"/>
  <c r="O549"/>
  <c r="M548"/>
  <c r="O547"/>
  <c r="N549"/>
  <c r="O548"/>
  <c r="M549"/>
  <c r="N547"/>
  <c r="O543"/>
  <c r="M545"/>
  <c r="M544"/>
  <c r="O545"/>
  <c r="N543"/>
  <c r="N545"/>
  <c r="N544"/>
  <c r="Q543" s="1"/>
  <c r="S138" s="1"/>
  <c r="O544"/>
  <c r="M543"/>
  <c r="M515"/>
  <c r="N516"/>
  <c r="O517"/>
  <c r="M516"/>
  <c r="O515"/>
  <c r="N517"/>
  <c r="O516"/>
  <c r="N515"/>
  <c r="M517"/>
  <c r="O511"/>
  <c r="M513"/>
  <c r="M512"/>
  <c r="O513"/>
  <c r="N511"/>
  <c r="N513"/>
  <c r="N512"/>
  <c r="M511"/>
  <c r="O512"/>
  <c r="N487"/>
  <c r="O487"/>
  <c r="M489"/>
  <c r="N488"/>
  <c r="Q487" s="1"/>
  <c r="S124" s="1"/>
  <c r="M488"/>
  <c r="O489"/>
  <c r="O488"/>
  <c r="N489"/>
  <c r="M487"/>
  <c r="N471"/>
  <c r="O472"/>
  <c r="O471"/>
  <c r="M473"/>
  <c r="N472"/>
  <c r="M472"/>
  <c r="N473"/>
  <c r="M471"/>
  <c r="O473"/>
  <c r="N455"/>
  <c r="O456"/>
  <c r="O455"/>
  <c r="M457"/>
  <c r="N456"/>
  <c r="M456"/>
  <c r="N457"/>
  <c r="O457"/>
  <c r="M455"/>
  <c r="N439"/>
  <c r="O440"/>
  <c r="O439"/>
  <c r="M441"/>
  <c r="N440"/>
  <c r="M440"/>
  <c r="N441"/>
  <c r="M439"/>
  <c r="O441"/>
  <c r="N423"/>
  <c r="O424"/>
  <c r="O423"/>
  <c r="M425"/>
  <c r="N424"/>
  <c r="M424"/>
  <c r="N425"/>
  <c r="O425"/>
  <c r="M423"/>
  <c r="M395"/>
  <c r="N396"/>
  <c r="O397"/>
  <c r="O395"/>
  <c r="N397"/>
  <c r="M396"/>
  <c r="M397"/>
  <c r="O396"/>
  <c r="N395"/>
  <c r="O391"/>
  <c r="M393"/>
  <c r="N391"/>
  <c r="N393"/>
  <c r="M392"/>
  <c r="O393"/>
  <c r="O392"/>
  <c r="N392"/>
  <c r="M391"/>
  <c r="M355"/>
  <c r="N356"/>
  <c r="O357"/>
  <c r="N355"/>
  <c r="O356"/>
  <c r="M356"/>
  <c r="M357"/>
  <c r="N357"/>
  <c r="O355"/>
  <c r="M323"/>
  <c r="N324"/>
  <c r="O325"/>
  <c r="N323"/>
  <c r="O324"/>
  <c r="M324"/>
  <c r="M325"/>
  <c r="N325"/>
  <c r="O323"/>
  <c r="M291"/>
  <c r="N292"/>
  <c r="O293"/>
  <c r="N291"/>
  <c r="O292"/>
  <c r="M292"/>
  <c r="M293"/>
  <c r="N293"/>
  <c r="O291"/>
  <c r="M259"/>
  <c r="N260"/>
  <c r="O261"/>
  <c r="N259"/>
  <c r="O260"/>
  <c r="M260"/>
  <c r="M261"/>
  <c r="N261"/>
  <c r="O259"/>
  <c r="M227"/>
  <c r="N228"/>
  <c r="O229"/>
  <c r="N227"/>
  <c r="O228"/>
  <c r="M228"/>
  <c r="M229"/>
  <c r="N229"/>
  <c r="O227"/>
  <c r="M903"/>
  <c r="N904"/>
  <c r="O905"/>
  <c r="M904"/>
  <c r="N905"/>
  <c r="N903"/>
  <c r="O904"/>
  <c r="O903"/>
  <c r="M905"/>
  <c r="M895"/>
  <c r="N896"/>
  <c r="O897"/>
  <c r="M896"/>
  <c r="N897"/>
  <c r="N895"/>
  <c r="O896"/>
  <c r="M897"/>
  <c r="O895"/>
  <c r="M887"/>
  <c r="N888"/>
  <c r="O889"/>
  <c r="M888"/>
  <c r="N889"/>
  <c r="N887"/>
  <c r="O888"/>
  <c r="M889"/>
  <c r="O887"/>
  <c r="M879"/>
  <c r="N880"/>
  <c r="O881"/>
  <c r="M880"/>
  <c r="N881"/>
  <c r="N879"/>
  <c r="O880"/>
  <c r="M881"/>
  <c r="O879"/>
  <c r="M871"/>
  <c r="N872"/>
  <c r="O873"/>
  <c r="M872"/>
  <c r="N873"/>
  <c r="N871"/>
  <c r="O872"/>
  <c r="O871"/>
  <c r="M873"/>
  <c r="M863"/>
  <c r="N864"/>
  <c r="O865"/>
  <c r="Q863" s="1"/>
  <c r="S218" s="1"/>
  <c r="M864"/>
  <c r="N865"/>
  <c r="N863"/>
  <c r="O864"/>
  <c r="M865"/>
  <c r="O863"/>
  <c r="M855"/>
  <c r="N856"/>
  <c r="O857"/>
  <c r="M856"/>
  <c r="N857"/>
  <c r="N855"/>
  <c r="O856"/>
  <c r="M857"/>
  <c r="O855"/>
  <c r="M847"/>
  <c r="N848"/>
  <c r="O849"/>
  <c r="M848"/>
  <c r="N849"/>
  <c r="N847"/>
  <c r="O848"/>
  <c r="M849"/>
  <c r="O847"/>
  <c r="M839"/>
  <c r="N840"/>
  <c r="O841"/>
  <c r="M840"/>
  <c r="N841"/>
  <c r="N839"/>
  <c r="O840"/>
  <c r="O839"/>
  <c r="M841"/>
  <c r="M831"/>
  <c r="N832"/>
  <c r="O833"/>
  <c r="M832"/>
  <c r="N833"/>
  <c r="N831"/>
  <c r="O832"/>
  <c r="M833"/>
  <c r="O831"/>
  <c r="M823"/>
  <c r="N824"/>
  <c r="O825"/>
  <c r="M824"/>
  <c r="N825"/>
  <c r="N823"/>
  <c r="O824"/>
  <c r="M825"/>
  <c r="O823"/>
  <c r="M815"/>
  <c r="N816"/>
  <c r="O817"/>
  <c r="M816"/>
  <c r="N817"/>
  <c r="N815"/>
  <c r="O816"/>
  <c r="M817"/>
  <c r="O815"/>
  <c r="M807"/>
  <c r="N808"/>
  <c r="O809"/>
  <c r="M808"/>
  <c r="N809"/>
  <c r="N807"/>
  <c r="O808"/>
  <c r="O807"/>
  <c r="M809"/>
  <c r="M799"/>
  <c r="N800"/>
  <c r="O801"/>
  <c r="M800"/>
  <c r="N801"/>
  <c r="N799"/>
  <c r="O800"/>
  <c r="M801"/>
  <c r="O799"/>
  <c r="M791"/>
  <c r="N792"/>
  <c r="O793"/>
  <c r="M792"/>
  <c r="N793"/>
  <c r="N791"/>
  <c r="O792"/>
  <c r="O791"/>
  <c r="M793"/>
  <c r="M783"/>
  <c r="Q783" s="1"/>
  <c r="S198" s="1"/>
  <c r="N784"/>
  <c r="O785"/>
  <c r="M784"/>
  <c r="N785"/>
  <c r="N783"/>
  <c r="O784"/>
  <c r="M785"/>
  <c r="O783"/>
  <c r="M775"/>
  <c r="N776"/>
  <c r="O777"/>
  <c r="M776"/>
  <c r="N777"/>
  <c r="N775"/>
  <c r="O776"/>
  <c r="O775"/>
  <c r="M777"/>
  <c r="M767"/>
  <c r="N768"/>
  <c r="O769"/>
  <c r="M768"/>
  <c r="N769"/>
  <c r="N767"/>
  <c r="O768"/>
  <c r="M769"/>
  <c r="O767"/>
  <c r="M759"/>
  <c r="N760"/>
  <c r="O761"/>
  <c r="M760"/>
  <c r="N761"/>
  <c r="N759"/>
  <c r="O760"/>
  <c r="O759"/>
  <c r="M761"/>
  <c r="M751"/>
  <c r="N752"/>
  <c r="O753"/>
  <c r="M752"/>
  <c r="N753"/>
  <c r="N751"/>
  <c r="O752"/>
  <c r="M753"/>
  <c r="O751"/>
  <c r="M743"/>
  <c r="N744"/>
  <c r="O745"/>
  <c r="M744"/>
  <c r="N745"/>
  <c r="N743"/>
  <c r="O744"/>
  <c r="O743"/>
  <c r="M745"/>
  <c r="M735"/>
  <c r="N736"/>
  <c r="O737"/>
  <c r="M736"/>
  <c r="N737"/>
  <c r="N735"/>
  <c r="O736"/>
  <c r="M737"/>
  <c r="O735"/>
  <c r="M727"/>
  <c r="N728"/>
  <c r="O729"/>
  <c r="M728"/>
  <c r="N729"/>
  <c r="N727"/>
  <c r="O728"/>
  <c r="M729"/>
  <c r="O727"/>
  <c r="M719"/>
  <c r="N720"/>
  <c r="O721"/>
  <c r="M720"/>
  <c r="N721"/>
  <c r="N719"/>
  <c r="O720"/>
  <c r="M721"/>
  <c r="O719"/>
  <c r="M711"/>
  <c r="N712"/>
  <c r="O713"/>
  <c r="M712"/>
  <c r="N713"/>
  <c r="N711"/>
  <c r="O712"/>
  <c r="O711"/>
  <c r="M713"/>
  <c r="M703"/>
  <c r="N704"/>
  <c r="O705"/>
  <c r="M704"/>
  <c r="N705"/>
  <c r="N703"/>
  <c r="O704"/>
  <c r="M705"/>
  <c r="O703"/>
  <c r="M695"/>
  <c r="N696"/>
  <c r="O697"/>
  <c r="M696"/>
  <c r="N697"/>
  <c r="N695"/>
  <c r="O696"/>
  <c r="O695"/>
  <c r="M697"/>
  <c r="M687"/>
  <c r="N688"/>
  <c r="O689"/>
  <c r="M688"/>
  <c r="N689"/>
  <c r="N687"/>
  <c r="O688"/>
  <c r="M689"/>
  <c r="O687"/>
  <c r="M679"/>
  <c r="N680"/>
  <c r="O681"/>
  <c r="M680"/>
  <c r="N681"/>
  <c r="N679"/>
  <c r="O680"/>
  <c r="O679"/>
  <c r="M681"/>
  <c r="M671"/>
  <c r="N672"/>
  <c r="O673"/>
  <c r="Q671" s="1"/>
  <c r="S170" s="1"/>
  <c r="M672"/>
  <c r="N673"/>
  <c r="N671"/>
  <c r="O672"/>
  <c r="M673"/>
  <c r="O671"/>
  <c r="M663"/>
  <c r="N664"/>
  <c r="O665"/>
  <c r="M664"/>
  <c r="N665"/>
  <c r="N663"/>
  <c r="O664"/>
  <c r="M665"/>
  <c r="O663"/>
  <c r="M659"/>
  <c r="N660"/>
  <c r="N659"/>
  <c r="M661"/>
  <c r="O660"/>
  <c r="O659"/>
  <c r="N661"/>
  <c r="M660"/>
  <c r="O661"/>
  <c r="O655"/>
  <c r="M657"/>
  <c r="M655"/>
  <c r="O656"/>
  <c r="N656"/>
  <c r="N655"/>
  <c r="N657"/>
  <c r="O657"/>
  <c r="M656"/>
  <c r="M627"/>
  <c r="N628"/>
  <c r="O629"/>
  <c r="N627"/>
  <c r="M629"/>
  <c r="O628"/>
  <c r="O627"/>
  <c r="N629"/>
  <c r="M628"/>
  <c r="O623"/>
  <c r="M625"/>
  <c r="M623"/>
  <c r="O624"/>
  <c r="N624"/>
  <c r="N623"/>
  <c r="N625"/>
  <c r="O625"/>
  <c r="M624"/>
  <c r="M595"/>
  <c r="N596"/>
  <c r="O597"/>
  <c r="N595"/>
  <c r="M597"/>
  <c r="O596"/>
  <c r="O595"/>
  <c r="N597"/>
  <c r="M596"/>
  <c r="O591"/>
  <c r="M593"/>
  <c r="M591"/>
  <c r="O592"/>
  <c r="N592"/>
  <c r="N591"/>
  <c r="N593"/>
  <c r="M592"/>
  <c r="O593"/>
  <c r="M563"/>
  <c r="N564"/>
  <c r="O565"/>
  <c r="N563"/>
  <c r="M565"/>
  <c r="O564"/>
  <c r="O563"/>
  <c r="N565"/>
  <c r="M564"/>
  <c r="O559"/>
  <c r="M561"/>
  <c r="M559"/>
  <c r="O560"/>
  <c r="N560"/>
  <c r="N559"/>
  <c r="N561"/>
  <c r="O561"/>
  <c r="M560"/>
  <c r="M531"/>
  <c r="N532"/>
  <c r="O533"/>
  <c r="N531"/>
  <c r="M533"/>
  <c r="O532"/>
  <c r="O531"/>
  <c r="N533"/>
  <c r="M532"/>
  <c r="O527"/>
  <c r="M529"/>
  <c r="M527"/>
  <c r="O528"/>
  <c r="N528"/>
  <c r="N527"/>
  <c r="N529"/>
  <c r="M528"/>
  <c r="O529"/>
  <c r="M499"/>
  <c r="N500"/>
  <c r="O501"/>
  <c r="N499"/>
  <c r="M501"/>
  <c r="O500"/>
  <c r="O499"/>
  <c r="N501"/>
  <c r="M500"/>
  <c r="O495"/>
  <c r="M497"/>
  <c r="M495"/>
  <c r="O496"/>
  <c r="N496"/>
  <c r="N495"/>
  <c r="N497"/>
  <c r="O497"/>
  <c r="M496"/>
  <c r="N479"/>
  <c r="O480"/>
  <c r="O479"/>
  <c r="M481"/>
  <c r="M479"/>
  <c r="O481"/>
  <c r="N481"/>
  <c r="M480"/>
  <c r="N480"/>
  <c r="N463"/>
  <c r="O464"/>
  <c r="O463"/>
  <c r="M465"/>
  <c r="M463"/>
  <c r="O465"/>
  <c r="N465"/>
  <c r="M464"/>
  <c r="N464"/>
  <c r="N447"/>
  <c r="O448"/>
  <c r="O447"/>
  <c r="M449"/>
  <c r="M447"/>
  <c r="O449"/>
  <c r="N449"/>
  <c r="M448"/>
  <c r="N448"/>
  <c r="N431"/>
  <c r="O432"/>
  <c r="O431"/>
  <c r="M433"/>
  <c r="M431"/>
  <c r="O433"/>
  <c r="N433"/>
  <c r="M432"/>
  <c r="N432"/>
  <c r="M363"/>
  <c r="N364"/>
  <c r="O365"/>
  <c r="O363"/>
  <c r="N365"/>
  <c r="M364"/>
  <c r="N363"/>
  <c r="O364"/>
  <c r="M365"/>
  <c r="M339"/>
  <c r="N340"/>
  <c r="O341"/>
  <c r="N339"/>
  <c r="O340"/>
  <c r="M340"/>
  <c r="M341"/>
  <c r="O339"/>
  <c r="N341"/>
  <c r="M307"/>
  <c r="N308"/>
  <c r="O309"/>
  <c r="N307"/>
  <c r="O308"/>
  <c r="M308"/>
  <c r="M309"/>
  <c r="O307"/>
  <c r="N309"/>
  <c r="M275"/>
  <c r="N276"/>
  <c r="O277"/>
  <c r="N275"/>
  <c r="O276"/>
  <c r="M276"/>
  <c r="M277"/>
  <c r="O275"/>
  <c r="N277"/>
  <c r="M243"/>
  <c r="N244"/>
  <c r="O245"/>
  <c r="N243"/>
  <c r="O244"/>
  <c r="M244"/>
  <c r="M245"/>
  <c r="O243"/>
  <c r="N245"/>
  <c r="M211"/>
  <c r="N212"/>
  <c r="O213"/>
  <c r="N211"/>
  <c r="O212"/>
  <c r="M212"/>
  <c r="M213"/>
  <c r="O211"/>
  <c r="N213"/>
  <c r="M651"/>
  <c r="N652"/>
  <c r="O653"/>
  <c r="O652"/>
  <c r="M652"/>
  <c r="N651"/>
  <c r="M653"/>
  <c r="O651"/>
  <c r="N653"/>
  <c r="O647"/>
  <c r="M649"/>
  <c r="N648"/>
  <c r="M648"/>
  <c r="O649"/>
  <c r="M647"/>
  <c r="O648"/>
  <c r="N649"/>
  <c r="N647"/>
  <c r="M619"/>
  <c r="Q619" s="1"/>
  <c r="S157" s="1"/>
  <c r="N620"/>
  <c r="O621"/>
  <c r="O620"/>
  <c r="M620"/>
  <c r="N619"/>
  <c r="M621"/>
  <c r="N621"/>
  <c r="O619"/>
  <c r="O615"/>
  <c r="M617"/>
  <c r="N616"/>
  <c r="M616"/>
  <c r="O617"/>
  <c r="Q615" s="1"/>
  <c r="S156" s="1"/>
  <c r="M615"/>
  <c r="O616"/>
  <c r="N617"/>
  <c r="N615"/>
  <c r="M587"/>
  <c r="N588"/>
  <c r="O589"/>
  <c r="O588"/>
  <c r="M588"/>
  <c r="N587"/>
  <c r="M589"/>
  <c r="N589"/>
  <c r="O587"/>
  <c r="O583"/>
  <c r="M585"/>
  <c r="N584"/>
  <c r="M584"/>
  <c r="O585"/>
  <c r="M583"/>
  <c r="O584"/>
  <c r="N583"/>
  <c r="N585"/>
  <c r="M555"/>
  <c r="Q555" s="1"/>
  <c r="S141" s="1"/>
  <c r="N556"/>
  <c r="O557"/>
  <c r="O556"/>
  <c r="M556"/>
  <c r="N555"/>
  <c r="M557"/>
  <c r="N557"/>
  <c r="O555"/>
  <c r="O551"/>
  <c r="M553"/>
  <c r="N552"/>
  <c r="M552"/>
  <c r="O553"/>
  <c r="Q551" s="1"/>
  <c r="S140" s="1"/>
  <c r="M551"/>
  <c r="O552"/>
  <c r="N553"/>
  <c r="N551"/>
  <c r="M523"/>
  <c r="N524"/>
  <c r="O525"/>
  <c r="O524"/>
  <c r="M524"/>
  <c r="N523"/>
  <c r="M525"/>
  <c r="O523"/>
  <c r="N525"/>
  <c r="O519"/>
  <c r="M521"/>
  <c r="N520"/>
  <c r="M520"/>
  <c r="O521"/>
  <c r="M519"/>
  <c r="O520"/>
  <c r="N519"/>
  <c r="N521"/>
  <c r="M491"/>
  <c r="Q491" s="1"/>
  <c r="S125" s="1"/>
  <c r="N492"/>
  <c r="O493"/>
  <c r="O492"/>
  <c r="M492"/>
  <c r="N491"/>
  <c r="M493"/>
  <c r="N493"/>
  <c r="O491"/>
  <c r="O415"/>
  <c r="M415"/>
  <c r="O416"/>
  <c r="N415"/>
  <c r="M417"/>
  <c r="O417"/>
  <c r="N417"/>
  <c r="M416"/>
  <c r="N416"/>
  <c r="Q415" s="1"/>
  <c r="S106" s="1"/>
  <c r="M403"/>
  <c r="N404"/>
  <c r="O405"/>
  <c r="M404"/>
  <c r="O404"/>
  <c r="N405"/>
  <c r="M405"/>
  <c r="N403"/>
  <c r="O403"/>
  <c r="O399"/>
  <c r="M401"/>
  <c r="M400"/>
  <c r="O401"/>
  <c r="N400"/>
  <c r="N401"/>
  <c r="O400"/>
  <c r="M399"/>
  <c r="N399"/>
  <c r="M371"/>
  <c r="N372"/>
  <c r="O373"/>
  <c r="M372"/>
  <c r="O372"/>
  <c r="O371"/>
  <c r="N371"/>
  <c r="M373"/>
  <c r="N373"/>
  <c r="O367"/>
  <c r="M369"/>
  <c r="M368"/>
  <c r="O369"/>
  <c r="N368"/>
  <c r="N367"/>
  <c r="M367"/>
  <c r="O368"/>
  <c r="N369"/>
  <c r="M484"/>
  <c r="N485"/>
  <c r="M483"/>
  <c r="N484"/>
  <c r="O485"/>
  <c r="M485"/>
  <c r="O484"/>
  <c r="N483"/>
  <c r="O483"/>
  <c r="M476"/>
  <c r="N477"/>
  <c r="M475"/>
  <c r="N476"/>
  <c r="O477"/>
  <c r="O475"/>
  <c r="N475"/>
  <c r="O476"/>
  <c r="M477"/>
  <c r="M468"/>
  <c r="N469"/>
  <c r="M467"/>
  <c r="N468"/>
  <c r="O469"/>
  <c r="M469"/>
  <c r="O468"/>
  <c r="N467"/>
  <c r="O467"/>
  <c r="M460"/>
  <c r="N461"/>
  <c r="M459"/>
  <c r="N460"/>
  <c r="O461"/>
  <c r="O459"/>
  <c r="N459"/>
  <c r="O460"/>
  <c r="M461"/>
  <c r="M452"/>
  <c r="N453"/>
  <c r="M451"/>
  <c r="N452"/>
  <c r="O453"/>
  <c r="M453"/>
  <c r="O452"/>
  <c r="N451"/>
  <c r="O451"/>
  <c r="M444"/>
  <c r="N445"/>
  <c r="M443"/>
  <c r="N444"/>
  <c r="O445"/>
  <c r="O443"/>
  <c r="N443"/>
  <c r="O444"/>
  <c r="M445"/>
  <c r="M436"/>
  <c r="N437"/>
  <c r="M435"/>
  <c r="N436"/>
  <c r="O437"/>
  <c r="M437"/>
  <c r="O436"/>
  <c r="N435"/>
  <c r="O435"/>
  <c r="M428"/>
  <c r="N429"/>
  <c r="M427"/>
  <c r="N428"/>
  <c r="O429"/>
  <c r="O427"/>
  <c r="N427"/>
  <c r="O428"/>
  <c r="M429"/>
  <c r="M420"/>
  <c r="N421"/>
  <c r="M419"/>
  <c r="N420"/>
  <c r="O421"/>
  <c r="M421"/>
  <c r="O420"/>
  <c r="N419"/>
  <c r="O419"/>
  <c r="M411"/>
  <c r="N412"/>
  <c r="O413"/>
  <c r="O412"/>
  <c r="N411"/>
  <c r="M413"/>
  <c r="N413"/>
  <c r="O411"/>
  <c r="M412"/>
  <c r="O407"/>
  <c r="M409"/>
  <c r="N408"/>
  <c r="M407"/>
  <c r="O408"/>
  <c r="O409"/>
  <c r="N409"/>
  <c r="N407"/>
  <c r="M408"/>
  <c r="M379"/>
  <c r="N380"/>
  <c r="O381"/>
  <c r="O380"/>
  <c r="N379"/>
  <c r="M381"/>
  <c r="M380"/>
  <c r="O379"/>
  <c r="N381"/>
  <c r="O375"/>
  <c r="M377"/>
  <c r="N376"/>
  <c r="M375"/>
  <c r="O376"/>
  <c r="M376"/>
  <c r="N375"/>
  <c r="N377"/>
  <c r="O377"/>
  <c r="M347"/>
  <c r="N348"/>
  <c r="O349"/>
  <c r="N347"/>
  <c r="O348"/>
  <c r="N349"/>
  <c r="O347"/>
  <c r="M348"/>
  <c r="M349"/>
  <c r="M331"/>
  <c r="N332"/>
  <c r="O333"/>
  <c r="N331"/>
  <c r="O332"/>
  <c r="N333"/>
  <c r="O331"/>
  <c r="M333"/>
  <c r="M332"/>
  <c r="M315"/>
  <c r="N316"/>
  <c r="O317"/>
  <c r="N315"/>
  <c r="O316"/>
  <c r="N317"/>
  <c r="O315"/>
  <c r="M316"/>
  <c r="M317"/>
  <c r="M299"/>
  <c r="N300"/>
  <c r="O301"/>
  <c r="N299"/>
  <c r="O300"/>
  <c r="N301"/>
  <c r="O299"/>
  <c r="M301"/>
  <c r="M300"/>
  <c r="M283"/>
  <c r="N284"/>
  <c r="O285"/>
  <c r="N283"/>
  <c r="O284"/>
  <c r="N285"/>
  <c r="O283"/>
  <c r="M284"/>
  <c r="M285"/>
  <c r="M267"/>
  <c r="N268"/>
  <c r="O269"/>
  <c r="N267"/>
  <c r="O268"/>
  <c r="N269"/>
  <c r="O267"/>
  <c r="M269"/>
  <c r="M268"/>
  <c r="M251"/>
  <c r="N252"/>
  <c r="O253"/>
  <c r="N251"/>
  <c r="O252"/>
  <c r="N253"/>
  <c r="O251"/>
  <c r="M252"/>
  <c r="M253"/>
  <c r="M235"/>
  <c r="N236"/>
  <c r="O237"/>
  <c r="Q235" s="1"/>
  <c r="S61" s="1"/>
  <c r="N235"/>
  <c r="O236"/>
  <c r="N237"/>
  <c r="O235"/>
  <c r="M237"/>
  <c r="M236"/>
  <c r="M219"/>
  <c r="N220"/>
  <c r="O221"/>
  <c r="N219"/>
  <c r="O220"/>
  <c r="N221"/>
  <c r="O219"/>
  <c r="M220"/>
  <c r="M221"/>
  <c r="M203"/>
  <c r="N204"/>
  <c r="O205"/>
  <c r="N203"/>
  <c r="O204"/>
  <c r="N205"/>
  <c r="O203"/>
  <c r="M205"/>
  <c r="M204"/>
  <c r="O359"/>
  <c r="M361"/>
  <c r="N359"/>
  <c r="N361"/>
  <c r="M360"/>
  <c r="O361"/>
  <c r="M359"/>
  <c r="N360"/>
  <c r="Q359" s="1"/>
  <c r="S92" s="1"/>
  <c r="O360"/>
  <c r="O351"/>
  <c r="M353"/>
  <c r="M352"/>
  <c r="N353"/>
  <c r="O352"/>
  <c r="M351"/>
  <c r="O353"/>
  <c r="N352"/>
  <c r="N351"/>
  <c r="O343"/>
  <c r="M345"/>
  <c r="M344"/>
  <c r="N345"/>
  <c r="N343"/>
  <c r="N344"/>
  <c r="O345"/>
  <c r="O344"/>
  <c r="M343"/>
  <c r="O335"/>
  <c r="M337"/>
  <c r="M336"/>
  <c r="N337"/>
  <c r="O336"/>
  <c r="M335"/>
  <c r="O337"/>
  <c r="N335"/>
  <c r="N336"/>
  <c r="O327"/>
  <c r="M329"/>
  <c r="M328"/>
  <c r="N329"/>
  <c r="N327"/>
  <c r="N328"/>
  <c r="M327"/>
  <c r="O328"/>
  <c r="O329"/>
  <c r="Q327" s="1"/>
  <c r="S84" s="1"/>
  <c r="O319"/>
  <c r="M321"/>
  <c r="M320"/>
  <c r="N321"/>
  <c r="O320"/>
  <c r="M319"/>
  <c r="O321"/>
  <c r="N320"/>
  <c r="N319"/>
  <c r="O311"/>
  <c r="M313"/>
  <c r="M312"/>
  <c r="N313"/>
  <c r="N311"/>
  <c r="N312"/>
  <c r="O313"/>
  <c r="O312"/>
  <c r="M311"/>
  <c r="O303"/>
  <c r="M305"/>
  <c r="M304"/>
  <c r="N305"/>
  <c r="O304"/>
  <c r="M303"/>
  <c r="O305"/>
  <c r="N303"/>
  <c r="N304"/>
  <c r="O295"/>
  <c r="M297"/>
  <c r="M296"/>
  <c r="N297"/>
  <c r="N295"/>
  <c r="N296"/>
  <c r="M295"/>
  <c r="O296"/>
  <c r="O297"/>
  <c r="O287"/>
  <c r="M289"/>
  <c r="M288"/>
  <c r="N289"/>
  <c r="O288"/>
  <c r="M287"/>
  <c r="O289"/>
  <c r="N288"/>
  <c r="N287"/>
  <c r="O279"/>
  <c r="M281"/>
  <c r="M280"/>
  <c r="N281"/>
  <c r="N279"/>
  <c r="N280"/>
  <c r="O281"/>
  <c r="O280"/>
  <c r="M279"/>
  <c r="O271"/>
  <c r="M273"/>
  <c r="M272"/>
  <c r="N273"/>
  <c r="O272"/>
  <c r="M271"/>
  <c r="O273"/>
  <c r="N271"/>
  <c r="N272"/>
  <c r="O263"/>
  <c r="M265"/>
  <c r="M264"/>
  <c r="N265"/>
  <c r="N263"/>
  <c r="N264"/>
  <c r="M263"/>
  <c r="O264"/>
  <c r="O265"/>
  <c r="O255"/>
  <c r="M257"/>
  <c r="M256"/>
  <c r="N257"/>
  <c r="O256"/>
  <c r="M255"/>
  <c r="O257"/>
  <c r="N256"/>
  <c r="N255"/>
  <c r="O247"/>
  <c r="M249"/>
  <c r="M248"/>
  <c r="N249"/>
  <c r="N247"/>
  <c r="N248"/>
  <c r="O249"/>
  <c r="O248"/>
  <c r="M247"/>
  <c r="O239"/>
  <c r="M241"/>
  <c r="M240"/>
  <c r="N241"/>
  <c r="O240"/>
  <c r="M239"/>
  <c r="O241"/>
  <c r="N239"/>
  <c r="N240"/>
  <c r="O231"/>
  <c r="M233"/>
  <c r="M232"/>
  <c r="N233"/>
  <c r="N231"/>
  <c r="N232"/>
  <c r="M231"/>
  <c r="O232"/>
  <c r="O233"/>
  <c r="O223"/>
  <c r="M225"/>
  <c r="M224"/>
  <c r="N225"/>
  <c r="O224"/>
  <c r="M223"/>
  <c r="O225"/>
  <c r="N224"/>
  <c r="N223"/>
  <c r="O215"/>
  <c r="M217"/>
  <c r="M216"/>
  <c r="N217"/>
  <c r="N215"/>
  <c r="N216"/>
  <c r="O217"/>
  <c r="O216"/>
  <c r="M215"/>
  <c r="O207"/>
  <c r="M209"/>
  <c r="M208"/>
  <c r="N209"/>
  <c r="O208"/>
  <c r="M207"/>
  <c r="O209"/>
  <c r="N207"/>
  <c r="N208"/>
  <c r="O199"/>
  <c r="M201"/>
  <c r="N199"/>
  <c r="O200"/>
  <c r="M200"/>
  <c r="N201"/>
  <c r="M199"/>
  <c r="N200"/>
  <c r="O201"/>
  <c r="O191"/>
  <c r="M193"/>
  <c r="N191"/>
  <c r="O192"/>
  <c r="M192"/>
  <c r="N193"/>
  <c r="M191"/>
  <c r="N192"/>
  <c r="O193"/>
  <c r="O183"/>
  <c r="M185"/>
  <c r="N183"/>
  <c r="O184"/>
  <c r="M184"/>
  <c r="N185"/>
  <c r="N184"/>
  <c r="Q183" s="1"/>
  <c r="S48" s="1"/>
  <c r="O185"/>
  <c r="M183"/>
  <c r="O175"/>
  <c r="M177"/>
  <c r="N175"/>
  <c r="O176"/>
  <c r="M176"/>
  <c r="N177"/>
  <c r="O177"/>
  <c r="M175"/>
  <c r="N176"/>
  <c r="O167"/>
  <c r="M169"/>
  <c r="N167"/>
  <c r="O168"/>
  <c r="M168"/>
  <c r="N169"/>
  <c r="M167"/>
  <c r="O169"/>
  <c r="N168"/>
  <c r="O159"/>
  <c r="M161"/>
  <c r="N159"/>
  <c r="O160"/>
  <c r="M160"/>
  <c r="N161"/>
  <c r="M159"/>
  <c r="N160"/>
  <c r="O161"/>
  <c r="O151"/>
  <c r="M153"/>
  <c r="N151"/>
  <c r="O152"/>
  <c r="M152"/>
  <c r="N153"/>
  <c r="N152"/>
  <c r="O153"/>
  <c r="M151"/>
  <c r="O143"/>
  <c r="M145"/>
  <c r="N143"/>
  <c r="O144"/>
  <c r="M144"/>
  <c r="N145"/>
  <c r="O145"/>
  <c r="N144"/>
  <c r="M143"/>
  <c r="O135"/>
  <c r="M137"/>
  <c r="N135"/>
  <c r="O136"/>
  <c r="M136"/>
  <c r="N137"/>
  <c r="M135"/>
  <c r="N136"/>
  <c r="O137"/>
  <c r="O127"/>
  <c r="M129"/>
  <c r="N127"/>
  <c r="O128"/>
  <c r="M128"/>
  <c r="N129"/>
  <c r="M127"/>
  <c r="N128"/>
  <c r="O129"/>
  <c r="O119"/>
  <c r="M121"/>
  <c r="N119"/>
  <c r="O120"/>
  <c r="M120"/>
  <c r="N121"/>
  <c r="N120"/>
  <c r="Q119" s="1"/>
  <c r="S32" s="1"/>
  <c r="O121"/>
  <c r="M119"/>
  <c r="O111"/>
  <c r="M113"/>
  <c r="N111"/>
  <c r="O112"/>
  <c r="M112"/>
  <c r="N113"/>
  <c r="O113"/>
  <c r="M111"/>
  <c r="N112"/>
  <c r="O103"/>
  <c r="M105"/>
  <c r="N103"/>
  <c r="O104"/>
  <c r="M104"/>
  <c r="N105"/>
  <c r="M103"/>
  <c r="O105"/>
  <c r="N104"/>
  <c r="O95"/>
  <c r="M97"/>
  <c r="N95"/>
  <c r="O96"/>
  <c r="M96"/>
  <c r="N97"/>
  <c r="M95"/>
  <c r="N96"/>
  <c r="O97"/>
  <c r="O87"/>
  <c r="M89"/>
  <c r="N87"/>
  <c r="O88"/>
  <c r="M88"/>
  <c r="N89"/>
  <c r="N88"/>
  <c r="O89"/>
  <c r="M87"/>
  <c r="O79"/>
  <c r="M81"/>
  <c r="N79"/>
  <c r="O80"/>
  <c r="M80"/>
  <c r="N81"/>
  <c r="O81"/>
  <c r="N80"/>
  <c r="M79"/>
  <c r="O71"/>
  <c r="M73"/>
  <c r="N71"/>
  <c r="O72"/>
  <c r="M72"/>
  <c r="N73"/>
  <c r="M71"/>
  <c r="N72"/>
  <c r="O73"/>
  <c r="O63"/>
  <c r="M65"/>
  <c r="N63"/>
  <c r="O64"/>
  <c r="M64"/>
  <c r="N65"/>
  <c r="M63"/>
  <c r="N64"/>
  <c r="O65"/>
  <c r="O55"/>
  <c r="M57"/>
  <c r="N55"/>
  <c r="O56"/>
  <c r="M56"/>
  <c r="N57"/>
  <c r="N56"/>
  <c r="Q55" s="1"/>
  <c r="S16" s="1"/>
  <c r="O57"/>
  <c r="M55"/>
  <c r="O47"/>
  <c r="M49"/>
  <c r="N47"/>
  <c r="O48"/>
  <c r="M48"/>
  <c r="N49"/>
  <c r="O49"/>
  <c r="M47"/>
  <c r="N48"/>
  <c r="O39"/>
  <c r="M41"/>
  <c r="N39"/>
  <c r="O40"/>
  <c r="M40"/>
  <c r="N41"/>
  <c r="M39"/>
  <c r="O41"/>
  <c r="N40"/>
  <c r="O31"/>
  <c r="M33"/>
  <c r="N31"/>
  <c r="O32"/>
  <c r="M32"/>
  <c r="N33"/>
  <c r="M31"/>
  <c r="N32"/>
  <c r="O33"/>
  <c r="O23"/>
  <c r="M25"/>
  <c r="N23"/>
  <c r="O24"/>
  <c r="M24"/>
  <c r="N25"/>
  <c r="N24"/>
  <c r="M23"/>
  <c r="O25"/>
  <c r="O15"/>
  <c r="M17"/>
  <c r="N15"/>
  <c r="O16"/>
  <c r="M16"/>
  <c r="N17"/>
  <c r="O17"/>
  <c r="N16"/>
  <c r="M15"/>
  <c r="O7"/>
  <c r="M9"/>
  <c r="N7"/>
  <c r="O8"/>
  <c r="M8"/>
  <c r="N9"/>
  <c r="O9"/>
  <c r="M7"/>
  <c r="N8"/>
  <c r="M195"/>
  <c r="N196"/>
  <c r="O197"/>
  <c r="M196"/>
  <c r="N197"/>
  <c r="N195"/>
  <c r="O196"/>
  <c r="M197"/>
  <c r="O195"/>
  <c r="M187"/>
  <c r="N188"/>
  <c r="O189"/>
  <c r="M188"/>
  <c r="N189"/>
  <c r="N187"/>
  <c r="O188"/>
  <c r="O187"/>
  <c r="M189"/>
  <c r="M179"/>
  <c r="N180"/>
  <c r="O181"/>
  <c r="M180"/>
  <c r="N181"/>
  <c r="N179"/>
  <c r="O180"/>
  <c r="O179"/>
  <c r="M181"/>
  <c r="M171"/>
  <c r="N172"/>
  <c r="O173"/>
  <c r="M172"/>
  <c r="N173"/>
  <c r="N171"/>
  <c r="O172"/>
  <c r="O171"/>
  <c r="M173"/>
  <c r="M163"/>
  <c r="N164"/>
  <c r="O165"/>
  <c r="Q163" s="1"/>
  <c r="S43" s="1"/>
  <c r="M164"/>
  <c r="N165"/>
  <c r="N163"/>
  <c r="O164"/>
  <c r="M165"/>
  <c r="O163"/>
  <c r="M155"/>
  <c r="N156"/>
  <c r="O157"/>
  <c r="M156"/>
  <c r="N157"/>
  <c r="N155"/>
  <c r="O156"/>
  <c r="M157"/>
  <c r="O155"/>
  <c r="M147"/>
  <c r="N148"/>
  <c r="O149"/>
  <c r="M148"/>
  <c r="N149"/>
  <c r="N147"/>
  <c r="O148"/>
  <c r="O147"/>
  <c r="M149"/>
  <c r="M139"/>
  <c r="N140"/>
  <c r="O141"/>
  <c r="M140"/>
  <c r="N141"/>
  <c r="N139"/>
  <c r="O140"/>
  <c r="O139"/>
  <c r="M141"/>
  <c r="M131"/>
  <c r="N132"/>
  <c r="O133"/>
  <c r="M132"/>
  <c r="N133"/>
  <c r="N131"/>
  <c r="O132"/>
  <c r="M133"/>
  <c r="O131"/>
  <c r="M123"/>
  <c r="N124"/>
  <c r="O125"/>
  <c r="M124"/>
  <c r="N125"/>
  <c r="N123"/>
  <c r="O124"/>
  <c r="O123"/>
  <c r="M125"/>
  <c r="M115"/>
  <c r="N116"/>
  <c r="O117"/>
  <c r="M116"/>
  <c r="N117"/>
  <c r="N115"/>
  <c r="O116"/>
  <c r="O115"/>
  <c r="M117"/>
  <c r="M107"/>
  <c r="Q107" s="1"/>
  <c r="S29" s="1"/>
  <c r="N108"/>
  <c r="O109"/>
  <c r="M108"/>
  <c r="N109"/>
  <c r="N107"/>
  <c r="O108"/>
  <c r="O107"/>
  <c r="M109"/>
  <c r="M99"/>
  <c r="N100"/>
  <c r="O101"/>
  <c r="M100"/>
  <c r="N101"/>
  <c r="N99"/>
  <c r="O100"/>
  <c r="M101"/>
  <c r="O99"/>
  <c r="M91"/>
  <c r="N92"/>
  <c r="O93"/>
  <c r="M92"/>
  <c r="N93"/>
  <c r="N91"/>
  <c r="O92"/>
  <c r="M93"/>
  <c r="O91"/>
  <c r="M83"/>
  <c r="N84"/>
  <c r="O85"/>
  <c r="M84"/>
  <c r="N85"/>
  <c r="N83"/>
  <c r="O84"/>
  <c r="O83"/>
  <c r="M85"/>
  <c r="M75"/>
  <c r="N76"/>
  <c r="O77"/>
  <c r="M76"/>
  <c r="N77"/>
  <c r="N75"/>
  <c r="O76"/>
  <c r="O75"/>
  <c r="M77"/>
  <c r="M67"/>
  <c r="N68"/>
  <c r="O69"/>
  <c r="M68"/>
  <c r="N69"/>
  <c r="N67"/>
  <c r="O68"/>
  <c r="M69"/>
  <c r="O67"/>
  <c r="M59"/>
  <c r="N60"/>
  <c r="O61"/>
  <c r="M60"/>
  <c r="N61"/>
  <c r="N59"/>
  <c r="O60"/>
  <c r="O59"/>
  <c r="M61"/>
  <c r="M51"/>
  <c r="N52"/>
  <c r="O53"/>
  <c r="M52"/>
  <c r="N53"/>
  <c r="N51"/>
  <c r="O52"/>
  <c r="O51"/>
  <c r="M53"/>
  <c r="M43"/>
  <c r="Q43" s="1"/>
  <c r="S13" s="1"/>
  <c r="N44"/>
  <c r="O45"/>
  <c r="M44"/>
  <c r="N45"/>
  <c r="N43"/>
  <c r="O44"/>
  <c r="O43"/>
  <c r="M45"/>
  <c r="M35"/>
  <c r="N36"/>
  <c r="O37"/>
  <c r="M36"/>
  <c r="N37"/>
  <c r="N35"/>
  <c r="O36"/>
  <c r="M37"/>
  <c r="O35"/>
  <c r="M27"/>
  <c r="N28"/>
  <c r="O29"/>
  <c r="M28"/>
  <c r="N29"/>
  <c r="N27"/>
  <c r="O28"/>
  <c r="M29"/>
  <c r="O27"/>
  <c r="M19"/>
  <c r="N20"/>
  <c r="O21"/>
  <c r="M20"/>
  <c r="N21"/>
  <c r="N19"/>
  <c r="O20"/>
  <c r="O19"/>
  <c r="M21"/>
  <c r="M11"/>
  <c r="Q11" s="1"/>
  <c r="S5" s="1"/>
  <c r="N12"/>
  <c r="O13"/>
  <c r="M12"/>
  <c r="N13"/>
  <c r="N11"/>
  <c r="O12"/>
  <c r="O11"/>
  <c r="M13"/>
  <c r="O3"/>
  <c r="M5"/>
  <c r="N3"/>
  <c r="O4"/>
  <c r="M3"/>
  <c r="N4"/>
  <c r="O5"/>
  <c r="M4"/>
  <c r="N5"/>
  <c r="Q227"/>
  <c r="S59" s="1"/>
  <c r="Q171"/>
  <c r="S45" s="1"/>
  <c r="Q423"/>
  <c r="S108" s="1"/>
  <c r="Q679"/>
  <c r="S172" s="1"/>
  <c r="Q355"/>
  <c r="S91" s="1"/>
  <c r="Q547"/>
  <c r="S139" s="1"/>
  <c r="Q611"/>
  <c r="S155" s="1"/>
  <c r="Q479"/>
  <c r="S122" s="1"/>
  <c r="Q363"/>
  <c r="S93" s="1"/>
  <c r="Q683"/>
  <c r="S173" s="1"/>
  <c r="Q775"/>
  <c r="S196" s="1"/>
  <c r="Q871"/>
  <c r="S220" s="1"/>
  <c r="Q935"/>
  <c r="S236" s="1"/>
  <c r="Q999"/>
  <c r="S252" s="1"/>
  <c r="Q851"/>
  <c r="S215" s="1"/>
  <c r="Q915"/>
  <c r="S231" s="1"/>
  <c r="Q979"/>
  <c r="S247" s="1"/>
  <c r="Q1043"/>
  <c r="S263" s="1"/>
  <c r="Q1107"/>
  <c r="S279" s="1"/>
  <c r="Q719"/>
  <c r="S182" s="1"/>
  <c r="Q991"/>
  <c r="S250" s="1"/>
  <c r="Q1055"/>
  <c r="S266" s="1"/>
  <c r="Q891"/>
  <c r="S225" s="1"/>
  <c r="Q955"/>
  <c r="S241" s="1"/>
  <c r="Q247" l="1"/>
  <c r="S64" s="1"/>
  <c r="Q483"/>
  <c r="S123" s="1"/>
  <c r="Q7"/>
  <c r="S4" s="1"/>
  <c r="Q159"/>
  <c r="S42" s="1"/>
  <c r="Q223"/>
  <c r="S58" s="1"/>
  <c r="Q335"/>
  <c r="S86" s="1"/>
  <c r="Q35"/>
  <c r="S11" s="1"/>
  <c r="Q99"/>
  <c r="S27" s="1"/>
  <c r="Q15"/>
  <c r="S6" s="1"/>
  <c r="Q31"/>
  <c r="S10" s="1"/>
  <c r="Q95"/>
  <c r="S26" s="1"/>
  <c r="Q283"/>
  <c r="S73" s="1"/>
  <c r="Q419"/>
  <c r="S107" s="1"/>
  <c r="Q427"/>
  <c r="S109" s="1"/>
  <c r="Q1067"/>
  <c r="S269" s="1"/>
  <c r="Q1003"/>
  <c r="S253" s="1"/>
  <c r="Q939"/>
  <c r="S237" s="1"/>
  <c r="Q875"/>
  <c r="S221" s="1"/>
  <c r="Q811"/>
  <c r="S205" s="1"/>
  <c r="Q1103"/>
  <c r="S278" s="1"/>
  <c r="Q1039"/>
  <c r="S262" s="1"/>
  <c r="Q975"/>
  <c r="S246" s="1"/>
  <c r="Q911"/>
  <c r="S230" s="1"/>
  <c r="Q847"/>
  <c r="S214" s="1"/>
  <c r="Q799"/>
  <c r="S202" s="1"/>
  <c r="Q735"/>
  <c r="S186" s="1"/>
  <c r="Q1091"/>
  <c r="S275" s="1"/>
  <c r="Q1027"/>
  <c r="S259" s="1"/>
  <c r="Q963"/>
  <c r="S243" s="1"/>
  <c r="Q899"/>
  <c r="S227" s="1"/>
  <c r="Q835"/>
  <c r="S211" s="1"/>
  <c r="Q1111"/>
  <c r="S280" s="1"/>
  <c r="Q1047"/>
  <c r="S264" s="1"/>
  <c r="Q983"/>
  <c r="S248" s="1"/>
  <c r="Q919"/>
  <c r="S232" s="1"/>
  <c r="Q855"/>
  <c r="S216" s="1"/>
  <c r="Q791"/>
  <c r="S200" s="1"/>
  <c r="Q727"/>
  <c r="S184" s="1"/>
  <c r="Q667"/>
  <c r="S169" s="1"/>
  <c r="Q603"/>
  <c r="S153" s="1"/>
  <c r="Q539"/>
  <c r="S137" s="1"/>
  <c r="Q475"/>
  <c r="S121" s="1"/>
  <c r="Q411"/>
  <c r="S105" s="1"/>
  <c r="Q787"/>
  <c r="S199" s="1"/>
  <c r="Q655"/>
  <c r="S166" s="1"/>
  <c r="Q591"/>
  <c r="S150" s="1"/>
  <c r="Q527"/>
  <c r="S134" s="1"/>
  <c r="Q463"/>
  <c r="S118" s="1"/>
  <c r="Q399"/>
  <c r="S102" s="1"/>
  <c r="Q351"/>
  <c r="S90" s="1"/>
  <c r="Q287"/>
  <c r="S74" s="1"/>
  <c r="Q779"/>
  <c r="S197" s="1"/>
  <c r="Q659"/>
  <c r="S167" s="1"/>
  <c r="Q595"/>
  <c r="S151" s="1"/>
  <c r="Q531"/>
  <c r="S135" s="1"/>
  <c r="Q467"/>
  <c r="S119" s="1"/>
  <c r="Q403"/>
  <c r="S103" s="1"/>
  <c r="Q803"/>
  <c r="S203" s="1"/>
  <c r="Q663"/>
  <c r="S168" s="1"/>
  <c r="Q599"/>
  <c r="S152" s="1"/>
  <c r="Q535"/>
  <c r="S136" s="1"/>
  <c r="Q471"/>
  <c r="S120" s="1"/>
  <c r="Q407"/>
  <c r="S104" s="1"/>
  <c r="Q343"/>
  <c r="S88" s="1"/>
  <c r="Q231"/>
  <c r="S60" s="1"/>
  <c r="Q167"/>
  <c r="S44" s="1"/>
  <c r="Q103"/>
  <c r="S28" s="1"/>
  <c r="Q39"/>
  <c r="S12" s="1"/>
  <c r="Q219"/>
  <c r="S57" s="1"/>
  <c r="Q155"/>
  <c r="S41" s="1"/>
  <c r="Q91"/>
  <c r="S25" s="1"/>
  <c r="Q331"/>
  <c r="S85" s="1"/>
  <c r="Q271"/>
  <c r="S70" s="1"/>
  <c r="Q207"/>
  <c r="S54" s="1"/>
  <c r="Q143"/>
  <c r="S38" s="1"/>
  <c r="Q79"/>
  <c r="S22" s="1"/>
  <c r="Q323"/>
  <c r="S83" s="1"/>
  <c r="Q275"/>
  <c r="S71" s="1"/>
  <c r="Q211"/>
  <c r="S55" s="1"/>
  <c r="Q147"/>
  <c r="S39" s="1"/>
  <c r="Q83"/>
  <c r="S23" s="1"/>
  <c r="Q3"/>
  <c r="S3" s="1"/>
  <c r="Q1099"/>
  <c r="S277" s="1"/>
  <c r="Q1035"/>
  <c r="S261" s="1"/>
  <c r="Q971"/>
  <c r="S245" s="1"/>
  <c r="Q907"/>
  <c r="S229" s="1"/>
  <c r="Q843"/>
  <c r="S213" s="1"/>
  <c r="Q1071"/>
  <c r="S270" s="1"/>
  <c r="Q1007"/>
  <c r="S254" s="1"/>
  <c r="Q943"/>
  <c r="S238" s="1"/>
  <c r="Q879"/>
  <c r="S222" s="1"/>
  <c r="Q815"/>
  <c r="S206" s="1"/>
  <c r="Q767"/>
  <c r="S194" s="1"/>
  <c r="Q1059"/>
  <c r="S267" s="1"/>
  <c r="Q995"/>
  <c r="S251" s="1"/>
  <c r="Q931"/>
  <c r="S235" s="1"/>
  <c r="Q867"/>
  <c r="S219" s="1"/>
  <c r="Q1079"/>
  <c r="S272" s="1"/>
  <c r="Q1015"/>
  <c r="S256" s="1"/>
  <c r="Q951"/>
  <c r="S240" s="1"/>
  <c r="Q887"/>
  <c r="S224" s="1"/>
  <c r="Q823"/>
  <c r="S208" s="1"/>
  <c r="Q759"/>
  <c r="S192" s="1"/>
  <c r="Q763"/>
  <c r="S193" s="1"/>
  <c r="Q699"/>
  <c r="S177" s="1"/>
  <c r="Q635"/>
  <c r="S161" s="1"/>
  <c r="Q571"/>
  <c r="S145" s="1"/>
  <c r="Q507"/>
  <c r="S129" s="1"/>
  <c r="Q443"/>
  <c r="S113" s="1"/>
  <c r="Q379"/>
  <c r="S97" s="1"/>
  <c r="Q723"/>
  <c r="S183" s="1"/>
  <c r="Q687"/>
  <c r="S174" s="1"/>
  <c r="Q623"/>
  <c r="S158" s="1"/>
  <c r="Q559"/>
  <c r="S142" s="1"/>
  <c r="Q495"/>
  <c r="S126" s="1"/>
  <c r="Q431"/>
  <c r="S110" s="1"/>
  <c r="Q367"/>
  <c r="S94" s="1"/>
  <c r="Q319"/>
  <c r="S82" s="1"/>
  <c r="Q715"/>
  <c r="S181" s="1"/>
  <c r="Q691"/>
  <c r="S175" s="1"/>
  <c r="Q627"/>
  <c r="S159" s="1"/>
  <c r="Q563"/>
  <c r="S143" s="1"/>
  <c r="Q499"/>
  <c r="S127" s="1"/>
  <c r="Q435"/>
  <c r="S111" s="1"/>
  <c r="Q371"/>
  <c r="S95" s="1"/>
  <c r="Q739"/>
  <c r="S187" s="1"/>
  <c r="Q695"/>
  <c r="S176" s="1"/>
  <c r="Q631"/>
  <c r="S160" s="1"/>
  <c r="Q567"/>
  <c r="S144" s="1"/>
  <c r="Q503"/>
  <c r="S128" s="1"/>
  <c r="Q439"/>
  <c r="S112" s="1"/>
  <c r="Q375"/>
  <c r="S96" s="1"/>
  <c r="Q311"/>
  <c r="S80" s="1"/>
  <c r="Q279"/>
  <c r="S72" s="1"/>
  <c r="Q315"/>
  <c r="S81" s="1"/>
  <c r="Q263"/>
  <c r="S68" s="1"/>
  <c r="Q199"/>
  <c r="S52" s="1"/>
  <c r="Q135"/>
  <c r="S36" s="1"/>
  <c r="Q71"/>
  <c r="S20" s="1"/>
  <c r="Q307"/>
  <c r="S79" s="1"/>
  <c r="Q251"/>
  <c r="S65" s="1"/>
  <c r="Q187"/>
  <c r="S49" s="1"/>
  <c r="Q123"/>
  <c r="S33" s="1"/>
  <c r="Q59"/>
  <c r="S17" s="1"/>
  <c r="Q239"/>
  <c r="S62" s="1"/>
  <c r="Q175"/>
  <c r="S46" s="1"/>
  <c r="Q111"/>
  <c r="S30" s="1"/>
  <c r="Q47"/>
  <c r="S14" s="1"/>
  <c r="Q243"/>
  <c r="S63" s="1"/>
  <c r="Q179"/>
  <c r="S47" s="1"/>
  <c r="Q115"/>
  <c r="S31" s="1"/>
  <c r="Q51"/>
  <c r="S15" s="1"/>
  <c r="Q23"/>
  <c r="S8" s="1"/>
  <c r="Q27"/>
  <c r="S9" s="1"/>
  <c r="Q19"/>
  <c r="S7" s="1"/>
  <c r="Q1115"/>
  <c r="S281" s="1"/>
  <c r="Q1051"/>
  <c r="S265" s="1"/>
  <c r="Q987"/>
  <c r="S249" s="1"/>
  <c r="Q923"/>
  <c r="S233" s="1"/>
  <c r="Q859"/>
  <c r="S217" s="1"/>
  <c r="Q1087"/>
  <c r="S274" s="1"/>
  <c r="Q1023"/>
  <c r="S258" s="1"/>
  <c r="Q959"/>
  <c r="S242" s="1"/>
  <c r="Q895"/>
  <c r="S226" s="1"/>
  <c r="Q831"/>
  <c r="S210" s="1"/>
  <c r="Q751"/>
  <c r="S190" s="1"/>
  <c r="Q1075"/>
  <c r="S271" s="1"/>
  <c r="Q1011"/>
  <c r="S255" s="1"/>
  <c r="Q947"/>
  <c r="S239" s="1"/>
  <c r="Q883"/>
  <c r="S223" s="1"/>
  <c r="Q819"/>
  <c r="S207" s="1"/>
  <c r="Q1095"/>
  <c r="S276" s="1"/>
  <c r="Q1031"/>
  <c r="S260" s="1"/>
  <c r="Q967"/>
  <c r="S244" s="1"/>
  <c r="Q903"/>
  <c r="S228" s="1"/>
  <c r="Q839"/>
  <c r="S212" s="1"/>
  <c r="Q807"/>
  <c r="S204" s="1"/>
  <c r="Q743"/>
  <c r="S188" s="1"/>
  <c r="Q795"/>
  <c r="S201" s="1"/>
  <c r="Q651"/>
  <c r="S165" s="1"/>
  <c r="Q587"/>
  <c r="S149" s="1"/>
  <c r="Q523"/>
  <c r="S133" s="1"/>
  <c r="Q459"/>
  <c r="S117" s="1"/>
  <c r="Q395"/>
  <c r="S101" s="1"/>
  <c r="Q755"/>
  <c r="S191" s="1"/>
  <c r="Q703"/>
  <c r="S178" s="1"/>
  <c r="Q639"/>
  <c r="S162" s="1"/>
  <c r="Q575"/>
  <c r="S146" s="1"/>
  <c r="Q511"/>
  <c r="S130" s="1"/>
  <c r="Q447"/>
  <c r="S114" s="1"/>
  <c r="Q383"/>
  <c r="S98" s="1"/>
  <c r="Q303"/>
  <c r="S78" s="1"/>
  <c r="Q747"/>
  <c r="S189" s="1"/>
  <c r="Q707"/>
  <c r="S179" s="1"/>
  <c r="Q643"/>
  <c r="S163" s="1"/>
  <c r="Q579"/>
  <c r="S147" s="1"/>
  <c r="Q515"/>
  <c r="S131" s="1"/>
  <c r="Q451"/>
  <c r="S115" s="1"/>
  <c r="Q387"/>
  <c r="S99" s="1"/>
  <c r="Q771"/>
  <c r="S195" s="1"/>
  <c r="Q711"/>
  <c r="S180" s="1"/>
  <c r="Q647"/>
  <c r="S164" s="1"/>
  <c r="Q583"/>
  <c r="S148" s="1"/>
  <c r="Q519"/>
  <c r="S132" s="1"/>
  <c r="Q455"/>
  <c r="S116" s="1"/>
  <c r="Q391"/>
  <c r="S100" s="1"/>
  <c r="Q295"/>
  <c r="S76" s="1"/>
  <c r="Q347"/>
  <c r="S89" s="1"/>
  <c r="Q215"/>
  <c r="S56" s="1"/>
  <c r="Q151"/>
  <c r="S40" s="1"/>
  <c r="Q87"/>
  <c r="S24" s="1"/>
  <c r="Q339"/>
  <c r="S87" s="1"/>
  <c r="Q267"/>
  <c r="S69" s="1"/>
  <c r="Q203"/>
  <c r="S53" s="1"/>
  <c r="Q139"/>
  <c r="S37" s="1"/>
  <c r="Q75"/>
  <c r="S21" s="1"/>
  <c r="Q299"/>
  <c r="S77" s="1"/>
  <c r="Q255"/>
  <c r="S66" s="1"/>
  <c r="Q191"/>
  <c r="S50" s="1"/>
  <c r="Q127"/>
  <c r="S34" s="1"/>
  <c r="Q63"/>
  <c r="S18" s="1"/>
  <c r="Q291"/>
  <c r="S75" s="1"/>
  <c r="Q259"/>
  <c r="S67" s="1"/>
  <c r="Q195"/>
  <c r="S51" s="1"/>
  <c r="Q131"/>
  <c r="S35" s="1"/>
  <c r="Q67"/>
  <c r="S19" s="1"/>
  <c r="U4" l="1"/>
  <c r="U3"/>
  <c r="AA10" l="1"/>
  <c r="T263"/>
  <c r="T154"/>
  <c r="T48"/>
  <c r="T209"/>
  <c r="T220"/>
  <c r="T139"/>
  <c r="T4"/>
  <c r="T10"/>
  <c r="T109"/>
  <c r="T231"/>
  <c r="T122"/>
  <c r="T45"/>
  <c r="T16"/>
  <c r="T241"/>
  <c r="T252"/>
  <c r="T171"/>
  <c r="T59"/>
  <c r="T218"/>
  <c r="T141"/>
  <c r="T124"/>
  <c r="T273"/>
  <c r="T215"/>
  <c r="T106"/>
  <c r="T58"/>
  <c r="T6"/>
  <c r="T107"/>
  <c r="T182"/>
  <c r="T93"/>
  <c r="T92"/>
  <c r="T29"/>
  <c r="T140"/>
  <c r="T247"/>
  <c r="T138"/>
  <c r="T61"/>
  <c r="T282"/>
  <c r="T196"/>
  <c r="T123"/>
  <c r="T5"/>
  <c r="T279"/>
  <c r="T170"/>
  <c r="T64"/>
  <c r="T27"/>
  <c r="T73"/>
  <c r="T250"/>
  <c r="T173"/>
  <c r="T172"/>
  <c r="T13"/>
  <c r="T84"/>
  <c r="T198"/>
  <c r="T125"/>
  <c r="T108"/>
  <c r="T257"/>
  <c r="T268"/>
  <c r="T86"/>
  <c r="T42"/>
  <c r="T234"/>
  <c r="T157"/>
  <c r="T156"/>
  <c r="T11"/>
  <c r="T26"/>
  <c r="T225"/>
  <c r="T236"/>
  <c r="T155"/>
  <c r="T43"/>
  <c r="T32"/>
  <c r="T266"/>
  <c r="T185"/>
  <c r="T91"/>
  <c r="T186"/>
  <c r="T121"/>
  <c r="T203"/>
  <c r="T54"/>
  <c r="T267"/>
  <c r="T97"/>
  <c r="T187"/>
  <c r="T49"/>
  <c r="T249"/>
  <c r="T244"/>
  <c r="T114"/>
  <c r="T100"/>
  <c r="T75"/>
  <c r="T202"/>
  <c r="T137"/>
  <c r="T103"/>
  <c r="T70"/>
  <c r="T254"/>
  <c r="T177"/>
  <c r="T159"/>
  <c r="T52"/>
  <c r="T8"/>
  <c r="T239"/>
  <c r="T191"/>
  <c r="T180"/>
  <c r="T77"/>
  <c r="T278"/>
  <c r="T216"/>
  <c r="T197"/>
  <c r="T12"/>
  <c r="T261"/>
  <c r="T240"/>
  <c r="T110"/>
  <c r="T96"/>
  <c r="T14"/>
  <c r="T226"/>
  <c r="T165"/>
  <c r="T147"/>
  <c r="T87"/>
  <c r="T269"/>
  <c r="T211"/>
  <c r="T134"/>
  <c r="T104"/>
  <c r="T55"/>
  <c r="T251"/>
  <c r="T183"/>
  <c r="T176"/>
  <c r="T33"/>
  <c r="T233"/>
  <c r="T228"/>
  <c r="T98"/>
  <c r="T76"/>
  <c r="T67"/>
  <c r="T246"/>
  <c r="T184"/>
  <c r="T151"/>
  <c r="T41"/>
  <c r="T238"/>
  <c r="T161"/>
  <c r="T143"/>
  <c r="T36"/>
  <c r="T9"/>
  <c r="T223"/>
  <c r="T178"/>
  <c r="T164"/>
  <c r="T66"/>
  <c r="T262"/>
  <c r="T200"/>
  <c r="T167"/>
  <c r="T57"/>
  <c r="T245"/>
  <c r="T224"/>
  <c r="T94"/>
  <c r="T80"/>
  <c r="T63"/>
  <c r="T210"/>
  <c r="T149"/>
  <c r="T131"/>
  <c r="T69"/>
  <c r="T253"/>
  <c r="T280"/>
  <c r="T118"/>
  <c r="T88"/>
  <c r="T39"/>
  <c r="T235"/>
  <c r="T174"/>
  <c r="T160"/>
  <c r="T17"/>
  <c r="T217"/>
  <c r="T212"/>
  <c r="T78"/>
  <c r="T89"/>
  <c r="T51"/>
  <c r="T275"/>
  <c r="T105"/>
  <c r="T168"/>
  <c r="T38"/>
  <c r="T222"/>
  <c r="T145"/>
  <c r="T127"/>
  <c r="T20"/>
  <c r="T7"/>
  <c r="T207"/>
  <c r="T162"/>
  <c r="T148"/>
  <c r="T50"/>
  <c r="T221"/>
  <c r="T248"/>
  <c r="T90"/>
  <c r="T44"/>
  <c r="T229"/>
  <c r="T208"/>
  <c r="T82"/>
  <c r="T72"/>
  <c r="T47"/>
  <c r="T190"/>
  <c r="T133"/>
  <c r="T115"/>
  <c r="T53"/>
  <c r="T237"/>
  <c r="T264"/>
  <c r="T102"/>
  <c r="T60"/>
  <c r="T23"/>
  <c r="T219"/>
  <c r="T158"/>
  <c r="T144"/>
  <c r="T62"/>
  <c r="T274"/>
  <c r="T204"/>
  <c r="T189"/>
  <c r="T56"/>
  <c r="T35"/>
  <c r="T259"/>
  <c r="T199"/>
  <c r="T152"/>
  <c r="T22"/>
  <c r="T206"/>
  <c r="T129"/>
  <c r="T111"/>
  <c r="T79"/>
  <c r="T281"/>
  <c r="T276"/>
  <c r="T146"/>
  <c r="T132"/>
  <c r="T34"/>
  <c r="T230"/>
  <c r="T169"/>
  <c r="T135"/>
  <c r="T25"/>
  <c r="T213"/>
  <c r="T192"/>
  <c r="T181"/>
  <c r="T81"/>
  <c r="T31"/>
  <c r="T271"/>
  <c r="T117"/>
  <c r="T99"/>
  <c r="T37"/>
  <c r="T227"/>
  <c r="T150"/>
  <c r="T120"/>
  <c r="T71"/>
  <c r="T272"/>
  <c r="T142"/>
  <c r="T128"/>
  <c r="T46"/>
  <c r="T258"/>
  <c r="T188"/>
  <c r="T179"/>
  <c r="T40"/>
  <c r="T19"/>
  <c r="T243"/>
  <c r="T166"/>
  <c r="T136"/>
  <c r="T83"/>
  <c r="T194"/>
  <c r="T113"/>
  <c r="T95"/>
  <c r="T65"/>
  <c r="T265"/>
  <c r="T260"/>
  <c r="T130"/>
  <c r="T116"/>
  <c r="T18"/>
  <c r="T214"/>
  <c r="T153"/>
  <c r="T119"/>
  <c r="T85"/>
  <c r="T270"/>
  <c r="T193"/>
  <c r="T175"/>
  <c r="T68"/>
  <c r="T15"/>
  <c r="T255"/>
  <c r="T101"/>
  <c r="T195"/>
  <c r="T21"/>
  <c r="T205"/>
  <c r="T232"/>
  <c r="T74"/>
  <c r="T28"/>
  <c r="T277"/>
  <c r="T256"/>
  <c r="T126"/>
  <c r="T112"/>
  <c r="T30"/>
  <c r="T242"/>
  <c r="T201"/>
  <c r="T163"/>
  <c r="T24"/>
  <c r="T3"/>
  <c r="Z9"/>
  <c r="AA27"/>
  <c r="AB20"/>
  <c r="Z8"/>
  <c r="Y16"/>
  <c r="AC8"/>
  <c r="X33"/>
  <c r="AB22"/>
  <c r="AD19"/>
  <c r="AA28"/>
  <c r="AE25"/>
  <c r="AB34"/>
  <c r="X17"/>
  <c r="AC37"/>
  <c r="Z19"/>
  <c r="AE6"/>
  <c r="AB36"/>
  <c r="AD32"/>
  <c r="Z6"/>
  <c r="Z12"/>
  <c r="AA24"/>
  <c r="AE31"/>
  <c r="AD12"/>
  <c r="AA22"/>
  <c r="AD23"/>
  <c r="AB8"/>
  <c r="AC33"/>
  <c r="AD25"/>
  <c r="AD7"/>
  <c r="AC31"/>
  <c r="AA6"/>
  <c r="AE36"/>
  <c r="AB6"/>
  <c r="X34"/>
  <c r="AB5"/>
  <c r="X20"/>
  <c r="AC26"/>
  <c r="Y32"/>
  <c r="AC15"/>
  <c r="AC18"/>
  <c r="AB35"/>
  <c r="Y33"/>
  <c r="X15"/>
  <c r="AE10"/>
  <c r="Z31"/>
  <c r="AC20"/>
  <c r="X21"/>
  <c r="AD3"/>
  <c r="AC17"/>
  <c r="AC6"/>
  <c r="Z11"/>
  <c r="X7"/>
  <c r="AD18"/>
  <c r="AB23"/>
  <c r="Y15"/>
  <c r="AE27"/>
  <c r="Y12"/>
  <c r="Y18"/>
  <c r="AE16"/>
  <c r="AD30"/>
  <c r="AA5"/>
  <c r="Z26"/>
  <c r="X14"/>
  <c r="AD16"/>
  <c r="AB25"/>
  <c r="AB7"/>
  <c r="Z17"/>
  <c r="AE32"/>
  <c r="AE11"/>
  <c r="AA21"/>
  <c r="AA7"/>
  <c r="X30"/>
  <c r="AC32"/>
  <c r="Z28"/>
  <c r="X24"/>
  <c r="AE22"/>
  <c r="Y37"/>
  <c r="AE8"/>
  <c r="AE33"/>
  <c r="AD4"/>
  <c r="AE14"/>
  <c r="AE35"/>
  <c r="AD6"/>
  <c r="AB13"/>
  <c r="AC24"/>
  <c r="AA13"/>
  <c r="AC22"/>
  <c r="AA14"/>
  <c r="AB12"/>
  <c r="Z18"/>
  <c r="X12"/>
  <c r="Z15"/>
  <c r="X22"/>
  <c r="Y4"/>
  <c r="AE28"/>
  <c r="AC34"/>
  <c r="AD24"/>
  <c r="AE34"/>
  <c r="AD5"/>
  <c r="AD10"/>
  <c r="AB17"/>
  <c r="Z23"/>
  <c r="AA17"/>
  <c r="AB15"/>
  <c r="Z21"/>
  <c r="AA19"/>
  <c r="Z3"/>
  <c r="X16"/>
  <c r="X13"/>
  <c r="X10"/>
  <c r="X11"/>
  <c r="AE24"/>
  <c r="AC30"/>
  <c r="AD20"/>
  <c r="AE30"/>
  <c r="AC36"/>
  <c r="AD22"/>
  <c r="AB29"/>
  <c r="Z35"/>
  <c r="AA29"/>
  <c r="Z4"/>
  <c r="AA30"/>
  <c r="AB28"/>
  <c r="Z34"/>
  <c r="X28"/>
  <c r="X25"/>
  <c r="Y3"/>
  <c r="Y20"/>
  <c r="X4"/>
  <c r="AD15"/>
  <c r="AE5"/>
  <c r="AC7"/>
  <c r="AD21"/>
  <c r="AD26"/>
  <c r="AB33"/>
  <c r="AA4"/>
  <c r="AA33"/>
  <c r="AB31"/>
  <c r="Z37"/>
  <c r="AA35"/>
  <c r="Z14"/>
  <c r="X32"/>
  <c r="X29"/>
  <c r="X26"/>
  <c r="X27"/>
  <c r="X3"/>
  <c r="AD11"/>
  <c r="AD36"/>
  <c r="AC11"/>
  <c r="AD17"/>
  <c r="AE3"/>
  <c r="AC9"/>
  <c r="AA16"/>
  <c r="AB10"/>
  <c r="Z20"/>
  <c r="AB11"/>
  <c r="AC28"/>
  <c r="AA15"/>
  <c r="Y9"/>
  <c r="Y6"/>
  <c r="Y19"/>
  <c r="Y36"/>
  <c r="AD31"/>
  <c r="AE21"/>
  <c r="AC23"/>
  <c r="AD37"/>
  <c r="AE7"/>
  <c r="AC10"/>
  <c r="AA20"/>
  <c r="AB14"/>
  <c r="Z16"/>
  <c r="AA18"/>
  <c r="AB16"/>
  <c r="Z22"/>
  <c r="Y13"/>
  <c r="Y10"/>
  <c r="Y7"/>
  <c r="Y8"/>
  <c r="X6"/>
  <c r="AD27"/>
  <c r="AE17"/>
  <c r="AC27"/>
  <c r="AD33"/>
  <c r="AE19"/>
  <c r="AC25"/>
  <c r="AA32"/>
  <c r="AB26"/>
  <c r="Z32"/>
  <c r="AB27"/>
  <c r="Z33"/>
  <c r="AA31"/>
  <c r="Y25"/>
  <c r="Y22"/>
  <c r="Y35"/>
  <c r="Z13"/>
  <c r="X23"/>
  <c r="AE12"/>
  <c r="AE37"/>
  <c r="AD8"/>
  <c r="AE18"/>
  <c r="AE23"/>
  <c r="AC21"/>
  <c r="AA36"/>
  <c r="AB30"/>
  <c r="Z36"/>
  <c r="AA34"/>
  <c r="AB32"/>
  <c r="AA3"/>
  <c r="Y29"/>
  <c r="Y26"/>
  <c r="Y23"/>
  <c r="Y24"/>
  <c r="X5"/>
  <c r="AD9"/>
  <c r="AB18"/>
  <c r="AB4"/>
  <c r="Y27"/>
  <c r="AE29"/>
  <c r="AC29"/>
  <c r="AC14"/>
  <c r="Y21"/>
  <c r="X35"/>
  <c r="AA37"/>
  <c r="AA23"/>
  <c r="Y11"/>
  <c r="AE13"/>
  <c r="AC13"/>
  <c r="AC4"/>
  <c r="Y5"/>
  <c r="X19"/>
  <c r="AC19"/>
  <c r="AA8"/>
  <c r="Z25"/>
  <c r="Y30"/>
  <c r="AE20"/>
  <c r="AE15"/>
  <c r="AA25"/>
  <c r="AA11"/>
  <c r="X18"/>
  <c r="Z27"/>
  <c r="AC12"/>
  <c r="Y14"/>
  <c r="AE4"/>
  <c r="AD34"/>
  <c r="AA9"/>
  <c r="Z30"/>
  <c r="Z5"/>
  <c r="AE9"/>
  <c r="AB37"/>
  <c r="AB19"/>
  <c r="Y17"/>
  <c r="X8"/>
  <c r="AD29"/>
  <c r="AC16"/>
  <c r="AC5"/>
  <c r="Z7"/>
  <c r="X31"/>
  <c r="AE26"/>
  <c r="AA12"/>
  <c r="Z29"/>
  <c r="X37"/>
  <c r="AD28"/>
  <c r="AB21"/>
  <c r="AB3"/>
  <c r="X36"/>
  <c r="X9"/>
  <c r="AD13"/>
  <c r="AC3"/>
  <c r="AB24"/>
  <c r="Y31"/>
  <c r="AD35"/>
  <c r="AD14"/>
  <c r="Z24"/>
  <c r="Z10"/>
  <c r="Y28"/>
  <c r="AC35"/>
  <c r="AB9"/>
  <c r="AA26"/>
  <c r="Y34"/>
  <c r="Q12" i="4" l="1"/>
  <c r="Q13"/>
  <c r="Q14"/>
  <c r="Q15"/>
  <c r="Q16"/>
  <c r="Q17"/>
  <c r="Q18"/>
  <c r="Q11"/>
  <c r="P18"/>
  <c r="P17"/>
  <c r="P16"/>
  <c r="P15"/>
  <c r="P14"/>
  <c r="P13"/>
  <c r="P12"/>
  <c r="P11"/>
  <c r="O12"/>
  <c r="O13"/>
  <c r="O14"/>
  <c r="O15"/>
  <c r="O16"/>
  <c r="O17"/>
  <c r="O18"/>
  <c r="O11"/>
  <c r="P2" i="1"/>
  <c r="P3"/>
  <c r="P4"/>
  <c r="P5"/>
  <c r="P6"/>
  <c r="P7"/>
  <c r="P8"/>
  <c r="P9"/>
  <c r="W37" i="2"/>
  <c r="X37"/>
  <c r="Y37"/>
  <c r="W38"/>
  <c r="X38"/>
  <c r="Y38"/>
  <c r="W39"/>
  <c r="X39"/>
  <c r="Y39"/>
  <c r="W40"/>
  <c r="X40"/>
  <c r="Y40"/>
  <c r="W41"/>
  <c r="X41"/>
  <c r="Y41"/>
  <c r="W42"/>
  <c r="X42"/>
  <c r="Y42"/>
  <c r="W43"/>
  <c r="X43"/>
  <c r="Y43"/>
  <c r="W44"/>
  <c r="X44"/>
  <c r="Y44"/>
  <c r="W45"/>
  <c r="X45"/>
  <c r="Y45"/>
  <c r="W46"/>
  <c r="X46"/>
  <c r="Y46"/>
  <c r="W47"/>
  <c r="X47"/>
  <c r="Y47"/>
  <c r="W48"/>
  <c r="X48"/>
  <c r="Y48"/>
  <c r="W49"/>
  <c r="X49"/>
  <c r="Y49"/>
  <c r="W50"/>
  <c r="X50"/>
  <c r="Y50"/>
  <c r="W51"/>
  <c r="X51"/>
  <c r="Y51"/>
  <c r="W52"/>
  <c r="X52"/>
  <c r="Y52"/>
  <c r="W53"/>
  <c r="X53"/>
  <c r="Y53"/>
  <c r="W54"/>
  <c r="X54"/>
  <c r="Y54"/>
  <c r="W55"/>
  <c r="X55"/>
  <c r="Y55"/>
  <c r="W56"/>
  <c r="X56"/>
  <c r="Y56"/>
  <c r="W57"/>
  <c r="X57"/>
  <c r="Y57"/>
  <c r="W58"/>
  <c r="X58"/>
  <c r="Y58"/>
  <c r="W59"/>
  <c r="X59"/>
  <c r="Y59"/>
  <c r="W60"/>
  <c r="X60"/>
  <c r="Y60"/>
  <c r="W61"/>
  <c r="X61"/>
  <c r="Y61"/>
  <c r="W62"/>
  <c r="X62"/>
  <c r="Y62"/>
  <c r="W63"/>
  <c r="X63"/>
  <c r="Y63"/>
  <c r="W64"/>
  <c r="X64"/>
  <c r="Y64"/>
  <c r="W65"/>
  <c r="X65"/>
  <c r="Y65"/>
  <c r="W66"/>
  <c r="X66"/>
  <c r="Y66"/>
  <c r="W67"/>
  <c r="X67"/>
  <c r="Y67"/>
  <c r="W68"/>
  <c r="X68"/>
  <c r="Y68"/>
  <c r="W69"/>
  <c r="X69"/>
  <c r="Y69"/>
  <c r="W70"/>
  <c r="X70"/>
  <c r="Y70"/>
  <c r="W20"/>
  <c r="X20"/>
  <c r="Y20"/>
  <c r="W21"/>
  <c r="X21"/>
  <c r="Y21"/>
  <c r="W22"/>
  <c r="X22"/>
  <c r="Y22"/>
  <c r="W23"/>
  <c r="X23"/>
  <c r="Y23"/>
  <c r="W24"/>
  <c r="X24"/>
  <c r="Y24"/>
  <c r="W25"/>
  <c r="X25"/>
  <c r="Y25"/>
  <c r="W26"/>
  <c r="X26"/>
  <c r="Y26"/>
  <c r="W27"/>
  <c r="X27"/>
  <c r="Y27"/>
  <c r="W28"/>
  <c r="X28"/>
  <c r="Y28"/>
  <c r="W29"/>
  <c r="X29"/>
  <c r="Y29"/>
  <c r="W30"/>
  <c r="X30"/>
  <c r="Y30"/>
  <c r="W31"/>
  <c r="X31"/>
  <c r="Y31"/>
  <c r="W32"/>
  <c r="X32"/>
  <c r="Y32"/>
  <c r="W33"/>
  <c r="X33"/>
  <c r="Y33"/>
  <c r="W34"/>
  <c r="X34"/>
  <c r="Y34"/>
  <c r="W35"/>
  <c r="X35"/>
  <c r="Y35"/>
  <c r="W36"/>
  <c r="X36"/>
  <c r="Y36"/>
  <c r="W12"/>
  <c r="X12"/>
  <c r="Y12"/>
  <c r="W13"/>
  <c r="X13"/>
  <c r="Y13"/>
  <c r="W14"/>
  <c r="X14"/>
  <c r="Y14"/>
  <c r="W15"/>
  <c r="X15"/>
  <c r="Y15"/>
  <c r="W16"/>
  <c r="X16"/>
  <c r="Y16"/>
  <c r="W17"/>
  <c r="X17"/>
  <c r="Y17"/>
  <c r="W18"/>
  <c r="X18"/>
  <c r="Y18"/>
  <c r="W19"/>
  <c r="X19"/>
  <c r="Y19"/>
  <c r="X11"/>
  <c r="Y11"/>
  <c r="W11"/>
  <c r="R3" i="4"/>
  <c r="R4"/>
  <c r="R5"/>
  <c r="R6"/>
  <c r="R7"/>
  <c r="R8"/>
  <c r="R9"/>
  <c r="R2"/>
  <c r="U6"/>
  <c r="U7"/>
  <c r="O3"/>
  <c r="O4"/>
  <c r="O5"/>
  <c r="O6"/>
  <c r="O7"/>
  <c r="O8"/>
  <c r="O9"/>
  <c r="O2"/>
  <c r="U3"/>
  <c r="U8"/>
  <c r="V3" i="1"/>
  <c r="V4"/>
  <c r="V5"/>
  <c r="V6"/>
  <c r="V7"/>
  <c r="V8"/>
  <c r="V9"/>
  <c r="V2"/>
  <c r="AB16" i="2" l="1"/>
  <c r="AB12"/>
  <c r="AB33"/>
  <c r="AB29"/>
  <c r="AB25"/>
  <c r="AB46"/>
  <c r="AB68"/>
  <c r="AB38"/>
  <c r="AB18"/>
  <c r="AB17"/>
  <c r="AB13"/>
  <c r="AB34"/>
  <c r="AB30"/>
  <c r="AB26"/>
  <c r="AB22"/>
  <c r="AB69"/>
  <c r="AB65"/>
  <c r="AB61"/>
  <c r="AB57"/>
  <c r="AB53"/>
  <c r="AB49"/>
  <c r="AB45"/>
  <c r="AB41"/>
  <c r="AB37"/>
  <c r="AB21"/>
  <c r="AB64"/>
  <c r="AB60"/>
  <c r="AB56"/>
  <c r="AB52"/>
  <c r="AB48"/>
  <c r="AB44"/>
  <c r="AB40"/>
  <c r="AB19"/>
  <c r="AB15"/>
  <c r="AB36"/>
  <c r="AB32"/>
  <c r="AB28"/>
  <c r="AB24"/>
  <c r="AB20"/>
  <c r="AB67"/>
  <c r="AB63"/>
  <c r="AB59"/>
  <c r="AB55"/>
  <c r="AB51"/>
  <c r="AB47"/>
  <c r="AB43"/>
  <c r="AB39"/>
  <c r="AB14"/>
  <c r="AB35"/>
  <c r="AB31"/>
  <c r="AB27"/>
  <c r="AB23"/>
  <c r="AB70"/>
  <c r="AB66"/>
  <c r="AB62"/>
  <c r="AB58"/>
  <c r="AB54"/>
  <c r="AB50"/>
  <c r="AB42"/>
  <c r="AB11"/>
  <c r="Q3" i="4"/>
  <c r="Q8"/>
  <c r="S4"/>
  <c r="S5"/>
  <c r="S3"/>
  <c r="S2"/>
  <c r="P3"/>
  <c r="P4"/>
  <c r="U4" s="1"/>
  <c r="P5"/>
  <c r="U5" s="1"/>
  <c r="P6"/>
  <c r="P7"/>
  <c r="P8"/>
  <c r="P9"/>
  <c r="U9" s="1"/>
  <c r="P2"/>
  <c r="U2" s="1"/>
  <c r="AD70" i="2" l="1"/>
  <c r="AD66"/>
  <c r="AC62"/>
  <c r="AD58"/>
  <c r="AD54"/>
  <c r="AC50"/>
  <c r="AC46"/>
  <c r="AC42"/>
  <c r="AD38"/>
  <c r="AC34"/>
  <c r="AD30"/>
  <c r="AC26"/>
  <c r="AD63"/>
  <c r="AD59"/>
  <c r="AC55"/>
  <c r="AC51"/>
  <c r="AC47"/>
  <c r="AD43"/>
  <c r="AD39"/>
  <c r="AC20"/>
  <c r="AC16"/>
  <c r="AC12"/>
  <c r="AD11"/>
  <c r="Q7" i="4"/>
  <c r="Q4"/>
  <c r="Q9"/>
  <c r="Q5"/>
  <c r="Q6"/>
  <c r="Q2"/>
  <c r="F3"/>
  <c r="L3" s="1"/>
  <c r="F7"/>
  <c r="F8"/>
  <c r="L8" s="1"/>
  <c r="E2"/>
  <c r="G2" s="1"/>
  <c r="J2" s="1"/>
  <c r="M2" s="1"/>
  <c r="E4"/>
  <c r="G4" s="1"/>
  <c r="J4" s="1"/>
  <c r="M4" s="1"/>
  <c r="E5"/>
  <c r="G5" s="1"/>
  <c r="J5" s="1"/>
  <c r="M5" s="1"/>
  <c r="E6"/>
  <c r="F6" s="1"/>
  <c r="E7"/>
  <c r="E9"/>
  <c r="G9" s="1"/>
  <c r="J9" s="1"/>
  <c r="M9" s="1"/>
  <c r="G3"/>
  <c r="G6"/>
  <c r="G7"/>
  <c r="G8"/>
  <c r="J8" i="2"/>
  <c r="I8"/>
  <c r="H8"/>
  <c r="G8"/>
  <c r="O12" i="1"/>
  <c r="O13"/>
  <c r="O14"/>
  <c r="O16"/>
  <c r="O17"/>
  <c r="O18"/>
  <c r="O20"/>
  <c r="O21"/>
  <c r="O22"/>
  <c r="O24"/>
  <c r="O25"/>
  <c r="O26"/>
  <c r="O28"/>
  <c r="O29"/>
  <c r="O30"/>
  <c r="O32"/>
  <c r="O33"/>
  <c r="O34"/>
  <c r="O36"/>
  <c r="O37"/>
  <c r="O38"/>
  <c r="O40"/>
  <c r="O41"/>
  <c r="O42"/>
  <c r="O44"/>
  <c r="O45"/>
  <c r="O46"/>
  <c r="O48"/>
  <c r="O49"/>
  <c r="O50"/>
  <c r="O52"/>
  <c r="O53"/>
  <c r="O54"/>
  <c r="O56"/>
  <c r="O57"/>
  <c r="O58"/>
  <c r="O60"/>
  <c r="O61"/>
  <c r="O62"/>
  <c r="O64"/>
  <c r="O65"/>
  <c r="O66"/>
  <c r="O68"/>
  <c r="O69"/>
  <c r="O70"/>
  <c r="O88"/>
  <c r="O89"/>
  <c r="O90"/>
  <c r="O92"/>
  <c r="O93"/>
  <c r="O94"/>
  <c r="O96"/>
  <c r="O97"/>
  <c r="O98"/>
  <c r="O100"/>
  <c r="O101"/>
  <c r="O102"/>
  <c r="O104"/>
  <c r="O105"/>
  <c r="O106"/>
  <c r="O108"/>
  <c r="O109"/>
  <c r="O110"/>
  <c r="O112"/>
  <c r="O113"/>
  <c r="O114"/>
  <c r="O116"/>
  <c r="O117"/>
  <c r="O118"/>
  <c r="O120"/>
  <c r="O121"/>
  <c r="O122"/>
  <c r="O124"/>
  <c r="O125"/>
  <c r="O126"/>
  <c r="O128"/>
  <c r="O129"/>
  <c r="O130"/>
  <c r="O132"/>
  <c r="O133"/>
  <c r="O134"/>
  <c r="O136"/>
  <c r="O137"/>
  <c r="O138"/>
  <c r="O140"/>
  <c r="O141"/>
  <c r="O142"/>
  <c r="O144"/>
  <c r="O145"/>
  <c r="O146"/>
  <c r="O148"/>
  <c r="O149"/>
  <c r="O150"/>
  <c r="O152"/>
  <c r="O153"/>
  <c r="O154"/>
  <c r="O156"/>
  <c r="O157"/>
  <c r="O158"/>
  <c r="O160"/>
  <c r="O161"/>
  <c r="O162"/>
  <c r="O164"/>
  <c r="O165"/>
  <c r="O166"/>
  <c r="O168"/>
  <c r="O169"/>
  <c r="O170"/>
  <c r="O172"/>
  <c r="O173"/>
  <c r="O174"/>
  <c r="O176"/>
  <c r="O177"/>
  <c r="O178"/>
  <c r="O180"/>
  <c r="O181"/>
  <c r="O182"/>
  <c r="O184"/>
  <c r="O185"/>
  <c r="O186"/>
  <c r="O188"/>
  <c r="O189"/>
  <c r="O190"/>
  <c r="O192"/>
  <c r="O193"/>
  <c r="O194"/>
  <c r="O196"/>
  <c r="O197"/>
  <c r="O198"/>
  <c r="O200"/>
  <c r="O201"/>
  <c r="O202"/>
  <c r="O204"/>
  <c r="O205"/>
  <c r="O206"/>
  <c r="O208"/>
  <c r="O209"/>
  <c r="O210"/>
  <c r="O212"/>
  <c r="O213"/>
  <c r="O214"/>
  <c r="O216"/>
  <c r="O217"/>
  <c r="O218"/>
  <c r="O220"/>
  <c r="O221"/>
  <c r="O222"/>
  <c r="O224"/>
  <c r="O225"/>
  <c r="O226"/>
  <c r="O228"/>
  <c r="O229"/>
  <c r="O230"/>
  <c r="O232"/>
  <c r="O233"/>
  <c r="O234"/>
  <c r="O236"/>
  <c r="O237"/>
  <c r="O238"/>
  <c r="O240"/>
  <c r="O241"/>
  <c r="O242"/>
  <c r="O244"/>
  <c r="O245"/>
  <c r="O246"/>
  <c r="O248"/>
  <c r="O249"/>
  <c r="O250"/>
  <c r="O252"/>
  <c r="O253"/>
  <c r="O254"/>
  <c r="O256"/>
  <c r="O257"/>
  <c r="O258"/>
  <c r="O260"/>
  <c r="O261"/>
  <c r="O262"/>
  <c r="O264"/>
  <c r="O265"/>
  <c r="O266"/>
  <c r="O268"/>
  <c r="O269"/>
  <c r="O270"/>
  <c r="O272"/>
  <c r="O273"/>
  <c r="O274"/>
  <c r="O276"/>
  <c r="O277"/>
  <c r="O278"/>
  <c r="O280"/>
  <c r="O281"/>
  <c r="O282"/>
  <c r="O284"/>
  <c r="O285"/>
  <c r="O286"/>
  <c r="O288"/>
  <c r="O289"/>
  <c r="O290"/>
  <c r="O292"/>
  <c r="O293"/>
  <c r="O294"/>
  <c r="O296"/>
  <c r="O297"/>
  <c r="O298"/>
  <c r="O300"/>
  <c r="O301"/>
  <c r="O302"/>
  <c r="O304"/>
  <c r="O305"/>
  <c r="O306"/>
  <c r="O308"/>
  <c r="O309"/>
  <c r="O310"/>
  <c r="O312"/>
  <c r="O313"/>
  <c r="O314"/>
  <c r="O316"/>
  <c r="O317"/>
  <c r="O318"/>
  <c r="O320"/>
  <c r="O321"/>
  <c r="O322"/>
  <c r="O324"/>
  <c r="O325"/>
  <c r="O326"/>
  <c r="O328"/>
  <c r="O329"/>
  <c r="O330"/>
  <c r="O332"/>
  <c r="O333"/>
  <c r="O334"/>
  <c r="O336"/>
  <c r="O337"/>
  <c r="O338"/>
  <c r="O340"/>
  <c r="O341"/>
  <c r="O342"/>
  <c r="O344"/>
  <c r="O345"/>
  <c r="O346"/>
  <c r="O348"/>
  <c r="O349"/>
  <c r="O350"/>
  <c r="O352"/>
  <c r="O353"/>
  <c r="O354"/>
  <c r="O356"/>
  <c r="O357"/>
  <c r="O358"/>
  <c r="O360"/>
  <c r="O361"/>
  <c r="O362"/>
  <c r="O364"/>
  <c r="O365"/>
  <c r="O366"/>
  <c r="O368"/>
  <c r="O369"/>
  <c r="O370"/>
  <c r="O372"/>
  <c r="O373"/>
  <c r="O374"/>
  <c r="O376"/>
  <c r="O377"/>
  <c r="O378"/>
  <c r="O380"/>
  <c r="O381"/>
  <c r="O382"/>
  <c r="O384"/>
  <c r="O385"/>
  <c r="O386"/>
  <c r="O388"/>
  <c r="O389"/>
  <c r="O390"/>
  <c r="O392"/>
  <c r="O393"/>
  <c r="O394"/>
  <c r="O396"/>
  <c r="O397"/>
  <c r="O398"/>
  <c r="O400"/>
  <c r="O401"/>
  <c r="O402"/>
  <c r="O404"/>
  <c r="O405"/>
  <c r="O406"/>
  <c r="O408"/>
  <c r="O409"/>
  <c r="O410"/>
  <c r="O412"/>
  <c r="O413"/>
  <c r="O414"/>
  <c r="O416"/>
  <c r="O417"/>
  <c r="O418"/>
  <c r="O420"/>
  <c r="O421"/>
  <c r="O422"/>
  <c r="O424"/>
  <c r="O425"/>
  <c r="O426"/>
  <c r="O428"/>
  <c r="O429"/>
  <c r="O430"/>
  <c r="O432"/>
  <c r="O433"/>
  <c r="O434"/>
  <c r="O436"/>
  <c r="O437"/>
  <c r="O438"/>
  <c r="O440"/>
  <c r="O441"/>
  <c r="O442"/>
  <c r="O444"/>
  <c r="O445"/>
  <c r="O446"/>
  <c r="O448"/>
  <c r="O449"/>
  <c r="O450"/>
  <c r="O452"/>
  <c r="O453"/>
  <c r="O454"/>
  <c r="O456"/>
  <c r="O457"/>
  <c r="O458"/>
  <c r="O460"/>
  <c r="O461"/>
  <c r="O462"/>
  <c r="O464"/>
  <c r="O465"/>
  <c r="O466"/>
  <c r="O468"/>
  <c r="O469"/>
  <c r="O470"/>
  <c r="O472"/>
  <c r="O473"/>
  <c r="O474"/>
  <c r="O476"/>
  <c r="O477"/>
  <c r="O478"/>
  <c r="O480"/>
  <c r="O481"/>
  <c r="O482"/>
  <c r="O484"/>
  <c r="O485"/>
  <c r="O486"/>
  <c r="O488"/>
  <c r="O489"/>
  <c r="O490"/>
  <c r="O492"/>
  <c r="O493"/>
  <c r="O494"/>
  <c r="O496"/>
  <c r="O497"/>
  <c r="O498"/>
  <c r="O500"/>
  <c r="O501"/>
  <c r="O502"/>
  <c r="O504"/>
  <c r="O505"/>
  <c r="O506"/>
  <c r="O508"/>
  <c r="O509"/>
  <c r="O510"/>
  <c r="O512"/>
  <c r="O513"/>
  <c r="O514"/>
  <c r="O516"/>
  <c r="O517"/>
  <c r="O518"/>
  <c r="O520"/>
  <c r="O521"/>
  <c r="O522"/>
  <c r="O524"/>
  <c r="O525"/>
  <c r="O526"/>
  <c r="O528"/>
  <c r="O529"/>
  <c r="O530"/>
  <c r="O532"/>
  <c r="O533"/>
  <c r="O534"/>
  <c r="O536"/>
  <c r="O537"/>
  <c r="O538"/>
  <c r="O540"/>
  <c r="O541"/>
  <c r="O542"/>
  <c r="O544"/>
  <c r="O545"/>
  <c r="O546"/>
  <c r="O548"/>
  <c r="O549"/>
  <c r="O550"/>
  <c r="O552"/>
  <c r="O553"/>
  <c r="O554"/>
  <c r="O556"/>
  <c r="O557"/>
  <c r="O558"/>
  <c r="O560"/>
  <c r="O561"/>
  <c r="O562"/>
  <c r="O564"/>
  <c r="O565"/>
  <c r="O566"/>
  <c r="O568"/>
  <c r="O569"/>
  <c r="O570"/>
  <c r="O572"/>
  <c r="O573"/>
  <c r="O574"/>
  <c r="O576"/>
  <c r="O577"/>
  <c r="O578"/>
  <c r="O580"/>
  <c r="O581"/>
  <c r="O582"/>
  <c r="O584"/>
  <c r="O585"/>
  <c r="O586"/>
  <c r="O588"/>
  <c r="O589"/>
  <c r="O590"/>
  <c r="O592"/>
  <c r="O593"/>
  <c r="O594"/>
  <c r="O596"/>
  <c r="O597"/>
  <c r="O598"/>
  <c r="O600"/>
  <c r="O601"/>
  <c r="O602"/>
  <c r="O604"/>
  <c r="O605"/>
  <c r="O606"/>
  <c r="O608"/>
  <c r="O609"/>
  <c r="O610"/>
  <c r="O612"/>
  <c r="O613"/>
  <c r="O614"/>
  <c r="O616"/>
  <c r="O617"/>
  <c r="O618"/>
  <c r="O620"/>
  <c r="O621"/>
  <c r="O622"/>
  <c r="O624"/>
  <c r="O625"/>
  <c r="O626"/>
  <c r="O628"/>
  <c r="O629"/>
  <c r="O630"/>
  <c r="O632"/>
  <c r="O633"/>
  <c r="O634"/>
  <c r="O636"/>
  <c r="O637"/>
  <c r="O638"/>
  <c r="O640"/>
  <c r="O641"/>
  <c r="O642"/>
  <c r="O644"/>
  <c r="O645"/>
  <c r="O646"/>
  <c r="O648"/>
  <c r="O649"/>
  <c r="O650"/>
  <c r="O652"/>
  <c r="O653"/>
  <c r="O654"/>
  <c r="O656"/>
  <c r="O657"/>
  <c r="O658"/>
  <c r="O660"/>
  <c r="O661"/>
  <c r="O662"/>
  <c r="O664"/>
  <c r="O665"/>
  <c r="O666"/>
  <c r="O668"/>
  <c r="O669"/>
  <c r="O670"/>
  <c r="O672"/>
  <c r="O673"/>
  <c r="O674"/>
  <c r="O676"/>
  <c r="O677"/>
  <c r="O678"/>
  <c r="O680"/>
  <c r="O681"/>
  <c r="O682"/>
  <c r="O684"/>
  <c r="O685"/>
  <c r="O686"/>
  <c r="O688"/>
  <c r="O689"/>
  <c r="O690"/>
  <c r="O692"/>
  <c r="O693"/>
  <c r="O694"/>
  <c r="O696"/>
  <c r="O697"/>
  <c r="O698"/>
  <c r="O700"/>
  <c r="O701"/>
  <c r="O702"/>
  <c r="O704"/>
  <c r="O705"/>
  <c r="O706"/>
  <c r="O708"/>
  <c r="O709"/>
  <c r="O710"/>
  <c r="O712"/>
  <c r="O713"/>
  <c r="O714"/>
  <c r="O716"/>
  <c r="O717"/>
  <c r="O718"/>
  <c r="O720"/>
  <c r="O721"/>
  <c r="O722"/>
  <c r="O724"/>
  <c r="O725"/>
  <c r="O726"/>
  <c r="O728"/>
  <c r="O729"/>
  <c r="O730"/>
  <c r="O732"/>
  <c r="O733"/>
  <c r="O734"/>
  <c r="O736"/>
  <c r="O737"/>
  <c r="O738"/>
  <c r="O740"/>
  <c r="O741"/>
  <c r="O742"/>
  <c r="O744"/>
  <c r="O745"/>
  <c r="O746"/>
  <c r="O748"/>
  <c r="O749"/>
  <c r="O750"/>
  <c r="O752"/>
  <c r="O753"/>
  <c r="O754"/>
  <c r="O756"/>
  <c r="O757"/>
  <c r="O758"/>
  <c r="O760"/>
  <c r="O761"/>
  <c r="O762"/>
  <c r="O764"/>
  <c r="O765"/>
  <c r="O766"/>
  <c r="O768"/>
  <c r="O769"/>
  <c r="O770"/>
  <c r="O772"/>
  <c r="O773"/>
  <c r="O774"/>
  <c r="O776"/>
  <c r="O777"/>
  <c r="O778"/>
  <c r="O780"/>
  <c r="O781"/>
  <c r="O782"/>
  <c r="O784"/>
  <c r="O785"/>
  <c r="O786"/>
  <c r="O788"/>
  <c r="O789"/>
  <c r="O790"/>
  <c r="O792"/>
  <c r="O793"/>
  <c r="O794"/>
  <c r="O796"/>
  <c r="O797"/>
  <c r="O798"/>
  <c r="O800"/>
  <c r="O801"/>
  <c r="O802"/>
  <c r="O804"/>
  <c r="O805"/>
  <c r="O806"/>
  <c r="O808"/>
  <c r="O809"/>
  <c r="O810"/>
  <c r="O812"/>
  <c r="O813"/>
  <c r="O814"/>
  <c r="O816"/>
  <c r="O817"/>
  <c r="O818"/>
  <c r="O820"/>
  <c r="O821"/>
  <c r="O822"/>
  <c r="O824"/>
  <c r="O825"/>
  <c r="O826"/>
  <c r="O828"/>
  <c r="O829"/>
  <c r="O830"/>
  <c r="O832"/>
  <c r="O833"/>
  <c r="O834"/>
  <c r="O836"/>
  <c r="O837"/>
  <c r="O838"/>
  <c r="O840"/>
  <c r="O841"/>
  <c r="O842"/>
  <c r="O844"/>
  <c r="O845"/>
  <c r="O846"/>
  <c r="O848"/>
  <c r="O849"/>
  <c r="O850"/>
  <c r="O852"/>
  <c r="O853"/>
  <c r="O854"/>
  <c r="O856"/>
  <c r="O857"/>
  <c r="O858"/>
  <c r="O860"/>
  <c r="O861"/>
  <c r="O862"/>
  <c r="O864"/>
  <c r="O865"/>
  <c r="O866"/>
  <c r="O868"/>
  <c r="O869"/>
  <c r="O870"/>
  <c r="O872"/>
  <c r="O873"/>
  <c r="O874"/>
  <c r="O876"/>
  <c r="O877"/>
  <c r="O878"/>
  <c r="O880"/>
  <c r="O881"/>
  <c r="O882"/>
  <c r="O884"/>
  <c r="O885"/>
  <c r="O886"/>
  <c r="O888"/>
  <c r="O889"/>
  <c r="O890"/>
  <c r="O892"/>
  <c r="O893"/>
  <c r="O894"/>
  <c r="O896"/>
  <c r="O897"/>
  <c r="O898"/>
  <c r="O900"/>
  <c r="O901"/>
  <c r="O902"/>
  <c r="O904"/>
  <c r="O905"/>
  <c r="O906"/>
  <c r="O908"/>
  <c r="O909"/>
  <c r="O910"/>
  <c r="O912"/>
  <c r="O913"/>
  <c r="O914"/>
  <c r="O916"/>
  <c r="O917"/>
  <c r="O918"/>
  <c r="O920"/>
  <c r="O921"/>
  <c r="O922"/>
  <c r="O924"/>
  <c r="O925"/>
  <c r="O926"/>
  <c r="O928"/>
  <c r="O929"/>
  <c r="O930"/>
  <c r="O932"/>
  <c r="O933"/>
  <c r="O934"/>
  <c r="O936"/>
  <c r="O937"/>
  <c r="O938"/>
  <c r="O940"/>
  <c r="O941"/>
  <c r="O942"/>
  <c r="O944"/>
  <c r="O945"/>
  <c r="O946"/>
  <c r="O948"/>
  <c r="O949"/>
  <c r="O950"/>
  <c r="O952"/>
  <c r="O953"/>
  <c r="O954"/>
  <c r="O956"/>
  <c r="O957"/>
  <c r="O958"/>
  <c r="O960"/>
  <c r="O961"/>
  <c r="O962"/>
  <c r="O964"/>
  <c r="O965"/>
  <c r="O966"/>
  <c r="O968"/>
  <c r="O969"/>
  <c r="O970"/>
  <c r="O972"/>
  <c r="O973"/>
  <c r="O974"/>
  <c r="O976"/>
  <c r="O977"/>
  <c r="O978"/>
  <c r="O980"/>
  <c r="O981"/>
  <c r="O982"/>
  <c r="O984"/>
  <c r="O985"/>
  <c r="O986"/>
  <c r="O988"/>
  <c r="O989"/>
  <c r="O990"/>
  <c r="O992"/>
  <c r="O993"/>
  <c r="O994"/>
  <c r="O996"/>
  <c r="O997"/>
  <c r="O998"/>
  <c r="O1000"/>
  <c r="O1001"/>
  <c r="O1002"/>
  <c r="O1004"/>
  <c r="O1005"/>
  <c r="O1006"/>
  <c r="O1008"/>
  <c r="O1009"/>
  <c r="O1010"/>
  <c r="O1012"/>
  <c r="O1013"/>
  <c r="O1014"/>
  <c r="O1016"/>
  <c r="O1017"/>
  <c r="O1018"/>
  <c r="O1020"/>
  <c r="O1021"/>
  <c r="O1022"/>
  <c r="O1024"/>
  <c r="O1025"/>
  <c r="O1026"/>
  <c r="O1028"/>
  <c r="O1029"/>
  <c r="O1030"/>
  <c r="O1032"/>
  <c r="O1033"/>
  <c r="O1034"/>
  <c r="O1036"/>
  <c r="O1037"/>
  <c r="O1038"/>
  <c r="O1040"/>
  <c r="O1041"/>
  <c r="O1042"/>
  <c r="O1044"/>
  <c r="O1045"/>
  <c r="O1046"/>
  <c r="O1048"/>
  <c r="O1049"/>
  <c r="O1050"/>
  <c r="O1052"/>
  <c r="O1053"/>
  <c r="O1054"/>
  <c r="O1056"/>
  <c r="O1057"/>
  <c r="O1058"/>
  <c r="O1060"/>
  <c r="O1061"/>
  <c r="O1062"/>
  <c r="O1064"/>
  <c r="O1065"/>
  <c r="O1066"/>
  <c r="O1068"/>
  <c r="O1069"/>
  <c r="O1070"/>
  <c r="O1072"/>
  <c r="O1073"/>
  <c r="O1074"/>
  <c r="O1076"/>
  <c r="O1077"/>
  <c r="O1078"/>
  <c r="O1080"/>
  <c r="O1081"/>
  <c r="O1082"/>
  <c r="O1084"/>
  <c r="O1085"/>
  <c r="O1086"/>
  <c r="O1088"/>
  <c r="O1089"/>
  <c r="O1090"/>
  <c r="O1092"/>
  <c r="O1093"/>
  <c r="O1094"/>
  <c r="O1096"/>
  <c r="O1097"/>
  <c r="O1098"/>
  <c r="O1100"/>
  <c r="O1101"/>
  <c r="O1102"/>
  <c r="O1104"/>
  <c r="O1105"/>
  <c r="O1106"/>
  <c r="O1108"/>
  <c r="O1109"/>
  <c r="O1110"/>
  <c r="O1112"/>
  <c r="O1113"/>
  <c r="O1114"/>
  <c r="O1116"/>
  <c r="O1117"/>
  <c r="O1118"/>
  <c r="O1120"/>
  <c r="O1121"/>
  <c r="O1122"/>
  <c r="O1124"/>
  <c r="O1125"/>
  <c r="O1126"/>
  <c r="O1128"/>
  <c r="O1129"/>
  <c r="O1130"/>
  <c r="O84"/>
  <c r="O85"/>
  <c r="O86"/>
  <c r="O80"/>
  <c r="O81"/>
  <c r="O82"/>
  <c r="O76"/>
  <c r="O77"/>
  <c r="O78"/>
  <c r="O73"/>
  <c r="O74"/>
  <c r="O72"/>
  <c r="D8" i="2"/>
  <c r="E8"/>
  <c r="F8"/>
  <c r="B8"/>
  <c r="C8"/>
  <c r="A8"/>
  <c r="U8"/>
  <c r="T8"/>
  <c r="S8"/>
  <c r="R8"/>
  <c r="Q8"/>
  <c r="P8"/>
  <c r="O8"/>
  <c r="N8"/>
  <c r="M8"/>
  <c r="L8"/>
  <c r="I3" i="4"/>
  <c r="J3"/>
  <c r="M3" s="1"/>
  <c r="J6"/>
  <c r="M6" s="1"/>
  <c r="J7"/>
  <c r="M7" s="1"/>
  <c r="J8"/>
  <c r="M8" s="1"/>
  <c r="AD42" i="2" l="1"/>
  <c r="AC58"/>
  <c r="AD26"/>
  <c r="AD51"/>
  <c r="AC30"/>
  <c r="AD62"/>
  <c r="AC11"/>
  <c r="AD47"/>
  <c r="AD16"/>
  <c r="AC38"/>
  <c r="AC54"/>
  <c r="AC63"/>
  <c r="AD12"/>
  <c r="AD46"/>
  <c r="AC39"/>
  <c r="AD55"/>
  <c r="AC70"/>
  <c r="AD20"/>
  <c r="AD34"/>
  <c r="AD50"/>
  <c r="AC66"/>
  <c r="AC43"/>
  <c r="AC59"/>
  <c r="AD29"/>
  <c r="AC29"/>
  <c r="AD45"/>
  <c r="AC45"/>
  <c r="AD61"/>
  <c r="AC61"/>
  <c r="AC35"/>
  <c r="AD35"/>
  <c r="AC28"/>
  <c r="AD28"/>
  <c r="AC44"/>
  <c r="AD44"/>
  <c r="AC60"/>
  <c r="AD60"/>
  <c r="AD25"/>
  <c r="AC25"/>
  <c r="AD41"/>
  <c r="AC41"/>
  <c r="AD57"/>
  <c r="AC57"/>
  <c r="AD31"/>
  <c r="AC31"/>
  <c r="AC24"/>
  <c r="AD24"/>
  <c r="AC40"/>
  <c r="AD40"/>
  <c r="AC56"/>
  <c r="AD56"/>
  <c r="AD37"/>
  <c r="AC37"/>
  <c r="AD53"/>
  <c r="AC53"/>
  <c r="AD69"/>
  <c r="AC69"/>
  <c r="AC27"/>
  <c r="AD27"/>
  <c r="AC36"/>
  <c r="AD36"/>
  <c r="AC52"/>
  <c r="AD52"/>
  <c r="AC68"/>
  <c r="AD68"/>
  <c r="AD33"/>
  <c r="AC33"/>
  <c r="AD49"/>
  <c r="AC49"/>
  <c r="AD65"/>
  <c r="AC65"/>
  <c r="AC67"/>
  <c r="AD67"/>
  <c r="AC32"/>
  <c r="AD32"/>
  <c r="AC48"/>
  <c r="AD48"/>
  <c r="AC64"/>
  <c r="AD64"/>
  <c r="AD23"/>
  <c r="AC23"/>
  <c r="AD17"/>
  <c r="AC17"/>
  <c r="AC22"/>
  <c r="AD22"/>
  <c r="AC19"/>
  <c r="AD19"/>
  <c r="AD13"/>
  <c r="AC13"/>
  <c r="AD18"/>
  <c r="AC18"/>
  <c r="AD15"/>
  <c r="AC15"/>
  <c r="AC14"/>
  <c r="AD14"/>
  <c r="AD21"/>
  <c r="AC21"/>
  <c r="F4" i="4"/>
  <c r="F9"/>
  <c r="F5"/>
  <c r="I8"/>
  <c r="U7" i="3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"/>
  <c r="N2" i="2" a="1"/>
  <c r="V2" a="1"/>
  <c r="R2" a="1"/>
  <c r="Z2" a="1"/>
  <c r="I9" i="4" l="1"/>
  <c r="L9" s="1"/>
  <c r="I5"/>
  <c r="L5" s="1"/>
  <c r="I6"/>
  <c r="L6" s="1"/>
  <c r="I7"/>
  <c r="L7" s="1"/>
  <c r="V64" i="3"/>
  <c r="W64"/>
  <c r="V6"/>
  <c r="W6"/>
  <c r="V58"/>
  <c r="W58"/>
  <c r="V54"/>
  <c r="W54"/>
  <c r="V46"/>
  <c r="W46"/>
  <c r="V38"/>
  <c r="W38"/>
  <c r="V63"/>
  <c r="W63"/>
  <c r="V59"/>
  <c r="W59"/>
  <c r="V55"/>
  <c r="W55"/>
  <c r="V51"/>
  <c r="W51"/>
  <c r="V47"/>
  <c r="W47"/>
  <c r="V43"/>
  <c r="W43"/>
  <c r="V39"/>
  <c r="W39"/>
  <c r="V35"/>
  <c r="W35"/>
  <c r="V31"/>
  <c r="W31"/>
  <c r="V27"/>
  <c r="W27"/>
  <c r="V23"/>
  <c r="W23"/>
  <c r="V19"/>
  <c r="W19"/>
  <c r="V15"/>
  <c r="W15"/>
  <c r="V11"/>
  <c r="W11"/>
  <c r="V7"/>
  <c r="W7"/>
  <c r="V52"/>
  <c r="W52"/>
  <c r="V44"/>
  <c r="W44"/>
  <c r="V36"/>
  <c r="W36"/>
  <c r="V28"/>
  <c r="W28"/>
  <c r="V24"/>
  <c r="W24"/>
  <c r="V20"/>
  <c r="W20"/>
  <c r="V16"/>
  <c r="W16"/>
  <c r="V12"/>
  <c r="W12"/>
  <c r="V8"/>
  <c r="W8"/>
  <c r="V60"/>
  <c r="W60"/>
  <c r="V56"/>
  <c r="W56"/>
  <c r="V48"/>
  <c r="W48"/>
  <c r="V40"/>
  <c r="W40"/>
  <c r="V32"/>
  <c r="W32"/>
  <c r="V65"/>
  <c r="W65"/>
  <c r="V61"/>
  <c r="W61"/>
  <c r="V57"/>
  <c r="W57"/>
  <c r="V53"/>
  <c r="W53"/>
  <c r="V49"/>
  <c r="W49"/>
  <c r="V45"/>
  <c r="W45"/>
  <c r="V41"/>
  <c r="W41"/>
  <c r="V37"/>
  <c r="W37"/>
  <c r="V33"/>
  <c r="W33"/>
  <c r="V29"/>
  <c r="W29"/>
  <c r="V25"/>
  <c r="W25"/>
  <c r="V21"/>
  <c r="W21"/>
  <c r="V17"/>
  <c r="W17"/>
  <c r="V13"/>
  <c r="W13"/>
  <c r="V9"/>
  <c r="W9"/>
  <c r="V62"/>
  <c r="W62"/>
  <c r="V50"/>
  <c r="W50"/>
  <c r="V42"/>
  <c r="W42"/>
  <c r="V34"/>
  <c r="W34"/>
  <c r="V30"/>
  <c r="W30"/>
  <c r="V26"/>
  <c r="W26"/>
  <c r="V22"/>
  <c r="W22"/>
  <c r="V18"/>
  <c r="W18"/>
  <c r="V14"/>
  <c r="W14"/>
  <c r="V10"/>
  <c r="W10"/>
  <c r="AB2" i="2"/>
  <c r="Z4"/>
  <c r="AA2"/>
  <c r="AB3"/>
  <c r="Z2"/>
  <c r="AA3"/>
  <c r="AB4"/>
  <c r="Z3"/>
  <c r="AA4"/>
  <c r="X2"/>
  <c r="V4"/>
  <c r="W2"/>
  <c r="X3"/>
  <c r="V2"/>
  <c r="W3"/>
  <c r="X4"/>
  <c r="V3"/>
  <c r="W4"/>
  <c r="T2"/>
  <c r="R4"/>
  <c r="S2"/>
  <c r="T3"/>
  <c r="R2"/>
  <c r="S3"/>
  <c r="T4"/>
  <c r="R3"/>
  <c r="S4"/>
  <c r="P2"/>
  <c r="O2"/>
  <c r="N2"/>
  <c r="O3"/>
  <c r="P4"/>
  <c r="N3"/>
  <c r="O4"/>
  <c r="N4"/>
  <c r="P3"/>
  <c r="I4" i="4" l="1"/>
  <c r="L4" s="1"/>
  <c r="U7" i="2"/>
  <c r="T7"/>
  <c r="S7"/>
  <c r="R7"/>
  <c r="F2" i="4"/>
  <c r="I2" s="1"/>
  <c r="L2" l="1"/>
  <c r="L7" i="2" a="1"/>
  <c r="N7" s="1"/>
  <c r="L7" l="1"/>
  <c r="M7"/>
  <c r="P7" l="1"/>
</calcChain>
</file>

<file path=xl/sharedStrings.xml><?xml version="1.0" encoding="utf-8"?>
<sst xmlns="http://schemas.openxmlformats.org/spreadsheetml/2006/main" count="633" uniqueCount="322">
  <si>
    <t>a_1</t>
  </si>
  <si>
    <t>a_2</t>
  </si>
  <si>
    <t>Theta_mess</t>
  </si>
  <si>
    <t>x</t>
  </si>
  <si>
    <t>y</t>
  </si>
  <si>
    <t>z</t>
  </si>
  <si>
    <t>A0</t>
  </si>
  <si>
    <t>A1</t>
  </si>
  <si>
    <t>A2</t>
  </si>
  <si>
    <t>A3</t>
  </si>
  <si>
    <t>A4</t>
  </si>
  <si>
    <t>A5</t>
  </si>
  <si>
    <t>A6</t>
  </si>
  <si>
    <t>A7</t>
  </si>
  <si>
    <t>a_0k</t>
  </si>
  <si>
    <t>a_3k0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</si>
  <si>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</si>
  <si>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</si>
  <si>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</si>
  <si>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</si>
  <si>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</si>
  <si>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</si>
  <si>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</si>
  <si>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</si>
  <si>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</si>
  <si>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</si>
  <si>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</si>
  <si>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</si>
  <si>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</si>
  <si>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</si>
  <si>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</si>
  <si>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</si>
  <si>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</si>
  <si>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</si>
  <si>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</si>
  <si>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</si>
  <si>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</si>
  <si>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</si>
  <si>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</si>
  <si>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</si>
  <si>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</si>
  <si>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</si>
  <si>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</si>
  <si>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</si>
  <si>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</si>
  <si>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</si>
  <si>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</si>
  <si>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</si>
  <si>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</si>
  <si>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</si>
  <si>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</si>
  <si>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</si>
  <si>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</si>
  <si>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</si>
  <si>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</si>
  <si>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</si>
  <si>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</si>
  <si>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</si>
  <si>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</si>
  <si>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</si>
  <si>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</si>
  <si>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</si>
  <si>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</si>
  <si>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</si>
  <si>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</si>
  <si>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</si>
  <si>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</si>
  <si>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</si>
  <si>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</si>
  <si>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</si>
  <si>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</si>
  <si>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</si>
  <si>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</si>
  <si>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</si>
  <si>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</si>
  <si>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</si>
  <si>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</si>
  <si>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</si>
  <si>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</si>
  <si>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</si>
  <si>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</si>
  <si>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</si>
  <si>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</si>
  <si>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</si>
  <si>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</si>
  <si>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</si>
  <si>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</si>
  <si>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</si>
  <si>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</si>
  <si>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</si>
  <si>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</si>
  <si>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</si>
  <si>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</si>
  <si>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</si>
  <si>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</si>
  <si>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</si>
  <si>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</si>
  <si>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</si>
  <si>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</si>
  <si>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</si>
  <si>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</si>
  <si>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</si>
  <si>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</si>
  <si>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</si>
  <si>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</si>
  <si>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</si>
  <si>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</si>
  <si>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</si>
  <si>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</si>
  <si>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</si>
  <si>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</si>
  <si>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</si>
  <si>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</si>
  <si>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</si>
  <si>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</si>
  <si>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</si>
  <si>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</si>
  <si>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</si>
  <si>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</si>
  <si>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</si>
  <si>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</si>
  <si>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</si>
  <si>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</si>
  <si>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</si>
  <si>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</si>
  <si>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</si>
  <si>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</si>
  <si>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</si>
  <si>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</si>
  <si>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</si>
  <si>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</si>
  <si>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</si>
  <si>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</si>
  <si>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</si>
  <si>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</si>
  <si>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</si>
  <si>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</si>
  <si>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</si>
  <si>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</si>
  <si>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</si>
  <si>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</si>
  <si>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</si>
  <si>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</si>
  <si>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</si>
  <si>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</si>
  <si>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</si>
  <si>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</si>
  <si>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</si>
  <si>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</si>
  <si>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</si>
  <si>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</si>
  <si>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</si>
  <si>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</si>
  <si>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</si>
  <si>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</si>
  <si>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</si>
  <si>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</si>
  <si>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</si>
  <si>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</si>
  <si>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</si>
  <si>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</si>
  <si>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</si>
  <si>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</si>
  <si>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</si>
  <si>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</si>
  <si>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</si>
  <si>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</si>
  <si>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</si>
  <si>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</si>
  <si>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</si>
  <si>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</si>
  <si>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</si>
  <si>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</si>
  <si>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</si>
  <si>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</si>
  <si>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</si>
  <si>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</si>
  <si>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</si>
  <si>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</si>
  <si>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</si>
  <si>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</si>
  <si>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</si>
  <si>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</si>
  <si>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</si>
  <si>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</si>
  <si>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</si>
  <si>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</si>
  <si>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</si>
  <si>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</si>
  <si>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</si>
  <si>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</si>
  <si>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</si>
  <si>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</si>
  <si>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</si>
  <si>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</si>
  <si>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</si>
  <si>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</si>
  <si>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</si>
  <si>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</si>
  <si>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</si>
  <si>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</si>
  <si>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</si>
  <si>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</si>
  <si>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</si>
  <si>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</si>
  <si>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</si>
  <si>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</si>
  <si>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</si>
  <si>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</si>
  <si>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</si>
  <si>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</si>
  <si>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</si>
  <si>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</si>
  <si>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</si>
  <si>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</si>
  <si>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</si>
  <si>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</si>
  <si>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</si>
  <si>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</si>
  <si>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</si>
  <si>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</si>
  <si>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</si>
  <si>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</si>
  <si>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</si>
  <si>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</si>
  <si>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</si>
  <si>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</si>
  <si>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</si>
  <si>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</si>
  <si>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</si>
  <si>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</si>
  <si>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</si>
  <si>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</si>
  <si>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</si>
  <si>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</si>
  <si>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</si>
  <si>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</si>
  <si>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</si>
  <si>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</si>
  <si>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</si>
  <si>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</si>
  <si>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</si>
  <si>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</si>
  <si>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</si>
  <si>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</si>
  <si>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</si>
  <si>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</si>
  <si>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</si>
  <si>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</si>
  <si>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</si>
  <si>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</si>
  <si>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</si>
  <si>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</si>
  <si>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</si>
  <si>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</si>
  <si>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</si>
  <si>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</si>
  <si>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</si>
  <si>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</si>
  <si>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</si>
  <si>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</si>
  <si>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</si>
  <si>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</si>
  <si>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</si>
  <si>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</si>
  <si>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</si>
  <si>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</si>
  <si>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</si>
  <si>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</si>
  <si>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</si>
  <si>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</si>
  <si>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</si>
  <si>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</si>
  <si>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</si>
  <si>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</si>
  <si>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</si>
  <si>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</si>
  <si>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</si>
  <si>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</si>
  <si>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</si>
  <si>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</si>
  <si>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</si>
  <si>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</si>
  <si>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</si>
  <si>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</si>
  <si>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</si>
  <si>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</si>
  <si>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</si>
  <si>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</si>
  <si>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</si>
  <si>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</si>
  <si>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</si>
  <si>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</si>
  <si>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</si>
  <si>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</si>
  <si>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</si>
  <si>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x-x_0</t>
  </si>
  <si>
    <t>y-y_0</t>
  </si>
  <si>
    <t>z-z_0</t>
  </si>
  <si>
    <t>v1</t>
  </si>
  <si>
    <t>v2</t>
  </si>
  <si>
    <t>v3</t>
  </si>
  <si>
    <t>v4</t>
  </si>
  <si>
    <t>v5</t>
  </si>
  <si>
    <t>v6</t>
  </si>
  <si>
    <t>v7</t>
  </si>
  <si>
    <t>c_k0'_predicted</t>
  </si>
  <si>
    <t>d_0^2</t>
  </si>
  <si>
    <t>real</t>
  </si>
  <si>
    <t>Solution</t>
  </si>
  <si>
    <t>cond</t>
  </si>
  <si>
    <t>err^2</t>
  </si>
  <si>
    <t>d_mess</t>
  </si>
  <si>
    <t>d_pred</t>
  </si>
  <si>
    <t>delta</t>
  </si>
  <si>
    <t>Anzahl Rechnungen</t>
  </si>
  <si>
    <t>Matrizen</t>
  </si>
  <si>
    <t>SVDD</t>
  </si>
  <si>
    <t>Cond(A)</t>
  </si>
  <si>
    <t>MAX|MIN</t>
  </si>
  <si>
    <t>Konditionszahlen Skaliert</t>
  </si>
  <si>
    <t>Cond(A)/max(Cond(A))</t>
  </si>
</sst>
</file>

<file path=xl/styles.xml><?xml version="1.0" encoding="utf-8"?>
<styleSheet xmlns="http://schemas.openxmlformats.org/spreadsheetml/2006/main">
  <numFmts count="1">
    <numFmt numFmtId="164" formatCode="0.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0" fontId="0" fillId="5" borderId="0" xfId="0" applyFill="1"/>
    <xf numFmtId="0" fontId="5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2" fontId="0" fillId="0" borderId="0" xfId="0" applyNumberFormat="1"/>
    <xf numFmtId="0" fontId="0" fillId="0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2" fillId="0" borderId="0" xfId="0" applyFont="1" applyBorder="1"/>
    <xf numFmtId="0" fontId="6" fillId="0" borderId="0" xfId="0" applyFont="1"/>
    <xf numFmtId="164" fontId="6" fillId="0" borderId="0" xfId="0" applyNumberFormat="1" applyFont="1"/>
    <xf numFmtId="0" fontId="0" fillId="4" borderId="0" xfId="0" applyFill="1" applyBorder="1"/>
    <xf numFmtId="0" fontId="4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NormeriungsPlayground!$L$2:$L$9</c:f>
              <c:numCache>
                <c:formatCode>General</c:formatCode>
                <c:ptCount val="8"/>
                <c:pt idx="0">
                  <c:v>4.2469235514825581</c:v>
                </c:pt>
                <c:pt idx="1">
                  <c:v>#N/A</c:v>
                </c:pt>
                <c:pt idx="2">
                  <c:v>3.9794266806179617</c:v>
                </c:pt>
                <c:pt idx="3">
                  <c:v>3.4207292102979743</c:v>
                </c:pt>
                <c:pt idx="4">
                  <c:v>1.3039384905169404</c:v>
                </c:pt>
                <c:pt idx="5">
                  <c:v>1.2335648731518469</c:v>
                </c:pt>
                <c:pt idx="6">
                  <c:v>#N/A</c:v>
                </c:pt>
                <c:pt idx="7">
                  <c:v>4.5465959616069425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NormeriungsPlayground!$M$2:$M$9</c:f>
              <c:numCache>
                <c:formatCode>General</c:formatCode>
                <c:ptCount val="8"/>
                <c:pt idx="0">
                  <c:v>4.4684601933635912</c:v>
                </c:pt>
                <c:pt idx="1">
                  <c:v>#N/A</c:v>
                </c:pt>
                <c:pt idx="2">
                  <c:v>1.3685568225333942</c:v>
                </c:pt>
                <c:pt idx="3">
                  <c:v>4.6378535724565975</c:v>
                </c:pt>
                <c:pt idx="4">
                  <c:v>4.4486377856453485</c:v>
                </c:pt>
                <c:pt idx="5">
                  <c:v>4.4544925509592481</c:v>
                </c:pt>
                <c:pt idx="6">
                  <c:v>#N/A</c:v>
                </c:pt>
                <c:pt idx="7">
                  <c:v>4.4425624293944033</c:v>
                </c:pt>
              </c:numCache>
            </c:numRef>
          </c:yVal>
        </c:ser>
        <c:axId val="196342144"/>
        <c:axId val="196343680"/>
      </c:scatterChart>
      <c:valAx>
        <c:axId val="196342144"/>
        <c:scaling>
          <c:orientation val="minMax"/>
        </c:scaling>
        <c:axPos val="b"/>
        <c:numFmt formatCode="General" sourceLinked="1"/>
        <c:tickLblPos val="nextTo"/>
        <c:crossAx val="196343680"/>
        <c:crosses val="autoZero"/>
        <c:crossBetween val="midCat"/>
      </c:valAx>
      <c:valAx>
        <c:axId val="196343680"/>
        <c:scaling>
          <c:orientation val="minMax"/>
        </c:scaling>
        <c:axPos val="l"/>
        <c:majorGridlines/>
        <c:numFmt formatCode="General" sourceLinked="1"/>
        <c:tickLblPos val="nextTo"/>
        <c:crossAx val="1963421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NormeriungsPlayground!$I$2:$I$9</c:f>
              <c:numCache>
                <c:formatCode>General</c:formatCode>
                <c:ptCount val="8"/>
                <c:pt idx="0">
                  <c:v>-0.46546542890213205</c:v>
                </c:pt>
                <c:pt idx="1">
                  <c:v>#N/A</c:v>
                </c:pt>
                <c:pt idx="2">
                  <c:v>-0.73296229976672811</c:v>
                </c:pt>
                <c:pt idx="3">
                  <c:v>-1.2916597700867156</c:v>
                </c:pt>
                <c:pt idx="4">
                  <c:v>0.26685783627795612</c:v>
                </c:pt>
                <c:pt idx="5">
                  <c:v>0.33723145364304968</c:v>
                </c:pt>
                <c:pt idx="6">
                  <c:v>#N/A</c:v>
                </c:pt>
                <c:pt idx="7">
                  <c:v>-0.16579301877774696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NormeriungsPlayground!$J$2:$J$9</c:f>
              <c:numCache>
                <c:formatCode>General</c:formatCode>
                <c:ptCount val="8"/>
                <c:pt idx="0">
                  <c:v>-0.2439287870210983</c:v>
                </c:pt>
                <c:pt idx="1">
                  <c:v>#N/A</c:v>
                </c:pt>
                <c:pt idx="2">
                  <c:v>0.20223950426150231</c:v>
                </c:pt>
                <c:pt idx="3">
                  <c:v>-7.4535407928091865E-2</c:v>
                </c:pt>
                <c:pt idx="4">
                  <c:v>-0.26375119473934089</c:v>
                </c:pt>
                <c:pt idx="5">
                  <c:v>-0.25789642942544172</c:v>
                </c:pt>
                <c:pt idx="6">
                  <c:v>#N/A</c:v>
                </c:pt>
                <c:pt idx="7">
                  <c:v>-0.26982655099028685</c:v>
                </c:pt>
              </c:numCache>
            </c:numRef>
          </c:yVal>
        </c:ser>
        <c:axId val="197097344"/>
        <c:axId val="197098880"/>
      </c:scatterChart>
      <c:valAx>
        <c:axId val="197097344"/>
        <c:scaling>
          <c:orientation val="minMax"/>
        </c:scaling>
        <c:axPos val="b"/>
        <c:numFmt formatCode="General" sourceLinked="1"/>
        <c:tickLblPos val="nextTo"/>
        <c:crossAx val="197098880"/>
        <c:crosses val="autoZero"/>
        <c:crossBetween val="midCat"/>
      </c:valAx>
      <c:valAx>
        <c:axId val="197098880"/>
        <c:scaling>
          <c:orientation val="minMax"/>
        </c:scaling>
        <c:axPos val="l"/>
        <c:majorGridlines/>
        <c:numFmt formatCode="General" sourceLinked="1"/>
        <c:tickLblPos val="nextTo"/>
        <c:crossAx val="1970973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NormeriungsPlayground!$F$2:$F$9</c:f>
              <c:numCache>
                <c:formatCode>General</c:formatCode>
                <c:ptCount val="8"/>
                <c:pt idx="0">
                  <c:v>-44.88387632510134</c:v>
                </c:pt>
                <c:pt idx="1">
                  <c:v>#N/A</c:v>
                </c:pt>
                <c:pt idx="2">
                  <c:v>-66.907413577178119</c:v>
                </c:pt>
                <c:pt idx="3">
                  <c:v>-96.129369746214721</c:v>
                </c:pt>
                <c:pt idx="4">
                  <c:v>26.370179898073946</c:v>
                </c:pt>
                <c:pt idx="5">
                  <c:v>33.087575741707823</c:v>
                </c:pt>
                <c:pt idx="6">
                  <c:v>#N/A</c:v>
                </c:pt>
                <c:pt idx="7">
                  <c:v>-16.503452753959483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NormeriungsPlayground!$G$2:$G$9</c:f>
              <c:numCache>
                <c:formatCode>General</c:formatCode>
                <c:ptCount val="8"/>
                <c:pt idx="0">
                  <c:v>-24.151696212715134</c:v>
                </c:pt>
                <c:pt idx="1">
                  <c:v>#N/A</c:v>
                </c:pt>
                <c:pt idx="2">
                  <c:v>20.086369403719438</c:v>
                </c:pt>
                <c:pt idx="3">
                  <c:v>-7.4466413183687452</c:v>
                </c:pt>
                <c:pt idx="4">
                  <c:v>-26.07038516450244</c:v>
                </c:pt>
                <c:pt idx="5">
                  <c:v>-25.504711507815838</c:v>
                </c:pt>
                <c:pt idx="6">
                  <c:v>#N/A</c:v>
                </c:pt>
                <c:pt idx="7">
                  <c:v>-26.65642675698555</c:v>
                </c:pt>
              </c:numCache>
            </c:numRef>
          </c:yVal>
        </c:ser>
        <c:axId val="197123456"/>
        <c:axId val="197129344"/>
      </c:scatterChart>
      <c:valAx>
        <c:axId val="197123456"/>
        <c:scaling>
          <c:orientation val="minMax"/>
        </c:scaling>
        <c:axPos val="b"/>
        <c:numFmt formatCode="General" sourceLinked="1"/>
        <c:tickLblPos val="nextTo"/>
        <c:crossAx val="197129344"/>
        <c:crosses val="autoZero"/>
        <c:crossBetween val="midCat"/>
      </c:valAx>
      <c:valAx>
        <c:axId val="197129344"/>
        <c:scaling>
          <c:orientation val="minMax"/>
        </c:scaling>
        <c:axPos val="l"/>
        <c:majorGridlines/>
        <c:numFmt formatCode="General" sourceLinked="1"/>
        <c:tickLblPos val="nextTo"/>
        <c:crossAx val="1971234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NormeriungsPlayground!$B$2:$B$9</c:f>
              <c:numCache>
                <c:formatCode>0.00</c:formatCode>
                <c:ptCount val="8"/>
                <c:pt idx="0">
                  <c:v>-30.441860465116278</c:v>
                </c:pt>
                <c:pt idx="1">
                  <c:v>#N/A</c:v>
                </c:pt>
                <c:pt idx="2">
                  <c:v>-12.232758620689655</c:v>
                </c:pt>
                <c:pt idx="3">
                  <c:v>-4.4375</c:v>
                </c:pt>
                <c:pt idx="4">
                  <c:v>14.42443729903537</c:v>
                </c:pt>
                <c:pt idx="5">
                  <c:v>38.125</c:v>
                </c:pt>
                <c:pt idx="6">
                  <c:v>#N/A</c:v>
                </c:pt>
                <c:pt idx="7">
                  <c:v>-18.798816568047336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NormeriungsPlayground!$C$2:$C$9</c:f>
              <c:numCache>
                <c:formatCode>0.00</c:formatCode>
                <c:ptCount val="8"/>
                <c:pt idx="0">
                  <c:v>-16.380549682875266</c:v>
                </c:pt>
                <c:pt idx="1">
                  <c:v>#N/A</c:v>
                </c:pt>
                <c:pt idx="2">
                  <c:v>3.6724137931034484</c:v>
                </c:pt>
                <c:pt idx="3">
                  <c:v>-0.34375</c:v>
                </c:pt>
                <c:pt idx="4">
                  <c:v>-14.260450160771704</c:v>
                </c:pt>
                <c:pt idx="5">
                  <c:v>-29.387681159420289</c:v>
                </c:pt>
                <c:pt idx="6">
                  <c:v>#N/A</c:v>
                </c:pt>
                <c:pt idx="7">
                  <c:v>-30.363905325443788</c:v>
                </c:pt>
              </c:numCache>
            </c:numRef>
          </c:yVal>
        </c:ser>
        <c:axId val="197235840"/>
        <c:axId val="197237376"/>
      </c:scatterChart>
      <c:valAx>
        <c:axId val="197235840"/>
        <c:scaling>
          <c:orientation val="minMax"/>
        </c:scaling>
        <c:axPos val="b"/>
        <c:numFmt formatCode="General" sourceLinked="1"/>
        <c:tickLblPos val="nextTo"/>
        <c:crossAx val="197237376"/>
        <c:crosses val="autoZero"/>
        <c:crossBetween val="midCat"/>
      </c:valAx>
      <c:valAx>
        <c:axId val="197237376"/>
        <c:scaling>
          <c:orientation val="minMax"/>
        </c:scaling>
        <c:axPos val="l"/>
        <c:majorGridlines/>
        <c:numFmt formatCode="0.00" sourceLinked="1"/>
        <c:tickLblPos val="nextTo"/>
        <c:crossAx val="1972358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 (skaliert)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val>
            <c:numRef>
              <c:f>Konditionsbetrachtung!$T$3:$T$282</c:f>
              <c:numCache>
                <c:formatCode>0.000</c:formatCode>
                <c:ptCount val="280"/>
                <c:pt idx="0">
                  <c:v>1.5336782812660701E-2</c:v>
                </c:pt>
                <c:pt idx="1">
                  <c:v>1.3703923729638771E-2</c:v>
                </c:pt>
                <c:pt idx="2">
                  <c:v>9.8409055444257914E-3</c:v>
                </c:pt>
                <c:pt idx="3">
                  <c:v>8.819236834364386E-3</c:v>
                </c:pt>
                <c:pt idx="4">
                  <c:v>8.2405544482734606E-3</c:v>
                </c:pt>
                <c:pt idx="5">
                  <c:v>1.9942170277701576E-2</c:v>
                </c:pt>
                <c:pt idx="6">
                  <c:v>8.9442603959650216E-2</c:v>
                </c:pt>
                <c:pt idx="7">
                  <c:v>3.2618343755356854E-2</c:v>
                </c:pt>
                <c:pt idx="8">
                  <c:v>0.13465634296262302</c:v>
                </c:pt>
                <c:pt idx="9">
                  <c:v>1.355892694520951E-2</c:v>
                </c:pt>
                <c:pt idx="10">
                  <c:v>1.6674517209435975E-2</c:v>
                </c:pt>
                <c:pt idx="11">
                  <c:v>1.0046079880098919E-2</c:v>
                </c:pt>
                <c:pt idx="12">
                  <c:v>2.8320040795731825E-2</c:v>
                </c:pt>
                <c:pt idx="13">
                  <c:v>0.13026538576888708</c:v>
                </c:pt>
                <c:pt idx="14">
                  <c:v>1.801968798697123E-2</c:v>
                </c:pt>
                <c:pt idx="15">
                  <c:v>1.5231680345957378E-2</c:v>
                </c:pt>
                <c:pt idx="16">
                  <c:v>1.7259776011384141E-2</c:v>
                </c:pt>
                <c:pt idx="17">
                  <c:v>1.145445909848478E-2</c:v>
                </c:pt>
                <c:pt idx="18">
                  <c:v>9.5485934136941425E-3</c:v>
                </c:pt>
                <c:pt idx="19">
                  <c:v>2.2410105833204103E-2</c:v>
                </c:pt>
                <c:pt idx="20">
                  <c:v>4.4924524768842573E-2</c:v>
                </c:pt>
                <c:pt idx="21">
                  <c:v>6.5806067533622808E-2</c:v>
                </c:pt>
                <c:pt idx="22">
                  <c:v>2.1806277725616042E-2</c:v>
                </c:pt>
                <c:pt idx="23">
                  <c:v>1.4387829046645664E-2</c:v>
                </c:pt>
                <c:pt idx="24">
                  <c:v>9.1546381328110008E-2</c:v>
                </c:pt>
                <c:pt idx="25">
                  <c:v>2.7253363391114047E-2</c:v>
                </c:pt>
                <c:pt idx="26">
                  <c:v>2.4397833370327186E-2</c:v>
                </c:pt>
                <c:pt idx="27">
                  <c:v>1.1732103266293335E-2</c:v>
                </c:pt>
                <c:pt idx="28">
                  <c:v>6.0055362414661063E-2</c:v>
                </c:pt>
                <c:pt idx="29">
                  <c:v>7.8447783332148968E-2</c:v>
                </c:pt>
                <c:pt idx="30">
                  <c:v>1.9699528957106784E-2</c:v>
                </c:pt>
                <c:pt idx="31">
                  <c:v>5.1483195504256937E-2</c:v>
                </c:pt>
                <c:pt idx="32">
                  <c:v>1.7513729704369988E-2</c:v>
                </c:pt>
                <c:pt idx="33">
                  <c:v>5.1136865959742352E-2</c:v>
                </c:pt>
                <c:pt idx="34">
                  <c:v>2.3811779819316502E-2</c:v>
                </c:pt>
                <c:pt idx="35">
                  <c:v>1.5004110023245382E-2</c:v>
                </c:pt>
                <c:pt idx="36">
                  <c:v>2.430594412855628E-2</c:v>
                </c:pt>
                <c:pt idx="37">
                  <c:v>1.4948686652881996E-2</c:v>
                </c:pt>
                <c:pt idx="38">
                  <c:v>1.9714123157769166E-2</c:v>
                </c:pt>
                <c:pt idx="39">
                  <c:v>1.918500900523681E-2</c:v>
                </c:pt>
                <c:pt idx="40">
                  <c:v>1.972536015117031E-2</c:v>
                </c:pt>
                <c:pt idx="41">
                  <c:v>5.5090514329588038E-2</c:v>
                </c:pt>
                <c:pt idx="42">
                  <c:v>2.9231422237427546E-2</c:v>
                </c:pt>
                <c:pt idx="43">
                  <c:v>0.11552301599668371</c:v>
                </c:pt>
                <c:pt idx="44">
                  <c:v>1.9171596037393906E-2</c:v>
                </c:pt>
                <c:pt idx="45">
                  <c:v>2.657182496218673E-2</c:v>
                </c:pt>
                <c:pt idx="46">
                  <c:v>1.8615339614409417E-2</c:v>
                </c:pt>
                <c:pt idx="47">
                  <c:v>2.9716789763527488E-2</c:v>
                </c:pt>
                <c:pt idx="48">
                  <c:v>0.13136597818387966</c:v>
                </c:pt>
                <c:pt idx="49">
                  <c:v>2.2342776624725558E-2</c:v>
                </c:pt>
                <c:pt idx="50">
                  <c:v>0.60793491221522156</c:v>
                </c:pt>
                <c:pt idx="51">
                  <c:v>0.1750559082305424</c:v>
                </c:pt>
                <c:pt idx="52">
                  <c:v>0.67466101632144204</c:v>
                </c:pt>
                <c:pt idx="53">
                  <c:v>5.7258708676589498E-2</c:v>
                </c:pt>
                <c:pt idx="54">
                  <c:v>0.5419187639002091</c:v>
                </c:pt>
                <c:pt idx="55">
                  <c:v>0.80815354961439589</c:v>
                </c:pt>
                <c:pt idx="56">
                  <c:v>7.1672177386395905E-2</c:v>
                </c:pt>
                <c:pt idx="57">
                  <c:v>0.20643962444156405</c:v>
                </c:pt>
                <c:pt idx="58">
                  <c:v>2.6267786047992282E-2</c:v>
                </c:pt>
                <c:pt idx="59">
                  <c:v>3.6030552847745478E-2</c:v>
                </c:pt>
                <c:pt idx="60">
                  <c:v>0.22639701414612359</c:v>
                </c:pt>
                <c:pt idx="61">
                  <c:v>0.96471261314730661</c:v>
                </c:pt>
                <c:pt idx="62">
                  <c:v>5.2873302258695784E-2</c:v>
                </c:pt>
                <c:pt idx="63">
                  <c:v>0.21349574641802063</c:v>
                </c:pt>
                <c:pt idx="64">
                  <c:v>7.8191236532930336E-2</c:v>
                </c:pt>
                <c:pt idx="65">
                  <c:v>3.7564548402984371E-2</c:v>
                </c:pt>
                <c:pt idx="66">
                  <c:v>0.25843338961505929</c:v>
                </c:pt>
                <c:pt idx="67">
                  <c:v>2.7888913274089527E-2</c:v>
                </c:pt>
                <c:pt idx="68">
                  <c:v>4.8187362799926178E-2</c:v>
                </c:pt>
                <c:pt idx="69">
                  <c:v>2.8349083335173924E-2</c:v>
                </c:pt>
                <c:pt idx="70">
                  <c:v>2.4262381951518065E-2</c:v>
                </c:pt>
                <c:pt idx="71">
                  <c:v>1.4099934575997819E-2</c:v>
                </c:pt>
                <c:pt idx="72">
                  <c:v>1.9815873627349826E-2</c:v>
                </c:pt>
                <c:pt idx="73">
                  <c:v>1.4469727406152539E-2</c:v>
                </c:pt>
                <c:pt idx="74">
                  <c:v>1.789671945876245E-2</c:v>
                </c:pt>
                <c:pt idx="75">
                  <c:v>1.5648549031082402E-2</c:v>
                </c:pt>
                <c:pt idx="76">
                  <c:v>2.7072591763625069E-2</c:v>
                </c:pt>
                <c:pt idx="77">
                  <c:v>1.7293523903019282E-2</c:v>
                </c:pt>
                <c:pt idx="78">
                  <c:v>1.7792531684204322E-2</c:v>
                </c:pt>
                <c:pt idx="79">
                  <c:v>2.0248897982786965E-2</c:v>
                </c:pt>
                <c:pt idx="80">
                  <c:v>2.994297221707172E-2</c:v>
                </c:pt>
                <c:pt idx="81">
                  <c:v>5.4979172080853671E-2</c:v>
                </c:pt>
                <c:pt idx="82">
                  <c:v>2.3691503944813942E-2</c:v>
                </c:pt>
                <c:pt idx="83">
                  <c:v>1.7459801323122286E-2</c:v>
                </c:pt>
                <c:pt idx="84">
                  <c:v>9.5866849071662555E-2</c:v>
                </c:pt>
                <c:pt idx="85">
                  <c:v>0.59772310963732833</c:v>
                </c:pt>
                <c:pt idx="86">
                  <c:v>0.37361439863664958</c:v>
                </c:pt>
                <c:pt idx="87">
                  <c:v>0.77454773871610005</c:v>
                </c:pt>
                <c:pt idx="88">
                  <c:v>9.2033477169074077E-2</c:v>
                </c:pt>
                <c:pt idx="89">
                  <c:v>0.4383326341475472</c:v>
                </c:pt>
                <c:pt idx="90">
                  <c:v>0.42458566350062293</c:v>
                </c:pt>
                <c:pt idx="91">
                  <c:v>4.1606878152651461E-2</c:v>
                </c:pt>
                <c:pt idx="92">
                  <c:v>0.21886993930156612</c:v>
                </c:pt>
                <c:pt idx="93">
                  <c:v>3.2347584499998847E-2</c:v>
                </c:pt>
                <c:pt idx="94">
                  <c:v>3.030796813915583E-2</c:v>
                </c:pt>
                <c:pt idx="95">
                  <c:v>0.25089064374917386</c:v>
                </c:pt>
                <c:pt idx="96">
                  <c:v>0.5736762821779684</c:v>
                </c:pt>
                <c:pt idx="97">
                  <c:v>3.8865493922581019E-2</c:v>
                </c:pt>
                <c:pt idx="98">
                  <c:v>0.19945550665518111</c:v>
                </c:pt>
                <c:pt idx="99">
                  <c:v>4.0499916396391965E-2</c:v>
                </c:pt>
                <c:pt idx="100">
                  <c:v>3.1902171896247125E-2</c:v>
                </c:pt>
                <c:pt idx="101">
                  <c:v>0.30758559532981433</c:v>
                </c:pt>
                <c:pt idx="102">
                  <c:v>3.0046911810632397E-2</c:v>
                </c:pt>
                <c:pt idx="103">
                  <c:v>4.5552785562294688E-2</c:v>
                </c:pt>
                <c:pt idx="104">
                  <c:v>3.1766095061888357E-2</c:v>
                </c:pt>
                <c:pt idx="105">
                  <c:v>1.9362250914312061E-2</c:v>
                </c:pt>
                <c:pt idx="106">
                  <c:v>2.5555664588939285E-2</c:v>
                </c:pt>
                <c:pt idx="107">
                  <c:v>3.6748329675407206E-2</c:v>
                </c:pt>
                <c:pt idx="108">
                  <c:v>2.8005797822053164E-2</c:v>
                </c:pt>
                <c:pt idx="109">
                  <c:v>9.5450856301941625E-2</c:v>
                </c:pt>
                <c:pt idx="110">
                  <c:v>3.0562749313218177E-2</c:v>
                </c:pt>
                <c:pt idx="111">
                  <c:v>1.9054127624452848E-2</c:v>
                </c:pt>
                <c:pt idx="112">
                  <c:v>2.1547678242081508E-2</c:v>
                </c:pt>
                <c:pt idx="113">
                  <c:v>1.7468874982632849E-2</c:v>
                </c:pt>
                <c:pt idx="114">
                  <c:v>2.5271796590221867E-2</c:v>
                </c:pt>
                <c:pt idx="115">
                  <c:v>3.3352825251033107E-2</c:v>
                </c:pt>
                <c:pt idx="116">
                  <c:v>1.5909665639637201E-2</c:v>
                </c:pt>
                <c:pt idx="117">
                  <c:v>4.0032065060613756E-2</c:v>
                </c:pt>
                <c:pt idx="118">
                  <c:v>4.831593181272522E-2</c:v>
                </c:pt>
                <c:pt idx="119">
                  <c:v>1.8985530615708787E-2</c:v>
                </c:pt>
                <c:pt idx="120">
                  <c:v>0.65864537986320526</c:v>
                </c:pt>
                <c:pt idx="121">
                  <c:v>0.14970911663691269</c:v>
                </c:pt>
                <c:pt idx="122">
                  <c:v>0.63789107528408984</c:v>
                </c:pt>
                <c:pt idx="123">
                  <c:v>4.8152451358483651E-2</c:v>
                </c:pt>
                <c:pt idx="124">
                  <c:v>0.15162279072084342</c:v>
                </c:pt>
                <c:pt idx="125">
                  <c:v>0.87940584063251204</c:v>
                </c:pt>
                <c:pt idx="126">
                  <c:v>3.9941119727580875E-2</c:v>
                </c:pt>
                <c:pt idx="127">
                  <c:v>0.11899908264968116</c:v>
                </c:pt>
                <c:pt idx="128">
                  <c:v>4.0578130937060662E-2</c:v>
                </c:pt>
                <c:pt idx="129">
                  <c:v>2.6706464988649242E-2</c:v>
                </c:pt>
                <c:pt idx="130">
                  <c:v>0.25748703149278518</c:v>
                </c:pt>
                <c:pt idx="131">
                  <c:v>0.84655852150073518</c:v>
                </c:pt>
                <c:pt idx="132">
                  <c:v>5.2853725022231381E-2</c:v>
                </c:pt>
                <c:pt idx="133">
                  <c:v>0.13941840026981189</c:v>
                </c:pt>
                <c:pt idx="134">
                  <c:v>2.319630119141312E-2</c:v>
                </c:pt>
                <c:pt idx="135">
                  <c:v>2.9392592055362154E-2</c:v>
                </c:pt>
                <c:pt idx="136">
                  <c:v>0.18480644062785115</c:v>
                </c:pt>
                <c:pt idx="137">
                  <c:v>2.5029163578922573E-2</c:v>
                </c:pt>
                <c:pt idx="138">
                  <c:v>4.0493045478177732E-2</c:v>
                </c:pt>
                <c:pt idx="139">
                  <c:v>2.2066168261391506E-2</c:v>
                </c:pt>
                <c:pt idx="140">
                  <c:v>2.1962840362186178E-2</c:v>
                </c:pt>
                <c:pt idx="141">
                  <c:v>3.892277227524156E-2</c:v>
                </c:pt>
                <c:pt idx="142">
                  <c:v>2.6048568045796396E-2</c:v>
                </c:pt>
                <c:pt idx="143">
                  <c:v>2.0868158521525047E-2</c:v>
                </c:pt>
                <c:pt idx="144">
                  <c:v>1.8170519031720771E-2</c:v>
                </c:pt>
                <c:pt idx="145">
                  <c:v>2.442459690561612E-2</c:v>
                </c:pt>
                <c:pt idx="146">
                  <c:v>2.4852049241858729E-2</c:v>
                </c:pt>
                <c:pt idx="147">
                  <c:v>2.6078578952299498E-2</c:v>
                </c:pt>
                <c:pt idx="148">
                  <c:v>5.1485403731096113E-2</c:v>
                </c:pt>
                <c:pt idx="149">
                  <c:v>4.0578725315396108E-2</c:v>
                </c:pt>
                <c:pt idx="150">
                  <c:v>2.5831762995424664E-2</c:v>
                </c:pt>
                <c:pt idx="151">
                  <c:v>1.648345872287494E-2</c:v>
                </c:pt>
                <c:pt idx="152">
                  <c:v>4.0410519638896636E-2</c:v>
                </c:pt>
                <c:pt idx="153">
                  <c:v>1.6999562983922491E-2</c:v>
                </c:pt>
                <c:pt idx="154">
                  <c:v>3.4487660100739788E-2</c:v>
                </c:pt>
                <c:pt idx="155">
                  <c:v>0.73227083674382443</c:v>
                </c:pt>
                <c:pt idx="156">
                  <c:v>0.48778549025408341</c:v>
                </c:pt>
                <c:pt idx="157">
                  <c:v>0.46414217656235307</c:v>
                </c:pt>
                <c:pt idx="158">
                  <c:v>4.1992345101478749E-2</c:v>
                </c:pt>
                <c:pt idx="159">
                  <c:v>0.37673919277628115</c:v>
                </c:pt>
                <c:pt idx="160">
                  <c:v>1</c:v>
                </c:pt>
                <c:pt idx="161">
                  <c:v>7.2405904742255153E-2</c:v>
                </c:pt>
                <c:pt idx="162">
                  <c:v>0.21252256666386157</c:v>
                </c:pt>
                <c:pt idx="163">
                  <c:v>2.7184304062169474E-2</c:v>
                </c:pt>
                <c:pt idx="164">
                  <c:v>3.1508468548462294E-2</c:v>
                </c:pt>
                <c:pt idx="165">
                  <c:v>0.2513022090295477</c:v>
                </c:pt>
                <c:pt idx="166">
                  <c:v>0.51165120458658575</c:v>
                </c:pt>
                <c:pt idx="167">
                  <c:v>3.3217200832355034E-2</c:v>
                </c:pt>
                <c:pt idx="168">
                  <c:v>0.2011014919711801</c:v>
                </c:pt>
                <c:pt idx="169">
                  <c:v>2.209867156618953E-2</c:v>
                </c:pt>
                <c:pt idx="170">
                  <c:v>2.8075792636970399E-2</c:v>
                </c:pt>
                <c:pt idx="171">
                  <c:v>0.19278277628652071</c:v>
                </c:pt>
                <c:pt idx="172">
                  <c:v>3.2399379973522317E-2</c:v>
                </c:pt>
                <c:pt idx="173">
                  <c:v>3.2705768170894309E-2</c:v>
                </c:pt>
                <c:pt idx="174">
                  <c:v>3.3735806337950536E-2</c:v>
                </c:pt>
                <c:pt idx="175">
                  <c:v>2.5010007206860682E-2</c:v>
                </c:pt>
                <c:pt idx="176">
                  <c:v>9.2173598574872215E-2</c:v>
                </c:pt>
                <c:pt idx="177">
                  <c:v>2.5069499977497037E-2</c:v>
                </c:pt>
                <c:pt idx="178">
                  <c:v>2.8345044464716026E-2</c:v>
                </c:pt>
                <c:pt idx="179">
                  <c:v>0.11276387152576128</c:v>
                </c:pt>
                <c:pt idx="180">
                  <c:v>2.7395696671057335E-2</c:v>
                </c:pt>
                <c:pt idx="181">
                  <c:v>4.230282868225306E-2</c:v>
                </c:pt>
                <c:pt idx="182">
                  <c:v>2.857110263425184E-2</c:v>
                </c:pt>
                <c:pt idx="183">
                  <c:v>1.7191487820803077E-2</c:v>
                </c:pt>
                <c:pt idx="184">
                  <c:v>3.2153409820854795E-2</c:v>
                </c:pt>
                <c:pt idx="185">
                  <c:v>4.0127816326724443E-2</c:v>
                </c:pt>
                <c:pt idx="186">
                  <c:v>4.6322824862731198E-2</c:v>
                </c:pt>
                <c:pt idx="187">
                  <c:v>5.1918473603133668E-2</c:v>
                </c:pt>
                <c:pt idx="188">
                  <c:v>1.5018858654001056E-2</c:v>
                </c:pt>
                <c:pt idx="189">
                  <c:v>1.6203189428448256E-2</c:v>
                </c:pt>
                <c:pt idx="190">
                  <c:v>0.29166087142131808</c:v>
                </c:pt>
                <c:pt idx="191">
                  <c:v>0.60925967236998224</c:v>
                </c:pt>
                <c:pt idx="192">
                  <c:v>0.17870488480945407</c:v>
                </c:pt>
                <c:pt idx="193">
                  <c:v>1.9971109014539093E-2</c:v>
                </c:pt>
                <c:pt idx="194">
                  <c:v>0.22541967703557822</c:v>
                </c:pt>
                <c:pt idx="195">
                  <c:v>0.16181692781849299</c:v>
                </c:pt>
                <c:pt idx="196">
                  <c:v>5.8755103727122351E-2</c:v>
                </c:pt>
                <c:pt idx="197">
                  <c:v>0.17460915510679409</c:v>
                </c:pt>
                <c:pt idx="198">
                  <c:v>1.569293436344138E-2</c:v>
                </c:pt>
                <c:pt idx="199">
                  <c:v>1.3876872694516344E-2</c:v>
                </c:pt>
                <c:pt idx="200">
                  <c:v>0.27323799408201355</c:v>
                </c:pt>
                <c:pt idx="201">
                  <c:v>0.12125549801415815</c:v>
                </c:pt>
                <c:pt idx="202">
                  <c:v>1.9093245093403738E-2</c:v>
                </c:pt>
                <c:pt idx="203">
                  <c:v>0.35955397995403837</c:v>
                </c:pt>
                <c:pt idx="204">
                  <c:v>3.1490959924010874E-2</c:v>
                </c:pt>
                <c:pt idx="205">
                  <c:v>2.369548951173462E-2</c:v>
                </c:pt>
                <c:pt idx="206">
                  <c:v>0.13453730374554668</c:v>
                </c:pt>
                <c:pt idx="207">
                  <c:v>1.5424698692479847E-2</c:v>
                </c:pt>
                <c:pt idx="208">
                  <c:v>1.2387959479199174E-2</c:v>
                </c:pt>
                <c:pt idx="209">
                  <c:v>3.2476833988909069E-2</c:v>
                </c:pt>
                <c:pt idx="210">
                  <c:v>2.3341724401396424E-2</c:v>
                </c:pt>
                <c:pt idx="211">
                  <c:v>5.5384402535239102E-2</c:v>
                </c:pt>
                <c:pt idx="212">
                  <c:v>2.3842428961043022E-2</c:v>
                </c:pt>
                <c:pt idx="213">
                  <c:v>3.2792985086490992E-2</c:v>
                </c:pt>
                <c:pt idx="214">
                  <c:v>1.4548917644954664E-2</c:v>
                </c:pt>
                <c:pt idx="215">
                  <c:v>2.2384001864481501E-2</c:v>
                </c:pt>
                <c:pt idx="216">
                  <c:v>4.7660501653429659E-2</c:v>
                </c:pt>
                <c:pt idx="217">
                  <c:v>2.1459542910633806E-2</c:v>
                </c:pt>
                <c:pt idx="218">
                  <c:v>7.3184635344138674E-2</c:v>
                </c:pt>
                <c:pt idx="219">
                  <c:v>2.508710546058562E-2</c:v>
                </c:pt>
                <c:pt idx="220">
                  <c:v>5.5504702010778076E-2</c:v>
                </c:pt>
                <c:pt idx="221">
                  <c:v>1.3855473107336369E-2</c:v>
                </c:pt>
                <c:pt idx="222">
                  <c:v>2.6806885055392846E-2</c:v>
                </c:pt>
                <c:pt idx="223">
                  <c:v>2.344258462831458E-2</c:v>
                </c:pt>
                <c:pt idx="224">
                  <c:v>1.2281577148058649E-2</c:v>
                </c:pt>
                <c:pt idx="225">
                  <c:v>0.83231410122923211</c:v>
                </c:pt>
                <c:pt idx="226">
                  <c:v>0.58817011971193511</c:v>
                </c:pt>
                <c:pt idx="227">
                  <c:v>0.16726641483211668</c:v>
                </c:pt>
                <c:pt idx="228">
                  <c:v>1.9527748813789415E-2</c:v>
                </c:pt>
                <c:pt idx="229">
                  <c:v>0.8895341647228705</c:v>
                </c:pt>
                <c:pt idx="230">
                  <c:v>0.26461568854962608</c:v>
                </c:pt>
                <c:pt idx="231">
                  <c:v>3.9257640353950386E-2</c:v>
                </c:pt>
                <c:pt idx="232">
                  <c:v>0.13460430823580563</c:v>
                </c:pt>
                <c:pt idx="233">
                  <c:v>1.7988935441623929E-2</c:v>
                </c:pt>
                <c:pt idx="234">
                  <c:v>1.7985407414187721E-2</c:v>
                </c:pt>
                <c:pt idx="235">
                  <c:v>0.52212909871340785</c:v>
                </c:pt>
                <c:pt idx="236">
                  <c:v>0.12307522391520889</c:v>
                </c:pt>
                <c:pt idx="237">
                  <c:v>1.5648464984812552E-2</c:v>
                </c:pt>
                <c:pt idx="238">
                  <c:v>0.18766812099091879</c:v>
                </c:pt>
                <c:pt idx="239">
                  <c:v>2.4327217524234036E-2</c:v>
                </c:pt>
                <c:pt idx="240">
                  <c:v>1.281220911030421E-2</c:v>
                </c:pt>
                <c:pt idx="241">
                  <c:v>0.11229969358682459</c:v>
                </c:pt>
                <c:pt idx="242">
                  <c:v>1.4948746899190457E-2</c:v>
                </c:pt>
                <c:pt idx="243">
                  <c:v>1.8253236958906145E-2</c:v>
                </c:pt>
                <c:pt idx="244">
                  <c:v>1.1840049678925628E-2</c:v>
                </c:pt>
                <c:pt idx="245">
                  <c:v>2.597480451106688E-2</c:v>
                </c:pt>
                <c:pt idx="246">
                  <c:v>0.20787065149449493</c:v>
                </c:pt>
                <c:pt idx="247">
                  <c:v>2.0097929563129127E-2</c:v>
                </c:pt>
                <c:pt idx="248">
                  <c:v>0.13377779964876377</c:v>
                </c:pt>
                <c:pt idx="249">
                  <c:v>1.5884781103247064E-2</c:v>
                </c:pt>
                <c:pt idx="250">
                  <c:v>2.1660776571855587E-2</c:v>
                </c:pt>
                <c:pt idx="251">
                  <c:v>9.950010775389849E-2</c:v>
                </c:pt>
                <c:pt idx="252">
                  <c:v>1.6179639175729368E-2</c:v>
                </c:pt>
                <c:pt idx="253">
                  <c:v>9.0335027987372432E-2</c:v>
                </c:pt>
                <c:pt idx="254">
                  <c:v>1.5401193422517572E-2</c:v>
                </c:pt>
                <c:pt idx="255">
                  <c:v>6.3757318749568581E-2</c:v>
                </c:pt>
                <c:pt idx="256">
                  <c:v>1.3049591060688084E-2</c:v>
                </c:pt>
                <c:pt idx="257">
                  <c:v>1.0843799329409515E-2</c:v>
                </c:pt>
                <c:pt idx="258">
                  <c:v>3.7147025463066023E-2</c:v>
                </c:pt>
                <c:pt idx="259">
                  <c:v>9.7798148907344857E-3</c:v>
                </c:pt>
                <c:pt idx="260">
                  <c:v>9.3220902659601271E-2</c:v>
                </c:pt>
                <c:pt idx="261">
                  <c:v>6.6102215324609331E-2</c:v>
                </c:pt>
                <c:pt idx="262">
                  <c:v>2.3556093362609387E-2</c:v>
                </c:pt>
                <c:pt idx="263">
                  <c:v>2.5062365623137801E-2</c:v>
                </c:pt>
                <c:pt idx="264">
                  <c:v>5.9125878436778453E-2</c:v>
                </c:pt>
                <c:pt idx="265">
                  <c:v>9.0846358434435087E-2</c:v>
                </c:pt>
                <c:pt idx="266">
                  <c:v>3.5894953664488839E-2</c:v>
                </c:pt>
                <c:pt idx="267">
                  <c:v>1.6180061132722912E-2</c:v>
                </c:pt>
                <c:pt idx="268">
                  <c:v>2.6525812314482047E-2</c:v>
                </c:pt>
                <c:pt idx="269">
                  <c:v>1.2705495299507265E-2</c:v>
                </c:pt>
                <c:pt idx="270">
                  <c:v>4.4698354057810204E-2</c:v>
                </c:pt>
                <c:pt idx="271">
                  <c:v>2.4883189416143571E-2</c:v>
                </c:pt>
                <c:pt idx="272">
                  <c:v>1.9709027480147207E-2</c:v>
                </c:pt>
                <c:pt idx="273">
                  <c:v>2.4342321627775467E-2</c:v>
                </c:pt>
                <c:pt idx="274">
                  <c:v>4.2171202231574667E-2</c:v>
                </c:pt>
                <c:pt idx="275">
                  <c:v>1.5548454557733824E-2</c:v>
                </c:pt>
                <c:pt idx="276">
                  <c:v>1.641288666792869E-2</c:v>
                </c:pt>
                <c:pt idx="277">
                  <c:v>2.0272471410022648E-2</c:v>
                </c:pt>
                <c:pt idx="278">
                  <c:v>1.3672314884193609E-2</c:v>
                </c:pt>
                <c:pt idx="279">
                  <c:v>2.1341099073656038E-2</c:v>
                </c:pt>
              </c:numCache>
            </c:numRef>
          </c:val>
        </c:ser>
        <c:marker val="1"/>
        <c:axId val="78012800"/>
        <c:axId val="78014336"/>
      </c:lineChart>
      <c:catAx>
        <c:axId val="78012800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  <c:layout/>
        </c:title>
        <c:tickLblPos val="nextTo"/>
        <c:crossAx val="78014336"/>
        <c:crosses val="autoZero"/>
        <c:auto val="1"/>
        <c:lblAlgn val="ctr"/>
        <c:lblOffset val="100"/>
        <c:tickMarkSkip val="70"/>
      </c:catAx>
      <c:valAx>
        <c:axId val="78014336"/>
        <c:scaling>
          <c:orientation val="minMax"/>
          <c:max val="1.100000000000000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Cond(A)/max(C</a:t>
                </a:r>
              </a:p>
              <a:p>
                <a:pPr>
                  <a:defRPr/>
                </a:pPr>
                <a:r>
                  <a:rPr lang="de-DE"/>
                  <a:t>ond(A))</a:t>
                </a:r>
              </a:p>
            </c:rich>
          </c:tx>
          <c:layout/>
        </c:title>
        <c:numFmt formatCode="0.000" sourceLinked="1"/>
        <c:tickLblPos val="nextTo"/>
        <c:crossAx val="78012800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Kondition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dLbls>
            <c:dLbl>
              <c:idx val="160"/>
              <c:layout/>
              <c:dLblPos val="l"/>
              <c:showVal val="1"/>
              <c:separator>, </c:separator>
            </c:dLbl>
            <c:delete val="1"/>
          </c:dLbls>
          <c:val>
            <c:numRef>
              <c:f>Konditionsbetrachtung!$S$3:$S$282</c:f>
              <c:numCache>
                <c:formatCode>0.000</c:formatCode>
                <c:ptCount val="280"/>
                <c:pt idx="0">
                  <c:v>4.1355852183090951</c:v>
                </c:pt>
                <c:pt idx="1">
                  <c:v>3.6952824527412931</c:v>
                </c:pt>
                <c:pt idx="2">
                  <c:v>2.653614125037143</c:v>
                </c:pt>
                <c:pt idx="3">
                  <c:v>2.3781197096209636</c:v>
                </c:pt>
                <c:pt idx="4">
                  <c:v>2.2220771841939322</c:v>
                </c:pt>
                <c:pt idx="5">
                  <c:v>5.3774344742877576</c:v>
                </c:pt>
                <c:pt idx="6">
                  <c:v>24.118324901702923</c:v>
                </c:pt>
                <c:pt idx="7">
                  <c:v>8.7955826152157766</c:v>
                </c:pt>
                <c:pt idx="8">
                  <c:v>36.310273693650416</c:v>
                </c:pt>
                <c:pt idx="9">
                  <c:v>3.6561838643533173</c:v>
                </c:pt>
                <c:pt idx="10">
                  <c:v>4.4963071940262225</c:v>
                </c:pt>
                <c:pt idx="11">
                  <c:v>2.7089396753921831</c:v>
                </c:pt>
                <c:pt idx="12">
                  <c:v>7.6365391312743336</c:v>
                </c:pt>
                <c:pt idx="13">
                  <c:v>35.126245864185961</c:v>
                </c:pt>
                <c:pt idx="14">
                  <c:v>4.8590344003529484</c:v>
                </c:pt>
                <c:pt idx="15">
                  <c:v>4.1072441892278677</c:v>
                </c:pt>
                <c:pt idx="16">
                  <c:v>4.6541230593082208</c:v>
                </c:pt>
                <c:pt idx="17">
                  <c:v>3.0887111273633301</c:v>
                </c:pt>
                <c:pt idx="18">
                  <c:v>2.574791744766602</c:v>
                </c:pt>
                <c:pt idx="19">
                  <c:v>6.0429167939989181</c:v>
                </c:pt>
                <c:pt idx="20">
                  <c:v>12.113961763885378</c:v>
                </c:pt>
                <c:pt idx="21">
                  <c:v>17.744699360444759</c:v>
                </c:pt>
                <c:pt idx="22">
                  <c:v>5.8800936891376248</c:v>
                </c:pt>
                <c:pt idx="23">
                  <c:v>3.879698490595195</c:v>
                </c:pt>
                <c:pt idx="24">
                  <c:v>24.685611450250331</c:v>
                </c:pt>
                <c:pt idx="25">
                  <c:v>7.3489080575917889</c:v>
                </c:pt>
                <c:pt idx="26">
                  <c:v>6.5789103410788252</c:v>
                </c:pt>
                <c:pt idx="27">
                  <c:v>3.1635782706465303</c:v>
                </c:pt>
                <c:pt idx="28">
                  <c:v>16.194013576122387</c:v>
                </c:pt>
                <c:pt idx="29">
                  <c:v>21.15355593936761</c:v>
                </c:pt>
                <c:pt idx="30">
                  <c:v>5.3120058983562757</c:v>
                </c:pt>
                <c:pt idx="31">
                  <c:v>13.882516621605925</c:v>
                </c:pt>
                <c:pt idx="32">
                  <c:v>4.7226020324850646</c:v>
                </c:pt>
                <c:pt idx="33">
                  <c:v>13.789128369163835</c:v>
                </c:pt>
                <c:pt idx="34">
                  <c:v>6.4208801705859262</c:v>
                </c:pt>
                <c:pt idx="35">
                  <c:v>4.045879529231728</c:v>
                </c:pt>
                <c:pt idx="36">
                  <c:v>6.5541322768243271</c:v>
                </c:pt>
                <c:pt idx="37">
                  <c:v>4.0309345388759619</c:v>
                </c:pt>
                <c:pt idx="38">
                  <c:v>5.3159412452454919</c:v>
                </c:pt>
                <c:pt idx="39">
                  <c:v>5.1732648642378285</c:v>
                </c:pt>
                <c:pt idx="40">
                  <c:v>5.3189713164394092</c:v>
                </c:pt>
                <c:pt idx="41">
                  <c:v>14.85523525458103</c:v>
                </c:pt>
                <c:pt idx="42">
                  <c:v>7.8822944284939442</c:v>
                </c:pt>
                <c:pt idx="43">
                  <c:v>31.150944964544813</c:v>
                </c:pt>
                <c:pt idx="44">
                  <c:v>5.1696480384522427</c:v>
                </c:pt>
                <c:pt idx="45">
                  <c:v>7.1651302544625262</c:v>
                </c:pt>
                <c:pt idx="46">
                  <c:v>5.0196527057554077</c:v>
                </c:pt>
                <c:pt idx="47">
                  <c:v>8.0131744696932721</c:v>
                </c:pt>
                <c:pt idx="48">
                  <c:v>35.423022168475093</c:v>
                </c:pt>
                <c:pt idx="49">
                  <c:v>6.0247613775243192</c:v>
                </c:pt>
                <c:pt idx="50">
                  <c:v>163.93051054852472</c:v>
                </c:pt>
                <c:pt idx="51">
                  <c:v>47.204073716051319</c:v>
                </c:pt>
                <c:pt idx="52">
                  <c:v>181.92329907450147</c:v>
                </c:pt>
                <c:pt idx="53">
                  <c:v>15.439891932673806</c:v>
                </c:pt>
                <c:pt idx="54">
                  <c:v>146.1291626076848</c:v>
                </c:pt>
                <c:pt idx="55">
                  <c:v>217.91974984155769</c:v>
                </c:pt>
                <c:pt idx="56">
                  <c:v>19.326504194772792</c:v>
                </c:pt>
                <c:pt idx="57">
                  <c:v>55.666737264417236</c:v>
                </c:pt>
                <c:pt idx="58">
                  <c:v>7.0831457304138894</c:v>
                </c:pt>
                <c:pt idx="59">
                  <c:v>9.7156896322241337</c:v>
                </c:pt>
                <c:pt idx="60">
                  <c:v>61.048275678723819</c:v>
                </c:pt>
                <c:pt idx="61">
                  <c:v>260.13612317407507</c:v>
                </c:pt>
                <c:pt idx="62">
                  <c:v>14.257360877780899</c:v>
                </c:pt>
                <c:pt idx="63">
                  <c:v>57.569430554194433</c:v>
                </c:pt>
                <c:pt idx="64">
                  <c:v>21.084377731420556</c:v>
                </c:pt>
                <c:pt idx="65">
                  <c:v>10.129333707431407</c:v>
                </c:pt>
                <c:pt idx="66">
                  <c:v>69.686929720832254</c:v>
                </c:pt>
                <c:pt idx="67">
                  <c:v>7.5202849841374082</c:v>
                </c:pt>
                <c:pt idx="68">
                  <c:v>12.993790662547674</c:v>
                </c:pt>
                <c:pt idx="69">
                  <c:v>7.6443704931894123</c:v>
                </c:pt>
                <c:pt idx="70">
                  <c:v>6.5423856740565105</c:v>
                </c:pt>
                <c:pt idx="71">
                  <c:v>3.8020673386262636</c:v>
                </c:pt>
                <c:pt idx="72">
                  <c:v>5.3433784035526699</c:v>
                </c:pt>
                <c:pt idx="73">
                  <c:v>3.9017824992896908</c:v>
                </c:pt>
                <c:pt idx="74">
                  <c:v>4.8258757624698037</c:v>
                </c:pt>
                <c:pt idx="75">
                  <c:v>4.2196534208925307</c:v>
                </c:pt>
                <c:pt idx="76">
                  <c:v>7.3001627320782827</c:v>
                </c:pt>
                <c:pt idx="77">
                  <c:v>4.6632232261098379</c:v>
                </c:pt>
                <c:pt idx="78">
                  <c:v>4.797781381421685</c:v>
                </c:pt>
                <c:pt idx="79">
                  <c:v>5.4601440346102681</c:v>
                </c:pt>
                <c:pt idx="80">
                  <c:v>8.0741648888016542</c:v>
                </c:pt>
                <c:pt idx="81">
                  <c:v>14.825211659433096</c:v>
                </c:pt>
                <c:pt idx="82">
                  <c:v>6.3884476105902683</c:v>
                </c:pt>
                <c:pt idx="83">
                  <c:v>4.7080601680628069</c:v>
                </c:pt>
                <c:pt idx="84">
                  <c:v>25.850631699586273</c:v>
                </c:pt>
                <c:pt idx="85">
                  <c:v>161.17688351283616</c:v>
                </c:pt>
                <c:pt idx="86">
                  <c:v>100.74565201990467</c:v>
                </c:pt>
                <c:pt idx="87">
                  <c:v>208.85789531196536</c:v>
                </c:pt>
                <c:pt idx="88">
                  <c:v>24.816957534001865</c:v>
                </c:pt>
                <c:pt idx="89">
                  <c:v>118.19701593391721</c:v>
                </c:pt>
                <c:pt idx="90">
                  <c:v>114.49012581893058</c:v>
                </c:pt>
                <c:pt idx="91">
                  <c:v>11.219353652582738</c:v>
                </c:pt>
                <c:pt idx="92">
                  <c:v>59.018589280702926</c:v>
                </c:pt>
                <c:pt idx="93">
                  <c:v>8.7225719983310803</c:v>
                </c:pt>
                <c:pt idx="94">
                  <c:v>8.1725865564064186</c:v>
                </c:pt>
                <c:pt idx="95">
                  <c:v>67.653017609703767</c:v>
                </c:pt>
                <c:pt idx="96">
                  <c:v>154.69262241304</c:v>
                </c:pt>
                <c:pt idx="97">
                  <c:v>10.48013551028591</c:v>
                </c:pt>
                <c:pt idx="98">
                  <c:v>53.783460006526404</c:v>
                </c:pt>
                <c:pt idx="99">
                  <c:v>10.920859846395361</c:v>
                </c:pt>
                <c:pt idx="100">
                  <c:v>8.6024658585607803</c:v>
                </c:pt>
                <c:pt idx="101">
                  <c:v>82.940891642587076</c:v>
                </c:pt>
                <c:pt idx="102">
                  <c:v>8.1021923474921262</c:v>
                </c:pt>
                <c:pt idx="103">
                  <c:v>12.28337317711207</c:v>
                </c:pt>
                <c:pt idx="104">
                  <c:v>8.5657725473492619</c:v>
                </c:pt>
                <c:pt idx="105">
                  <c:v>5.2210583961793118</c:v>
                </c:pt>
                <c:pt idx="106">
                  <c:v>6.8911211698737791</c:v>
                </c:pt>
                <c:pt idx="107">
                  <c:v>9.9092391709234864</c:v>
                </c:pt>
                <c:pt idx="108">
                  <c:v>7.5518030681261905</c:v>
                </c:pt>
                <c:pt idx="109">
                  <c:v>25.738458659751533</c:v>
                </c:pt>
                <c:pt idx="110">
                  <c:v>8.2412886610281166</c:v>
                </c:pt>
                <c:pt idx="111">
                  <c:v>5.1379725144449369</c:v>
                </c:pt>
                <c:pt idx="112">
                  <c:v>5.810361971956044</c:v>
                </c:pt>
                <c:pt idx="113">
                  <c:v>4.710506893207592</c:v>
                </c:pt>
                <c:pt idx="114">
                  <c:v>6.8145757617665703</c:v>
                </c:pt>
                <c:pt idx="115">
                  <c:v>8.9936365913164718</c:v>
                </c:pt>
                <c:pt idx="116">
                  <c:v>4.2900638844026995</c:v>
                </c:pt>
                <c:pt idx="117">
                  <c:v>10.794703070737476</c:v>
                </c:pt>
                <c:pt idx="118">
                  <c:v>13.028459479036709</c:v>
                </c:pt>
                <c:pt idx="119">
                  <c:v>5.1194752338322145</c:v>
                </c:pt>
                <c:pt idx="120">
                  <c:v>177.60466000869823</c:v>
                </c:pt>
                <c:pt idx="121">
                  <c:v>40.369275445344705</c:v>
                </c:pt>
                <c:pt idx="122">
                  <c:v>172.0082323692053</c:v>
                </c:pt>
                <c:pt idx="123">
                  <c:v>12.984376742891696</c:v>
                </c:pt>
                <c:pt idx="124">
                  <c:v>40.88530037383439</c:v>
                </c:pt>
                <c:pt idx="125">
                  <c:v>237.13303108212696</c:v>
                </c:pt>
                <c:pt idx="126">
                  <c:v>10.770179532811747</c:v>
                </c:pt>
                <c:pt idx="127">
                  <c:v>32.088271263260225</c:v>
                </c:pt>
                <c:pt idx="128">
                  <c:v>10.941950508120014</c:v>
                </c:pt>
                <c:pt idx="129">
                  <c:v>7.2014361283888002</c:v>
                </c:pt>
                <c:pt idx="130">
                  <c:v>69.431742912131241</c:v>
                </c:pt>
                <c:pt idx="131">
                  <c:v>228.27570493219164</c:v>
                </c:pt>
                <c:pt idx="132">
                  <c:v>14.252081848226494</c:v>
                </c:pt>
                <c:pt idx="133">
                  <c:v>37.594369194572131</c:v>
                </c:pt>
                <c:pt idx="134">
                  <c:v>6.2549154864123224</c:v>
                </c:pt>
                <c:pt idx="135">
                  <c:v>7.9257540982845152</c:v>
                </c:pt>
                <c:pt idx="136">
                  <c:v>49.833318593905744</c:v>
                </c:pt>
                <c:pt idx="137">
                  <c:v>6.749149426448394</c:v>
                </c:pt>
                <c:pt idx="138">
                  <c:v>10.919007093562509</c:v>
                </c:pt>
                <c:pt idx="139">
                  <c:v>5.9501735403854479</c:v>
                </c:pt>
                <c:pt idx="140">
                  <c:v>5.9223110259446923</c:v>
                </c:pt>
                <c:pt idx="141">
                  <c:v>10.495580699246693</c:v>
                </c:pt>
                <c:pt idx="142">
                  <c:v>7.0240332854805123</c:v>
                </c:pt>
                <c:pt idx="143">
                  <c:v>5.6271285163995781</c:v>
                </c:pt>
                <c:pt idx="144">
                  <c:v>4.8997062053036835</c:v>
                </c:pt>
                <c:pt idx="145">
                  <c:v>6.5861271662945571</c:v>
                </c:pt>
                <c:pt idx="146">
                  <c:v>6.7013902944805617</c:v>
                </c:pt>
                <c:pt idx="147">
                  <c:v>7.0321257689458081</c:v>
                </c:pt>
                <c:pt idx="148">
                  <c:v>13.883112073102259</c:v>
                </c:pt>
                <c:pt idx="149">
                  <c:v>10.942110783080427</c:v>
                </c:pt>
                <c:pt idx="150">
                  <c:v>6.9655714964257749</c:v>
                </c:pt>
                <c:pt idx="151">
                  <c:v>4.4447880023870185</c:v>
                </c:pt>
                <c:pt idx="152">
                  <c:v>10.896753884057729</c:v>
                </c:pt>
                <c:pt idx="153">
                  <c:v>4.5839562477202325</c:v>
                </c:pt>
                <c:pt idx="154">
                  <c:v>9.2996464166492459</c:v>
                </c:pt>
                <c:pt idx="155">
                  <c:v>197.45786878696865</c:v>
                </c:pt>
                <c:pt idx="156">
                  <c:v>131.53204865985026</c:v>
                </c:pt>
                <c:pt idx="157">
                  <c:v>125.15659561929162</c:v>
                </c:pt>
                <c:pt idx="158">
                  <c:v>11.323295361557118</c:v>
                </c:pt>
                <c:pt idx="159">
                  <c:v>101.58825718762284</c:v>
                </c:pt>
                <c:pt idx="160">
                  <c:v>269.6514170426355</c:v>
                </c:pt>
                <c:pt idx="161">
                  <c:v>19.524354816003182</c:v>
                </c:pt>
                <c:pt idx="162">
                  <c:v>57.307011254448241</c:v>
                </c:pt>
                <c:pt idx="163">
                  <c:v>7.3302861116818709</c:v>
                </c:pt>
                <c:pt idx="164">
                  <c:v>8.4963031929361694</c:v>
                </c:pt>
                <c:pt idx="165">
                  <c:v>67.763996770762134</c:v>
                </c:pt>
                <c:pt idx="166">
                  <c:v>137.96747234834424</c:v>
                </c:pt>
                <c:pt idx="167">
                  <c:v>8.9570652746343455</c:v>
                </c:pt>
                <c:pt idx="168">
                  <c:v>54.227302279416904</c:v>
                </c:pt>
                <c:pt idx="169">
                  <c:v>5.9589381025828034</c:v>
                </c:pt>
                <c:pt idx="170">
                  <c:v>7.5706772691542605</c:v>
                </c:pt>
                <c:pt idx="171">
                  <c:v>51.984148807073701</c:v>
                </c:pt>
                <c:pt idx="172">
                  <c:v>8.7365387211630789</c:v>
                </c:pt>
                <c:pt idx="173">
                  <c:v>8.8191567327495761</c:v>
                </c:pt>
                <c:pt idx="174">
                  <c:v>9.0969079841042859</c:v>
                </c:pt>
                <c:pt idx="175">
                  <c:v>6.7439838835765089</c:v>
                </c:pt>
                <c:pt idx="176">
                  <c:v>24.854741469633339</c:v>
                </c:pt>
                <c:pt idx="177">
                  <c:v>6.7600261934823944</c:v>
                </c:pt>
                <c:pt idx="178">
                  <c:v>7.6432814060471879</c:v>
                </c:pt>
                <c:pt idx="179">
                  <c:v>30.406937748135228</c:v>
                </c:pt>
                <c:pt idx="180">
                  <c:v>7.3872884282208222</c:v>
                </c:pt>
                <c:pt idx="181">
                  <c:v>11.407017699081383</c:v>
                </c:pt>
                <c:pt idx="182">
                  <c:v>7.7042383117965842</c:v>
                </c:pt>
                <c:pt idx="183">
                  <c:v>4.6357090519507596</c:v>
                </c:pt>
                <c:pt idx="184">
                  <c:v>8.6702125209460892</c:v>
                </c:pt>
                <c:pt idx="185">
                  <c:v>10.82052253532785</c:v>
                </c:pt>
                <c:pt idx="186">
                  <c:v>12.491015365653295</c:v>
                </c:pt>
                <c:pt idx="187">
                  <c:v>13.999889977775659</c:v>
                </c:pt>
                <c:pt idx="188">
                  <c:v>4.0498565184144342</c:v>
                </c:pt>
                <c:pt idx="189">
                  <c:v>4.3692129899913237</c:v>
                </c:pt>
                <c:pt idx="190">
                  <c:v>78.646767274648326</c:v>
                </c:pt>
                <c:pt idx="191">
                  <c:v>164.28773400149754</c:v>
                </c:pt>
                <c:pt idx="192">
                  <c:v>48.188025421310236</c:v>
                </c:pt>
                <c:pt idx="193">
                  <c:v>5.3852378456834185</c:v>
                </c:pt>
                <c:pt idx="194">
                  <c:v>60.784735341936909</c:v>
                </c:pt>
                <c:pt idx="195">
                  <c:v>43.634163887742503</c:v>
                </c:pt>
                <c:pt idx="196">
                  <c:v>15.843396978505577</c:v>
                </c:pt>
                <c:pt idx="197">
                  <c:v>47.083606103164364</c:v>
                </c:pt>
                <c:pt idx="198">
                  <c:v>4.2316219886590369</c:v>
                </c:pt>
                <c:pt idx="199">
                  <c:v>3.7419183861965877</c:v>
                </c:pt>
                <c:pt idx="200">
                  <c:v>73.679012294102208</c:v>
                </c:pt>
                <c:pt idx="201">
                  <c:v>32.69671686372822</c:v>
                </c:pt>
                <c:pt idx="202">
                  <c:v>5.148520595378665</c:v>
                </c:pt>
                <c:pt idx="203">
                  <c:v>96.954240197925813</c:v>
                </c:pt>
                <c:pt idx="204">
                  <c:v>8.4915819675423769</c:v>
                </c:pt>
                <c:pt idx="205">
                  <c:v>6.3895223243581478</c:v>
                </c:pt>
                <c:pt idx="206">
                  <c:v>36.278174600082131</c:v>
                </c:pt>
                <c:pt idx="207">
                  <c:v>4.1592918598828774</c:v>
                </c:pt>
                <c:pt idx="208">
                  <c:v>3.3404308278328063</c:v>
                </c:pt>
                <c:pt idx="209">
                  <c:v>8.7574243061677581</c:v>
                </c:pt>
                <c:pt idx="210">
                  <c:v>6.2941290610552088</c:v>
                </c:pt>
                <c:pt idx="211">
                  <c:v>14.934482625686957</c:v>
                </c:pt>
                <c:pt idx="212">
                  <c:v>6.4291447550836223</c:v>
                </c:pt>
                <c:pt idx="213">
                  <c:v>8.8426748976303085</c:v>
                </c:pt>
                <c:pt idx="214">
                  <c:v>3.9231362593986283</c:v>
                </c:pt>
                <c:pt idx="215">
                  <c:v>6.0358778218424316</c:v>
                </c:pt>
                <c:pt idx="216">
                  <c:v>12.851721807810179</c:v>
                </c:pt>
                <c:pt idx="217">
                  <c:v>5.786596154939649</c:v>
                </c:pt>
                <c:pt idx="218">
                  <c:v>19.734340626295541</c:v>
                </c:pt>
                <c:pt idx="219">
                  <c:v>6.7647735369449515</c:v>
                </c:pt>
                <c:pt idx="220">
                  <c:v>14.966921549735527</c:v>
                </c:pt>
                <c:pt idx="221">
                  <c:v>3.7361479571893801</c:v>
                </c:pt>
                <c:pt idx="222">
                  <c:v>7.2285145416857297</c:v>
                </c:pt>
                <c:pt idx="223">
                  <c:v>6.3213261641669307</c:v>
                </c:pt>
                <c:pt idx="224">
                  <c:v>3.3117446814924647</c:v>
                </c:pt>
                <c:pt idx="225">
                  <c:v>224.43467682103</c:v>
                </c:pt>
                <c:pt idx="226">
                  <c:v>158.60090624245987</c:v>
                </c:pt>
                <c:pt idx="227">
                  <c:v>45.103625783121565</c:v>
                </c:pt>
                <c:pt idx="228">
                  <c:v>5.2656851392909605</c:v>
                </c:pt>
                <c:pt idx="229">
                  <c:v>239.86414802535919</c:v>
                </c:pt>
                <c:pt idx="230">
                  <c:v>71.353995389119376</c:v>
                </c:pt>
                <c:pt idx="231">
                  <c:v>10.585878351192873</c:v>
                </c:pt>
                <c:pt idx="232">
                  <c:v>36.296242455828683</c:v>
                </c:pt>
                <c:pt idx="233">
                  <c:v>4.8507419329223804</c:v>
                </c:pt>
                <c:pt idx="234">
                  <c:v>4.8497905953248415</c:v>
                </c:pt>
                <c:pt idx="235">
                  <c:v>140.79285134726453</c:v>
                </c:pt>
                <c:pt idx="236">
                  <c:v>33.187408531575741</c:v>
                </c:pt>
                <c:pt idx="237">
                  <c:v>4.219630757696768</c:v>
                </c:pt>
                <c:pt idx="238">
                  <c:v>50.60497475893002</c:v>
                </c:pt>
                <c:pt idx="239">
                  <c:v>6.5598686781141424</c:v>
                </c:pt>
                <c:pt idx="240">
                  <c:v>3.4548303420400943</c:v>
                </c:pt>
                <c:pt idx="241">
                  <c:v>30.281771509141016</c:v>
                </c:pt>
                <c:pt idx="242">
                  <c:v>4.03095078437841</c:v>
                </c:pt>
                <c:pt idx="243">
                  <c:v>4.9220112115840484</c:v>
                </c:pt>
                <c:pt idx="244">
                  <c:v>3.192686173777497</c:v>
                </c:pt>
                <c:pt idx="245">
                  <c:v>7.0041428438146252</c:v>
                </c:pt>
                <c:pt idx="246">
                  <c:v>56.052615737066397</c:v>
                </c:pt>
                <c:pt idx="247">
                  <c:v>5.419435186320845</c:v>
                </c:pt>
                <c:pt idx="248">
                  <c:v>36.073373244134935</c:v>
                </c:pt>
                <c:pt idx="249">
                  <c:v>4.2833537339026497</c:v>
                </c:pt>
                <c:pt idx="250">
                  <c:v>5.8408590968447793</c:v>
                </c:pt>
                <c:pt idx="251">
                  <c:v>26.830345051733651</c:v>
                </c:pt>
                <c:pt idx="252">
                  <c:v>4.3628626309739627</c:v>
                </c:pt>
                <c:pt idx="253">
                  <c:v>24.358968305381115</c:v>
                </c:pt>
                <c:pt idx="254">
                  <c:v>4.1529536305295807</c:v>
                </c:pt>
                <c:pt idx="255">
                  <c:v>17.192251347660161</c:v>
                </c:pt>
                <c:pt idx="256">
                  <c:v>3.5188407213414505</c:v>
                </c:pt>
                <c:pt idx="257">
                  <c:v>2.924045855301256</c:v>
                </c:pt>
                <c:pt idx="258">
                  <c:v>10.016748055034617</c:v>
                </c:pt>
                <c:pt idx="259">
                  <c:v>2.6371409437012217</c:v>
                </c:pt>
                <c:pt idx="260">
                  <c:v>25.137148500155071</c:v>
                </c:pt>
                <c:pt idx="261">
                  <c:v>17.824556031938322</c:v>
                </c:pt>
                <c:pt idx="262">
                  <c:v>6.3519339552162419</c:v>
                </c:pt>
                <c:pt idx="263">
                  <c:v>6.7581024047197422</c:v>
                </c:pt>
                <c:pt idx="264">
                  <c:v>15.943376904367916</c:v>
                </c:pt>
                <c:pt idx="265">
                  <c:v>24.496849285008604</c:v>
                </c:pt>
                <c:pt idx="266">
                  <c:v>9.6791251203091573</c:v>
                </c:pt>
                <c:pt idx="267">
                  <c:v>4.3629764122752031</c:v>
                </c:pt>
                <c:pt idx="268">
                  <c:v>7.1527228788070749</c:v>
                </c:pt>
                <c:pt idx="269">
                  <c:v>3.4260548117406784</c:v>
                </c:pt>
                <c:pt idx="270">
                  <c:v>12.052974511161958</c:v>
                </c:pt>
                <c:pt idx="271">
                  <c:v>6.7097872866034241</c:v>
                </c:pt>
                <c:pt idx="272">
                  <c:v>5.3145671885539381</c:v>
                </c:pt>
                <c:pt idx="273">
                  <c:v>6.5639415210372487</c:v>
                </c:pt>
                <c:pt idx="274">
                  <c:v>11.371524440135662</c:v>
                </c:pt>
                <c:pt idx="275">
                  <c:v>4.1926628043159502</c:v>
                </c:pt>
                <c:pt idx="276">
                  <c:v>4.4257581477671515</c:v>
                </c:pt>
                <c:pt idx="277">
                  <c:v>5.4665006426689224</c:v>
                </c:pt>
                <c:pt idx="278">
                  <c:v>3.6867590827759233</c:v>
                </c:pt>
                <c:pt idx="279">
                  <c:v>5.7546576064586263</c:v>
                </c:pt>
              </c:numCache>
            </c:numRef>
          </c:val>
        </c:ser>
        <c:marker val="1"/>
        <c:axId val="79461760"/>
        <c:axId val="82986880"/>
      </c:lineChart>
      <c:catAx>
        <c:axId val="79461760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  <c:layout/>
        </c:title>
        <c:tickLblPos val="nextTo"/>
        <c:crossAx val="82986880"/>
        <c:crosses val="autoZero"/>
        <c:auto val="1"/>
        <c:lblAlgn val="ctr"/>
        <c:lblOffset val="100"/>
        <c:tickMarkSkip val="70"/>
      </c:catAx>
      <c:valAx>
        <c:axId val="8298688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</a:t>
                </a:r>
              </a:p>
            </c:rich>
          </c:tx>
          <c:layout/>
        </c:title>
        <c:numFmt formatCode="0.000" sourceLinked="1"/>
        <c:tickLblPos val="nextTo"/>
        <c:crossAx val="79461760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30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30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25</xdr:row>
      <xdr:rowOff>0</xdr:rowOff>
    </xdr:from>
    <xdr:to>
      <xdr:col>21</xdr:col>
      <xdr:colOff>352425</xdr:colOff>
      <xdr:row>39</xdr:row>
      <xdr:rowOff>76200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180975</xdr:colOff>
      <xdr:row>22</xdr:row>
      <xdr:rowOff>104775</xdr:rowOff>
    </xdr:from>
    <xdr:to>
      <xdr:col>21</xdr:col>
      <xdr:colOff>352425</xdr:colOff>
      <xdr:row>36</xdr:row>
      <xdr:rowOff>180975</xdr:rowOff>
    </xdr:to>
    <xdr:graphicFrame macro="">
      <xdr:nvGraphicFramePr>
        <xdr:cNvPr id="10" name="Diagramm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21</xdr:row>
      <xdr:rowOff>85725</xdr:rowOff>
    </xdr:from>
    <xdr:to>
      <xdr:col>11</xdr:col>
      <xdr:colOff>180975</xdr:colOff>
      <xdr:row>35</xdr:row>
      <xdr:rowOff>161925</xdr:rowOff>
    </xdr:to>
    <xdr:graphicFrame macro="">
      <xdr:nvGraphicFramePr>
        <xdr:cNvPr id="11" name="Diagramm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11</xdr:col>
      <xdr:colOff>171450</xdr:colOff>
      <xdr:row>39</xdr:row>
      <xdr:rowOff>76200</xdr:rowOff>
    </xdr:to>
    <xdr:graphicFrame macro="">
      <xdr:nvGraphicFramePr>
        <xdr:cNvPr id="12" name="Diagramm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oordinatentransformation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g\AppData\Roaming\Microsoft\Excel\Koordinatentransformation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num.-Neues-Modell"/>
      <sheetName val="Matrix_Konfiguration"/>
      <sheetName val="Ref0_Alle-Kombinationen"/>
      <sheetName val="Modell+Rechnung"/>
      <sheetName val="ConditionAnalysis"/>
      <sheetName val="numerisch"/>
      <sheetName val="analytisch"/>
      <sheetName val="AntennenPermutation"/>
      <sheetName val="Analyse der Kondition"/>
    </sheetNames>
    <sheetDataSet>
      <sheetData sheetId="0">
        <row r="4">
          <cell r="I4">
            <v>0.08</v>
          </cell>
        </row>
      </sheetData>
      <sheetData sheetId="1">
        <row r="7">
          <cell r="E7">
            <v>1.4990516053215155E-2</v>
          </cell>
        </row>
        <row r="149">
          <cell r="B149">
            <v>-30.441860465116278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num.-Neues-Modell"/>
      <sheetName val="Matrix_Konfiguration"/>
      <sheetName val="Ref0_Alle-Kombinationen"/>
      <sheetName val="Modell+Rechnung"/>
      <sheetName val="ConditionAnalysis"/>
      <sheetName val="numerisch"/>
      <sheetName val="analytisch"/>
      <sheetName val="AntennenPermutation"/>
      <sheetName val="Tabelle2"/>
    </sheetNames>
    <sheetDataSet>
      <sheetData sheetId="0" refreshError="1"/>
      <sheetData sheetId="1">
        <row r="7">
          <cell r="F7">
            <v>4.7716294587352029E-3</v>
          </cell>
        </row>
        <row r="151">
          <cell r="B151">
            <v>-12.232758620689655</v>
          </cell>
        </row>
        <row r="152">
          <cell r="B152">
            <v>-4.4375</v>
          </cell>
        </row>
        <row r="153">
          <cell r="B153">
            <v>14.42443729903537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9"/>
  <dimension ref="A1:AM1133"/>
  <sheetViews>
    <sheetView tabSelected="1" workbookViewId="0">
      <pane ySplit="11" topLeftCell="A12" activePane="bottomLeft" state="frozen"/>
      <selection pane="bottomLeft" activeCell="P10" sqref="P10"/>
    </sheetView>
  </sheetViews>
  <sheetFormatPr baseColWidth="10" defaultRowHeight="15"/>
  <cols>
    <col min="17" max="17" width="12" bestFit="1" customWidth="1"/>
    <col min="26" max="26" width="11.42578125" style="4"/>
    <col min="28" max="28" width="11.42578125" style="4"/>
    <col min="30" max="30" width="11.42578125" style="4"/>
    <col min="32" max="32" width="11.42578125" style="4"/>
    <col min="34" max="34" width="11.42578125" style="4"/>
    <col min="36" max="36" width="11.42578125" style="4"/>
    <col min="38" max="38" width="11.42578125" style="4"/>
  </cols>
  <sheetData>
    <row r="1" spans="1:39">
      <c r="B1" s="1" t="s">
        <v>0</v>
      </c>
      <c r="C1" s="15">
        <v>1.4990516053215155E-2</v>
      </c>
      <c r="D1" s="1" t="s">
        <v>1</v>
      </c>
      <c r="E1" s="15">
        <v>4.7716294587352029E-3</v>
      </c>
      <c r="G1" s="15"/>
      <c r="H1" s="15"/>
      <c r="S1" s="2" t="s">
        <v>2</v>
      </c>
      <c r="T1" s="3"/>
    </row>
    <row r="2" spans="1:39">
      <c r="C2" t="s">
        <v>3</v>
      </c>
      <c r="D2" t="s">
        <v>4</v>
      </c>
      <c r="E2" t="s">
        <v>5</v>
      </c>
      <c r="O2" s="16">
        <v>4.2469235514825572</v>
      </c>
      <c r="P2">
        <f>DEGREES(O2)</f>
        <v>243.33079541466111</v>
      </c>
      <c r="S2" t="s">
        <v>6</v>
      </c>
      <c r="T2" s="28">
        <v>4.5679709300024198</v>
      </c>
      <c r="U2">
        <v>4.1577749587548292</v>
      </c>
      <c r="V2">
        <f ca="1">RANDBETWEEN(-30,30)*RAND()</f>
        <v>6.5359161495069067</v>
      </c>
      <c r="W2" s="16">
        <v>-30.441860465116278</v>
      </c>
    </row>
    <row r="3" spans="1:39">
      <c r="B3">
        <v>0</v>
      </c>
      <c r="C3" s="3">
        <v>0.47920829337661575</v>
      </c>
      <c r="D3" s="3">
        <v>-1.0120183213662168</v>
      </c>
      <c r="E3" s="3">
        <v>0.60667574649490386</v>
      </c>
      <c r="O3" s="16">
        <v>0</v>
      </c>
      <c r="P3">
        <f t="shared" ref="P3:P9" si="0">DEGREES(O3)</f>
        <v>0</v>
      </c>
      <c r="S3" s="5" t="s">
        <v>7</v>
      </c>
      <c r="T3" s="28">
        <v>0</v>
      </c>
      <c r="U3">
        <v>4.7123889803846897</v>
      </c>
      <c r="V3">
        <f t="shared" ref="V3:V9" ca="1" si="1">RANDBETWEEN(-30,30)*RAND()</f>
        <v>24.093896807128068</v>
      </c>
      <c r="W3" s="16">
        <v>0</v>
      </c>
    </row>
    <row r="4" spans="1:39">
      <c r="B4">
        <v>1</v>
      </c>
      <c r="C4" s="6">
        <v>-0.77466733619029227</v>
      </c>
      <c r="D4" s="6">
        <v>-1.0446104874939868</v>
      </c>
      <c r="E4" s="6">
        <v>1.3460223603321362</v>
      </c>
      <c r="O4" s="16">
        <v>3.8745549533565216</v>
      </c>
      <c r="P4">
        <f t="shared" si="0"/>
        <v>221.99564631883624</v>
      </c>
      <c r="S4" t="s">
        <v>8</v>
      </c>
      <c r="T4" s="28">
        <v>4.7933498456802379</v>
      </c>
      <c r="U4">
        <v>3.8747580589584212</v>
      </c>
      <c r="V4">
        <f t="shared" ca="1" si="1"/>
        <v>-4.0458083712626696</v>
      </c>
      <c r="W4" s="16">
        <v>-12.232758620689655</v>
      </c>
    </row>
    <row r="5" spans="1:39">
      <c r="B5">
        <v>2</v>
      </c>
      <c r="C5" s="3">
        <v>1.5211206823878374</v>
      </c>
      <c r="D5" s="3">
        <v>-1.0528368537974293</v>
      </c>
      <c r="E5" s="3">
        <v>1.3791595783414641</v>
      </c>
      <c r="O5" s="16">
        <v>3.4207292102979738</v>
      </c>
      <c r="P5">
        <f t="shared" si="0"/>
        <v>195.99334660719293</v>
      </c>
      <c r="S5" t="s">
        <v>9</v>
      </c>
      <c r="T5" s="28">
        <v>4.6914556092434161</v>
      </c>
      <c r="U5">
        <v>3.3699339168729607</v>
      </c>
      <c r="V5">
        <f t="shared" ca="1" si="1"/>
        <v>-15.36803269959206</v>
      </c>
      <c r="W5" s="16">
        <v>-4.4375</v>
      </c>
    </row>
    <row r="6" spans="1:39">
      <c r="B6">
        <v>3</v>
      </c>
      <c r="C6" s="3">
        <v>-0.92363888275861272</v>
      </c>
      <c r="D6" s="3">
        <v>-0.1973528620206508</v>
      </c>
      <c r="E6" s="3">
        <v>1.3262629215252844</v>
      </c>
      <c r="O6" s="16">
        <v>4.9792468166626467</v>
      </c>
      <c r="P6">
        <f t="shared" si="0"/>
        <v>285.28982774872003</v>
      </c>
      <c r="S6" t="s">
        <v>10</v>
      </c>
      <c r="T6" s="28">
        <v>3.402690709174943</v>
      </c>
      <c r="U6">
        <v>1.2455999177006152</v>
      </c>
      <c r="V6">
        <f t="shared" ca="1" si="1"/>
        <v>-7.5050016771285515</v>
      </c>
      <c r="W6" s="16">
        <v>14.42443729903537</v>
      </c>
    </row>
    <row r="7" spans="1:39">
      <c r="B7">
        <v>4</v>
      </c>
      <c r="C7" s="3">
        <v>1.921310887304841</v>
      </c>
      <c r="D7" s="3">
        <v>3.1169393503572059E-2</v>
      </c>
      <c r="E7" s="3">
        <v>1.396000084565695</v>
      </c>
      <c r="O7" s="16">
        <v>5.0496204340277391</v>
      </c>
      <c r="P7">
        <f t="shared" si="0"/>
        <v>289.3219390128084</v>
      </c>
      <c r="S7" t="s">
        <v>11</v>
      </c>
      <c r="T7" s="28">
        <v>3.3469857349760046</v>
      </c>
      <c r="U7">
        <v>1.1626430122416365</v>
      </c>
      <c r="V7">
        <f t="shared" ca="1" si="1"/>
        <v>-2.7872235042591598</v>
      </c>
      <c r="W7" s="16">
        <v>38.125</v>
      </c>
    </row>
    <row r="8" spans="1:39">
      <c r="B8">
        <v>5</v>
      </c>
      <c r="C8" s="3">
        <v>-0.55595022326781895</v>
      </c>
      <c r="D8" s="3">
        <v>1.0917266627558933</v>
      </c>
      <c r="E8" s="3">
        <v>1.4358127591862397</v>
      </c>
      <c r="O8" s="16">
        <v>0</v>
      </c>
      <c r="P8">
        <f t="shared" si="0"/>
        <v>0</v>
      </c>
      <c r="S8" s="5" t="s">
        <v>12</v>
      </c>
      <c r="T8" s="28">
        <v>0</v>
      </c>
      <c r="U8">
        <v>4.7123889803846897</v>
      </c>
      <c r="V8">
        <f t="shared" ca="1" si="1"/>
        <v>-17.501657037603223</v>
      </c>
      <c r="W8" s="16">
        <v>0</v>
      </c>
    </row>
    <row r="9" spans="1:39">
      <c r="B9">
        <v>6</v>
      </c>
      <c r="C9" s="6">
        <v>1.0628801501210983</v>
      </c>
      <c r="D9" s="6">
        <v>1.0721321685048839</v>
      </c>
      <c r="E9" s="6">
        <v>1.3583899668915187</v>
      </c>
      <c r="O9" s="16">
        <v>4.5465959616069433</v>
      </c>
      <c r="P9">
        <f t="shared" si="0"/>
        <v>260.50075975130193</v>
      </c>
      <c r="S9" t="s">
        <v>13</v>
      </c>
      <c r="T9" s="28">
        <v>4.300783453280463</v>
      </c>
      <c r="U9">
        <v>4.5088736833347491</v>
      </c>
      <c r="V9">
        <f t="shared" ca="1" si="1"/>
        <v>6.4668025860380425</v>
      </c>
      <c r="W9" s="16">
        <v>-18.798816568047336</v>
      </c>
    </row>
    <row r="10" spans="1:39">
      <c r="B10">
        <v>7</v>
      </c>
      <c r="C10" s="3">
        <v>0.45375044784821961</v>
      </c>
      <c r="D10" s="3">
        <v>1.354747525895555</v>
      </c>
      <c r="E10" s="3">
        <v>0.67035999999957208</v>
      </c>
      <c r="F10" s="3"/>
      <c r="G10" s="3"/>
      <c r="H10" s="3"/>
      <c r="I10" s="3"/>
      <c r="J10" s="3"/>
      <c r="K10" s="3"/>
    </row>
    <row r="11" spans="1:39">
      <c r="L11" t="s">
        <v>14</v>
      </c>
      <c r="M11" t="s">
        <v>15</v>
      </c>
    </row>
    <row r="12" spans="1:39">
      <c r="A12" s="7"/>
      <c r="B12" s="8">
        <v>-1.253875629566908</v>
      </c>
      <c r="C12" s="8">
        <v>-3.2592166127769939E-2</v>
      </c>
      <c r="D12" s="8">
        <v>0.73934661383723232</v>
      </c>
      <c r="E12" s="7">
        <v>-1.4990516053215155E-2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>
        <v>1.0599498795536459</v>
      </c>
      <c r="M12">
        <v>0</v>
      </c>
      <c r="N12" s="9"/>
      <c r="O12" s="3">
        <f t="shared" ref="O12:O70" si="2">L12-M12</f>
        <v>1.0599498795536459</v>
      </c>
      <c r="P12" s="3"/>
      <c r="Q12" s="3"/>
      <c r="R12" s="3"/>
    </row>
    <row r="13" spans="1:39">
      <c r="A13" s="7" t="s">
        <v>16</v>
      </c>
      <c r="B13" s="8">
        <v>1.0419123890112216</v>
      </c>
      <c r="C13" s="8">
        <v>-4.0818532431212473E-2</v>
      </c>
      <c r="D13" s="8">
        <v>0.77248383184656022</v>
      </c>
      <c r="E13" s="7">
        <v>0</v>
      </c>
      <c r="F13" s="7">
        <v>-1.4990516053215155E-2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>
        <v>0.8419894247146269</v>
      </c>
      <c r="M13">
        <v>0</v>
      </c>
      <c r="N13" s="9"/>
      <c r="O13" s="3">
        <f t="shared" si="2"/>
        <v>0.8419894247146269</v>
      </c>
      <c r="P13" s="3"/>
      <c r="Q13" s="3"/>
      <c r="R13" s="3"/>
      <c r="S13" s="4"/>
      <c r="T13" s="3"/>
      <c r="W13" s="4"/>
      <c r="X13" s="4"/>
      <c r="Y13" s="3"/>
      <c r="AA13" s="3"/>
      <c r="AC13" s="3"/>
      <c r="AE13" s="3"/>
      <c r="AG13" s="3"/>
      <c r="AI13" s="3"/>
      <c r="AK13" s="3"/>
      <c r="AM13" s="3"/>
    </row>
    <row r="14" spans="1:39">
      <c r="A14" s="7"/>
      <c r="B14" s="8">
        <v>-1.4028471761352286</v>
      </c>
      <c r="C14" s="8">
        <v>0.814665459345566</v>
      </c>
      <c r="D14" s="8">
        <v>0.7195871750303805</v>
      </c>
      <c r="E14" s="7">
        <v>0</v>
      </c>
      <c r="F14" s="7">
        <v>0</v>
      </c>
      <c r="G14" s="7">
        <v>-1.4990516053215155E-2</v>
      </c>
      <c r="H14" s="7">
        <v>0</v>
      </c>
      <c r="I14" s="7">
        <v>0</v>
      </c>
      <c r="J14" s="7">
        <v>0</v>
      </c>
      <c r="K14" s="7">
        <v>0</v>
      </c>
      <c r="L14">
        <v>1.5747328563547551</v>
      </c>
      <c r="M14">
        <v>0</v>
      </c>
      <c r="N14" s="9"/>
      <c r="O14" s="3">
        <f t="shared" si="2"/>
        <v>1.5747328563547551</v>
      </c>
      <c r="P14" s="3"/>
      <c r="Q14" s="3"/>
      <c r="R14" s="3"/>
      <c r="S14" s="4"/>
      <c r="T14" s="3"/>
      <c r="W14" s="4"/>
      <c r="X14" s="4"/>
      <c r="Y14" s="3"/>
      <c r="AA14" s="3"/>
      <c r="AC14" s="3"/>
      <c r="AE14" s="3"/>
      <c r="AG14" s="3"/>
      <c r="AI14" s="3"/>
      <c r="AK14" s="3"/>
      <c r="AM14" s="3"/>
    </row>
    <row r="15" spans="1:39">
      <c r="A15" s="7"/>
      <c r="B15" s="8"/>
      <c r="C15" s="8"/>
      <c r="D15" s="8"/>
      <c r="E15" s="7"/>
      <c r="F15" s="7"/>
      <c r="G15" s="7"/>
      <c r="H15" s="7"/>
      <c r="I15" s="7"/>
      <c r="J15" s="7"/>
      <c r="K15" s="7"/>
      <c r="N15" s="10"/>
      <c r="O15" s="3"/>
      <c r="P15" s="3"/>
      <c r="Q15" s="3"/>
      <c r="R15" s="3"/>
      <c r="S15" s="4"/>
      <c r="T15" s="3"/>
      <c r="W15" s="4"/>
      <c r="X15" s="4"/>
      <c r="Y15" s="3"/>
      <c r="AA15" s="3"/>
      <c r="AC15" s="3"/>
      <c r="AE15" s="3"/>
      <c r="AG15" s="3"/>
      <c r="AI15" s="3"/>
      <c r="AK15" s="3"/>
      <c r="AM15" s="3"/>
    </row>
    <row r="16" spans="1:39">
      <c r="A16" s="7"/>
      <c r="B16" s="8">
        <v>-1.253875629566908</v>
      </c>
      <c r="C16" s="8">
        <v>-3.2592166127769939E-2</v>
      </c>
      <c r="D16" s="8">
        <v>0.73934661383723232</v>
      </c>
      <c r="E16" s="7">
        <v>-1.4990516053215155E-2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>
        <v>1.0599498795536459</v>
      </c>
      <c r="M16">
        <v>0</v>
      </c>
      <c r="N16" s="9"/>
      <c r="O16" s="3">
        <f>L16-M16</f>
        <v>1.0599498795536459</v>
      </c>
      <c r="P16" s="3"/>
      <c r="Q16" s="3"/>
      <c r="R16" s="3"/>
      <c r="S16" s="4"/>
      <c r="T16" s="3"/>
      <c r="W16" s="4"/>
      <c r="X16" s="4"/>
      <c r="Y16" s="3"/>
      <c r="AA16" s="3"/>
      <c r="AC16" s="3"/>
      <c r="AE16" s="3"/>
      <c r="AG16" s="3"/>
      <c r="AI16" s="3"/>
      <c r="AK16" s="3"/>
      <c r="AM16" s="3"/>
    </row>
    <row r="17" spans="1:39">
      <c r="A17" s="7" t="s">
        <v>17</v>
      </c>
      <c r="B17" s="8">
        <v>1.0419123890112216</v>
      </c>
      <c r="C17" s="8">
        <v>-4.0818532431212473E-2</v>
      </c>
      <c r="D17" s="8">
        <v>0.77248383184656022</v>
      </c>
      <c r="E17" s="7">
        <v>0</v>
      </c>
      <c r="F17" s="7">
        <v>-1.4990516053215155E-2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>
        <v>0.8419894247146269</v>
      </c>
      <c r="M17">
        <v>0</v>
      </c>
      <c r="N17" s="9"/>
      <c r="O17" s="3">
        <f t="shared" si="2"/>
        <v>0.8419894247146269</v>
      </c>
      <c r="P17" s="3"/>
      <c r="Q17" s="3"/>
      <c r="R17" s="3"/>
      <c r="S17" s="4"/>
      <c r="T17" s="3"/>
      <c r="W17" s="4"/>
      <c r="X17" s="4"/>
      <c r="Y17" s="3"/>
      <c r="AA17" s="3"/>
      <c r="AC17" s="3"/>
      <c r="AE17" s="3"/>
      <c r="AG17" s="3"/>
      <c r="AI17" s="3"/>
      <c r="AK17" s="3"/>
      <c r="AM17" s="3"/>
    </row>
    <row r="18" spans="1:39">
      <c r="A18" s="7"/>
      <c r="B18" s="8">
        <v>1.4421025939282253</v>
      </c>
      <c r="C18" s="8">
        <v>1.0431877148697888</v>
      </c>
      <c r="D18" s="8">
        <v>0.78932433807079116</v>
      </c>
      <c r="E18" s="7">
        <v>0</v>
      </c>
      <c r="F18" s="7">
        <v>0</v>
      </c>
      <c r="G18" s="7">
        <v>-1.4990516053215155E-2</v>
      </c>
      <c r="H18" s="7">
        <v>0</v>
      </c>
      <c r="I18" s="7">
        <v>0</v>
      </c>
      <c r="J18" s="7">
        <v>0</v>
      </c>
      <c r="K18" s="7">
        <v>0</v>
      </c>
      <c r="L18">
        <v>1.8954667052703302</v>
      </c>
      <c r="M18">
        <v>0</v>
      </c>
      <c r="N18" s="9"/>
      <c r="O18" s="3">
        <f t="shared" si="2"/>
        <v>1.8954667052703302</v>
      </c>
      <c r="P18" s="3"/>
      <c r="Q18" s="3"/>
      <c r="R18" s="3"/>
      <c r="S18" s="4"/>
      <c r="T18" s="3"/>
      <c r="W18" s="4"/>
      <c r="X18" s="4"/>
      <c r="Y18" s="3"/>
      <c r="AA18" s="3"/>
      <c r="AC18" s="3"/>
      <c r="AE18" s="3"/>
      <c r="AG18" s="3"/>
      <c r="AI18" s="3"/>
      <c r="AK18" s="3"/>
      <c r="AM18" s="3"/>
    </row>
    <row r="19" spans="1:39">
      <c r="A19" s="7"/>
      <c r="B19" s="8"/>
      <c r="C19" s="8"/>
      <c r="D19" s="8"/>
      <c r="E19" s="7"/>
      <c r="F19" s="7"/>
      <c r="G19" s="7"/>
      <c r="H19" s="7"/>
      <c r="I19" s="7"/>
      <c r="J19" s="7"/>
      <c r="K19" s="7"/>
      <c r="N19" s="10"/>
      <c r="O19" s="3"/>
      <c r="P19" s="3"/>
      <c r="Q19" s="3"/>
      <c r="R19" s="3"/>
      <c r="S19" s="4"/>
      <c r="T19" s="3"/>
      <c r="W19" s="4"/>
      <c r="X19" s="4"/>
      <c r="Y19" s="3"/>
      <c r="AA19" s="3"/>
      <c r="AC19" s="3"/>
      <c r="AE19" s="3"/>
      <c r="AG19" s="3"/>
      <c r="AI19" s="3"/>
      <c r="AK19" s="3"/>
      <c r="AM19" s="3"/>
    </row>
    <row r="20" spans="1:39">
      <c r="A20" s="7"/>
      <c r="B20" s="8">
        <v>-1.253875629566908</v>
      </c>
      <c r="C20" s="8">
        <v>-3.2592166127769939E-2</v>
      </c>
      <c r="D20" s="8">
        <v>0.73934661383723232</v>
      </c>
      <c r="E20" s="7">
        <v>-1.4990516053215155E-2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>
        <v>1.0599498795536459</v>
      </c>
      <c r="M20">
        <v>0</v>
      </c>
      <c r="N20" s="9"/>
      <c r="O20" s="3">
        <f>L20-M20</f>
        <v>1.0599498795536459</v>
      </c>
      <c r="P20" s="3"/>
      <c r="Q20" s="3"/>
      <c r="R20" s="3"/>
      <c r="S20" s="4"/>
      <c r="T20" s="3"/>
      <c r="W20" s="4"/>
      <c r="X20" s="4"/>
      <c r="Y20" s="3"/>
      <c r="AA20" s="3"/>
      <c r="AC20" s="3"/>
      <c r="AE20" s="3"/>
      <c r="AG20" s="3"/>
      <c r="AI20" s="3"/>
      <c r="AK20" s="3"/>
      <c r="AM20" s="3"/>
    </row>
    <row r="21" spans="1:39">
      <c r="A21" s="7" t="s">
        <v>18</v>
      </c>
      <c r="B21" s="8">
        <v>1.0419123890112216</v>
      </c>
      <c r="C21" s="8">
        <v>-4.0818532431212473E-2</v>
      </c>
      <c r="D21" s="8">
        <v>0.77248383184656022</v>
      </c>
      <c r="E21" s="7">
        <v>0</v>
      </c>
      <c r="F21" s="7">
        <v>-1.4990516053215155E-2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>
        <v>0.8419894247146269</v>
      </c>
      <c r="M21">
        <v>0</v>
      </c>
      <c r="N21" s="9"/>
      <c r="O21" s="3">
        <f t="shared" si="2"/>
        <v>0.8419894247146269</v>
      </c>
      <c r="P21" s="3"/>
      <c r="Q21" s="3"/>
      <c r="R21" s="3"/>
      <c r="S21" s="4"/>
      <c r="T21" s="3"/>
      <c r="W21" s="4"/>
      <c r="X21" s="4"/>
      <c r="Y21" s="3"/>
      <c r="AA21" s="3"/>
      <c r="AC21" s="3"/>
      <c r="AE21" s="3"/>
      <c r="AG21" s="3"/>
      <c r="AI21" s="3"/>
      <c r="AK21" s="3"/>
      <c r="AM21" s="3"/>
    </row>
    <row r="22" spans="1:39">
      <c r="A22" s="7"/>
      <c r="B22" s="8">
        <v>-1.0351585166444348</v>
      </c>
      <c r="C22" s="8">
        <v>2.1037449841221099</v>
      </c>
      <c r="D22" s="8">
        <v>0.82913701269133588</v>
      </c>
      <c r="E22" s="7">
        <v>0</v>
      </c>
      <c r="F22" s="7">
        <v>0</v>
      </c>
      <c r="G22" s="7">
        <v>-1.4990516053215155E-2</v>
      </c>
      <c r="H22" s="7">
        <v>0</v>
      </c>
      <c r="I22" s="7">
        <v>0</v>
      </c>
      <c r="J22" s="7">
        <v>0</v>
      </c>
      <c r="K22" s="7">
        <v>0</v>
      </c>
      <c r="L22">
        <v>3.0923821493075776</v>
      </c>
      <c r="M22">
        <v>0</v>
      </c>
      <c r="N22" s="9"/>
      <c r="O22" s="3">
        <f t="shared" si="2"/>
        <v>3.0923821493075776</v>
      </c>
      <c r="P22" s="3"/>
      <c r="Q22" s="3"/>
      <c r="R22" s="3"/>
      <c r="S22" s="4"/>
      <c r="T22" s="3"/>
      <c r="W22" s="4"/>
      <c r="X22" s="4"/>
      <c r="Y22" s="3"/>
      <c r="AA22" s="3"/>
      <c r="AC22" s="3"/>
      <c r="AE22" s="3"/>
      <c r="AG22" s="3"/>
      <c r="AI22" s="3"/>
      <c r="AK22" s="3"/>
      <c r="AM22" s="3"/>
    </row>
    <row r="23" spans="1:39">
      <c r="A23" s="7"/>
      <c r="B23" s="8"/>
      <c r="C23" s="8"/>
      <c r="D23" s="8"/>
      <c r="E23" s="7"/>
      <c r="F23" s="7"/>
      <c r="G23" s="7"/>
      <c r="H23" s="7"/>
      <c r="I23" s="7"/>
      <c r="J23" s="7"/>
      <c r="K23" s="7"/>
      <c r="N23" s="10"/>
      <c r="O23" s="3"/>
      <c r="P23" s="3"/>
      <c r="Q23" s="3"/>
      <c r="R23" s="3"/>
      <c r="S23" s="4"/>
      <c r="T23" s="3"/>
      <c r="W23" s="4"/>
      <c r="X23" s="4"/>
      <c r="Y23" s="3"/>
      <c r="AA23" s="3"/>
      <c r="AC23" s="3"/>
      <c r="AE23" s="3"/>
      <c r="AG23" s="3"/>
      <c r="AI23" s="3"/>
      <c r="AK23" s="3"/>
      <c r="AM23" s="3"/>
    </row>
    <row r="24" spans="1:39">
      <c r="A24" s="7"/>
      <c r="B24" s="8">
        <v>-1.253875629566908</v>
      </c>
      <c r="C24" s="8">
        <v>-3.2592166127769939E-2</v>
      </c>
      <c r="D24" s="8">
        <v>0.73934661383723232</v>
      </c>
      <c r="E24" s="7">
        <v>-1.4990516053215155E-2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>
        <v>1.0599498795536459</v>
      </c>
      <c r="M24">
        <v>0</v>
      </c>
      <c r="N24" s="9"/>
      <c r="O24" s="3">
        <f>L24-M24</f>
        <v>1.0599498795536459</v>
      </c>
      <c r="P24" s="3"/>
      <c r="Q24" s="3"/>
      <c r="R24" s="3"/>
      <c r="S24" s="4"/>
      <c r="T24" s="3"/>
      <c r="W24" s="4"/>
      <c r="X24" s="4"/>
      <c r="Y24" s="3"/>
      <c r="AA24" s="3"/>
      <c r="AC24" s="3"/>
      <c r="AE24" s="3"/>
      <c r="AG24" s="3"/>
      <c r="AI24" s="3"/>
      <c r="AK24" s="3"/>
      <c r="AM24" s="3"/>
    </row>
    <row r="25" spans="1:39">
      <c r="A25" s="7" t="s">
        <v>19</v>
      </c>
      <c r="B25" s="8">
        <v>1.0419123890112216</v>
      </c>
      <c r="C25" s="8">
        <v>-4.0818532431212473E-2</v>
      </c>
      <c r="D25" s="8">
        <v>0.77248383184656022</v>
      </c>
      <c r="E25" s="7">
        <v>0</v>
      </c>
      <c r="F25" s="7">
        <v>-1.4990516053215155E-2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>
        <v>0.8419894247146269</v>
      </c>
      <c r="M25">
        <v>0</v>
      </c>
      <c r="N25" s="9"/>
      <c r="O25" s="3">
        <f t="shared" si="2"/>
        <v>0.8419894247146269</v>
      </c>
      <c r="P25" s="3"/>
      <c r="Q25" s="3"/>
      <c r="R25" s="3"/>
      <c r="S25" s="4"/>
      <c r="T25" s="3"/>
      <c r="W25" s="4"/>
      <c r="X25" s="4"/>
      <c r="Y25" s="3"/>
      <c r="AA25" s="3"/>
      <c r="AC25" s="3"/>
      <c r="AE25" s="3"/>
      <c r="AG25" s="3"/>
      <c r="AI25" s="3"/>
      <c r="AK25" s="3"/>
      <c r="AM25" s="3"/>
    </row>
    <row r="26" spans="1:39">
      <c r="A26" s="7"/>
      <c r="B26" s="8">
        <v>0.58367185674448252</v>
      </c>
      <c r="C26" s="8">
        <v>2.0841504898711007</v>
      </c>
      <c r="D26" s="8">
        <v>0.75171422039661484</v>
      </c>
      <c r="E26" s="7">
        <v>0</v>
      </c>
      <c r="F26" s="7">
        <v>0</v>
      </c>
      <c r="G26" s="7">
        <v>-1.4990516053215155E-2</v>
      </c>
      <c r="H26" s="7">
        <v>0</v>
      </c>
      <c r="I26" s="7">
        <v>0</v>
      </c>
      <c r="J26" s="7">
        <v>0</v>
      </c>
      <c r="K26" s="7">
        <v>0</v>
      </c>
      <c r="L26">
        <v>2.6247151849659955</v>
      </c>
      <c r="M26">
        <v>0</v>
      </c>
      <c r="N26" s="9"/>
      <c r="O26" s="3">
        <f t="shared" si="2"/>
        <v>2.6247151849659955</v>
      </c>
      <c r="P26" s="3"/>
      <c r="Q26" s="3"/>
      <c r="R26" s="3"/>
      <c r="S26" s="4"/>
      <c r="T26" s="3"/>
      <c r="W26" s="4"/>
      <c r="X26" s="4"/>
      <c r="Y26" s="3"/>
      <c r="AA26" s="3"/>
      <c r="AC26" s="3"/>
      <c r="AE26" s="3"/>
      <c r="AG26" s="3"/>
      <c r="AI26" s="3"/>
      <c r="AK26" s="3"/>
      <c r="AM26" s="3"/>
    </row>
    <row r="27" spans="1:39">
      <c r="A27" s="7"/>
      <c r="B27" s="8"/>
      <c r="C27" s="8"/>
      <c r="D27" s="8"/>
      <c r="E27" s="7"/>
      <c r="F27" s="7"/>
      <c r="G27" s="7"/>
      <c r="H27" s="7"/>
      <c r="I27" s="7"/>
      <c r="J27" s="7"/>
      <c r="K27" s="7"/>
      <c r="N27" s="10"/>
      <c r="O27" s="3"/>
      <c r="P27" s="3"/>
      <c r="Q27" s="3"/>
      <c r="R27" s="3"/>
      <c r="S27" s="4"/>
      <c r="T27" s="3"/>
      <c r="W27" s="4"/>
      <c r="X27" s="4"/>
      <c r="Y27" s="3"/>
      <c r="AA27" s="3"/>
      <c r="AC27" s="3"/>
      <c r="AE27" s="3"/>
      <c r="AG27" s="3"/>
      <c r="AI27" s="3"/>
      <c r="AK27" s="3"/>
      <c r="AM27" s="3"/>
    </row>
    <row r="28" spans="1:39">
      <c r="A28" s="7"/>
      <c r="B28" s="8">
        <v>-1.253875629566908</v>
      </c>
      <c r="C28" s="8">
        <v>-3.2592166127769939E-2</v>
      </c>
      <c r="D28" s="8">
        <v>0.73934661383723232</v>
      </c>
      <c r="E28" s="7">
        <v>-1.4990516053215155E-2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>
        <v>1.0599498795536459</v>
      </c>
      <c r="M28">
        <v>0</v>
      </c>
      <c r="N28" s="9"/>
      <c r="O28" s="3">
        <f>L28-M28</f>
        <v>1.0599498795536459</v>
      </c>
      <c r="P28" s="3"/>
      <c r="Q28" s="3"/>
      <c r="R28" s="3"/>
      <c r="S28" s="4"/>
      <c r="T28" s="3"/>
      <c r="W28" s="4"/>
      <c r="X28" s="4"/>
      <c r="Y28" s="3"/>
      <c r="AA28" s="3"/>
      <c r="AC28" s="3"/>
      <c r="AE28" s="3"/>
      <c r="AG28" s="3"/>
      <c r="AI28" s="3"/>
      <c r="AK28" s="3"/>
      <c r="AM28" s="3"/>
    </row>
    <row r="29" spans="1:39">
      <c r="A29" s="7" t="s">
        <v>20</v>
      </c>
      <c r="B29" s="8">
        <v>1.0419123890112216</v>
      </c>
      <c r="C29" s="8">
        <v>-4.0818532431212473E-2</v>
      </c>
      <c r="D29" s="8">
        <v>0.77248383184656022</v>
      </c>
      <c r="E29" s="7">
        <v>0</v>
      </c>
      <c r="F29" s="7">
        <v>-1.4990516053215155E-2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>
        <v>0.8419894247146269</v>
      </c>
      <c r="M29">
        <v>0</v>
      </c>
      <c r="N29" s="9"/>
      <c r="O29" s="3">
        <f t="shared" si="2"/>
        <v>0.8419894247146269</v>
      </c>
      <c r="P29" s="3"/>
      <c r="Q29" s="3"/>
      <c r="R29" s="3"/>
      <c r="S29" s="4"/>
      <c r="T29" s="3"/>
      <c r="W29" s="4"/>
      <c r="X29" s="4"/>
      <c r="Y29" s="3"/>
      <c r="AA29" s="3"/>
      <c r="AC29" s="3"/>
      <c r="AE29" s="3"/>
      <c r="AG29" s="3"/>
      <c r="AI29" s="3"/>
      <c r="AK29" s="3"/>
      <c r="AM29" s="3"/>
    </row>
    <row r="30" spans="1:39">
      <c r="A30" s="7"/>
      <c r="B30" s="8">
        <v>-2.5457845528396139E-2</v>
      </c>
      <c r="C30" s="8">
        <v>2.3667658472617719</v>
      </c>
      <c r="D30" s="8">
        <v>6.368425350466822E-2</v>
      </c>
      <c r="E30" s="7">
        <v>0</v>
      </c>
      <c r="F30" s="7">
        <v>0</v>
      </c>
      <c r="G30" s="7">
        <v>-1.4990516053215155E-2</v>
      </c>
      <c r="H30" s="7">
        <v>0</v>
      </c>
      <c r="I30" s="7">
        <v>0</v>
      </c>
      <c r="J30" s="7">
        <v>0</v>
      </c>
      <c r="K30" s="7">
        <v>0</v>
      </c>
      <c r="L30">
        <v>2.803142180904064</v>
      </c>
      <c r="M30">
        <v>0</v>
      </c>
      <c r="N30" s="9"/>
      <c r="O30" s="3">
        <f t="shared" si="2"/>
        <v>2.803142180904064</v>
      </c>
      <c r="P30" s="3"/>
      <c r="Q30" s="3"/>
      <c r="R30" s="3"/>
      <c r="S30" s="4"/>
      <c r="T30" s="3"/>
      <c r="W30" s="4"/>
      <c r="X30" s="4"/>
      <c r="Y30" s="3"/>
      <c r="AA30" s="3"/>
      <c r="AC30" s="3"/>
      <c r="AE30" s="3"/>
      <c r="AG30" s="3"/>
      <c r="AI30" s="3"/>
      <c r="AK30" s="3"/>
      <c r="AM30" s="3"/>
    </row>
    <row r="31" spans="1:39">
      <c r="A31" s="7"/>
      <c r="B31" s="8"/>
      <c r="C31" s="8"/>
      <c r="D31" s="8"/>
      <c r="E31" s="7"/>
      <c r="F31" s="7"/>
      <c r="G31" s="7"/>
      <c r="H31" s="7"/>
      <c r="I31" s="7"/>
      <c r="J31" s="7"/>
      <c r="K31" s="7"/>
      <c r="N31" s="10"/>
      <c r="O31" s="3"/>
      <c r="P31" s="3"/>
      <c r="Q31" s="3"/>
      <c r="R31" s="3"/>
      <c r="S31" s="4"/>
      <c r="T31" s="3"/>
      <c r="U31" s="3"/>
      <c r="W31" s="4"/>
      <c r="X31" s="4"/>
      <c r="Y31" s="3"/>
      <c r="AA31" s="3"/>
      <c r="AC31" s="3"/>
      <c r="AE31" s="3"/>
      <c r="AG31" s="3"/>
      <c r="AI31" s="3"/>
      <c r="AK31" s="3"/>
      <c r="AM31" s="3"/>
    </row>
    <row r="32" spans="1:39">
      <c r="A32" s="7"/>
      <c r="B32" s="8">
        <v>-1.253875629566908</v>
      </c>
      <c r="C32" s="8">
        <v>-3.2592166127769939E-2</v>
      </c>
      <c r="D32" s="8">
        <v>0.73934661383723232</v>
      </c>
      <c r="E32" s="7">
        <v>-1.4990516053215155E-2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>
        <v>1.0599498795536459</v>
      </c>
      <c r="M32">
        <v>0</v>
      </c>
      <c r="N32" s="9"/>
      <c r="O32" s="3">
        <f>L32-M32</f>
        <v>1.0599498795536459</v>
      </c>
      <c r="P32" s="3"/>
      <c r="Q32" s="3"/>
      <c r="R32" s="3"/>
      <c r="S32" s="4"/>
      <c r="T32" s="3"/>
      <c r="U32" s="3"/>
      <c r="W32" s="4"/>
      <c r="X32" s="4"/>
      <c r="Y32" s="3"/>
      <c r="AA32" s="3"/>
      <c r="AC32" s="3"/>
      <c r="AE32" s="3"/>
      <c r="AG32" s="3"/>
      <c r="AI32" s="3"/>
      <c r="AK32" s="3"/>
      <c r="AM32" s="3"/>
    </row>
    <row r="33" spans="1:39">
      <c r="A33" s="7" t="s">
        <v>21</v>
      </c>
      <c r="B33" s="8">
        <v>-1.4028471761352286</v>
      </c>
      <c r="C33" s="8">
        <v>0.814665459345566</v>
      </c>
      <c r="D33" s="8">
        <v>0.7195871750303805</v>
      </c>
      <c r="E33" s="7">
        <v>0</v>
      </c>
      <c r="F33" s="7">
        <v>-1.4990516053215155E-2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>
        <v>1.5747328563547551</v>
      </c>
      <c r="M33">
        <v>0</v>
      </c>
      <c r="N33" s="9"/>
      <c r="O33" s="3">
        <f t="shared" si="2"/>
        <v>1.5747328563547551</v>
      </c>
      <c r="P33" s="3"/>
      <c r="Q33" s="3"/>
      <c r="R33" s="3"/>
      <c r="S33" s="4"/>
      <c r="T33" s="3"/>
      <c r="W33" s="4"/>
      <c r="X33" s="4"/>
      <c r="Y33" s="3"/>
      <c r="AA33" s="3"/>
      <c r="AC33" s="3"/>
      <c r="AE33" s="3"/>
      <c r="AG33" s="3"/>
      <c r="AI33" s="3"/>
      <c r="AK33" s="3"/>
      <c r="AM33" s="3"/>
    </row>
    <row r="34" spans="1:39">
      <c r="A34" s="7"/>
      <c r="B34" s="8">
        <v>1.4421025939282253</v>
      </c>
      <c r="C34" s="8">
        <v>1.0431877148697888</v>
      </c>
      <c r="D34" s="8">
        <v>0.78932433807079116</v>
      </c>
      <c r="E34" s="7">
        <v>0</v>
      </c>
      <c r="F34" s="7">
        <v>0</v>
      </c>
      <c r="G34" s="7">
        <v>-1.4990516053215155E-2</v>
      </c>
      <c r="H34" s="7">
        <v>0</v>
      </c>
      <c r="I34" s="7">
        <v>0</v>
      </c>
      <c r="J34" s="7">
        <v>0</v>
      </c>
      <c r="K34" s="7">
        <v>0</v>
      </c>
      <c r="L34">
        <v>1.8954667052703302</v>
      </c>
      <c r="M34">
        <v>0</v>
      </c>
      <c r="N34" s="9"/>
      <c r="O34" s="3">
        <f t="shared" si="2"/>
        <v>1.8954667052703302</v>
      </c>
      <c r="P34" s="3"/>
      <c r="Q34" s="3"/>
      <c r="R34" s="3"/>
      <c r="S34" s="4"/>
      <c r="T34" s="3"/>
      <c r="W34" s="4"/>
      <c r="X34" s="4"/>
      <c r="Y34" s="3"/>
      <c r="AA34" s="3"/>
      <c r="AC34" s="3"/>
      <c r="AE34" s="3"/>
      <c r="AG34" s="3"/>
      <c r="AI34" s="3"/>
      <c r="AK34" s="3"/>
      <c r="AM34" s="3"/>
    </row>
    <row r="35" spans="1:39">
      <c r="A35" s="7"/>
      <c r="B35" s="8"/>
      <c r="C35" s="8"/>
      <c r="D35" s="8"/>
      <c r="E35" s="7"/>
      <c r="F35" s="7"/>
      <c r="G35" s="7"/>
      <c r="H35" s="7"/>
      <c r="I35" s="7"/>
      <c r="J35" s="7"/>
      <c r="K35" s="7"/>
      <c r="N35" s="10"/>
      <c r="O35" s="3"/>
      <c r="P35" s="3"/>
      <c r="Q35" s="3"/>
      <c r="R35" s="3"/>
      <c r="S35" s="4"/>
      <c r="T35" s="3"/>
      <c r="W35" s="4"/>
      <c r="X35" s="4"/>
      <c r="Y35" s="3"/>
      <c r="AA35" s="3"/>
      <c r="AC35" s="3"/>
      <c r="AE35" s="3"/>
      <c r="AG35" s="3"/>
      <c r="AI35" s="3"/>
      <c r="AK35" s="3"/>
      <c r="AM35" s="3"/>
    </row>
    <row r="36" spans="1:39">
      <c r="A36" s="7"/>
      <c r="B36" s="8">
        <v>-1.253875629566908</v>
      </c>
      <c r="C36" s="8">
        <v>-3.2592166127769939E-2</v>
      </c>
      <c r="D36" s="8">
        <v>0.73934661383723232</v>
      </c>
      <c r="E36" s="7">
        <v>-1.4990516053215155E-2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>
        <v>1.0599498795536459</v>
      </c>
      <c r="M36">
        <v>0</v>
      </c>
      <c r="N36" s="9"/>
      <c r="O36" s="3">
        <f>L36-M36</f>
        <v>1.0599498795536459</v>
      </c>
      <c r="P36" s="3"/>
      <c r="Q36" s="3"/>
      <c r="R36" s="3"/>
      <c r="S36" s="4"/>
      <c r="T36" s="3"/>
      <c r="W36" s="4"/>
      <c r="X36" s="4"/>
      <c r="Y36" s="3"/>
      <c r="AA36" s="3"/>
      <c r="AC36" s="3"/>
      <c r="AE36" s="3"/>
      <c r="AG36" s="3"/>
      <c r="AI36" s="3"/>
      <c r="AK36" s="3"/>
      <c r="AM36" s="3"/>
    </row>
    <row r="37" spans="1:39">
      <c r="A37" s="7" t="s">
        <v>22</v>
      </c>
      <c r="B37" s="8">
        <v>-1.4028471761352286</v>
      </c>
      <c r="C37" s="8">
        <v>0.814665459345566</v>
      </c>
      <c r="D37" s="8">
        <v>0.7195871750303805</v>
      </c>
      <c r="E37" s="7">
        <v>0</v>
      </c>
      <c r="F37" s="7">
        <v>-1.4990516053215155E-2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>
        <v>1.5747328563547551</v>
      </c>
      <c r="M37">
        <v>0</v>
      </c>
      <c r="N37" s="9"/>
      <c r="O37" s="3">
        <f t="shared" si="2"/>
        <v>1.5747328563547551</v>
      </c>
      <c r="P37" s="3"/>
      <c r="Q37" s="3"/>
      <c r="R37" s="3"/>
      <c r="S37" s="4"/>
      <c r="T37" s="3"/>
      <c r="W37" s="4"/>
      <c r="X37" s="4"/>
      <c r="Y37" s="3"/>
      <c r="AA37" s="3"/>
      <c r="AC37" s="3"/>
      <c r="AE37" s="3"/>
      <c r="AG37" s="3"/>
      <c r="AI37" s="3"/>
      <c r="AK37" s="3"/>
      <c r="AM37" s="3"/>
    </row>
    <row r="38" spans="1:39">
      <c r="A38" s="7"/>
      <c r="B38" s="8">
        <v>-1.0351585166444348</v>
      </c>
      <c r="C38" s="8">
        <v>2.1037449841221099</v>
      </c>
      <c r="D38" s="8">
        <v>0.82913701269133588</v>
      </c>
      <c r="E38" s="7">
        <v>0</v>
      </c>
      <c r="F38" s="7">
        <v>0</v>
      </c>
      <c r="G38" s="7">
        <v>-1.4990516053215155E-2</v>
      </c>
      <c r="H38" s="7">
        <v>0</v>
      </c>
      <c r="I38" s="7">
        <v>0</v>
      </c>
      <c r="J38" s="7">
        <v>0</v>
      </c>
      <c r="K38" s="7">
        <v>0</v>
      </c>
      <c r="L38">
        <v>3.0923821493075776</v>
      </c>
      <c r="M38">
        <v>0</v>
      </c>
      <c r="N38" s="9"/>
      <c r="O38" s="3">
        <f t="shared" si="2"/>
        <v>3.0923821493075776</v>
      </c>
      <c r="P38" s="3"/>
      <c r="Q38" s="3"/>
      <c r="R38" s="3"/>
      <c r="S38" s="4"/>
      <c r="T38" s="3"/>
      <c r="W38" s="4"/>
      <c r="X38" s="4"/>
      <c r="Y38" s="3"/>
      <c r="AA38" s="3"/>
      <c r="AC38" s="3"/>
      <c r="AE38" s="3"/>
      <c r="AG38" s="3"/>
      <c r="AI38" s="3"/>
      <c r="AK38" s="3"/>
      <c r="AM38" s="3"/>
    </row>
    <row r="39" spans="1:39">
      <c r="A39" s="7"/>
      <c r="B39" s="8"/>
      <c r="C39" s="8"/>
      <c r="D39" s="8"/>
      <c r="E39" s="7"/>
      <c r="F39" s="7"/>
      <c r="G39" s="7"/>
      <c r="H39" s="7"/>
      <c r="I39" s="7"/>
      <c r="J39" s="7"/>
      <c r="K39" s="7"/>
      <c r="N39" s="10"/>
      <c r="O39" s="3"/>
      <c r="P39" s="3"/>
      <c r="Q39" s="3"/>
      <c r="R39" s="3"/>
      <c r="S39" s="4"/>
      <c r="T39" s="3"/>
      <c r="W39" s="4"/>
      <c r="X39" s="4"/>
      <c r="Y39" s="3"/>
      <c r="AA39" s="3"/>
      <c r="AC39" s="3"/>
      <c r="AE39" s="3"/>
      <c r="AG39" s="3"/>
      <c r="AI39" s="3"/>
      <c r="AK39" s="3"/>
      <c r="AM39" s="3"/>
    </row>
    <row r="40" spans="1:39">
      <c r="A40" s="7"/>
      <c r="B40" s="8">
        <v>-1.253875629566908</v>
      </c>
      <c r="C40" s="8">
        <v>-3.2592166127769939E-2</v>
      </c>
      <c r="D40" s="8">
        <v>0.73934661383723232</v>
      </c>
      <c r="E40" s="7">
        <v>-1.4990516053215155E-2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>
        <v>1.0599498795536459</v>
      </c>
      <c r="M40">
        <v>0</v>
      </c>
      <c r="N40" s="9"/>
      <c r="O40" s="3">
        <f>L40-M40</f>
        <v>1.0599498795536459</v>
      </c>
      <c r="P40" s="3"/>
      <c r="Q40" s="3"/>
      <c r="R40" s="3"/>
      <c r="S40" s="4"/>
      <c r="T40" s="3"/>
      <c r="W40" s="4"/>
      <c r="X40" s="4"/>
      <c r="Y40" s="3"/>
      <c r="AA40" s="3"/>
      <c r="AC40" s="3"/>
      <c r="AE40" s="3"/>
      <c r="AG40" s="3"/>
      <c r="AI40" s="3"/>
      <c r="AK40" s="3"/>
      <c r="AM40" s="3"/>
    </row>
    <row r="41" spans="1:39">
      <c r="A41" s="7" t="s">
        <v>23</v>
      </c>
      <c r="B41" s="8">
        <v>-1.4028471761352286</v>
      </c>
      <c r="C41" s="8">
        <v>0.814665459345566</v>
      </c>
      <c r="D41" s="8">
        <v>0.7195871750303805</v>
      </c>
      <c r="E41" s="7">
        <v>0</v>
      </c>
      <c r="F41" s="7">
        <v>-1.4990516053215155E-2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>
        <v>1.5747328563547551</v>
      </c>
      <c r="M41">
        <v>0</v>
      </c>
      <c r="N41" s="9"/>
      <c r="O41" s="3">
        <f t="shared" si="2"/>
        <v>1.5747328563547551</v>
      </c>
      <c r="P41" s="3"/>
      <c r="Q41" s="3"/>
      <c r="R41" s="3"/>
      <c r="S41" s="4"/>
      <c r="T41" s="3"/>
      <c r="W41" s="4"/>
      <c r="X41" s="4"/>
      <c r="Y41" s="3"/>
      <c r="AA41" s="3"/>
      <c r="AC41" s="3"/>
      <c r="AE41" s="3"/>
      <c r="AG41" s="3"/>
      <c r="AI41" s="3"/>
      <c r="AK41" s="3"/>
      <c r="AM41" s="3"/>
    </row>
    <row r="42" spans="1:39">
      <c r="A42" s="7"/>
      <c r="B42" s="8">
        <v>0.58367185674448252</v>
      </c>
      <c r="C42" s="8">
        <v>2.0841504898711007</v>
      </c>
      <c r="D42" s="8">
        <v>0.75171422039661484</v>
      </c>
      <c r="E42" s="7">
        <v>0</v>
      </c>
      <c r="F42" s="7">
        <v>0</v>
      </c>
      <c r="G42" s="7">
        <v>-1.4990516053215155E-2</v>
      </c>
      <c r="H42" s="7">
        <v>0</v>
      </c>
      <c r="I42" s="7">
        <v>0</v>
      </c>
      <c r="J42" s="7">
        <v>0</v>
      </c>
      <c r="K42" s="7">
        <v>0</v>
      </c>
      <c r="L42">
        <v>2.6247151849659955</v>
      </c>
      <c r="M42">
        <v>0</v>
      </c>
      <c r="N42" s="9"/>
      <c r="O42" s="3">
        <f t="shared" si="2"/>
        <v>2.6247151849659955</v>
      </c>
      <c r="P42" s="3"/>
      <c r="Q42" s="3"/>
      <c r="R42" s="3"/>
      <c r="S42" s="4"/>
      <c r="T42" s="3"/>
      <c r="W42" s="4"/>
      <c r="X42" s="4"/>
      <c r="Y42" s="3"/>
      <c r="AA42" s="3"/>
      <c r="AC42" s="3"/>
      <c r="AE42" s="3"/>
      <c r="AG42" s="3"/>
      <c r="AI42" s="3"/>
      <c r="AK42" s="3"/>
      <c r="AM42" s="3"/>
    </row>
    <row r="43" spans="1:39">
      <c r="A43" s="7"/>
      <c r="B43" s="8"/>
      <c r="C43" s="8"/>
      <c r="D43" s="8"/>
      <c r="E43" s="7"/>
      <c r="F43" s="7"/>
      <c r="G43" s="7"/>
      <c r="H43" s="7"/>
      <c r="I43" s="7"/>
      <c r="J43" s="7"/>
      <c r="K43" s="7"/>
      <c r="N43" s="10"/>
      <c r="O43" s="3"/>
      <c r="P43" s="3"/>
      <c r="Q43" s="3"/>
      <c r="R43" s="3"/>
      <c r="S43" s="4"/>
      <c r="T43" s="3"/>
      <c r="W43" s="4"/>
      <c r="X43" s="4"/>
      <c r="Y43" s="3"/>
      <c r="AA43" s="3"/>
      <c r="AC43" s="3"/>
      <c r="AE43" s="3"/>
      <c r="AG43" s="3"/>
      <c r="AI43" s="3"/>
      <c r="AK43" s="3"/>
      <c r="AM43" s="3"/>
    </row>
    <row r="44" spans="1:39">
      <c r="A44" s="7"/>
      <c r="B44" s="8">
        <v>-1.253875629566908</v>
      </c>
      <c r="C44" s="8">
        <v>-3.2592166127769939E-2</v>
      </c>
      <c r="D44" s="8">
        <v>0.73934661383723232</v>
      </c>
      <c r="E44" s="7">
        <v>-1.4990516053215155E-2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>
        <v>1.0599498795536459</v>
      </c>
      <c r="M44">
        <v>0</v>
      </c>
      <c r="N44" s="9"/>
      <c r="O44" s="3">
        <f>L44-M44</f>
        <v>1.0599498795536459</v>
      </c>
      <c r="P44" s="3"/>
      <c r="Q44" s="3"/>
      <c r="R44" s="3"/>
      <c r="S44" s="4"/>
      <c r="T44" s="3"/>
      <c r="W44" s="4"/>
      <c r="X44" s="4"/>
      <c r="Y44" s="3"/>
      <c r="AA44" s="3"/>
      <c r="AC44" s="3"/>
      <c r="AE44" s="3"/>
      <c r="AG44" s="3"/>
      <c r="AI44" s="3"/>
      <c r="AK44" s="3"/>
      <c r="AM44" s="3"/>
    </row>
    <row r="45" spans="1:39">
      <c r="A45" s="7" t="s">
        <v>24</v>
      </c>
      <c r="B45" s="8">
        <v>-1.4028471761352286</v>
      </c>
      <c r="C45" s="8">
        <v>0.814665459345566</v>
      </c>
      <c r="D45" s="8">
        <v>0.7195871750303805</v>
      </c>
      <c r="E45" s="7">
        <v>0</v>
      </c>
      <c r="F45" s="7">
        <v>-1.4990516053215155E-2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>
        <v>1.5747328563547551</v>
      </c>
      <c r="M45">
        <v>0</v>
      </c>
      <c r="N45" s="9"/>
      <c r="O45" s="3">
        <f t="shared" si="2"/>
        <v>1.5747328563547551</v>
      </c>
      <c r="P45" s="3"/>
      <c r="Q45" s="3"/>
      <c r="R45" s="3"/>
      <c r="S45" s="4"/>
      <c r="T45" s="3"/>
      <c r="W45" s="4"/>
      <c r="X45" s="4"/>
      <c r="Y45" s="3"/>
      <c r="AA45" s="3"/>
      <c r="AC45" s="3"/>
      <c r="AE45" s="3"/>
      <c r="AG45" s="3"/>
      <c r="AI45" s="3"/>
      <c r="AK45" s="3"/>
      <c r="AM45" s="3"/>
    </row>
    <row r="46" spans="1:39">
      <c r="A46" s="7"/>
      <c r="B46" s="8">
        <v>-2.5457845528396139E-2</v>
      </c>
      <c r="C46" s="8">
        <v>2.3667658472617719</v>
      </c>
      <c r="D46" s="8">
        <v>6.368425350466822E-2</v>
      </c>
      <c r="E46" s="7">
        <v>0</v>
      </c>
      <c r="F46" s="7">
        <v>0</v>
      </c>
      <c r="G46" s="7">
        <v>-1.4990516053215155E-2</v>
      </c>
      <c r="H46" s="7">
        <v>0</v>
      </c>
      <c r="I46" s="7">
        <v>0</v>
      </c>
      <c r="J46" s="7">
        <v>0</v>
      </c>
      <c r="K46" s="7">
        <v>0</v>
      </c>
      <c r="L46">
        <v>2.803142180904064</v>
      </c>
      <c r="M46">
        <v>0</v>
      </c>
      <c r="N46" s="9"/>
      <c r="O46" s="3">
        <f t="shared" si="2"/>
        <v>2.803142180904064</v>
      </c>
      <c r="P46" s="3"/>
      <c r="Q46" s="3"/>
      <c r="R46" s="3"/>
      <c r="S46" s="4"/>
      <c r="T46" s="3"/>
      <c r="W46" s="4"/>
      <c r="X46" s="4"/>
      <c r="Y46" s="3"/>
      <c r="AA46" s="3"/>
      <c r="AC46" s="3"/>
      <c r="AE46" s="3"/>
      <c r="AG46" s="3"/>
      <c r="AI46" s="3"/>
      <c r="AK46" s="3"/>
      <c r="AM46" s="3"/>
    </row>
    <row r="47" spans="1:39">
      <c r="A47" s="7"/>
      <c r="B47" s="8"/>
      <c r="C47" s="8"/>
      <c r="D47" s="8"/>
      <c r="E47" s="7"/>
      <c r="F47" s="7"/>
      <c r="G47" s="7"/>
      <c r="H47" s="7"/>
      <c r="I47" s="7"/>
      <c r="J47" s="7"/>
      <c r="K47" s="7"/>
      <c r="N47" s="10"/>
      <c r="O47" s="3"/>
      <c r="P47" s="3"/>
      <c r="Q47" s="3"/>
      <c r="R47" s="3"/>
      <c r="S47" s="4"/>
      <c r="T47" s="3"/>
      <c r="W47" s="4"/>
      <c r="X47" s="4"/>
      <c r="Y47" s="3"/>
      <c r="AA47" s="3"/>
      <c r="AC47" s="3"/>
      <c r="AE47" s="3"/>
      <c r="AG47" s="3"/>
      <c r="AI47" s="3"/>
      <c r="AK47" s="3"/>
      <c r="AM47" s="3"/>
    </row>
    <row r="48" spans="1:39">
      <c r="A48" s="7"/>
      <c r="B48" s="8">
        <v>-1.253875629566908</v>
      </c>
      <c r="C48" s="8">
        <v>-3.2592166127769939E-2</v>
      </c>
      <c r="D48" s="8">
        <v>0.73934661383723232</v>
      </c>
      <c r="E48" s="7">
        <v>-1.4990516053215155E-2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>
        <v>1.0599498795536459</v>
      </c>
      <c r="M48">
        <v>0</v>
      </c>
      <c r="N48" s="9"/>
      <c r="O48" s="3">
        <f>L48-M48</f>
        <v>1.0599498795536459</v>
      </c>
      <c r="P48" s="3"/>
      <c r="Q48" s="3"/>
      <c r="R48" s="3"/>
      <c r="T48" s="3"/>
    </row>
    <row r="49" spans="1:20">
      <c r="A49" s="7" t="s">
        <v>25</v>
      </c>
      <c r="B49" s="8">
        <v>1.4421025939282253</v>
      </c>
      <c r="C49" s="8">
        <v>1.0431877148697888</v>
      </c>
      <c r="D49" s="8">
        <v>0.78932433807079116</v>
      </c>
      <c r="E49" s="7">
        <v>0</v>
      </c>
      <c r="F49" s="7">
        <v>-1.4990516053215155E-2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>
        <v>1.8954667052703302</v>
      </c>
      <c r="M49">
        <v>0</v>
      </c>
      <c r="N49" s="9"/>
      <c r="O49" s="3">
        <f t="shared" si="2"/>
        <v>1.8954667052703302</v>
      </c>
      <c r="P49" s="3"/>
      <c r="Q49" s="3"/>
      <c r="R49" s="3"/>
      <c r="T49" s="3"/>
    </row>
    <row r="50" spans="1:20">
      <c r="A50" s="7"/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0</v>
      </c>
      <c r="G50" s="7">
        <v>-1.4990516053215155E-2</v>
      </c>
      <c r="H50" s="7">
        <v>0</v>
      </c>
      <c r="I50" s="7">
        <v>0</v>
      </c>
      <c r="J50" s="7">
        <v>0</v>
      </c>
      <c r="K50" s="7">
        <v>0</v>
      </c>
      <c r="L50">
        <v>3.0923821493075776</v>
      </c>
      <c r="M50">
        <v>0</v>
      </c>
      <c r="N50" s="9"/>
      <c r="O50" s="3">
        <f t="shared" si="2"/>
        <v>3.0923821493075776</v>
      </c>
      <c r="P50" s="3"/>
      <c r="Q50" s="3"/>
      <c r="R50" s="3"/>
      <c r="T50" s="3"/>
    </row>
    <row r="51" spans="1:20">
      <c r="A51" s="7"/>
      <c r="B51" s="8"/>
      <c r="C51" s="8"/>
      <c r="D51" s="8"/>
      <c r="E51" s="7"/>
      <c r="F51" s="7"/>
      <c r="G51" s="7"/>
      <c r="H51" s="7"/>
      <c r="I51" s="7"/>
      <c r="J51" s="7"/>
      <c r="K51" s="7"/>
      <c r="N51" s="10"/>
      <c r="O51" s="3"/>
      <c r="P51" s="3"/>
      <c r="Q51" s="3"/>
      <c r="R51" s="3"/>
      <c r="T51" s="3"/>
    </row>
    <row r="52" spans="1:20">
      <c r="A52" s="7"/>
      <c r="B52" s="8">
        <v>-1.253875629566908</v>
      </c>
      <c r="C52" s="8">
        <v>-3.2592166127769939E-2</v>
      </c>
      <c r="D52" s="8">
        <v>0.73934661383723232</v>
      </c>
      <c r="E52" s="7">
        <v>-1.4990516053215155E-2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>
        <v>1.0599498795536459</v>
      </c>
      <c r="M52">
        <v>0</v>
      </c>
      <c r="N52" s="9"/>
      <c r="O52" s="3">
        <f>L52-M52</f>
        <v>1.0599498795536459</v>
      </c>
      <c r="P52" s="3"/>
      <c r="Q52" s="3"/>
      <c r="R52" s="3"/>
      <c r="T52" s="3"/>
    </row>
    <row r="53" spans="1:20">
      <c r="A53" s="7" t="s">
        <v>26</v>
      </c>
      <c r="B53" s="8">
        <v>1.4421025939282253</v>
      </c>
      <c r="C53" s="8">
        <v>1.0431877148697888</v>
      </c>
      <c r="D53" s="8">
        <v>0.78932433807079116</v>
      </c>
      <c r="E53" s="7">
        <v>0</v>
      </c>
      <c r="F53" s="7">
        <v>-1.4990516053215155E-2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>
        <v>1.8954667052703302</v>
      </c>
      <c r="M53">
        <v>0</v>
      </c>
      <c r="N53" s="9"/>
      <c r="O53" s="3">
        <f t="shared" si="2"/>
        <v>1.8954667052703302</v>
      </c>
      <c r="P53" s="3"/>
      <c r="Q53" s="3"/>
      <c r="R53" s="3"/>
      <c r="T53" s="3"/>
    </row>
    <row r="54" spans="1:20">
      <c r="A54" s="7"/>
      <c r="B54" s="8">
        <v>0.58367185674448252</v>
      </c>
      <c r="C54" s="8">
        <v>2.0841504898711007</v>
      </c>
      <c r="D54" s="8">
        <v>0.75171422039661484</v>
      </c>
      <c r="E54" s="7">
        <v>0</v>
      </c>
      <c r="F54" s="7">
        <v>0</v>
      </c>
      <c r="G54" s="7">
        <v>-1.4990516053215155E-2</v>
      </c>
      <c r="H54" s="7">
        <v>0</v>
      </c>
      <c r="I54" s="7">
        <v>0</v>
      </c>
      <c r="J54" s="7">
        <v>0</v>
      </c>
      <c r="K54" s="7">
        <v>0</v>
      </c>
      <c r="L54">
        <v>2.6247151849659955</v>
      </c>
      <c r="M54">
        <v>0</v>
      </c>
      <c r="N54" s="9"/>
      <c r="O54" s="3">
        <f t="shared" si="2"/>
        <v>2.6247151849659955</v>
      </c>
      <c r="P54" s="3"/>
      <c r="Q54" s="3"/>
      <c r="R54" s="3"/>
      <c r="T54" s="3"/>
    </row>
    <row r="55" spans="1:20">
      <c r="A55" s="7"/>
      <c r="B55" s="8"/>
      <c r="C55" s="8"/>
      <c r="D55" s="8"/>
      <c r="E55" s="7"/>
      <c r="F55" s="7"/>
      <c r="G55" s="7"/>
      <c r="H55" s="7"/>
      <c r="I55" s="7"/>
      <c r="J55" s="7"/>
      <c r="K55" s="7"/>
      <c r="N55" s="10"/>
      <c r="O55" s="3"/>
      <c r="P55" s="3"/>
      <c r="Q55" s="3"/>
      <c r="R55" s="3"/>
      <c r="T55" s="3"/>
    </row>
    <row r="56" spans="1:20">
      <c r="A56" s="7"/>
      <c r="B56" s="8">
        <v>-1.253875629566908</v>
      </c>
      <c r="C56" s="8">
        <v>-3.2592166127769939E-2</v>
      </c>
      <c r="D56" s="8">
        <v>0.73934661383723232</v>
      </c>
      <c r="E56" s="7">
        <v>-1.4990516053215155E-2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>
        <v>1.0599498795536459</v>
      </c>
      <c r="M56">
        <v>0</v>
      </c>
      <c r="N56" s="9"/>
      <c r="O56" s="3">
        <f>L56-M56</f>
        <v>1.0599498795536459</v>
      </c>
      <c r="P56" s="3"/>
      <c r="Q56" s="3"/>
      <c r="R56" s="3"/>
      <c r="T56" s="3"/>
    </row>
    <row r="57" spans="1:20">
      <c r="A57" s="7" t="s">
        <v>27</v>
      </c>
      <c r="B57" s="8">
        <v>1.4421025939282253</v>
      </c>
      <c r="C57" s="8">
        <v>1.0431877148697888</v>
      </c>
      <c r="D57" s="8">
        <v>0.78932433807079116</v>
      </c>
      <c r="E57" s="7">
        <v>0</v>
      </c>
      <c r="F57" s="7">
        <v>-1.4990516053215155E-2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>
        <v>1.8954667052703302</v>
      </c>
      <c r="M57">
        <v>0</v>
      </c>
      <c r="N57" s="9"/>
      <c r="O57" s="3">
        <f t="shared" si="2"/>
        <v>1.8954667052703302</v>
      </c>
      <c r="P57" s="3"/>
      <c r="Q57" s="3"/>
      <c r="R57" s="3"/>
      <c r="T57" s="3"/>
    </row>
    <row r="58" spans="1:20">
      <c r="A58" s="7"/>
      <c r="B58" s="8">
        <v>-2.5457845528396139E-2</v>
      </c>
      <c r="C58" s="8">
        <v>2.3667658472617719</v>
      </c>
      <c r="D58" s="8">
        <v>6.368425350466822E-2</v>
      </c>
      <c r="E58" s="7">
        <v>0</v>
      </c>
      <c r="F58" s="7">
        <v>0</v>
      </c>
      <c r="G58" s="7">
        <v>-1.4990516053215155E-2</v>
      </c>
      <c r="H58" s="7">
        <v>0</v>
      </c>
      <c r="I58" s="7">
        <v>0</v>
      </c>
      <c r="J58" s="7">
        <v>0</v>
      </c>
      <c r="K58" s="7">
        <v>0</v>
      </c>
      <c r="L58">
        <v>2.803142180904064</v>
      </c>
      <c r="M58">
        <v>0</v>
      </c>
      <c r="N58" s="9"/>
      <c r="O58" s="3">
        <f t="shared" si="2"/>
        <v>2.803142180904064</v>
      </c>
      <c r="P58" s="3"/>
      <c r="Q58" s="3"/>
      <c r="R58" s="3"/>
      <c r="T58" s="3"/>
    </row>
    <row r="59" spans="1:20">
      <c r="A59" s="7"/>
      <c r="B59" s="8"/>
      <c r="C59" s="8"/>
      <c r="D59" s="8"/>
      <c r="E59" s="7"/>
      <c r="F59" s="7"/>
      <c r="G59" s="7"/>
      <c r="H59" s="7"/>
      <c r="I59" s="7"/>
      <c r="J59" s="7"/>
      <c r="K59" s="7"/>
      <c r="N59" s="10"/>
      <c r="O59" s="3"/>
      <c r="P59" s="3"/>
      <c r="Q59" s="3"/>
      <c r="R59" s="3"/>
      <c r="T59" s="3"/>
    </row>
    <row r="60" spans="1:20">
      <c r="A60" s="7"/>
      <c r="B60" s="8">
        <v>-1.253875629566908</v>
      </c>
      <c r="C60" s="8">
        <v>-3.2592166127769939E-2</v>
      </c>
      <c r="D60" s="8">
        <v>0.73934661383723232</v>
      </c>
      <c r="E60" s="7">
        <v>-1.4990516053215155E-2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>
        <v>1.0599498795536459</v>
      </c>
      <c r="M60">
        <v>0</v>
      </c>
      <c r="N60" s="9"/>
      <c r="O60" s="3">
        <f>L60-M60</f>
        <v>1.0599498795536459</v>
      </c>
      <c r="P60" s="3"/>
      <c r="Q60" s="3"/>
      <c r="R60" s="3"/>
      <c r="T60" s="3"/>
    </row>
    <row r="61" spans="1:20">
      <c r="A61" s="7" t="s">
        <v>28</v>
      </c>
      <c r="B61" s="8">
        <v>-1.0351585166444348</v>
      </c>
      <c r="C61" s="8">
        <v>2.1037449841221099</v>
      </c>
      <c r="D61" s="8">
        <v>0.82913701269133588</v>
      </c>
      <c r="E61" s="7">
        <v>0</v>
      </c>
      <c r="F61" s="7">
        <v>-1.4990516053215155E-2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>
        <v>3.0923821493075776</v>
      </c>
      <c r="M61">
        <v>0</v>
      </c>
      <c r="N61" s="9"/>
      <c r="O61" s="3">
        <f t="shared" si="2"/>
        <v>3.0923821493075776</v>
      </c>
      <c r="P61" s="3"/>
      <c r="Q61" s="3"/>
      <c r="R61" s="3"/>
      <c r="T61" s="3"/>
    </row>
    <row r="62" spans="1:20">
      <c r="A62" s="7"/>
      <c r="B62" s="8">
        <v>0.58367185674448252</v>
      </c>
      <c r="C62" s="8">
        <v>2.0841504898711007</v>
      </c>
      <c r="D62" s="8">
        <v>0.75171422039661484</v>
      </c>
      <c r="E62" s="7">
        <v>0</v>
      </c>
      <c r="F62" s="7">
        <v>0</v>
      </c>
      <c r="G62" s="7">
        <v>-1.4990516053215155E-2</v>
      </c>
      <c r="H62" s="7">
        <v>0</v>
      </c>
      <c r="I62" s="7">
        <v>0</v>
      </c>
      <c r="J62" s="7">
        <v>0</v>
      </c>
      <c r="K62" s="7">
        <v>0</v>
      </c>
      <c r="L62">
        <v>2.6247151849659955</v>
      </c>
      <c r="M62">
        <v>0</v>
      </c>
      <c r="N62" s="9"/>
      <c r="O62" s="3">
        <f t="shared" si="2"/>
        <v>2.6247151849659955</v>
      </c>
      <c r="P62" s="3"/>
      <c r="Q62" s="3"/>
      <c r="R62" s="3"/>
      <c r="T62" s="3"/>
    </row>
    <row r="63" spans="1:20">
      <c r="A63" s="7"/>
      <c r="B63" s="8"/>
      <c r="C63" s="8"/>
      <c r="D63" s="8"/>
      <c r="E63" s="7"/>
      <c r="F63" s="7"/>
      <c r="G63" s="7"/>
      <c r="H63" s="7"/>
      <c r="I63" s="7"/>
      <c r="J63" s="7"/>
      <c r="K63" s="7"/>
      <c r="N63" s="10"/>
      <c r="O63" s="3"/>
      <c r="P63" s="3"/>
      <c r="Q63" s="3"/>
      <c r="R63" s="3"/>
      <c r="T63" s="3"/>
    </row>
    <row r="64" spans="1:20">
      <c r="A64" s="7"/>
      <c r="B64" s="8">
        <v>-1.253875629566908</v>
      </c>
      <c r="C64" s="8">
        <v>-3.2592166127769939E-2</v>
      </c>
      <c r="D64" s="8">
        <v>0.73934661383723232</v>
      </c>
      <c r="E64" s="7">
        <v>-1.4990516053215155E-2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>
        <v>1.0599498795536459</v>
      </c>
      <c r="M64">
        <v>0</v>
      </c>
      <c r="N64" s="9"/>
      <c r="O64" s="3">
        <f>L64-M64</f>
        <v>1.0599498795536459</v>
      </c>
      <c r="P64" s="3"/>
      <c r="Q64" s="3"/>
      <c r="R64" s="3"/>
      <c r="T64" s="3"/>
    </row>
    <row r="65" spans="1:20">
      <c r="A65" s="7" t="s">
        <v>29</v>
      </c>
      <c r="B65" s="8">
        <v>-1.0351585166444348</v>
      </c>
      <c r="C65" s="8">
        <v>2.1037449841221099</v>
      </c>
      <c r="D65" s="8">
        <v>0.82913701269133588</v>
      </c>
      <c r="E65" s="7">
        <v>0</v>
      </c>
      <c r="F65" s="7">
        <v>-1.4990516053215155E-2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>
        <v>3.0923821493075776</v>
      </c>
      <c r="M65">
        <v>0</v>
      </c>
      <c r="N65" s="9"/>
      <c r="O65" s="3">
        <f t="shared" si="2"/>
        <v>3.0923821493075776</v>
      </c>
      <c r="P65" s="3"/>
      <c r="Q65" s="3"/>
      <c r="R65" s="3"/>
      <c r="T65" s="3"/>
    </row>
    <row r="66" spans="1:20">
      <c r="A66" s="7"/>
      <c r="B66" s="8">
        <v>-2.5457845528396139E-2</v>
      </c>
      <c r="C66" s="8">
        <v>2.3667658472617719</v>
      </c>
      <c r="D66" s="8">
        <v>6.368425350466822E-2</v>
      </c>
      <c r="E66" s="7">
        <v>0</v>
      </c>
      <c r="F66" s="7">
        <v>0</v>
      </c>
      <c r="G66" s="7">
        <v>-1.4990516053215155E-2</v>
      </c>
      <c r="H66" s="7">
        <v>0</v>
      </c>
      <c r="I66" s="7">
        <v>0</v>
      </c>
      <c r="J66" s="7">
        <v>0</v>
      </c>
      <c r="K66" s="7">
        <v>0</v>
      </c>
      <c r="L66">
        <v>2.803142180904064</v>
      </c>
      <c r="M66">
        <v>0</v>
      </c>
      <c r="N66" s="9"/>
      <c r="O66" s="3">
        <f t="shared" si="2"/>
        <v>2.803142180904064</v>
      </c>
      <c r="P66" s="3"/>
      <c r="Q66" s="3"/>
      <c r="R66" s="3"/>
      <c r="T66" s="3"/>
    </row>
    <row r="67" spans="1:20">
      <c r="A67" s="7"/>
      <c r="B67" s="8"/>
      <c r="C67" s="8"/>
      <c r="D67" s="8"/>
      <c r="E67" s="7"/>
      <c r="F67" s="7"/>
      <c r="G67" s="7"/>
      <c r="H67" s="7"/>
      <c r="I67" s="7"/>
      <c r="J67" s="7"/>
      <c r="K67" s="7"/>
      <c r="N67" s="10"/>
      <c r="O67" s="3"/>
      <c r="P67" s="3"/>
      <c r="Q67" s="3"/>
      <c r="R67" s="3"/>
      <c r="T67" s="3"/>
    </row>
    <row r="68" spans="1:20">
      <c r="A68" s="7"/>
      <c r="B68" s="8">
        <v>-1.253875629566908</v>
      </c>
      <c r="C68" s="8">
        <v>-3.2592166127769939E-2</v>
      </c>
      <c r="D68" s="8">
        <v>0.73934661383723232</v>
      </c>
      <c r="E68" s="7">
        <v>-1.4990516053215155E-2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>
        <v>1.0599498795536459</v>
      </c>
      <c r="M68">
        <v>0</v>
      </c>
      <c r="N68" s="9"/>
      <c r="O68" s="3">
        <f>L68-M68</f>
        <v>1.0599498795536459</v>
      </c>
      <c r="P68" s="3"/>
      <c r="Q68" s="3"/>
      <c r="R68" s="3"/>
      <c r="T68" s="3"/>
    </row>
    <row r="69" spans="1:20">
      <c r="A69" s="7" t="s">
        <v>30</v>
      </c>
      <c r="B69" s="8">
        <v>0.58367185674448252</v>
      </c>
      <c r="C69" s="8">
        <v>2.0841504898711007</v>
      </c>
      <c r="D69" s="8">
        <v>0.75171422039661484</v>
      </c>
      <c r="E69" s="7">
        <v>0</v>
      </c>
      <c r="F69" s="7">
        <v>-1.4990516053215155E-2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>
        <v>2.6247151849659955</v>
      </c>
      <c r="M69">
        <v>0</v>
      </c>
      <c r="N69" s="9"/>
      <c r="O69" s="3">
        <f t="shared" si="2"/>
        <v>2.6247151849659955</v>
      </c>
      <c r="P69" s="3"/>
      <c r="Q69" s="3"/>
      <c r="R69" s="3"/>
      <c r="T69" s="3"/>
    </row>
    <row r="70" spans="1:20">
      <c r="A70" s="7"/>
      <c r="B70" s="8">
        <v>-2.5457845528396139E-2</v>
      </c>
      <c r="C70" s="8">
        <v>2.3667658472617719</v>
      </c>
      <c r="D70" s="8">
        <v>6.368425350466822E-2</v>
      </c>
      <c r="E70" s="7">
        <v>0</v>
      </c>
      <c r="F70" s="7">
        <v>0</v>
      </c>
      <c r="G70" s="7">
        <v>-1.4990516053215155E-2</v>
      </c>
      <c r="H70" s="7">
        <v>0</v>
      </c>
      <c r="I70" s="7">
        <v>0</v>
      </c>
      <c r="J70" s="7">
        <v>0</v>
      </c>
      <c r="K70" s="7">
        <v>0</v>
      </c>
      <c r="L70">
        <v>2.803142180904064</v>
      </c>
      <c r="M70">
        <v>0</v>
      </c>
      <c r="N70" s="9"/>
      <c r="O70" s="3">
        <f t="shared" si="2"/>
        <v>2.803142180904064</v>
      </c>
      <c r="P70" s="3"/>
      <c r="Q70" s="3"/>
      <c r="R70" s="3"/>
      <c r="T70" s="3"/>
    </row>
    <row r="71" spans="1:20">
      <c r="A71" s="7"/>
      <c r="B71" s="8"/>
      <c r="C71" s="8"/>
      <c r="D71" s="8"/>
      <c r="E71" s="7"/>
      <c r="F71" s="7"/>
      <c r="G71" s="7"/>
      <c r="H71" s="7"/>
      <c r="I71" s="7"/>
      <c r="J71" s="7"/>
      <c r="K71" s="7"/>
      <c r="N71" s="10"/>
      <c r="O71" s="3"/>
      <c r="P71" s="3"/>
      <c r="Q71" s="3"/>
      <c r="R71" s="3"/>
      <c r="T71" s="3"/>
    </row>
    <row r="72" spans="1:20">
      <c r="A72" s="7"/>
      <c r="B72" s="8">
        <v>1.0419123890112216</v>
      </c>
      <c r="C72" s="8">
        <v>-4.0818532431212473E-2</v>
      </c>
      <c r="D72" s="8">
        <v>0.77248383184656022</v>
      </c>
      <c r="E72" s="7">
        <v>-1.4990516053215155E-2</v>
      </c>
      <c r="F72" s="7">
        <v>0</v>
      </c>
      <c r="G72" s="7">
        <v>0</v>
      </c>
      <c r="H72" s="7">
        <v>-2.1796664656245589E-2</v>
      </c>
      <c r="I72" s="7">
        <v>2.2872089329671663E-2</v>
      </c>
      <c r="J72" s="7">
        <v>0</v>
      </c>
      <c r="K72" s="7">
        <v>0</v>
      </c>
      <c r="L72">
        <v>0.8419894247146269</v>
      </c>
      <c r="M72">
        <v>-8.0144021691332665E-4</v>
      </c>
      <c r="N72" s="9"/>
      <c r="O72" s="3">
        <f>L72-M72</f>
        <v>0.84279086493154021</v>
      </c>
      <c r="P72" s="3"/>
      <c r="Q72" s="3"/>
      <c r="R72" s="3"/>
      <c r="T72" s="3"/>
    </row>
    <row r="73" spans="1:20">
      <c r="A73" s="7" t="s">
        <v>31</v>
      </c>
      <c r="B73" s="8">
        <v>-1.4028471761352286</v>
      </c>
      <c r="C73" s="8">
        <v>0.814665459345566</v>
      </c>
      <c r="D73" s="8">
        <v>0.7195871750303805</v>
      </c>
      <c r="E73" s="7">
        <v>0</v>
      </c>
      <c r="F73" s="7">
        <v>-1.4990516053215155E-2</v>
      </c>
      <c r="G73" s="7">
        <v>0</v>
      </c>
      <c r="H73" s="7">
        <v>-2.1796664656245589E-2</v>
      </c>
      <c r="I73" s="7">
        <v>0</v>
      </c>
      <c r="J73" s="7">
        <v>2.2385887789414392E-2</v>
      </c>
      <c r="K73" s="7">
        <v>0</v>
      </c>
      <c r="L73">
        <v>1.5747328563547551</v>
      </c>
      <c r="M73">
        <v>-4.3432806008441584E-4</v>
      </c>
      <c r="N73" s="9"/>
      <c r="O73" s="3">
        <f>L73-M73</f>
        <v>1.5751671844148396</v>
      </c>
      <c r="P73" s="3"/>
      <c r="Q73" s="3"/>
      <c r="R73" s="3"/>
      <c r="T73" s="3"/>
    </row>
    <row r="74" spans="1:20">
      <c r="A74" s="7"/>
      <c r="B74" s="8">
        <v>1.4421025939282253</v>
      </c>
      <c r="C74" s="8">
        <v>1.0431877148697888</v>
      </c>
      <c r="D74" s="8">
        <v>0.78932433807079116</v>
      </c>
      <c r="E74" s="7">
        <v>0</v>
      </c>
      <c r="F74" s="7">
        <v>0</v>
      </c>
      <c r="G74" s="7">
        <v>-1.4990516053215155E-2</v>
      </c>
      <c r="H74" s="7">
        <v>-2.1796664656245589E-2</v>
      </c>
      <c r="I74" s="7">
        <v>0</v>
      </c>
      <c r="J74" s="7">
        <v>0</v>
      </c>
      <c r="K74" s="7">
        <v>1.6236379226863738E-2</v>
      </c>
      <c r="L74">
        <v>1.8954667052703302</v>
      </c>
      <c r="M74">
        <v>3.528137221409509E-3</v>
      </c>
      <c r="N74" s="9"/>
      <c r="O74" s="3">
        <f>L74-M74</f>
        <v>1.8919385680489207</v>
      </c>
      <c r="P74" s="3"/>
      <c r="Q74" s="3"/>
      <c r="R74" s="3"/>
      <c r="T74" s="3"/>
    </row>
    <row r="75" spans="1:20">
      <c r="A75" s="7"/>
      <c r="B75" s="8"/>
      <c r="C75" s="8"/>
      <c r="D75" s="8"/>
      <c r="E75" s="7"/>
      <c r="F75" s="7"/>
      <c r="G75" s="7"/>
      <c r="H75" s="7"/>
      <c r="I75" s="7"/>
      <c r="J75" s="7"/>
      <c r="K75" s="7"/>
      <c r="N75" s="10"/>
      <c r="O75" s="3"/>
      <c r="P75" s="3"/>
      <c r="Q75" s="3"/>
      <c r="R75" s="3"/>
      <c r="T75" s="3"/>
    </row>
    <row r="76" spans="1:20">
      <c r="A76" s="7"/>
      <c r="B76" s="8">
        <v>1.0419123890112216</v>
      </c>
      <c r="C76" s="8">
        <v>-4.0818532431212473E-2</v>
      </c>
      <c r="D76" s="8">
        <v>0.77248383184656022</v>
      </c>
      <c r="E76" s="7">
        <v>-1.4990516053215155E-2</v>
      </c>
      <c r="F76" s="7">
        <v>0</v>
      </c>
      <c r="G76" s="7">
        <v>0</v>
      </c>
      <c r="H76" s="7">
        <v>-2.1796664656245589E-2</v>
      </c>
      <c r="I76" s="7">
        <v>2.2872089329671663E-2</v>
      </c>
      <c r="J76" s="7">
        <v>0</v>
      </c>
      <c r="K76" s="7">
        <v>0</v>
      </c>
      <c r="L76">
        <v>0.8419894247146269</v>
      </c>
      <c r="M76">
        <v>-8.0144021691332665E-4</v>
      </c>
      <c r="N76" s="9"/>
      <c r="O76" s="3">
        <f>L76-M76</f>
        <v>0.84279086493154021</v>
      </c>
      <c r="P76" s="3"/>
      <c r="Q76" s="3"/>
      <c r="R76" s="3"/>
      <c r="T76" s="3"/>
    </row>
    <row r="77" spans="1:20">
      <c r="A77" s="7" t="s">
        <v>32</v>
      </c>
      <c r="B77" s="8">
        <v>-1.4028471761352286</v>
      </c>
      <c r="C77" s="8">
        <v>0.814665459345566</v>
      </c>
      <c r="D77" s="8">
        <v>0.7195871750303805</v>
      </c>
      <c r="E77" s="7">
        <v>0</v>
      </c>
      <c r="F77" s="7">
        <v>-1.4990516053215155E-2</v>
      </c>
      <c r="G77" s="7">
        <v>0</v>
      </c>
      <c r="H77" s="7">
        <v>-2.1796664656245589E-2</v>
      </c>
      <c r="I77" s="7">
        <v>0</v>
      </c>
      <c r="J77" s="7">
        <v>2.2385887789414392E-2</v>
      </c>
      <c r="K77" s="7">
        <v>0</v>
      </c>
      <c r="L77">
        <v>1.5747328563547551</v>
      </c>
      <c r="M77">
        <v>-4.3432806008441584E-4</v>
      </c>
      <c r="N77" s="9"/>
      <c r="O77" s="3">
        <f>L77-M77</f>
        <v>1.5751671844148396</v>
      </c>
      <c r="P77" s="3"/>
      <c r="Q77" s="3"/>
      <c r="R77" s="3"/>
      <c r="T77" s="3"/>
    </row>
    <row r="78" spans="1:20">
      <c r="A78" s="7"/>
      <c r="B78" s="8">
        <v>-1.0351585166444348</v>
      </c>
      <c r="C78" s="8">
        <v>2.1037449841221099</v>
      </c>
      <c r="D78" s="8">
        <v>0.82913701269133588</v>
      </c>
      <c r="E78" s="7">
        <v>0</v>
      </c>
      <c r="F78" s="7">
        <v>0</v>
      </c>
      <c r="G78" s="7">
        <v>-1.4990516053215155E-2</v>
      </c>
      <c r="H78" s="7">
        <v>-2.1796664656245589E-2</v>
      </c>
      <c r="I78" s="7">
        <v>0</v>
      </c>
      <c r="J78" s="7">
        <v>0</v>
      </c>
      <c r="K78" s="7">
        <v>1.5970575730977998E-2</v>
      </c>
      <c r="L78">
        <v>3.0923821493075776</v>
      </c>
      <c r="M78">
        <v>3.6709600572059457E-3</v>
      </c>
      <c r="N78" s="9"/>
      <c r="O78" s="3">
        <f>L78-M78</f>
        <v>3.0887111892503718</v>
      </c>
      <c r="P78" s="3"/>
      <c r="Q78" s="3"/>
      <c r="R78" s="3"/>
      <c r="T78" s="3"/>
    </row>
    <row r="79" spans="1:20">
      <c r="A79" s="7"/>
      <c r="B79" s="8"/>
      <c r="C79" s="8"/>
      <c r="D79" s="8"/>
      <c r="E79" s="7"/>
      <c r="F79" s="7"/>
      <c r="G79" s="7"/>
      <c r="H79" s="7"/>
      <c r="I79" s="7"/>
      <c r="J79" s="7"/>
      <c r="K79" s="7"/>
      <c r="N79" s="10"/>
      <c r="O79" s="3"/>
      <c r="P79" s="3"/>
      <c r="Q79" s="3"/>
      <c r="R79" s="3"/>
      <c r="T79" s="3"/>
    </row>
    <row r="80" spans="1:20">
      <c r="A80" s="7"/>
      <c r="B80" s="8">
        <v>1.0419123890112216</v>
      </c>
      <c r="C80" s="8">
        <v>-4.0818532431212473E-2</v>
      </c>
      <c r="D80" s="8">
        <v>0.77248383184656022</v>
      </c>
      <c r="E80" s="7">
        <v>-1.4990516053215155E-2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>
        <v>0.8419894247146269</v>
      </c>
      <c r="M80">
        <v>0</v>
      </c>
      <c r="N80" s="9"/>
      <c r="O80" s="3">
        <f>L80-M80</f>
        <v>0.8419894247146269</v>
      </c>
      <c r="P80" s="3"/>
      <c r="Q80" s="3"/>
      <c r="R80" s="3"/>
      <c r="T80" s="3"/>
    </row>
    <row r="81" spans="1:20">
      <c r="A81" s="7" t="s">
        <v>33</v>
      </c>
      <c r="B81" s="8">
        <v>-1.4028471761352286</v>
      </c>
      <c r="C81" s="8">
        <v>0.814665459345566</v>
      </c>
      <c r="D81" s="8">
        <v>0.7195871750303805</v>
      </c>
      <c r="E81" s="7">
        <v>0</v>
      </c>
      <c r="F81" s="7">
        <v>-1.4990516053215155E-2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>
        <v>1.5747328563547551</v>
      </c>
      <c r="M81">
        <v>0</v>
      </c>
      <c r="N81" s="9"/>
      <c r="O81" s="3">
        <f>L81-M81</f>
        <v>1.5747328563547551</v>
      </c>
      <c r="P81" s="3"/>
      <c r="Q81" s="3"/>
      <c r="R81" s="3"/>
      <c r="T81" s="3"/>
    </row>
    <row r="82" spans="1:20">
      <c r="A82" s="7"/>
      <c r="B82" s="8">
        <v>0.58367185674448252</v>
      </c>
      <c r="C82" s="8">
        <v>2.0841504898711007</v>
      </c>
      <c r="D82" s="8">
        <v>0.75171422039661484</v>
      </c>
      <c r="E82" s="7">
        <v>0</v>
      </c>
      <c r="F82" s="7">
        <v>0</v>
      </c>
      <c r="G82" s="7">
        <v>-1.4990516053215155E-2</v>
      </c>
      <c r="H82" s="7">
        <v>0</v>
      </c>
      <c r="I82" s="7">
        <v>0</v>
      </c>
      <c r="J82" s="7">
        <v>0</v>
      </c>
      <c r="K82" s="7">
        <v>0</v>
      </c>
      <c r="L82">
        <v>2.6247151849659955</v>
      </c>
      <c r="M82">
        <v>0</v>
      </c>
      <c r="N82" s="9"/>
      <c r="O82" s="3">
        <f>L82-M82</f>
        <v>2.6247151849659955</v>
      </c>
      <c r="P82" s="3"/>
      <c r="Q82" s="3"/>
      <c r="R82" s="3"/>
      <c r="T82" s="3"/>
    </row>
    <row r="83" spans="1:20">
      <c r="A83" s="7"/>
      <c r="B83" s="8"/>
      <c r="C83" s="8"/>
      <c r="D83" s="8"/>
      <c r="E83" s="7"/>
      <c r="F83" s="7"/>
      <c r="G83" s="7"/>
      <c r="H83" s="7"/>
      <c r="I83" s="7"/>
      <c r="J83" s="7"/>
      <c r="K83" s="7"/>
      <c r="N83" s="10"/>
      <c r="O83" s="3"/>
      <c r="P83" s="3"/>
      <c r="Q83" s="3"/>
      <c r="R83" s="3"/>
      <c r="T83" s="3"/>
    </row>
    <row r="84" spans="1:20">
      <c r="A84" s="7"/>
      <c r="B84" s="8">
        <v>1.0419123890112216</v>
      </c>
      <c r="C84" s="8">
        <v>-4.0818532431212473E-2</v>
      </c>
      <c r="D84" s="8">
        <v>0.77248383184656022</v>
      </c>
      <c r="E84" s="7">
        <v>-1.4990516053215155E-2</v>
      </c>
      <c r="F84" s="7">
        <v>0</v>
      </c>
      <c r="G84" s="7">
        <v>0</v>
      </c>
      <c r="H84" s="7">
        <v>-2.1796664656245589E-2</v>
      </c>
      <c r="I84" s="7">
        <v>2.2872089329671663E-2</v>
      </c>
      <c r="J84" s="7">
        <v>0</v>
      </c>
      <c r="K84" s="7">
        <v>0</v>
      </c>
      <c r="L84">
        <v>0.8419894247146269</v>
      </c>
      <c r="M84">
        <v>-8.0144021691332665E-4</v>
      </c>
      <c r="N84" s="9"/>
      <c r="O84" s="3">
        <f>L84-M84</f>
        <v>0.84279086493154021</v>
      </c>
      <c r="P84" s="3"/>
      <c r="Q84" s="3"/>
      <c r="R84" s="3"/>
      <c r="T84" s="3"/>
    </row>
    <row r="85" spans="1:20">
      <c r="A85" s="7" t="s">
        <v>34</v>
      </c>
      <c r="B85" s="8">
        <v>-1.4028471761352286</v>
      </c>
      <c r="C85" s="8">
        <v>0.814665459345566</v>
      </c>
      <c r="D85" s="8">
        <v>0.7195871750303805</v>
      </c>
      <c r="E85" s="7">
        <v>0</v>
      </c>
      <c r="F85" s="7">
        <v>-1.4990516053215155E-2</v>
      </c>
      <c r="G85" s="7">
        <v>0</v>
      </c>
      <c r="H85" s="7">
        <v>-2.1796664656245589E-2</v>
      </c>
      <c r="I85" s="7">
        <v>0</v>
      </c>
      <c r="J85" s="7">
        <v>2.2385887789414392E-2</v>
      </c>
      <c r="K85" s="7">
        <v>0</v>
      </c>
      <c r="L85">
        <v>1.5747328563547551</v>
      </c>
      <c r="M85">
        <v>-4.3432806008441584E-4</v>
      </c>
      <c r="N85" s="9"/>
      <c r="O85" s="3">
        <f>L85-M85</f>
        <v>1.5751671844148396</v>
      </c>
      <c r="P85" s="3"/>
      <c r="Q85" s="3"/>
      <c r="R85" s="3"/>
      <c r="T85" s="3"/>
    </row>
    <row r="86" spans="1:20">
      <c r="A86" s="7"/>
      <c r="B86" s="8">
        <v>-2.5457845528396139E-2</v>
      </c>
      <c r="C86" s="8">
        <v>2.3667658472617719</v>
      </c>
      <c r="D86" s="8">
        <v>6.368425350466822E-2</v>
      </c>
      <c r="E86" s="7">
        <v>0</v>
      </c>
      <c r="F86" s="7">
        <v>0</v>
      </c>
      <c r="G86" s="7">
        <v>-1.4990516053215155E-2</v>
      </c>
      <c r="H86" s="7">
        <v>-2.1796664656245589E-2</v>
      </c>
      <c r="I86" s="7">
        <v>0</v>
      </c>
      <c r="J86" s="7">
        <v>0</v>
      </c>
      <c r="K86" s="7">
        <v>2.0521745021313972E-2</v>
      </c>
      <c r="L86">
        <v>2.803142180904064</v>
      </c>
      <c r="M86">
        <v>9.0011799830808027E-4</v>
      </c>
      <c r="N86" s="9"/>
      <c r="O86" s="3">
        <f>L86-M86</f>
        <v>2.8022420629057558</v>
      </c>
      <c r="P86" s="3"/>
      <c r="Q86" s="3"/>
      <c r="R86" s="3"/>
      <c r="T86" s="3"/>
    </row>
    <row r="87" spans="1:20">
      <c r="A87" s="7"/>
      <c r="B87" s="8"/>
      <c r="C87" s="8"/>
      <c r="D87" s="8"/>
      <c r="E87" s="7"/>
      <c r="F87" s="7"/>
      <c r="G87" s="7"/>
      <c r="H87" s="7"/>
      <c r="I87" s="7"/>
      <c r="J87" s="7"/>
      <c r="K87" s="7"/>
      <c r="N87" s="10"/>
      <c r="O87" s="3"/>
      <c r="P87" s="3"/>
      <c r="Q87" s="3"/>
      <c r="R87" s="3"/>
      <c r="T87" s="3"/>
    </row>
    <row r="88" spans="1:20">
      <c r="A88" s="7"/>
      <c r="B88" s="8">
        <v>1.0419123890112216</v>
      </c>
      <c r="C88" s="8">
        <v>-4.0818532431212473E-2</v>
      </c>
      <c r="D88" s="8">
        <v>0.77248383184656022</v>
      </c>
      <c r="E88" s="7">
        <v>-1.4990516053215155E-2</v>
      </c>
      <c r="F88" s="7">
        <v>0</v>
      </c>
      <c r="G88" s="7">
        <v>0</v>
      </c>
      <c r="H88" s="7">
        <v>-2.1796664656245589E-2</v>
      </c>
      <c r="I88" s="7">
        <v>2.2872089329671663E-2</v>
      </c>
      <c r="J88" s="7">
        <v>0</v>
      </c>
      <c r="K88" s="7">
        <v>0</v>
      </c>
      <c r="L88">
        <v>0.8419894247146269</v>
      </c>
      <c r="M88">
        <v>-8.0144021691332665E-4</v>
      </c>
      <c r="N88" s="9"/>
      <c r="O88" s="3">
        <f>L88-M88</f>
        <v>0.84279086493154021</v>
      </c>
      <c r="P88" s="3"/>
      <c r="Q88" s="3"/>
      <c r="R88" s="3"/>
      <c r="T88" s="3"/>
    </row>
    <row r="89" spans="1:20">
      <c r="A89" s="7" t="s">
        <v>35</v>
      </c>
      <c r="B89" s="8">
        <v>1.4421025939282253</v>
      </c>
      <c r="C89" s="8">
        <v>1.0431877148697888</v>
      </c>
      <c r="D89" s="8">
        <v>0.78932433807079116</v>
      </c>
      <c r="E89" s="7">
        <v>0</v>
      </c>
      <c r="F89" s="7">
        <v>-1.4990516053215155E-2</v>
      </c>
      <c r="G89" s="7">
        <v>0</v>
      </c>
      <c r="H89" s="7">
        <v>-2.1796664656245589E-2</v>
      </c>
      <c r="I89" s="7">
        <v>0</v>
      </c>
      <c r="J89" s="7">
        <v>1.6236379226863738E-2</v>
      </c>
      <c r="K89" s="7">
        <v>0</v>
      </c>
      <c r="L89">
        <v>1.8954667052703302</v>
      </c>
      <c r="M89">
        <v>3.528137221409509E-3</v>
      </c>
      <c r="N89" s="9"/>
      <c r="O89" s="3">
        <f>L89-M89</f>
        <v>1.8919385680489207</v>
      </c>
      <c r="P89" s="3"/>
      <c r="Q89" s="3"/>
      <c r="R89" s="3"/>
      <c r="T89" s="3"/>
    </row>
    <row r="90" spans="1:20">
      <c r="A90" s="7"/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0</v>
      </c>
      <c r="G90" s="7">
        <v>-1.4990516053215155E-2</v>
      </c>
      <c r="H90" s="7">
        <v>-2.1796664656245589E-2</v>
      </c>
      <c r="I90" s="7">
        <v>0</v>
      </c>
      <c r="J90" s="7">
        <v>0</v>
      </c>
      <c r="K90" s="7">
        <v>1.5970575730977998E-2</v>
      </c>
      <c r="L90">
        <v>3.0923821493075776</v>
      </c>
      <c r="M90">
        <v>3.6709600572059457E-3</v>
      </c>
      <c r="N90" s="9"/>
      <c r="O90" s="3">
        <f>L90-M90</f>
        <v>3.0887111892503718</v>
      </c>
      <c r="P90" s="3"/>
      <c r="Q90" s="3"/>
      <c r="R90" s="3"/>
      <c r="T90" s="3"/>
    </row>
    <row r="91" spans="1:20">
      <c r="A91" s="7"/>
      <c r="B91" s="8"/>
      <c r="C91" s="8"/>
      <c r="D91" s="8"/>
      <c r="E91" s="7"/>
      <c r="F91" s="7"/>
      <c r="G91" s="7"/>
      <c r="H91" s="7"/>
      <c r="I91" s="7"/>
      <c r="J91" s="7"/>
      <c r="K91" s="7"/>
      <c r="N91" s="10"/>
      <c r="O91" s="3"/>
      <c r="P91" s="3"/>
      <c r="Q91" s="3"/>
      <c r="R91" s="3"/>
      <c r="T91" s="3"/>
    </row>
    <row r="92" spans="1:20">
      <c r="A92" s="7"/>
      <c r="B92" s="8">
        <v>1.0419123890112216</v>
      </c>
      <c r="C92" s="8">
        <v>-4.0818532431212473E-2</v>
      </c>
      <c r="D92" s="8">
        <v>0.77248383184656022</v>
      </c>
      <c r="E92" s="7">
        <v>-1.4990516053215155E-2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>
        <v>0.8419894247146269</v>
      </c>
      <c r="M92">
        <v>0</v>
      </c>
      <c r="N92" s="9"/>
      <c r="O92" s="3">
        <f>L92-M92</f>
        <v>0.8419894247146269</v>
      </c>
      <c r="P92" s="3"/>
      <c r="Q92" s="3"/>
      <c r="R92" s="3"/>
      <c r="T92" s="3"/>
    </row>
    <row r="93" spans="1:20">
      <c r="A93" s="7" t="s">
        <v>36</v>
      </c>
      <c r="B93" s="8">
        <v>1.4421025939282253</v>
      </c>
      <c r="C93" s="8">
        <v>1.0431877148697888</v>
      </c>
      <c r="D93" s="8">
        <v>0.78932433807079116</v>
      </c>
      <c r="E93" s="7">
        <v>0</v>
      </c>
      <c r="F93" s="7">
        <v>-1.4990516053215155E-2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>
        <v>1.8954667052703302</v>
      </c>
      <c r="M93">
        <v>0</v>
      </c>
      <c r="N93" s="9"/>
      <c r="O93" s="3">
        <f>L93-M93</f>
        <v>1.8954667052703302</v>
      </c>
      <c r="P93" s="3"/>
      <c r="Q93" s="3"/>
      <c r="R93" s="3"/>
      <c r="T93" s="3"/>
    </row>
    <row r="94" spans="1:20">
      <c r="A94" s="7"/>
      <c r="B94" s="8">
        <v>0.58367185674448252</v>
      </c>
      <c r="C94" s="8">
        <v>2.0841504898711007</v>
      </c>
      <c r="D94" s="8">
        <v>0.75171422039661484</v>
      </c>
      <c r="E94" s="7">
        <v>0</v>
      </c>
      <c r="F94" s="7">
        <v>0</v>
      </c>
      <c r="G94" s="7">
        <v>-1.4990516053215155E-2</v>
      </c>
      <c r="H94" s="7">
        <v>0</v>
      </c>
      <c r="I94" s="7">
        <v>0</v>
      </c>
      <c r="J94" s="7">
        <v>0</v>
      </c>
      <c r="K94" s="7">
        <v>0</v>
      </c>
      <c r="L94">
        <v>2.6247151849659955</v>
      </c>
      <c r="M94">
        <v>0</v>
      </c>
      <c r="N94" s="9"/>
      <c r="O94" s="3">
        <f>L94-M94</f>
        <v>2.6247151849659955</v>
      </c>
      <c r="P94" s="3"/>
      <c r="Q94" s="3"/>
      <c r="R94" s="3"/>
      <c r="T94" s="3"/>
    </row>
    <row r="95" spans="1:20">
      <c r="A95" s="7"/>
      <c r="B95" s="8"/>
      <c r="C95" s="8"/>
      <c r="D95" s="8"/>
      <c r="E95" s="7"/>
      <c r="F95" s="7"/>
      <c r="G95" s="7"/>
      <c r="H95" s="7"/>
      <c r="I95" s="7"/>
      <c r="J95" s="7"/>
      <c r="K95" s="7"/>
      <c r="N95" s="10"/>
      <c r="O95" s="3"/>
      <c r="P95" s="3"/>
      <c r="Q95" s="3"/>
      <c r="R95" s="3"/>
      <c r="T95" s="3"/>
    </row>
    <row r="96" spans="1:20">
      <c r="A96" s="7"/>
      <c r="B96" s="8">
        <v>1.0419123890112216</v>
      </c>
      <c r="C96" s="8">
        <v>-4.0818532431212473E-2</v>
      </c>
      <c r="D96" s="8">
        <v>0.77248383184656022</v>
      </c>
      <c r="E96" s="7">
        <v>-1.4990516053215155E-2</v>
      </c>
      <c r="F96" s="7">
        <v>0</v>
      </c>
      <c r="G96" s="7">
        <v>0</v>
      </c>
      <c r="H96" s="7">
        <v>-2.1796664656245589E-2</v>
      </c>
      <c r="I96" s="7">
        <v>2.2872089329671663E-2</v>
      </c>
      <c r="J96" s="7">
        <v>0</v>
      </c>
      <c r="K96" s="7">
        <v>0</v>
      </c>
      <c r="L96">
        <v>0.8419894247146269</v>
      </c>
      <c r="M96">
        <v>-8.0144021691332665E-4</v>
      </c>
      <c r="N96" s="9"/>
      <c r="O96" s="3">
        <f>L96-M96</f>
        <v>0.84279086493154021</v>
      </c>
      <c r="P96" s="3"/>
      <c r="Q96" s="3"/>
      <c r="R96" s="3"/>
      <c r="T96" s="3"/>
    </row>
    <row r="97" spans="1:20">
      <c r="A97" s="7" t="s">
        <v>37</v>
      </c>
      <c r="B97" s="8">
        <v>1.4421025939282253</v>
      </c>
      <c r="C97" s="8">
        <v>1.0431877148697888</v>
      </c>
      <c r="D97" s="8">
        <v>0.78932433807079116</v>
      </c>
      <c r="E97" s="7">
        <v>0</v>
      </c>
      <c r="F97" s="7">
        <v>-1.4990516053215155E-2</v>
      </c>
      <c r="G97" s="7">
        <v>0</v>
      </c>
      <c r="H97" s="7">
        <v>-2.1796664656245589E-2</v>
      </c>
      <c r="I97" s="7">
        <v>0</v>
      </c>
      <c r="J97" s="7">
        <v>1.6236379226863738E-2</v>
      </c>
      <c r="K97" s="7">
        <v>0</v>
      </c>
      <c r="L97">
        <v>1.8954667052703302</v>
      </c>
      <c r="M97">
        <v>3.528137221409509E-3</v>
      </c>
      <c r="N97" s="9"/>
      <c r="O97" s="3">
        <f>L97-M97</f>
        <v>1.8919385680489207</v>
      </c>
      <c r="P97" s="3"/>
      <c r="Q97" s="3"/>
      <c r="R97" s="3"/>
      <c r="T97" s="3"/>
    </row>
    <row r="98" spans="1:20">
      <c r="A98" s="7"/>
      <c r="B98" s="8">
        <v>-2.5457845528396139E-2</v>
      </c>
      <c r="C98" s="8">
        <v>2.3667658472617719</v>
      </c>
      <c r="D98" s="8">
        <v>6.368425350466822E-2</v>
      </c>
      <c r="E98" s="7">
        <v>0</v>
      </c>
      <c r="F98" s="7">
        <v>0</v>
      </c>
      <c r="G98" s="7">
        <v>-1.4990516053215155E-2</v>
      </c>
      <c r="H98" s="7">
        <v>-2.1796664656245589E-2</v>
      </c>
      <c r="I98" s="7">
        <v>0</v>
      </c>
      <c r="J98" s="7">
        <v>0</v>
      </c>
      <c r="K98" s="7">
        <v>2.0521745021313972E-2</v>
      </c>
      <c r="L98">
        <v>2.803142180904064</v>
      </c>
      <c r="M98">
        <v>9.0011799830808027E-4</v>
      </c>
      <c r="N98" s="9"/>
      <c r="O98" s="3">
        <f>L98-M98</f>
        <v>2.8022420629057558</v>
      </c>
      <c r="P98" s="3"/>
      <c r="Q98" s="3"/>
      <c r="R98" s="3"/>
      <c r="T98" s="3"/>
    </row>
    <row r="99" spans="1:20">
      <c r="A99" s="7"/>
      <c r="B99" s="8"/>
      <c r="C99" s="8"/>
      <c r="D99" s="8"/>
      <c r="E99" s="7"/>
      <c r="F99" s="7"/>
      <c r="G99" s="7"/>
      <c r="H99" s="7"/>
      <c r="I99" s="7"/>
      <c r="J99" s="7"/>
      <c r="K99" s="7"/>
      <c r="N99" s="10"/>
      <c r="O99" s="3"/>
      <c r="P99" s="3"/>
      <c r="Q99" s="3"/>
      <c r="R99" s="3"/>
      <c r="T99" s="3"/>
    </row>
    <row r="100" spans="1:20">
      <c r="A100" s="7"/>
      <c r="B100" s="8">
        <v>1.0419123890112216</v>
      </c>
      <c r="C100" s="8">
        <v>-4.0818532431212473E-2</v>
      </c>
      <c r="D100" s="8">
        <v>0.77248383184656022</v>
      </c>
      <c r="E100" s="7">
        <v>-1.4990516053215155E-2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>
        <v>0.8419894247146269</v>
      </c>
      <c r="M100">
        <v>0</v>
      </c>
      <c r="N100" s="9"/>
      <c r="O100" s="3">
        <f>L100-M100</f>
        <v>0.8419894247146269</v>
      </c>
      <c r="P100" s="3"/>
      <c r="Q100" s="3"/>
      <c r="R100" s="3"/>
      <c r="T100" s="3"/>
    </row>
    <row r="101" spans="1:20">
      <c r="A101" s="7" t="s">
        <v>38</v>
      </c>
      <c r="B101" s="8">
        <v>-1.0351585166444348</v>
      </c>
      <c r="C101" s="8">
        <v>2.1037449841221099</v>
      </c>
      <c r="D101" s="8">
        <v>0.82913701269133588</v>
      </c>
      <c r="E101" s="7">
        <v>0</v>
      </c>
      <c r="F101" s="7">
        <v>-1.4990516053215155E-2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>
        <v>3.0923821493075776</v>
      </c>
      <c r="M101">
        <v>0</v>
      </c>
      <c r="N101" s="9"/>
      <c r="O101" s="3">
        <f>L101-M101</f>
        <v>3.0923821493075776</v>
      </c>
      <c r="P101" s="3"/>
      <c r="Q101" s="3"/>
      <c r="R101" s="3"/>
      <c r="T101" s="3"/>
    </row>
    <row r="102" spans="1:20">
      <c r="A102" s="7"/>
      <c r="B102" s="8">
        <v>0.58367185674448252</v>
      </c>
      <c r="C102" s="8">
        <v>2.0841504898711007</v>
      </c>
      <c r="D102" s="8">
        <v>0.75171422039661484</v>
      </c>
      <c r="E102" s="7">
        <v>0</v>
      </c>
      <c r="F102" s="7">
        <v>0</v>
      </c>
      <c r="G102" s="7">
        <v>-1.4990516053215155E-2</v>
      </c>
      <c r="H102" s="7">
        <v>0</v>
      </c>
      <c r="I102" s="7">
        <v>0</v>
      </c>
      <c r="J102" s="7">
        <v>0</v>
      </c>
      <c r="K102" s="7">
        <v>0</v>
      </c>
      <c r="L102">
        <v>2.6247151849659955</v>
      </c>
      <c r="M102">
        <v>0</v>
      </c>
      <c r="N102" s="9"/>
      <c r="O102" s="3">
        <f>L102-M102</f>
        <v>2.6247151849659955</v>
      </c>
      <c r="P102" s="3"/>
      <c r="Q102" s="3"/>
      <c r="R102" s="3"/>
      <c r="T102" s="3"/>
    </row>
    <row r="103" spans="1:20">
      <c r="A103" s="7"/>
      <c r="B103" s="8"/>
      <c r="C103" s="8"/>
      <c r="D103" s="8"/>
      <c r="E103" s="7"/>
      <c r="F103" s="7"/>
      <c r="G103" s="7"/>
      <c r="H103" s="7"/>
      <c r="I103" s="7"/>
      <c r="J103" s="7"/>
      <c r="K103" s="7"/>
      <c r="N103" s="10"/>
      <c r="O103" s="3"/>
      <c r="P103" s="3"/>
      <c r="Q103" s="3"/>
      <c r="R103" s="3"/>
      <c r="T103" s="3"/>
    </row>
    <row r="104" spans="1:20">
      <c r="A104" s="7"/>
      <c r="B104" s="8">
        <v>1.0419123890112216</v>
      </c>
      <c r="C104" s="8">
        <v>-4.0818532431212473E-2</v>
      </c>
      <c r="D104" s="8">
        <v>0.77248383184656022</v>
      </c>
      <c r="E104" s="7">
        <v>-1.4990516053215155E-2</v>
      </c>
      <c r="F104" s="7">
        <v>0</v>
      </c>
      <c r="G104" s="7">
        <v>0</v>
      </c>
      <c r="H104" s="7">
        <v>-2.1796664656245589E-2</v>
      </c>
      <c r="I104" s="7">
        <v>2.2872089329671663E-2</v>
      </c>
      <c r="J104" s="7">
        <v>0</v>
      </c>
      <c r="K104" s="7">
        <v>0</v>
      </c>
      <c r="L104">
        <v>0.8419894247146269</v>
      </c>
      <c r="M104">
        <v>-8.0144021691332665E-4</v>
      </c>
      <c r="N104" s="9"/>
      <c r="O104" s="3">
        <f>L104-M104</f>
        <v>0.84279086493154021</v>
      </c>
      <c r="P104" s="3"/>
      <c r="Q104" s="3"/>
      <c r="R104" s="3"/>
      <c r="T104" s="3"/>
    </row>
    <row r="105" spans="1:20">
      <c r="A105" s="7" t="s">
        <v>39</v>
      </c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7">
        <v>-1.4990516053215155E-2</v>
      </c>
      <c r="G105" s="7">
        <v>0</v>
      </c>
      <c r="H105" s="7">
        <v>-2.1796664656245589E-2</v>
      </c>
      <c r="I105" s="7">
        <v>0</v>
      </c>
      <c r="J105" s="7">
        <v>1.5970575730977998E-2</v>
      </c>
      <c r="K105" s="7">
        <v>0</v>
      </c>
      <c r="L105">
        <v>3.0923821493075776</v>
      </c>
      <c r="M105">
        <v>3.6709600572059457E-3</v>
      </c>
      <c r="N105" s="9"/>
      <c r="O105" s="3">
        <f>L105-M105</f>
        <v>3.0887111892503718</v>
      </c>
      <c r="P105" s="3"/>
      <c r="Q105" s="3"/>
      <c r="R105" s="3"/>
      <c r="T105" s="3"/>
    </row>
    <row r="106" spans="1:20">
      <c r="A106" s="7"/>
      <c r="B106" s="8">
        <v>-2.5457845528396139E-2</v>
      </c>
      <c r="C106" s="8">
        <v>2.3667658472617719</v>
      </c>
      <c r="D106" s="8">
        <v>6.368425350466822E-2</v>
      </c>
      <c r="E106" s="7">
        <v>0</v>
      </c>
      <c r="F106" s="7">
        <v>0</v>
      </c>
      <c r="G106" s="7">
        <v>-1.4990516053215155E-2</v>
      </c>
      <c r="H106" s="7">
        <v>-2.1796664656245589E-2</v>
      </c>
      <c r="I106" s="7">
        <v>0</v>
      </c>
      <c r="J106" s="7">
        <v>0</v>
      </c>
      <c r="K106" s="7">
        <v>2.0521745021313972E-2</v>
      </c>
      <c r="L106">
        <v>2.803142180904064</v>
      </c>
      <c r="M106">
        <v>9.0011799830808027E-4</v>
      </c>
      <c r="N106" s="9"/>
      <c r="O106" s="3">
        <f>L106-M106</f>
        <v>2.8022420629057558</v>
      </c>
      <c r="P106" s="3"/>
      <c r="Q106" s="3"/>
      <c r="R106" s="3"/>
      <c r="T106" s="3"/>
    </row>
    <row r="107" spans="1:20">
      <c r="A107" s="7"/>
      <c r="B107" s="8"/>
      <c r="C107" s="8"/>
      <c r="D107" s="8"/>
      <c r="E107" s="7"/>
      <c r="F107" s="7"/>
      <c r="G107" s="7"/>
      <c r="H107" s="7"/>
      <c r="I107" s="7"/>
      <c r="J107" s="7"/>
      <c r="K107" s="7"/>
      <c r="N107" s="10"/>
      <c r="O107" s="3"/>
      <c r="P107" s="3"/>
      <c r="Q107" s="3"/>
      <c r="R107" s="3"/>
      <c r="T107" s="3"/>
    </row>
    <row r="108" spans="1:20">
      <c r="A108" s="7"/>
      <c r="B108" s="8">
        <v>1.0419123890112216</v>
      </c>
      <c r="C108" s="8">
        <v>-4.0818532431212473E-2</v>
      </c>
      <c r="D108" s="8">
        <v>0.77248383184656022</v>
      </c>
      <c r="E108" s="7">
        <v>-1.4990516053215155E-2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>
        <v>0.8419894247146269</v>
      </c>
      <c r="M108">
        <v>0</v>
      </c>
      <c r="N108" s="9"/>
      <c r="O108" s="3">
        <f>L108-M108</f>
        <v>0.8419894247146269</v>
      </c>
      <c r="P108" s="3"/>
      <c r="Q108" s="3"/>
      <c r="R108" s="3"/>
      <c r="T108" s="3"/>
    </row>
    <row r="109" spans="1:20">
      <c r="A109" s="7" t="s">
        <v>40</v>
      </c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7">
        <v>-1.4990516053215155E-2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>
        <v>2.6247151849659955</v>
      </c>
      <c r="M109">
        <v>0</v>
      </c>
      <c r="N109" s="9"/>
      <c r="O109" s="3">
        <f>L109-M109</f>
        <v>2.6247151849659955</v>
      </c>
      <c r="P109" s="3"/>
      <c r="Q109" s="3"/>
      <c r="R109" s="3"/>
      <c r="T109" s="3"/>
    </row>
    <row r="110" spans="1:20">
      <c r="A110" s="7"/>
      <c r="B110" s="8">
        <v>-2.5457845528396139E-2</v>
      </c>
      <c r="C110" s="8">
        <v>2.3667658472617719</v>
      </c>
      <c r="D110" s="8">
        <v>6.368425350466822E-2</v>
      </c>
      <c r="E110" s="7">
        <v>0</v>
      </c>
      <c r="F110" s="7">
        <v>0</v>
      </c>
      <c r="G110" s="7">
        <v>-1.4990516053215155E-2</v>
      </c>
      <c r="H110" s="7">
        <v>0</v>
      </c>
      <c r="I110" s="7">
        <v>0</v>
      </c>
      <c r="J110" s="7">
        <v>0</v>
      </c>
      <c r="K110" s="7">
        <v>0</v>
      </c>
      <c r="L110">
        <v>2.803142180904064</v>
      </c>
      <c r="M110">
        <v>0</v>
      </c>
      <c r="N110" s="9"/>
      <c r="O110" s="3">
        <f>L110-M110</f>
        <v>2.803142180904064</v>
      </c>
      <c r="P110" s="3"/>
      <c r="Q110" s="3"/>
      <c r="R110" s="3"/>
      <c r="T110" s="3"/>
    </row>
    <row r="111" spans="1:20">
      <c r="A111" s="7"/>
      <c r="B111" s="8"/>
      <c r="C111" s="8"/>
      <c r="D111" s="8"/>
      <c r="E111" s="7"/>
      <c r="F111" s="7"/>
      <c r="G111" s="7"/>
      <c r="H111" s="7"/>
      <c r="I111" s="7"/>
      <c r="J111" s="7"/>
      <c r="K111" s="7"/>
      <c r="N111" s="10"/>
      <c r="O111" s="3"/>
      <c r="P111" s="3"/>
      <c r="Q111" s="3"/>
      <c r="R111" s="3"/>
      <c r="T111" s="3"/>
    </row>
    <row r="112" spans="1:20">
      <c r="A112" s="7"/>
      <c r="B112" s="8">
        <v>-1.4028471761352286</v>
      </c>
      <c r="C112" s="8">
        <v>0.814665459345566</v>
      </c>
      <c r="D112" s="8">
        <v>0.7195871750303805</v>
      </c>
      <c r="E112" s="7">
        <v>-1.4990516053215155E-2</v>
      </c>
      <c r="F112" s="7">
        <v>0</v>
      </c>
      <c r="G112" s="7">
        <v>0</v>
      </c>
      <c r="H112" s="7">
        <v>-2.1796664656245589E-2</v>
      </c>
      <c r="I112" s="7">
        <v>2.2385887789414392E-2</v>
      </c>
      <c r="J112" s="7">
        <v>0</v>
      </c>
      <c r="K112" s="7">
        <v>0</v>
      </c>
      <c r="L112">
        <v>1.5747328563547551</v>
      </c>
      <c r="M112">
        <v>-4.3432806008441584E-4</v>
      </c>
      <c r="N112" s="9"/>
      <c r="O112" s="3">
        <f>L112-M112</f>
        <v>1.5751671844148396</v>
      </c>
      <c r="P112" s="3"/>
      <c r="Q112" s="3"/>
      <c r="R112" s="3"/>
      <c r="T112" s="3"/>
    </row>
    <row r="113" spans="1:20">
      <c r="A113" s="7" t="s">
        <v>41</v>
      </c>
      <c r="B113" s="8">
        <v>1.4421025939282253</v>
      </c>
      <c r="C113" s="8">
        <v>1.0431877148697888</v>
      </c>
      <c r="D113" s="8">
        <v>0.78932433807079116</v>
      </c>
      <c r="E113" s="7">
        <v>0</v>
      </c>
      <c r="F113" s="7">
        <v>-1.4990516053215155E-2</v>
      </c>
      <c r="G113" s="7">
        <v>0</v>
      </c>
      <c r="H113" s="7">
        <v>-2.1796664656245589E-2</v>
      </c>
      <c r="I113" s="7">
        <v>0</v>
      </c>
      <c r="J113" s="7">
        <v>1.6236379226863738E-2</v>
      </c>
      <c r="K113" s="7">
        <v>0</v>
      </c>
      <c r="L113">
        <v>1.8954667052703302</v>
      </c>
      <c r="M113">
        <v>3.528137221409509E-3</v>
      </c>
      <c r="N113" s="9"/>
      <c r="O113" s="3">
        <f>L113-M113</f>
        <v>1.8919385680489207</v>
      </c>
      <c r="P113" s="3"/>
      <c r="Q113" s="3"/>
      <c r="R113" s="3"/>
      <c r="T113" s="3"/>
    </row>
    <row r="114" spans="1:20">
      <c r="A114" s="7"/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0</v>
      </c>
      <c r="G114" s="7">
        <v>-1.4990516053215155E-2</v>
      </c>
      <c r="H114" s="7">
        <v>-2.1796664656245589E-2</v>
      </c>
      <c r="I114" s="7">
        <v>0</v>
      </c>
      <c r="J114" s="7">
        <v>0</v>
      </c>
      <c r="K114" s="7">
        <v>1.5970575730977998E-2</v>
      </c>
      <c r="L114">
        <v>3.0923821493075776</v>
      </c>
      <c r="M114">
        <v>3.6709600572059457E-3</v>
      </c>
      <c r="N114" s="9"/>
      <c r="O114" s="3">
        <f>L114-M114</f>
        <v>3.0887111892503718</v>
      </c>
      <c r="P114" s="3"/>
      <c r="Q114" s="3"/>
      <c r="R114" s="3"/>
      <c r="T114" s="3"/>
    </row>
    <row r="115" spans="1:20">
      <c r="A115" s="7"/>
      <c r="B115" s="8"/>
      <c r="C115" s="8"/>
      <c r="D115" s="8"/>
      <c r="E115" s="7"/>
      <c r="F115" s="7"/>
      <c r="G115" s="7"/>
      <c r="H115" s="7"/>
      <c r="I115" s="7"/>
      <c r="J115" s="7"/>
      <c r="K115" s="7"/>
      <c r="N115" s="10"/>
      <c r="O115" s="3"/>
      <c r="P115" s="3"/>
      <c r="Q115" s="3"/>
      <c r="R115" s="3"/>
      <c r="T115" s="3"/>
    </row>
    <row r="116" spans="1:20">
      <c r="A116" s="7"/>
      <c r="B116" s="8">
        <v>-1.4028471761352286</v>
      </c>
      <c r="C116" s="8">
        <v>0.814665459345566</v>
      </c>
      <c r="D116" s="8">
        <v>0.7195871750303805</v>
      </c>
      <c r="E116" s="7">
        <v>-1.4990516053215155E-2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>
        <v>1.5747328563547551</v>
      </c>
      <c r="M116">
        <v>0</v>
      </c>
      <c r="N116" s="9"/>
      <c r="O116" s="3">
        <f>L116-M116</f>
        <v>1.5747328563547551</v>
      </c>
      <c r="P116" s="3"/>
      <c r="Q116" s="3"/>
      <c r="R116" s="3"/>
      <c r="T116" s="3"/>
    </row>
    <row r="117" spans="1:20">
      <c r="A117" s="7" t="s">
        <v>42</v>
      </c>
      <c r="B117" s="8">
        <v>1.4421025939282253</v>
      </c>
      <c r="C117" s="8">
        <v>1.0431877148697888</v>
      </c>
      <c r="D117" s="8">
        <v>0.78932433807079116</v>
      </c>
      <c r="E117" s="7">
        <v>0</v>
      </c>
      <c r="F117" s="7">
        <v>-1.4990516053215155E-2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>
        <v>1.8954667052703302</v>
      </c>
      <c r="M117">
        <v>0</v>
      </c>
      <c r="N117" s="9"/>
      <c r="O117" s="3">
        <f>L117-M117</f>
        <v>1.8954667052703302</v>
      </c>
      <c r="P117" s="3"/>
      <c r="Q117" s="3"/>
      <c r="R117" s="3"/>
      <c r="T117" s="3"/>
    </row>
    <row r="118" spans="1:20">
      <c r="A118" s="7"/>
      <c r="B118" s="8">
        <v>0.58367185674448252</v>
      </c>
      <c r="C118" s="8">
        <v>2.0841504898711007</v>
      </c>
      <c r="D118" s="8">
        <v>0.75171422039661484</v>
      </c>
      <c r="E118" s="7">
        <v>0</v>
      </c>
      <c r="F118" s="7">
        <v>0</v>
      </c>
      <c r="G118" s="7">
        <v>-1.4990516053215155E-2</v>
      </c>
      <c r="H118" s="7">
        <v>0</v>
      </c>
      <c r="I118" s="7">
        <v>0</v>
      </c>
      <c r="J118" s="7">
        <v>0</v>
      </c>
      <c r="K118" s="7">
        <v>0</v>
      </c>
      <c r="L118">
        <v>2.6247151849659955</v>
      </c>
      <c r="M118">
        <v>0</v>
      </c>
      <c r="N118" s="9"/>
      <c r="O118" s="3">
        <f>L118-M118</f>
        <v>2.6247151849659955</v>
      </c>
      <c r="P118" s="3"/>
      <c r="Q118" s="3"/>
      <c r="R118" s="3"/>
      <c r="T118" s="3"/>
    </row>
    <row r="119" spans="1:20">
      <c r="A119" s="7"/>
      <c r="B119" s="8"/>
      <c r="C119" s="8"/>
      <c r="D119" s="8"/>
      <c r="E119" s="7"/>
      <c r="F119" s="7"/>
      <c r="G119" s="7"/>
      <c r="H119" s="7"/>
      <c r="I119" s="7"/>
      <c r="J119" s="7"/>
      <c r="K119" s="7"/>
      <c r="N119" s="10"/>
      <c r="O119" s="3"/>
      <c r="P119" s="3"/>
      <c r="Q119" s="3"/>
      <c r="R119" s="3"/>
      <c r="T119" s="3"/>
    </row>
    <row r="120" spans="1:20">
      <c r="A120" s="7"/>
      <c r="B120" s="8">
        <v>-1.4028471761352286</v>
      </c>
      <c r="C120" s="8">
        <v>0.814665459345566</v>
      </c>
      <c r="D120" s="8">
        <v>0.7195871750303805</v>
      </c>
      <c r="E120" s="7">
        <v>-1.4990516053215155E-2</v>
      </c>
      <c r="F120" s="7">
        <v>0</v>
      </c>
      <c r="G120" s="7">
        <v>0</v>
      </c>
      <c r="H120" s="7">
        <v>-2.1796664656245589E-2</v>
      </c>
      <c r="I120" s="7">
        <v>2.2385887789414392E-2</v>
      </c>
      <c r="J120" s="7">
        <v>0</v>
      </c>
      <c r="K120" s="7">
        <v>0</v>
      </c>
      <c r="L120">
        <v>1.5747328563547551</v>
      </c>
      <c r="M120">
        <v>-4.3432806008441584E-4</v>
      </c>
      <c r="N120" s="9"/>
      <c r="O120" s="3">
        <f>L120-M120</f>
        <v>1.5751671844148396</v>
      </c>
      <c r="P120" s="3"/>
      <c r="Q120" s="3"/>
      <c r="R120" s="3"/>
      <c r="T120" s="3"/>
    </row>
    <row r="121" spans="1:20">
      <c r="A121" s="7" t="s">
        <v>43</v>
      </c>
      <c r="B121" s="8">
        <v>1.4421025939282253</v>
      </c>
      <c r="C121" s="8">
        <v>1.0431877148697888</v>
      </c>
      <c r="D121" s="8">
        <v>0.78932433807079116</v>
      </c>
      <c r="E121" s="7">
        <v>0</v>
      </c>
      <c r="F121" s="7">
        <v>-1.4990516053215155E-2</v>
      </c>
      <c r="G121" s="7">
        <v>0</v>
      </c>
      <c r="H121" s="7">
        <v>-2.1796664656245589E-2</v>
      </c>
      <c r="I121" s="7">
        <v>0</v>
      </c>
      <c r="J121" s="7">
        <v>1.6236379226863738E-2</v>
      </c>
      <c r="K121" s="7">
        <v>0</v>
      </c>
      <c r="L121">
        <v>1.8954667052703302</v>
      </c>
      <c r="M121">
        <v>3.528137221409509E-3</v>
      </c>
      <c r="N121" s="9"/>
      <c r="O121" s="3">
        <f>L121-M121</f>
        <v>1.8919385680489207</v>
      </c>
      <c r="P121" s="3"/>
      <c r="Q121" s="3"/>
      <c r="R121" s="3"/>
      <c r="T121" s="3"/>
    </row>
    <row r="122" spans="1:20">
      <c r="A122" s="7"/>
      <c r="B122" s="8">
        <v>-2.5457845528396139E-2</v>
      </c>
      <c r="C122" s="8">
        <v>2.3667658472617719</v>
      </c>
      <c r="D122" s="8">
        <v>6.368425350466822E-2</v>
      </c>
      <c r="E122" s="7">
        <v>0</v>
      </c>
      <c r="F122" s="7">
        <v>0</v>
      </c>
      <c r="G122" s="7">
        <v>-1.4990516053215155E-2</v>
      </c>
      <c r="H122" s="7">
        <v>-2.1796664656245589E-2</v>
      </c>
      <c r="I122" s="7">
        <v>0</v>
      </c>
      <c r="J122" s="7">
        <v>0</v>
      </c>
      <c r="K122" s="7">
        <v>2.0521745021313972E-2</v>
      </c>
      <c r="L122">
        <v>2.803142180904064</v>
      </c>
      <c r="M122">
        <v>9.0011799830808027E-4</v>
      </c>
      <c r="N122" s="9"/>
      <c r="O122" s="3">
        <f>L122-M122</f>
        <v>2.8022420629057558</v>
      </c>
      <c r="P122" s="3"/>
      <c r="Q122" s="3"/>
      <c r="R122" s="3"/>
      <c r="T122" s="3"/>
    </row>
    <row r="123" spans="1:20">
      <c r="A123" s="7"/>
      <c r="B123" s="8"/>
      <c r="C123" s="8"/>
      <c r="D123" s="8"/>
      <c r="E123" s="7"/>
      <c r="F123" s="7"/>
      <c r="G123" s="7"/>
      <c r="H123" s="7"/>
      <c r="I123" s="7"/>
      <c r="J123" s="7"/>
      <c r="K123" s="7"/>
      <c r="N123" s="10"/>
      <c r="O123" s="3"/>
      <c r="P123" s="3"/>
      <c r="Q123" s="3"/>
      <c r="R123" s="3"/>
      <c r="T123" s="3"/>
    </row>
    <row r="124" spans="1:20">
      <c r="A124" s="7"/>
      <c r="B124" s="8">
        <v>-1.4028471761352286</v>
      </c>
      <c r="C124" s="8">
        <v>0.814665459345566</v>
      </c>
      <c r="D124" s="8">
        <v>0.7195871750303805</v>
      </c>
      <c r="E124" s="7">
        <v>-1.4990516053215155E-2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>
        <v>1.5747328563547551</v>
      </c>
      <c r="M124">
        <v>0</v>
      </c>
      <c r="N124" s="9"/>
      <c r="O124" s="3">
        <f>L124-M124</f>
        <v>1.5747328563547551</v>
      </c>
      <c r="P124" s="3"/>
      <c r="Q124" s="3"/>
      <c r="R124" s="3"/>
      <c r="T124" s="3"/>
    </row>
    <row r="125" spans="1:20">
      <c r="A125" s="7" t="s">
        <v>44</v>
      </c>
      <c r="B125" s="8">
        <v>-1.0351585166444348</v>
      </c>
      <c r="C125" s="8">
        <v>2.1037449841221099</v>
      </c>
      <c r="D125" s="8">
        <v>0.82913701269133588</v>
      </c>
      <c r="E125" s="7">
        <v>0</v>
      </c>
      <c r="F125" s="7">
        <v>-1.4990516053215155E-2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>
        <v>3.0923821493075776</v>
      </c>
      <c r="M125">
        <v>0</v>
      </c>
      <c r="N125" s="9"/>
      <c r="O125" s="3">
        <f>L125-M125</f>
        <v>3.0923821493075776</v>
      </c>
      <c r="P125" s="3"/>
      <c r="Q125" s="3"/>
      <c r="R125" s="3"/>
      <c r="T125" s="3"/>
    </row>
    <row r="126" spans="1:20">
      <c r="A126" s="7"/>
      <c r="B126" s="8">
        <v>0.58367185674448252</v>
      </c>
      <c r="C126" s="8">
        <v>2.0841504898711007</v>
      </c>
      <c r="D126" s="8">
        <v>0.75171422039661484</v>
      </c>
      <c r="E126" s="7">
        <v>0</v>
      </c>
      <c r="F126" s="7">
        <v>0</v>
      </c>
      <c r="G126" s="7">
        <v>-1.4990516053215155E-2</v>
      </c>
      <c r="H126" s="7">
        <v>0</v>
      </c>
      <c r="I126" s="7">
        <v>0</v>
      </c>
      <c r="J126" s="7">
        <v>0</v>
      </c>
      <c r="K126" s="7">
        <v>0</v>
      </c>
      <c r="L126">
        <v>2.6247151849659955</v>
      </c>
      <c r="M126">
        <v>0</v>
      </c>
      <c r="N126" s="9"/>
      <c r="O126" s="3">
        <f>L126-M126</f>
        <v>2.6247151849659955</v>
      </c>
      <c r="P126" s="3"/>
      <c r="Q126" s="3"/>
      <c r="R126" s="3"/>
      <c r="T126" s="3"/>
    </row>
    <row r="127" spans="1:20">
      <c r="A127" s="7"/>
      <c r="B127" s="8"/>
      <c r="C127" s="8"/>
      <c r="D127" s="8"/>
      <c r="E127" s="7"/>
      <c r="F127" s="7"/>
      <c r="G127" s="7"/>
      <c r="H127" s="7"/>
      <c r="I127" s="7"/>
      <c r="J127" s="7"/>
      <c r="K127" s="7"/>
      <c r="N127" s="10"/>
      <c r="O127" s="3"/>
      <c r="P127" s="3"/>
      <c r="Q127" s="3"/>
      <c r="R127" s="3"/>
      <c r="T127" s="3"/>
    </row>
    <row r="128" spans="1:20">
      <c r="A128" s="7"/>
      <c r="B128" s="8">
        <v>-1.4028471761352286</v>
      </c>
      <c r="C128" s="8">
        <v>0.814665459345566</v>
      </c>
      <c r="D128" s="8">
        <v>0.7195871750303805</v>
      </c>
      <c r="E128" s="7">
        <v>-1.4990516053215155E-2</v>
      </c>
      <c r="F128" s="7">
        <v>0</v>
      </c>
      <c r="G128" s="7">
        <v>0</v>
      </c>
      <c r="H128" s="7">
        <v>-2.1796664656245589E-2</v>
      </c>
      <c r="I128" s="7">
        <v>2.2385887789414392E-2</v>
      </c>
      <c r="J128" s="7">
        <v>0</v>
      </c>
      <c r="K128" s="7">
        <v>0</v>
      </c>
      <c r="L128">
        <v>1.5747328563547551</v>
      </c>
      <c r="M128">
        <v>-4.3432806008441584E-4</v>
      </c>
      <c r="N128" s="9"/>
      <c r="O128" s="3">
        <f>L128-M128</f>
        <v>1.5751671844148396</v>
      </c>
      <c r="P128" s="3"/>
      <c r="Q128" s="3"/>
      <c r="R128" s="3"/>
      <c r="T128" s="3"/>
    </row>
    <row r="129" spans="1:20">
      <c r="A129" s="7" t="s">
        <v>45</v>
      </c>
      <c r="B129" s="8">
        <v>-1.0351585166444348</v>
      </c>
      <c r="C129" s="8">
        <v>2.1037449841221099</v>
      </c>
      <c r="D129" s="8">
        <v>0.82913701269133588</v>
      </c>
      <c r="E129" s="7">
        <v>0</v>
      </c>
      <c r="F129" s="7">
        <v>-1.4990516053215155E-2</v>
      </c>
      <c r="G129" s="7">
        <v>0</v>
      </c>
      <c r="H129" s="7">
        <v>-2.1796664656245589E-2</v>
      </c>
      <c r="I129" s="7">
        <v>0</v>
      </c>
      <c r="J129" s="7">
        <v>1.5970575730977998E-2</v>
      </c>
      <c r="K129" s="7">
        <v>0</v>
      </c>
      <c r="L129">
        <v>3.0923821493075776</v>
      </c>
      <c r="M129">
        <v>3.6709600572059457E-3</v>
      </c>
      <c r="N129" s="9"/>
      <c r="O129" s="3">
        <f>L129-M129</f>
        <v>3.0887111892503718</v>
      </c>
      <c r="P129" s="3"/>
      <c r="Q129" s="3"/>
      <c r="R129" s="3"/>
      <c r="T129" s="3"/>
    </row>
    <row r="130" spans="1:20">
      <c r="A130" s="7"/>
      <c r="B130" s="8">
        <v>-2.5457845528396139E-2</v>
      </c>
      <c r="C130" s="8">
        <v>2.3667658472617719</v>
      </c>
      <c r="D130" s="8">
        <v>6.368425350466822E-2</v>
      </c>
      <c r="E130" s="7">
        <v>0</v>
      </c>
      <c r="F130" s="7">
        <v>0</v>
      </c>
      <c r="G130" s="7">
        <v>-1.4990516053215155E-2</v>
      </c>
      <c r="H130" s="7">
        <v>-2.1796664656245589E-2</v>
      </c>
      <c r="I130" s="7">
        <v>0</v>
      </c>
      <c r="J130" s="7">
        <v>0</v>
      </c>
      <c r="K130" s="7">
        <v>2.0521745021313972E-2</v>
      </c>
      <c r="L130">
        <v>2.803142180904064</v>
      </c>
      <c r="M130">
        <v>9.0011799830808027E-4</v>
      </c>
      <c r="N130" s="9"/>
      <c r="O130" s="3">
        <f>L130-M130</f>
        <v>2.8022420629057558</v>
      </c>
      <c r="P130" s="3"/>
      <c r="Q130" s="3"/>
      <c r="R130" s="3"/>
      <c r="T130" s="3"/>
    </row>
    <row r="131" spans="1:20">
      <c r="A131" s="7"/>
      <c r="B131" s="8"/>
      <c r="C131" s="8"/>
      <c r="D131" s="8"/>
      <c r="E131" s="7"/>
      <c r="F131" s="7"/>
      <c r="G131" s="7"/>
      <c r="H131" s="7"/>
      <c r="I131" s="7"/>
      <c r="J131" s="7"/>
      <c r="K131" s="7"/>
      <c r="N131" s="10"/>
      <c r="O131" s="3"/>
      <c r="P131" s="3"/>
      <c r="Q131" s="3"/>
      <c r="R131" s="3"/>
      <c r="T131" s="3"/>
    </row>
    <row r="132" spans="1:20">
      <c r="A132" s="7"/>
      <c r="B132" s="8">
        <v>-1.4028471761352286</v>
      </c>
      <c r="C132" s="8">
        <v>0.814665459345566</v>
      </c>
      <c r="D132" s="8">
        <v>0.7195871750303805</v>
      </c>
      <c r="E132" s="7">
        <v>-1.4990516053215155E-2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>
        <v>1.5747328563547551</v>
      </c>
      <c r="M132">
        <v>0</v>
      </c>
      <c r="N132" s="9"/>
      <c r="O132" s="3">
        <f>L132-M132</f>
        <v>1.5747328563547551</v>
      </c>
      <c r="P132" s="3"/>
      <c r="Q132" s="3"/>
      <c r="R132" s="3"/>
      <c r="T132" s="3"/>
    </row>
    <row r="133" spans="1:20">
      <c r="A133" s="7" t="s">
        <v>46</v>
      </c>
      <c r="B133" s="8">
        <v>0.58367185674448252</v>
      </c>
      <c r="C133" s="8">
        <v>2.0841504898711007</v>
      </c>
      <c r="D133" s="8">
        <v>0.75171422039661484</v>
      </c>
      <c r="E133" s="7">
        <v>0</v>
      </c>
      <c r="F133" s="7">
        <v>-1.4990516053215155E-2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>
        <v>2.6247151849659955</v>
      </c>
      <c r="M133">
        <v>0</v>
      </c>
      <c r="N133" s="9"/>
      <c r="O133" s="3">
        <f>L133-M133</f>
        <v>2.6247151849659955</v>
      </c>
      <c r="P133" s="3"/>
      <c r="Q133" s="3"/>
      <c r="R133" s="3"/>
      <c r="T133" s="3"/>
    </row>
    <row r="134" spans="1:20">
      <c r="A134" s="7"/>
      <c r="B134" s="8">
        <v>-2.5457845528396139E-2</v>
      </c>
      <c r="C134" s="8">
        <v>2.3667658472617719</v>
      </c>
      <c r="D134" s="8">
        <v>6.368425350466822E-2</v>
      </c>
      <c r="E134" s="7">
        <v>0</v>
      </c>
      <c r="F134" s="7">
        <v>0</v>
      </c>
      <c r="G134" s="7">
        <v>-1.4990516053215155E-2</v>
      </c>
      <c r="H134" s="7">
        <v>0</v>
      </c>
      <c r="I134" s="7">
        <v>0</v>
      </c>
      <c r="J134" s="7">
        <v>0</v>
      </c>
      <c r="K134" s="7">
        <v>0</v>
      </c>
      <c r="L134">
        <v>2.803142180904064</v>
      </c>
      <c r="M134">
        <v>0</v>
      </c>
      <c r="N134" s="9"/>
      <c r="O134" s="3">
        <f>L134-M134</f>
        <v>2.803142180904064</v>
      </c>
      <c r="P134" s="3"/>
      <c r="Q134" s="3"/>
      <c r="R134" s="3"/>
      <c r="T134" s="3"/>
    </row>
    <row r="135" spans="1:20">
      <c r="A135" s="7"/>
      <c r="B135" s="8"/>
      <c r="C135" s="8"/>
      <c r="D135" s="8"/>
      <c r="E135" s="7"/>
      <c r="F135" s="7"/>
      <c r="G135" s="7"/>
      <c r="H135" s="7"/>
      <c r="I135" s="7"/>
      <c r="J135" s="7"/>
      <c r="K135" s="7"/>
      <c r="N135" s="10"/>
      <c r="O135" s="3"/>
      <c r="P135" s="3"/>
      <c r="Q135" s="3"/>
      <c r="R135" s="3"/>
      <c r="T135" s="3"/>
    </row>
    <row r="136" spans="1:20">
      <c r="A136" s="7"/>
      <c r="B136" s="8">
        <v>1.4421025939282253</v>
      </c>
      <c r="C136" s="8">
        <v>1.0431877148697888</v>
      </c>
      <c r="D136" s="8">
        <v>0.78932433807079116</v>
      </c>
      <c r="E136" s="7">
        <v>-1.4990516053215155E-2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>
        <v>1.8954667052703302</v>
      </c>
      <c r="M136">
        <v>0</v>
      </c>
      <c r="N136" s="9"/>
      <c r="O136" s="3">
        <f>L136-M136</f>
        <v>1.8954667052703302</v>
      </c>
      <c r="P136" s="3"/>
      <c r="Q136" s="3"/>
      <c r="R136" s="3"/>
      <c r="T136" s="3"/>
    </row>
    <row r="137" spans="1:20">
      <c r="A137" s="7" t="s">
        <v>47</v>
      </c>
      <c r="B137" s="8">
        <v>-1.0351585166444348</v>
      </c>
      <c r="C137" s="8">
        <v>2.1037449841221099</v>
      </c>
      <c r="D137" s="8">
        <v>0.82913701269133588</v>
      </c>
      <c r="E137" s="7">
        <v>0</v>
      </c>
      <c r="F137" s="7">
        <v>-1.4990516053215155E-2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>
        <v>3.0923821493075776</v>
      </c>
      <c r="M137">
        <v>0</v>
      </c>
      <c r="N137" s="9"/>
      <c r="O137" s="3">
        <f>L137-M137</f>
        <v>3.0923821493075776</v>
      </c>
      <c r="P137" s="3"/>
      <c r="Q137" s="3"/>
      <c r="R137" s="3"/>
      <c r="T137" s="3"/>
    </row>
    <row r="138" spans="1:20">
      <c r="A138" s="7"/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0</v>
      </c>
      <c r="G138" s="7">
        <v>-1.4990516053215155E-2</v>
      </c>
      <c r="H138" s="7">
        <v>0</v>
      </c>
      <c r="I138" s="7">
        <v>0</v>
      </c>
      <c r="J138" s="7">
        <v>0</v>
      </c>
      <c r="K138" s="7">
        <v>0</v>
      </c>
      <c r="L138">
        <v>2.6247151849659955</v>
      </c>
      <c r="M138">
        <v>0</v>
      </c>
      <c r="N138" s="9"/>
      <c r="O138" s="3">
        <f>L138-M138</f>
        <v>2.6247151849659955</v>
      </c>
      <c r="P138" s="3"/>
      <c r="Q138" s="3"/>
      <c r="R138" s="3"/>
      <c r="T138" s="3"/>
    </row>
    <row r="139" spans="1:20">
      <c r="A139" s="7"/>
      <c r="B139" s="8"/>
      <c r="C139" s="8"/>
      <c r="D139" s="8"/>
      <c r="E139" s="7"/>
      <c r="F139" s="7"/>
      <c r="G139" s="7"/>
      <c r="H139" s="7"/>
      <c r="I139" s="7"/>
      <c r="J139" s="7"/>
      <c r="K139" s="7"/>
      <c r="N139" s="10"/>
      <c r="O139" s="3"/>
      <c r="P139" s="3"/>
      <c r="Q139" s="3"/>
      <c r="R139" s="3"/>
      <c r="T139" s="3"/>
    </row>
    <row r="140" spans="1:20">
      <c r="A140" s="7"/>
      <c r="B140" s="8">
        <v>1.4421025939282253</v>
      </c>
      <c r="C140" s="8">
        <v>1.0431877148697888</v>
      </c>
      <c r="D140" s="8">
        <v>0.78932433807079116</v>
      </c>
      <c r="E140" s="7">
        <v>-1.4990516053215155E-2</v>
      </c>
      <c r="F140" s="7">
        <v>0</v>
      </c>
      <c r="G140" s="7">
        <v>0</v>
      </c>
      <c r="H140" s="7">
        <v>-2.1796664656245589E-2</v>
      </c>
      <c r="I140" s="7">
        <v>1.6236379226863738E-2</v>
      </c>
      <c r="J140" s="7">
        <v>0</v>
      </c>
      <c r="K140" s="7">
        <v>0</v>
      </c>
      <c r="L140">
        <v>1.8954667052703302</v>
      </c>
      <c r="M140">
        <v>3.528137221409509E-3</v>
      </c>
      <c r="N140" s="9"/>
      <c r="O140" s="3">
        <f>L140-M140</f>
        <v>1.8919385680489207</v>
      </c>
      <c r="P140" s="3"/>
      <c r="Q140" s="3"/>
      <c r="R140" s="3"/>
      <c r="T140" s="3"/>
    </row>
    <row r="141" spans="1:20">
      <c r="A141" s="7" t="s">
        <v>48</v>
      </c>
      <c r="B141" s="8">
        <v>-1.0351585166444348</v>
      </c>
      <c r="C141" s="8">
        <v>2.1037449841221099</v>
      </c>
      <c r="D141" s="8">
        <v>0.82913701269133588</v>
      </c>
      <c r="E141" s="7">
        <v>0</v>
      </c>
      <c r="F141" s="7">
        <v>-1.4990516053215155E-2</v>
      </c>
      <c r="G141" s="7">
        <v>0</v>
      </c>
      <c r="H141" s="7">
        <v>-2.1796664656245589E-2</v>
      </c>
      <c r="I141" s="7">
        <v>0</v>
      </c>
      <c r="J141" s="7">
        <v>1.5970575730977998E-2</v>
      </c>
      <c r="K141" s="7">
        <v>0</v>
      </c>
      <c r="L141">
        <v>3.0923821493075776</v>
      </c>
      <c r="M141">
        <v>3.6709600572059457E-3</v>
      </c>
      <c r="N141" s="9"/>
      <c r="O141" s="3">
        <f>L141-M141</f>
        <v>3.0887111892503718</v>
      </c>
      <c r="P141" s="3"/>
      <c r="Q141" s="3"/>
      <c r="R141" s="3"/>
      <c r="T141" s="3"/>
    </row>
    <row r="142" spans="1:20">
      <c r="A142" s="7"/>
      <c r="B142" s="8">
        <v>-2.5457845528396139E-2</v>
      </c>
      <c r="C142" s="8">
        <v>2.3667658472617719</v>
      </c>
      <c r="D142" s="8">
        <v>6.368425350466822E-2</v>
      </c>
      <c r="E142" s="7">
        <v>0</v>
      </c>
      <c r="F142" s="7">
        <v>0</v>
      </c>
      <c r="G142" s="7">
        <v>-1.4990516053215155E-2</v>
      </c>
      <c r="H142" s="7">
        <v>-2.1796664656245589E-2</v>
      </c>
      <c r="I142" s="7">
        <v>0</v>
      </c>
      <c r="J142" s="7">
        <v>0</v>
      </c>
      <c r="K142" s="7">
        <v>2.0521745021313972E-2</v>
      </c>
      <c r="L142">
        <v>2.803142180904064</v>
      </c>
      <c r="M142">
        <v>9.0011799830808027E-4</v>
      </c>
      <c r="N142" s="9"/>
      <c r="O142" s="3">
        <f>L142-M142</f>
        <v>2.8022420629057558</v>
      </c>
      <c r="P142" s="3"/>
      <c r="Q142" s="3"/>
      <c r="R142" s="3"/>
      <c r="T142" s="3"/>
    </row>
    <row r="143" spans="1:20">
      <c r="A143" s="7"/>
      <c r="B143" s="8"/>
      <c r="C143" s="8"/>
      <c r="D143" s="8"/>
      <c r="E143" s="7"/>
      <c r="F143" s="7"/>
      <c r="G143" s="7"/>
      <c r="H143" s="7"/>
      <c r="I143" s="7"/>
      <c r="J143" s="7"/>
      <c r="K143" s="7"/>
      <c r="N143" s="10"/>
      <c r="O143" s="3"/>
      <c r="P143" s="3"/>
      <c r="Q143" s="3"/>
      <c r="R143" s="3"/>
      <c r="T143" s="3"/>
    </row>
    <row r="144" spans="1:20">
      <c r="A144" s="7"/>
      <c r="B144" s="8">
        <v>1.4421025939282253</v>
      </c>
      <c r="C144" s="8">
        <v>1.0431877148697888</v>
      </c>
      <c r="D144" s="8">
        <v>0.78932433807079116</v>
      </c>
      <c r="E144" s="7">
        <v>-1.4990516053215155E-2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>
        <v>1.8954667052703302</v>
      </c>
      <c r="M144">
        <v>0</v>
      </c>
      <c r="N144" s="9"/>
      <c r="O144" s="3">
        <f>L144-M144</f>
        <v>1.8954667052703302</v>
      </c>
      <c r="P144" s="3"/>
      <c r="Q144" s="3"/>
      <c r="R144" s="3"/>
      <c r="T144" s="3"/>
    </row>
    <row r="145" spans="1:20">
      <c r="A145" s="7" t="s">
        <v>49</v>
      </c>
      <c r="B145" s="8">
        <v>0.58367185674448252</v>
      </c>
      <c r="C145" s="8">
        <v>2.0841504898711007</v>
      </c>
      <c r="D145" s="8">
        <v>0.75171422039661484</v>
      </c>
      <c r="E145" s="7">
        <v>0</v>
      </c>
      <c r="F145" s="7">
        <v>-1.4990516053215155E-2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>
        <v>2.6247151849659955</v>
      </c>
      <c r="M145">
        <v>0</v>
      </c>
      <c r="N145" s="9"/>
      <c r="O145" s="3">
        <f>L145-M145</f>
        <v>2.6247151849659955</v>
      </c>
      <c r="P145" s="3"/>
      <c r="Q145" s="3"/>
      <c r="R145" s="3"/>
      <c r="T145" s="3"/>
    </row>
    <row r="146" spans="1:20">
      <c r="A146" s="7"/>
      <c r="B146" s="8">
        <v>-2.5457845528396139E-2</v>
      </c>
      <c r="C146" s="8">
        <v>2.3667658472617719</v>
      </c>
      <c r="D146" s="8">
        <v>6.368425350466822E-2</v>
      </c>
      <c r="E146" s="7">
        <v>0</v>
      </c>
      <c r="F146" s="7">
        <v>0</v>
      </c>
      <c r="G146" s="7">
        <v>-1.4990516053215155E-2</v>
      </c>
      <c r="H146" s="7">
        <v>0</v>
      </c>
      <c r="I146" s="7">
        <v>0</v>
      </c>
      <c r="J146" s="7">
        <v>0</v>
      </c>
      <c r="K146" s="7">
        <v>0</v>
      </c>
      <c r="L146">
        <v>2.803142180904064</v>
      </c>
      <c r="M146">
        <v>0</v>
      </c>
      <c r="N146" s="9"/>
      <c r="O146" s="3">
        <f>L146-M146</f>
        <v>2.803142180904064</v>
      </c>
      <c r="P146" s="3"/>
      <c r="Q146" s="3"/>
      <c r="R146" s="3"/>
      <c r="T146" s="3"/>
    </row>
    <row r="147" spans="1:20">
      <c r="A147" s="7"/>
      <c r="B147" s="8"/>
      <c r="C147" s="8"/>
      <c r="D147" s="8"/>
      <c r="E147" s="7"/>
      <c r="F147" s="7"/>
      <c r="G147" s="7"/>
      <c r="H147" s="7"/>
      <c r="I147" s="7"/>
      <c r="J147" s="7"/>
      <c r="K147" s="7"/>
      <c r="N147" s="10"/>
      <c r="O147" s="3"/>
      <c r="P147" s="3"/>
      <c r="Q147" s="3"/>
      <c r="R147" s="3"/>
      <c r="T147" s="3"/>
    </row>
    <row r="148" spans="1:20">
      <c r="A148" s="7"/>
      <c r="B148" s="8">
        <v>-1.0351585166444348</v>
      </c>
      <c r="C148" s="8">
        <v>2.1037449841221099</v>
      </c>
      <c r="D148" s="8">
        <v>0.82913701269133588</v>
      </c>
      <c r="E148" s="7">
        <v>-1.4990516053215155E-2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>
        <v>3.0923821493075776</v>
      </c>
      <c r="M148">
        <v>0</v>
      </c>
      <c r="N148" s="9"/>
      <c r="O148" s="3">
        <f>L148-M148</f>
        <v>3.0923821493075776</v>
      </c>
      <c r="P148" s="3"/>
      <c r="Q148" s="3"/>
      <c r="R148" s="3"/>
      <c r="T148" s="3"/>
    </row>
    <row r="149" spans="1:20">
      <c r="A149" s="7" t="s">
        <v>50</v>
      </c>
      <c r="B149" s="8">
        <v>0.58367185674448252</v>
      </c>
      <c r="C149" s="8">
        <v>2.0841504898711007</v>
      </c>
      <c r="D149" s="8">
        <v>0.75171422039661484</v>
      </c>
      <c r="E149" s="7">
        <v>0</v>
      </c>
      <c r="F149" s="7">
        <v>-1.4990516053215155E-2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>
        <v>2.6247151849659955</v>
      </c>
      <c r="M149">
        <v>0</v>
      </c>
      <c r="N149" s="9"/>
      <c r="O149" s="3">
        <f>L149-M149</f>
        <v>2.6247151849659955</v>
      </c>
      <c r="P149" s="3"/>
      <c r="Q149" s="3"/>
      <c r="R149" s="3"/>
      <c r="T149" s="3"/>
    </row>
    <row r="150" spans="1:20">
      <c r="A150" s="7"/>
      <c r="B150" s="8">
        <v>-2.5457845528396139E-2</v>
      </c>
      <c r="C150" s="8">
        <v>2.3667658472617719</v>
      </c>
      <c r="D150" s="8">
        <v>6.368425350466822E-2</v>
      </c>
      <c r="E150" s="7">
        <v>0</v>
      </c>
      <c r="F150" s="7">
        <v>0</v>
      </c>
      <c r="G150" s="7">
        <v>-1.4990516053215155E-2</v>
      </c>
      <c r="H150" s="7">
        <v>0</v>
      </c>
      <c r="I150" s="7">
        <v>0</v>
      </c>
      <c r="J150" s="7">
        <v>0</v>
      </c>
      <c r="K150" s="7">
        <v>0</v>
      </c>
      <c r="L150">
        <v>2.803142180904064</v>
      </c>
      <c r="M150">
        <v>0</v>
      </c>
      <c r="N150" s="9"/>
      <c r="O150" s="3">
        <f>L150-M150</f>
        <v>2.803142180904064</v>
      </c>
      <c r="P150" s="3"/>
      <c r="Q150" s="3"/>
      <c r="R150" s="3"/>
      <c r="T150" s="3"/>
    </row>
    <row r="151" spans="1:20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N151" s="10"/>
      <c r="O151" s="3"/>
      <c r="P151" s="3"/>
      <c r="Q151" s="3"/>
      <c r="R151" s="3"/>
      <c r="T151" s="3"/>
    </row>
    <row r="152" spans="1:20">
      <c r="A152" s="7"/>
      <c r="B152" s="8">
        <v>1.253875629566908</v>
      </c>
      <c r="C152" s="8">
        <v>3.2592166127769939E-2</v>
      </c>
      <c r="D152" s="8">
        <v>-0.73934661383723232</v>
      </c>
      <c r="E152" s="7">
        <v>-1.4990516053215155E-2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>
        <v>1.0599498795536459</v>
      </c>
      <c r="M152">
        <v>0</v>
      </c>
      <c r="N152" s="9"/>
      <c r="O152" s="3">
        <f>L152-M152</f>
        <v>1.0599498795536459</v>
      </c>
      <c r="P152" s="3"/>
      <c r="Q152" s="3"/>
      <c r="R152" s="3"/>
      <c r="T152" s="3"/>
    </row>
    <row r="153" spans="1:20">
      <c r="A153" s="7" t="s">
        <v>51</v>
      </c>
      <c r="B153" s="8">
        <v>2.2957880185781296</v>
      </c>
      <c r="C153" s="8">
        <v>-8.2263663034425338E-3</v>
      </c>
      <c r="D153" s="8">
        <v>3.3137218009327896E-2</v>
      </c>
      <c r="E153" s="7">
        <v>0</v>
      </c>
      <c r="F153" s="7">
        <v>-1.4990516053215155E-2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>
        <v>2.6359041872834252</v>
      </c>
      <c r="M153">
        <v>0</v>
      </c>
      <c r="N153" s="9"/>
      <c r="O153" s="3">
        <f>L153-M153</f>
        <v>2.6359041872834252</v>
      </c>
      <c r="P153" s="3"/>
      <c r="Q153" s="3"/>
      <c r="R153" s="3"/>
      <c r="T153" s="3"/>
    </row>
    <row r="154" spans="1:20">
      <c r="A154" s="7"/>
      <c r="B154" s="8">
        <v>-0.14897154656832046</v>
      </c>
      <c r="C154" s="8">
        <v>0.84725762547333594</v>
      </c>
      <c r="D154" s="8">
        <v>-1.9759438806851826E-2</v>
      </c>
      <c r="E154" s="7">
        <v>0</v>
      </c>
      <c r="F154" s="7">
        <v>0</v>
      </c>
      <c r="G154" s="7">
        <v>-1.4990516053215155E-2</v>
      </c>
      <c r="H154" s="7">
        <v>0</v>
      </c>
      <c r="I154" s="7">
        <v>0</v>
      </c>
      <c r="J154" s="7">
        <v>0</v>
      </c>
      <c r="K154" s="7">
        <v>0</v>
      </c>
      <c r="L154">
        <v>0.37021422051581732</v>
      </c>
      <c r="M154">
        <v>0</v>
      </c>
      <c r="N154" s="9"/>
      <c r="O154" s="3">
        <f>L154-M154</f>
        <v>0.37021422051581732</v>
      </c>
      <c r="P154" s="3"/>
      <c r="Q154" s="3"/>
      <c r="R154" s="3"/>
      <c r="T154" s="3"/>
    </row>
    <row r="155" spans="1:20">
      <c r="A155" s="7"/>
      <c r="B155" s="8"/>
      <c r="C155" s="8"/>
      <c r="D155" s="8"/>
      <c r="E155" s="7"/>
      <c r="F155" s="7"/>
      <c r="G155" s="7"/>
      <c r="H155" s="7"/>
      <c r="I155" s="7"/>
      <c r="J155" s="7"/>
      <c r="K155" s="7"/>
      <c r="N155" s="10"/>
      <c r="O155" s="3"/>
      <c r="P155" s="3"/>
      <c r="Q155" s="3"/>
      <c r="R155" s="3"/>
      <c r="T155" s="3"/>
    </row>
    <row r="156" spans="1:20">
      <c r="A156" s="7"/>
      <c r="B156" s="8">
        <v>1.253875629566908</v>
      </c>
      <c r="C156" s="8">
        <v>3.2592166127769939E-2</v>
      </c>
      <c r="D156" s="8">
        <v>-0.73934661383723232</v>
      </c>
      <c r="E156" s="7">
        <v>-1.4990516053215155E-2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>
        <v>1.0599498795536459</v>
      </c>
      <c r="M156">
        <v>0</v>
      </c>
      <c r="N156" s="9"/>
      <c r="O156" s="3">
        <f>L156-M156</f>
        <v>1.0599498795536459</v>
      </c>
      <c r="P156" s="3"/>
      <c r="Q156" s="3"/>
      <c r="R156" s="3"/>
      <c r="T156" s="3"/>
    </row>
    <row r="157" spans="1:20">
      <c r="A157" s="7" t="s">
        <v>52</v>
      </c>
      <c r="B157" s="8">
        <v>2.2957880185781296</v>
      </c>
      <c r="C157" s="8">
        <v>-8.2263663034425338E-3</v>
      </c>
      <c r="D157" s="8">
        <v>3.3137218009327896E-2</v>
      </c>
      <c r="E157" s="7">
        <v>0</v>
      </c>
      <c r="F157" s="7">
        <v>-1.4990516053215155E-2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>
        <v>2.6359041872834252</v>
      </c>
      <c r="M157">
        <v>0</v>
      </c>
      <c r="N157" s="9"/>
      <c r="O157" s="3">
        <f>L157-M157</f>
        <v>2.6359041872834252</v>
      </c>
      <c r="P157" s="3"/>
      <c r="Q157" s="3"/>
      <c r="R157" s="3"/>
      <c r="T157" s="3"/>
    </row>
    <row r="158" spans="1:20">
      <c r="A158" s="7"/>
      <c r="B158" s="8">
        <v>2.6959782234951333</v>
      </c>
      <c r="C158" s="8">
        <v>1.0757798809975587</v>
      </c>
      <c r="D158" s="8">
        <v>4.997772423355884E-2</v>
      </c>
      <c r="E158" s="7">
        <v>0</v>
      </c>
      <c r="F158" s="7">
        <v>0</v>
      </c>
      <c r="G158" s="7">
        <v>-1.4990516053215155E-2</v>
      </c>
      <c r="H158" s="7">
        <v>0</v>
      </c>
      <c r="I158" s="7">
        <v>0</v>
      </c>
      <c r="J158" s="7">
        <v>0</v>
      </c>
      <c r="K158" s="7">
        <v>0</v>
      </c>
      <c r="L158">
        <v>4.2140493534193304</v>
      </c>
      <c r="M158">
        <v>0</v>
      </c>
      <c r="N158" s="9"/>
      <c r="O158" s="3">
        <f>L158-M158</f>
        <v>4.2140493534193304</v>
      </c>
      <c r="P158" s="3"/>
      <c r="Q158" s="3"/>
      <c r="R158" s="3"/>
      <c r="T158" s="3"/>
    </row>
    <row r="159" spans="1:20">
      <c r="A159" s="7"/>
      <c r="B159" s="8"/>
      <c r="C159" s="8"/>
      <c r="D159" s="8"/>
      <c r="E159" s="7"/>
      <c r="F159" s="7"/>
      <c r="G159" s="7"/>
      <c r="H159" s="7"/>
      <c r="I159" s="7"/>
      <c r="J159" s="7"/>
      <c r="K159" s="7"/>
      <c r="N159" s="10"/>
      <c r="O159" s="3"/>
      <c r="P159" s="3"/>
      <c r="Q159" s="3"/>
      <c r="R159" s="3"/>
      <c r="T159" s="3"/>
    </row>
    <row r="160" spans="1:20">
      <c r="A160" s="7"/>
      <c r="B160" s="8">
        <v>1.253875629566908</v>
      </c>
      <c r="C160" s="8">
        <v>3.2592166127769939E-2</v>
      </c>
      <c r="D160" s="8">
        <v>-0.73934661383723232</v>
      </c>
      <c r="E160" s="7">
        <v>-1.4990516053215155E-2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>
        <v>1.0599498795536459</v>
      </c>
      <c r="M160">
        <v>0</v>
      </c>
      <c r="N160" s="9"/>
      <c r="O160" s="3">
        <f>L160-M160</f>
        <v>1.0599498795536459</v>
      </c>
      <c r="P160" s="3"/>
      <c r="Q160" s="3"/>
      <c r="R160" s="3"/>
      <c r="T160" s="3"/>
    </row>
    <row r="161" spans="1:20">
      <c r="A161" s="7" t="s">
        <v>53</v>
      </c>
      <c r="B161" s="8">
        <v>2.2957880185781296</v>
      </c>
      <c r="C161" s="8">
        <v>-8.2263663034425338E-3</v>
      </c>
      <c r="D161" s="8">
        <v>3.3137218009327896E-2</v>
      </c>
      <c r="E161" s="7">
        <v>0</v>
      </c>
      <c r="F161" s="7">
        <v>-1.4990516053215155E-2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>
        <v>2.6359041872834252</v>
      </c>
      <c r="M161">
        <v>0</v>
      </c>
      <c r="N161" s="9"/>
      <c r="O161" s="3">
        <f>L161-M161</f>
        <v>2.6359041872834252</v>
      </c>
      <c r="P161" s="3"/>
      <c r="Q161" s="3"/>
      <c r="R161" s="3"/>
      <c r="T161" s="3"/>
    </row>
    <row r="162" spans="1:20">
      <c r="A162" s="7"/>
      <c r="B162" s="8">
        <v>0.21871711292247331</v>
      </c>
      <c r="C162" s="8">
        <v>2.1363371502498802</v>
      </c>
      <c r="D162" s="8">
        <v>8.9790398854103559E-2</v>
      </c>
      <c r="E162" s="7">
        <v>0</v>
      </c>
      <c r="F162" s="7">
        <v>0</v>
      </c>
      <c r="G162" s="7">
        <v>-1.4990516053215155E-2</v>
      </c>
      <c r="H162" s="7">
        <v>0</v>
      </c>
      <c r="I162" s="7">
        <v>0</v>
      </c>
      <c r="J162" s="7">
        <v>0</v>
      </c>
      <c r="K162" s="7">
        <v>0</v>
      </c>
      <c r="L162">
        <v>2.3099179553746505</v>
      </c>
      <c r="M162">
        <v>0</v>
      </c>
      <c r="N162" s="9"/>
      <c r="O162" s="3">
        <f>L162-M162</f>
        <v>2.3099179553746505</v>
      </c>
      <c r="P162" s="3"/>
      <c r="Q162" s="3"/>
      <c r="R162" s="3"/>
      <c r="T162" s="3"/>
    </row>
    <row r="163" spans="1:20">
      <c r="A163" s="7"/>
      <c r="B163" s="8"/>
      <c r="C163" s="8"/>
      <c r="D163" s="8"/>
      <c r="E163" s="7"/>
      <c r="F163" s="7"/>
      <c r="G163" s="7"/>
      <c r="H163" s="7"/>
      <c r="I163" s="7"/>
      <c r="J163" s="7"/>
      <c r="K163" s="7"/>
      <c r="N163" s="10"/>
      <c r="O163" s="3"/>
      <c r="P163" s="3"/>
      <c r="Q163" s="3"/>
      <c r="R163" s="3"/>
      <c r="T163" s="3"/>
    </row>
    <row r="164" spans="1:20">
      <c r="A164" s="7"/>
      <c r="B164" s="8">
        <v>1.253875629566908</v>
      </c>
      <c r="C164" s="8">
        <v>3.2592166127769939E-2</v>
      </c>
      <c r="D164" s="8">
        <v>-0.73934661383723232</v>
      </c>
      <c r="E164" s="7">
        <v>-1.4990516053215155E-2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>
        <v>1.0599498795536459</v>
      </c>
      <c r="M164">
        <v>0</v>
      </c>
      <c r="N164" s="9"/>
      <c r="O164" s="3">
        <f>L164-M164</f>
        <v>1.0599498795536459</v>
      </c>
      <c r="P164" s="3"/>
      <c r="Q164" s="3"/>
      <c r="R164" s="3"/>
      <c r="T164" s="3"/>
    </row>
    <row r="165" spans="1:20">
      <c r="A165" s="7" t="s">
        <v>54</v>
      </c>
      <c r="B165" s="8">
        <v>2.2957880185781296</v>
      </c>
      <c r="C165" s="8">
        <v>-8.2263663034425338E-3</v>
      </c>
      <c r="D165" s="8">
        <v>3.3137218009327896E-2</v>
      </c>
      <c r="E165" s="7">
        <v>0</v>
      </c>
      <c r="F165" s="7">
        <v>-1.4990516053215155E-2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>
        <v>2.6359041872834252</v>
      </c>
      <c r="M165">
        <v>0</v>
      </c>
      <c r="N165" s="9"/>
      <c r="O165" s="3">
        <f>L165-M165</f>
        <v>2.6359041872834252</v>
      </c>
      <c r="P165" s="3"/>
      <c r="Q165" s="3"/>
      <c r="R165" s="3"/>
      <c r="T165" s="3"/>
    </row>
    <row r="166" spans="1:20">
      <c r="A166" s="7"/>
      <c r="B166" s="8">
        <v>1.8375474863113905</v>
      </c>
      <c r="C166" s="8">
        <v>2.1167426559988707</v>
      </c>
      <c r="D166" s="8">
        <v>1.2367606559382516E-2</v>
      </c>
      <c r="E166" s="7">
        <v>0</v>
      </c>
      <c r="F166" s="7">
        <v>0</v>
      </c>
      <c r="G166" s="7">
        <v>-1.4990516053215155E-2</v>
      </c>
      <c r="H166" s="7">
        <v>0</v>
      </c>
      <c r="I166" s="7">
        <v>0</v>
      </c>
      <c r="J166" s="7">
        <v>0</v>
      </c>
      <c r="K166" s="7">
        <v>0</v>
      </c>
      <c r="L166">
        <v>3.9286665969332351</v>
      </c>
      <c r="M166">
        <v>0</v>
      </c>
      <c r="N166" s="9"/>
      <c r="O166" s="3">
        <f>L166-M166</f>
        <v>3.9286665969332351</v>
      </c>
      <c r="P166" s="3"/>
      <c r="Q166" s="3"/>
      <c r="R166" s="3"/>
      <c r="T166" s="3"/>
    </row>
    <row r="167" spans="1:20">
      <c r="A167" s="7"/>
      <c r="B167" s="8"/>
      <c r="C167" s="8"/>
      <c r="D167" s="8"/>
      <c r="E167" s="7"/>
      <c r="F167" s="7"/>
      <c r="G167" s="7"/>
      <c r="H167" s="7"/>
      <c r="I167" s="7"/>
      <c r="J167" s="7"/>
      <c r="K167" s="7"/>
      <c r="N167" s="10"/>
      <c r="O167" s="3"/>
      <c r="P167" s="3"/>
      <c r="Q167" s="3"/>
      <c r="R167" s="3"/>
      <c r="T167" s="3"/>
    </row>
    <row r="168" spans="1:20">
      <c r="A168" s="7"/>
      <c r="B168" s="8">
        <v>1.253875629566908</v>
      </c>
      <c r="C168" s="8">
        <v>3.2592166127769939E-2</v>
      </c>
      <c r="D168" s="8">
        <v>-0.73934661383723232</v>
      </c>
      <c r="E168" s="7">
        <v>-1.4990516053215155E-2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>
        <v>1.0599498795536459</v>
      </c>
      <c r="M168">
        <v>0</v>
      </c>
      <c r="N168" s="9"/>
      <c r="O168" s="3">
        <f>L168-M168</f>
        <v>1.0599498795536459</v>
      </c>
      <c r="P168" s="3"/>
      <c r="Q168" s="3"/>
      <c r="R168" s="3"/>
      <c r="T168" s="3"/>
    </row>
    <row r="169" spans="1:20">
      <c r="A169" s="7" t="s">
        <v>55</v>
      </c>
      <c r="B169" s="8">
        <v>2.2957880185781296</v>
      </c>
      <c r="C169" s="8">
        <v>-8.2263663034425338E-3</v>
      </c>
      <c r="D169" s="8">
        <v>3.3137218009327896E-2</v>
      </c>
      <c r="E169" s="7">
        <v>0</v>
      </c>
      <c r="F169" s="7">
        <v>-1.4990516053215155E-2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>
        <v>2.6359041872834252</v>
      </c>
      <c r="M169">
        <v>0</v>
      </c>
      <c r="N169" s="9"/>
      <c r="O169" s="3">
        <f>L169-M169</f>
        <v>2.6359041872834252</v>
      </c>
      <c r="P169" s="3"/>
      <c r="Q169" s="3"/>
      <c r="R169" s="3"/>
      <c r="T169" s="3"/>
    </row>
    <row r="170" spans="1:20">
      <c r="A170" s="7"/>
      <c r="B170" s="8">
        <v>1.2284177840385118</v>
      </c>
      <c r="C170" s="8">
        <v>2.3993580133895418</v>
      </c>
      <c r="D170" s="8">
        <v>-0.6756623603325641</v>
      </c>
      <c r="E170" s="7">
        <v>0</v>
      </c>
      <c r="F170" s="7">
        <v>0</v>
      </c>
      <c r="G170" s="7">
        <v>-1.4990516053215155E-2</v>
      </c>
      <c r="H170" s="7">
        <v>0</v>
      </c>
      <c r="I170" s="7">
        <v>0</v>
      </c>
      <c r="J170" s="7">
        <v>0</v>
      </c>
      <c r="K170" s="7">
        <v>0</v>
      </c>
      <c r="L170">
        <v>3.8612243768644339</v>
      </c>
      <c r="M170">
        <v>0</v>
      </c>
      <c r="N170" s="9"/>
      <c r="O170" s="3">
        <f>L170-M170</f>
        <v>3.8612243768644339</v>
      </c>
      <c r="P170" s="3"/>
      <c r="Q170" s="3"/>
      <c r="R170" s="3"/>
      <c r="T170" s="3"/>
    </row>
    <row r="171" spans="1:20">
      <c r="A171" s="7"/>
      <c r="B171" s="8"/>
      <c r="C171" s="8"/>
      <c r="D171" s="8"/>
      <c r="E171" s="7"/>
      <c r="F171" s="7"/>
      <c r="G171" s="7"/>
      <c r="H171" s="7"/>
      <c r="I171" s="7"/>
      <c r="J171" s="7"/>
      <c r="K171" s="7"/>
      <c r="N171" s="10"/>
      <c r="O171" s="3"/>
      <c r="P171" s="3"/>
      <c r="Q171" s="3"/>
      <c r="R171" s="3"/>
      <c r="T171" s="3"/>
    </row>
    <row r="172" spans="1:20">
      <c r="A172" s="7"/>
      <c r="B172" s="8">
        <v>1.253875629566908</v>
      </c>
      <c r="C172" s="8">
        <v>3.2592166127769939E-2</v>
      </c>
      <c r="D172" s="8">
        <v>-0.73934661383723232</v>
      </c>
      <c r="E172" s="7">
        <v>-1.4990516053215155E-2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>
        <v>1.0599498795536459</v>
      </c>
      <c r="M172">
        <v>0</v>
      </c>
      <c r="N172" s="9"/>
      <c r="O172" s="3">
        <f>L172-M172</f>
        <v>1.0599498795536459</v>
      </c>
      <c r="P172" s="3"/>
      <c r="Q172" s="3"/>
      <c r="R172" s="3"/>
      <c r="T172" s="3"/>
    </row>
    <row r="173" spans="1:20">
      <c r="A173" s="7" t="s">
        <v>56</v>
      </c>
      <c r="B173" s="8">
        <v>-0.14897154656832046</v>
      </c>
      <c r="C173" s="8">
        <v>0.84725762547333594</v>
      </c>
      <c r="D173" s="8">
        <v>-1.9759438806851826E-2</v>
      </c>
      <c r="E173" s="7">
        <v>0</v>
      </c>
      <c r="F173" s="7">
        <v>-1.4990516053215155E-2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>
        <v>0.37021422051581732</v>
      </c>
      <c r="M173">
        <v>0</v>
      </c>
      <c r="N173" s="9"/>
      <c r="O173" s="3">
        <f>L173-M173</f>
        <v>0.37021422051581732</v>
      </c>
      <c r="P173" s="3"/>
      <c r="Q173" s="3"/>
      <c r="R173" s="3"/>
      <c r="T173" s="3"/>
    </row>
    <row r="174" spans="1:20">
      <c r="A174" s="7"/>
      <c r="B174" s="8">
        <v>2.6959782234951333</v>
      </c>
      <c r="C174" s="8">
        <v>1.0757798809975587</v>
      </c>
      <c r="D174" s="8">
        <v>4.997772423355884E-2</v>
      </c>
      <c r="E174" s="7">
        <v>0</v>
      </c>
      <c r="F174" s="7">
        <v>0</v>
      </c>
      <c r="G174" s="7">
        <v>-1.4990516053215155E-2</v>
      </c>
      <c r="H174" s="7">
        <v>0</v>
      </c>
      <c r="I174" s="7">
        <v>0</v>
      </c>
      <c r="J174" s="7">
        <v>0</v>
      </c>
      <c r="K174" s="7">
        <v>0</v>
      </c>
      <c r="L174">
        <v>4.2140493534193304</v>
      </c>
      <c r="M174">
        <v>0</v>
      </c>
      <c r="N174" s="9"/>
      <c r="O174" s="3">
        <f>L174-M174</f>
        <v>4.2140493534193304</v>
      </c>
      <c r="P174" s="3"/>
      <c r="Q174" s="3"/>
      <c r="R174" s="3"/>
      <c r="T174" s="3"/>
    </row>
    <row r="175" spans="1:20">
      <c r="A175" s="7"/>
      <c r="B175" s="8"/>
      <c r="C175" s="8"/>
      <c r="D175" s="8"/>
      <c r="E175" s="7"/>
      <c r="F175" s="7"/>
      <c r="G175" s="7"/>
      <c r="H175" s="7"/>
      <c r="I175" s="7"/>
      <c r="J175" s="7"/>
      <c r="K175" s="7"/>
      <c r="N175" s="10"/>
      <c r="O175" s="3"/>
      <c r="P175" s="3"/>
      <c r="Q175" s="3"/>
      <c r="R175" s="3"/>
      <c r="T175" s="3"/>
    </row>
    <row r="176" spans="1:20">
      <c r="A176" s="7"/>
      <c r="B176" s="8">
        <v>1.253875629566908</v>
      </c>
      <c r="C176" s="8">
        <v>3.2592166127769939E-2</v>
      </c>
      <c r="D176" s="8">
        <v>-0.73934661383723232</v>
      </c>
      <c r="E176" s="7">
        <v>-1.4990516053215155E-2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>
        <v>1.0599498795536459</v>
      </c>
      <c r="M176">
        <v>0</v>
      </c>
      <c r="N176" s="9"/>
      <c r="O176" s="3">
        <f>L176-M176</f>
        <v>1.0599498795536459</v>
      </c>
      <c r="P176" s="3"/>
      <c r="Q176" s="3"/>
      <c r="R176" s="3"/>
      <c r="T176" s="3"/>
    </row>
    <row r="177" spans="1:20">
      <c r="A177" s="7" t="s">
        <v>57</v>
      </c>
      <c r="B177" s="8">
        <v>-0.14897154656832046</v>
      </c>
      <c r="C177" s="8">
        <v>0.84725762547333594</v>
      </c>
      <c r="D177" s="8">
        <v>-1.9759438806851826E-2</v>
      </c>
      <c r="E177" s="7">
        <v>0</v>
      </c>
      <c r="F177" s="7">
        <v>-1.4990516053215155E-2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>
        <v>0.37021422051581732</v>
      </c>
      <c r="M177">
        <v>0</v>
      </c>
      <c r="N177" s="9"/>
      <c r="O177" s="3">
        <f>L177-M177</f>
        <v>0.37021422051581732</v>
      </c>
      <c r="P177" s="3"/>
      <c r="Q177" s="3"/>
      <c r="R177" s="3"/>
      <c r="T177" s="3"/>
    </row>
    <row r="178" spans="1:20">
      <c r="A178" s="7"/>
      <c r="B178" s="8">
        <v>0.21871711292247331</v>
      </c>
      <c r="C178" s="8">
        <v>2.1363371502498802</v>
      </c>
      <c r="D178" s="8">
        <v>8.9790398854103559E-2</v>
      </c>
      <c r="E178" s="7">
        <v>0</v>
      </c>
      <c r="F178" s="7">
        <v>0</v>
      </c>
      <c r="G178" s="7">
        <v>-1.4990516053215155E-2</v>
      </c>
      <c r="H178" s="7">
        <v>0</v>
      </c>
      <c r="I178" s="7">
        <v>0</v>
      </c>
      <c r="J178" s="7">
        <v>0</v>
      </c>
      <c r="K178" s="7">
        <v>0</v>
      </c>
      <c r="L178">
        <v>2.3099179553746505</v>
      </c>
      <c r="M178">
        <v>0</v>
      </c>
      <c r="N178" s="9"/>
      <c r="O178" s="3">
        <f>L178-M178</f>
        <v>2.3099179553746505</v>
      </c>
      <c r="P178" s="3"/>
      <c r="Q178" s="3"/>
      <c r="R178" s="3"/>
      <c r="T178" s="3"/>
    </row>
    <row r="179" spans="1:20">
      <c r="A179" s="7"/>
      <c r="B179" s="8"/>
      <c r="C179" s="8"/>
      <c r="D179" s="8"/>
      <c r="E179" s="7"/>
      <c r="F179" s="7"/>
      <c r="G179" s="7"/>
      <c r="H179" s="7"/>
      <c r="I179" s="7"/>
      <c r="J179" s="7"/>
      <c r="K179" s="7"/>
      <c r="N179" s="10"/>
      <c r="O179" s="3"/>
      <c r="P179" s="3"/>
      <c r="Q179" s="3"/>
      <c r="R179" s="3"/>
      <c r="T179" s="3"/>
    </row>
    <row r="180" spans="1:20">
      <c r="A180" s="7"/>
      <c r="B180" s="8">
        <v>1.253875629566908</v>
      </c>
      <c r="C180" s="8">
        <v>3.2592166127769939E-2</v>
      </c>
      <c r="D180" s="8">
        <v>-0.73934661383723232</v>
      </c>
      <c r="E180" s="7">
        <v>-1.4990516053215155E-2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>
        <v>1.0599498795536459</v>
      </c>
      <c r="M180">
        <v>0</v>
      </c>
      <c r="N180" s="9"/>
      <c r="O180" s="3">
        <f>L180-M180</f>
        <v>1.0599498795536459</v>
      </c>
      <c r="P180" s="3"/>
      <c r="Q180" s="3"/>
      <c r="R180" s="3"/>
      <c r="T180" s="3"/>
    </row>
    <row r="181" spans="1:20">
      <c r="A181" s="7" t="s">
        <v>58</v>
      </c>
      <c r="B181" s="8">
        <v>-0.14897154656832046</v>
      </c>
      <c r="C181" s="8">
        <v>0.84725762547333594</v>
      </c>
      <c r="D181" s="8">
        <v>-1.9759438806851826E-2</v>
      </c>
      <c r="E181" s="7">
        <v>0</v>
      </c>
      <c r="F181" s="7">
        <v>-1.4990516053215155E-2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>
        <v>0.37021422051581732</v>
      </c>
      <c r="M181">
        <v>0</v>
      </c>
      <c r="N181" s="9"/>
      <c r="O181" s="3">
        <f>L181-M181</f>
        <v>0.37021422051581732</v>
      </c>
      <c r="P181" s="3"/>
      <c r="Q181" s="3"/>
      <c r="R181" s="3"/>
      <c r="T181" s="3"/>
    </row>
    <row r="182" spans="1:20">
      <c r="A182" s="7"/>
      <c r="B182" s="8">
        <v>1.8375474863113905</v>
      </c>
      <c r="C182" s="8">
        <v>2.1167426559988707</v>
      </c>
      <c r="D182" s="8">
        <v>1.2367606559382516E-2</v>
      </c>
      <c r="E182" s="7">
        <v>0</v>
      </c>
      <c r="F182" s="7">
        <v>0</v>
      </c>
      <c r="G182" s="7">
        <v>-1.4990516053215155E-2</v>
      </c>
      <c r="H182" s="7">
        <v>0</v>
      </c>
      <c r="I182" s="7">
        <v>0</v>
      </c>
      <c r="J182" s="7">
        <v>0</v>
      </c>
      <c r="K182" s="7">
        <v>0</v>
      </c>
      <c r="L182">
        <v>3.9286665969332351</v>
      </c>
      <c r="M182">
        <v>0</v>
      </c>
      <c r="N182" s="9"/>
      <c r="O182" s="3">
        <f>L182-M182</f>
        <v>3.9286665969332351</v>
      </c>
      <c r="P182" s="3"/>
      <c r="Q182" s="3"/>
      <c r="R182" s="3"/>
      <c r="T182" s="3"/>
    </row>
    <row r="183" spans="1:20">
      <c r="A183" s="7"/>
      <c r="B183" s="8"/>
      <c r="C183" s="8"/>
      <c r="D183" s="8"/>
      <c r="E183" s="7"/>
      <c r="F183" s="7"/>
      <c r="G183" s="7"/>
      <c r="H183" s="7"/>
      <c r="I183" s="7"/>
      <c r="J183" s="7"/>
      <c r="K183" s="7"/>
      <c r="N183" s="10"/>
      <c r="O183" s="3"/>
      <c r="P183" s="3"/>
      <c r="Q183" s="3"/>
      <c r="R183" s="3"/>
      <c r="T183" s="3"/>
    </row>
    <row r="184" spans="1:20">
      <c r="A184" s="7"/>
      <c r="B184" s="8">
        <v>1.253875629566908</v>
      </c>
      <c r="C184" s="8">
        <v>3.2592166127769939E-2</v>
      </c>
      <c r="D184" s="8">
        <v>-0.73934661383723232</v>
      </c>
      <c r="E184" s="7">
        <v>-1.4990516053215155E-2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>
        <v>1.0599498795536459</v>
      </c>
      <c r="M184">
        <v>0</v>
      </c>
      <c r="N184" s="9"/>
      <c r="O184" s="3">
        <f>L184-M184</f>
        <v>1.0599498795536459</v>
      </c>
      <c r="P184" s="3"/>
      <c r="Q184" s="3"/>
      <c r="R184" s="3"/>
      <c r="T184" s="3"/>
    </row>
    <row r="185" spans="1:20">
      <c r="A185" s="7" t="s">
        <v>59</v>
      </c>
      <c r="B185" s="8">
        <v>-0.14897154656832046</v>
      </c>
      <c r="C185" s="8">
        <v>0.84725762547333594</v>
      </c>
      <c r="D185" s="8">
        <v>-1.9759438806851826E-2</v>
      </c>
      <c r="E185" s="7">
        <v>0</v>
      </c>
      <c r="F185" s="7">
        <v>-1.4990516053215155E-2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>
        <v>0.37021422051581732</v>
      </c>
      <c r="M185">
        <v>0</v>
      </c>
      <c r="N185" s="9"/>
      <c r="O185" s="3">
        <f>L185-M185</f>
        <v>0.37021422051581732</v>
      </c>
      <c r="P185" s="3"/>
      <c r="Q185" s="3"/>
      <c r="R185" s="3"/>
      <c r="T185" s="3"/>
    </row>
    <row r="186" spans="1:20">
      <c r="A186" s="7"/>
      <c r="B186" s="8">
        <v>1.2284177840385118</v>
      </c>
      <c r="C186" s="8">
        <v>2.3993580133895418</v>
      </c>
      <c r="D186" s="8">
        <v>-0.6756623603325641</v>
      </c>
      <c r="E186" s="7">
        <v>0</v>
      </c>
      <c r="F186" s="7">
        <v>0</v>
      </c>
      <c r="G186" s="7">
        <v>-1.4990516053215155E-2</v>
      </c>
      <c r="H186" s="7">
        <v>0</v>
      </c>
      <c r="I186" s="7">
        <v>0</v>
      </c>
      <c r="J186" s="7">
        <v>0</v>
      </c>
      <c r="K186" s="7">
        <v>0</v>
      </c>
      <c r="L186">
        <v>3.8612243768644339</v>
      </c>
      <c r="M186">
        <v>0</v>
      </c>
      <c r="N186" s="9"/>
      <c r="O186" s="3">
        <f>L186-M186</f>
        <v>3.8612243768644339</v>
      </c>
      <c r="P186" s="3"/>
      <c r="Q186" s="3"/>
      <c r="R186" s="3"/>
      <c r="T186" s="3"/>
    </row>
    <row r="187" spans="1:20">
      <c r="A187" s="7"/>
      <c r="B187" s="8"/>
      <c r="C187" s="8"/>
      <c r="D187" s="8"/>
      <c r="E187" s="7"/>
      <c r="F187" s="7"/>
      <c r="G187" s="7"/>
      <c r="H187" s="7"/>
      <c r="I187" s="7"/>
      <c r="J187" s="7"/>
      <c r="K187" s="7"/>
      <c r="N187" s="10"/>
      <c r="O187" s="3"/>
      <c r="P187" s="3"/>
      <c r="Q187" s="3"/>
      <c r="R187" s="3"/>
      <c r="T187" s="3"/>
    </row>
    <row r="188" spans="1:20">
      <c r="A188" s="7"/>
      <c r="B188" s="8">
        <v>1.253875629566908</v>
      </c>
      <c r="C188" s="8">
        <v>3.2592166127769939E-2</v>
      </c>
      <c r="D188" s="8">
        <v>-0.73934661383723232</v>
      </c>
      <c r="E188" s="7">
        <v>-1.4990516053215155E-2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>
        <v>1.0599498795536459</v>
      </c>
      <c r="M188">
        <v>0</v>
      </c>
      <c r="N188" s="9"/>
      <c r="O188" s="3">
        <f>L188-M188</f>
        <v>1.0599498795536459</v>
      </c>
      <c r="P188" s="3"/>
      <c r="Q188" s="3"/>
      <c r="R188" s="3"/>
      <c r="T188" s="3"/>
    </row>
    <row r="189" spans="1:20">
      <c r="A189" s="7" t="s">
        <v>60</v>
      </c>
      <c r="B189" s="8">
        <v>2.6959782234951333</v>
      </c>
      <c r="C189" s="8">
        <v>1.0757798809975587</v>
      </c>
      <c r="D189" s="8">
        <v>4.997772423355884E-2</v>
      </c>
      <c r="E189" s="7">
        <v>0</v>
      </c>
      <c r="F189" s="7">
        <v>-1.4990516053215155E-2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>
        <v>4.2140493534193304</v>
      </c>
      <c r="M189">
        <v>0</v>
      </c>
      <c r="N189" s="9"/>
      <c r="O189" s="3">
        <f>L189-M189</f>
        <v>4.2140493534193304</v>
      </c>
      <c r="P189" s="3"/>
      <c r="Q189" s="3"/>
      <c r="R189" s="3"/>
      <c r="T189" s="3"/>
    </row>
    <row r="190" spans="1:20">
      <c r="A190" s="7"/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0</v>
      </c>
      <c r="G190" s="7">
        <v>-1.4990516053215155E-2</v>
      </c>
      <c r="H190" s="7">
        <v>0</v>
      </c>
      <c r="I190" s="7">
        <v>0</v>
      </c>
      <c r="J190" s="7">
        <v>0</v>
      </c>
      <c r="K190" s="7">
        <v>0</v>
      </c>
      <c r="L190">
        <v>2.3099179553746505</v>
      </c>
      <c r="M190">
        <v>0</v>
      </c>
      <c r="N190" s="9"/>
      <c r="O190" s="3">
        <f>L190-M190</f>
        <v>2.3099179553746505</v>
      </c>
      <c r="P190" s="3"/>
      <c r="Q190" s="3"/>
      <c r="R190" s="3"/>
      <c r="T190" s="3"/>
    </row>
    <row r="191" spans="1:20">
      <c r="A191" s="7"/>
      <c r="B191" s="8"/>
      <c r="C191" s="8"/>
      <c r="D191" s="8"/>
      <c r="E191" s="7"/>
      <c r="F191" s="7"/>
      <c r="G191" s="7"/>
      <c r="H191" s="7"/>
      <c r="I191" s="7"/>
      <c r="J191" s="7"/>
      <c r="K191" s="7"/>
      <c r="N191" s="10"/>
      <c r="O191" s="3"/>
      <c r="P191" s="3"/>
      <c r="Q191" s="3"/>
      <c r="R191" s="3"/>
      <c r="T191" s="3"/>
    </row>
    <row r="192" spans="1:20">
      <c r="A192" s="7"/>
      <c r="B192" s="8">
        <v>1.253875629566908</v>
      </c>
      <c r="C192" s="8">
        <v>3.2592166127769939E-2</v>
      </c>
      <c r="D192" s="8">
        <v>-0.73934661383723232</v>
      </c>
      <c r="E192" s="7">
        <v>-1.4990516053215155E-2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>
        <v>1.0599498795536459</v>
      </c>
      <c r="M192">
        <v>0</v>
      </c>
      <c r="N192" s="9"/>
      <c r="O192" s="3">
        <f>L192-M192</f>
        <v>1.0599498795536459</v>
      </c>
      <c r="P192" s="3"/>
      <c r="Q192" s="3"/>
      <c r="R192" s="3"/>
      <c r="T192" s="3"/>
    </row>
    <row r="193" spans="1:20">
      <c r="A193" s="7" t="s">
        <v>61</v>
      </c>
      <c r="B193" s="8">
        <v>2.6959782234951333</v>
      </c>
      <c r="C193" s="8">
        <v>1.0757798809975587</v>
      </c>
      <c r="D193" s="8">
        <v>4.997772423355884E-2</v>
      </c>
      <c r="E193" s="7">
        <v>0</v>
      </c>
      <c r="F193" s="7">
        <v>-1.4990516053215155E-2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>
        <v>4.2140493534193304</v>
      </c>
      <c r="M193">
        <v>0</v>
      </c>
      <c r="N193" s="9"/>
      <c r="O193" s="3">
        <f>L193-M193</f>
        <v>4.2140493534193304</v>
      </c>
      <c r="P193" s="3"/>
      <c r="Q193" s="3"/>
      <c r="R193" s="3"/>
      <c r="T193" s="3"/>
    </row>
    <row r="194" spans="1:20">
      <c r="A194" s="7"/>
      <c r="B194" s="8">
        <v>1.8375474863113905</v>
      </c>
      <c r="C194" s="8">
        <v>2.1167426559988707</v>
      </c>
      <c r="D194" s="8">
        <v>1.2367606559382516E-2</v>
      </c>
      <c r="E194" s="7">
        <v>0</v>
      </c>
      <c r="F194" s="7">
        <v>0</v>
      </c>
      <c r="G194" s="7">
        <v>-1.4990516053215155E-2</v>
      </c>
      <c r="H194" s="7">
        <v>0</v>
      </c>
      <c r="I194" s="7">
        <v>0</v>
      </c>
      <c r="J194" s="7">
        <v>0</v>
      </c>
      <c r="K194" s="7">
        <v>0</v>
      </c>
      <c r="L194">
        <v>3.9286665969332351</v>
      </c>
      <c r="M194">
        <v>0</v>
      </c>
      <c r="N194" s="9"/>
      <c r="O194" s="3">
        <f>L194-M194</f>
        <v>3.9286665969332351</v>
      </c>
      <c r="P194" s="3"/>
      <c r="Q194" s="3"/>
      <c r="R194" s="3"/>
      <c r="T194" s="3"/>
    </row>
    <row r="195" spans="1:20">
      <c r="A195" s="7"/>
      <c r="B195" s="8"/>
      <c r="C195" s="8"/>
      <c r="D195" s="8"/>
      <c r="E195" s="7"/>
      <c r="F195" s="7"/>
      <c r="G195" s="7"/>
      <c r="H195" s="7"/>
      <c r="I195" s="7"/>
      <c r="J195" s="7"/>
      <c r="K195" s="7"/>
      <c r="N195" s="10"/>
      <c r="O195" s="3"/>
      <c r="P195" s="3"/>
      <c r="Q195" s="3"/>
      <c r="R195" s="3"/>
      <c r="T195" s="3"/>
    </row>
    <row r="196" spans="1:20">
      <c r="A196" s="7"/>
      <c r="B196" s="8">
        <v>1.253875629566908</v>
      </c>
      <c r="C196" s="8">
        <v>3.2592166127769939E-2</v>
      </c>
      <c r="D196" s="8">
        <v>-0.73934661383723232</v>
      </c>
      <c r="E196" s="7">
        <v>-1.4990516053215155E-2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>
        <v>1.0599498795536459</v>
      </c>
      <c r="M196">
        <v>0</v>
      </c>
      <c r="N196" s="9"/>
      <c r="O196" s="3">
        <f>L196-M196</f>
        <v>1.0599498795536459</v>
      </c>
      <c r="P196" s="3"/>
      <c r="Q196" s="3"/>
      <c r="R196" s="3"/>
      <c r="T196" s="3"/>
    </row>
    <row r="197" spans="1:20">
      <c r="A197" s="7" t="s">
        <v>62</v>
      </c>
      <c r="B197" s="8">
        <v>2.6959782234951333</v>
      </c>
      <c r="C197" s="8">
        <v>1.0757798809975587</v>
      </c>
      <c r="D197" s="8">
        <v>4.997772423355884E-2</v>
      </c>
      <c r="E197" s="7">
        <v>0</v>
      </c>
      <c r="F197" s="7">
        <v>-1.4990516053215155E-2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>
        <v>4.2140493534193304</v>
      </c>
      <c r="M197">
        <v>0</v>
      </c>
      <c r="N197" s="9"/>
      <c r="O197" s="3">
        <f>L197-M197</f>
        <v>4.2140493534193304</v>
      </c>
      <c r="P197" s="3"/>
      <c r="Q197" s="3"/>
      <c r="R197" s="3"/>
      <c r="T197" s="3"/>
    </row>
    <row r="198" spans="1:20">
      <c r="A198" s="7"/>
      <c r="B198" s="8">
        <v>1.2284177840385118</v>
      </c>
      <c r="C198" s="8">
        <v>2.3993580133895418</v>
      </c>
      <c r="D198" s="8">
        <v>-0.6756623603325641</v>
      </c>
      <c r="E198" s="7">
        <v>0</v>
      </c>
      <c r="F198" s="7">
        <v>0</v>
      </c>
      <c r="G198" s="7">
        <v>-1.4990516053215155E-2</v>
      </c>
      <c r="H198" s="7">
        <v>0</v>
      </c>
      <c r="I198" s="7">
        <v>0</v>
      </c>
      <c r="J198" s="7">
        <v>0</v>
      </c>
      <c r="K198" s="7">
        <v>0</v>
      </c>
      <c r="L198">
        <v>3.8612243768644339</v>
      </c>
      <c r="M198">
        <v>0</v>
      </c>
      <c r="N198" s="9"/>
      <c r="O198" s="3">
        <f>L198-M198</f>
        <v>3.8612243768644339</v>
      </c>
      <c r="P198" s="3"/>
      <c r="Q198" s="3"/>
      <c r="R198" s="3"/>
      <c r="T198" s="3"/>
    </row>
    <row r="199" spans="1:20">
      <c r="A199" s="7"/>
      <c r="B199" s="8"/>
      <c r="C199" s="8"/>
      <c r="D199" s="8"/>
      <c r="E199" s="7"/>
      <c r="F199" s="7"/>
      <c r="G199" s="7"/>
      <c r="H199" s="7"/>
      <c r="I199" s="7"/>
      <c r="J199" s="7"/>
      <c r="K199" s="7"/>
      <c r="N199" s="10"/>
      <c r="O199" s="3"/>
      <c r="P199" s="3"/>
      <c r="Q199" s="3"/>
      <c r="R199" s="3"/>
      <c r="T199" s="3"/>
    </row>
    <row r="200" spans="1:20">
      <c r="A200" s="7"/>
      <c r="B200" s="8">
        <v>1.253875629566908</v>
      </c>
      <c r="C200" s="8">
        <v>3.2592166127769939E-2</v>
      </c>
      <c r="D200" s="8">
        <v>-0.73934661383723232</v>
      </c>
      <c r="E200" s="7">
        <v>-1.4990516053215155E-2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>
        <v>1.0599498795536459</v>
      </c>
      <c r="M200">
        <v>0</v>
      </c>
      <c r="N200" s="9"/>
      <c r="O200" s="3">
        <f>L200-M200</f>
        <v>1.0599498795536459</v>
      </c>
      <c r="P200" s="3"/>
      <c r="Q200" s="3"/>
      <c r="R200" s="3"/>
      <c r="T200" s="3"/>
    </row>
    <row r="201" spans="1:20">
      <c r="A201" s="7" t="s">
        <v>63</v>
      </c>
      <c r="B201" s="8">
        <v>0.21871711292247331</v>
      </c>
      <c r="C201" s="8">
        <v>2.1363371502498802</v>
      </c>
      <c r="D201" s="8">
        <v>8.9790398854103559E-2</v>
      </c>
      <c r="E201" s="7">
        <v>0</v>
      </c>
      <c r="F201" s="7">
        <v>-1.4990516053215155E-2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>
        <v>2.3099179553746505</v>
      </c>
      <c r="M201">
        <v>0</v>
      </c>
      <c r="N201" s="9"/>
      <c r="O201" s="3">
        <f>L201-M201</f>
        <v>2.3099179553746505</v>
      </c>
      <c r="P201" s="3"/>
      <c r="Q201" s="3"/>
      <c r="R201" s="3"/>
      <c r="T201" s="3"/>
    </row>
    <row r="202" spans="1:20">
      <c r="A202" s="7"/>
      <c r="B202" s="8">
        <v>1.8375474863113905</v>
      </c>
      <c r="C202" s="8">
        <v>2.1167426559988707</v>
      </c>
      <c r="D202" s="8">
        <v>1.2367606559382516E-2</v>
      </c>
      <c r="E202" s="7">
        <v>0</v>
      </c>
      <c r="F202" s="7">
        <v>0</v>
      </c>
      <c r="G202" s="7">
        <v>-1.4990516053215155E-2</v>
      </c>
      <c r="H202" s="7">
        <v>0</v>
      </c>
      <c r="I202" s="7">
        <v>0</v>
      </c>
      <c r="J202" s="7">
        <v>0</v>
      </c>
      <c r="K202" s="7">
        <v>0</v>
      </c>
      <c r="L202">
        <v>3.9286665969332351</v>
      </c>
      <c r="M202">
        <v>0</v>
      </c>
      <c r="N202" s="9"/>
      <c r="O202" s="3">
        <f>L202-M202</f>
        <v>3.9286665969332351</v>
      </c>
      <c r="P202" s="3"/>
      <c r="Q202" s="3"/>
      <c r="R202" s="3"/>
      <c r="T202" s="3"/>
    </row>
    <row r="203" spans="1:20">
      <c r="A203" s="7"/>
      <c r="B203" s="8"/>
      <c r="C203" s="8"/>
      <c r="D203" s="8"/>
      <c r="E203" s="7"/>
      <c r="F203" s="7"/>
      <c r="G203" s="7"/>
      <c r="H203" s="7"/>
      <c r="I203" s="7"/>
      <c r="J203" s="7"/>
      <c r="K203" s="7"/>
      <c r="N203" s="10"/>
      <c r="O203" s="3"/>
      <c r="P203" s="3"/>
      <c r="Q203" s="3"/>
      <c r="R203" s="3"/>
      <c r="T203" s="3"/>
    </row>
    <row r="204" spans="1:20">
      <c r="A204" s="7"/>
      <c r="B204" s="8">
        <v>1.253875629566908</v>
      </c>
      <c r="C204" s="8">
        <v>3.2592166127769939E-2</v>
      </c>
      <c r="D204" s="8">
        <v>-0.73934661383723232</v>
      </c>
      <c r="E204" s="7">
        <v>-1.4990516053215155E-2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>
        <v>1.0599498795536459</v>
      </c>
      <c r="M204">
        <v>0</v>
      </c>
      <c r="N204" s="9"/>
      <c r="O204" s="3">
        <f>L204-M204</f>
        <v>1.0599498795536459</v>
      </c>
      <c r="P204" s="3"/>
      <c r="Q204" s="3"/>
      <c r="R204" s="3"/>
      <c r="T204" s="3"/>
    </row>
    <row r="205" spans="1:20">
      <c r="A205" s="7" t="s">
        <v>64</v>
      </c>
      <c r="B205" s="8">
        <v>0.21871711292247331</v>
      </c>
      <c r="C205" s="8">
        <v>2.1363371502498802</v>
      </c>
      <c r="D205" s="8">
        <v>8.9790398854103559E-2</v>
      </c>
      <c r="E205" s="7">
        <v>0</v>
      </c>
      <c r="F205" s="7">
        <v>-1.4990516053215155E-2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>
        <v>2.3099179553746505</v>
      </c>
      <c r="M205">
        <v>0</v>
      </c>
      <c r="N205" s="9"/>
      <c r="O205" s="3">
        <f>L205-M205</f>
        <v>2.3099179553746505</v>
      </c>
      <c r="P205" s="3"/>
      <c r="Q205" s="3"/>
      <c r="R205" s="3"/>
      <c r="T205" s="3"/>
    </row>
    <row r="206" spans="1:20">
      <c r="A206" s="7"/>
      <c r="B206" s="8">
        <v>1.2284177840385118</v>
      </c>
      <c r="C206" s="8">
        <v>2.3993580133895418</v>
      </c>
      <c r="D206" s="8">
        <v>-0.6756623603325641</v>
      </c>
      <c r="E206" s="7">
        <v>0</v>
      </c>
      <c r="F206" s="7">
        <v>0</v>
      </c>
      <c r="G206" s="7">
        <v>-1.4990516053215155E-2</v>
      </c>
      <c r="H206" s="7">
        <v>0</v>
      </c>
      <c r="I206" s="7">
        <v>0</v>
      </c>
      <c r="J206" s="7">
        <v>0</v>
      </c>
      <c r="K206" s="7">
        <v>0</v>
      </c>
      <c r="L206">
        <v>3.8612243768644339</v>
      </c>
      <c r="M206">
        <v>0</v>
      </c>
      <c r="N206" s="9"/>
      <c r="O206" s="3">
        <f>L206-M206</f>
        <v>3.8612243768644339</v>
      </c>
      <c r="P206" s="3"/>
      <c r="Q206" s="3"/>
      <c r="R206" s="3"/>
      <c r="T206" s="3"/>
    </row>
    <row r="207" spans="1:20">
      <c r="A207" s="7"/>
      <c r="B207" s="8"/>
      <c r="C207" s="8"/>
      <c r="D207" s="8"/>
      <c r="E207" s="7"/>
      <c r="F207" s="7"/>
      <c r="G207" s="7"/>
      <c r="H207" s="7"/>
      <c r="I207" s="7"/>
      <c r="J207" s="7"/>
      <c r="K207" s="7"/>
      <c r="N207" s="10"/>
      <c r="O207" s="3"/>
      <c r="P207" s="3"/>
      <c r="Q207" s="3"/>
      <c r="R207" s="3"/>
      <c r="T207" s="3"/>
    </row>
    <row r="208" spans="1:20">
      <c r="A208" s="7"/>
      <c r="B208" s="8">
        <v>1.253875629566908</v>
      </c>
      <c r="C208" s="8">
        <v>3.2592166127769939E-2</v>
      </c>
      <c r="D208" s="8">
        <v>-0.73934661383723232</v>
      </c>
      <c r="E208" s="7">
        <v>-1.4990516053215155E-2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>
        <v>1.0599498795536459</v>
      </c>
      <c r="M208">
        <v>0</v>
      </c>
      <c r="N208" s="9"/>
      <c r="O208" s="3">
        <f>L208-M208</f>
        <v>1.0599498795536459</v>
      </c>
      <c r="P208" s="3"/>
      <c r="Q208" s="3"/>
      <c r="R208" s="3"/>
      <c r="T208" s="3"/>
    </row>
    <row r="209" spans="1:20">
      <c r="A209" s="7" t="s">
        <v>65</v>
      </c>
      <c r="B209" s="8">
        <v>1.8375474863113905</v>
      </c>
      <c r="C209" s="8">
        <v>2.1167426559988707</v>
      </c>
      <c r="D209" s="8">
        <v>1.2367606559382516E-2</v>
      </c>
      <c r="E209" s="7">
        <v>0</v>
      </c>
      <c r="F209" s="7">
        <v>-1.4990516053215155E-2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>
        <v>3.9286665969332351</v>
      </c>
      <c r="M209">
        <v>0</v>
      </c>
      <c r="N209" s="9"/>
      <c r="O209" s="3">
        <f>L209-M209</f>
        <v>3.9286665969332351</v>
      </c>
      <c r="P209" s="3"/>
      <c r="Q209" s="3"/>
      <c r="R209" s="3"/>
      <c r="T209" s="3"/>
    </row>
    <row r="210" spans="1:20">
      <c r="A210" s="7"/>
      <c r="B210" s="8">
        <v>1.2284177840385118</v>
      </c>
      <c r="C210" s="8">
        <v>2.3993580133895418</v>
      </c>
      <c r="D210" s="8">
        <v>-0.6756623603325641</v>
      </c>
      <c r="E210" s="7">
        <v>0</v>
      </c>
      <c r="F210" s="7">
        <v>0</v>
      </c>
      <c r="G210" s="7">
        <v>-1.4990516053215155E-2</v>
      </c>
      <c r="H210" s="7">
        <v>0</v>
      </c>
      <c r="I210" s="7">
        <v>0</v>
      </c>
      <c r="J210" s="7">
        <v>0</v>
      </c>
      <c r="K210" s="7">
        <v>0</v>
      </c>
      <c r="L210">
        <v>3.8612243768644339</v>
      </c>
      <c r="M210">
        <v>0</v>
      </c>
      <c r="N210" s="9"/>
      <c r="O210" s="3">
        <f>L210-M210</f>
        <v>3.8612243768644339</v>
      </c>
      <c r="P210" s="3"/>
      <c r="Q210" s="3"/>
      <c r="R210" s="3"/>
      <c r="T210" s="3"/>
    </row>
    <row r="211" spans="1:20">
      <c r="A211" s="7"/>
      <c r="B211" s="8"/>
      <c r="C211" s="8"/>
      <c r="D211" s="8"/>
      <c r="E211" s="7"/>
      <c r="F211" s="7"/>
      <c r="G211" s="7"/>
      <c r="H211" s="7"/>
      <c r="I211" s="7"/>
      <c r="J211" s="7"/>
      <c r="K211" s="7"/>
      <c r="N211" s="10"/>
      <c r="O211" s="3"/>
      <c r="P211" s="3"/>
      <c r="Q211" s="3"/>
      <c r="R211" s="3"/>
      <c r="T211" s="3"/>
    </row>
    <row r="212" spans="1:20">
      <c r="A212" s="7"/>
      <c r="B212" s="8">
        <v>2.2957880185781296</v>
      </c>
      <c r="C212" s="8">
        <v>-8.2263663034425338E-3</v>
      </c>
      <c r="D212" s="8">
        <v>3.3137218009327896E-2</v>
      </c>
      <c r="E212" s="7">
        <v>-1.4990516053215155E-2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>
        <v>2.6359041872834252</v>
      </c>
      <c r="M212">
        <v>0</v>
      </c>
      <c r="N212" s="9"/>
      <c r="O212" s="3">
        <f>L212-M212</f>
        <v>2.6359041872834252</v>
      </c>
      <c r="P212" s="3"/>
      <c r="Q212" s="3"/>
      <c r="R212" s="3"/>
      <c r="T212" s="3"/>
    </row>
    <row r="213" spans="1:20">
      <c r="A213" s="7" t="s">
        <v>66</v>
      </c>
      <c r="B213" s="8">
        <v>-0.14897154656832046</v>
      </c>
      <c r="C213" s="8">
        <v>0.84725762547333594</v>
      </c>
      <c r="D213" s="8">
        <v>-1.9759438806851826E-2</v>
      </c>
      <c r="E213" s="7">
        <v>0</v>
      </c>
      <c r="F213" s="7">
        <v>-1.4990516053215155E-2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>
        <v>0.37021422051581732</v>
      </c>
      <c r="M213">
        <v>0</v>
      </c>
      <c r="N213" s="9"/>
      <c r="O213" s="3">
        <f>L213-M213</f>
        <v>0.37021422051581732</v>
      </c>
      <c r="P213" s="3"/>
      <c r="Q213" s="3"/>
      <c r="R213" s="3"/>
      <c r="T213" s="3"/>
    </row>
    <row r="214" spans="1:20">
      <c r="A214" s="7"/>
      <c r="B214" s="8">
        <v>2.6959782234951333</v>
      </c>
      <c r="C214" s="8">
        <v>1.0757798809975587</v>
      </c>
      <c r="D214" s="8">
        <v>4.997772423355884E-2</v>
      </c>
      <c r="E214" s="7">
        <v>0</v>
      </c>
      <c r="F214" s="7">
        <v>0</v>
      </c>
      <c r="G214" s="7">
        <v>-1.4990516053215155E-2</v>
      </c>
      <c r="H214" s="7">
        <v>0</v>
      </c>
      <c r="I214" s="7">
        <v>0</v>
      </c>
      <c r="J214" s="7">
        <v>0</v>
      </c>
      <c r="K214" s="7">
        <v>0</v>
      </c>
      <c r="L214">
        <v>4.2140493534193304</v>
      </c>
      <c r="M214">
        <v>0</v>
      </c>
      <c r="N214" s="9"/>
      <c r="O214" s="3">
        <f>L214-M214</f>
        <v>4.2140493534193304</v>
      </c>
      <c r="P214" s="3"/>
      <c r="Q214" s="3"/>
      <c r="R214" s="3"/>
      <c r="T214" s="3"/>
    </row>
    <row r="215" spans="1:20">
      <c r="A215" s="7"/>
      <c r="B215" s="8"/>
      <c r="C215" s="8"/>
      <c r="D215" s="8"/>
      <c r="E215" s="7"/>
      <c r="F215" s="7"/>
      <c r="G215" s="7"/>
      <c r="H215" s="7"/>
      <c r="I215" s="7"/>
      <c r="J215" s="7"/>
      <c r="K215" s="7"/>
      <c r="N215" s="10"/>
      <c r="O215" s="3"/>
      <c r="P215" s="3"/>
      <c r="Q215" s="3"/>
      <c r="R215" s="3"/>
      <c r="T215" s="3"/>
    </row>
    <row r="216" spans="1:20">
      <c r="A216" s="7"/>
      <c r="B216" s="8">
        <v>2.2957880185781296</v>
      </c>
      <c r="C216" s="8">
        <v>-8.2263663034425338E-3</v>
      </c>
      <c r="D216" s="8">
        <v>3.3137218009327896E-2</v>
      </c>
      <c r="E216" s="7">
        <v>-1.4990516053215155E-2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>
        <v>2.6359041872834252</v>
      </c>
      <c r="M216">
        <v>0</v>
      </c>
      <c r="N216" s="9"/>
      <c r="O216" s="3">
        <f>L216-M216</f>
        <v>2.6359041872834252</v>
      </c>
      <c r="P216" s="3"/>
      <c r="Q216" s="3"/>
      <c r="R216" s="3"/>
      <c r="T216" s="3"/>
    </row>
    <row r="217" spans="1:20">
      <c r="A217" s="7" t="s">
        <v>67</v>
      </c>
      <c r="B217" s="8">
        <v>-0.14897154656832046</v>
      </c>
      <c r="C217" s="8">
        <v>0.84725762547333594</v>
      </c>
      <c r="D217" s="8">
        <v>-1.9759438806851826E-2</v>
      </c>
      <c r="E217" s="7">
        <v>0</v>
      </c>
      <c r="F217" s="7">
        <v>-1.4990516053215155E-2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>
        <v>0.37021422051581732</v>
      </c>
      <c r="M217">
        <v>0</v>
      </c>
      <c r="N217" s="9"/>
      <c r="O217" s="3">
        <f>L217-M217</f>
        <v>0.37021422051581732</v>
      </c>
      <c r="P217" s="3"/>
      <c r="Q217" s="3"/>
      <c r="R217" s="3"/>
      <c r="T217" s="3"/>
    </row>
    <row r="218" spans="1:20">
      <c r="A218" s="7"/>
      <c r="B218" s="8">
        <v>0.21871711292247331</v>
      </c>
      <c r="C218" s="8">
        <v>2.1363371502498802</v>
      </c>
      <c r="D218" s="8">
        <v>8.9790398854103559E-2</v>
      </c>
      <c r="E218" s="7">
        <v>0</v>
      </c>
      <c r="F218" s="7">
        <v>0</v>
      </c>
      <c r="G218" s="7">
        <v>-1.4990516053215155E-2</v>
      </c>
      <c r="H218" s="7">
        <v>0</v>
      </c>
      <c r="I218" s="7">
        <v>0</v>
      </c>
      <c r="J218" s="7">
        <v>0</v>
      </c>
      <c r="K218" s="7">
        <v>0</v>
      </c>
      <c r="L218">
        <v>2.3099179553746505</v>
      </c>
      <c r="M218">
        <v>0</v>
      </c>
      <c r="N218" s="9"/>
      <c r="O218" s="3">
        <f>L218-M218</f>
        <v>2.3099179553746505</v>
      </c>
      <c r="P218" s="3"/>
      <c r="Q218" s="3"/>
      <c r="R218" s="3"/>
      <c r="T218" s="3"/>
    </row>
    <row r="219" spans="1:20">
      <c r="A219" s="7"/>
      <c r="B219" s="8"/>
      <c r="C219" s="8"/>
      <c r="D219" s="8"/>
      <c r="E219" s="7"/>
      <c r="F219" s="7"/>
      <c r="G219" s="7"/>
      <c r="H219" s="7"/>
      <c r="I219" s="7"/>
      <c r="J219" s="7"/>
      <c r="K219" s="7"/>
      <c r="N219" s="10"/>
      <c r="O219" s="3"/>
      <c r="P219" s="3"/>
      <c r="Q219" s="3"/>
      <c r="R219" s="3"/>
      <c r="T219" s="3"/>
    </row>
    <row r="220" spans="1:20">
      <c r="A220" s="7"/>
      <c r="B220" s="8">
        <v>2.2957880185781296</v>
      </c>
      <c r="C220" s="8">
        <v>-8.2263663034425338E-3</v>
      </c>
      <c r="D220" s="8">
        <v>3.3137218009327896E-2</v>
      </c>
      <c r="E220" s="7">
        <v>-1.4990516053215155E-2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>
        <v>2.6359041872834252</v>
      </c>
      <c r="M220">
        <v>0</v>
      </c>
      <c r="N220" s="9"/>
      <c r="O220" s="3">
        <f>L220-M220</f>
        <v>2.6359041872834252</v>
      </c>
      <c r="P220" s="3"/>
      <c r="Q220" s="3"/>
      <c r="R220" s="3"/>
      <c r="T220" s="3"/>
    </row>
    <row r="221" spans="1:20">
      <c r="A221" s="7" t="s">
        <v>68</v>
      </c>
      <c r="B221" s="8">
        <v>-0.14897154656832046</v>
      </c>
      <c r="C221" s="8">
        <v>0.84725762547333594</v>
      </c>
      <c r="D221" s="8">
        <v>-1.9759438806851826E-2</v>
      </c>
      <c r="E221" s="7">
        <v>0</v>
      </c>
      <c r="F221" s="7">
        <v>-1.4990516053215155E-2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>
        <v>0.37021422051581732</v>
      </c>
      <c r="M221">
        <v>0</v>
      </c>
      <c r="N221" s="9"/>
      <c r="O221" s="3">
        <f>L221-M221</f>
        <v>0.37021422051581732</v>
      </c>
      <c r="P221" s="3"/>
      <c r="Q221" s="3"/>
      <c r="R221" s="3"/>
      <c r="T221" s="3"/>
    </row>
    <row r="222" spans="1:20">
      <c r="A222" s="7"/>
      <c r="B222" s="8">
        <v>1.8375474863113905</v>
      </c>
      <c r="C222" s="8">
        <v>2.1167426559988707</v>
      </c>
      <c r="D222" s="8">
        <v>1.2367606559382516E-2</v>
      </c>
      <c r="E222" s="7">
        <v>0</v>
      </c>
      <c r="F222" s="7">
        <v>0</v>
      </c>
      <c r="G222" s="7">
        <v>-1.4990516053215155E-2</v>
      </c>
      <c r="H222" s="7">
        <v>0</v>
      </c>
      <c r="I222" s="7">
        <v>0</v>
      </c>
      <c r="J222" s="7">
        <v>0</v>
      </c>
      <c r="K222" s="7">
        <v>0</v>
      </c>
      <c r="L222">
        <v>3.9286665969332351</v>
      </c>
      <c r="M222">
        <v>0</v>
      </c>
      <c r="N222" s="9"/>
      <c r="O222" s="3">
        <f>L222-M222</f>
        <v>3.9286665969332351</v>
      </c>
      <c r="P222" s="3"/>
      <c r="Q222" s="3"/>
      <c r="R222" s="3"/>
      <c r="T222" s="3"/>
    </row>
    <row r="223" spans="1:20">
      <c r="A223" s="7"/>
      <c r="B223" s="8"/>
      <c r="C223" s="8"/>
      <c r="D223" s="8"/>
      <c r="E223" s="7"/>
      <c r="F223" s="7"/>
      <c r="G223" s="7"/>
      <c r="H223" s="7"/>
      <c r="I223" s="7"/>
      <c r="J223" s="7"/>
      <c r="K223" s="7"/>
      <c r="N223" s="10"/>
      <c r="O223" s="3"/>
      <c r="P223" s="3"/>
      <c r="Q223" s="3"/>
      <c r="R223" s="3"/>
      <c r="T223" s="3"/>
    </row>
    <row r="224" spans="1:20">
      <c r="A224" s="7"/>
      <c r="B224" s="8">
        <v>2.2957880185781296</v>
      </c>
      <c r="C224" s="8">
        <v>-8.2263663034425338E-3</v>
      </c>
      <c r="D224" s="8">
        <v>3.3137218009327896E-2</v>
      </c>
      <c r="E224" s="7">
        <v>-1.4990516053215155E-2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>
        <v>2.6359041872834252</v>
      </c>
      <c r="M224">
        <v>0</v>
      </c>
      <c r="N224" s="9"/>
      <c r="O224" s="3">
        <f>L224-M224</f>
        <v>2.6359041872834252</v>
      </c>
      <c r="P224" s="3"/>
      <c r="Q224" s="3"/>
      <c r="R224" s="3"/>
      <c r="T224" s="3"/>
    </row>
    <row r="225" spans="1:20">
      <c r="A225" s="7" t="s">
        <v>69</v>
      </c>
      <c r="B225" s="8">
        <v>-0.14897154656832046</v>
      </c>
      <c r="C225" s="8">
        <v>0.84725762547333594</v>
      </c>
      <c r="D225" s="8">
        <v>-1.9759438806851826E-2</v>
      </c>
      <c r="E225" s="7">
        <v>0</v>
      </c>
      <c r="F225" s="7">
        <v>-1.4990516053215155E-2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>
        <v>0.37021422051581732</v>
      </c>
      <c r="M225">
        <v>0</v>
      </c>
      <c r="N225" s="9"/>
      <c r="O225" s="3">
        <f>L225-M225</f>
        <v>0.37021422051581732</v>
      </c>
      <c r="P225" s="3"/>
      <c r="Q225" s="3"/>
      <c r="R225" s="3"/>
      <c r="T225" s="3"/>
    </row>
    <row r="226" spans="1:20">
      <c r="A226" s="7"/>
      <c r="B226" s="8">
        <v>1.2284177840385118</v>
      </c>
      <c r="C226" s="8">
        <v>2.3993580133895418</v>
      </c>
      <c r="D226" s="8">
        <v>-0.6756623603325641</v>
      </c>
      <c r="E226" s="7">
        <v>0</v>
      </c>
      <c r="F226" s="7">
        <v>0</v>
      </c>
      <c r="G226" s="7">
        <v>-1.4990516053215155E-2</v>
      </c>
      <c r="H226" s="7">
        <v>0</v>
      </c>
      <c r="I226" s="7">
        <v>0</v>
      </c>
      <c r="J226" s="7">
        <v>0</v>
      </c>
      <c r="K226" s="7">
        <v>0</v>
      </c>
      <c r="L226">
        <v>3.8612243768644339</v>
      </c>
      <c r="M226">
        <v>0</v>
      </c>
      <c r="N226" s="9"/>
      <c r="O226" s="3">
        <f>L226-M226</f>
        <v>3.8612243768644339</v>
      </c>
      <c r="P226" s="3"/>
      <c r="Q226" s="3"/>
      <c r="R226" s="3"/>
      <c r="T226" s="3"/>
    </row>
    <row r="227" spans="1:20">
      <c r="A227" s="7"/>
      <c r="B227" s="8"/>
      <c r="C227" s="8"/>
      <c r="D227" s="8"/>
      <c r="E227" s="7"/>
      <c r="F227" s="7"/>
      <c r="G227" s="7"/>
      <c r="H227" s="7"/>
      <c r="I227" s="7"/>
      <c r="J227" s="7"/>
      <c r="K227" s="7"/>
      <c r="N227" s="10"/>
      <c r="O227" s="3"/>
      <c r="P227" s="3"/>
      <c r="Q227" s="3"/>
      <c r="R227" s="3"/>
      <c r="T227" s="3"/>
    </row>
    <row r="228" spans="1:20">
      <c r="A228" s="7"/>
      <c r="B228" s="8">
        <v>2.2957880185781296</v>
      </c>
      <c r="C228" s="8">
        <v>-8.2263663034425338E-3</v>
      </c>
      <c r="D228" s="8">
        <v>3.3137218009327896E-2</v>
      </c>
      <c r="E228" s="7">
        <v>-1.4990516053215155E-2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>
        <v>2.6359041872834252</v>
      </c>
      <c r="M228">
        <v>0</v>
      </c>
      <c r="N228" s="9"/>
      <c r="O228" s="3">
        <f>L228-M228</f>
        <v>2.6359041872834252</v>
      </c>
      <c r="P228" s="3"/>
      <c r="Q228" s="3"/>
      <c r="R228" s="3"/>
      <c r="T228" s="3"/>
    </row>
    <row r="229" spans="1:20">
      <c r="A229" s="7" t="s">
        <v>70</v>
      </c>
      <c r="B229" s="8">
        <v>2.6959782234951333</v>
      </c>
      <c r="C229" s="8">
        <v>1.0757798809975587</v>
      </c>
      <c r="D229" s="8">
        <v>4.997772423355884E-2</v>
      </c>
      <c r="E229" s="7">
        <v>0</v>
      </c>
      <c r="F229" s="7">
        <v>-1.4990516053215155E-2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>
        <v>4.2140493534193304</v>
      </c>
      <c r="M229">
        <v>0</v>
      </c>
      <c r="N229" s="9"/>
      <c r="O229" s="3">
        <f>L229-M229</f>
        <v>4.2140493534193304</v>
      </c>
      <c r="P229" s="3"/>
      <c r="Q229" s="3"/>
      <c r="R229" s="3"/>
      <c r="T229" s="3"/>
    </row>
    <row r="230" spans="1:20">
      <c r="A230" s="7"/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0</v>
      </c>
      <c r="G230" s="7">
        <v>-1.4990516053215155E-2</v>
      </c>
      <c r="H230" s="7">
        <v>0</v>
      </c>
      <c r="I230" s="7">
        <v>0</v>
      </c>
      <c r="J230" s="7">
        <v>0</v>
      </c>
      <c r="K230" s="7">
        <v>0</v>
      </c>
      <c r="L230">
        <v>2.3099179553746505</v>
      </c>
      <c r="M230">
        <v>0</v>
      </c>
      <c r="N230" s="9"/>
      <c r="O230" s="3">
        <f>L230-M230</f>
        <v>2.3099179553746505</v>
      </c>
      <c r="P230" s="3"/>
      <c r="Q230" s="3"/>
      <c r="R230" s="3"/>
      <c r="T230" s="3"/>
    </row>
    <row r="231" spans="1:20">
      <c r="A231" s="7"/>
      <c r="B231" s="8"/>
      <c r="C231" s="8"/>
      <c r="D231" s="8"/>
      <c r="E231" s="7"/>
      <c r="F231" s="7"/>
      <c r="G231" s="7"/>
      <c r="H231" s="7"/>
      <c r="I231" s="7"/>
      <c r="J231" s="7"/>
      <c r="K231" s="7"/>
      <c r="N231" s="10"/>
      <c r="O231" s="3"/>
      <c r="P231" s="3"/>
      <c r="Q231" s="3"/>
      <c r="R231" s="3"/>
      <c r="T231" s="3"/>
    </row>
    <row r="232" spans="1:20">
      <c r="A232" s="7"/>
      <c r="B232" s="8">
        <v>2.2957880185781296</v>
      </c>
      <c r="C232" s="8">
        <v>-8.2263663034425338E-3</v>
      </c>
      <c r="D232" s="8">
        <v>3.3137218009327896E-2</v>
      </c>
      <c r="E232" s="7">
        <v>-1.4990516053215155E-2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>
        <v>2.6359041872834252</v>
      </c>
      <c r="M232">
        <v>0</v>
      </c>
      <c r="N232" s="9"/>
      <c r="O232" s="3">
        <f>L232-M232</f>
        <v>2.6359041872834252</v>
      </c>
      <c r="P232" s="3"/>
      <c r="Q232" s="3"/>
      <c r="R232" s="3"/>
      <c r="T232" s="3"/>
    </row>
    <row r="233" spans="1:20">
      <c r="A233" s="7" t="s">
        <v>71</v>
      </c>
      <c r="B233" s="8">
        <v>2.6959782234951333</v>
      </c>
      <c r="C233" s="8">
        <v>1.0757798809975587</v>
      </c>
      <c r="D233" s="8">
        <v>4.997772423355884E-2</v>
      </c>
      <c r="E233" s="7">
        <v>0</v>
      </c>
      <c r="F233" s="7">
        <v>-1.4990516053215155E-2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>
        <v>4.2140493534193304</v>
      </c>
      <c r="M233">
        <v>0</v>
      </c>
      <c r="N233" s="9"/>
      <c r="O233" s="3">
        <f>L233-M233</f>
        <v>4.2140493534193304</v>
      </c>
      <c r="P233" s="3"/>
      <c r="Q233" s="3"/>
      <c r="R233" s="3"/>
      <c r="T233" s="3"/>
    </row>
    <row r="234" spans="1:20">
      <c r="A234" s="7"/>
      <c r="B234" s="8">
        <v>1.8375474863113905</v>
      </c>
      <c r="C234" s="8">
        <v>2.1167426559988707</v>
      </c>
      <c r="D234" s="8">
        <v>1.2367606559382516E-2</v>
      </c>
      <c r="E234" s="7">
        <v>0</v>
      </c>
      <c r="F234" s="7">
        <v>0</v>
      </c>
      <c r="G234" s="7">
        <v>-1.4990516053215155E-2</v>
      </c>
      <c r="H234" s="7">
        <v>0</v>
      </c>
      <c r="I234" s="7">
        <v>0</v>
      </c>
      <c r="J234" s="7">
        <v>0</v>
      </c>
      <c r="K234" s="7">
        <v>0</v>
      </c>
      <c r="L234">
        <v>3.9286665969332351</v>
      </c>
      <c r="M234">
        <v>0</v>
      </c>
      <c r="N234" s="9"/>
      <c r="O234" s="3">
        <f>L234-M234</f>
        <v>3.9286665969332351</v>
      </c>
      <c r="P234" s="3"/>
      <c r="Q234" s="3"/>
      <c r="R234" s="3"/>
      <c r="T234" s="3"/>
    </row>
    <row r="235" spans="1:20">
      <c r="A235" s="7"/>
      <c r="B235" s="8"/>
      <c r="C235" s="8"/>
      <c r="D235" s="8"/>
      <c r="E235" s="7"/>
      <c r="F235" s="7"/>
      <c r="G235" s="7"/>
      <c r="H235" s="7"/>
      <c r="I235" s="7"/>
      <c r="J235" s="7"/>
      <c r="K235" s="7"/>
      <c r="N235" s="10"/>
      <c r="O235" s="3"/>
      <c r="P235" s="3"/>
      <c r="Q235" s="3"/>
      <c r="R235" s="3"/>
      <c r="T235" s="3"/>
    </row>
    <row r="236" spans="1:20">
      <c r="A236" s="7"/>
      <c r="B236" s="8">
        <v>2.2957880185781296</v>
      </c>
      <c r="C236" s="8">
        <v>-8.2263663034425338E-3</v>
      </c>
      <c r="D236" s="8">
        <v>3.3137218009327896E-2</v>
      </c>
      <c r="E236" s="7">
        <v>-1.4990516053215155E-2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>
        <v>2.6359041872834252</v>
      </c>
      <c r="M236">
        <v>0</v>
      </c>
      <c r="N236" s="9"/>
      <c r="O236" s="3">
        <f>L236-M236</f>
        <v>2.6359041872834252</v>
      </c>
      <c r="P236" s="3"/>
      <c r="Q236" s="3"/>
      <c r="R236" s="3"/>
      <c r="T236" s="3"/>
    </row>
    <row r="237" spans="1:20">
      <c r="A237" s="7" t="s">
        <v>72</v>
      </c>
      <c r="B237" s="8">
        <v>2.6959782234951333</v>
      </c>
      <c r="C237" s="8">
        <v>1.0757798809975587</v>
      </c>
      <c r="D237" s="8">
        <v>4.997772423355884E-2</v>
      </c>
      <c r="E237" s="7">
        <v>0</v>
      </c>
      <c r="F237" s="7">
        <v>-1.4990516053215155E-2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>
        <v>4.2140493534193304</v>
      </c>
      <c r="M237">
        <v>0</v>
      </c>
      <c r="N237" s="9"/>
      <c r="O237" s="3">
        <f>L237-M237</f>
        <v>4.2140493534193304</v>
      </c>
      <c r="P237" s="3"/>
      <c r="Q237" s="3"/>
      <c r="R237" s="3"/>
      <c r="T237" s="3"/>
    </row>
    <row r="238" spans="1:20">
      <c r="A238" s="7"/>
      <c r="B238" s="8">
        <v>1.2284177840385118</v>
      </c>
      <c r="C238" s="8">
        <v>2.3993580133895418</v>
      </c>
      <c r="D238" s="8">
        <v>-0.6756623603325641</v>
      </c>
      <c r="E238" s="7">
        <v>0</v>
      </c>
      <c r="F238" s="7">
        <v>0</v>
      </c>
      <c r="G238" s="7">
        <v>-1.4990516053215155E-2</v>
      </c>
      <c r="H238" s="7">
        <v>0</v>
      </c>
      <c r="I238" s="7">
        <v>0</v>
      </c>
      <c r="J238" s="7">
        <v>0</v>
      </c>
      <c r="K238" s="7">
        <v>0</v>
      </c>
      <c r="L238">
        <v>3.8612243768644339</v>
      </c>
      <c r="M238">
        <v>0</v>
      </c>
      <c r="N238" s="9"/>
      <c r="O238" s="3">
        <f>L238-M238</f>
        <v>3.8612243768644339</v>
      </c>
      <c r="P238" s="3"/>
      <c r="Q238" s="3"/>
      <c r="R238" s="3"/>
      <c r="T238" s="3"/>
    </row>
    <row r="239" spans="1:20">
      <c r="A239" s="7"/>
      <c r="B239" s="8"/>
      <c r="C239" s="8"/>
      <c r="D239" s="8"/>
      <c r="E239" s="7"/>
      <c r="F239" s="7"/>
      <c r="G239" s="7"/>
      <c r="H239" s="7"/>
      <c r="I239" s="7"/>
      <c r="J239" s="7"/>
      <c r="K239" s="7"/>
      <c r="N239" s="10"/>
      <c r="O239" s="3"/>
      <c r="P239" s="3"/>
      <c r="Q239" s="3"/>
      <c r="R239" s="3"/>
      <c r="T239" s="3"/>
    </row>
    <row r="240" spans="1:20">
      <c r="A240" s="7"/>
      <c r="B240" s="8">
        <v>2.2957880185781296</v>
      </c>
      <c r="C240" s="8">
        <v>-8.2263663034425338E-3</v>
      </c>
      <c r="D240" s="8">
        <v>3.3137218009327896E-2</v>
      </c>
      <c r="E240" s="7">
        <v>-1.4990516053215155E-2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>
        <v>2.6359041872834252</v>
      </c>
      <c r="M240">
        <v>0</v>
      </c>
      <c r="N240" s="9"/>
      <c r="O240" s="3">
        <f>L240-M240</f>
        <v>2.6359041872834252</v>
      </c>
      <c r="P240" s="3"/>
      <c r="Q240" s="3"/>
      <c r="R240" s="3"/>
      <c r="T240" s="3"/>
    </row>
    <row r="241" spans="1:20">
      <c r="A241" s="7" t="s">
        <v>73</v>
      </c>
      <c r="B241" s="8">
        <v>0.21871711292247331</v>
      </c>
      <c r="C241" s="8">
        <v>2.1363371502498802</v>
      </c>
      <c r="D241" s="8">
        <v>8.9790398854103559E-2</v>
      </c>
      <c r="E241" s="7">
        <v>0</v>
      </c>
      <c r="F241" s="7">
        <v>-1.4990516053215155E-2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>
        <v>2.3099179553746505</v>
      </c>
      <c r="M241">
        <v>0</v>
      </c>
      <c r="N241" s="9"/>
      <c r="O241" s="3">
        <f>L241-M241</f>
        <v>2.3099179553746505</v>
      </c>
      <c r="P241" s="3"/>
      <c r="Q241" s="3"/>
      <c r="R241" s="3"/>
      <c r="T241" s="3"/>
    </row>
    <row r="242" spans="1:20">
      <c r="A242" s="7"/>
      <c r="B242" s="8">
        <v>1.8375474863113905</v>
      </c>
      <c r="C242" s="8">
        <v>2.1167426559988707</v>
      </c>
      <c r="D242" s="8">
        <v>1.2367606559382516E-2</v>
      </c>
      <c r="E242" s="7">
        <v>0</v>
      </c>
      <c r="F242" s="7">
        <v>0</v>
      </c>
      <c r="G242" s="7">
        <v>-1.4990516053215155E-2</v>
      </c>
      <c r="H242" s="7">
        <v>0</v>
      </c>
      <c r="I242" s="7">
        <v>0</v>
      </c>
      <c r="J242" s="7">
        <v>0</v>
      </c>
      <c r="K242" s="7">
        <v>0</v>
      </c>
      <c r="L242">
        <v>3.9286665969332351</v>
      </c>
      <c r="M242">
        <v>0</v>
      </c>
      <c r="N242" s="9"/>
      <c r="O242" s="3">
        <f>L242-M242</f>
        <v>3.9286665969332351</v>
      </c>
      <c r="P242" s="3"/>
      <c r="Q242" s="3"/>
      <c r="R242" s="3"/>
      <c r="T242" s="3"/>
    </row>
    <row r="243" spans="1:20">
      <c r="A243" s="7"/>
      <c r="B243" s="8"/>
      <c r="C243" s="8"/>
      <c r="D243" s="8"/>
      <c r="E243" s="7"/>
      <c r="F243" s="7"/>
      <c r="G243" s="7"/>
      <c r="H243" s="7"/>
      <c r="I243" s="7"/>
      <c r="J243" s="7"/>
      <c r="K243" s="7"/>
      <c r="N243" s="10"/>
      <c r="O243" s="3"/>
      <c r="P243" s="3"/>
      <c r="Q243" s="3"/>
      <c r="R243" s="3"/>
      <c r="T243" s="3"/>
    </row>
    <row r="244" spans="1:20">
      <c r="A244" s="7"/>
      <c r="B244" s="8">
        <v>2.2957880185781296</v>
      </c>
      <c r="C244" s="8">
        <v>-8.2263663034425338E-3</v>
      </c>
      <c r="D244" s="8">
        <v>3.3137218009327896E-2</v>
      </c>
      <c r="E244" s="7">
        <v>-1.4990516053215155E-2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>
        <v>2.6359041872834252</v>
      </c>
      <c r="M244">
        <v>0</v>
      </c>
      <c r="N244" s="9"/>
      <c r="O244" s="3">
        <f>L244-M244</f>
        <v>2.6359041872834252</v>
      </c>
      <c r="P244" s="3"/>
      <c r="Q244" s="3"/>
      <c r="R244" s="3"/>
      <c r="T244" s="3"/>
    </row>
    <row r="245" spans="1:20">
      <c r="A245" s="7" t="s">
        <v>74</v>
      </c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7">
        <v>-1.4990516053215155E-2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>
        <v>2.3099179553746505</v>
      </c>
      <c r="M245">
        <v>0</v>
      </c>
      <c r="N245" s="9"/>
      <c r="O245" s="3">
        <f>L245-M245</f>
        <v>2.3099179553746505</v>
      </c>
      <c r="P245" s="3"/>
      <c r="Q245" s="3"/>
      <c r="R245" s="3"/>
      <c r="T245" s="3"/>
    </row>
    <row r="246" spans="1:20">
      <c r="A246" s="7"/>
      <c r="B246" s="8">
        <v>1.2284177840385118</v>
      </c>
      <c r="C246" s="8">
        <v>2.3993580133895418</v>
      </c>
      <c r="D246" s="8">
        <v>-0.6756623603325641</v>
      </c>
      <c r="E246" s="7">
        <v>0</v>
      </c>
      <c r="F246" s="7">
        <v>0</v>
      </c>
      <c r="G246" s="7">
        <v>-1.4990516053215155E-2</v>
      </c>
      <c r="H246" s="7">
        <v>0</v>
      </c>
      <c r="I246" s="7">
        <v>0</v>
      </c>
      <c r="J246" s="7">
        <v>0</v>
      </c>
      <c r="K246" s="7">
        <v>0</v>
      </c>
      <c r="L246">
        <v>3.8612243768644339</v>
      </c>
      <c r="M246">
        <v>0</v>
      </c>
      <c r="N246" s="9"/>
      <c r="O246" s="3">
        <f>L246-M246</f>
        <v>3.8612243768644339</v>
      </c>
      <c r="P246" s="3"/>
      <c r="Q246" s="3"/>
      <c r="R246" s="3"/>
      <c r="T246" s="3"/>
    </row>
    <row r="247" spans="1:20">
      <c r="A247" s="7"/>
      <c r="B247" s="8"/>
      <c r="C247" s="8"/>
      <c r="D247" s="8"/>
      <c r="E247" s="7"/>
      <c r="F247" s="7"/>
      <c r="G247" s="7"/>
      <c r="H247" s="7"/>
      <c r="I247" s="7"/>
      <c r="J247" s="7"/>
      <c r="K247" s="7"/>
      <c r="N247" s="10"/>
      <c r="O247" s="3"/>
      <c r="P247" s="3"/>
      <c r="Q247" s="3"/>
      <c r="R247" s="3"/>
      <c r="T247" s="3"/>
    </row>
    <row r="248" spans="1:20">
      <c r="A248" s="7"/>
      <c r="B248" s="8">
        <v>2.2957880185781296</v>
      </c>
      <c r="C248" s="8">
        <v>-8.2263663034425338E-3</v>
      </c>
      <c r="D248" s="8">
        <v>3.3137218009327896E-2</v>
      </c>
      <c r="E248" s="7">
        <v>-1.4990516053215155E-2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>
        <v>2.6359041872834252</v>
      </c>
      <c r="M248">
        <v>0</v>
      </c>
      <c r="N248" s="9"/>
      <c r="O248" s="3">
        <f>L248-M248</f>
        <v>2.6359041872834252</v>
      </c>
      <c r="P248" s="3"/>
      <c r="Q248" s="3"/>
      <c r="R248" s="3"/>
      <c r="T248" s="3"/>
    </row>
    <row r="249" spans="1:20">
      <c r="A249" s="7" t="s">
        <v>75</v>
      </c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7">
        <v>-1.4990516053215155E-2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>
        <v>3.9286665969332351</v>
      </c>
      <c r="M249">
        <v>0</v>
      </c>
      <c r="N249" s="9"/>
      <c r="O249" s="3">
        <f>L249-M249</f>
        <v>3.9286665969332351</v>
      </c>
      <c r="P249" s="3"/>
      <c r="Q249" s="3"/>
      <c r="R249" s="3"/>
      <c r="T249" s="3"/>
    </row>
    <row r="250" spans="1:20">
      <c r="A250" s="7"/>
      <c r="B250" s="8">
        <v>1.2284177840385118</v>
      </c>
      <c r="C250" s="8">
        <v>2.3993580133895418</v>
      </c>
      <c r="D250" s="8">
        <v>-0.6756623603325641</v>
      </c>
      <c r="E250" s="7">
        <v>0</v>
      </c>
      <c r="F250" s="7">
        <v>0</v>
      </c>
      <c r="G250" s="7">
        <v>-1.4990516053215155E-2</v>
      </c>
      <c r="H250" s="7">
        <v>0</v>
      </c>
      <c r="I250" s="7">
        <v>0</v>
      </c>
      <c r="J250" s="7">
        <v>0</v>
      </c>
      <c r="K250" s="7">
        <v>0</v>
      </c>
      <c r="L250">
        <v>3.8612243768644339</v>
      </c>
      <c r="M250">
        <v>0</v>
      </c>
      <c r="N250" s="9"/>
      <c r="O250" s="3">
        <f>L250-M250</f>
        <v>3.8612243768644339</v>
      </c>
      <c r="P250" s="3"/>
      <c r="Q250" s="3"/>
      <c r="R250" s="3"/>
      <c r="T250" s="3"/>
    </row>
    <row r="251" spans="1:20">
      <c r="A251" s="7"/>
      <c r="B251" s="8"/>
      <c r="C251" s="8"/>
      <c r="D251" s="8"/>
      <c r="E251" s="7"/>
      <c r="F251" s="7"/>
      <c r="G251" s="7"/>
      <c r="H251" s="7"/>
      <c r="I251" s="7"/>
      <c r="J251" s="7"/>
      <c r="K251" s="7"/>
      <c r="N251" s="10"/>
      <c r="O251" s="3"/>
      <c r="P251" s="3"/>
      <c r="Q251" s="3"/>
      <c r="R251" s="3"/>
      <c r="T251" s="3"/>
    </row>
    <row r="252" spans="1:20">
      <c r="A252" s="7"/>
      <c r="B252" s="8">
        <v>-0.14897154656832046</v>
      </c>
      <c r="C252" s="8">
        <v>0.84725762547333594</v>
      </c>
      <c r="D252" s="8">
        <v>-1.9759438806851826E-2</v>
      </c>
      <c r="E252" s="7">
        <v>-1.4990516053215155E-2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>
        <v>0.37021422051581732</v>
      </c>
      <c r="M252">
        <v>0</v>
      </c>
      <c r="N252" s="9"/>
      <c r="O252" s="3">
        <f>L252-M252</f>
        <v>0.37021422051581732</v>
      </c>
      <c r="P252" s="3"/>
      <c r="Q252" s="3"/>
      <c r="R252" s="3"/>
      <c r="T252" s="3"/>
    </row>
    <row r="253" spans="1:20">
      <c r="A253" s="7" t="s">
        <v>76</v>
      </c>
      <c r="B253" s="8">
        <v>2.6959782234951333</v>
      </c>
      <c r="C253" s="8">
        <v>1.0757798809975587</v>
      </c>
      <c r="D253" s="8">
        <v>4.997772423355884E-2</v>
      </c>
      <c r="E253" s="7">
        <v>0</v>
      </c>
      <c r="F253" s="7">
        <v>-1.4990516053215155E-2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>
        <v>4.2140493534193304</v>
      </c>
      <c r="M253">
        <v>0</v>
      </c>
      <c r="N253" s="9"/>
      <c r="O253" s="3">
        <f>L253-M253</f>
        <v>4.2140493534193304</v>
      </c>
      <c r="P253" s="3"/>
      <c r="Q253" s="3"/>
      <c r="R253" s="3"/>
      <c r="T253" s="3"/>
    </row>
    <row r="254" spans="1:20">
      <c r="A254" s="7"/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0</v>
      </c>
      <c r="G254" s="7">
        <v>-1.4990516053215155E-2</v>
      </c>
      <c r="H254" s="7">
        <v>0</v>
      </c>
      <c r="I254" s="7">
        <v>0</v>
      </c>
      <c r="J254" s="7">
        <v>0</v>
      </c>
      <c r="K254" s="7">
        <v>0</v>
      </c>
      <c r="L254">
        <v>2.3099179553746505</v>
      </c>
      <c r="M254">
        <v>0</v>
      </c>
      <c r="N254" s="9"/>
      <c r="O254" s="3">
        <f>L254-M254</f>
        <v>2.3099179553746505</v>
      </c>
      <c r="P254" s="3"/>
      <c r="Q254" s="3"/>
      <c r="R254" s="3"/>
      <c r="T254" s="3"/>
    </row>
    <row r="255" spans="1:20">
      <c r="A255" s="7"/>
      <c r="B255" s="8"/>
      <c r="C255" s="8"/>
      <c r="D255" s="8"/>
      <c r="E255" s="7"/>
      <c r="F255" s="7"/>
      <c r="G255" s="7"/>
      <c r="H255" s="7"/>
      <c r="I255" s="7"/>
      <c r="J255" s="7"/>
      <c r="K255" s="7"/>
      <c r="N255" s="10"/>
      <c r="O255" s="3"/>
      <c r="P255" s="3"/>
      <c r="Q255" s="3"/>
      <c r="R255" s="3"/>
      <c r="T255" s="3"/>
    </row>
    <row r="256" spans="1:20">
      <c r="A256" s="7"/>
      <c r="B256" s="8">
        <v>-0.14897154656832046</v>
      </c>
      <c r="C256" s="8">
        <v>0.84725762547333594</v>
      </c>
      <c r="D256" s="8">
        <v>-1.9759438806851826E-2</v>
      </c>
      <c r="E256" s="7">
        <v>-1.4990516053215155E-2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>
        <v>0.37021422051581732</v>
      </c>
      <c r="M256">
        <v>0</v>
      </c>
      <c r="N256" s="9"/>
      <c r="O256" s="3">
        <f>L256-M256</f>
        <v>0.37021422051581732</v>
      </c>
      <c r="P256" s="3"/>
      <c r="Q256" s="3"/>
      <c r="R256" s="3"/>
      <c r="T256" s="3"/>
    </row>
    <row r="257" spans="1:20">
      <c r="A257" s="7" t="s">
        <v>77</v>
      </c>
      <c r="B257" s="8">
        <v>2.6959782234951333</v>
      </c>
      <c r="C257" s="8">
        <v>1.0757798809975587</v>
      </c>
      <c r="D257" s="8">
        <v>4.997772423355884E-2</v>
      </c>
      <c r="E257" s="7">
        <v>0</v>
      </c>
      <c r="F257" s="7">
        <v>-1.4990516053215155E-2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>
        <v>4.2140493534193304</v>
      </c>
      <c r="M257">
        <v>0</v>
      </c>
      <c r="N257" s="9"/>
      <c r="O257" s="3">
        <f>L257-M257</f>
        <v>4.2140493534193304</v>
      </c>
      <c r="P257" s="3"/>
      <c r="Q257" s="3"/>
      <c r="R257" s="3"/>
      <c r="T257" s="3"/>
    </row>
    <row r="258" spans="1:20">
      <c r="A258" s="7"/>
      <c r="B258" s="8">
        <v>1.8375474863113905</v>
      </c>
      <c r="C258" s="8">
        <v>2.1167426559988707</v>
      </c>
      <c r="D258" s="8">
        <v>1.2367606559382516E-2</v>
      </c>
      <c r="E258" s="7">
        <v>0</v>
      </c>
      <c r="F258" s="7">
        <v>0</v>
      </c>
      <c r="G258" s="7">
        <v>-1.4990516053215155E-2</v>
      </c>
      <c r="H258" s="7">
        <v>0</v>
      </c>
      <c r="I258" s="7">
        <v>0</v>
      </c>
      <c r="J258" s="7">
        <v>0</v>
      </c>
      <c r="K258" s="7">
        <v>0</v>
      </c>
      <c r="L258">
        <v>3.9286665969332351</v>
      </c>
      <c r="M258">
        <v>0</v>
      </c>
      <c r="N258" s="9"/>
      <c r="O258" s="3">
        <f>L258-M258</f>
        <v>3.9286665969332351</v>
      </c>
      <c r="P258" s="3"/>
      <c r="Q258" s="3"/>
      <c r="R258" s="3"/>
      <c r="T258" s="3"/>
    </row>
    <row r="259" spans="1:20">
      <c r="A259" s="7"/>
      <c r="B259" s="8"/>
      <c r="C259" s="8"/>
      <c r="D259" s="8"/>
      <c r="E259" s="7"/>
      <c r="F259" s="7"/>
      <c r="G259" s="7"/>
      <c r="H259" s="7"/>
      <c r="I259" s="7"/>
      <c r="J259" s="7"/>
      <c r="K259" s="7"/>
      <c r="N259" s="10"/>
      <c r="O259" s="3"/>
      <c r="P259" s="3"/>
      <c r="Q259" s="3"/>
      <c r="R259" s="3"/>
      <c r="T259" s="3"/>
    </row>
    <row r="260" spans="1:20">
      <c r="A260" s="7"/>
      <c r="B260" s="8">
        <v>-0.14897154656832046</v>
      </c>
      <c r="C260" s="8">
        <v>0.84725762547333594</v>
      </c>
      <c r="D260" s="8">
        <v>-1.9759438806851826E-2</v>
      </c>
      <c r="E260" s="7">
        <v>-1.4990516053215155E-2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>
        <v>0.37021422051581732</v>
      </c>
      <c r="M260">
        <v>0</v>
      </c>
      <c r="N260" s="9"/>
      <c r="O260" s="3">
        <f>L260-M260</f>
        <v>0.37021422051581732</v>
      </c>
      <c r="P260" s="3"/>
      <c r="Q260" s="3"/>
      <c r="R260" s="3"/>
      <c r="T260" s="3"/>
    </row>
    <row r="261" spans="1:20">
      <c r="A261" s="7" t="s">
        <v>78</v>
      </c>
      <c r="B261" s="8">
        <v>2.6959782234951333</v>
      </c>
      <c r="C261" s="8">
        <v>1.0757798809975587</v>
      </c>
      <c r="D261" s="8">
        <v>4.997772423355884E-2</v>
      </c>
      <c r="E261" s="7">
        <v>0</v>
      </c>
      <c r="F261" s="7">
        <v>-1.4990516053215155E-2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>
        <v>4.2140493534193304</v>
      </c>
      <c r="M261">
        <v>0</v>
      </c>
      <c r="N261" s="9"/>
      <c r="O261" s="3">
        <f>L261-M261</f>
        <v>4.2140493534193304</v>
      </c>
      <c r="P261" s="3"/>
      <c r="Q261" s="3"/>
      <c r="R261" s="3"/>
      <c r="T261" s="3"/>
    </row>
    <row r="262" spans="1:20">
      <c r="A262" s="7"/>
      <c r="B262" s="8">
        <v>1.2284177840385118</v>
      </c>
      <c r="C262" s="8">
        <v>2.3993580133895418</v>
      </c>
      <c r="D262" s="8">
        <v>-0.6756623603325641</v>
      </c>
      <c r="E262" s="7">
        <v>0</v>
      </c>
      <c r="F262" s="7">
        <v>0</v>
      </c>
      <c r="G262" s="7">
        <v>-1.4990516053215155E-2</v>
      </c>
      <c r="H262" s="7">
        <v>0</v>
      </c>
      <c r="I262" s="7">
        <v>0</v>
      </c>
      <c r="J262" s="7">
        <v>0</v>
      </c>
      <c r="K262" s="7">
        <v>0</v>
      </c>
      <c r="L262">
        <v>3.8612243768644339</v>
      </c>
      <c r="M262">
        <v>0</v>
      </c>
      <c r="N262" s="9"/>
      <c r="O262" s="3">
        <f>L262-M262</f>
        <v>3.8612243768644339</v>
      </c>
      <c r="P262" s="3"/>
      <c r="Q262" s="3"/>
      <c r="R262" s="3"/>
      <c r="T262" s="3"/>
    </row>
    <row r="263" spans="1:20">
      <c r="A263" s="7"/>
      <c r="B263" s="8"/>
      <c r="C263" s="8"/>
      <c r="D263" s="8"/>
      <c r="E263" s="7"/>
      <c r="F263" s="7"/>
      <c r="G263" s="7"/>
      <c r="H263" s="7"/>
      <c r="I263" s="7"/>
      <c r="J263" s="7"/>
      <c r="K263" s="7"/>
      <c r="N263" s="10"/>
      <c r="O263" s="3"/>
      <c r="P263" s="3"/>
      <c r="Q263" s="3"/>
      <c r="R263" s="3"/>
      <c r="T263" s="3"/>
    </row>
    <row r="264" spans="1:20">
      <c r="A264" s="7"/>
      <c r="B264" s="8">
        <v>-0.14897154656832046</v>
      </c>
      <c r="C264" s="8">
        <v>0.84725762547333594</v>
      </c>
      <c r="D264" s="8">
        <v>-1.9759438806851826E-2</v>
      </c>
      <c r="E264" s="7">
        <v>-1.4990516053215155E-2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>
        <v>0.37021422051581732</v>
      </c>
      <c r="M264">
        <v>0</v>
      </c>
      <c r="N264" s="9"/>
      <c r="O264" s="3">
        <f>L264-M264</f>
        <v>0.37021422051581732</v>
      </c>
      <c r="P264" s="3"/>
      <c r="Q264" s="3"/>
      <c r="R264" s="3"/>
      <c r="T264" s="3"/>
    </row>
    <row r="265" spans="1:20">
      <c r="A265" s="7" t="s">
        <v>79</v>
      </c>
      <c r="B265" s="8">
        <v>0.21871711292247331</v>
      </c>
      <c r="C265" s="8">
        <v>2.1363371502498802</v>
      </c>
      <c r="D265" s="8">
        <v>8.9790398854103559E-2</v>
      </c>
      <c r="E265" s="7">
        <v>0</v>
      </c>
      <c r="F265" s="7">
        <v>-1.4990516053215155E-2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>
        <v>2.3099179553746505</v>
      </c>
      <c r="M265">
        <v>0</v>
      </c>
      <c r="N265" s="9"/>
      <c r="O265" s="3">
        <f>L265-M265</f>
        <v>2.3099179553746505</v>
      </c>
      <c r="P265" s="3"/>
      <c r="Q265" s="3"/>
      <c r="R265" s="3"/>
      <c r="T265" s="3"/>
    </row>
    <row r="266" spans="1:20">
      <c r="A266" s="7"/>
      <c r="B266" s="8">
        <v>1.8375474863113905</v>
      </c>
      <c r="C266" s="8">
        <v>2.1167426559988707</v>
      </c>
      <c r="D266" s="8">
        <v>1.2367606559382516E-2</v>
      </c>
      <c r="E266" s="7">
        <v>0</v>
      </c>
      <c r="F266" s="7">
        <v>0</v>
      </c>
      <c r="G266" s="7">
        <v>-1.4990516053215155E-2</v>
      </c>
      <c r="H266" s="7">
        <v>0</v>
      </c>
      <c r="I266" s="7">
        <v>0</v>
      </c>
      <c r="J266" s="7">
        <v>0</v>
      </c>
      <c r="K266" s="7">
        <v>0</v>
      </c>
      <c r="L266">
        <v>3.9286665969332351</v>
      </c>
      <c r="M266">
        <v>0</v>
      </c>
      <c r="N266" s="9"/>
      <c r="O266" s="3">
        <f>L266-M266</f>
        <v>3.9286665969332351</v>
      </c>
      <c r="P266" s="3"/>
      <c r="Q266" s="3"/>
      <c r="R266" s="3"/>
      <c r="T266" s="3"/>
    </row>
    <row r="267" spans="1:20">
      <c r="A267" s="7"/>
      <c r="B267" s="8"/>
      <c r="C267" s="8"/>
      <c r="D267" s="8"/>
      <c r="E267" s="7"/>
      <c r="F267" s="7"/>
      <c r="G267" s="7"/>
      <c r="H267" s="7"/>
      <c r="I267" s="7"/>
      <c r="J267" s="7"/>
      <c r="K267" s="7"/>
      <c r="N267" s="10"/>
      <c r="O267" s="3"/>
      <c r="P267" s="3"/>
      <c r="Q267" s="3"/>
      <c r="R267" s="3"/>
      <c r="T267" s="3"/>
    </row>
    <row r="268" spans="1:20">
      <c r="A268" s="7"/>
      <c r="B268" s="8">
        <v>-0.14897154656832046</v>
      </c>
      <c r="C268" s="8">
        <v>0.84725762547333594</v>
      </c>
      <c r="D268" s="8">
        <v>-1.9759438806851826E-2</v>
      </c>
      <c r="E268" s="7">
        <v>-1.4990516053215155E-2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>
        <v>0.37021422051581732</v>
      </c>
      <c r="M268">
        <v>0</v>
      </c>
      <c r="N268" s="9"/>
      <c r="O268" s="3">
        <f>L268-M268</f>
        <v>0.37021422051581732</v>
      </c>
      <c r="P268" s="3"/>
      <c r="Q268" s="3"/>
      <c r="R268" s="3"/>
      <c r="T268" s="3"/>
    </row>
    <row r="269" spans="1:20">
      <c r="A269" s="7" t="s">
        <v>80</v>
      </c>
      <c r="B269" s="8">
        <v>0.21871711292247331</v>
      </c>
      <c r="C269" s="8">
        <v>2.1363371502498802</v>
      </c>
      <c r="D269" s="8">
        <v>8.9790398854103559E-2</v>
      </c>
      <c r="E269" s="7">
        <v>0</v>
      </c>
      <c r="F269" s="7">
        <v>-1.4990516053215155E-2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>
        <v>2.3099179553746505</v>
      </c>
      <c r="M269">
        <v>0</v>
      </c>
      <c r="N269" s="9"/>
      <c r="O269" s="3">
        <f>L269-M269</f>
        <v>2.3099179553746505</v>
      </c>
      <c r="P269" s="3"/>
      <c r="Q269" s="3"/>
      <c r="R269" s="3"/>
      <c r="T269" s="3"/>
    </row>
    <row r="270" spans="1:20">
      <c r="A270" s="7"/>
      <c r="B270" s="8">
        <v>1.2284177840385118</v>
      </c>
      <c r="C270" s="8">
        <v>2.3993580133895418</v>
      </c>
      <c r="D270" s="8">
        <v>-0.6756623603325641</v>
      </c>
      <c r="E270" s="7">
        <v>0</v>
      </c>
      <c r="F270" s="7">
        <v>0</v>
      </c>
      <c r="G270" s="7">
        <v>-1.4990516053215155E-2</v>
      </c>
      <c r="H270" s="7">
        <v>0</v>
      </c>
      <c r="I270" s="7">
        <v>0</v>
      </c>
      <c r="J270" s="7">
        <v>0</v>
      </c>
      <c r="K270" s="7">
        <v>0</v>
      </c>
      <c r="L270">
        <v>3.8612243768644339</v>
      </c>
      <c r="M270">
        <v>0</v>
      </c>
      <c r="N270" s="9"/>
      <c r="O270" s="3">
        <f>L270-M270</f>
        <v>3.8612243768644339</v>
      </c>
      <c r="P270" s="3"/>
      <c r="Q270" s="3"/>
      <c r="R270" s="3"/>
      <c r="T270" s="3"/>
    </row>
    <row r="271" spans="1:20">
      <c r="A271" s="7"/>
      <c r="B271" s="8"/>
      <c r="C271" s="8"/>
      <c r="D271" s="8"/>
      <c r="E271" s="7"/>
      <c r="F271" s="7"/>
      <c r="G271" s="7"/>
      <c r="H271" s="7"/>
      <c r="I271" s="7"/>
      <c r="J271" s="7"/>
      <c r="K271" s="7"/>
      <c r="N271" s="10"/>
      <c r="O271" s="3"/>
      <c r="P271" s="3"/>
      <c r="Q271" s="3"/>
      <c r="R271" s="3"/>
      <c r="T271" s="3"/>
    </row>
    <row r="272" spans="1:20">
      <c r="A272" s="7"/>
      <c r="B272" s="8">
        <v>-0.14897154656832046</v>
      </c>
      <c r="C272" s="8">
        <v>0.84725762547333594</v>
      </c>
      <c r="D272" s="8">
        <v>-1.9759438806851826E-2</v>
      </c>
      <c r="E272" s="7">
        <v>-1.4990516053215155E-2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>
        <v>0.37021422051581732</v>
      </c>
      <c r="M272">
        <v>0</v>
      </c>
      <c r="N272" s="9"/>
      <c r="O272" s="3">
        <f>L272-M272</f>
        <v>0.37021422051581732</v>
      </c>
      <c r="P272" s="3"/>
      <c r="Q272" s="3"/>
      <c r="R272" s="3"/>
      <c r="T272" s="3"/>
    </row>
    <row r="273" spans="1:20">
      <c r="A273" s="7" t="s">
        <v>81</v>
      </c>
      <c r="B273" s="8">
        <v>1.8375474863113905</v>
      </c>
      <c r="C273" s="8">
        <v>2.1167426559988707</v>
      </c>
      <c r="D273" s="8">
        <v>1.2367606559382516E-2</v>
      </c>
      <c r="E273" s="7">
        <v>0</v>
      </c>
      <c r="F273" s="7">
        <v>-1.4990516053215155E-2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>
        <v>3.9286665969332351</v>
      </c>
      <c r="M273">
        <v>0</v>
      </c>
      <c r="N273" s="9"/>
      <c r="O273" s="3">
        <f>L273-M273</f>
        <v>3.9286665969332351</v>
      </c>
      <c r="P273" s="3"/>
      <c r="Q273" s="3"/>
      <c r="R273" s="3"/>
      <c r="T273" s="3"/>
    </row>
    <row r="274" spans="1:20">
      <c r="A274" s="7"/>
      <c r="B274" s="8">
        <v>1.2284177840385118</v>
      </c>
      <c r="C274" s="8">
        <v>2.3993580133895418</v>
      </c>
      <c r="D274" s="8">
        <v>-0.6756623603325641</v>
      </c>
      <c r="E274" s="7">
        <v>0</v>
      </c>
      <c r="F274" s="7">
        <v>0</v>
      </c>
      <c r="G274" s="7">
        <v>-1.4990516053215155E-2</v>
      </c>
      <c r="H274" s="7">
        <v>0</v>
      </c>
      <c r="I274" s="7">
        <v>0</v>
      </c>
      <c r="J274" s="7">
        <v>0</v>
      </c>
      <c r="K274" s="7">
        <v>0</v>
      </c>
      <c r="L274">
        <v>3.8612243768644339</v>
      </c>
      <c r="M274">
        <v>0</v>
      </c>
      <c r="N274" s="9"/>
      <c r="O274" s="3">
        <f>L274-M274</f>
        <v>3.8612243768644339</v>
      </c>
      <c r="P274" s="3"/>
      <c r="Q274" s="3"/>
      <c r="R274" s="3"/>
      <c r="T274" s="3"/>
    </row>
    <row r="275" spans="1:20">
      <c r="A275" s="7"/>
      <c r="B275" s="8"/>
      <c r="C275" s="8"/>
      <c r="D275" s="8"/>
      <c r="E275" s="7"/>
      <c r="F275" s="7"/>
      <c r="G275" s="7"/>
      <c r="H275" s="7"/>
      <c r="I275" s="7"/>
      <c r="J275" s="7"/>
      <c r="K275" s="7"/>
      <c r="N275" s="10"/>
      <c r="O275" s="3"/>
      <c r="P275" s="3"/>
      <c r="Q275" s="3"/>
      <c r="R275" s="3"/>
      <c r="T275" s="3"/>
    </row>
    <row r="276" spans="1:20">
      <c r="A276" s="7"/>
      <c r="B276" s="8">
        <v>2.6959782234951333</v>
      </c>
      <c r="C276" s="8">
        <v>1.0757798809975587</v>
      </c>
      <c r="D276" s="8">
        <v>4.997772423355884E-2</v>
      </c>
      <c r="E276" s="7">
        <v>-1.4990516053215155E-2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>
        <v>4.2140493534193304</v>
      </c>
      <c r="M276">
        <v>0</v>
      </c>
      <c r="N276" s="9"/>
      <c r="O276" s="3">
        <f>L276-M276</f>
        <v>4.2140493534193304</v>
      </c>
      <c r="P276" s="3"/>
      <c r="Q276" s="3"/>
      <c r="R276" s="3"/>
      <c r="T276" s="3"/>
    </row>
    <row r="277" spans="1:20">
      <c r="A277" s="7" t="s">
        <v>82</v>
      </c>
      <c r="B277" s="8">
        <v>0.21871711292247331</v>
      </c>
      <c r="C277" s="8">
        <v>2.1363371502498802</v>
      </c>
      <c r="D277" s="8">
        <v>8.9790398854103559E-2</v>
      </c>
      <c r="E277" s="7">
        <v>0</v>
      </c>
      <c r="F277" s="7">
        <v>-1.4990516053215155E-2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>
        <v>2.3099179553746505</v>
      </c>
      <c r="M277">
        <v>0</v>
      </c>
      <c r="N277" s="9"/>
      <c r="O277" s="3">
        <f>L277-M277</f>
        <v>2.3099179553746505</v>
      </c>
      <c r="P277" s="3"/>
      <c r="Q277" s="3"/>
      <c r="R277" s="3"/>
      <c r="T277" s="3"/>
    </row>
    <row r="278" spans="1:20">
      <c r="A278" s="7"/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0</v>
      </c>
      <c r="G278" s="7">
        <v>-1.4990516053215155E-2</v>
      </c>
      <c r="H278" s="7">
        <v>0</v>
      </c>
      <c r="I278" s="7">
        <v>0</v>
      </c>
      <c r="J278" s="7">
        <v>0</v>
      </c>
      <c r="K278" s="7">
        <v>0</v>
      </c>
      <c r="L278">
        <v>3.9286665969332351</v>
      </c>
      <c r="M278">
        <v>0</v>
      </c>
      <c r="N278" s="9"/>
      <c r="O278" s="3">
        <f>L278-M278</f>
        <v>3.9286665969332351</v>
      </c>
      <c r="P278" s="3"/>
      <c r="Q278" s="3"/>
      <c r="R278" s="3"/>
      <c r="T278" s="3"/>
    </row>
    <row r="279" spans="1:20">
      <c r="A279" s="7"/>
      <c r="B279" s="8"/>
      <c r="C279" s="8"/>
      <c r="D279" s="8"/>
      <c r="E279" s="7"/>
      <c r="F279" s="7"/>
      <c r="G279" s="7"/>
      <c r="H279" s="7"/>
      <c r="I279" s="7"/>
      <c r="J279" s="7"/>
      <c r="K279" s="7"/>
      <c r="N279" s="10"/>
      <c r="O279" s="3"/>
      <c r="P279" s="3"/>
      <c r="Q279" s="3"/>
      <c r="R279" s="3"/>
      <c r="T279" s="3"/>
    </row>
    <row r="280" spans="1:20">
      <c r="A280" s="7"/>
      <c r="B280" s="8">
        <v>2.6959782234951333</v>
      </c>
      <c r="C280" s="8">
        <v>1.0757798809975587</v>
      </c>
      <c r="D280" s="8">
        <v>4.997772423355884E-2</v>
      </c>
      <c r="E280" s="7">
        <v>-1.4990516053215155E-2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>
        <v>4.2140493534193304</v>
      </c>
      <c r="M280">
        <v>0</v>
      </c>
      <c r="N280" s="9"/>
      <c r="O280" s="3">
        <f>L280-M280</f>
        <v>4.2140493534193304</v>
      </c>
      <c r="P280" s="3"/>
      <c r="Q280" s="3"/>
      <c r="R280" s="3"/>
      <c r="T280" s="3"/>
    </row>
    <row r="281" spans="1:20">
      <c r="A281" s="7" t="s">
        <v>83</v>
      </c>
      <c r="B281" s="8">
        <v>0.21871711292247331</v>
      </c>
      <c r="C281" s="8">
        <v>2.1363371502498802</v>
      </c>
      <c r="D281" s="8">
        <v>8.9790398854103559E-2</v>
      </c>
      <c r="E281" s="7">
        <v>0</v>
      </c>
      <c r="F281" s="7">
        <v>-1.4990516053215155E-2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>
        <v>2.3099179553746505</v>
      </c>
      <c r="M281">
        <v>0</v>
      </c>
      <c r="N281" s="9"/>
      <c r="O281" s="3">
        <f>L281-M281</f>
        <v>2.3099179553746505</v>
      </c>
      <c r="P281" s="3"/>
      <c r="Q281" s="3"/>
      <c r="R281" s="3"/>
      <c r="T281" s="3"/>
    </row>
    <row r="282" spans="1:20">
      <c r="A282" s="7"/>
      <c r="B282" s="8">
        <v>1.2284177840385118</v>
      </c>
      <c r="C282" s="8">
        <v>2.3993580133895418</v>
      </c>
      <c r="D282" s="8">
        <v>-0.6756623603325641</v>
      </c>
      <c r="E282" s="7">
        <v>0</v>
      </c>
      <c r="F282" s="7">
        <v>0</v>
      </c>
      <c r="G282" s="7">
        <v>-1.4990516053215155E-2</v>
      </c>
      <c r="H282" s="7">
        <v>0</v>
      </c>
      <c r="I282" s="7">
        <v>0</v>
      </c>
      <c r="J282" s="7">
        <v>0</v>
      </c>
      <c r="K282" s="7">
        <v>0</v>
      </c>
      <c r="L282">
        <v>3.8612243768644339</v>
      </c>
      <c r="M282">
        <v>0</v>
      </c>
      <c r="N282" s="9"/>
      <c r="O282" s="3">
        <f>L282-M282</f>
        <v>3.8612243768644339</v>
      </c>
      <c r="P282" s="3"/>
      <c r="Q282" s="3"/>
      <c r="R282" s="3"/>
      <c r="T282" s="3"/>
    </row>
    <row r="283" spans="1:20">
      <c r="A283" s="7"/>
      <c r="B283" s="8"/>
      <c r="C283" s="8"/>
      <c r="D283" s="8"/>
      <c r="E283" s="7"/>
      <c r="F283" s="7"/>
      <c r="G283" s="7"/>
      <c r="H283" s="7"/>
      <c r="I283" s="7"/>
      <c r="J283" s="7"/>
      <c r="K283" s="7"/>
      <c r="N283" s="10"/>
      <c r="O283" s="3"/>
      <c r="P283" s="3"/>
      <c r="Q283" s="3"/>
      <c r="R283" s="3"/>
      <c r="T283" s="3"/>
    </row>
    <row r="284" spans="1:20">
      <c r="A284" s="7"/>
      <c r="B284" s="8">
        <v>2.6959782234951333</v>
      </c>
      <c r="C284" s="8">
        <v>1.0757798809975587</v>
      </c>
      <c r="D284" s="8">
        <v>4.997772423355884E-2</v>
      </c>
      <c r="E284" s="7">
        <v>-1.4990516053215155E-2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>
        <v>4.2140493534193304</v>
      </c>
      <c r="M284">
        <v>0</v>
      </c>
      <c r="N284" s="9"/>
      <c r="O284" s="3">
        <f>L284-M284</f>
        <v>4.2140493534193304</v>
      </c>
      <c r="P284" s="3"/>
      <c r="Q284" s="3"/>
      <c r="R284" s="3"/>
      <c r="T284" s="3"/>
    </row>
    <row r="285" spans="1:20">
      <c r="A285" s="7" t="s">
        <v>84</v>
      </c>
      <c r="B285" s="8">
        <v>1.8375474863113905</v>
      </c>
      <c r="C285" s="8">
        <v>2.1167426559988707</v>
      </c>
      <c r="D285" s="8">
        <v>1.2367606559382516E-2</v>
      </c>
      <c r="E285" s="7">
        <v>0</v>
      </c>
      <c r="F285" s="7">
        <v>-1.4990516053215155E-2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>
        <v>3.9286665969332351</v>
      </c>
      <c r="M285">
        <v>0</v>
      </c>
      <c r="N285" s="9"/>
      <c r="O285" s="3">
        <f>L285-M285</f>
        <v>3.9286665969332351</v>
      </c>
      <c r="P285" s="3"/>
      <c r="Q285" s="3"/>
      <c r="R285" s="3"/>
      <c r="T285" s="3"/>
    </row>
    <row r="286" spans="1:20">
      <c r="A286" s="7"/>
      <c r="B286" s="8">
        <v>1.2284177840385118</v>
      </c>
      <c r="C286" s="8">
        <v>2.3993580133895418</v>
      </c>
      <c r="D286" s="8">
        <v>-0.6756623603325641</v>
      </c>
      <c r="E286" s="7">
        <v>0</v>
      </c>
      <c r="F286" s="7">
        <v>0</v>
      </c>
      <c r="G286" s="7">
        <v>-1.4990516053215155E-2</v>
      </c>
      <c r="H286" s="7">
        <v>0</v>
      </c>
      <c r="I286" s="7">
        <v>0</v>
      </c>
      <c r="J286" s="7">
        <v>0</v>
      </c>
      <c r="K286" s="7">
        <v>0</v>
      </c>
      <c r="L286">
        <v>3.8612243768644339</v>
      </c>
      <c r="M286">
        <v>0</v>
      </c>
      <c r="N286" s="9"/>
      <c r="O286" s="3">
        <f>L286-M286</f>
        <v>3.8612243768644339</v>
      </c>
      <c r="P286" s="3"/>
      <c r="Q286" s="3"/>
      <c r="R286" s="3"/>
      <c r="T286" s="3"/>
    </row>
    <row r="287" spans="1:20">
      <c r="A287" s="7"/>
      <c r="B287" s="8"/>
      <c r="C287" s="8"/>
      <c r="D287" s="8"/>
      <c r="E287" s="7"/>
      <c r="F287" s="7"/>
      <c r="G287" s="7"/>
      <c r="H287" s="7"/>
      <c r="I287" s="7"/>
      <c r="J287" s="7"/>
      <c r="K287" s="7"/>
      <c r="N287" s="10"/>
      <c r="O287" s="3"/>
      <c r="P287" s="3"/>
      <c r="Q287" s="3"/>
      <c r="R287" s="3"/>
      <c r="T287" s="3"/>
    </row>
    <row r="288" spans="1:20">
      <c r="A288" s="7"/>
      <c r="B288" s="8">
        <v>0.21871711292247331</v>
      </c>
      <c r="C288" s="8">
        <v>2.1363371502498802</v>
      </c>
      <c r="D288" s="8">
        <v>8.9790398854103559E-2</v>
      </c>
      <c r="E288" s="7">
        <v>-1.4990516053215155E-2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>
        <v>2.3099179553746505</v>
      </c>
      <c r="M288">
        <v>0</v>
      </c>
      <c r="N288" s="9"/>
      <c r="O288" s="3">
        <f>L288-M288</f>
        <v>2.3099179553746505</v>
      </c>
      <c r="P288" s="3"/>
      <c r="Q288" s="3"/>
    </row>
    <row r="289" spans="1:17">
      <c r="A289" s="7" t="s">
        <v>85</v>
      </c>
      <c r="B289" s="8">
        <v>1.8375474863113905</v>
      </c>
      <c r="C289" s="8">
        <v>2.1167426559988707</v>
      </c>
      <c r="D289" s="8">
        <v>1.2367606559382516E-2</v>
      </c>
      <c r="E289" s="7">
        <v>0</v>
      </c>
      <c r="F289" s="7">
        <v>-1.4990516053215155E-2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>
        <v>3.9286665969332351</v>
      </c>
      <c r="M289">
        <v>0</v>
      </c>
      <c r="N289" s="9"/>
      <c r="O289" s="3">
        <f>L289-M289</f>
        <v>3.9286665969332351</v>
      </c>
      <c r="P289" s="3"/>
      <c r="Q289" s="3"/>
    </row>
    <row r="290" spans="1:17">
      <c r="A290" s="7"/>
      <c r="B290" s="8">
        <v>1.2284177840385118</v>
      </c>
      <c r="C290" s="8">
        <v>2.3993580133895418</v>
      </c>
      <c r="D290" s="8">
        <v>-0.6756623603325641</v>
      </c>
      <c r="E290" s="7">
        <v>0</v>
      </c>
      <c r="F290" s="7">
        <v>0</v>
      </c>
      <c r="G290" s="7">
        <v>-1.4990516053215155E-2</v>
      </c>
      <c r="H290" s="7">
        <v>0</v>
      </c>
      <c r="I290" s="7">
        <v>0</v>
      </c>
      <c r="J290" s="7">
        <v>0</v>
      </c>
      <c r="K290" s="7">
        <v>0</v>
      </c>
      <c r="L290">
        <v>3.8612243768644339</v>
      </c>
      <c r="M290">
        <v>0</v>
      </c>
      <c r="N290" s="9"/>
      <c r="O290" s="3">
        <f>L290-M290</f>
        <v>3.8612243768644339</v>
      </c>
      <c r="P290" s="3"/>
      <c r="Q290" s="3"/>
    </row>
    <row r="291" spans="1:17">
      <c r="A291" s="7"/>
      <c r="B291" s="8"/>
      <c r="C291" s="8"/>
      <c r="D291" s="8"/>
      <c r="E291" s="7"/>
      <c r="F291" s="7"/>
      <c r="G291" s="7"/>
      <c r="H291" s="7"/>
      <c r="I291" s="7"/>
      <c r="J291" s="7"/>
      <c r="K291" s="7"/>
      <c r="N291" s="10"/>
      <c r="O291" s="3"/>
      <c r="P291" s="3"/>
      <c r="Q291" s="3"/>
    </row>
    <row r="292" spans="1:17">
      <c r="A292" s="7"/>
      <c r="B292" s="8">
        <v>-1.0419123890112216</v>
      </c>
      <c r="C292" s="8">
        <v>4.0818532431212473E-2</v>
      </c>
      <c r="D292" s="8">
        <v>-0.77248383184656022</v>
      </c>
      <c r="E292" s="7">
        <v>-1.4990516053215155E-2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>
        <v>0.8419894247146269</v>
      </c>
      <c r="M292">
        <v>0</v>
      </c>
      <c r="N292" s="9"/>
      <c r="O292" s="3">
        <f>L292-M292</f>
        <v>0.8419894247146269</v>
      </c>
      <c r="P292" s="3"/>
      <c r="Q292" s="3"/>
    </row>
    <row r="293" spans="1:17">
      <c r="A293" s="7" t="s">
        <v>86</v>
      </c>
      <c r="B293" s="8">
        <v>-2.2957880185781296</v>
      </c>
      <c r="C293" s="8">
        <v>8.2263663034425338E-3</v>
      </c>
      <c r="D293" s="8">
        <v>-3.3137218009327896E-2</v>
      </c>
      <c r="E293" s="7">
        <v>0</v>
      </c>
      <c r="F293" s="7">
        <v>-1.4990516053215155E-2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>
        <v>2.6359041872834252</v>
      </c>
      <c r="M293">
        <v>0</v>
      </c>
      <c r="N293" s="9"/>
      <c r="O293" s="3">
        <f>L293-M293</f>
        <v>2.6359041872834252</v>
      </c>
    </row>
    <row r="294" spans="1:17">
      <c r="A294" s="7"/>
      <c r="B294" s="8">
        <v>-2.44475956514645</v>
      </c>
      <c r="C294" s="8">
        <v>0.85548399177677847</v>
      </c>
      <c r="D294" s="8">
        <v>-5.2896656816179721E-2</v>
      </c>
      <c r="E294" s="7">
        <v>0</v>
      </c>
      <c r="F294" s="7">
        <v>0</v>
      </c>
      <c r="G294" s="7">
        <v>-1.4990516053215155E-2</v>
      </c>
      <c r="H294" s="7">
        <v>0</v>
      </c>
      <c r="I294" s="7">
        <v>0</v>
      </c>
      <c r="J294" s="7">
        <v>0</v>
      </c>
      <c r="K294" s="7">
        <v>0</v>
      </c>
      <c r="L294">
        <v>3.3557501239318595</v>
      </c>
      <c r="M294">
        <v>0</v>
      </c>
      <c r="N294" s="9"/>
      <c r="O294" s="3">
        <f>L294-M294</f>
        <v>3.3557501239318595</v>
      </c>
    </row>
    <row r="295" spans="1:17">
      <c r="A295" s="7"/>
      <c r="B295" s="8"/>
      <c r="C295" s="8"/>
      <c r="D295" s="8"/>
      <c r="E295" s="7"/>
      <c r="F295" s="7"/>
      <c r="G295" s="7"/>
      <c r="H295" s="7"/>
      <c r="I295" s="7"/>
      <c r="J295" s="7"/>
      <c r="K295" s="7"/>
      <c r="N295" s="10"/>
      <c r="O295" s="3"/>
    </row>
    <row r="296" spans="1:17">
      <c r="A296" s="7"/>
      <c r="B296" s="8">
        <v>-1.0419123890112216</v>
      </c>
      <c r="C296" s="8">
        <v>4.0818532431212473E-2</v>
      </c>
      <c r="D296" s="8">
        <v>-0.77248383184656022</v>
      </c>
      <c r="E296" s="7">
        <v>-1.4990516053215155E-2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>
        <v>0.8419894247146269</v>
      </c>
      <c r="M296">
        <v>0</v>
      </c>
      <c r="N296" s="9"/>
      <c r="O296" s="3">
        <f>L296-M296</f>
        <v>0.8419894247146269</v>
      </c>
    </row>
    <row r="297" spans="1:17">
      <c r="A297" s="7" t="s">
        <v>87</v>
      </c>
      <c r="B297" s="8">
        <v>-2.2957880185781296</v>
      </c>
      <c r="C297" s="8">
        <v>8.2263663034425338E-3</v>
      </c>
      <c r="D297" s="8">
        <v>-3.3137218009327896E-2</v>
      </c>
      <c r="E297" s="7">
        <v>0</v>
      </c>
      <c r="F297" s="7">
        <v>-1.4990516053215155E-2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>
        <v>2.6359041872834252</v>
      </c>
      <c r="M297">
        <v>0</v>
      </c>
      <c r="N297" s="9"/>
      <c r="O297" s="3">
        <f>L297-M297</f>
        <v>2.6359041872834252</v>
      </c>
    </row>
    <row r="298" spans="1:17">
      <c r="A298" s="7"/>
      <c r="B298" s="8">
        <v>0.40019020491700363</v>
      </c>
      <c r="C298" s="8">
        <v>1.0840062473010013</v>
      </c>
      <c r="D298" s="8">
        <v>1.6840506224230944E-2</v>
      </c>
      <c r="E298" s="7">
        <v>0</v>
      </c>
      <c r="F298" s="7">
        <v>0</v>
      </c>
      <c r="G298" s="7">
        <v>-1.4990516053215155E-2</v>
      </c>
      <c r="H298" s="7">
        <v>0</v>
      </c>
      <c r="I298" s="7">
        <v>0</v>
      </c>
      <c r="J298" s="7">
        <v>0</v>
      </c>
      <c r="K298" s="7">
        <v>0</v>
      </c>
      <c r="L298">
        <v>0.66775267347450074</v>
      </c>
      <c r="M298">
        <v>0</v>
      </c>
      <c r="N298" s="9"/>
      <c r="O298" s="3">
        <f>L298-M298</f>
        <v>0.66775267347450074</v>
      </c>
    </row>
    <row r="299" spans="1:17">
      <c r="A299" s="7"/>
      <c r="B299" s="8"/>
      <c r="C299" s="8"/>
      <c r="D299" s="8"/>
      <c r="E299" s="7"/>
      <c r="F299" s="7"/>
      <c r="G299" s="7"/>
      <c r="H299" s="7"/>
      <c r="I299" s="7"/>
      <c r="J299" s="7"/>
      <c r="K299" s="7"/>
      <c r="N299" s="10"/>
      <c r="O299" s="3"/>
    </row>
    <row r="300" spans="1:17">
      <c r="A300" s="7"/>
      <c r="B300" s="8">
        <v>-1.0419123890112216</v>
      </c>
      <c r="C300" s="8">
        <v>4.0818532431212473E-2</v>
      </c>
      <c r="D300" s="8">
        <v>-0.77248383184656022</v>
      </c>
      <c r="E300" s="7">
        <v>-1.4990516053215155E-2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>
        <v>0.8419894247146269</v>
      </c>
      <c r="M300">
        <v>0</v>
      </c>
      <c r="N300" s="9"/>
      <c r="O300" s="3">
        <f>L300-M300</f>
        <v>0.8419894247146269</v>
      </c>
    </row>
    <row r="301" spans="1:17">
      <c r="A301" s="7" t="s">
        <v>88</v>
      </c>
      <c r="B301" s="8">
        <v>-2.2957880185781296</v>
      </c>
      <c r="C301" s="8">
        <v>8.2263663034425338E-3</v>
      </c>
      <c r="D301" s="8">
        <v>-3.3137218009327896E-2</v>
      </c>
      <c r="E301" s="7">
        <v>0</v>
      </c>
      <c r="F301" s="7">
        <v>-1.4990516053215155E-2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>
        <v>2.6359041872834252</v>
      </c>
      <c r="M301">
        <v>0</v>
      </c>
      <c r="N301" s="9"/>
      <c r="O301" s="3">
        <f>L301-M301</f>
        <v>2.6359041872834252</v>
      </c>
    </row>
    <row r="302" spans="1:17">
      <c r="A302" s="7"/>
      <c r="B302" s="8">
        <v>-2.0770709056556562</v>
      </c>
      <c r="C302" s="8">
        <v>2.1445635165533226</v>
      </c>
      <c r="D302" s="8">
        <v>5.6653180844775664E-2</v>
      </c>
      <c r="E302" s="7">
        <v>0</v>
      </c>
      <c r="F302" s="7">
        <v>0</v>
      </c>
      <c r="G302" s="7">
        <v>-1.4990516053215155E-2</v>
      </c>
      <c r="H302" s="7">
        <v>0</v>
      </c>
      <c r="I302" s="7">
        <v>0</v>
      </c>
      <c r="J302" s="7">
        <v>0</v>
      </c>
      <c r="K302" s="7">
        <v>0</v>
      </c>
      <c r="L302">
        <v>4.4582929032762966</v>
      </c>
      <c r="M302">
        <v>0</v>
      </c>
      <c r="N302" s="9"/>
      <c r="O302" s="3">
        <f>L302-M302</f>
        <v>4.4582929032762966</v>
      </c>
    </row>
    <row r="303" spans="1:17">
      <c r="A303" s="7"/>
      <c r="B303" s="8"/>
      <c r="C303" s="8"/>
      <c r="D303" s="8"/>
      <c r="E303" s="7"/>
      <c r="F303" s="7"/>
      <c r="G303" s="7"/>
      <c r="H303" s="7"/>
      <c r="I303" s="7"/>
      <c r="J303" s="7"/>
      <c r="K303" s="7"/>
      <c r="N303" s="10"/>
      <c r="O303" s="3"/>
    </row>
    <row r="304" spans="1:17">
      <c r="A304" s="7"/>
      <c r="B304" s="8">
        <v>-1.0419123890112216</v>
      </c>
      <c r="C304" s="8">
        <v>4.0818532431212473E-2</v>
      </c>
      <c r="D304" s="8">
        <v>-0.77248383184656022</v>
      </c>
      <c r="E304" s="7">
        <v>-1.4990516053215155E-2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>
        <v>0.8419894247146269</v>
      </c>
      <c r="M304">
        <v>0</v>
      </c>
      <c r="N304" s="9"/>
      <c r="O304" s="3">
        <f>L304-M304</f>
        <v>0.8419894247146269</v>
      </c>
    </row>
    <row r="305" spans="1:20">
      <c r="A305" s="7" t="s">
        <v>89</v>
      </c>
      <c r="B305" s="8">
        <v>-2.2957880185781296</v>
      </c>
      <c r="C305" s="8">
        <v>8.2263663034425338E-3</v>
      </c>
      <c r="D305" s="8">
        <v>-3.3137218009327896E-2</v>
      </c>
      <c r="E305" s="7">
        <v>0</v>
      </c>
      <c r="F305" s="7">
        <v>-1.4990516053215155E-2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>
        <v>2.6359041872834252</v>
      </c>
      <c r="M305">
        <v>0</v>
      </c>
      <c r="N305" s="9"/>
      <c r="O305" s="3">
        <f>L305-M305</f>
        <v>2.6359041872834252</v>
      </c>
    </row>
    <row r="306" spans="1:20">
      <c r="A306" s="7"/>
      <c r="B306" s="8">
        <v>-0.45824053226673911</v>
      </c>
      <c r="C306" s="8">
        <v>2.124969022302313</v>
      </c>
      <c r="D306" s="8">
        <v>-2.076961144994538E-2</v>
      </c>
      <c r="E306" s="7">
        <v>0</v>
      </c>
      <c r="F306" s="7">
        <v>0</v>
      </c>
      <c r="G306" s="7">
        <v>-1.4990516053215155E-2</v>
      </c>
      <c r="H306" s="7">
        <v>0</v>
      </c>
      <c r="I306" s="7">
        <v>0</v>
      </c>
      <c r="J306" s="7">
        <v>0</v>
      </c>
      <c r="K306" s="7">
        <v>0</v>
      </c>
      <c r="L306">
        <v>2.3629545539581671</v>
      </c>
      <c r="M306">
        <v>0</v>
      </c>
      <c r="N306" s="9"/>
      <c r="O306" s="3">
        <f>L306-M306</f>
        <v>2.3629545539581671</v>
      </c>
    </row>
    <row r="307" spans="1:20">
      <c r="A307" s="7"/>
      <c r="B307" s="8"/>
      <c r="C307" s="8"/>
      <c r="D307" s="8"/>
      <c r="E307" s="7"/>
      <c r="F307" s="7"/>
      <c r="G307" s="7"/>
      <c r="H307" s="7"/>
      <c r="I307" s="7"/>
      <c r="J307" s="7"/>
      <c r="K307" s="7"/>
      <c r="N307" s="10"/>
      <c r="O307" s="3"/>
    </row>
    <row r="308" spans="1:20">
      <c r="A308" s="7"/>
      <c r="B308" s="8">
        <v>-1.0419123890112216</v>
      </c>
      <c r="C308" s="8">
        <v>4.0818532431212473E-2</v>
      </c>
      <c r="D308" s="8">
        <v>-0.77248383184656022</v>
      </c>
      <c r="E308" s="7">
        <v>-1.4990516053215155E-2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>
        <v>0.8419894247146269</v>
      </c>
      <c r="M308">
        <v>0</v>
      </c>
      <c r="N308" s="9"/>
      <c r="O308" s="3">
        <f>L308-M308</f>
        <v>0.8419894247146269</v>
      </c>
    </row>
    <row r="309" spans="1:20">
      <c r="A309" s="7" t="s">
        <v>90</v>
      </c>
      <c r="B309" s="8">
        <v>-2.2957880185781296</v>
      </c>
      <c r="C309" s="8">
        <v>8.2263663034425338E-3</v>
      </c>
      <c r="D309" s="8">
        <v>-3.3137218009327896E-2</v>
      </c>
      <c r="E309" s="7">
        <v>0</v>
      </c>
      <c r="F309" s="7">
        <v>-1.4990516053215155E-2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>
        <v>2.6359041872834252</v>
      </c>
      <c r="M309">
        <v>0</v>
      </c>
      <c r="N309" s="9"/>
      <c r="O309" s="3">
        <f>L309-M309</f>
        <v>2.6359041872834252</v>
      </c>
      <c r="T309" s="3"/>
    </row>
    <row r="310" spans="1:20">
      <c r="A310" s="7"/>
      <c r="B310" s="8">
        <v>-1.0673702345396179</v>
      </c>
      <c r="C310" s="8">
        <v>2.4075843796929846</v>
      </c>
      <c r="D310" s="8">
        <v>-0.708799578341892</v>
      </c>
      <c r="E310" s="7">
        <v>0</v>
      </c>
      <c r="F310" s="7">
        <v>0</v>
      </c>
      <c r="G310" s="7">
        <v>-1.4990516053215155E-2</v>
      </c>
      <c r="H310" s="7">
        <v>0</v>
      </c>
      <c r="I310" s="7">
        <v>0</v>
      </c>
      <c r="J310" s="7">
        <v>0</v>
      </c>
      <c r="K310" s="7">
        <v>0</v>
      </c>
      <c r="L310">
        <v>3.7190693025902282</v>
      </c>
      <c r="M310">
        <v>0</v>
      </c>
      <c r="N310" s="9"/>
      <c r="O310" s="3">
        <f>L310-M310</f>
        <v>3.7190693025902282</v>
      </c>
      <c r="T310" s="3"/>
    </row>
    <row r="311" spans="1:20">
      <c r="A311" s="7"/>
      <c r="B311" s="8"/>
      <c r="C311" s="8"/>
      <c r="D311" s="8"/>
      <c r="E311" s="7"/>
      <c r="F311" s="7"/>
      <c r="G311" s="7"/>
      <c r="H311" s="7"/>
      <c r="I311" s="7"/>
      <c r="J311" s="7"/>
      <c r="K311" s="7"/>
      <c r="N311" s="10"/>
      <c r="O311" s="3"/>
      <c r="T311" s="3"/>
    </row>
    <row r="312" spans="1:20">
      <c r="A312" s="7"/>
      <c r="B312" s="8">
        <v>-1.0419123890112216</v>
      </c>
      <c r="C312" s="8">
        <v>4.0818532431212473E-2</v>
      </c>
      <c r="D312" s="8">
        <v>-0.77248383184656022</v>
      </c>
      <c r="E312" s="7">
        <v>-1.4990516053215155E-2</v>
      </c>
      <c r="F312" s="7">
        <v>0</v>
      </c>
      <c r="G312" s="7">
        <v>0</v>
      </c>
      <c r="H312" s="7">
        <v>-2.2872089329671663E-2</v>
      </c>
      <c r="I312" s="7">
        <v>2.1796664656245589E-2</v>
      </c>
      <c r="J312" s="7">
        <v>0</v>
      </c>
      <c r="K312" s="7">
        <v>0</v>
      </c>
      <c r="L312">
        <v>0.8419894247146269</v>
      </c>
      <c r="M312">
        <v>8.0144021691332665E-4</v>
      </c>
      <c r="N312" s="9"/>
      <c r="O312" s="3">
        <f>L312-M312</f>
        <v>0.84118798449771359</v>
      </c>
      <c r="T312" s="3"/>
    </row>
    <row r="313" spans="1:20">
      <c r="A313" s="7" t="s">
        <v>91</v>
      </c>
      <c r="B313" s="8">
        <v>-2.44475956514645</v>
      </c>
      <c r="C313" s="8">
        <v>0.85548399177677847</v>
      </c>
      <c r="D313" s="8">
        <v>-5.2896656816179721E-2</v>
      </c>
      <c r="E313" s="7">
        <v>0</v>
      </c>
      <c r="F313" s="7">
        <v>-1.4990516053215155E-2</v>
      </c>
      <c r="G313" s="7">
        <v>0</v>
      </c>
      <c r="H313" s="7">
        <v>-2.2872089329671663E-2</v>
      </c>
      <c r="I313" s="7">
        <v>0</v>
      </c>
      <c r="J313" s="7">
        <v>2.2385887789414392E-2</v>
      </c>
      <c r="K313" s="7">
        <v>0</v>
      </c>
      <c r="L313">
        <v>3.3557501239318595</v>
      </c>
      <c r="M313">
        <v>3.6711215682891076E-4</v>
      </c>
      <c r="N313" s="9"/>
      <c r="O313" s="3">
        <f>L313-M313</f>
        <v>3.3553830117750305</v>
      </c>
      <c r="T313" s="3"/>
    </row>
    <row r="314" spans="1:20">
      <c r="A314" s="7"/>
      <c r="B314" s="8">
        <v>0.40019020491700363</v>
      </c>
      <c r="C314" s="8">
        <v>1.0840062473010013</v>
      </c>
      <c r="D314" s="8">
        <v>1.6840506224230944E-2</v>
      </c>
      <c r="E314" s="7">
        <v>0</v>
      </c>
      <c r="F314" s="7">
        <v>0</v>
      </c>
      <c r="G314" s="7">
        <v>-1.4990516053215155E-2</v>
      </c>
      <c r="H314" s="7">
        <v>-2.2872089329671663E-2</v>
      </c>
      <c r="I314" s="7">
        <v>0</v>
      </c>
      <c r="J314" s="7">
        <v>0</v>
      </c>
      <c r="K314" s="7">
        <v>1.6236379226863738E-2</v>
      </c>
      <c r="L314">
        <v>0.66775267347450074</v>
      </c>
      <c r="M314">
        <v>4.3295774383228357E-3</v>
      </c>
      <c r="N314" s="9"/>
      <c r="O314" s="3">
        <f>L314-M314</f>
        <v>0.66342309603617788</v>
      </c>
      <c r="T314" s="3"/>
    </row>
    <row r="315" spans="1:20">
      <c r="A315" s="7"/>
      <c r="B315" s="8"/>
      <c r="C315" s="8"/>
      <c r="D315" s="8"/>
      <c r="E315" s="7"/>
      <c r="F315" s="7"/>
      <c r="G315" s="7"/>
      <c r="H315" s="7"/>
      <c r="I315" s="7"/>
      <c r="J315" s="7"/>
      <c r="K315" s="7"/>
      <c r="N315" s="10"/>
      <c r="O315" s="3"/>
      <c r="T315" s="3"/>
    </row>
    <row r="316" spans="1:20">
      <c r="A316" s="7"/>
      <c r="B316" s="8">
        <v>-1.0419123890112216</v>
      </c>
      <c r="C316" s="8">
        <v>4.0818532431212473E-2</v>
      </c>
      <c r="D316" s="8">
        <v>-0.77248383184656022</v>
      </c>
      <c r="E316" s="7">
        <v>-1.4990516053215155E-2</v>
      </c>
      <c r="F316" s="7">
        <v>0</v>
      </c>
      <c r="G316" s="7">
        <v>0</v>
      </c>
      <c r="H316" s="7">
        <v>-2.2872089329671663E-2</v>
      </c>
      <c r="I316" s="7">
        <v>2.1796664656245589E-2</v>
      </c>
      <c r="J316" s="7">
        <v>0</v>
      </c>
      <c r="K316" s="7">
        <v>0</v>
      </c>
      <c r="L316">
        <v>0.8419894247146269</v>
      </c>
      <c r="M316">
        <v>8.0144021691332665E-4</v>
      </c>
      <c r="N316" s="9"/>
      <c r="O316" s="3">
        <f>L316-M316</f>
        <v>0.84118798449771359</v>
      </c>
      <c r="T316" s="3"/>
    </row>
    <row r="317" spans="1:20">
      <c r="A317" s="7" t="s">
        <v>92</v>
      </c>
      <c r="B317" s="8">
        <v>-2.44475956514645</v>
      </c>
      <c r="C317" s="8">
        <v>0.85548399177677847</v>
      </c>
      <c r="D317" s="8">
        <v>-5.2896656816179721E-2</v>
      </c>
      <c r="E317" s="7">
        <v>0</v>
      </c>
      <c r="F317" s="7">
        <v>-1.4990516053215155E-2</v>
      </c>
      <c r="G317" s="7">
        <v>0</v>
      </c>
      <c r="H317" s="7">
        <v>-2.2872089329671663E-2</v>
      </c>
      <c r="I317" s="7">
        <v>0</v>
      </c>
      <c r="J317" s="7">
        <v>2.2385887789414392E-2</v>
      </c>
      <c r="K317" s="7">
        <v>0</v>
      </c>
      <c r="L317">
        <v>3.3557501239318595</v>
      </c>
      <c r="M317">
        <v>3.6711215682891076E-4</v>
      </c>
      <c r="N317" s="9"/>
      <c r="O317" s="3">
        <f>L317-M317</f>
        <v>3.3553830117750305</v>
      </c>
      <c r="T317" s="3"/>
    </row>
    <row r="318" spans="1:20">
      <c r="A318" s="7"/>
      <c r="B318" s="8">
        <v>-2.0770709056556562</v>
      </c>
      <c r="C318" s="8">
        <v>2.1445635165533226</v>
      </c>
      <c r="D318" s="8">
        <v>5.6653180844775664E-2</v>
      </c>
      <c r="E318" s="7">
        <v>0</v>
      </c>
      <c r="F318" s="7">
        <v>0</v>
      </c>
      <c r="G318" s="7">
        <v>-1.4990516053215155E-2</v>
      </c>
      <c r="H318" s="7">
        <v>-2.2872089329671663E-2</v>
      </c>
      <c r="I318" s="7">
        <v>0</v>
      </c>
      <c r="J318" s="7">
        <v>0</v>
      </c>
      <c r="K318" s="7">
        <v>1.5970575730977998E-2</v>
      </c>
      <c r="L318">
        <v>4.4582929032762966</v>
      </c>
      <c r="M318">
        <v>4.4724002741192721E-3</v>
      </c>
      <c r="N318" s="9"/>
      <c r="O318" s="3">
        <f>L318-M318</f>
        <v>4.4538205030021771</v>
      </c>
      <c r="T318" s="3"/>
    </row>
    <row r="319" spans="1:20">
      <c r="A319" s="7"/>
      <c r="B319" s="8"/>
      <c r="C319" s="8"/>
      <c r="D319" s="8"/>
      <c r="E319" s="7"/>
      <c r="F319" s="7"/>
      <c r="G319" s="7"/>
      <c r="H319" s="7"/>
      <c r="I319" s="7"/>
      <c r="J319" s="7"/>
      <c r="K319" s="7"/>
      <c r="N319" s="10"/>
      <c r="O319" s="3"/>
      <c r="T319" s="3"/>
    </row>
    <row r="320" spans="1:20">
      <c r="A320" s="7"/>
      <c r="B320" s="8">
        <v>-1.0419123890112216</v>
      </c>
      <c r="C320" s="8">
        <v>4.0818532431212473E-2</v>
      </c>
      <c r="D320" s="8">
        <v>-0.77248383184656022</v>
      </c>
      <c r="E320" s="7">
        <v>-1.4990516053215155E-2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>
        <v>0.8419894247146269</v>
      </c>
      <c r="M320">
        <v>0</v>
      </c>
      <c r="N320" s="9"/>
      <c r="O320" s="3">
        <f>L320-M320</f>
        <v>0.8419894247146269</v>
      </c>
      <c r="T320" s="3"/>
    </row>
    <row r="321" spans="1:20">
      <c r="A321" s="7" t="s">
        <v>93</v>
      </c>
      <c r="B321" s="8">
        <v>-2.44475956514645</v>
      </c>
      <c r="C321" s="8">
        <v>0.85548399177677847</v>
      </c>
      <c r="D321" s="8">
        <v>-5.2896656816179721E-2</v>
      </c>
      <c r="E321" s="7">
        <v>0</v>
      </c>
      <c r="F321" s="7">
        <v>-1.4990516053215155E-2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>
        <v>3.3557501239318595</v>
      </c>
      <c r="M321">
        <v>0</v>
      </c>
      <c r="N321" s="9"/>
      <c r="O321" s="3">
        <f>L321-M321</f>
        <v>3.3557501239318595</v>
      </c>
      <c r="T321" s="3"/>
    </row>
    <row r="322" spans="1:20">
      <c r="A322" s="7"/>
      <c r="B322" s="8">
        <v>-0.45824053226673911</v>
      </c>
      <c r="C322" s="8">
        <v>2.124969022302313</v>
      </c>
      <c r="D322" s="8">
        <v>-2.076961144994538E-2</v>
      </c>
      <c r="E322" s="7">
        <v>0</v>
      </c>
      <c r="F322" s="7">
        <v>0</v>
      </c>
      <c r="G322" s="7">
        <v>-1.4990516053215155E-2</v>
      </c>
      <c r="H322" s="7">
        <v>0</v>
      </c>
      <c r="I322" s="7">
        <v>0</v>
      </c>
      <c r="J322" s="7">
        <v>0</v>
      </c>
      <c r="K322" s="7">
        <v>0</v>
      </c>
      <c r="L322">
        <v>2.3629545539581671</v>
      </c>
      <c r="M322">
        <v>0</v>
      </c>
      <c r="N322" s="9"/>
      <c r="O322" s="3">
        <f>L322-M322</f>
        <v>2.3629545539581671</v>
      </c>
      <c r="T322" s="3"/>
    </row>
    <row r="323" spans="1:20">
      <c r="A323" s="7"/>
      <c r="B323" s="8"/>
      <c r="C323" s="8"/>
      <c r="D323" s="8"/>
      <c r="E323" s="7"/>
      <c r="F323" s="7"/>
      <c r="G323" s="7"/>
      <c r="H323" s="7"/>
      <c r="I323" s="7"/>
      <c r="J323" s="7"/>
      <c r="K323" s="7"/>
      <c r="N323" s="10"/>
      <c r="O323" s="3"/>
      <c r="T323" s="3"/>
    </row>
    <row r="324" spans="1:20">
      <c r="A324" s="7"/>
      <c r="B324" s="8">
        <v>-1.0419123890112216</v>
      </c>
      <c r="C324" s="8">
        <v>4.0818532431212473E-2</v>
      </c>
      <c r="D324" s="8">
        <v>-0.77248383184656022</v>
      </c>
      <c r="E324" s="7">
        <v>-1.4990516053215155E-2</v>
      </c>
      <c r="F324" s="7">
        <v>0</v>
      </c>
      <c r="G324" s="7">
        <v>0</v>
      </c>
      <c r="H324" s="7">
        <v>-2.2872089329671663E-2</v>
      </c>
      <c r="I324" s="7">
        <v>2.1796664656245589E-2</v>
      </c>
      <c r="J324" s="7">
        <v>0</v>
      </c>
      <c r="K324" s="7">
        <v>0</v>
      </c>
      <c r="L324">
        <v>0.8419894247146269</v>
      </c>
      <c r="M324">
        <v>8.0144021691332665E-4</v>
      </c>
      <c r="N324" s="9"/>
      <c r="O324" s="3">
        <f>L324-M324</f>
        <v>0.84118798449771359</v>
      </c>
      <c r="T324" s="3"/>
    </row>
    <row r="325" spans="1:20">
      <c r="A325" s="7" t="s">
        <v>94</v>
      </c>
      <c r="B325" s="8">
        <v>-2.44475956514645</v>
      </c>
      <c r="C325" s="8">
        <v>0.85548399177677847</v>
      </c>
      <c r="D325" s="8">
        <v>-5.2896656816179721E-2</v>
      </c>
      <c r="E325" s="7">
        <v>0</v>
      </c>
      <c r="F325" s="7">
        <v>-1.4990516053215155E-2</v>
      </c>
      <c r="G325" s="7">
        <v>0</v>
      </c>
      <c r="H325" s="7">
        <v>-2.2872089329671663E-2</v>
      </c>
      <c r="I325" s="7">
        <v>0</v>
      </c>
      <c r="J325" s="7">
        <v>2.2385887789414392E-2</v>
      </c>
      <c r="K325" s="7">
        <v>0</v>
      </c>
      <c r="L325">
        <v>3.3557501239318595</v>
      </c>
      <c r="M325">
        <v>3.6711215682891076E-4</v>
      </c>
      <c r="N325" s="9"/>
      <c r="O325" s="3">
        <f>L325-M325</f>
        <v>3.3553830117750305</v>
      </c>
      <c r="T325" s="3"/>
    </row>
    <row r="326" spans="1:20">
      <c r="A326" s="7"/>
      <c r="B326" s="8">
        <v>-1.0673702345396179</v>
      </c>
      <c r="C326" s="8">
        <v>2.4075843796929846</v>
      </c>
      <c r="D326" s="8">
        <v>-0.708799578341892</v>
      </c>
      <c r="E326" s="7">
        <v>0</v>
      </c>
      <c r="F326" s="7">
        <v>0</v>
      </c>
      <c r="G326" s="7">
        <v>-1.4990516053215155E-2</v>
      </c>
      <c r="H326" s="7">
        <v>-2.2872089329671663E-2</v>
      </c>
      <c r="I326" s="7">
        <v>0</v>
      </c>
      <c r="J326" s="7">
        <v>0</v>
      </c>
      <c r="K326" s="7">
        <v>2.0521745021313972E-2</v>
      </c>
      <c r="L326">
        <v>3.7190693025902282</v>
      </c>
      <c r="M326">
        <v>1.7015582152214068E-3</v>
      </c>
      <c r="N326" s="9"/>
      <c r="O326" s="3">
        <f>L326-M326</f>
        <v>3.7173677443750068</v>
      </c>
      <c r="T326" s="3"/>
    </row>
    <row r="327" spans="1:20">
      <c r="A327" s="7"/>
      <c r="B327" s="8"/>
      <c r="C327" s="8"/>
      <c r="D327" s="8"/>
      <c r="E327" s="7"/>
      <c r="F327" s="7"/>
      <c r="G327" s="7"/>
      <c r="H327" s="7"/>
      <c r="I327" s="7"/>
      <c r="J327" s="7"/>
      <c r="K327" s="7"/>
      <c r="N327" s="10"/>
      <c r="O327" s="3"/>
      <c r="T327" s="3"/>
    </row>
    <row r="328" spans="1:20">
      <c r="A328" s="7"/>
      <c r="B328" s="8">
        <v>-1.0419123890112216</v>
      </c>
      <c r="C328" s="8">
        <v>4.0818532431212473E-2</v>
      </c>
      <c r="D328" s="8">
        <v>-0.77248383184656022</v>
      </c>
      <c r="E328" s="7">
        <v>-1.4990516053215155E-2</v>
      </c>
      <c r="F328" s="7">
        <v>0</v>
      </c>
      <c r="G328" s="7">
        <v>0</v>
      </c>
      <c r="H328" s="7">
        <v>-2.2872089329671663E-2</v>
      </c>
      <c r="I328" s="7">
        <v>2.1796664656245589E-2</v>
      </c>
      <c r="J328" s="7">
        <v>0</v>
      </c>
      <c r="K328" s="7">
        <v>0</v>
      </c>
      <c r="L328">
        <v>0.8419894247146269</v>
      </c>
      <c r="M328">
        <v>8.0144021691332665E-4</v>
      </c>
      <c r="N328" s="9"/>
      <c r="O328" s="3">
        <f>L328-M328</f>
        <v>0.84118798449771359</v>
      </c>
      <c r="T328" s="3"/>
    </row>
    <row r="329" spans="1:20">
      <c r="A329" s="7" t="s">
        <v>95</v>
      </c>
      <c r="B329" s="8">
        <v>0.40019020491700363</v>
      </c>
      <c r="C329" s="8">
        <v>1.0840062473010013</v>
      </c>
      <c r="D329" s="8">
        <v>1.6840506224230944E-2</v>
      </c>
      <c r="E329" s="7">
        <v>0</v>
      </c>
      <c r="F329" s="7">
        <v>-1.4990516053215155E-2</v>
      </c>
      <c r="G329" s="7">
        <v>0</v>
      </c>
      <c r="H329" s="7">
        <v>-2.2872089329671663E-2</v>
      </c>
      <c r="I329" s="7">
        <v>0</v>
      </c>
      <c r="J329" s="7">
        <v>1.6236379226863738E-2</v>
      </c>
      <c r="K329" s="7">
        <v>0</v>
      </c>
      <c r="L329">
        <v>0.66775267347450074</v>
      </c>
      <c r="M329">
        <v>4.3295774383228357E-3</v>
      </c>
      <c r="N329" s="9"/>
      <c r="O329" s="3">
        <f>L329-M329</f>
        <v>0.66342309603617788</v>
      </c>
      <c r="T329" s="3"/>
    </row>
    <row r="330" spans="1:20">
      <c r="A330" s="7"/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0</v>
      </c>
      <c r="G330" s="7">
        <v>-1.4990516053215155E-2</v>
      </c>
      <c r="H330" s="7">
        <v>-2.2872089329671663E-2</v>
      </c>
      <c r="I330" s="7">
        <v>0</v>
      </c>
      <c r="J330" s="7">
        <v>0</v>
      </c>
      <c r="K330" s="7">
        <v>1.5970575730977998E-2</v>
      </c>
      <c r="L330">
        <v>4.4582929032762966</v>
      </c>
      <c r="M330">
        <v>4.4724002741192721E-3</v>
      </c>
      <c r="N330" s="9"/>
      <c r="O330" s="3">
        <f>L330-M330</f>
        <v>4.4538205030021771</v>
      </c>
      <c r="T330" s="3"/>
    </row>
    <row r="331" spans="1:20">
      <c r="A331" s="7"/>
      <c r="B331" s="8"/>
      <c r="C331" s="8"/>
      <c r="D331" s="8"/>
      <c r="E331" s="7"/>
      <c r="F331" s="7"/>
      <c r="G331" s="7"/>
      <c r="H331" s="7"/>
      <c r="I331" s="7"/>
      <c r="J331" s="7"/>
      <c r="K331" s="7"/>
      <c r="N331" s="10"/>
      <c r="O331" s="3"/>
      <c r="T331" s="3"/>
    </row>
    <row r="332" spans="1:20">
      <c r="A332" s="7"/>
      <c r="B332" s="8">
        <v>-1.0419123890112216</v>
      </c>
      <c r="C332" s="8">
        <v>4.0818532431212473E-2</v>
      </c>
      <c r="D332" s="8">
        <v>-0.77248383184656022</v>
      </c>
      <c r="E332" s="7">
        <v>-1.4990516053215155E-2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>
        <v>0.8419894247146269</v>
      </c>
      <c r="M332">
        <v>0</v>
      </c>
      <c r="N332" s="9"/>
      <c r="O332" s="3">
        <f>L332-M332</f>
        <v>0.8419894247146269</v>
      </c>
      <c r="T332" s="3"/>
    </row>
    <row r="333" spans="1:20">
      <c r="A333" s="7" t="s">
        <v>96</v>
      </c>
      <c r="B333" s="8">
        <v>0.40019020491700363</v>
      </c>
      <c r="C333" s="8">
        <v>1.0840062473010013</v>
      </c>
      <c r="D333" s="8">
        <v>1.6840506224230944E-2</v>
      </c>
      <c r="E333" s="7">
        <v>0</v>
      </c>
      <c r="F333" s="7">
        <v>-1.4990516053215155E-2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>
        <v>0.66775267347450074</v>
      </c>
      <c r="M333">
        <v>0</v>
      </c>
      <c r="N333" s="9"/>
      <c r="O333" s="3">
        <f>L333-M333</f>
        <v>0.66775267347450074</v>
      </c>
      <c r="T333" s="3"/>
    </row>
    <row r="334" spans="1:20">
      <c r="A334" s="7"/>
      <c r="B334" s="8">
        <v>-0.45824053226673911</v>
      </c>
      <c r="C334" s="8">
        <v>2.124969022302313</v>
      </c>
      <c r="D334" s="8">
        <v>-2.076961144994538E-2</v>
      </c>
      <c r="E334" s="7">
        <v>0</v>
      </c>
      <c r="F334" s="7">
        <v>0</v>
      </c>
      <c r="G334" s="7">
        <v>-1.4990516053215155E-2</v>
      </c>
      <c r="H334" s="7">
        <v>0</v>
      </c>
      <c r="I334" s="7">
        <v>0</v>
      </c>
      <c r="J334" s="7">
        <v>0</v>
      </c>
      <c r="K334" s="7">
        <v>0</v>
      </c>
      <c r="L334">
        <v>2.3629545539581671</v>
      </c>
      <c r="M334">
        <v>0</v>
      </c>
      <c r="N334" s="9"/>
      <c r="O334" s="3">
        <f>L334-M334</f>
        <v>2.3629545539581671</v>
      </c>
      <c r="T334" s="3"/>
    </row>
    <row r="335" spans="1:20">
      <c r="A335" s="7"/>
      <c r="B335" s="8"/>
      <c r="C335" s="8"/>
      <c r="D335" s="8"/>
      <c r="E335" s="7"/>
      <c r="F335" s="7"/>
      <c r="G335" s="7"/>
      <c r="H335" s="7"/>
      <c r="I335" s="7"/>
      <c r="J335" s="7"/>
      <c r="K335" s="7"/>
      <c r="N335" s="10"/>
      <c r="O335" s="3"/>
      <c r="T335" s="3"/>
    </row>
    <row r="336" spans="1:20">
      <c r="A336" s="7"/>
      <c r="B336" s="8">
        <v>-1.0419123890112216</v>
      </c>
      <c r="C336" s="8">
        <v>4.0818532431212473E-2</v>
      </c>
      <c r="D336" s="8">
        <v>-0.77248383184656022</v>
      </c>
      <c r="E336" s="7">
        <v>-1.4990516053215155E-2</v>
      </c>
      <c r="F336" s="7">
        <v>0</v>
      </c>
      <c r="G336" s="7">
        <v>0</v>
      </c>
      <c r="H336" s="7">
        <v>-2.2872089329671663E-2</v>
      </c>
      <c r="I336" s="7">
        <v>2.1796664656245589E-2</v>
      </c>
      <c r="J336" s="7">
        <v>0</v>
      </c>
      <c r="K336" s="7">
        <v>0</v>
      </c>
      <c r="L336">
        <v>0.8419894247146269</v>
      </c>
      <c r="M336">
        <v>8.0144021691332665E-4</v>
      </c>
      <c r="N336" s="9"/>
      <c r="O336" s="3">
        <f>L336-M336</f>
        <v>0.84118798449771359</v>
      </c>
      <c r="T336" s="3"/>
    </row>
    <row r="337" spans="1:20">
      <c r="A337" s="7" t="s">
        <v>97</v>
      </c>
      <c r="B337" s="8">
        <v>0.40019020491700363</v>
      </c>
      <c r="C337" s="8">
        <v>1.0840062473010013</v>
      </c>
      <c r="D337" s="8">
        <v>1.6840506224230944E-2</v>
      </c>
      <c r="E337" s="7">
        <v>0</v>
      </c>
      <c r="F337" s="7">
        <v>-1.4990516053215155E-2</v>
      </c>
      <c r="G337" s="7">
        <v>0</v>
      </c>
      <c r="H337" s="7">
        <v>-2.2872089329671663E-2</v>
      </c>
      <c r="I337" s="7">
        <v>0</v>
      </c>
      <c r="J337" s="7">
        <v>1.6236379226863738E-2</v>
      </c>
      <c r="K337" s="7">
        <v>0</v>
      </c>
      <c r="L337">
        <v>0.66775267347450074</v>
      </c>
      <c r="M337">
        <v>4.3295774383228357E-3</v>
      </c>
      <c r="N337" s="9"/>
      <c r="O337" s="3">
        <f>L337-M337</f>
        <v>0.66342309603617788</v>
      </c>
      <c r="T337" s="3"/>
    </row>
    <row r="338" spans="1:20">
      <c r="A338" s="7"/>
      <c r="B338" s="8">
        <v>-1.0673702345396179</v>
      </c>
      <c r="C338" s="8">
        <v>2.4075843796929846</v>
      </c>
      <c r="D338" s="8">
        <v>-0.708799578341892</v>
      </c>
      <c r="E338" s="7">
        <v>0</v>
      </c>
      <c r="F338" s="7">
        <v>0</v>
      </c>
      <c r="G338" s="7">
        <v>-1.4990516053215155E-2</v>
      </c>
      <c r="H338" s="7">
        <v>-2.2872089329671663E-2</v>
      </c>
      <c r="I338" s="7">
        <v>0</v>
      </c>
      <c r="J338" s="7">
        <v>0</v>
      </c>
      <c r="K338" s="7">
        <v>2.0521745021313972E-2</v>
      </c>
      <c r="L338">
        <v>3.7190693025902282</v>
      </c>
      <c r="M338">
        <v>1.7015582152214068E-3</v>
      </c>
      <c r="N338" s="9"/>
      <c r="O338" s="3">
        <f>L338-M338</f>
        <v>3.7173677443750068</v>
      </c>
      <c r="T338" s="3"/>
    </row>
    <row r="339" spans="1:20">
      <c r="A339" s="7"/>
      <c r="B339" s="8"/>
      <c r="C339" s="8"/>
      <c r="D339" s="8"/>
      <c r="E339" s="7"/>
      <c r="F339" s="7"/>
      <c r="G339" s="7"/>
      <c r="H339" s="7"/>
      <c r="I339" s="7"/>
      <c r="J339" s="7"/>
      <c r="K339" s="7"/>
      <c r="N339" s="10"/>
      <c r="O339" s="3"/>
      <c r="T339" s="3"/>
    </row>
    <row r="340" spans="1:20">
      <c r="A340" s="7"/>
      <c r="B340" s="8">
        <v>-1.0419123890112216</v>
      </c>
      <c r="C340" s="8">
        <v>4.0818532431212473E-2</v>
      </c>
      <c r="D340" s="8">
        <v>-0.77248383184656022</v>
      </c>
      <c r="E340" s="7">
        <v>-1.4990516053215155E-2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>
        <v>0.8419894247146269</v>
      </c>
      <c r="M340">
        <v>0</v>
      </c>
      <c r="N340" s="9"/>
      <c r="O340" s="3">
        <f>L340-M340</f>
        <v>0.8419894247146269</v>
      </c>
      <c r="T340" s="3"/>
    </row>
    <row r="341" spans="1:20">
      <c r="A341" s="7" t="s">
        <v>98</v>
      </c>
      <c r="B341" s="8">
        <v>-2.0770709056556562</v>
      </c>
      <c r="C341" s="8">
        <v>2.1445635165533226</v>
      </c>
      <c r="D341" s="8">
        <v>5.6653180844775664E-2</v>
      </c>
      <c r="E341" s="7">
        <v>0</v>
      </c>
      <c r="F341" s="7">
        <v>-1.4990516053215155E-2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>
        <v>4.4582929032762966</v>
      </c>
      <c r="M341">
        <v>0</v>
      </c>
      <c r="N341" s="9"/>
      <c r="O341" s="3">
        <f>L341-M341</f>
        <v>4.4582929032762966</v>
      </c>
      <c r="T341" s="3"/>
    </row>
    <row r="342" spans="1:20">
      <c r="A342" s="7"/>
      <c r="B342" s="8">
        <v>-0.45824053226673911</v>
      </c>
      <c r="C342" s="8">
        <v>2.124969022302313</v>
      </c>
      <c r="D342" s="8">
        <v>-2.076961144994538E-2</v>
      </c>
      <c r="E342" s="7">
        <v>0</v>
      </c>
      <c r="F342" s="7">
        <v>0</v>
      </c>
      <c r="G342" s="7">
        <v>-1.4990516053215155E-2</v>
      </c>
      <c r="H342" s="7">
        <v>0</v>
      </c>
      <c r="I342" s="7">
        <v>0</v>
      </c>
      <c r="J342" s="7">
        <v>0</v>
      </c>
      <c r="K342" s="7">
        <v>0</v>
      </c>
      <c r="L342">
        <v>2.3629545539581671</v>
      </c>
      <c r="M342">
        <v>0</v>
      </c>
      <c r="N342" s="9"/>
      <c r="O342" s="3">
        <f>L342-M342</f>
        <v>2.3629545539581671</v>
      </c>
      <c r="T342" s="3"/>
    </row>
    <row r="343" spans="1:20">
      <c r="A343" s="7"/>
      <c r="B343" s="8"/>
      <c r="C343" s="8"/>
      <c r="D343" s="8"/>
      <c r="E343" s="7"/>
      <c r="F343" s="7"/>
      <c r="G343" s="7"/>
      <c r="H343" s="7"/>
      <c r="I343" s="7"/>
      <c r="J343" s="7"/>
      <c r="K343" s="7"/>
      <c r="N343" s="10"/>
      <c r="O343" s="3"/>
      <c r="T343" s="3"/>
    </row>
    <row r="344" spans="1:20">
      <c r="A344" s="7"/>
      <c r="B344" s="8">
        <v>-1.0419123890112216</v>
      </c>
      <c r="C344" s="8">
        <v>4.0818532431212473E-2</v>
      </c>
      <c r="D344" s="8">
        <v>-0.77248383184656022</v>
      </c>
      <c r="E344" s="7">
        <v>-1.4990516053215155E-2</v>
      </c>
      <c r="F344" s="7">
        <v>0</v>
      </c>
      <c r="G344" s="7">
        <v>0</v>
      </c>
      <c r="H344" s="7">
        <v>-2.2872089329671663E-2</v>
      </c>
      <c r="I344" s="7">
        <v>2.1796664656245589E-2</v>
      </c>
      <c r="J344" s="7">
        <v>0</v>
      </c>
      <c r="K344" s="7">
        <v>0</v>
      </c>
      <c r="L344">
        <v>0.8419894247146269</v>
      </c>
      <c r="M344">
        <v>8.0144021691332665E-4</v>
      </c>
      <c r="N344" s="9"/>
      <c r="O344" s="3">
        <f>L344-M344</f>
        <v>0.84118798449771359</v>
      </c>
      <c r="T344" s="3"/>
    </row>
    <row r="345" spans="1:20">
      <c r="A345" s="7" t="s">
        <v>99</v>
      </c>
      <c r="B345" s="8">
        <v>-2.0770709056556562</v>
      </c>
      <c r="C345" s="8">
        <v>2.1445635165533226</v>
      </c>
      <c r="D345" s="8">
        <v>5.6653180844775664E-2</v>
      </c>
      <c r="E345" s="7">
        <v>0</v>
      </c>
      <c r="F345" s="7">
        <v>-1.4990516053215155E-2</v>
      </c>
      <c r="G345" s="7">
        <v>0</v>
      </c>
      <c r="H345" s="7">
        <v>-2.2872089329671663E-2</v>
      </c>
      <c r="I345" s="7">
        <v>0</v>
      </c>
      <c r="J345" s="7">
        <v>1.5970575730977998E-2</v>
      </c>
      <c r="K345" s="7">
        <v>0</v>
      </c>
      <c r="L345">
        <v>4.4582929032762966</v>
      </c>
      <c r="M345">
        <v>4.4724002741192721E-3</v>
      </c>
      <c r="N345" s="9"/>
      <c r="O345" s="3">
        <f>L345-M345</f>
        <v>4.4538205030021771</v>
      </c>
      <c r="T345" s="3"/>
    </row>
    <row r="346" spans="1:20">
      <c r="A346" s="7"/>
      <c r="B346" s="8">
        <v>-1.0673702345396179</v>
      </c>
      <c r="C346" s="8">
        <v>2.4075843796929846</v>
      </c>
      <c r="D346" s="8">
        <v>-0.708799578341892</v>
      </c>
      <c r="E346" s="7">
        <v>0</v>
      </c>
      <c r="F346" s="7">
        <v>0</v>
      </c>
      <c r="G346" s="7">
        <v>-1.4990516053215155E-2</v>
      </c>
      <c r="H346" s="7">
        <v>-2.2872089329671663E-2</v>
      </c>
      <c r="I346" s="7">
        <v>0</v>
      </c>
      <c r="J346" s="7">
        <v>0</v>
      </c>
      <c r="K346" s="7">
        <v>2.0521745021313972E-2</v>
      </c>
      <c r="L346">
        <v>3.7190693025902282</v>
      </c>
      <c r="M346">
        <v>1.7015582152214068E-3</v>
      </c>
      <c r="N346" s="9"/>
      <c r="O346" s="3">
        <f>L346-M346</f>
        <v>3.7173677443750068</v>
      </c>
      <c r="T346" s="3"/>
    </row>
    <row r="347" spans="1:20">
      <c r="A347" s="7"/>
      <c r="B347" s="8"/>
      <c r="C347" s="8"/>
      <c r="D347" s="8"/>
      <c r="E347" s="7"/>
      <c r="F347" s="7"/>
      <c r="G347" s="7"/>
      <c r="H347" s="7"/>
      <c r="I347" s="7"/>
      <c r="J347" s="7"/>
      <c r="K347" s="7"/>
      <c r="N347" s="10"/>
      <c r="O347" s="3"/>
      <c r="T347" s="3"/>
    </row>
    <row r="348" spans="1:20">
      <c r="A348" s="7"/>
      <c r="B348" s="8">
        <v>-1.0419123890112216</v>
      </c>
      <c r="C348" s="8">
        <v>4.0818532431212473E-2</v>
      </c>
      <c r="D348" s="8">
        <v>-0.77248383184656022</v>
      </c>
      <c r="E348" s="7">
        <v>-1.4990516053215155E-2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>
        <v>0.8419894247146269</v>
      </c>
      <c r="M348">
        <v>0</v>
      </c>
      <c r="N348" s="9"/>
      <c r="O348" s="3">
        <f>L348-M348</f>
        <v>0.8419894247146269</v>
      </c>
      <c r="T348" s="3"/>
    </row>
    <row r="349" spans="1:20">
      <c r="A349" s="7" t="s">
        <v>100</v>
      </c>
      <c r="B349" s="8">
        <v>-0.45824053226673911</v>
      </c>
      <c r="C349" s="8">
        <v>2.124969022302313</v>
      </c>
      <c r="D349" s="8">
        <v>-2.076961144994538E-2</v>
      </c>
      <c r="E349" s="7">
        <v>0</v>
      </c>
      <c r="F349" s="7">
        <v>-1.4990516053215155E-2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>
        <v>2.3629545539581671</v>
      </c>
      <c r="M349">
        <v>0</v>
      </c>
      <c r="N349" s="9"/>
      <c r="O349" s="3">
        <f>L349-M349</f>
        <v>2.3629545539581671</v>
      </c>
      <c r="T349" s="3"/>
    </row>
    <row r="350" spans="1:20">
      <c r="A350" s="7"/>
      <c r="B350" s="8">
        <v>-1.0673702345396179</v>
      </c>
      <c r="C350" s="8">
        <v>2.4075843796929846</v>
      </c>
      <c r="D350" s="8">
        <v>-0.708799578341892</v>
      </c>
      <c r="E350" s="7">
        <v>0</v>
      </c>
      <c r="F350" s="7">
        <v>0</v>
      </c>
      <c r="G350" s="7">
        <v>-1.4990516053215155E-2</v>
      </c>
      <c r="H350" s="7">
        <v>0</v>
      </c>
      <c r="I350" s="7">
        <v>0</v>
      </c>
      <c r="J350" s="7">
        <v>0</v>
      </c>
      <c r="K350" s="7">
        <v>0</v>
      </c>
      <c r="L350">
        <v>3.7190693025902282</v>
      </c>
      <c r="M350">
        <v>0</v>
      </c>
      <c r="N350" s="9"/>
      <c r="O350" s="3">
        <f>L350-M350</f>
        <v>3.7190693025902282</v>
      </c>
      <c r="T350" s="3"/>
    </row>
    <row r="351" spans="1:20">
      <c r="A351" s="7"/>
      <c r="B351" s="8"/>
      <c r="C351" s="8"/>
      <c r="D351" s="8"/>
      <c r="E351" s="7"/>
      <c r="F351" s="7"/>
      <c r="G351" s="7"/>
      <c r="H351" s="7"/>
      <c r="I351" s="7"/>
      <c r="J351" s="7"/>
      <c r="K351" s="7"/>
      <c r="N351" s="10"/>
      <c r="O351" s="3"/>
      <c r="T351" s="3"/>
    </row>
    <row r="352" spans="1:20">
      <c r="A352" s="7"/>
      <c r="B352" s="8">
        <v>-2.2957880185781296</v>
      </c>
      <c r="C352" s="8">
        <v>8.2263663034425338E-3</v>
      </c>
      <c r="D352" s="8">
        <v>-3.3137218009327896E-2</v>
      </c>
      <c r="E352" s="7">
        <v>-1.4990516053215155E-2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>
        <v>2.6359041872834252</v>
      </c>
      <c r="M352">
        <v>0</v>
      </c>
      <c r="N352" s="9"/>
      <c r="O352" s="3">
        <f>L352-M352</f>
        <v>2.6359041872834252</v>
      </c>
      <c r="T352" s="3"/>
    </row>
    <row r="353" spans="1:20">
      <c r="A353" s="7" t="s">
        <v>101</v>
      </c>
      <c r="B353" s="8">
        <v>-2.44475956514645</v>
      </c>
      <c r="C353" s="8">
        <v>0.85548399177677847</v>
      </c>
      <c r="D353" s="8">
        <v>-5.2896656816179721E-2</v>
      </c>
      <c r="E353" s="7">
        <v>0</v>
      </c>
      <c r="F353" s="7">
        <v>-1.4990516053215155E-2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>
        <v>3.3557501239318595</v>
      </c>
      <c r="M353">
        <v>0</v>
      </c>
      <c r="N353" s="9"/>
      <c r="O353" s="3">
        <f>L353-M353</f>
        <v>3.3557501239318595</v>
      </c>
      <c r="T353" s="3"/>
    </row>
    <row r="354" spans="1:20">
      <c r="A354" s="7"/>
      <c r="B354" s="8">
        <v>0.40019020491700363</v>
      </c>
      <c r="C354" s="8">
        <v>1.0840062473010013</v>
      </c>
      <c r="D354" s="8">
        <v>1.6840506224230944E-2</v>
      </c>
      <c r="E354" s="7">
        <v>0</v>
      </c>
      <c r="F354" s="7">
        <v>0</v>
      </c>
      <c r="G354" s="7">
        <v>-1.4990516053215155E-2</v>
      </c>
      <c r="H354" s="7">
        <v>0</v>
      </c>
      <c r="I354" s="7">
        <v>0</v>
      </c>
      <c r="J354" s="7">
        <v>0</v>
      </c>
      <c r="K354" s="7">
        <v>0</v>
      </c>
      <c r="L354">
        <v>0.66775267347450074</v>
      </c>
      <c r="M354">
        <v>0</v>
      </c>
      <c r="N354" s="9"/>
      <c r="O354" s="3">
        <f>L354-M354</f>
        <v>0.66775267347450074</v>
      </c>
      <c r="T354" s="3"/>
    </row>
    <row r="355" spans="1:20">
      <c r="A355" s="7"/>
      <c r="B355" s="8"/>
      <c r="C355" s="8"/>
      <c r="D355" s="8"/>
      <c r="E355" s="7"/>
      <c r="F355" s="7"/>
      <c r="G355" s="7"/>
      <c r="H355" s="7"/>
      <c r="I355" s="7"/>
      <c r="J355" s="7"/>
      <c r="K355" s="7"/>
      <c r="N355" s="10"/>
      <c r="O355" s="3"/>
      <c r="T355" s="3"/>
    </row>
    <row r="356" spans="1:20">
      <c r="A356" s="7"/>
      <c r="B356" s="8">
        <v>-2.2957880185781296</v>
      </c>
      <c r="C356" s="8">
        <v>8.2263663034425338E-3</v>
      </c>
      <c r="D356" s="8">
        <v>-3.3137218009327896E-2</v>
      </c>
      <c r="E356" s="7">
        <v>-1.4990516053215155E-2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>
        <v>2.6359041872834252</v>
      </c>
      <c r="M356">
        <v>0</v>
      </c>
      <c r="N356" s="9"/>
      <c r="O356" s="3">
        <f>L356-M356</f>
        <v>2.6359041872834252</v>
      </c>
      <c r="T356" s="3"/>
    </row>
    <row r="357" spans="1:20">
      <c r="A357" s="7" t="s">
        <v>102</v>
      </c>
      <c r="B357" s="8">
        <v>-2.44475956514645</v>
      </c>
      <c r="C357" s="8">
        <v>0.85548399177677847</v>
      </c>
      <c r="D357" s="8">
        <v>-5.2896656816179721E-2</v>
      </c>
      <c r="E357" s="7">
        <v>0</v>
      </c>
      <c r="F357" s="7">
        <v>-1.4990516053215155E-2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>
        <v>3.3557501239318595</v>
      </c>
      <c r="M357">
        <v>0</v>
      </c>
      <c r="N357" s="9"/>
      <c r="O357" s="3">
        <f>L357-M357</f>
        <v>3.3557501239318595</v>
      </c>
      <c r="T357" s="3"/>
    </row>
    <row r="358" spans="1:20">
      <c r="A358" s="7"/>
      <c r="B358" s="8">
        <v>-2.0770709056556562</v>
      </c>
      <c r="C358" s="8">
        <v>2.1445635165533226</v>
      </c>
      <c r="D358" s="8">
        <v>5.6653180844775664E-2</v>
      </c>
      <c r="E358" s="7">
        <v>0</v>
      </c>
      <c r="F358" s="7">
        <v>0</v>
      </c>
      <c r="G358" s="7">
        <v>-1.4990516053215155E-2</v>
      </c>
      <c r="H358" s="7">
        <v>0</v>
      </c>
      <c r="I358" s="7">
        <v>0</v>
      </c>
      <c r="J358" s="7">
        <v>0</v>
      </c>
      <c r="K358" s="7">
        <v>0</v>
      </c>
      <c r="L358">
        <v>4.4582929032762966</v>
      </c>
      <c r="M358">
        <v>0</v>
      </c>
      <c r="N358" s="9"/>
      <c r="O358" s="3">
        <f>L358-M358</f>
        <v>4.4582929032762966</v>
      </c>
      <c r="T358" s="3"/>
    </row>
    <row r="359" spans="1:20">
      <c r="A359" s="7"/>
      <c r="B359" s="8"/>
      <c r="C359" s="8"/>
      <c r="D359" s="8"/>
      <c r="E359" s="7"/>
      <c r="F359" s="7"/>
      <c r="G359" s="7"/>
      <c r="H359" s="7"/>
      <c r="I359" s="7"/>
      <c r="J359" s="7"/>
      <c r="K359" s="7"/>
      <c r="N359" s="10"/>
      <c r="O359" s="3"/>
      <c r="T359" s="3"/>
    </row>
    <row r="360" spans="1:20">
      <c r="A360" s="7"/>
      <c r="B360" s="8">
        <v>-2.2957880185781296</v>
      </c>
      <c r="C360" s="8">
        <v>8.2263663034425338E-3</v>
      </c>
      <c r="D360" s="8">
        <v>-3.3137218009327896E-2</v>
      </c>
      <c r="E360" s="7">
        <v>-1.4990516053215155E-2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>
        <v>2.6359041872834252</v>
      </c>
      <c r="M360">
        <v>0</v>
      </c>
      <c r="N360" s="9"/>
      <c r="O360" s="3">
        <f>L360-M360</f>
        <v>2.6359041872834252</v>
      </c>
      <c r="T360" s="3"/>
    </row>
    <row r="361" spans="1:20">
      <c r="A361" s="7" t="s">
        <v>103</v>
      </c>
      <c r="B361" s="8">
        <v>-2.44475956514645</v>
      </c>
      <c r="C361" s="8">
        <v>0.85548399177677847</v>
      </c>
      <c r="D361" s="8">
        <v>-5.2896656816179721E-2</v>
      </c>
      <c r="E361" s="7">
        <v>0</v>
      </c>
      <c r="F361" s="7">
        <v>-1.4990516053215155E-2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>
        <v>3.3557501239318595</v>
      </c>
      <c r="M361">
        <v>0</v>
      </c>
      <c r="N361" s="9"/>
      <c r="O361" s="3">
        <f>L361-M361</f>
        <v>3.3557501239318595</v>
      </c>
      <c r="T361" s="3"/>
    </row>
    <row r="362" spans="1:20">
      <c r="A362" s="7"/>
      <c r="B362" s="8">
        <v>-0.45824053226673911</v>
      </c>
      <c r="C362" s="8">
        <v>2.124969022302313</v>
      </c>
      <c r="D362" s="8">
        <v>-2.076961144994538E-2</v>
      </c>
      <c r="E362" s="7">
        <v>0</v>
      </c>
      <c r="F362" s="7">
        <v>0</v>
      </c>
      <c r="G362" s="7">
        <v>-1.4990516053215155E-2</v>
      </c>
      <c r="H362" s="7">
        <v>0</v>
      </c>
      <c r="I362" s="7">
        <v>0</v>
      </c>
      <c r="J362" s="7">
        <v>0</v>
      </c>
      <c r="K362" s="7">
        <v>0</v>
      </c>
      <c r="L362">
        <v>2.3629545539581671</v>
      </c>
      <c r="M362">
        <v>0</v>
      </c>
      <c r="N362" s="9"/>
      <c r="O362" s="3">
        <f>L362-M362</f>
        <v>2.3629545539581671</v>
      </c>
      <c r="T362" s="3"/>
    </row>
    <row r="363" spans="1:20">
      <c r="A363" s="7"/>
      <c r="B363" s="8"/>
      <c r="C363" s="8"/>
      <c r="D363" s="8"/>
      <c r="E363" s="7"/>
      <c r="F363" s="7"/>
      <c r="G363" s="7"/>
      <c r="H363" s="7"/>
      <c r="I363" s="7"/>
      <c r="J363" s="7"/>
      <c r="K363" s="7"/>
      <c r="N363" s="10"/>
      <c r="O363" s="3"/>
      <c r="T363" s="3"/>
    </row>
    <row r="364" spans="1:20">
      <c r="A364" s="7"/>
      <c r="B364" s="8">
        <v>-2.2957880185781296</v>
      </c>
      <c r="C364" s="8">
        <v>8.2263663034425338E-3</v>
      </c>
      <c r="D364" s="8">
        <v>-3.3137218009327896E-2</v>
      </c>
      <c r="E364" s="7">
        <v>-1.4990516053215155E-2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>
        <v>2.6359041872834252</v>
      </c>
      <c r="M364">
        <v>0</v>
      </c>
      <c r="N364" s="9"/>
      <c r="O364" s="3">
        <f>L364-M364</f>
        <v>2.6359041872834252</v>
      </c>
      <c r="T364" s="3"/>
    </row>
    <row r="365" spans="1:20">
      <c r="A365" s="7" t="s">
        <v>104</v>
      </c>
      <c r="B365" s="8">
        <v>-2.44475956514645</v>
      </c>
      <c r="C365" s="8">
        <v>0.85548399177677847</v>
      </c>
      <c r="D365" s="8">
        <v>-5.2896656816179721E-2</v>
      </c>
      <c r="E365" s="7">
        <v>0</v>
      </c>
      <c r="F365" s="7">
        <v>-1.4990516053215155E-2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>
        <v>3.3557501239318595</v>
      </c>
      <c r="M365">
        <v>0</v>
      </c>
      <c r="N365" s="9"/>
      <c r="O365" s="3">
        <f>L365-M365</f>
        <v>3.3557501239318595</v>
      </c>
      <c r="T365" s="3"/>
    </row>
    <row r="366" spans="1:20">
      <c r="A366" s="7"/>
      <c r="B366" s="8">
        <v>-1.0673702345396179</v>
      </c>
      <c r="C366" s="8">
        <v>2.4075843796929846</v>
      </c>
      <c r="D366" s="8">
        <v>-0.708799578341892</v>
      </c>
      <c r="E366" s="7">
        <v>0</v>
      </c>
      <c r="F366" s="7">
        <v>0</v>
      </c>
      <c r="G366" s="7">
        <v>-1.4990516053215155E-2</v>
      </c>
      <c r="H366" s="7">
        <v>0</v>
      </c>
      <c r="I366" s="7">
        <v>0</v>
      </c>
      <c r="J366" s="7">
        <v>0</v>
      </c>
      <c r="K366" s="7">
        <v>0</v>
      </c>
      <c r="L366">
        <v>3.7190693025902282</v>
      </c>
      <c r="M366">
        <v>0</v>
      </c>
      <c r="N366" s="9"/>
      <c r="O366" s="3">
        <f>L366-M366</f>
        <v>3.7190693025902282</v>
      </c>
      <c r="T366" s="3"/>
    </row>
    <row r="367" spans="1:20">
      <c r="A367" s="7"/>
      <c r="B367" s="8"/>
      <c r="C367" s="8"/>
      <c r="D367" s="8"/>
      <c r="E367" s="7"/>
      <c r="F367" s="7"/>
      <c r="G367" s="7"/>
      <c r="H367" s="7"/>
      <c r="I367" s="7"/>
      <c r="J367" s="7"/>
      <c r="K367" s="7"/>
      <c r="N367" s="10"/>
      <c r="O367" s="3"/>
      <c r="T367" s="3"/>
    </row>
    <row r="368" spans="1:20">
      <c r="A368" s="7"/>
      <c r="B368" s="8">
        <v>-2.2957880185781296</v>
      </c>
      <c r="C368" s="8">
        <v>8.2263663034425338E-3</v>
      </c>
      <c r="D368" s="8">
        <v>-3.3137218009327896E-2</v>
      </c>
      <c r="E368" s="7">
        <v>-1.4990516053215155E-2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>
        <v>2.6359041872834252</v>
      </c>
      <c r="M368">
        <v>0</v>
      </c>
      <c r="N368" s="9"/>
      <c r="O368" s="3">
        <f>L368-M368</f>
        <v>2.6359041872834252</v>
      </c>
      <c r="T368" s="3"/>
    </row>
    <row r="369" spans="1:20">
      <c r="A369" s="7" t="s">
        <v>105</v>
      </c>
      <c r="B369" s="8">
        <v>0.40019020491700363</v>
      </c>
      <c r="C369" s="8">
        <v>1.0840062473010013</v>
      </c>
      <c r="D369" s="8">
        <v>1.6840506224230944E-2</v>
      </c>
      <c r="E369" s="7">
        <v>0</v>
      </c>
      <c r="F369" s="7">
        <v>-1.4990516053215155E-2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>
        <v>0.66775267347450074</v>
      </c>
      <c r="M369">
        <v>0</v>
      </c>
      <c r="N369" s="9"/>
      <c r="O369" s="3">
        <f>L369-M369</f>
        <v>0.66775267347450074</v>
      </c>
      <c r="T369" s="3"/>
    </row>
    <row r="370" spans="1:20">
      <c r="A370" s="7"/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0</v>
      </c>
      <c r="G370" s="7">
        <v>-1.4990516053215155E-2</v>
      </c>
      <c r="H370" s="7">
        <v>0</v>
      </c>
      <c r="I370" s="7">
        <v>0</v>
      </c>
      <c r="J370" s="7">
        <v>0</v>
      </c>
      <c r="K370" s="7">
        <v>0</v>
      </c>
      <c r="L370">
        <v>4.4582929032762966</v>
      </c>
      <c r="M370">
        <v>0</v>
      </c>
      <c r="N370" s="9"/>
      <c r="O370" s="3">
        <f>L370-M370</f>
        <v>4.4582929032762966</v>
      </c>
      <c r="T370" s="3"/>
    </row>
    <row r="371" spans="1:20">
      <c r="A371" s="7"/>
      <c r="B371" s="8"/>
      <c r="C371" s="8"/>
      <c r="D371" s="8"/>
      <c r="E371" s="7"/>
      <c r="F371" s="7"/>
      <c r="G371" s="7"/>
      <c r="H371" s="7"/>
      <c r="I371" s="7"/>
      <c r="J371" s="7"/>
      <c r="K371" s="7"/>
      <c r="N371" s="10"/>
      <c r="O371" s="3"/>
      <c r="T371" s="3"/>
    </row>
    <row r="372" spans="1:20">
      <c r="A372" s="7"/>
      <c r="B372" s="8">
        <v>-2.2957880185781296</v>
      </c>
      <c r="C372" s="8">
        <v>8.2263663034425338E-3</v>
      </c>
      <c r="D372" s="8">
        <v>-3.3137218009327896E-2</v>
      </c>
      <c r="E372" s="7">
        <v>-1.4990516053215155E-2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>
        <v>2.6359041872834252</v>
      </c>
      <c r="M372">
        <v>0</v>
      </c>
      <c r="N372" s="9"/>
      <c r="O372" s="3">
        <f>L372-M372</f>
        <v>2.6359041872834252</v>
      </c>
      <c r="T372" s="3"/>
    </row>
    <row r="373" spans="1:20">
      <c r="A373" s="7" t="s">
        <v>106</v>
      </c>
      <c r="B373" s="8">
        <v>0.40019020491700363</v>
      </c>
      <c r="C373" s="8">
        <v>1.0840062473010013</v>
      </c>
      <c r="D373" s="8">
        <v>1.6840506224230944E-2</v>
      </c>
      <c r="E373" s="7">
        <v>0</v>
      </c>
      <c r="F373" s="7">
        <v>-1.4990516053215155E-2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>
        <v>0.66775267347450074</v>
      </c>
      <c r="M373">
        <v>0</v>
      </c>
      <c r="N373" s="9"/>
      <c r="O373" s="3">
        <f>L373-M373</f>
        <v>0.66775267347450074</v>
      </c>
      <c r="T373" s="3"/>
    </row>
    <row r="374" spans="1:20">
      <c r="A374" s="7"/>
      <c r="B374" s="8">
        <v>-0.45824053226673911</v>
      </c>
      <c r="C374" s="8">
        <v>2.124969022302313</v>
      </c>
      <c r="D374" s="8">
        <v>-2.076961144994538E-2</v>
      </c>
      <c r="E374" s="7">
        <v>0</v>
      </c>
      <c r="F374" s="7">
        <v>0</v>
      </c>
      <c r="G374" s="7">
        <v>-1.4990516053215155E-2</v>
      </c>
      <c r="H374" s="7">
        <v>0</v>
      </c>
      <c r="I374" s="7">
        <v>0</v>
      </c>
      <c r="J374" s="7">
        <v>0</v>
      </c>
      <c r="K374" s="7">
        <v>0</v>
      </c>
      <c r="L374">
        <v>2.3629545539581671</v>
      </c>
      <c r="M374">
        <v>0</v>
      </c>
      <c r="N374" s="9"/>
      <c r="O374" s="3">
        <f>L374-M374</f>
        <v>2.3629545539581671</v>
      </c>
      <c r="T374" s="3"/>
    </row>
    <row r="375" spans="1:20">
      <c r="A375" s="7"/>
      <c r="B375" s="8"/>
      <c r="C375" s="8"/>
      <c r="D375" s="8"/>
      <c r="E375" s="7"/>
      <c r="F375" s="7"/>
      <c r="G375" s="7"/>
      <c r="H375" s="7"/>
      <c r="I375" s="7"/>
      <c r="J375" s="7"/>
      <c r="K375" s="7"/>
      <c r="N375" s="10"/>
      <c r="O375" s="3"/>
      <c r="T375" s="3"/>
    </row>
    <row r="376" spans="1:20">
      <c r="A376" s="7"/>
      <c r="B376" s="8">
        <v>-2.2957880185781296</v>
      </c>
      <c r="C376" s="8">
        <v>8.2263663034425338E-3</v>
      </c>
      <c r="D376" s="8">
        <v>-3.3137218009327896E-2</v>
      </c>
      <c r="E376" s="7">
        <v>-1.4990516053215155E-2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>
        <v>2.6359041872834252</v>
      </c>
      <c r="M376">
        <v>0</v>
      </c>
      <c r="N376" s="9"/>
      <c r="O376" s="3">
        <f>L376-M376</f>
        <v>2.6359041872834252</v>
      </c>
      <c r="T376" s="3"/>
    </row>
    <row r="377" spans="1:20">
      <c r="A377" s="7" t="s">
        <v>107</v>
      </c>
      <c r="B377" s="8">
        <v>0.40019020491700363</v>
      </c>
      <c r="C377" s="8">
        <v>1.0840062473010013</v>
      </c>
      <c r="D377" s="8">
        <v>1.6840506224230944E-2</v>
      </c>
      <c r="E377" s="7">
        <v>0</v>
      </c>
      <c r="F377" s="7">
        <v>-1.4990516053215155E-2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>
        <v>0.66775267347450074</v>
      </c>
      <c r="M377">
        <v>0</v>
      </c>
      <c r="N377" s="9"/>
      <c r="O377" s="3">
        <f>L377-M377</f>
        <v>0.66775267347450074</v>
      </c>
      <c r="T377" s="3"/>
    </row>
    <row r="378" spans="1:20">
      <c r="A378" s="7"/>
      <c r="B378" s="8">
        <v>-1.0673702345396179</v>
      </c>
      <c r="C378" s="8">
        <v>2.4075843796929846</v>
      </c>
      <c r="D378" s="8">
        <v>-0.708799578341892</v>
      </c>
      <c r="E378" s="7">
        <v>0</v>
      </c>
      <c r="F378" s="7">
        <v>0</v>
      </c>
      <c r="G378" s="7">
        <v>-1.4990516053215155E-2</v>
      </c>
      <c r="H378" s="7">
        <v>0</v>
      </c>
      <c r="I378" s="7">
        <v>0</v>
      </c>
      <c r="J378" s="7">
        <v>0</v>
      </c>
      <c r="K378" s="7">
        <v>0</v>
      </c>
      <c r="L378">
        <v>3.7190693025902282</v>
      </c>
      <c r="M378">
        <v>0</v>
      </c>
      <c r="N378" s="9"/>
      <c r="O378" s="3">
        <f>L378-M378</f>
        <v>3.7190693025902282</v>
      </c>
      <c r="T378" s="3"/>
    </row>
    <row r="379" spans="1:20">
      <c r="A379" s="7"/>
      <c r="B379" s="8"/>
      <c r="C379" s="8"/>
      <c r="D379" s="8"/>
      <c r="E379" s="7"/>
      <c r="F379" s="7"/>
      <c r="G379" s="7"/>
      <c r="H379" s="7"/>
      <c r="I379" s="7"/>
      <c r="J379" s="7"/>
      <c r="K379" s="7"/>
      <c r="N379" s="10"/>
      <c r="O379" s="3"/>
      <c r="T379" s="3"/>
    </row>
    <row r="380" spans="1:20">
      <c r="A380" s="7"/>
      <c r="B380" s="8">
        <v>-2.2957880185781296</v>
      </c>
      <c r="C380" s="8">
        <v>8.2263663034425338E-3</v>
      </c>
      <c r="D380" s="8">
        <v>-3.3137218009327896E-2</v>
      </c>
      <c r="E380" s="7">
        <v>-1.4990516053215155E-2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>
        <v>2.6359041872834252</v>
      </c>
      <c r="M380">
        <v>0</v>
      </c>
      <c r="N380" s="9"/>
      <c r="O380" s="3">
        <f>L380-M380</f>
        <v>2.6359041872834252</v>
      </c>
      <c r="T380" s="3"/>
    </row>
    <row r="381" spans="1:20">
      <c r="A381" s="7" t="s">
        <v>108</v>
      </c>
      <c r="B381" s="8">
        <v>-2.0770709056556562</v>
      </c>
      <c r="C381" s="8">
        <v>2.1445635165533226</v>
      </c>
      <c r="D381" s="8">
        <v>5.6653180844775664E-2</v>
      </c>
      <c r="E381" s="7">
        <v>0</v>
      </c>
      <c r="F381" s="7">
        <v>-1.4990516053215155E-2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>
        <v>4.4582929032762966</v>
      </c>
      <c r="M381">
        <v>0</v>
      </c>
      <c r="N381" s="9"/>
      <c r="O381" s="3">
        <f>L381-M381</f>
        <v>4.4582929032762966</v>
      </c>
      <c r="T381" s="3"/>
    </row>
    <row r="382" spans="1:20">
      <c r="A382" s="7"/>
      <c r="B382" s="8">
        <v>-0.45824053226673911</v>
      </c>
      <c r="C382" s="8">
        <v>2.124969022302313</v>
      </c>
      <c r="D382" s="8">
        <v>-2.076961144994538E-2</v>
      </c>
      <c r="E382" s="7">
        <v>0</v>
      </c>
      <c r="F382" s="7">
        <v>0</v>
      </c>
      <c r="G382" s="7">
        <v>-1.4990516053215155E-2</v>
      </c>
      <c r="H382" s="7">
        <v>0</v>
      </c>
      <c r="I382" s="7">
        <v>0</v>
      </c>
      <c r="J382" s="7">
        <v>0</v>
      </c>
      <c r="K382" s="7">
        <v>0</v>
      </c>
      <c r="L382">
        <v>2.3629545539581671</v>
      </c>
      <c r="M382">
        <v>0</v>
      </c>
      <c r="N382" s="9"/>
      <c r="O382" s="3">
        <f>L382-M382</f>
        <v>2.3629545539581671</v>
      </c>
      <c r="T382" s="3"/>
    </row>
    <row r="383" spans="1:20">
      <c r="A383" s="7"/>
      <c r="B383" s="8"/>
      <c r="C383" s="8"/>
      <c r="D383" s="8"/>
      <c r="E383" s="7"/>
      <c r="F383" s="7"/>
      <c r="G383" s="7"/>
      <c r="H383" s="7"/>
      <c r="I383" s="7"/>
      <c r="J383" s="7"/>
      <c r="K383" s="7"/>
      <c r="N383" s="10"/>
      <c r="O383" s="3"/>
      <c r="T383" s="3"/>
    </row>
    <row r="384" spans="1:20">
      <c r="A384" s="7"/>
      <c r="B384" s="8">
        <v>-2.2957880185781296</v>
      </c>
      <c r="C384" s="8">
        <v>8.2263663034425338E-3</v>
      </c>
      <c r="D384" s="8">
        <v>-3.3137218009327896E-2</v>
      </c>
      <c r="E384" s="7">
        <v>-1.4990516053215155E-2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>
        <v>2.6359041872834252</v>
      </c>
      <c r="M384">
        <v>0</v>
      </c>
      <c r="N384" s="9"/>
      <c r="O384" s="3">
        <f>L384-M384</f>
        <v>2.6359041872834252</v>
      </c>
      <c r="T384" s="3"/>
    </row>
    <row r="385" spans="1:20">
      <c r="A385" s="7" t="s">
        <v>109</v>
      </c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7">
        <v>-1.4990516053215155E-2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>
        <v>4.4582929032762966</v>
      </c>
      <c r="M385">
        <v>0</v>
      </c>
      <c r="N385" s="9"/>
      <c r="O385" s="3">
        <f>L385-M385</f>
        <v>4.4582929032762966</v>
      </c>
      <c r="T385" s="3"/>
    </row>
    <row r="386" spans="1:20">
      <c r="A386" s="7"/>
      <c r="B386" s="8">
        <v>-1.0673702345396179</v>
      </c>
      <c r="C386" s="8">
        <v>2.4075843796929846</v>
      </c>
      <c r="D386" s="8">
        <v>-0.708799578341892</v>
      </c>
      <c r="E386" s="7">
        <v>0</v>
      </c>
      <c r="F386" s="7">
        <v>0</v>
      </c>
      <c r="G386" s="7">
        <v>-1.4990516053215155E-2</v>
      </c>
      <c r="H386" s="7">
        <v>0</v>
      </c>
      <c r="I386" s="7">
        <v>0</v>
      </c>
      <c r="J386" s="7">
        <v>0</v>
      </c>
      <c r="K386" s="7">
        <v>0</v>
      </c>
      <c r="L386">
        <v>3.7190693025902282</v>
      </c>
      <c r="M386">
        <v>0</v>
      </c>
      <c r="N386" s="9"/>
      <c r="O386" s="3">
        <f>L386-M386</f>
        <v>3.7190693025902282</v>
      </c>
      <c r="T386" s="3"/>
    </row>
    <row r="387" spans="1:20">
      <c r="A387" s="7"/>
      <c r="B387" s="8"/>
      <c r="C387" s="8"/>
      <c r="D387" s="8"/>
      <c r="E387" s="7"/>
      <c r="F387" s="7"/>
      <c r="G387" s="7"/>
      <c r="H387" s="7"/>
      <c r="I387" s="7"/>
      <c r="J387" s="7"/>
      <c r="K387" s="7"/>
      <c r="N387" s="10"/>
      <c r="O387" s="3"/>
      <c r="T387" s="3"/>
    </row>
    <row r="388" spans="1:20">
      <c r="A388" s="7"/>
      <c r="B388" s="8">
        <v>-2.2957880185781296</v>
      </c>
      <c r="C388" s="8">
        <v>8.2263663034425338E-3</v>
      </c>
      <c r="D388" s="8">
        <v>-3.3137218009327896E-2</v>
      </c>
      <c r="E388" s="7">
        <v>-1.4990516053215155E-2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>
        <v>2.6359041872834252</v>
      </c>
      <c r="M388">
        <v>0</v>
      </c>
      <c r="N388" s="9"/>
      <c r="O388" s="3">
        <f>L388-M388</f>
        <v>2.6359041872834252</v>
      </c>
      <c r="T388" s="3"/>
    </row>
    <row r="389" spans="1:20">
      <c r="A389" s="7" t="s">
        <v>110</v>
      </c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7">
        <v>-1.4990516053215155E-2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>
        <v>2.3629545539581671</v>
      </c>
      <c r="M389">
        <v>0</v>
      </c>
      <c r="N389" s="9"/>
      <c r="O389" s="3">
        <f>L389-M389</f>
        <v>2.3629545539581671</v>
      </c>
      <c r="T389" s="3"/>
    </row>
    <row r="390" spans="1:20">
      <c r="A390" s="7"/>
      <c r="B390" s="8">
        <v>-1.0673702345396179</v>
      </c>
      <c r="C390" s="8">
        <v>2.4075843796929846</v>
      </c>
      <c r="D390" s="8">
        <v>-0.708799578341892</v>
      </c>
      <c r="E390" s="7">
        <v>0</v>
      </c>
      <c r="F390" s="7">
        <v>0</v>
      </c>
      <c r="G390" s="7">
        <v>-1.4990516053215155E-2</v>
      </c>
      <c r="H390" s="7">
        <v>0</v>
      </c>
      <c r="I390" s="7">
        <v>0</v>
      </c>
      <c r="J390" s="7">
        <v>0</v>
      </c>
      <c r="K390" s="7">
        <v>0</v>
      </c>
      <c r="L390">
        <v>3.7190693025902282</v>
      </c>
      <c r="M390">
        <v>0</v>
      </c>
      <c r="N390" s="9"/>
      <c r="O390" s="3">
        <f>L390-M390</f>
        <v>3.7190693025902282</v>
      </c>
      <c r="T390" s="3"/>
    </row>
    <row r="391" spans="1:20">
      <c r="A391" s="7"/>
      <c r="B391" s="8"/>
      <c r="C391" s="8"/>
      <c r="D391" s="8"/>
      <c r="E391" s="7"/>
      <c r="F391" s="7"/>
      <c r="G391" s="7"/>
      <c r="H391" s="7"/>
      <c r="I391" s="7"/>
      <c r="J391" s="7"/>
      <c r="K391" s="7"/>
      <c r="N391" s="10"/>
      <c r="O391" s="3"/>
      <c r="T391" s="3"/>
    </row>
    <row r="392" spans="1:20">
      <c r="A392" s="7"/>
      <c r="B392" s="8">
        <v>-2.44475956514645</v>
      </c>
      <c r="C392" s="8">
        <v>0.85548399177677847</v>
      </c>
      <c r="D392" s="8">
        <v>-5.2896656816179721E-2</v>
      </c>
      <c r="E392" s="7">
        <v>-1.4990516053215155E-2</v>
      </c>
      <c r="F392" s="7">
        <v>0</v>
      </c>
      <c r="G392" s="7">
        <v>0</v>
      </c>
      <c r="H392" s="7">
        <v>-2.2872089329671663E-2</v>
      </c>
      <c r="I392" s="7">
        <v>2.2385887789414392E-2</v>
      </c>
      <c r="J392" s="7">
        <v>0</v>
      </c>
      <c r="K392" s="7">
        <v>0</v>
      </c>
      <c r="L392">
        <v>3.3557501239318595</v>
      </c>
      <c r="M392">
        <v>3.6711215682891076E-4</v>
      </c>
      <c r="N392" s="9"/>
      <c r="O392" s="3">
        <f>L392-M392</f>
        <v>3.3553830117750305</v>
      </c>
      <c r="T392" s="3"/>
    </row>
    <row r="393" spans="1:20">
      <c r="A393" s="7" t="s">
        <v>111</v>
      </c>
      <c r="B393" s="8">
        <v>0.40019020491700363</v>
      </c>
      <c r="C393" s="8">
        <v>1.0840062473010013</v>
      </c>
      <c r="D393" s="8">
        <v>1.6840506224230944E-2</v>
      </c>
      <c r="E393" s="7">
        <v>0</v>
      </c>
      <c r="F393" s="7">
        <v>-1.4990516053215155E-2</v>
      </c>
      <c r="G393" s="7">
        <v>0</v>
      </c>
      <c r="H393" s="7">
        <v>-2.2872089329671663E-2</v>
      </c>
      <c r="I393" s="7">
        <v>0</v>
      </c>
      <c r="J393" s="7">
        <v>1.6236379226863738E-2</v>
      </c>
      <c r="K393" s="7">
        <v>0</v>
      </c>
      <c r="L393">
        <v>0.66775267347450074</v>
      </c>
      <c r="M393">
        <v>4.3295774383228357E-3</v>
      </c>
      <c r="N393" s="9"/>
      <c r="O393" s="3">
        <f>L393-M393</f>
        <v>0.66342309603617788</v>
      </c>
      <c r="T393" s="3"/>
    </row>
    <row r="394" spans="1:20">
      <c r="A394" s="7"/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0</v>
      </c>
      <c r="G394" s="7">
        <v>-1.4990516053215155E-2</v>
      </c>
      <c r="H394" s="7">
        <v>-2.2872089329671663E-2</v>
      </c>
      <c r="I394" s="7">
        <v>0</v>
      </c>
      <c r="J394" s="7">
        <v>0</v>
      </c>
      <c r="K394" s="7">
        <v>1.5970575730977998E-2</v>
      </c>
      <c r="L394">
        <v>4.4582929032762966</v>
      </c>
      <c r="M394">
        <v>4.4724002741192721E-3</v>
      </c>
      <c r="N394" s="9"/>
      <c r="O394" s="3">
        <f>L394-M394</f>
        <v>4.4538205030021771</v>
      </c>
      <c r="T394" s="3"/>
    </row>
    <row r="395" spans="1:20">
      <c r="A395" s="7"/>
      <c r="B395" s="8"/>
      <c r="C395" s="8"/>
      <c r="D395" s="8"/>
      <c r="E395" s="7"/>
      <c r="F395" s="7"/>
      <c r="G395" s="7"/>
      <c r="H395" s="7"/>
      <c r="I395" s="7"/>
      <c r="J395" s="7"/>
      <c r="K395" s="7"/>
      <c r="N395" s="10"/>
      <c r="O395" s="3"/>
      <c r="T395" s="3"/>
    </row>
    <row r="396" spans="1:20">
      <c r="A396" s="7"/>
      <c r="B396" s="8">
        <v>-2.44475956514645</v>
      </c>
      <c r="C396" s="8">
        <v>0.85548399177677847</v>
      </c>
      <c r="D396" s="8">
        <v>-5.2896656816179721E-2</v>
      </c>
      <c r="E396" s="7">
        <v>-1.4990516053215155E-2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>
        <v>3.3557501239318595</v>
      </c>
      <c r="M396">
        <v>0</v>
      </c>
      <c r="N396" s="9"/>
      <c r="O396" s="3">
        <f>L396-M396</f>
        <v>3.3557501239318595</v>
      </c>
      <c r="T396" s="3"/>
    </row>
    <row r="397" spans="1:20">
      <c r="A397" s="7" t="s">
        <v>112</v>
      </c>
      <c r="B397" s="8">
        <v>0.40019020491700363</v>
      </c>
      <c r="C397" s="8">
        <v>1.0840062473010013</v>
      </c>
      <c r="D397" s="8">
        <v>1.6840506224230944E-2</v>
      </c>
      <c r="E397" s="7">
        <v>0</v>
      </c>
      <c r="F397" s="7">
        <v>-1.4990516053215155E-2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>
        <v>0.66775267347450074</v>
      </c>
      <c r="M397">
        <v>0</v>
      </c>
      <c r="N397" s="9"/>
      <c r="O397" s="3">
        <f>L397-M397</f>
        <v>0.66775267347450074</v>
      </c>
      <c r="T397" s="3"/>
    </row>
    <row r="398" spans="1:20">
      <c r="A398" s="7"/>
      <c r="B398" s="8">
        <v>-0.45824053226673911</v>
      </c>
      <c r="C398" s="8">
        <v>2.124969022302313</v>
      </c>
      <c r="D398" s="8">
        <v>-2.076961144994538E-2</v>
      </c>
      <c r="E398" s="7">
        <v>0</v>
      </c>
      <c r="F398" s="7">
        <v>0</v>
      </c>
      <c r="G398" s="7">
        <v>-1.4990516053215155E-2</v>
      </c>
      <c r="H398" s="7">
        <v>0</v>
      </c>
      <c r="I398" s="7">
        <v>0</v>
      </c>
      <c r="J398" s="7">
        <v>0</v>
      </c>
      <c r="K398" s="7">
        <v>0</v>
      </c>
      <c r="L398">
        <v>2.3629545539581671</v>
      </c>
      <c r="M398">
        <v>0</v>
      </c>
      <c r="N398" s="9"/>
      <c r="O398" s="3">
        <f>L398-M398</f>
        <v>2.3629545539581671</v>
      </c>
      <c r="T398" s="3"/>
    </row>
    <row r="399" spans="1:20">
      <c r="A399" s="7"/>
      <c r="B399" s="8"/>
      <c r="C399" s="8"/>
      <c r="D399" s="8"/>
      <c r="E399" s="7"/>
      <c r="F399" s="7"/>
      <c r="G399" s="7"/>
      <c r="H399" s="7"/>
      <c r="I399" s="7"/>
      <c r="J399" s="7"/>
      <c r="K399" s="7"/>
      <c r="N399" s="10"/>
      <c r="O399" s="3"/>
      <c r="T399" s="3"/>
    </row>
    <row r="400" spans="1:20">
      <c r="A400" s="7"/>
      <c r="B400" s="8">
        <v>-2.44475956514645</v>
      </c>
      <c r="C400" s="8">
        <v>0.85548399177677847</v>
      </c>
      <c r="D400" s="8">
        <v>-5.2896656816179721E-2</v>
      </c>
      <c r="E400" s="7">
        <v>-1.4990516053215155E-2</v>
      </c>
      <c r="F400" s="7">
        <v>0</v>
      </c>
      <c r="G400" s="7">
        <v>0</v>
      </c>
      <c r="H400" s="7">
        <v>-2.2872089329671663E-2</v>
      </c>
      <c r="I400" s="7">
        <v>2.2385887789414392E-2</v>
      </c>
      <c r="J400" s="7">
        <v>0</v>
      </c>
      <c r="K400" s="7">
        <v>0</v>
      </c>
      <c r="L400">
        <v>3.3557501239318595</v>
      </c>
      <c r="M400">
        <v>3.6711215682891076E-4</v>
      </c>
      <c r="N400" s="9"/>
      <c r="O400" s="3">
        <f>L400-M400</f>
        <v>3.3553830117750305</v>
      </c>
      <c r="T400" s="3"/>
    </row>
    <row r="401" spans="1:20">
      <c r="A401" s="7" t="s">
        <v>113</v>
      </c>
      <c r="B401" s="8">
        <v>0.40019020491700363</v>
      </c>
      <c r="C401" s="8">
        <v>1.0840062473010013</v>
      </c>
      <c r="D401" s="8">
        <v>1.6840506224230944E-2</v>
      </c>
      <c r="E401" s="7">
        <v>0</v>
      </c>
      <c r="F401" s="7">
        <v>-1.4990516053215155E-2</v>
      </c>
      <c r="G401" s="7">
        <v>0</v>
      </c>
      <c r="H401" s="7">
        <v>-2.2872089329671663E-2</v>
      </c>
      <c r="I401" s="7">
        <v>0</v>
      </c>
      <c r="J401" s="7">
        <v>1.6236379226863738E-2</v>
      </c>
      <c r="K401" s="7">
        <v>0</v>
      </c>
      <c r="L401">
        <v>0.66775267347450074</v>
      </c>
      <c r="M401">
        <v>4.3295774383228357E-3</v>
      </c>
      <c r="N401" s="9"/>
      <c r="O401" s="3">
        <f>L401-M401</f>
        <v>0.66342309603617788</v>
      </c>
      <c r="T401" s="3"/>
    </row>
    <row r="402" spans="1:20">
      <c r="A402" s="7"/>
      <c r="B402" s="8">
        <v>-1.0673702345396179</v>
      </c>
      <c r="C402" s="8">
        <v>2.4075843796929846</v>
      </c>
      <c r="D402" s="8">
        <v>-0.708799578341892</v>
      </c>
      <c r="E402" s="7">
        <v>0</v>
      </c>
      <c r="F402" s="7">
        <v>0</v>
      </c>
      <c r="G402" s="7">
        <v>-1.4990516053215155E-2</v>
      </c>
      <c r="H402" s="7">
        <v>-2.2872089329671663E-2</v>
      </c>
      <c r="I402" s="7">
        <v>0</v>
      </c>
      <c r="J402" s="7">
        <v>0</v>
      </c>
      <c r="K402" s="7">
        <v>2.0521745021313972E-2</v>
      </c>
      <c r="L402">
        <v>3.7190693025902282</v>
      </c>
      <c r="M402">
        <v>1.7015582152214068E-3</v>
      </c>
      <c r="N402" s="9"/>
      <c r="O402" s="3">
        <f>L402-M402</f>
        <v>3.7173677443750068</v>
      </c>
      <c r="T402" s="3"/>
    </row>
    <row r="403" spans="1:20">
      <c r="A403" s="7"/>
      <c r="B403" s="8"/>
      <c r="C403" s="8"/>
      <c r="D403" s="8"/>
      <c r="E403" s="7"/>
      <c r="F403" s="7"/>
      <c r="G403" s="7"/>
      <c r="H403" s="7"/>
      <c r="I403" s="7"/>
      <c r="J403" s="7"/>
      <c r="K403" s="7"/>
      <c r="N403" s="10"/>
      <c r="O403" s="3"/>
      <c r="T403" s="3"/>
    </row>
    <row r="404" spans="1:20">
      <c r="A404" s="7"/>
      <c r="B404" s="8">
        <v>-2.44475956514645</v>
      </c>
      <c r="C404" s="8">
        <v>0.85548399177677847</v>
      </c>
      <c r="D404" s="8">
        <v>-5.2896656816179721E-2</v>
      </c>
      <c r="E404" s="7">
        <v>-1.4990516053215155E-2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>
        <v>3.3557501239318595</v>
      </c>
      <c r="M404">
        <v>0</v>
      </c>
      <c r="N404" s="9"/>
      <c r="O404" s="3">
        <f>L404-M404</f>
        <v>3.3557501239318595</v>
      </c>
      <c r="T404" s="3"/>
    </row>
    <row r="405" spans="1:20">
      <c r="A405" s="7" t="s">
        <v>114</v>
      </c>
      <c r="B405" s="8">
        <v>-2.0770709056556562</v>
      </c>
      <c r="C405" s="8">
        <v>2.1445635165533226</v>
      </c>
      <c r="D405" s="8">
        <v>5.6653180844775664E-2</v>
      </c>
      <c r="E405" s="7">
        <v>0</v>
      </c>
      <c r="F405" s="7">
        <v>-1.4990516053215155E-2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>
        <v>4.4582929032762966</v>
      </c>
      <c r="M405">
        <v>0</v>
      </c>
      <c r="N405" s="9"/>
      <c r="O405" s="3">
        <f>L405-M405</f>
        <v>4.4582929032762966</v>
      </c>
      <c r="T405" s="3"/>
    </row>
    <row r="406" spans="1:20">
      <c r="A406" s="7"/>
      <c r="B406" s="8">
        <v>-0.45824053226673911</v>
      </c>
      <c r="C406" s="8">
        <v>2.124969022302313</v>
      </c>
      <c r="D406" s="8">
        <v>-2.076961144994538E-2</v>
      </c>
      <c r="E406" s="7">
        <v>0</v>
      </c>
      <c r="F406" s="7">
        <v>0</v>
      </c>
      <c r="G406" s="7">
        <v>-1.4990516053215155E-2</v>
      </c>
      <c r="H406" s="7">
        <v>0</v>
      </c>
      <c r="I406" s="7">
        <v>0</v>
      </c>
      <c r="J406" s="7">
        <v>0</v>
      </c>
      <c r="K406" s="7">
        <v>0</v>
      </c>
      <c r="L406">
        <v>2.3629545539581671</v>
      </c>
      <c r="M406">
        <v>0</v>
      </c>
      <c r="N406" s="9"/>
      <c r="O406" s="3">
        <f>L406-M406</f>
        <v>2.3629545539581671</v>
      </c>
      <c r="T406" s="3"/>
    </row>
    <row r="407" spans="1:20">
      <c r="A407" s="7"/>
      <c r="B407" s="8"/>
      <c r="C407" s="8"/>
      <c r="D407" s="8"/>
      <c r="E407" s="7"/>
      <c r="F407" s="7"/>
      <c r="G407" s="7"/>
      <c r="H407" s="7"/>
      <c r="I407" s="7"/>
      <c r="J407" s="7"/>
      <c r="K407" s="7"/>
      <c r="N407" s="10"/>
      <c r="O407" s="3"/>
      <c r="T407" s="3"/>
    </row>
    <row r="408" spans="1:20">
      <c r="A408" s="7"/>
      <c r="B408" s="8">
        <v>-2.44475956514645</v>
      </c>
      <c r="C408" s="8">
        <v>0.85548399177677847</v>
      </c>
      <c r="D408" s="8">
        <v>-5.2896656816179721E-2</v>
      </c>
      <c r="E408" s="7">
        <v>-1.4990516053215155E-2</v>
      </c>
      <c r="F408" s="7">
        <v>0</v>
      </c>
      <c r="G408" s="7">
        <v>0</v>
      </c>
      <c r="H408" s="7">
        <v>-2.2872089329671663E-2</v>
      </c>
      <c r="I408" s="7">
        <v>2.2385887789414392E-2</v>
      </c>
      <c r="J408" s="7">
        <v>0</v>
      </c>
      <c r="K408" s="7">
        <v>0</v>
      </c>
      <c r="L408">
        <v>3.3557501239318595</v>
      </c>
      <c r="M408">
        <v>3.6711215682891076E-4</v>
      </c>
      <c r="N408" s="9"/>
      <c r="O408" s="3">
        <f>L408-M408</f>
        <v>3.3553830117750305</v>
      </c>
      <c r="T408" s="3"/>
    </row>
    <row r="409" spans="1:20">
      <c r="A409" s="7" t="s">
        <v>115</v>
      </c>
      <c r="B409" s="8">
        <v>-2.0770709056556562</v>
      </c>
      <c r="C409" s="8">
        <v>2.1445635165533226</v>
      </c>
      <c r="D409" s="8">
        <v>5.6653180844775664E-2</v>
      </c>
      <c r="E409" s="7">
        <v>0</v>
      </c>
      <c r="F409" s="7">
        <v>-1.4990516053215155E-2</v>
      </c>
      <c r="G409" s="7">
        <v>0</v>
      </c>
      <c r="H409" s="7">
        <v>-2.2872089329671663E-2</v>
      </c>
      <c r="I409" s="7">
        <v>0</v>
      </c>
      <c r="J409" s="7">
        <v>1.5970575730977998E-2</v>
      </c>
      <c r="K409" s="7">
        <v>0</v>
      </c>
      <c r="L409">
        <v>4.4582929032762966</v>
      </c>
      <c r="M409">
        <v>4.4724002741192721E-3</v>
      </c>
      <c r="N409" s="9"/>
      <c r="O409" s="3">
        <f>L409-M409</f>
        <v>4.4538205030021771</v>
      </c>
      <c r="T409" s="3"/>
    </row>
    <row r="410" spans="1:20">
      <c r="A410" s="7"/>
      <c r="B410" s="8">
        <v>-1.0673702345396179</v>
      </c>
      <c r="C410" s="8">
        <v>2.4075843796929846</v>
      </c>
      <c r="D410" s="8">
        <v>-0.708799578341892</v>
      </c>
      <c r="E410" s="7">
        <v>0</v>
      </c>
      <c r="F410" s="7">
        <v>0</v>
      </c>
      <c r="G410" s="7">
        <v>-1.4990516053215155E-2</v>
      </c>
      <c r="H410" s="7">
        <v>-2.2872089329671663E-2</v>
      </c>
      <c r="I410" s="7">
        <v>0</v>
      </c>
      <c r="J410" s="7">
        <v>0</v>
      </c>
      <c r="K410" s="7">
        <v>2.0521745021313972E-2</v>
      </c>
      <c r="L410">
        <v>3.7190693025902282</v>
      </c>
      <c r="M410">
        <v>1.7015582152214068E-3</v>
      </c>
      <c r="N410" s="9"/>
      <c r="O410" s="3">
        <f>L410-M410</f>
        <v>3.7173677443750068</v>
      </c>
      <c r="T410" s="3"/>
    </row>
    <row r="411" spans="1:20">
      <c r="A411" s="7"/>
      <c r="B411" s="8"/>
      <c r="C411" s="8"/>
      <c r="D411" s="8"/>
      <c r="E411" s="7"/>
      <c r="F411" s="7"/>
      <c r="G411" s="7"/>
      <c r="H411" s="7"/>
      <c r="I411" s="7"/>
      <c r="J411" s="7"/>
      <c r="K411" s="7"/>
      <c r="N411" s="10"/>
      <c r="O411" s="3"/>
      <c r="T411" s="3"/>
    </row>
    <row r="412" spans="1:20">
      <c r="A412" s="7"/>
      <c r="B412" s="8">
        <v>-2.44475956514645</v>
      </c>
      <c r="C412" s="8">
        <v>0.85548399177677847</v>
      </c>
      <c r="D412" s="8">
        <v>-5.2896656816179721E-2</v>
      </c>
      <c r="E412" s="7">
        <v>-1.4990516053215155E-2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>
        <v>3.3557501239318595</v>
      </c>
      <c r="M412">
        <v>0</v>
      </c>
      <c r="N412" s="9"/>
      <c r="O412" s="3">
        <f>L412-M412</f>
        <v>3.3557501239318595</v>
      </c>
      <c r="T412" s="3"/>
    </row>
    <row r="413" spans="1:20">
      <c r="A413" s="7" t="s">
        <v>116</v>
      </c>
      <c r="B413" s="8">
        <v>-0.45824053226673911</v>
      </c>
      <c r="C413" s="8">
        <v>2.124969022302313</v>
      </c>
      <c r="D413" s="8">
        <v>-2.076961144994538E-2</v>
      </c>
      <c r="E413" s="7">
        <v>0</v>
      </c>
      <c r="F413" s="7">
        <v>-1.4990516053215155E-2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>
        <v>2.3629545539581671</v>
      </c>
      <c r="M413">
        <v>0</v>
      </c>
      <c r="N413" s="9"/>
      <c r="O413" s="3">
        <f>L413-M413</f>
        <v>2.3629545539581671</v>
      </c>
      <c r="T413" s="3"/>
    </row>
    <row r="414" spans="1:20">
      <c r="A414" s="7"/>
      <c r="B414" s="8">
        <v>-1.0673702345396179</v>
      </c>
      <c r="C414" s="8">
        <v>2.4075843796929846</v>
      </c>
      <c r="D414" s="8">
        <v>-0.708799578341892</v>
      </c>
      <c r="E414" s="7">
        <v>0</v>
      </c>
      <c r="F414" s="7">
        <v>0</v>
      </c>
      <c r="G414" s="7">
        <v>-1.4990516053215155E-2</v>
      </c>
      <c r="H414" s="7">
        <v>0</v>
      </c>
      <c r="I414" s="7">
        <v>0</v>
      </c>
      <c r="J414" s="7">
        <v>0</v>
      </c>
      <c r="K414" s="7">
        <v>0</v>
      </c>
      <c r="L414">
        <v>3.7190693025902282</v>
      </c>
      <c r="M414">
        <v>0</v>
      </c>
      <c r="N414" s="9"/>
      <c r="O414" s="3">
        <f>L414-M414</f>
        <v>3.7190693025902282</v>
      </c>
      <c r="T414" s="3"/>
    </row>
    <row r="415" spans="1:20">
      <c r="A415" s="7"/>
      <c r="B415" s="8"/>
      <c r="C415" s="8"/>
      <c r="D415" s="8"/>
      <c r="E415" s="7"/>
      <c r="F415" s="7"/>
      <c r="G415" s="7"/>
      <c r="H415" s="7"/>
      <c r="I415" s="7"/>
      <c r="J415" s="7"/>
      <c r="K415" s="7"/>
      <c r="N415" s="10"/>
      <c r="O415" s="3"/>
      <c r="T415" s="3"/>
    </row>
    <row r="416" spans="1:20">
      <c r="A416" s="7"/>
      <c r="B416" s="8">
        <v>0.40019020491700363</v>
      </c>
      <c r="C416" s="8">
        <v>1.0840062473010013</v>
      </c>
      <c r="D416" s="8">
        <v>1.6840506224230944E-2</v>
      </c>
      <c r="E416" s="7">
        <v>-1.4990516053215155E-2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>
        <v>0.66775267347450074</v>
      </c>
      <c r="M416">
        <v>0</v>
      </c>
      <c r="N416" s="9"/>
      <c r="O416" s="3">
        <f>L416-M416</f>
        <v>0.66775267347450074</v>
      </c>
      <c r="T416" s="3"/>
    </row>
    <row r="417" spans="1:20">
      <c r="A417" s="7" t="s">
        <v>117</v>
      </c>
      <c r="B417" s="8">
        <v>-2.0770709056556562</v>
      </c>
      <c r="C417" s="8">
        <v>2.1445635165533226</v>
      </c>
      <c r="D417" s="8">
        <v>5.6653180844775664E-2</v>
      </c>
      <c r="E417" s="7">
        <v>0</v>
      </c>
      <c r="F417" s="7">
        <v>-1.4990516053215155E-2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>
        <v>4.4582929032762966</v>
      </c>
      <c r="M417">
        <v>0</v>
      </c>
      <c r="N417" s="9"/>
      <c r="O417" s="3">
        <f>L417-M417</f>
        <v>4.4582929032762966</v>
      </c>
      <c r="T417" s="3"/>
    </row>
    <row r="418" spans="1:20">
      <c r="A418" s="7"/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0</v>
      </c>
      <c r="G418" s="7">
        <v>-1.4990516053215155E-2</v>
      </c>
      <c r="H418" s="7">
        <v>0</v>
      </c>
      <c r="I418" s="7">
        <v>0</v>
      </c>
      <c r="J418" s="7">
        <v>0</v>
      </c>
      <c r="K418" s="7">
        <v>0</v>
      </c>
      <c r="L418">
        <v>2.3629545539581671</v>
      </c>
      <c r="M418">
        <v>0</v>
      </c>
      <c r="N418" s="9"/>
      <c r="O418" s="3">
        <f>L418-M418</f>
        <v>2.3629545539581671</v>
      </c>
      <c r="T418" s="3"/>
    </row>
    <row r="419" spans="1:20">
      <c r="A419" s="7"/>
      <c r="B419" s="8"/>
      <c r="C419" s="8"/>
      <c r="D419" s="8"/>
      <c r="E419" s="7"/>
      <c r="F419" s="7"/>
      <c r="G419" s="7"/>
      <c r="H419" s="7"/>
      <c r="I419" s="7"/>
      <c r="J419" s="7"/>
      <c r="K419" s="7"/>
      <c r="N419" s="10"/>
      <c r="O419" s="3"/>
      <c r="T419" s="3"/>
    </row>
    <row r="420" spans="1:20">
      <c r="A420" s="7"/>
      <c r="B420" s="8">
        <v>0.40019020491700363</v>
      </c>
      <c r="C420" s="8">
        <v>1.0840062473010013</v>
      </c>
      <c r="D420" s="8">
        <v>1.6840506224230944E-2</v>
      </c>
      <c r="E420" s="7">
        <v>-1.4990516053215155E-2</v>
      </c>
      <c r="F420" s="7">
        <v>0</v>
      </c>
      <c r="G420" s="7">
        <v>0</v>
      </c>
      <c r="H420" s="7">
        <v>-2.2872089329671663E-2</v>
      </c>
      <c r="I420" s="7">
        <v>1.6236379226863738E-2</v>
      </c>
      <c r="J420" s="7">
        <v>0</v>
      </c>
      <c r="K420" s="7">
        <v>0</v>
      </c>
      <c r="L420">
        <v>0.66775267347450074</v>
      </c>
      <c r="M420">
        <v>4.3295774383228357E-3</v>
      </c>
      <c r="N420" s="9"/>
      <c r="O420" s="3">
        <f>L420-M420</f>
        <v>0.66342309603617788</v>
      </c>
      <c r="T420" s="3"/>
    </row>
    <row r="421" spans="1:20">
      <c r="A421" s="7" t="s">
        <v>118</v>
      </c>
      <c r="B421" s="8">
        <v>-2.0770709056556562</v>
      </c>
      <c r="C421" s="8">
        <v>2.1445635165533226</v>
      </c>
      <c r="D421" s="8">
        <v>5.6653180844775664E-2</v>
      </c>
      <c r="E421" s="7">
        <v>0</v>
      </c>
      <c r="F421" s="7">
        <v>-1.4990516053215155E-2</v>
      </c>
      <c r="G421" s="7">
        <v>0</v>
      </c>
      <c r="H421" s="7">
        <v>-2.2872089329671663E-2</v>
      </c>
      <c r="I421" s="7">
        <v>0</v>
      </c>
      <c r="J421" s="7">
        <v>1.5970575730977998E-2</v>
      </c>
      <c r="K421" s="7">
        <v>0</v>
      </c>
      <c r="L421">
        <v>4.4582929032762966</v>
      </c>
      <c r="M421">
        <v>4.4724002741192721E-3</v>
      </c>
      <c r="N421" s="9"/>
      <c r="O421" s="3">
        <f>L421-M421</f>
        <v>4.4538205030021771</v>
      </c>
      <c r="T421" s="3"/>
    </row>
    <row r="422" spans="1:20">
      <c r="A422" s="7"/>
      <c r="B422" s="8">
        <v>-1.0673702345396179</v>
      </c>
      <c r="C422" s="8">
        <v>2.4075843796929846</v>
      </c>
      <c r="D422" s="8">
        <v>-0.708799578341892</v>
      </c>
      <c r="E422" s="7">
        <v>0</v>
      </c>
      <c r="F422" s="7">
        <v>0</v>
      </c>
      <c r="G422" s="7">
        <v>-1.4990516053215155E-2</v>
      </c>
      <c r="H422" s="7">
        <v>-2.2872089329671663E-2</v>
      </c>
      <c r="I422" s="7">
        <v>0</v>
      </c>
      <c r="J422" s="7">
        <v>0</v>
      </c>
      <c r="K422" s="7">
        <v>2.0521745021313972E-2</v>
      </c>
      <c r="L422">
        <v>3.7190693025902282</v>
      </c>
      <c r="M422">
        <v>1.7015582152214068E-3</v>
      </c>
      <c r="N422" s="9"/>
      <c r="O422" s="3">
        <f>L422-M422</f>
        <v>3.7173677443750068</v>
      </c>
      <c r="T422" s="3"/>
    </row>
    <row r="423" spans="1:20">
      <c r="A423" s="7"/>
      <c r="B423" s="8"/>
      <c r="C423" s="8"/>
      <c r="D423" s="8"/>
      <c r="E423" s="7"/>
      <c r="F423" s="7"/>
      <c r="G423" s="7"/>
      <c r="H423" s="7"/>
      <c r="I423" s="7"/>
      <c r="J423" s="7"/>
      <c r="K423" s="7"/>
      <c r="N423" s="10"/>
      <c r="O423" s="3"/>
      <c r="T423" s="3"/>
    </row>
    <row r="424" spans="1:20">
      <c r="A424" s="7"/>
      <c r="B424" s="8">
        <v>0.40019020491700363</v>
      </c>
      <c r="C424" s="8">
        <v>1.0840062473010013</v>
      </c>
      <c r="D424" s="8">
        <v>1.6840506224230944E-2</v>
      </c>
      <c r="E424" s="7">
        <v>-1.4990516053215155E-2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>
        <v>0.66775267347450074</v>
      </c>
      <c r="M424">
        <v>0</v>
      </c>
      <c r="N424" s="9"/>
      <c r="O424" s="3">
        <f>L424-M424</f>
        <v>0.66775267347450074</v>
      </c>
      <c r="T424" s="3"/>
    </row>
    <row r="425" spans="1:20">
      <c r="A425" s="7" t="s">
        <v>119</v>
      </c>
      <c r="B425" s="8">
        <v>-0.45824053226673911</v>
      </c>
      <c r="C425" s="8">
        <v>2.124969022302313</v>
      </c>
      <c r="D425" s="8">
        <v>-2.076961144994538E-2</v>
      </c>
      <c r="E425" s="7">
        <v>0</v>
      </c>
      <c r="F425" s="7">
        <v>-1.4990516053215155E-2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>
        <v>2.3629545539581671</v>
      </c>
      <c r="M425">
        <v>0</v>
      </c>
      <c r="N425" s="9"/>
      <c r="O425" s="3">
        <f>L425-M425</f>
        <v>2.3629545539581671</v>
      </c>
      <c r="T425" s="3"/>
    </row>
    <row r="426" spans="1:20">
      <c r="A426" s="7"/>
      <c r="B426" s="8">
        <v>-1.0673702345396179</v>
      </c>
      <c r="C426" s="8">
        <v>2.4075843796929846</v>
      </c>
      <c r="D426" s="8">
        <v>-0.708799578341892</v>
      </c>
      <c r="E426" s="7">
        <v>0</v>
      </c>
      <c r="F426" s="7">
        <v>0</v>
      </c>
      <c r="G426" s="7">
        <v>-1.4990516053215155E-2</v>
      </c>
      <c r="H426" s="7">
        <v>0</v>
      </c>
      <c r="I426" s="7">
        <v>0</v>
      </c>
      <c r="J426" s="7">
        <v>0</v>
      </c>
      <c r="K426" s="7">
        <v>0</v>
      </c>
      <c r="L426">
        <v>3.7190693025902282</v>
      </c>
      <c r="M426">
        <v>0</v>
      </c>
      <c r="N426" s="9"/>
      <c r="O426" s="3">
        <f>L426-M426</f>
        <v>3.7190693025902282</v>
      </c>
      <c r="T426" s="3"/>
    </row>
    <row r="427" spans="1:20">
      <c r="A427" s="7"/>
      <c r="B427" s="8"/>
      <c r="C427" s="8"/>
      <c r="D427" s="8"/>
      <c r="E427" s="7"/>
      <c r="F427" s="7"/>
      <c r="G427" s="7"/>
      <c r="H427" s="7"/>
      <c r="I427" s="7"/>
      <c r="J427" s="7"/>
      <c r="K427" s="7"/>
      <c r="N427" s="10"/>
      <c r="O427" s="3"/>
      <c r="T427" s="3"/>
    </row>
    <row r="428" spans="1:20">
      <c r="A428" s="7"/>
      <c r="B428" s="8">
        <v>-2.0770709056556562</v>
      </c>
      <c r="C428" s="8">
        <v>2.1445635165533226</v>
      </c>
      <c r="D428" s="8">
        <v>5.6653180844775664E-2</v>
      </c>
      <c r="E428" s="7">
        <v>-1.4990516053215155E-2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>
        <v>4.4582929032762966</v>
      </c>
      <c r="M428">
        <v>0</v>
      </c>
      <c r="N428" s="9"/>
      <c r="O428" s="3">
        <f>L428-M428</f>
        <v>4.4582929032762966</v>
      </c>
      <c r="T428" s="3"/>
    </row>
    <row r="429" spans="1:20">
      <c r="A429" s="7" t="s">
        <v>120</v>
      </c>
      <c r="B429" s="8">
        <v>-0.45824053226673911</v>
      </c>
      <c r="C429" s="8">
        <v>2.124969022302313</v>
      </c>
      <c r="D429" s="8">
        <v>-2.076961144994538E-2</v>
      </c>
      <c r="E429" s="7">
        <v>0</v>
      </c>
      <c r="F429" s="7">
        <v>-1.4990516053215155E-2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>
        <v>2.3629545539581671</v>
      </c>
      <c r="M429">
        <v>0</v>
      </c>
      <c r="N429" s="9"/>
      <c r="O429" s="3">
        <f>L429-M429</f>
        <v>2.3629545539581671</v>
      </c>
      <c r="T429" s="3"/>
    </row>
    <row r="430" spans="1:20">
      <c r="A430" s="7"/>
      <c r="B430" s="8">
        <v>-1.0673702345396179</v>
      </c>
      <c r="C430" s="8">
        <v>2.4075843796929846</v>
      </c>
      <c r="D430" s="8">
        <v>-0.708799578341892</v>
      </c>
      <c r="E430" s="7">
        <v>0</v>
      </c>
      <c r="F430" s="7">
        <v>0</v>
      </c>
      <c r="G430" s="7">
        <v>-1.4990516053215155E-2</v>
      </c>
      <c r="H430" s="7">
        <v>0</v>
      </c>
      <c r="I430" s="7">
        <v>0</v>
      </c>
      <c r="J430" s="7">
        <v>0</v>
      </c>
      <c r="K430" s="7">
        <v>0</v>
      </c>
      <c r="L430">
        <v>3.7190693025902282</v>
      </c>
      <c r="M430">
        <v>0</v>
      </c>
      <c r="N430" s="9"/>
      <c r="O430" s="3">
        <f>L430-M430</f>
        <v>3.7190693025902282</v>
      </c>
      <c r="T430" s="3"/>
    </row>
    <row r="431" spans="1:20">
      <c r="A431" s="7"/>
      <c r="B431" s="8"/>
      <c r="C431" s="8"/>
      <c r="D431" s="8"/>
      <c r="E431" s="7"/>
      <c r="F431" s="7"/>
      <c r="G431" s="7"/>
      <c r="H431" s="7"/>
      <c r="I431" s="7"/>
      <c r="J431" s="7"/>
      <c r="K431" s="7"/>
      <c r="N431" s="10"/>
      <c r="O431" s="3"/>
      <c r="T431" s="3"/>
    </row>
    <row r="432" spans="1:20">
      <c r="A432" s="7"/>
      <c r="B432" s="8">
        <v>1.4028471761352286</v>
      </c>
      <c r="C432" s="8">
        <v>-0.814665459345566</v>
      </c>
      <c r="D432" s="8">
        <v>-0.7195871750303805</v>
      </c>
      <c r="E432" s="7">
        <v>-1.4990516053215155E-2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>
        <v>1.5747328563547551</v>
      </c>
      <c r="M432">
        <v>0</v>
      </c>
      <c r="N432" s="9"/>
      <c r="O432" s="3">
        <f>L432-M432</f>
        <v>1.5747328563547551</v>
      </c>
      <c r="T432" s="3"/>
    </row>
    <row r="433" spans="1:20">
      <c r="A433" s="7" t="s">
        <v>121</v>
      </c>
      <c r="B433" s="8">
        <v>0.14897154656832046</v>
      </c>
      <c r="C433" s="8">
        <v>-0.84725762547333594</v>
      </c>
      <c r="D433" s="8">
        <v>1.9759438806851826E-2</v>
      </c>
      <c r="E433" s="7">
        <v>0</v>
      </c>
      <c r="F433" s="7">
        <v>-1.4990516053215155E-2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>
        <v>0.37021422051581732</v>
      </c>
      <c r="M433">
        <v>0</v>
      </c>
      <c r="N433" s="9"/>
      <c r="O433" s="3">
        <f>L433-M433</f>
        <v>0.37021422051581732</v>
      </c>
      <c r="T433" s="3"/>
    </row>
    <row r="434" spans="1:20">
      <c r="A434" s="7"/>
      <c r="B434" s="8">
        <v>2.44475956514645</v>
      </c>
      <c r="C434" s="8">
        <v>-0.85548399177677847</v>
      </c>
      <c r="D434" s="8">
        <v>5.2896656816179721E-2</v>
      </c>
      <c r="E434" s="7">
        <v>0</v>
      </c>
      <c r="F434" s="7">
        <v>0</v>
      </c>
      <c r="G434" s="7">
        <v>-1.4990516053215155E-2</v>
      </c>
      <c r="H434" s="7">
        <v>0</v>
      </c>
      <c r="I434" s="7">
        <v>0</v>
      </c>
      <c r="J434" s="7">
        <v>0</v>
      </c>
      <c r="K434" s="7">
        <v>0</v>
      </c>
      <c r="L434">
        <v>3.3557501239318595</v>
      </c>
      <c r="M434">
        <v>0</v>
      </c>
      <c r="N434" s="9"/>
      <c r="O434" s="3">
        <f>L434-M434</f>
        <v>3.3557501239318595</v>
      </c>
      <c r="T434" s="3"/>
    </row>
    <row r="435" spans="1:20">
      <c r="A435" s="7"/>
      <c r="B435" s="8"/>
      <c r="C435" s="8"/>
      <c r="D435" s="8"/>
      <c r="E435" s="7"/>
      <c r="F435" s="7"/>
      <c r="G435" s="7"/>
      <c r="H435" s="7"/>
      <c r="I435" s="7"/>
      <c r="J435" s="7"/>
      <c r="K435" s="7"/>
      <c r="N435" s="10"/>
      <c r="O435" s="3"/>
      <c r="T435" s="3"/>
    </row>
    <row r="436" spans="1:20">
      <c r="A436" s="7"/>
      <c r="B436" s="8">
        <v>1.4028471761352286</v>
      </c>
      <c r="C436" s="8">
        <v>-0.814665459345566</v>
      </c>
      <c r="D436" s="8">
        <v>-0.7195871750303805</v>
      </c>
      <c r="E436" s="7">
        <v>-1.4990516053215155E-2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>
        <v>1.5747328563547551</v>
      </c>
      <c r="M436">
        <v>0</v>
      </c>
      <c r="N436" s="9"/>
      <c r="O436" s="3">
        <f>L436-M436</f>
        <v>1.5747328563547551</v>
      </c>
      <c r="T436" s="3"/>
    </row>
    <row r="437" spans="1:20">
      <c r="A437" s="7" t="s">
        <v>122</v>
      </c>
      <c r="B437" s="8">
        <v>0.14897154656832046</v>
      </c>
      <c r="C437" s="8">
        <v>-0.84725762547333594</v>
      </c>
      <c r="D437" s="8">
        <v>1.9759438806851826E-2</v>
      </c>
      <c r="E437" s="7">
        <v>0</v>
      </c>
      <c r="F437" s="7">
        <v>-1.4990516053215155E-2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>
        <v>0.37021422051581732</v>
      </c>
      <c r="M437">
        <v>0</v>
      </c>
      <c r="N437" s="9"/>
      <c r="O437" s="3">
        <f>L437-M437</f>
        <v>0.37021422051581732</v>
      </c>
      <c r="T437" s="3"/>
    </row>
    <row r="438" spans="1:20">
      <c r="A438" s="7"/>
      <c r="B438" s="8">
        <v>2.8449497700634536</v>
      </c>
      <c r="C438" s="8">
        <v>0.22852225552422287</v>
      </c>
      <c r="D438" s="8">
        <v>6.9737163040410666E-2</v>
      </c>
      <c r="E438" s="7">
        <v>0</v>
      </c>
      <c r="F438" s="7">
        <v>0</v>
      </c>
      <c r="G438" s="7">
        <v>-1.4990516053215155E-2</v>
      </c>
      <c r="H438" s="7">
        <v>0</v>
      </c>
      <c r="I438" s="7">
        <v>0</v>
      </c>
      <c r="J438" s="7">
        <v>0</v>
      </c>
      <c r="K438" s="7">
        <v>0</v>
      </c>
      <c r="L438">
        <v>4.0754124436814498</v>
      </c>
      <c r="M438">
        <v>0</v>
      </c>
      <c r="N438" s="9"/>
      <c r="O438" s="3">
        <f>L438-M438</f>
        <v>4.0754124436814498</v>
      </c>
      <c r="T438" s="3"/>
    </row>
    <row r="439" spans="1:20">
      <c r="A439" s="7"/>
      <c r="B439" s="8"/>
      <c r="C439" s="8"/>
      <c r="D439" s="8"/>
      <c r="E439" s="7"/>
      <c r="F439" s="7"/>
      <c r="G439" s="7"/>
      <c r="H439" s="7"/>
      <c r="I439" s="7"/>
      <c r="J439" s="7"/>
      <c r="K439" s="7"/>
      <c r="N439" s="10"/>
      <c r="O439" s="3"/>
      <c r="T439" s="3"/>
    </row>
    <row r="440" spans="1:20">
      <c r="A440" s="7"/>
      <c r="B440" s="8">
        <v>1.4028471761352286</v>
      </c>
      <c r="C440" s="8">
        <v>-0.814665459345566</v>
      </c>
      <c r="D440" s="8">
        <v>-0.7195871750303805</v>
      </c>
      <c r="E440" s="7">
        <v>-1.4990516053215155E-2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>
        <v>1.5747328563547551</v>
      </c>
      <c r="M440">
        <v>0</v>
      </c>
      <c r="N440" s="9"/>
      <c r="O440" s="3">
        <f>L440-M440</f>
        <v>1.5747328563547551</v>
      </c>
      <c r="T440" s="3"/>
    </row>
    <row r="441" spans="1:20">
      <c r="A441" s="7" t="s">
        <v>123</v>
      </c>
      <c r="B441" s="8">
        <v>0.14897154656832046</v>
      </c>
      <c r="C441" s="8">
        <v>-0.84725762547333594</v>
      </c>
      <c r="D441" s="8">
        <v>1.9759438806851826E-2</v>
      </c>
      <c r="E441" s="7">
        <v>0</v>
      </c>
      <c r="F441" s="7">
        <v>-1.4990516053215155E-2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>
        <v>0.37021422051581732</v>
      </c>
      <c r="M441">
        <v>0</v>
      </c>
      <c r="N441" s="9"/>
      <c r="O441" s="3">
        <f>L441-M441</f>
        <v>0.37021422051581732</v>
      </c>
      <c r="T441" s="3"/>
    </row>
    <row r="442" spans="1:20">
      <c r="A442" s="7"/>
      <c r="B442" s="8">
        <v>0.36768865949079377</v>
      </c>
      <c r="C442" s="8">
        <v>1.2890795247765441</v>
      </c>
      <c r="D442" s="8">
        <v>0.10954983766095538</v>
      </c>
      <c r="E442" s="7">
        <v>0</v>
      </c>
      <c r="F442" s="7">
        <v>0</v>
      </c>
      <c r="G442" s="7">
        <v>-1.4990516053215155E-2</v>
      </c>
      <c r="H442" s="7">
        <v>0</v>
      </c>
      <c r="I442" s="7">
        <v>0</v>
      </c>
      <c r="J442" s="7">
        <v>0</v>
      </c>
      <c r="K442" s="7">
        <v>0</v>
      </c>
      <c r="L442">
        <v>0.90446106922389957</v>
      </c>
      <c r="M442">
        <v>0</v>
      </c>
      <c r="N442" s="9"/>
      <c r="O442" s="3">
        <f>L442-M442</f>
        <v>0.90446106922389957</v>
      </c>
      <c r="T442" s="3"/>
    </row>
    <row r="443" spans="1:20">
      <c r="A443" s="7"/>
      <c r="B443" s="8"/>
      <c r="C443" s="8"/>
      <c r="D443" s="8"/>
      <c r="E443" s="7"/>
      <c r="F443" s="7"/>
      <c r="G443" s="7"/>
      <c r="H443" s="7"/>
      <c r="I443" s="7"/>
      <c r="J443" s="7"/>
      <c r="K443" s="7"/>
      <c r="N443" s="10"/>
      <c r="O443" s="3"/>
      <c r="T443" s="3"/>
    </row>
    <row r="444" spans="1:20">
      <c r="A444" s="7"/>
      <c r="B444" s="8">
        <v>1.4028471761352286</v>
      </c>
      <c r="C444" s="8">
        <v>-0.814665459345566</v>
      </c>
      <c r="D444" s="8">
        <v>-0.7195871750303805</v>
      </c>
      <c r="E444" s="7">
        <v>-1.4990516053215155E-2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>
        <v>1.5747328563547551</v>
      </c>
      <c r="M444">
        <v>0</v>
      </c>
      <c r="N444" s="9"/>
      <c r="O444" s="3">
        <f>L444-M444</f>
        <v>1.5747328563547551</v>
      </c>
      <c r="T444" s="3"/>
    </row>
    <row r="445" spans="1:20">
      <c r="A445" s="7" t="s">
        <v>124</v>
      </c>
      <c r="B445" s="8">
        <v>0.14897154656832046</v>
      </c>
      <c r="C445" s="8">
        <v>-0.84725762547333594</v>
      </c>
      <c r="D445" s="8">
        <v>1.9759438806851826E-2</v>
      </c>
      <c r="E445" s="7">
        <v>0</v>
      </c>
      <c r="F445" s="7">
        <v>-1.4990516053215155E-2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>
        <v>0.37021422051581732</v>
      </c>
      <c r="M445">
        <v>0</v>
      </c>
      <c r="N445" s="9"/>
      <c r="O445" s="3">
        <f>L445-M445</f>
        <v>0.37021422051581732</v>
      </c>
      <c r="T445" s="3"/>
    </row>
    <row r="446" spans="1:20">
      <c r="A446" s="7"/>
      <c r="B446" s="8">
        <v>1.9865190328797109</v>
      </c>
      <c r="C446" s="8">
        <v>1.2694850305255347</v>
      </c>
      <c r="D446" s="8">
        <v>3.2127045366234341E-2</v>
      </c>
      <c r="E446" s="7">
        <v>0</v>
      </c>
      <c r="F446" s="7">
        <v>0</v>
      </c>
      <c r="G446" s="7">
        <v>-1.4990516053215155E-2</v>
      </c>
      <c r="H446" s="7">
        <v>0</v>
      </c>
      <c r="I446" s="7">
        <v>0</v>
      </c>
      <c r="J446" s="7">
        <v>0</v>
      </c>
      <c r="K446" s="7">
        <v>0</v>
      </c>
      <c r="L446">
        <v>2.779441128882862</v>
      </c>
      <c r="M446">
        <v>0</v>
      </c>
      <c r="N446" s="9"/>
      <c r="O446" s="3">
        <f>L446-M446</f>
        <v>2.779441128882862</v>
      </c>
      <c r="T446" s="3"/>
    </row>
    <row r="447" spans="1:20">
      <c r="A447" s="7"/>
      <c r="B447" s="8"/>
      <c r="C447" s="8"/>
      <c r="D447" s="8"/>
      <c r="E447" s="7"/>
      <c r="F447" s="7"/>
      <c r="G447" s="7"/>
      <c r="H447" s="7"/>
      <c r="I447" s="7"/>
      <c r="J447" s="7"/>
      <c r="K447" s="7"/>
      <c r="N447" s="10"/>
      <c r="O447" s="3"/>
      <c r="T447" s="3"/>
    </row>
    <row r="448" spans="1:20">
      <c r="A448" s="7"/>
      <c r="B448" s="8">
        <v>1.4028471761352286</v>
      </c>
      <c r="C448" s="8">
        <v>-0.814665459345566</v>
      </c>
      <c r="D448" s="8">
        <v>-0.7195871750303805</v>
      </c>
      <c r="E448" s="7">
        <v>-1.4990516053215155E-2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>
        <v>1.5747328563547551</v>
      </c>
      <c r="M448">
        <v>0</v>
      </c>
      <c r="N448" s="9"/>
      <c r="O448" s="3">
        <f>L448-M448</f>
        <v>1.5747328563547551</v>
      </c>
      <c r="T448" s="3"/>
    </row>
    <row r="449" spans="1:20">
      <c r="A449" s="7" t="s">
        <v>125</v>
      </c>
      <c r="B449" s="8">
        <v>0.14897154656832046</v>
      </c>
      <c r="C449" s="8">
        <v>-0.84725762547333594</v>
      </c>
      <c r="D449" s="8">
        <v>1.9759438806851826E-2</v>
      </c>
      <c r="E449" s="7">
        <v>0</v>
      </c>
      <c r="F449" s="7">
        <v>-1.4990516053215155E-2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>
        <v>0.37021422051581732</v>
      </c>
      <c r="M449">
        <v>0</v>
      </c>
      <c r="N449" s="9"/>
      <c r="O449" s="3">
        <f>L449-M449</f>
        <v>0.37021422051581732</v>
      </c>
      <c r="T449" s="3"/>
    </row>
    <row r="450" spans="1:20">
      <c r="A450" s="7"/>
      <c r="B450" s="8">
        <v>1.3773893306068323</v>
      </c>
      <c r="C450" s="8">
        <v>1.5521003879162059</v>
      </c>
      <c r="D450" s="8">
        <v>-0.65590292152571228</v>
      </c>
      <c r="E450" s="7">
        <v>0</v>
      </c>
      <c r="F450" s="7">
        <v>0</v>
      </c>
      <c r="G450" s="7">
        <v>-1.4990516053215155E-2</v>
      </c>
      <c r="H450" s="7">
        <v>0</v>
      </c>
      <c r="I450" s="7">
        <v>0</v>
      </c>
      <c r="J450" s="7">
        <v>0</v>
      </c>
      <c r="K450" s="7">
        <v>0</v>
      </c>
      <c r="L450">
        <v>2.3682128123525694</v>
      </c>
      <c r="M450">
        <v>0</v>
      </c>
      <c r="N450" s="9"/>
      <c r="O450" s="3">
        <f>L450-M450</f>
        <v>2.3682128123525694</v>
      </c>
      <c r="T450" s="3"/>
    </row>
    <row r="451" spans="1:20">
      <c r="A451" s="7"/>
      <c r="B451" s="8"/>
      <c r="C451" s="8"/>
      <c r="D451" s="8"/>
      <c r="E451" s="7"/>
      <c r="F451" s="7"/>
      <c r="G451" s="7"/>
      <c r="H451" s="7"/>
      <c r="I451" s="7"/>
      <c r="J451" s="7"/>
      <c r="K451" s="7"/>
      <c r="N451" s="10"/>
      <c r="O451" s="3"/>
      <c r="T451" s="3"/>
    </row>
    <row r="452" spans="1:20">
      <c r="A452" s="7"/>
      <c r="B452" s="8">
        <v>1.4028471761352286</v>
      </c>
      <c r="C452" s="8">
        <v>-0.814665459345566</v>
      </c>
      <c r="D452" s="8">
        <v>-0.7195871750303805</v>
      </c>
      <c r="E452" s="7">
        <v>-1.4990516053215155E-2</v>
      </c>
      <c r="F452" s="7">
        <v>0</v>
      </c>
      <c r="G452" s="7">
        <v>0</v>
      </c>
      <c r="H452" s="7">
        <v>-2.2385887789414392E-2</v>
      </c>
      <c r="I452" s="7">
        <v>2.1796664656245589E-2</v>
      </c>
      <c r="J452" s="7">
        <v>0</v>
      </c>
      <c r="K452" s="7">
        <v>0</v>
      </c>
      <c r="L452">
        <v>1.5747328563547551</v>
      </c>
      <c r="M452">
        <v>4.3432806008441584E-4</v>
      </c>
      <c r="N452" s="9"/>
      <c r="O452" s="3">
        <f>L452-M452</f>
        <v>1.5742985282946707</v>
      </c>
      <c r="T452" s="3"/>
    </row>
    <row r="453" spans="1:20">
      <c r="A453" s="7" t="s">
        <v>126</v>
      </c>
      <c r="B453" s="8">
        <v>2.44475956514645</v>
      </c>
      <c r="C453" s="8">
        <v>-0.85548399177677847</v>
      </c>
      <c r="D453" s="8">
        <v>5.2896656816179721E-2</v>
      </c>
      <c r="E453" s="7">
        <v>0</v>
      </c>
      <c r="F453" s="7">
        <v>-1.4990516053215155E-2</v>
      </c>
      <c r="G453" s="7">
        <v>0</v>
      </c>
      <c r="H453" s="7">
        <v>-2.2385887789414392E-2</v>
      </c>
      <c r="I453" s="7">
        <v>0</v>
      </c>
      <c r="J453" s="7">
        <v>2.2872089329671663E-2</v>
      </c>
      <c r="K453" s="7">
        <v>0</v>
      </c>
      <c r="L453">
        <v>3.3557501239318595</v>
      </c>
      <c r="M453">
        <v>-3.6711215682891076E-4</v>
      </c>
      <c r="N453" s="9"/>
      <c r="O453" s="3">
        <f>L453-M453</f>
        <v>3.3561172360886884</v>
      </c>
      <c r="T453" s="3"/>
    </row>
    <row r="454" spans="1:20">
      <c r="A454" s="7"/>
      <c r="B454" s="8">
        <v>2.8449497700634536</v>
      </c>
      <c r="C454" s="8">
        <v>0.22852225552422287</v>
      </c>
      <c r="D454" s="8">
        <v>6.9737163040410666E-2</v>
      </c>
      <c r="E454" s="7">
        <v>0</v>
      </c>
      <c r="F454" s="7">
        <v>0</v>
      </c>
      <c r="G454" s="7">
        <v>-1.4990516053215155E-2</v>
      </c>
      <c r="H454" s="7">
        <v>-2.2385887789414392E-2</v>
      </c>
      <c r="I454" s="7">
        <v>0</v>
      </c>
      <c r="J454" s="7">
        <v>0</v>
      </c>
      <c r="K454" s="7">
        <v>1.6236379226863738E-2</v>
      </c>
      <c r="L454">
        <v>4.0754124436814498</v>
      </c>
      <c r="M454">
        <v>3.9624652814939246E-3</v>
      </c>
      <c r="N454" s="9"/>
      <c r="O454" s="3">
        <f>L454-M454</f>
        <v>4.071449978399956</v>
      </c>
      <c r="T454" s="3"/>
    </row>
    <row r="455" spans="1:20">
      <c r="A455" s="7"/>
      <c r="B455" s="8"/>
      <c r="C455" s="8"/>
      <c r="D455" s="8"/>
      <c r="E455" s="7"/>
      <c r="F455" s="7"/>
      <c r="G455" s="7"/>
      <c r="H455" s="7"/>
      <c r="I455" s="7"/>
      <c r="J455" s="7"/>
      <c r="K455" s="7"/>
      <c r="N455" s="10"/>
      <c r="O455" s="3"/>
      <c r="T455" s="3"/>
    </row>
    <row r="456" spans="1:20">
      <c r="A456" s="7"/>
      <c r="B456" s="8">
        <v>1.4028471761352286</v>
      </c>
      <c r="C456" s="8">
        <v>-0.814665459345566</v>
      </c>
      <c r="D456" s="8">
        <v>-0.7195871750303805</v>
      </c>
      <c r="E456" s="7">
        <v>-1.4990516053215155E-2</v>
      </c>
      <c r="F456" s="7">
        <v>0</v>
      </c>
      <c r="G456" s="7">
        <v>0</v>
      </c>
      <c r="H456" s="7">
        <v>-2.2385887789414392E-2</v>
      </c>
      <c r="I456" s="7">
        <v>2.1796664656245589E-2</v>
      </c>
      <c r="J456" s="7">
        <v>0</v>
      </c>
      <c r="K456" s="7">
        <v>0</v>
      </c>
      <c r="L456">
        <v>1.5747328563547551</v>
      </c>
      <c r="M456">
        <v>4.3432806008441584E-4</v>
      </c>
      <c r="N456" s="9"/>
      <c r="O456" s="3">
        <f>L456-M456</f>
        <v>1.5742985282946707</v>
      </c>
      <c r="T456" s="3"/>
    </row>
    <row r="457" spans="1:20">
      <c r="A457" s="7" t="s">
        <v>127</v>
      </c>
      <c r="B457" s="8">
        <v>2.44475956514645</v>
      </c>
      <c r="C457" s="8">
        <v>-0.85548399177677847</v>
      </c>
      <c r="D457" s="8">
        <v>5.2896656816179721E-2</v>
      </c>
      <c r="E457" s="7">
        <v>0</v>
      </c>
      <c r="F457" s="7">
        <v>-1.4990516053215155E-2</v>
      </c>
      <c r="G457" s="7">
        <v>0</v>
      </c>
      <c r="H457" s="7">
        <v>-2.2385887789414392E-2</v>
      </c>
      <c r="I457" s="7">
        <v>0</v>
      </c>
      <c r="J457" s="7">
        <v>2.2872089329671663E-2</v>
      </c>
      <c r="K457" s="7">
        <v>0</v>
      </c>
      <c r="L457">
        <v>3.3557501239318595</v>
      </c>
      <c r="M457">
        <v>-3.6711215682891076E-4</v>
      </c>
      <c r="N457" s="9"/>
      <c r="O457" s="3">
        <f>L457-M457</f>
        <v>3.3561172360886884</v>
      </c>
      <c r="T457" s="3"/>
    </row>
    <row r="458" spans="1:20">
      <c r="A458" s="7"/>
      <c r="B458" s="8">
        <v>0.36768865949079377</v>
      </c>
      <c r="C458" s="8">
        <v>1.2890795247765441</v>
      </c>
      <c r="D458" s="8">
        <v>0.10954983766095538</v>
      </c>
      <c r="E458" s="7">
        <v>0</v>
      </c>
      <c r="F458" s="7">
        <v>0</v>
      </c>
      <c r="G458" s="7">
        <v>-1.4990516053215155E-2</v>
      </c>
      <c r="H458" s="7">
        <v>-2.2385887789414392E-2</v>
      </c>
      <c r="I458" s="7">
        <v>0</v>
      </c>
      <c r="J458" s="7">
        <v>0</v>
      </c>
      <c r="K458" s="7">
        <v>1.5970575730977998E-2</v>
      </c>
      <c r="L458">
        <v>0.90446106922389957</v>
      </c>
      <c r="M458">
        <v>4.1052881172903618E-3</v>
      </c>
      <c r="N458" s="9"/>
      <c r="O458" s="3">
        <f>L458-M458</f>
        <v>0.90035578110660919</v>
      </c>
      <c r="T458" s="3"/>
    </row>
    <row r="459" spans="1:20">
      <c r="A459" s="7"/>
      <c r="B459" s="8"/>
      <c r="C459" s="8"/>
      <c r="D459" s="8"/>
      <c r="E459" s="7"/>
      <c r="F459" s="7"/>
      <c r="G459" s="7"/>
      <c r="H459" s="7"/>
      <c r="I459" s="7"/>
      <c r="J459" s="7"/>
      <c r="K459" s="7"/>
      <c r="N459" s="10"/>
      <c r="O459" s="3"/>
      <c r="T459" s="3"/>
    </row>
    <row r="460" spans="1:20">
      <c r="A460" s="7"/>
      <c r="B460" s="8">
        <v>1.4028471761352286</v>
      </c>
      <c r="C460" s="8">
        <v>-0.814665459345566</v>
      </c>
      <c r="D460" s="8">
        <v>-0.7195871750303805</v>
      </c>
      <c r="E460" s="7">
        <v>-1.4990516053215155E-2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>
        <v>1.5747328563547551</v>
      </c>
      <c r="M460">
        <v>0</v>
      </c>
      <c r="N460" s="9"/>
      <c r="O460" s="3">
        <f>L460-M460</f>
        <v>1.5747328563547551</v>
      </c>
      <c r="T460" s="3"/>
    </row>
    <row r="461" spans="1:20">
      <c r="A461" s="7" t="s">
        <v>128</v>
      </c>
      <c r="B461" s="8">
        <v>2.44475956514645</v>
      </c>
      <c r="C461" s="8">
        <v>-0.85548399177677847</v>
      </c>
      <c r="D461" s="8">
        <v>5.2896656816179721E-2</v>
      </c>
      <c r="E461" s="7">
        <v>0</v>
      </c>
      <c r="F461" s="7">
        <v>-1.4990516053215155E-2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>
        <v>3.3557501239318595</v>
      </c>
      <c r="M461">
        <v>0</v>
      </c>
      <c r="N461" s="9"/>
      <c r="O461" s="3">
        <f>L461-M461</f>
        <v>3.3557501239318595</v>
      </c>
      <c r="T461" s="3"/>
    </row>
    <row r="462" spans="1:20">
      <c r="A462" s="7"/>
      <c r="B462" s="8">
        <v>1.9865190328797109</v>
      </c>
      <c r="C462" s="8">
        <v>1.2694850305255347</v>
      </c>
      <c r="D462" s="8">
        <v>3.2127045366234341E-2</v>
      </c>
      <c r="E462" s="7">
        <v>0</v>
      </c>
      <c r="F462" s="7">
        <v>0</v>
      </c>
      <c r="G462" s="7">
        <v>-1.4990516053215155E-2</v>
      </c>
      <c r="H462" s="7">
        <v>0</v>
      </c>
      <c r="I462" s="7">
        <v>0</v>
      </c>
      <c r="J462" s="7">
        <v>0</v>
      </c>
      <c r="K462" s="7">
        <v>0</v>
      </c>
      <c r="L462">
        <v>2.779441128882862</v>
      </c>
      <c r="M462">
        <v>0</v>
      </c>
      <c r="N462" s="9"/>
      <c r="O462" s="3">
        <f>L462-M462</f>
        <v>2.779441128882862</v>
      </c>
      <c r="T462" s="3"/>
    </row>
    <row r="463" spans="1:20">
      <c r="A463" s="7"/>
      <c r="B463" s="8"/>
      <c r="C463" s="8"/>
      <c r="D463" s="8"/>
      <c r="E463" s="7"/>
      <c r="F463" s="7"/>
      <c r="G463" s="7"/>
      <c r="H463" s="7"/>
      <c r="I463" s="7"/>
      <c r="J463" s="7"/>
      <c r="K463" s="7"/>
      <c r="N463" s="10"/>
      <c r="O463" s="3"/>
      <c r="T463" s="3"/>
    </row>
    <row r="464" spans="1:20">
      <c r="A464" s="7"/>
      <c r="B464" s="8">
        <v>1.4028471761352286</v>
      </c>
      <c r="C464" s="8">
        <v>-0.814665459345566</v>
      </c>
      <c r="D464" s="8">
        <v>-0.7195871750303805</v>
      </c>
      <c r="E464" s="7">
        <v>-1.4990516053215155E-2</v>
      </c>
      <c r="F464" s="7">
        <v>0</v>
      </c>
      <c r="G464" s="7">
        <v>0</v>
      </c>
      <c r="H464" s="7">
        <v>-2.2385887789414392E-2</v>
      </c>
      <c r="I464" s="7">
        <v>2.1796664656245589E-2</v>
      </c>
      <c r="J464" s="7">
        <v>0</v>
      </c>
      <c r="K464" s="7">
        <v>0</v>
      </c>
      <c r="L464">
        <v>1.5747328563547551</v>
      </c>
      <c r="M464">
        <v>4.3432806008441584E-4</v>
      </c>
      <c r="N464" s="9"/>
      <c r="O464" s="3">
        <f>L464-M464</f>
        <v>1.5742985282946707</v>
      </c>
      <c r="T464" s="3"/>
    </row>
    <row r="465" spans="1:20">
      <c r="A465" s="7" t="s">
        <v>129</v>
      </c>
      <c r="B465" s="8">
        <v>2.44475956514645</v>
      </c>
      <c r="C465" s="8">
        <v>-0.85548399177677847</v>
      </c>
      <c r="D465" s="8">
        <v>5.2896656816179721E-2</v>
      </c>
      <c r="E465" s="7">
        <v>0</v>
      </c>
      <c r="F465" s="7">
        <v>-1.4990516053215155E-2</v>
      </c>
      <c r="G465" s="7">
        <v>0</v>
      </c>
      <c r="H465" s="7">
        <v>-2.2385887789414392E-2</v>
      </c>
      <c r="I465" s="7">
        <v>0</v>
      </c>
      <c r="J465" s="7">
        <v>2.2872089329671663E-2</v>
      </c>
      <c r="K465" s="7">
        <v>0</v>
      </c>
      <c r="L465">
        <v>3.3557501239318595</v>
      </c>
      <c r="M465">
        <v>-3.6711215682891076E-4</v>
      </c>
      <c r="N465" s="9"/>
      <c r="O465" s="3">
        <f>L465-M465</f>
        <v>3.3561172360886884</v>
      </c>
      <c r="T465" s="3"/>
    </row>
    <row r="466" spans="1:20">
      <c r="A466" s="7"/>
      <c r="B466" s="8">
        <v>1.3773893306068323</v>
      </c>
      <c r="C466" s="8">
        <v>1.5521003879162059</v>
      </c>
      <c r="D466" s="8">
        <v>-0.65590292152571228</v>
      </c>
      <c r="E466" s="7">
        <v>0</v>
      </c>
      <c r="F466" s="7">
        <v>0</v>
      </c>
      <c r="G466" s="7">
        <v>-1.4990516053215155E-2</v>
      </c>
      <c r="H466" s="7">
        <v>-2.2385887789414392E-2</v>
      </c>
      <c r="I466" s="7">
        <v>0</v>
      </c>
      <c r="J466" s="7">
        <v>0</v>
      </c>
      <c r="K466" s="7">
        <v>2.0521745021313972E-2</v>
      </c>
      <c r="L466">
        <v>2.3682128123525694</v>
      </c>
      <c r="M466">
        <v>1.3344460583924961E-3</v>
      </c>
      <c r="N466" s="9"/>
      <c r="O466" s="3">
        <f>L466-M466</f>
        <v>2.366878366294177</v>
      </c>
      <c r="T466" s="3"/>
    </row>
    <row r="467" spans="1:20">
      <c r="A467" s="7"/>
      <c r="B467" s="8"/>
      <c r="C467" s="8"/>
      <c r="D467" s="8"/>
      <c r="E467" s="7"/>
      <c r="F467" s="7"/>
      <c r="G467" s="7"/>
      <c r="H467" s="7"/>
      <c r="I467" s="7"/>
      <c r="J467" s="7"/>
      <c r="K467" s="7"/>
      <c r="N467" s="10"/>
      <c r="O467" s="3"/>
      <c r="T467" s="3"/>
    </row>
    <row r="468" spans="1:20">
      <c r="A468" s="7"/>
      <c r="B468" s="8">
        <v>1.4028471761352286</v>
      </c>
      <c r="C468" s="8">
        <v>-0.814665459345566</v>
      </c>
      <c r="D468" s="8">
        <v>-0.7195871750303805</v>
      </c>
      <c r="E468" s="7">
        <v>-1.4990516053215155E-2</v>
      </c>
      <c r="F468" s="7">
        <v>0</v>
      </c>
      <c r="G468" s="7">
        <v>0</v>
      </c>
      <c r="H468" s="7">
        <v>-2.2385887789414392E-2</v>
      </c>
      <c r="I468" s="7">
        <v>2.1796664656245589E-2</v>
      </c>
      <c r="J468" s="7">
        <v>0</v>
      </c>
      <c r="K468" s="7">
        <v>0</v>
      </c>
      <c r="L468">
        <v>1.5747328563547551</v>
      </c>
      <c r="M468">
        <v>4.3432806008441584E-4</v>
      </c>
      <c r="N468" s="9"/>
      <c r="O468" s="3">
        <f>L468-M468</f>
        <v>1.5742985282946707</v>
      </c>
      <c r="T468" s="3"/>
    </row>
    <row r="469" spans="1:20">
      <c r="A469" s="7" t="s">
        <v>130</v>
      </c>
      <c r="B469" s="8">
        <v>2.8449497700634536</v>
      </c>
      <c r="C469" s="8">
        <v>0.22852225552422287</v>
      </c>
      <c r="D469" s="8">
        <v>6.9737163040410666E-2</v>
      </c>
      <c r="E469" s="7">
        <v>0</v>
      </c>
      <c r="F469" s="7">
        <v>-1.4990516053215155E-2</v>
      </c>
      <c r="G469" s="7">
        <v>0</v>
      </c>
      <c r="H469" s="7">
        <v>-2.2385887789414392E-2</v>
      </c>
      <c r="I469" s="7">
        <v>0</v>
      </c>
      <c r="J469" s="7">
        <v>1.6236379226863738E-2</v>
      </c>
      <c r="K469" s="7">
        <v>0</v>
      </c>
      <c r="L469">
        <v>4.0754124436814498</v>
      </c>
      <c r="M469">
        <v>3.9624652814939246E-3</v>
      </c>
      <c r="N469" s="9"/>
      <c r="O469" s="3">
        <f>L469-M469</f>
        <v>4.071449978399956</v>
      </c>
      <c r="T469" s="3"/>
    </row>
    <row r="470" spans="1:20">
      <c r="A470" s="7"/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0</v>
      </c>
      <c r="G470" s="7">
        <v>-1.4990516053215155E-2</v>
      </c>
      <c r="H470" s="7">
        <v>-2.2385887789414392E-2</v>
      </c>
      <c r="I470" s="7">
        <v>0</v>
      </c>
      <c r="J470" s="7">
        <v>0</v>
      </c>
      <c r="K470" s="7">
        <v>1.5970575730977998E-2</v>
      </c>
      <c r="L470">
        <v>0.90446106922389957</v>
      </c>
      <c r="M470">
        <v>4.1052881172903618E-3</v>
      </c>
      <c r="N470" s="9"/>
      <c r="O470" s="3">
        <f>L470-M470</f>
        <v>0.90035578110660919</v>
      </c>
      <c r="T470" s="3"/>
    </row>
    <row r="471" spans="1:20">
      <c r="A471" s="7"/>
      <c r="B471" s="8"/>
      <c r="C471" s="8"/>
      <c r="D471" s="8"/>
      <c r="E471" s="7"/>
      <c r="F471" s="7"/>
      <c r="G471" s="7"/>
      <c r="H471" s="7"/>
      <c r="I471" s="7"/>
      <c r="J471" s="7"/>
      <c r="K471" s="7"/>
      <c r="N471" s="10"/>
      <c r="O471" s="3"/>
      <c r="T471" s="3"/>
    </row>
    <row r="472" spans="1:20">
      <c r="A472" s="7"/>
      <c r="B472" s="8">
        <v>1.4028471761352286</v>
      </c>
      <c r="C472" s="8">
        <v>-0.814665459345566</v>
      </c>
      <c r="D472" s="8">
        <v>-0.7195871750303805</v>
      </c>
      <c r="E472" s="7">
        <v>-1.4990516053215155E-2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>
        <v>1.5747328563547551</v>
      </c>
      <c r="M472">
        <v>0</v>
      </c>
      <c r="N472" s="9"/>
      <c r="O472" s="3">
        <f>L472-M472</f>
        <v>1.5747328563547551</v>
      </c>
      <c r="T472" s="3"/>
    </row>
    <row r="473" spans="1:20">
      <c r="A473" s="7" t="s">
        <v>131</v>
      </c>
      <c r="B473" s="8">
        <v>2.8449497700634536</v>
      </c>
      <c r="C473" s="8">
        <v>0.22852225552422287</v>
      </c>
      <c r="D473" s="8">
        <v>6.9737163040410666E-2</v>
      </c>
      <c r="E473" s="7">
        <v>0</v>
      </c>
      <c r="F473" s="7">
        <v>-1.4990516053215155E-2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>
        <v>4.0754124436814498</v>
      </c>
      <c r="M473">
        <v>0</v>
      </c>
      <c r="N473" s="9"/>
      <c r="O473" s="3">
        <f>L473-M473</f>
        <v>4.0754124436814498</v>
      </c>
      <c r="T473" s="3"/>
    </row>
    <row r="474" spans="1:20">
      <c r="A474" s="7"/>
      <c r="B474" s="8">
        <v>1.9865190328797109</v>
      </c>
      <c r="C474" s="8">
        <v>1.2694850305255347</v>
      </c>
      <c r="D474" s="8">
        <v>3.2127045366234341E-2</v>
      </c>
      <c r="E474" s="7">
        <v>0</v>
      </c>
      <c r="F474" s="7">
        <v>0</v>
      </c>
      <c r="G474" s="7">
        <v>-1.4990516053215155E-2</v>
      </c>
      <c r="H474" s="7">
        <v>0</v>
      </c>
      <c r="I474" s="7">
        <v>0</v>
      </c>
      <c r="J474" s="7">
        <v>0</v>
      </c>
      <c r="K474" s="7">
        <v>0</v>
      </c>
      <c r="L474">
        <v>2.779441128882862</v>
      </c>
      <c r="M474">
        <v>0</v>
      </c>
      <c r="N474" s="9"/>
      <c r="O474" s="3">
        <f>L474-M474</f>
        <v>2.779441128882862</v>
      </c>
      <c r="T474" s="3"/>
    </row>
    <row r="475" spans="1:20">
      <c r="A475" s="7"/>
      <c r="B475" s="8"/>
      <c r="C475" s="8"/>
      <c r="D475" s="8"/>
      <c r="E475" s="7"/>
      <c r="F475" s="7"/>
      <c r="G475" s="7"/>
      <c r="H475" s="7"/>
      <c r="I475" s="7"/>
      <c r="J475" s="7"/>
      <c r="K475" s="7"/>
      <c r="N475" s="10"/>
      <c r="O475" s="3"/>
      <c r="T475" s="3"/>
    </row>
    <row r="476" spans="1:20">
      <c r="A476" s="7"/>
      <c r="B476" s="8">
        <v>1.4028471761352286</v>
      </c>
      <c r="C476" s="8">
        <v>-0.814665459345566</v>
      </c>
      <c r="D476" s="8">
        <v>-0.7195871750303805</v>
      </c>
      <c r="E476" s="7">
        <v>-1.4990516053215155E-2</v>
      </c>
      <c r="F476" s="7">
        <v>0</v>
      </c>
      <c r="G476" s="7">
        <v>0</v>
      </c>
      <c r="H476" s="7">
        <v>-2.2385887789414392E-2</v>
      </c>
      <c r="I476" s="7">
        <v>2.1796664656245589E-2</v>
      </c>
      <c r="J476" s="7">
        <v>0</v>
      </c>
      <c r="K476" s="7">
        <v>0</v>
      </c>
      <c r="L476">
        <v>1.5747328563547551</v>
      </c>
      <c r="M476">
        <v>4.3432806008441584E-4</v>
      </c>
      <c r="N476" s="9"/>
      <c r="O476" s="3">
        <f>L476-M476</f>
        <v>1.5742985282946707</v>
      </c>
      <c r="T476" s="3"/>
    </row>
    <row r="477" spans="1:20">
      <c r="A477" s="7" t="s">
        <v>132</v>
      </c>
      <c r="B477" s="8">
        <v>2.8449497700634536</v>
      </c>
      <c r="C477" s="8">
        <v>0.22852225552422287</v>
      </c>
      <c r="D477" s="8">
        <v>6.9737163040410666E-2</v>
      </c>
      <c r="E477" s="7">
        <v>0</v>
      </c>
      <c r="F477" s="7">
        <v>-1.4990516053215155E-2</v>
      </c>
      <c r="G477" s="7">
        <v>0</v>
      </c>
      <c r="H477" s="7">
        <v>-2.2385887789414392E-2</v>
      </c>
      <c r="I477" s="7">
        <v>0</v>
      </c>
      <c r="J477" s="7">
        <v>1.6236379226863738E-2</v>
      </c>
      <c r="K477" s="7">
        <v>0</v>
      </c>
      <c r="L477">
        <v>4.0754124436814498</v>
      </c>
      <c r="M477">
        <v>3.9624652814939246E-3</v>
      </c>
      <c r="N477" s="9"/>
      <c r="O477" s="3">
        <f>L477-M477</f>
        <v>4.071449978399956</v>
      </c>
      <c r="T477" s="3"/>
    </row>
    <row r="478" spans="1:20">
      <c r="A478" s="7"/>
      <c r="B478" s="8">
        <v>1.3773893306068323</v>
      </c>
      <c r="C478" s="8">
        <v>1.5521003879162059</v>
      </c>
      <c r="D478" s="8">
        <v>-0.65590292152571228</v>
      </c>
      <c r="E478" s="7">
        <v>0</v>
      </c>
      <c r="F478" s="7">
        <v>0</v>
      </c>
      <c r="G478" s="7">
        <v>-1.4990516053215155E-2</v>
      </c>
      <c r="H478" s="7">
        <v>-2.2385887789414392E-2</v>
      </c>
      <c r="I478" s="7">
        <v>0</v>
      </c>
      <c r="J478" s="7">
        <v>0</v>
      </c>
      <c r="K478" s="7">
        <v>2.0521745021313972E-2</v>
      </c>
      <c r="L478">
        <v>2.3682128123525694</v>
      </c>
      <c r="M478">
        <v>1.3344460583924961E-3</v>
      </c>
      <c r="N478" s="9"/>
      <c r="O478" s="3">
        <f>L478-M478</f>
        <v>2.366878366294177</v>
      </c>
      <c r="T478" s="3"/>
    </row>
    <row r="479" spans="1:20">
      <c r="A479" s="7"/>
      <c r="B479" s="8"/>
      <c r="C479" s="8"/>
      <c r="D479" s="8"/>
      <c r="E479" s="7"/>
      <c r="F479" s="7"/>
      <c r="G479" s="7"/>
      <c r="H479" s="7"/>
      <c r="I479" s="7"/>
      <c r="J479" s="7"/>
      <c r="K479" s="7"/>
      <c r="N479" s="10"/>
      <c r="O479" s="3"/>
      <c r="T479" s="3"/>
    </row>
    <row r="480" spans="1:20">
      <c r="A480" s="7"/>
      <c r="B480" s="8">
        <v>1.4028471761352286</v>
      </c>
      <c r="C480" s="8">
        <v>-0.814665459345566</v>
      </c>
      <c r="D480" s="8">
        <v>-0.7195871750303805</v>
      </c>
      <c r="E480" s="7">
        <v>-1.4990516053215155E-2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>
        <v>1.5747328563547551</v>
      </c>
      <c r="M480">
        <v>0</v>
      </c>
      <c r="N480" s="9"/>
      <c r="O480" s="3">
        <f>L480-M480</f>
        <v>1.5747328563547551</v>
      </c>
      <c r="T480" s="3"/>
    </row>
    <row r="481" spans="1:20">
      <c r="A481" s="7" t="s">
        <v>133</v>
      </c>
      <c r="B481" s="8">
        <v>0.36768865949079377</v>
      </c>
      <c r="C481" s="8">
        <v>1.2890795247765441</v>
      </c>
      <c r="D481" s="8">
        <v>0.10954983766095538</v>
      </c>
      <c r="E481" s="7">
        <v>0</v>
      </c>
      <c r="F481" s="7">
        <v>-1.4990516053215155E-2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>
        <v>0.90446106922389957</v>
      </c>
      <c r="M481">
        <v>0</v>
      </c>
      <c r="N481" s="9"/>
      <c r="O481" s="3">
        <f>L481-M481</f>
        <v>0.90446106922389957</v>
      </c>
      <c r="T481" s="3"/>
    </row>
    <row r="482" spans="1:20">
      <c r="A482" s="7"/>
      <c r="B482" s="8">
        <v>1.9865190328797109</v>
      </c>
      <c r="C482" s="8">
        <v>1.2694850305255347</v>
      </c>
      <c r="D482" s="8">
        <v>3.2127045366234341E-2</v>
      </c>
      <c r="E482" s="7">
        <v>0</v>
      </c>
      <c r="F482" s="7">
        <v>0</v>
      </c>
      <c r="G482" s="7">
        <v>-1.4990516053215155E-2</v>
      </c>
      <c r="H482" s="7">
        <v>0</v>
      </c>
      <c r="I482" s="7">
        <v>0</v>
      </c>
      <c r="J482" s="7">
        <v>0</v>
      </c>
      <c r="K482" s="7">
        <v>0</v>
      </c>
      <c r="L482">
        <v>2.779441128882862</v>
      </c>
      <c r="M482">
        <v>0</v>
      </c>
      <c r="N482" s="9"/>
      <c r="O482" s="3">
        <f>L482-M482</f>
        <v>2.779441128882862</v>
      </c>
      <c r="T482" s="3"/>
    </row>
    <row r="483" spans="1:20">
      <c r="A483" s="7"/>
      <c r="B483" s="8"/>
      <c r="C483" s="8"/>
      <c r="D483" s="8"/>
      <c r="E483" s="7"/>
      <c r="F483" s="7"/>
      <c r="G483" s="7"/>
      <c r="H483" s="7"/>
      <c r="I483" s="7"/>
      <c r="J483" s="7"/>
      <c r="K483" s="7"/>
      <c r="N483" s="10"/>
      <c r="O483" s="3"/>
      <c r="T483" s="3"/>
    </row>
    <row r="484" spans="1:20">
      <c r="A484" s="7"/>
      <c r="B484" s="8">
        <v>1.4028471761352286</v>
      </c>
      <c r="C484" s="8">
        <v>-0.814665459345566</v>
      </c>
      <c r="D484" s="8">
        <v>-0.7195871750303805</v>
      </c>
      <c r="E484" s="7">
        <v>-1.4990516053215155E-2</v>
      </c>
      <c r="F484" s="7">
        <v>0</v>
      </c>
      <c r="G484" s="7">
        <v>0</v>
      </c>
      <c r="H484" s="7">
        <v>-2.2385887789414392E-2</v>
      </c>
      <c r="I484" s="7">
        <v>2.1796664656245589E-2</v>
      </c>
      <c r="J484" s="7">
        <v>0</v>
      </c>
      <c r="K484" s="7">
        <v>0</v>
      </c>
      <c r="L484">
        <v>1.5747328563547551</v>
      </c>
      <c r="M484">
        <v>4.3432806008441584E-4</v>
      </c>
      <c r="N484" s="9"/>
      <c r="O484" s="3">
        <f>L484-M484</f>
        <v>1.5742985282946707</v>
      </c>
      <c r="T484" s="3"/>
    </row>
    <row r="485" spans="1:20">
      <c r="A485" s="7" t="s">
        <v>134</v>
      </c>
      <c r="B485" s="8">
        <v>0.36768865949079377</v>
      </c>
      <c r="C485" s="8">
        <v>1.2890795247765441</v>
      </c>
      <c r="D485" s="8">
        <v>0.10954983766095538</v>
      </c>
      <c r="E485" s="7">
        <v>0</v>
      </c>
      <c r="F485" s="7">
        <v>-1.4990516053215155E-2</v>
      </c>
      <c r="G485" s="7">
        <v>0</v>
      </c>
      <c r="H485" s="7">
        <v>-2.2385887789414392E-2</v>
      </c>
      <c r="I485" s="7">
        <v>0</v>
      </c>
      <c r="J485" s="7">
        <v>1.5970575730977998E-2</v>
      </c>
      <c r="K485" s="7">
        <v>0</v>
      </c>
      <c r="L485">
        <v>0.90446106922389957</v>
      </c>
      <c r="M485">
        <v>4.1052881172903618E-3</v>
      </c>
      <c r="N485" s="9"/>
      <c r="O485" s="3">
        <f>L485-M485</f>
        <v>0.90035578110660919</v>
      </c>
      <c r="T485" s="3"/>
    </row>
    <row r="486" spans="1:20">
      <c r="A486" s="7"/>
      <c r="B486" s="8">
        <v>1.3773893306068323</v>
      </c>
      <c r="C486" s="8">
        <v>1.5521003879162059</v>
      </c>
      <c r="D486" s="8">
        <v>-0.65590292152571228</v>
      </c>
      <c r="E486" s="7">
        <v>0</v>
      </c>
      <c r="F486" s="7">
        <v>0</v>
      </c>
      <c r="G486" s="7">
        <v>-1.4990516053215155E-2</v>
      </c>
      <c r="H486" s="7">
        <v>-2.2385887789414392E-2</v>
      </c>
      <c r="I486" s="7">
        <v>0</v>
      </c>
      <c r="J486" s="7">
        <v>0</v>
      </c>
      <c r="K486" s="7">
        <v>2.0521745021313972E-2</v>
      </c>
      <c r="L486">
        <v>2.3682128123525694</v>
      </c>
      <c r="M486">
        <v>1.3344460583924961E-3</v>
      </c>
      <c r="N486" s="9"/>
      <c r="O486" s="3">
        <f>L486-M486</f>
        <v>2.366878366294177</v>
      </c>
      <c r="T486" s="3"/>
    </row>
    <row r="487" spans="1:20">
      <c r="A487" s="7"/>
      <c r="B487" s="8"/>
      <c r="C487" s="8"/>
      <c r="D487" s="8"/>
      <c r="E487" s="7"/>
      <c r="F487" s="7"/>
      <c r="G487" s="7"/>
      <c r="H487" s="7"/>
      <c r="I487" s="7"/>
      <c r="J487" s="7"/>
      <c r="K487" s="7"/>
      <c r="N487" s="10"/>
      <c r="O487" s="3"/>
      <c r="T487" s="3"/>
    </row>
    <row r="488" spans="1:20">
      <c r="A488" s="7"/>
      <c r="B488" s="8">
        <v>1.4028471761352286</v>
      </c>
      <c r="C488" s="8">
        <v>-0.814665459345566</v>
      </c>
      <c r="D488" s="8">
        <v>-0.7195871750303805</v>
      </c>
      <c r="E488" s="7">
        <v>-1.4990516053215155E-2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>
        <v>1.5747328563547551</v>
      </c>
      <c r="M488">
        <v>0</v>
      </c>
      <c r="N488" s="9"/>
      <c r="O488" s="3">
        <f>L488-M488</f>
        <v>1.5747328563547551</v>
      </c>
      <c r="T488" s="3"/>
    </row>
    <row r="489" spans="1:20">
      <c r="A489" s="7" t="s">
        <v>135</v>
      </c>
      <c r="B489" s="8">
        <v>1.9865190328797109</v>
      </c>
      <c r="C489" s="8">
        <v>1.2694850305255347</v>
      </c>
      <c r="D489" s="8">
        <v>3.2127045366234341E-2</v>
      </c>
      <c r="E489" s="7">
        <v>0</v>
      </c>
      <c r="F489" s="7">
        <v>-1.4990516053215155E-2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>
        <v>2.779441128882862</v>
      </c>
      <c r="M489">
        <v>0</v>
      </c>
      <c r="N489" s="9"/>
      <c r="O489" s="3">
        <f>L489-M489</f>
        <v>2.779441128882862</v>
      </c>
      <c r="T489" s="3"/>
    </row>
    <row r="490" spans="1:20">
      <c r="A490" s="7"/>
      <c r="B490" s="8">
        <v>1.3773893306068323</v>
      </c>
      <c r="C490" s="8">
        <v>1.5521003879162059</v>
      </c>
      <c r="D490" s="8">
        <v>-0.65590292152571228</v>
      </c>
      <c r="E490" s="7">
        <v>0</v>
      </c>
      <c r="F490" s="7">
        <v>0</v>
      </c>
      <c r="G490" s="7">
        <v>-1.4990516053215155E-2</v>
      </c>
      <c r="H490" s="7">
        <v>0</v>
      </c>
      <c r="I490" s="7">
        <v>0</v>
      </c>
      <c r="J490" s="7">
        <v>0</v>
      </c>
      <c r="K490" s="7">
        <v>0</v>
      </c>
      <c r="L490">
        <v>2.3682128123525694</v>
      </c>
      <c r="M490">
        <v>0</v>
      </c>
      <c r="N490" s="9"/>
      <c r="O490" s="3">
        <f>L490-M490</f>
        <v>2.3682128123525694</v>
      </c>
      <c r="T490" s="3"/>
    </row>
    <row r="491" spans="1:20">
      <c r="A491" s="7"/>
      <c r="B491" s="8"/>
      <c r="C491" s="8"/>
      <c r="D491" s="8"/>
      <c r="E491" s="7"/>
      <c r="F491" s="7"/>
      <c r="G491" s="7"/>
      <c r="H491" s="7"/>
      <c r="I491" s="7"/>
      <c r="J491" s="7"/>
      <c r="K491" s="7"/>
      <c r="N491" s="10"/>
      <c r="O491" s="3"/>
      <c r="T491" s="3"/>
    </row>
    <row r="492" spans="1:20">
      <c r="A492" s="7"/>
      <c r="B492" s="8">
        <v>0.14897154656832046</v>
      </c>
      <c r="C492" s="8">
        <v>-0.84725762547333594</v>
      </c>
      <c r="D492" s="8">
        <v>1.9759438806851826E-2</v>
      </c>
      <c r="E492" s="7">
        <v>-1.4990516053215155E-2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>
        <v>0.37021422051581732</v>
      </c>
      <c r="M492">
        <v>0</v>
      </c>
      <c r="N492" s="9"/>
      <c r="O492" s="3">
        <f>L492-M492</f>
        <v>0.37021422051581732</v>
      </c>
      <c r="T492" s="3"/>
    </row>
    <row r="493" spans="1:20">
      <c r="A493" s="7" t="s">
        <v>136</v>
      </c>
      <c r="B493" s="8">
        <v>2.44475956514645</v>
      </c>
      <c r="C493" s="8">
        <v>-0.85548399177677847</v>
      </c>
      <c r="D493" s="8">
        <v>5.2896656816179721E-2</v>
      </c>
      <c r="E493" s="7">
        <v>0</v>
      </c>
      <c r="F493" s="7">
        <v>-1.4990516053215155E-2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>
        <v>3.3557501239318595</v>
      </c>
      <c r="M493">
        <v>0</v>
      </c>
      <c r="N493" s="9"/>
      <c r="O493" s="3">
        <f>L493-M493</f>
        <v>3.3557501239318595</v>
      </c>
      <c r="T493" s="3"/>
    </row>
    <row r="494" spans="1:20">
      <c r="A494" s="7"/>
      <c r="B494" s="8">
        <v>2.8449497700634536</v>
      </c>
      <c r="C494" s="8">
        <v>0.22852225552422287</v>
      </c>
      <c r="D494" s="8">
        <v>6.9737163040410666E-2</v>
      </c>
      <c r="E494" s="7">
        <v>0</v>
      </c>
      <c r="F494" s="7">
        <v>0</v>
      </c>
      <c r="G494" s="7">
        <v>-1.4990516053215155E-2</v>
      </c>
      <c r="H494" s="7">
        <v>0</v>
      </c>
      <c r="I494" s="7">
        <v>0</v>
      </c>
      <c r="J494" s="7">
        <v>0</v>
      </c>
      <c r="K494" s="7">
        <v>0</v>
      </c>
      <c r="L494">
        <v>4.0754124436814498</v>
      </c>
      <c r="M494">
        <v>0</v>
      </c>
      <c r="N494" s="9"/>
      <c r="O494" s="3">
        <f>L494-M494</f>
        <v>4.0754124436814498</v>
      </c>
      <c r="T494" s="3"/>
    </row>
    <row r="495" spans="1:20">
      <c r="A495" s="7"/>
      <c r="B495" s="8"/>
      <c r="C495" s="8"/>
      <c r="D495" s="8"/>
      <c r="E495" s="7"/>
      <c r="F495" s="7"/>
      <c r="G495" s="7"/>
      <c r="H495" s="7"/>
      <c r="I495" s="7"/>
      <c r="J495" s="7"/>
      <c r="K495" s="7"/>
      <c r="N495" s="10"/>
      <c r="O495" s="3"/>
      <c r="T495" s="3"/>
    </row>
    <row r="496" spans="1:20">
      <c r="A496" s="7"/>
      <c r="B496" s="8">
        <v>0.14897154656832046</v>
      </c>
      <c r="C496" s="8">
        <v>-0.84725762547333594</v>
      </c>
      <c r="D496" s="8">
        <v>1.9759438806851826E-2</v>
      </c>
      <c r="E496" s="7">
        <v>-1.4990516053215155E-2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>
        <v>0.37021422051581732</v>
      </c>
      <c r="M496">
        <v>0</v>
      </c>
      <c r="N496" s="9"/>
      <c r="O496" s="3">
        <f>L496-M496</f>
        <v>0.37021422051581732</v>
      </c>
      <c r="T496" s="3"/>
    </row>
    <row r="497" spans="1:20">
      <c r="A497" s="7" t="s">
        <v>137</v>
      </c>
      <c r="B497" s="8">
        <v>2.44475956514645</v>
      </c>
      <c r="C497" s="8">
        <v>-0.85548399177677847</v>
      </c>
      <c r="D497" s="8">
        <v>5.2896656816179721E-2</v>
      </c>
      <c r="E497" s="7">
        <v>0</v>
      </c>
      <c r="F497" s="7">
        <v>-1.4990516053215155E-2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>
        <v>3.3557501239318595</v>
      </c>
      <c r="M497">
        <v>0</v>
      </c>
      <c r="N497" s="9"/>
      <c r="O497" s="3">
        <f>L497-M497</f>
        <v>3.3557501239318595</v>
      </c>
      <c r="T497" s="3"/>
    </row>
    <row r="498" spans="1:20">
      <c r="A498" s="7"/>
      <c r="B498" s="8">
        <v>0.36768865949079377</v>
      </c>
      <c r="C498" s="8">
        <v>1.2890795247765441</v>
      </c>
      <c r="D498" s="8">
        <v>0.10954983766095538</v>
      </c>
      <c r="E498" s="7">
        <v>0</v>
      </c>
      <c r="F498" s="7">
        <v>0</v>
      </c>
      <c r="G498" s="7">
        <v>-1.4990516053215155E-2</v>
      </c>
      <c r="H498" s="7">
        <v>0</v>
      </c>
      <c r="I498" s="7">
        <v>0</v>
      </c>
      <c r="J498" s="7">
        <v>0</v>
      </c>
      <c r="K498" s="7">
        <v>0</v>
      </c>
      <c r="L498">
        <v>0.90446106922389957</v>
      </c>
      <c r="M498">
        <v>0</v>
      </c>
      <c r="N498" s="9"/>
      <c r="O498" s="3">
        <f>L498-M498</f>
        <v>0.90446106922389957</v>
      </c>
      <c r="T498" s="3"/>
    </row>
    <row r="499" spans="1:20">
      <c r="A499" s="7"/>
      <c r="B499" s="8"/>
      <c r="C499" s="8"/>
      <c r="D499" s="8"/>
      <c r="E499" s="7"/>
      <c r="F499" s="7"/>
      <c r="G499" s="7"/>
      <c r="H499" s="7"/>
      <c r="I499" s="7"/>
      <c r="J499" s="7"/>
      <c r="K499" s="7"/>
      <c r="N499" s="10"/>
      <c r="O499" s="3"/>
      <c r="T499" s="3"/>
    </row>
    <row r="500" spans="1:20">
      <c r="A500" s="7"/>
      <c r="B500" s="8">
        <v>0.14897154656832046</v>
      </c>
      <c r="C500" s="8">
        <v>-0.84725762547333594</v>
      </c>
      <c r="D500" s="8">
        <v>1.9759438806851826E-2</v>
      </c>
      <c r="E500" s="7">
        <v>-1.4990516053215155E-2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>
        <v>0.37021422051581732</v>
      </c>
      <c r="M500">
        <v>0</v>
      </c>
      <c r="N500" s="9"/>
      <c r="O500" s="3">
        <f>L500-M500</f>
        <v>0.37021422051581732</v>
      </c>
      <c r="T500" s="3"/>
    </row>
    <row r="501" spans="1:20">
      <c r="A501" s="7" t="s">
        <v>138</v>
      </c>
      <c r="B501" s="8">
        <v>2.44475956514645</v>
      </c>
      <c r="C501" s="8">
        <v>-0.85548399177677847</v>
      </c>
      <c r="D501" s="8">
        <v>5.2896656816179721E-2</v>
      </c>
      <c r="E501" s="7">
        <v>0</v>
      </c>
      <c r="F501" s="7">
        <v>-1.4990516053215155E-2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>
        <v>3.3557501239318595</v>
      </c>
      <c r="M501">
        <v>0</v>
      </c>
      <c r="N501" s="9"/>
      <c r="O501" s="3">
        <f>L501-M501</f>
        <v>3.3557501239318595</v>
      </c>
      <c r="T501" s="3"/>
    </row>
    <row r="502" spans="1:20">
      <c r="A502" s="7"/>
      <c r="B502" s="8">
        <v>1.9865190328797109</v>
      </c>
      <c r="C502" s="8">
        <v>1.2694850305255347</v>
      </c>
      <c r="D502" s="8">
        <v>3.2127045366234341E-2</v>
      </c>
      <c r="E502" s="7">
        <v>0</v>
      </c>
      <c r="F502" s="7">
        <v>0</v>
      </c>
      <c r="G502" s="7">
        <v>-1.4990516053215155E-2</v>
      </c>
      <c r="H502" s="7">
        <v>0</v>
      </c>
      <c r="I502" s="7">
        <v>0</v>
      </c>
      <c r="J502" s="7">
        <v>0</v>
      </c>
      <c r="K502" s="7">
        <v>0</v>
      </c>
      <c r="L502">
        <v>2.779441128882862</v>
      </c>
      <c r="M502">
        <v>0</v>
      </c>
      <c r="N502" s="9"/>
      <c r="O502" s="3">
        <f>L502-M502</f>
        <v>2.779441128882862</v>
      </c>
      <c r="T502" s="3"/>
    </row>
    <row r="503" spans="1:20">
      <c r="A503" s="7"/>
      <c r="B503" s="8"/>
      <c r="C503" s="8"/>
      <c r="D503" s="8"/>
      <c r="E503" s="7"/>
      <c r="F503" s="7"/>
      <c r="G503" s="7"/>
      <c r="H503" s="7"/>
      <c r="I503" s="7"/>
      <c r="J503" s="7"/>
      <c r="K503" s="7"/>
      <c r="N503" s="10"/>
      <c r="O503" s="3"/>
      <c r="T503" s="3"/>
    </row>
    <row r="504" spans="1:20">
      <c r="A504" s="7"/>
      <c r="B504" s="8">
        <v>0.14897154656832046</v>
      </c>
      <c r="C504" s="8">
        <v>-0.84725762547333594</v>
      </c>
      <c r="D504" s="8">
        <v>1.9759438806851826E-2</v>
      </c>
      <c r="E504" s="7">
        <v>-1.4990516053215155E-2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>
        <v>0.37021422051581732</v>
      </c>
      <c r="M504">
        <v>0</v>
      </c>
      <c r="N504" s="9"/>
      <c r="O504" s="3">
        <f>L504-M504</f>
        <v>0.37021422051581732</v>
      </c>
      <c r="T504" s="3"/>
    </row>
    <row r="505" spans="1:20">
      <c r="A505" s="7" t="s">
        <v>139</v>
      </c>
      <c r="B505" s="8">
        <v>2.44475956514645</v>
      </c>
      <c r="C505" s="8">
        <v>-0.85548399177677847</v>
      </c>
      <c r="D505" s="8">
        <v>5.2896656816179721E-2</v>
      </c>
      <c r="E505" s="7">
        <v>0</v>
      </c>
      <c r="F505" s="7">
        <v>-1.4990516053215155E-2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>
        <v>3.3557501239318595</v>
      </c>
      <c r="M505">
        <v>0</v>
      </c>
      <c r="N505" s="9"/>
      <c r="O505" s="3">
        <f>L505-M505</f>
        <v>3.3557501239318595</v>
      </c>
      <c r="T505" s="3"/>
    </row>
    <row r="506" spans="1:20">
      <c r="A506" s="7"/>
      <c r="B506" s="8">
        <v>1.3773893306068323</v>
      </c>
      <c r="C506" s="8">
        <v>1.5521003879162059</v>
      </c>
      <c r="D506" s="8">
        <v>-0.65590292152571228</v>
      </c>
      <c r="E506" s="7">
        <v>0</v>
      </c>
      <c r="F506" s="7">
        <v>0</v>
      </c>
      <c r="G506" s="7">
        <v>-1.4990516053215155E-2</v>
      </c>
      <c r="H506" s="7">
        <v>0</v>
      </c>
      <c r="I506" s="7">
        <v>0</v>
      </c>
      <c r="J506" s="7">
        <v>0</v>
      </c>
      <c r="K506" s="7">
        <v>0</v>
      </c>
      <c r="L506">
        <v>2.3682128123525694</v>
      </c>
      <c r="M506">
        <v>0</v>
      </c>
      <c r="N506" s="9"/>
      <c r="O506" s="3">
        <f>L506-M506</f>
        <v>2.3682128123525694</v>
      </c>
      <c r="T506" s="3"/>
    </row>
    <row r="507" spans="1:20">
      <c r="A507" s="7"/>
      <c r="B507" s="8"/>
      <c r="C507" s="8"/>
      <c r="D507" s="8"/>
      <c r="E507" s="7"/>
      <c r="F507" s="7"/>
      <c r="G507" s="7"/>
      <c r="H507" s="7"/>
      <c r="I507" s="7"/>
      <c r="J507" s="7"/>
      <c r="K507" s="7"/>
      <c r="N507" s="10"/>
      <c r="O507" s="3"/>
      <c r="T507" s="3"/>
    </row>
    <row r="508" spans="1:20">
      <c r="A508" s="7"/>
      <c r="B508" s="8">
        <v>0.14897154656832046</v>
      </c>
      <c r="C508" s="8">
        <v>-0.84725762547333594</v>
      </c>
      <c r="D508" s="8">
        <v>1.9759438806851826E-2</v>
      </c>
      <c r="E508" s="7">
        <v>-1.4990516053215155E-2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>
        <v>0.37021422051581732</v>
      </c>
      <c r="M508">
        <v>0</v>
      </c>
      <c r="N508" s="9"/>
      <c r="O508" s="3">
        <f>L508-M508</f>
        <v>0.37021422051581732</v>
      </c>
      <c r="T508" s="3"/>
    </row>
    <row r="509" spans="1:20">
      <c r="A509" s="7" t="s">
        <v>140</v>
      </c>
      <c r="B509" s="8">
        <v>2.8449497700634536</v>
      </c>
      <c r="C509" s="8">
        <v>0.22852225552422287</v>
      </c>
      <c r="D509" s="8">
        <v>6.9737163040410666E-2</v>
      </c>
      <c r="E509" s="7">
        <v>0</v>
      </c>
      <c r="F509" s="7">
        <v>-1.4990516053215155E-2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>
        <v>4.0754124436814498</v>
      </c>
      <c r="M509">
        <v>0</v>
      </c>
      <c r="N509" s="9"/>
      <c r="O509" s="3">
        <f>L509-M509</f>
        <v>4.0754124436814498</v>
      </c>
      <c r="T509" s="3"/>
    </row>
    <row r="510" spans="1:20">
      <c r="A510" s="7"/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0</v>
      </c>
      <c r="G510" s="7">
        <v>-1.4990516053215155E-2</v>
      </c>
      <c r="H510" s="7">
        <v>0</v>
      </c>
      <c r="I510" s="7">
        <v>0</v>
      </c>
      <c r="J510" s="7">
        <v>0</v>
      </c>
      <c r="K510" s="7">
        <v>0</v>
      </c>
      <c r="L510">
        <v>0.90446106922389957</v>
      </c>
      <c r="M510">
        <v>0</v>
      </c>
      <c r="N510" s="9"/>
      <c r="O510" s="3">
        <f>L510-M510</f>
        <v>0.90446106922389957</v>
      </c>
      <c r="T510" s="3"/>
    </row>
    <row r="511" spans="1:20">
      <c r="A511" s="7"/>
      <c r="B511" s="8"/>
      <c r="C511" s="8"/>
      <c r="D511" s="8"/>
      <c r="E511" s="7"/>
      <c r="F511" s="7"/>
      <c r="G511" s="7"/>
      <c r="H511" s="7"/>
      <c r="I511" s="7"/>
      <c r="J511" s="7"/>
      <c r="K511" s="7"/>
      <c r="N511" s="10"/>
      <c r="O511" s="3"/>
      <c r="T511" s="3"/>
    </row>
    <row r="512" spans="1:20">
      <c r="A512" s="7"/>
      <c r="B512" s="8">
        <v>0.14897154656832046</v>
      </c>
      <c r="C512" s="8">
        <v>-0.84725762547333594</v>
      </c>
      <c r="D512" s="8">
        <v>1.9759438806851826E-2</v>
      </c>
      <c r="E512" s="7">
        <v>-1.4990516053215155E-2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>
        <v>0.37021422051581732</v>
      </c>
      <c r="M512">
        <v>0</v>
      </c>
      <c r="N512" s="9"/>
      <c r="O512" s="3">
        <f>L512-M512</f>
        <v>0.37021422051581732</v>
      </c>
      <c r="T512" s="3"/>
    </row>
    <row r="513" spans="1:20">
      <c r="A513" s="7" t="s">
        <v>141</v>
      </c>
      <c r="B513" s="8">
        <v>2.8449497700634536</v>
      </c>
      <c r="C513" s="8">
        <v>0.22852225552422287</v>
      </c>
      <c r="D513" s="8">
        <v>6.9737163040410666E-2</v>
      </c>
      <c r="E513" s="7">
        <v>0</v>
      </c>
      <c r="F513" s="7">
        <v>-1.4990516053215155E-2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>
        <v>4.0754124436814498</v>
      </c>
      <c r="M513">
        <v>0</v>
      </c>
      <c r="N513" s="9"/>
      <c r="O513" s="3">
        <f>L513-M513</f>
        <v>4.0754124436814498</v>
      </c>
      <c r="T513" s="3"/>
    </row>
    <row r="514" spans="1:20">
      <c r="A514" s="7"/>
      <c r="B514" s="8">
        <v>1.9865190328797109</v>
      </c>
      <c r="C514" s="8">
        <v>1.2694850305255347</v>
      </c>
      <c r="D514" s="8">
        <v>3.2127045366234341E-2</v>
      </c>
      <c r="E514" s="7">
        <v>0</v>
      </c>
      <c r="F514" s="7">
        <v>0</v>
      </c>
      <c r="G514" s="7">
        <v>-1.4990516053215155E-2</v>
      </c>
      <c r="H514" s="7">
        <v>0</v>
      </c>
      <c r="I514" s="7">
        <v>0</v>
      </c>
      <c r="J514" s="7">
        <v>0</v>
      </c>
      <c r="K514" s="7">
        <v>0</v>
      </c>
      <c r="L514">
        <v>2.779441128882862</v>
      </c>
      <c r="M514">
        <v>0</v>
      </c>
      <c r="N514" s="9"/>
      <c r="O514" s="3">
        <f>L514-M514</f>
        <v>2.779441128882862</v>
      </c>
      <c r="T514" s="3"/>
    </row>
    <row r="515" spans="1:20">
      <c r="A515" s="7"/>
      <c r="B515" s="8"/>
      <c r="C515" s="8"/>
      <c r="D515" s="8"/>
      <c r="E515" s="7"/>
      <c r="F515" s="7"/>
      <c r="G515" s="7"/>
      <c r="H515" s="7"/>
      <c r="I515" s="7"/>
      <c r="J515" s="7"/>
      <c r="K515" s="7"/>
      <c r="N515" s="10"/>
      <c r="O515" s="3"/>
      <c r="T515" s="3"/>
    </row>
    <row r="516" spans="1:20">
      <c r="A516" s="7"/>
      <c r="B516" s="8">
        <v>0.14897154656832046</v>
      </c>
      <c r="C516" s="8">
        <v>-0.84725762547333594</v>
      </c>
      <c r="D516" s="8">
        <v>1.9759438806851826E-2</v>
      </c>
      <c r="E516" s="7">
        <v>-1.4990516053215155E-2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>
        <v>0.37021422051581732</v>
      </c>
      <c r="M516">
        <v>0</v>
      </c>
      <c r="N516" s="9"/>
      <c r="O516" s="3">
        <f>L516-M516</f>
        <v>0.37021422051581732</v>
      </c>
      <c r="T516" s="3"/>
    </row>
    <row r="517" spans="1:20">
      <c r="A517" s="7" t="s">
        <v>142</v>
      </c>
      <c r="B517" s="8">
        <v>2.8449497700634536</v>
      </c>
      <c r="C517" s="8">
        <v>0.22852225552422287</v>
      </c>
      <c r="D517" s="8">
        <v>6.9737163040410666E-2</v>
      </c>
      <c r="E517" s="7">
        <v>0</v>
      </c>
      <c r="F517" s="7">
        <v>-1.4990516053215155E-2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>
        <v>4.0754124436814498</v>
      </c>
      <c r="M517">
        <v>0</v>
      </c>
      <c r="N517" s="9"/>
      <c r="O517" s="3">
        <f>L517-M517</f>
        <v>4.0754124436814498</v>
      </c>
      <c r="T517" s="3"/>
    </row>
    <row r="518" spans="1:20">
      <c r="A518" s="7"/>
      <c r="B518" s="8">
        <v>1.3773893306068323</v>
      </c>
      <c r="C518" s="8">
        <v>1.5521003879162059</v>
      </c>
      <c r="D518" s="8">
        <v>-0.65590292152571228</v>
      </c>
      <c r="E518" s="7">
        <v>0</v>
      </c>
      <c r="F518" s="7">
        <v>0</v>
      </c>
      <c r="G518" s="7">
        <v>-1.4990516053215155E-2</v>
      </c>
      <c r="H518" s="7">
        <v>0</v>
      </c>
      <c r="I518" s="7">
        <v>0</v>
      </c>
      <c r="J518" s="7">
        <v>0</v>
      </c>
      <c r="K518" s="7">
        <v>0</v>
      </c>
      <c r="L518">
        <v>2.3682128123525694</v>
      </c>
      <c r="M518">
        <v>0</v>
      </c>
      <c r="N518" s="9"/>
      <c r="O518" s="3">
        <f>L518-M518</f>
        <v>2.3682128123525694</v>
      </c>
      <c r="T518" s="3"/>
    </row>
    <row r="519" spans="1:20">
      <c r="A519" s="7"/>
      <c r="B519" s="8"/>
      <c r="C519" s="8"/>
      <c r="D519" s="8"/>
      <c r="E519" s="7"/>
      <c r="F519" s="7"/>
      <c r="G519" s="7"/>
      <c r="H519" s="7"/>
      <c r="I519" s="7"/>
      <c r="J519" s="7"/>
      <c r="K519" s="7"/>
      <c r="N519" s="10"/>
      <c r="O519" s="3"/>
      <c r="T519" s="3"/>
    </row>
    <row r="520" spans="1:20">
      <c r="A520" s="7"/>
      <c r="B520" s="8">
        <v>0.14897154656832046</v>
      </c>
      <c r="C520" s="8">
        <v>-0.84725762547333594</v>
      </c>
      <c r="D520" s="8">
        <v>1.9759438806851826E-2</v>
      </c>
      <c r="E520" s="7">
        <v>-1.4990516053215155E-2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>
        <v>0.37021422051581732</v>
      </c>
      <c r="M520">
        <v>0</v>
      </c>
      <c r="N520" s="9"/>
      <c r="O520" s="3">
        <f>L520-M520</f>
        <v>0.37021422051581732</v>
      </c>
      <c r="T520" s="3"/>
    </row>
    <row r="521" spans="1:20">
      <c r="A521" s="7" t="s">
        <v>143</v>
      </c>
      <c r="B521" s="8">
        <v>0.36768865949079377</v>
      </c>
      <c r="C521" s="8">
        <v>1.2890795247765441</v>
      </c>
      <c r="D521" s="8">
        <v>0.10954983766095538</v>
      </c>
      <c r="E521" s="7">
        <v>0</v>
      </c>
      <c r="F521" s="7">
        <v>-1.4990516053215155E-2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>
        <v>0.90446106922389957</v>
      </c>
      <c r="M521">
        <v>0</v>
      </c>
      <c r="N521" s="9"/>
      <c r="O521" s="3">
        <f>L521-M521</f>
        <v>0.90446106922389957</v>
      </c>
      <c r="T521" s="3"/>
    </row>
    <row r="522" spans="1:20">
      <c r="A522" s="7"/>
      <c r="B522" s="8">
        <v>1.9865190328797109</v>
      </c>
      <c r="C522" s="8">
        <v>1.2694850305255347</v>
      </c>
      <c r="D522" s="8">
        <v>3.2127045366234341E-2</v>
      </c>
      <c r="E522" s="7">
        <v>0</v>
      </c>
      <c r="F522" s="7">
        <v>0</v>
      </c>
      <c r="G522" s="7">
        <v>-1.4990516053215155E-2</v>
      </c>
      <c r="H522" s="7">
        <v>0</v>
      </c>
      <c r="I522" s="7">
        <v>0</v>
      </c>
      <c r="J522" s="7">
        <v>0</v>
      </c>
      <c r="K522" s="7">
        <v>0</v>
      </c>
      <c r="L522">
        <v>2.779441128882862</v>
      </c>
      <c r="M522">
        <v>0</v>
      </c>
      <c r="N522" s="9"/>
      <c r="O522" s="3">
        <f>L522-M522</f>
        <v>2.779441128882862</v>
      </c>
      <c r="T522" s="3"/>
    </row>
    <row r="523" spans="1:20">
      <c r="A523" s="7"/>
      <c r="B523" s="8"/>
      <c r="C523" s="8"/>
      <c r="D523" s="8"/>
      <c r="E523" s="7"/>
      <c r="F523" s="7"/>
      <c r="G523" s="7"/>
      <c r="H523" s="7"/>
      <c r="I523" s="7"/>
      <c r="J523" s="7"/>
      <c r="K523" s="7"/>
      <c r="N523" s="10"/>
      <c r="O523" s="3"/>
      <c r="T523" s="3"/>
    </row>
    <row r="524" spans="1:20">
      <c r="A524" s="7"/>
      <c r="B524" s="8">
        <v>0.14897154656832046</v>
      </c>
      <c r="C524" s="8">
        <v>-0.84725762547333594</v>
      </c>
      <c r="D524" s="8">
        <v>1.9759438806851826E-2</v>
      </c>
      <c r="E524" s="7">
        <v>-1.4990516053215155E-2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>
        <v>0.37021422051581732</v>
      </c>
      <c r="M524">
        <v>0</v>
      </c>
      <c r="N524" s="9"/>
      <c r="O524" s="3">
        <f>L524-M524</f>
        <v>0.37021422051581732</v>
      </c>
      <c r="T524" s="3"/>
    </row>
    <row r="525" spans="1:20">
      <c r="A525" s="7" t="s">
        <v>144</v>
      </c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7">
        <v>-1.4990516053215155E-2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>
        <v>0.90446106922389957</v>
      </c>
      <c r="M525">
        <v>0</v>
      </c>
      <c r="N525" s="9"/>
      <c r="O525" s="3">
        <f>L525-M525</f>
        <v>0.90446106922389957</v>
      </c>
      <c r="T525" s="3"/>
    </row>
    <row r="526" spans="1:20">
      <c r="A526" s="7"/>
      <c r="B526" s="8">
        <v>1.3773893306068323</v>
      </c>
      <c r="C526" s="8">
        <v>1.5521003879162059</v>
      </c>
      <c r="D526" s="8">
        <v>-0.65590292152571228</v>
      </c>
      <c r="E526" s="7">
        <v>0</v>
      </c>
      <c r="F526" s="7">
        <v>0</v>
      </c>
      <c r="G526" s="7">
        <v>-1.4990516053215155E-2</v>
      </c>
      <c r="H526" s="7">
        <v>0</v>
      </c>
      <c r="I526" s="7">
        <v>0</v>
      </c>
      <c r="J526" s="7">
        <v>0</v>
      </c>
      <c r="K526" s="7">
        <v>0</v>
      </c>
      <c r="L526">
        <v>2.3682128123525694</v>
      </c>
      <c r="M526">
        <v>0</v>
      </c>
      <c r="N526" s="9"/>
      <c r="O526" s="3">
        <f>L526-M526</f>
        <v>2.3682128123525694</v>
      </c>
      <c r="T526" s="3"/>
    </row>
    <row r="527" spans="1:20">
      <c r="A527" s="7"/>
      <c r="B527" s="8"/>
      <c r="C527" s="8"/>
      <c r="D527" s="8"/>
      <c r="E527" s="7"/>
      <c r="F527" s="7"/>
      <c r="G527" s="7"/>
      <c r="H527" s="7"/>
      <c r="I527" s="7"/>
      <c r="J527" s="7"/>
      <c r="K527" s="7"/>
      <c r="N527" s="10"/>
      <c r="O527" s="3"/>
      <c r="T527" s="3"/>
    </row>
    <row r="528" spans="1:20">
      <c r="A528" s="7"/>
      <c r="B528" s="8">
        <v>0.14897154656832046</v>
      </c>
      <c r="C528" s="8">
        <v>-0.84725762547333594</v>
      </c>
      <c r="D528" s="8">
        <v>1.9759438806851826E-2</v>
      </c>
      <c r="E528" s="7">
        <v>-1.4990516053215155E-2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>
        <v>0.37021422051581732</v>
      </c>
      <c r="M528">
        <v>0</v>
      </c>
      <c r="N528" s="9"/>
      <c r="O528" s="3">
        <f>L528-M528</f>
        <v>0.37021422051581732</v>
      </c>
      <c r="T528" s="3"/>
    </row>
    <row r="529" spans="1:20">
      <c r="A529" s="7" t="s">
        <v>145</v>
      </c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7">
        <v>-1.4990516053215155E-2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>
        <v>2.779441128882862</v>
      </c>
      <c r="M529">
        <v>0</v>
      </c>
      <c r="N529" s="9"/>
      <c r="O529" s="3">
        <f>L529-M529</f>
        <v>2.779441128882862</v>
      </c>
      <c r="T529" s="3"/>
    </row>
    <row r="530" spans="1:20">
      <c r="A530" s="7"/>
      <c r="B530" s="8">
        <v>1.3773893306068323</v>
      </c>
      <c r="C530" s="8">
        <v>1.5521003879162059</v>
      </c>
      <c r="D530" s="8">
        <v>-0.65590292152571228</v>
      </c>
      <c r="E530" s="7">
        <v>0</v>
      </c>
      <c r="F530" s="7">
        <v>0</v>
      </c>
      <c r="G530" s="7">
        <v>-1.4990516053215155E-2</v>
      </c>
      <c r="H530" s="7">
        <v>0</v>
      </c>
      <c r="I530" s="7">
        <v>0</v>
      </c>
      <c r="J530" s="7">
        <v>0</v>
      </c>
      <c r="K530" s="7">
        <v>0</v>
      </c>
      <c r="L530">
        <v>2.3682128123525694</v>
      </c>
      <c r="M530">
        <v>0</v>
      </c>
      <c r="N530" s="9"/>
      <c r="O530" s="3">
        <f>L530-M530</f>
        <v>2.3682128123525694</v>
      </c>
      <c r="T530" s="3"/>
    </row>
    <row r="531" spans="1:20">
      <c r="A531" s="7"/>
      <c r="B531" s="8"/>
      <c r="C531" s="8"/>
      <c r="D531" s="8"/>
      <c r="E531" s="7"/>
      <c r="F531" s="7"/>
      <c r="G531" s="7"/>
      <c r="H531" s="7"/>
      <c r="I531" s="7"/>
      <c r="J531" s="7"/>
      <c r="K531" s="7"/>
      <c r="N531" s="10"/>
      <c r="O531" s="3"/>
      <c r="T531" s="3"/>
    </row>
    <row r="532" spans="1:20">
      <c r="A532" s="7"/>
      <c r="B532" s="8">
        <v>2.44475956514645</v>
      </c>
      <c r="C532" s="8">
        <v>-0.85548399177677847</v>
      </c>
      <c r="D532" s="8">
        <v>5.2896656816179721E-2</v>
      </c>
      <c r="E532" s="7">
        <v>-1.4990516053215155E-2</v>
      </c>
      <c r="F532" s="7">
        <v>0</v>
      </c>
      <c r="G532" s="7">
        <v>0</v>
      </c>
      <c r="H532" s="7">
        <v>-2.2385887789414392E-2</v>
      </c>
      <c r="I532" s="7">
        <v>2.2872089329671663E-2</v>
      </c>
      <c r="J532" s="7">
        <v>0</v>
      </c>
      <c r="K532" s="7">
        <v>0</v>
      </c>
      <c r="L532">
        <v>3.3557501239318595</v>
      </c>
      <c r="M532">
        <v>-3.6711215682891076E-4</v>
      </c>
      <c r="N532" s="9"/>
      <c r="O532" s="3">
        <f>L532-M532</f>
        <v>3.3561172360886884</v>
      </c>
      <c r="T532" s="3"/>
    </row>
    <row r="533" spans="1:20">
      <c r="A533" s="7" t="s">
        <v>146</v>
      </c>
      <c r="B533" s="8">
        <v>2.8449497700634536</v>
      </c>
      <c r="C533" s="8">
        <v>0.22852225552422287</v>
      </c>
      <c r="D533" s="8">
        <v>6.9737163040410666E-2</v>
      </c>
      <c r="E533" s="7">
        <v>0</v>
      </c>
      <c r="F533" s="7">
        <v>-1.4990516053215155E-2</v>
      </c>
      <c r="G533" s="7">
        <v>0</v>
      </c>
      <c r="H533" s="7">
        <v>-2.2385887789414392E-2</v>
      </c>
      <c r="I533" s="7">
        <v>0</v>
      </c>
      <c r="J533" s="7">
        <v>1.6236379226863738E-2</v>
      </c>
      <c r="K533" s="7">
        <v>0</v>
      </c>
      <c r="L533">
        <v>4.0754124436814498</v>
      </c>
      <c r="M533">
        <v>3.9624652814939246E-3</v>
      </c>
      <c r="N533" s="9"/>
      <c r="O533" s="3">
        <f>L533-M533</f>
        <v>4.071449978399956</v>
      </c>
      <c r="T533" s="3"/>
    </row>
    <row r="534" spans="1:20">
      <c r="A534" s="7"/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0</v>
      </c>
      <c r="G534" s="7">
        <v>-1.4990516053215155E-2</v>
      </c>
      <c r="H534" s="7">
        <v>-2.2385887789414392E-2</v>
      </c>
      <c r="I534" s="7">
        <v>0</v>
      </c>
      <c r="J534" s="7">
        <v>0</v>
      </c>
      <c r="K534" s="7">
        <v>1.5970575730977998E-2</v>
      </c>
      <c r="L534">
        <v>0.90446106922389957</v>
      </c>
      <c r="M534">
        <v>4.1052881172903618E-3</v>
      </c>
      <c r="N534" s="9"/>
      <c r="O534" s="3">
        <f>L534-M534</f>
        <v>0.90035578110660919</v>
      </c>
      <c r="T534" s="3"/>
    </row>
    <row r="535" spans="1:20">
      <c r="A535" s="7"/>
      <c r="B535" s="8"/>
      <c r="C535" s="8"/>
      <c r="D535" s="8"/>
      <c r="E535" s="7"/>
      <c r="F535" s="7"/>
      <c r="G535" s="7"/>
      <c r="H535" s="7"/>
      <c r="I535" s="7"/>
      <c r="J535" s="7"/>
      <c r="K535" s="7"/>
      <c r="N535" s="10"/>
      <c r="O535" s="3"/>
      <c r="T535" s="3"/>
    </row>
    <row r="536" spans="1:20">
      <c r="A536" s="7"/>
      <c r="B536" s="8">
        <v>2.44475956514645</v>
      </c>
      <c r="C536" s="8">
        <v>-0.85548399177677847</v>
      </c>
      <c r="D536" s="8">
        <v>5.2896656816179721E-2</v>
      </c>
      <c r="E536" s="7">
        <v>-1.4990516053215155E-2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>
        <v>3.3557501239318595</v>
      </c>
      <c r="M536">
        <v>0</v>
      </c>
      <c r="N536" s="9"/>
      <c r="O536" s="3">
        <f>L536-M536</f>
        <v>3.3557501239318595</v>
      </c>
      <c r="T536" s="3"/>
    </row>
    <row r="537" spans="1:20">
      <c r="A537" s="7" t="s">
        <v>147</v>
      </c>
      <c r="B537" s="8">
        <v>2.8449497700634536</v>
      </c>
      <c r="C537" s="8">
        <v>0.22852225552422287</v>
      </c>
      <c r="D537" s="8">
        <v>6.9737163040410666E-2</v>
      </c>
      <c r="E537" s="7">
        <v>0</v>
      </c>
      <c r="F537" s="7">
        <v>-1.4990516053215155E-2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>
        <v>4.0754124436814498</v>
      </c>
      <c r="M537">
        <v>0</v>
      </c>
      <c r="N537" s="9"/>
      <c r="O537" s="3">
        <f>L537-M537</f>
        <v>4.0754124436814498</v>
      </c>
      <c r="T537" s="3"/>
    </row>
    <row r="538" spans="1:20">
      <c r="A538" s="7"/>
      <c r="B538" s="8">
        <v>1.9865190328797109</v>
      </c>
      <c r="C538" s="8">
        <v>1.2694850305255347</v>
      </c>
      <c r="D538" s="8">
        <v>3.2127045366234341E-2</v>
      </c>
      <c r="E538" s="7">
        <v>0</v>
      </c>
      <c r="F538" s="7">
        <v>0</v>
      </c>
      <c r="G538" s="7">
        <v>-1.4990516053215155E-2</v>
      </c>
      <c r="H538" s="7">
        <v>0</v>
      </c>
      <c r="I538" s="7">
        <v>0</v>
      </c>
      <c r="J538" s="7">
        <v>0</v>
      </c>
      <c r="K538" s="7">
        <v>0</v>
      </c>
      <c r="L538">
        <v>2.779441128882862</v>
      </c>
      <c r="M538">
        <v>0</v>
      </c>
      <c r="N538" s="9"/>
      <c r="O538" s="3">
        <f>L538-M538</f>
        <v>2.779441128882862</v>
      </c>
      <c r="T538" s="3"/>
    </row>
    <row r="539" spans="1:20">
      <c r="A539" s="7"/>
      <c r="B539" s="8"/>
      <c r="C539" s="8"/>
      <c r="D539" s="8"/>
      <c r="E539" s="7"/>
      <c r="F539" s="7"/>
      <c r="G539" s="7"/>
      <c r="H539" s="7"/>
      <c r="I539" s="7"/>
      <c r="J539" s="7"/>
      <c r="K539" s="7"/>
      <c r="N539" s="10"/>
      <c r="O539" s="3"/>
      <c r="T539" s="3"/>
    </row>
    <row r="540" spans="1:20">
      <c r="A540" s="7"/>
      <c r="B540" s="8">
        <v>2.44475956514645</v>
      </c>
      <c r="C540" s="8">
        <v>-0.85548399177677847</v>
      </c>
      <c r="D540" s="8">
        <v>5.2896656816179721E-2</v>
      </c>
      <c r="E540" s="7">
        <v>-1.4990516053215155E-2</v>
      </c>
      <c r="F540" s="7">
        <v>0</v>
      </c>
      <c r="G540" s="7">
        <v>0</v>
      </c>
      <c r="H540" s="7">
        <v>-2.2385887789414392E-2</v>
      </c>
      <c r="I540" s="7">
        <v>2.2872089329671663E-2</v>
      </c>
      <c r="J540" s="7">
        <v>0</v>
      </c>
      <c r="K540" s="7">
        <v>0</v>
      </c>
      <c r="L540">
        <v>3.3557501239318595</v>
      </c>
      <c r="M540">
        <v>-3.6711215682891076E-4</v>
      </c>
      <c r="N540" s="9"/>
      <c r="O540" s="3">
        <f>L540-M540</f>
        <v>3.3561172360886884</v>
      </c>
      <c r="T540" s="3"/>
    </row>
    <row r="541" spans="1:20">
      <c r="A541" s="7" t="s">
        <v>148</v>
      </c>
      <c r="B541" s="8">
        <v>2.8449497700634536</v>
      </c>
      <c r="C541" s="8">
        <v>0.22852225552422287</v>
      </c>
      <c r="D541" s="8">
        <v>6.9737163040410666E-2</v>
      </c>
      <c r="E541" s="7">
        <v>0</v>
      </c>
      <c r="F541" s="7">
        <v>-1.4990516053215155E-2</v>
      </c>
      <c r="G541" s="7">
        <v>0</v>
      </c>
      <c r="H541" s="7">
        <v>-2.2385887789414392E-2</v>
      </c>
      <c r="I541" s="7">
        <v>0</v>
      </c>
      <c r="J541" s="7">
        <v>1.6236379226863738E-2</v>
      </c>
      <c r="K541" s="7">
        <v>0</v>
      </c>
      <c r="L541">
        <v>4.0754124436814498</v>
      </c>
      <c r="M541">
        <v>3.9624652814939246E-3</v>
      </c>
      <c r="N541" s="9"/>
      <c r="O541" s="3">
        <f>L541-M541</f>
        <v>4.071449978399956</v>
      </c>
      <c r="T541" s="3"/>
    </row>
    <row r="542" spans="1:20">
      <c r="A542" s="7"/>
      <c r="B542" s="8">
        <v>1.3773893306068323</v>
      </c>
      <c r="C542" s="8">
        <v>1.5521003879162059</v>
      </c>
      <c r="D542" s="8">
        <v>-0.65590292152571228</v>
      </c>
      <c r="E542" s="7">
        <v>0</v>
      </c>
      <c r="F542" s="7">
        <v>0</v>
      </c>
      <c r="G542" s="7">
        <v>-1.4990516053215155E-2</v>
      </c>
      <c r="H542" s="7">
        <v>-2.2385887789414392E-2</v>
      </c>
      <c r="I542" s="7">
        <v>0</v>
      </c>
      <c r="J542" s="7">
        <v>0</v>
      </c>
      <c r="K542" s="7">
        <v>2.0521745021313972E-2</v>
      </c>
      <c r="L542">
        <v>2.3682128123525694</v>
      </c>
      <c r="M542">
        <v>1.3344460583924961E-3</v>
      </c>
      <c r="N542" s="9"/>
      <c r="O542" s="3">
        <f>L542-M542</f>
        <v>2.366878366294177</v>
      </c>
      <c r="T542" s="3"/>
    </row>
    <row r="543" spans="1:20">
      <c r="A543" s="7"/>
      <c r="B543" s="8"/>
      <c r="C543" s="8"/>
      <c r="D543" s="8"/>
      <c r="E543" s="7"/>
      <c r="F543" s="7"/>
      <c r="G543" s="7"/>
      <c r="H543" s="7"/>
      <c r="I543" s="7"/>
      <c r="J543" s="7"/>
      <c r="K543" s="7"/>
      <c r="N543" s="10"/>
      <c r="O543" s="3"/>
      <c r="T543" s="3"/>
    </row>
    <row r="544" spans="1:20">
      <c r="A544" s="7"/>
      <c r="B544" s="8">
        <v>2.44475956514645</v>
      </c>
      <c r="C544" s="8">
        <v>-0.85548399177677847</v>
      </c>
      <c r="D544" s="8">
        <v>5.2896656816179721E-2</v>
      </c>
      <c r="E544" s="7">
        <v>-1.4990516053215155E-2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>
        <v>3.3557501239318595</v>
      </c>
      <c r="M544">
        <v>0</v>
      </c>
      <c r="N544" s="9"/>
      <c r="O544" s="3">
        <f>L544-M544</f>
        <v>3.3557501239318595</v>
      </c>
      <c r="T544" s="3"/>
    </row>
    <row r="545" spans="1:20">
      <c r="A545" s="7" t="s">
        <v>149</v>
      </c>
      <c r="B545" s="8">
        <v>0.36768865949079377</v>
      </c>
      <c r="C545" s="8">
        <v>1.2890795247765441</v>
      </c>
      <c r="D545" s="8">
        <v>0.10954983766095538</v>
      </c>
      <c r="E545" s="7">
        <v>0</v>
      </c>
      <c r="F545" s="7">
        <v>-1.4990516053215155E-2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>
        <v>0.90446106922389957</v>
      </c>
      <c r="M545">
        <v>0</v>
      </c>
      <c r="N545" s="9"/>
      <c r="O545" s="3">
        <f>L545-M545</f>
        <v>0.90446106922389957</v>
      </c>
      <c r="T545" s="3"/>
    </row>
    <row r="546" spans="1:20">
      <c r="A546" s="7"/>
      <c r="B546" s="8">
        <v>1.9865190328797109</v>
      </c>
      <c r="C546" s="8">
        <v>1.2694850305255347</v>
      </c>
      <c r="D546" s="8">
        <v>3.2127045366234341E-2</v>
      </c>
      <c r="E546" s="7">
        <v>0</v>
      </c>
      <c r="F546" s="7">
        <v>0</v>
      </c>
      <c r="G546" s="7">
        <v>-1.4990516053215155E-2</v>
      </c>
      <c r="H546" s="7">
        <v>0</v>
      </c>
      <c r="I546" s="7">
        <v>0</v>
      </c>
      <c r="J546" s="7">
        <v>0</v>
      </c>
      <c r="K546" s="7">
        <v>0</v>
      </c>
      <c r="L546">
        <v>2.779441128882862</v>
      </c>
      <c r="M546">
        <v>0</v>
      </c>
      <c r="N546" s="9"/>
      <c r="O546" s="3">
        <f>L546-M546</f>
        <v>2.779441128882862</v>
      </c>
      <c r="T546" s="3"/>
    </row>
    <row r="547" spans="1:20">
      <c r="A547" s="7"/>
      <c r="B547" s="8"/>
      <c r="C547" s="8"/>
      <c r="D547" s="8"/>
      <c r="E547" s="7"/>
      <c r="F547" s="7"/>
      <c r="G547" s="7"/>
      <c r="H547" s="7"/>
      <c r="I547" s="7"/>
      <c r="J547" s="7"/>
      <c r="K547" s="7"/>
      <c r="N547" s="10"/>
      <c r="O547" s="3"/>
      <c r="T547" s="3"/>
    </row>
    <row r="548" spans="1:20">
      <c r="A548" s="7"/>
      <c r="B548" s="8">
        <v>2.44475956514645</v>
      </c>
      <c r="C548" s="8">
        <v>-0.85548399177677847</v>
      </c>
      <c r="D548" s="8">
        <v>5.2896656816179721E-2</v>
      </c>
      <c r="E548" s="7">
        <v>-1.4990516053215155E-2</v>
      </c>
      <c r="F548" s="7">
        <v>0</v>
      </c>
      <c r="G548" s="7">
        <v>0</v>
      </c>
      <c r="H548" s="7">
        <v>-2.2385887789414392E-2</v>
      </c>
      <c r="I548" s="7">
        <v>2.2872089329671663E-2</v>
      </c>
      <c r="J548" s="7">
        <v>0</v>
      </c>
      <c r="K548" s="7">
        <v>0</v>
      </c>
      <c r="L548">
        <v>3.3557501239318595</v>
      </c>
      <c r="M548">
        <v>-3.6711215682891076E-4</v>
      </c>
      <c r="N548" s="9"/>
      <c r="O548" s="3">
        <f>L548-M548</f>
        <v>3.3561172360886884</v>
      </c>
      <c r="T548" s="3"/>
    </row>
    <row r="549" spans="1:20">
      <c r="A549" s="7" t="s">
        <v>150</v>
      </c>
      <c r="B549" s="8">
        <v>0.36768865949079377</v>
      </c>
      <c r="C549" s="8">
        <v>1.2890795247765441</v>
      </c>
      <c r="D549" s="8">
        <v>0.10954983766095538</v>
      </c>
      <c r="E549" s="7">
        <v>0</v>
      </c>
      <c r="F549" s="7">
        <v>-1.4990516053215155E-2</v>
      </c>
      <c r="G549" s="7">
        <v>0</v>
      </c>
      <c r="H549" s="7">
        <v>-2.2385887789414392E-2</v>
      </c>
      <c r="I549" s="7">
        <v>0</v>
      </c>
      <c r="J549" s="7">
        <v>1.5970575730977998E-2</v>
      </c>
      <c r="K549" s="7">
        <v>0</v>
      </c>
      <c r="L549">
        <v>0.90446106922389957</v>
      </c>
      <c r="M549">
        <v>4.1052881172903618E-3</v>
      </c>
      <c r="N549" s="9"/>
      <c r="O549" s="3">
        <f>L549-M549</f>
        <v>0.90035578110660919</v>
      </c>
      <c r="T549" s="3"/>
    </row>
    <row r="550" spans="1:20">
      <c r="A550" s="7"/>
      <c r="B550" s="8">
        <v>1.3773893306068323</v>
      </c>
      <c r="C550" s="8">
        <v>1.5521003879162059</v>
      </c>
      <c r="D550" s="8">
        <v>-0.65590292152571228</v>
      </c>
      <c r="E550" s="7">
        <v>0</v>
      </c>
      <c r="F550" s="7">
        <v>0</v>
      </c>
      <c r="G550" s="7">
        <v>-1.4990516053215155E-2</v>
      </c>
      <c r="H550" s="7">
        <v>-2.2385887789414392E-2</v>
      </c>
      <c r="I550" s="7">
        <v>0</v>
      </c>
      <c r="J550" s="7">
        <v>0</v>
      </c>
      <c r="K550" s="7">
        <v>2.0521745021313972E-2</v>
      </c>
      <c r="L550">
        <v>2.3682128123525694</v>
      </c>
      <c r="M550">
        <v>1.3344460583924961E-3</v>
      </c>
      <c r="N550" s="9"/>
      <c r="O550" s="3">
        <f>L550-M550</f>
        <v>2.366878366294177</v>
      </c>
      <c r="T550" s="3"/>
    </row>
    <row r="551" spans="1:20">
      <c r="A551" s="7"/>
      <c r="B551" s="8"/>
      <c r="C551" s="8"/>
      <c r="D551" s="8"/>
      <c r="E551" s="7"/>
      <c r="F551" s="7"/>
      <c r="G551" s="7"/>
      <c r="H551" s="7"/>
      <c r="I551" s="7"/>
      <c r="J551" s="7"/>
      <c r="K551" s="7"/>
      <c r="N551" s="10"/>
      <c r="O551" s="3"/>
      <c r="T551" s="3"/>
    </row>
    <row r="552" spans="1:20">
      <c r="A552" s="7"/>
      <c r="B552" s="8">
        <v>2.44475956514645</v>
      </c>
      <c r="C552" s="8">
        <v>-0.85548399177677847</v>
      </c>
      <c r="D552" s="8">
        <v>5.2896656816179721E-2</v>
      </c>
      <c r="E552" s="7">
        <v>-1.4990516053215155E-2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>
        <v>3.3557501239318595</v>
      </c>
      <c r="M552">
        <v>0</v>
      </c>
      <c r="N552" s="9"/>
      <c r="O552" s="3">
        <f>L552-M552</f>
        <v>3.3557501239318595</v>
      </c>
      <c r="T552" s="3"/>
    </row>
    <row r="553" spans="1:20">
      <c r="A553" s="7" t="s">
        <v>151</v>
      </c>
      <c r="B553" s="8">
        <v>1.9865190328797109</v>
      </c>
      <c r="C553" s="8">
        <v>1.2694850305255347</v>
      </c>
      <c r="D553" s="8">
        <v>3.2127045366234341E-2</v>
      </c>
      <c r="E553" s="7">
        <v>0</v>
      </c>
      <c r="F553" s="7">
        <v>-1.4990516053215155E-2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>
        <v>2.779441128882862</v>
      </c>
      <c r="M553">
        <v>0</v>
      </c>
      <c r="N553" s="9"/>
      <c r="O553" s="3">
        <f>L553-M553</f>
        <v>2.779441128882862</v>
      </c>
      <c r="T553" s="3"/>
    </row>
    <row r="554" spans="1:20">
      <c r="A554" s="7"/>
      <c r="B554" s="8">
        <v>1.3773893306068323</v>
      </c>
      <c r="C554" s="8">
        <v>1.5521003879162059</v>
      </c>
      <c r="D554" s="8">
        <v>-0.65590292152571228</v>
      </c>
      <c r="E554" s="7">
        <v>0</v>
      </c>
      <c r="F554" s="7">
        <v>0</v>
      </c>
      <c r="G554" s="7">
        <v>-1.4990516053215155E-2</v>
      </c>
      <c r="H554" s="7">
        <v>0</v>
      </c>
      <c r="I554" s="7">
        <v>0</v>
      </c>
      <c r="J554" s="7">
        <v>0</v>
      </c>
      <c r="K554" s="7">
        <v>0</v>
      </c>
      <c r="L554">
        <v>2.3682128123525694</v>
      </c>
      <c r="M554">
        <v>0</v>
      </c>
      <c r="N554" s="9"/>
      <c r="O554" s="3">
        <f>L554-M554</f>
        <v>2.3682128123525694</v>
      </c>
      <c r="T554" s="3"/>
    </row>
    <row r="555" spans="1:20">
      <c r="A555" s="7"/>
      <c r="B555" s="8"/>
      <c r="C555" s="8"/>
      <c r="D555" s="8"/>
      <c r="E555" s="7"/>
      <c r="F555" s="7"/>
      <c r="G555" s="7"/>
      <c r="H555" s="7"/>
      <c r="I555" s="7"/>
      <c r="J555" s="7"/>
      <c r="K555" s="7"/>
      <c r="N555" s="10"/>
      <c r="O555" s="3"/>
      <c r="T555" s="3"/>
    </row>
    <row r="556" spans="1:20">
      <c r="A556" s="7"/>
      <c r="B556" s="8">
        <v>2.8449497700634536</v>
      </c>
      <c r="C556" s="8">
        <v>0.22852225552422287</v>
      </c>
      <c r="D556" s="8">
        <v>6.9737163040410666E-2</v>
      </c>
      <c r="E556" s="7">
        <v>-1.4990516053215155E-2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>
        <v>4.0754124436814498</v>
      </c>
      <c r="M556">
        <v>0</v>
      </c>
      <c r="N556" s="9"/>
      <c r="O556" s="3">
        <f>L556-M556</f>
        <v>4.0754124436814498</v>
      </c>
      <c r="T556" s="3"/>
    </row>
    <row r="557" spans="1:20">
      <c r="A557" s="7" t="s">
        <v>152</v>
      </c>
      <c r="B557" s="8">
        <v>0.36768865949079377</v>
      </c>
      <c r="C557" s="8">
        <v>1.2890795247765441</v>
      </c>
      <c r="D557" s="8">
        <v>0.10954983766095538</v>
      </c>
      <c r="E557" s="7">
        <v>0</v>
      </c>
      <c r="F557" s="7">
        <v>-1.4990516053215155E-2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>
        <v>0.90446106922389957</v>
      </c>
      <c r="M557">
        <v>0</v>
      </c>
      <c r="N557" s="9"/>
      <c r="O557" s="3">
        <f>L557-M557</f>
        <v>0.90446106922389957</v>
      </c>
      <c r="T557" s="3"/>
    </row>
    <row r="558" spans="1:20">
      <c r="A558" s="7"/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0</v>
      </c>
      <c r="G558" s="7">
        <v>-1.4990516053215155E-2</v>
      </c>
      <c r="H558" s="7">
        <v>0</v>
      </c>
      <c r="I558" s="7">
        <v>0</v>
      </c>
      <c r="J558" s="7">
        <v>0</v>
      </c>
      <c r="K558" s="7">
        <v>0</v>
      </c>
      <c r="L558">
        <v>2.779441128882862</v>
      </c>
      <c r="M558">
        <v>0</v>
      </c>
      <c r="N558" s="9"/>
      <c r="O558" s="3">
        <f>L558-M558</f>
        <v>2.779441128882862</v>
      </c>
      <c r="T558" s="3"/>
    </row>
    <row r="559" spans="1:20">
      <c r="A559" s="7"/>
      <c r="B559" s="8"/>
      <c r="C559" s="8"/>
      <c r="D559" s="8"/>
      <c r="E559" s="7"/>
      <c r="F559" s="7"/>
      <c r="G559" s="7"/>
      <c r="H559" s="7"/>
      <c r="I559" s="7"/>
      <c r="J559" s="7"/>
      <c r="K559" s="7"/>
      <c r="N559" s="10"/>
      <c r="O559" s="3"/>
      <c r="T559" s="3"/>
    </row>
    <row r="560" spans="1:20">
      <c r="A560" s="7"/>
      <c r="B560" s="8">
        <v>2.8449497700634536</v>
      </c>
      <c r="C560" s="8">
        <v>0.22852225552422287</v>
      </c>
      <c r="D560" s="8">
        <v>6.9737163040410666E-2</v>
      </c>
      <c r="E560" s="7">
        <v>-1.4990516053215155E-2</v>
      </c>
      <c r="F560" s="7">
        <v>0</v>
      </c>
      <c r="G560" s="7">
        <v>0</v>
      </c>
      <c r="H560" s="7">
        <v>-2.2385887789414392E-2</v>
      </c>
      <c r="I560" s="7">
        <v>1.6236379226863738E-2</v>
      </c>
      <c r="J560" s="7">
        <v>0</v>
      </c>
      <c r="K560" s="7">
        <v>0</v>
      </c>
      <c r="L560">
        <v>4.0754124436814498</v>
      </c>
      <c r="M560">
        <v>3.9624652814939246E-3</v>
      </c>
      <c r="N560" s="9"/>
      <c r="O560" s="3">
        <f>L560-M560</f>
        <v>4.071449978399956</v>
      </c>
      <c r="T560" s="3"/>
    </row>
    <row r="561" spans="1:20">
      <c r="A561" s="7" t="s">
        <v>153</v>
      </c>
      <c r="B561" s="8">
        <v>0.36768865949079377</v>
      </c>
      <c r="C561" s="8">
        <v>1.2890795247765441</v>
      </c>
      <c r="D561" s="8">
        <v>0.10954983766095538</v>
      </c>
      <c r="E561" s="7">
        <v>0</v>
      </c>
      <c r="F561" s="7">
        <v>-1.4990516053215155E-2</v>
      </c>
      <c r="G561" s="7">
        <v>0</v>
      </c>
      <c r="H561" s="7">
        <v>-2.2385887789414392E-2</v>
      </c>
      <c r="I561" s="7">
        <v>0</v>
      </c>
      <c r="J561" s="7">
        <v>1.5970575730977998E-2</v>
      </c>
      <c r="K561" s="7">
        <v>0</v>
      </c>
      <c r="L561">
        <v>0.90446106922389957</v>
      </c>
      <c r="M561">
        <v>4.1052881172903618E-3</v>
      </c>
      <c r="N561" s="9"/>
      <c r="O561" s="3">
        <f>L561-M561</f>
        <v>0.90035578110660919</v>
      </c>
      <c r="T561" s="3"/>
    </row>
    <row r="562" spans="1:20">
      <c r="A562" s="7"/>
      <c r="B562" s="8">
        <v>1.3773893306068323</v>
      </c>
      <c r="C562" s="8">
        <v>1.5521003879162059</v>
      </c>
      <c r="D562" s="8">
        <v>-0.65590292152571228</v>
      </c>
      <c r="E562" s="7">
        <v>0</v>
      </c>
      <c r="F562" s="7">
        <v>0</v>
      </c>
      <c r="G562" s="7">
        <v>-1.4990516053215155E-2</v>
      </c>
      <c r="H562" s="7">
        <v>-2.2385887789414392E-2</v>
      </c>
      <c r="I562" s="7">
        <v>0</v>
      </c>
      <c r="J562" s="7">
        <v>0</v>
      </c>
      <c r="K562" s="7">
        <v>2.0521745021313972E-2</v>
      </c>
      <c r="L562">
        <v>2.3682128123525694</v>
      </c>
      <c r="M562">
        <v>1.3344460583924961E-3</v>
      </c>
      <c r="N562" s="9"/>
      <c r="O562" s="3">
        <f>L562-M562</f>
        <v>2.366878366294177</v>
      </c>
      <c r="T562" s="3"/>
    </row>
    <row r="563" spans="1:20">
      <c r="A563" s="7"/>
      <c r="B563" s="8"/>
      <c r="C563" s="8"/>
      <c r="D563" s="8"/>
      <c r="E563" s="7"/>
      <c r="F563" s="7"/>
      <c r="G563" s="7"/>
      <c r="H563" s="7"/>
      <c r="I563" s="7"/>
      <c r="J563" s="7"/>
      <c r="K563" s="7"/>
      <c r="N563" s="10"/>
      <c r="O563" s="3"/>
      <c r="T563" s="3"/>
    </row>
    <row r="564" spans="1:20">
      <c r="A564" s="7"/>
      <c r="B564" s="8">
        <v>2.8449497700634536</v>
      </c>
      <c r="C564" s="8">
        <v>0.22852225552422287</v>
      </c>
      <c r="D564" s="8">
        <v>6.9737163040410666E-2</v>
      </c>
      <c r="E564" s="7">
        <v>-1.4990516053215155E-2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>
        <v>4.0754124436814498</v>
      </c>
      <c r="M564">
        <v>0</v>
      </c>
      <c r="N564" s="9"/>
      <c r="O564" s="3">
        <f>L564-M564</f>
        <v>4.0754124436814498</v>
      </c>
      <c r="T564" s="3"/>
    </row>
    <row r="565" spans="1:20">
      <c r="A565" s="7" t="s">
        <v>154</v>
      </c>
      <c r="B565" s="8">
        <v>1.9865190328797109</v>
      </c>
      <c r="C565" s="8">
        <v>1.2694850305255347</v>
      </c>
      <c r="D565" s="8">
        <v>3.2127045366234341E-2</v>
      </c>
      <c r="E565" s="7">
        <v>0</v>
      </c>
      <c r="F565" s="7">
        <v>-1.4990516053215155E-2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>
        <v>2.779441128882862</v>
      </c>
      <c r="M565">
        <v>0</v>
      </c>
      <c r="N565" s="9"/>
      <c r="O565" s="3">
        <f>L565-M565</f>
        <v>2.779441128882862</v>
      </c>
      <c r="T565" s="3"/>
    </row>
    <row r="566" spans="1:20">
      <c r="A566" s="7"/>
      <c r="B566" s="8">
        <v>1.3773893306068323</v>
      </c>
      <c r="C566" s="8">
        <v>1.5521003879162059</v>
      </c>
      <c r="D566" s="8">
        <v>-0.65590292152571228</v>
      </c>
      <c r="E566" s="7">
        <v>0</v>
      </c>
      <c r="F566" s="7">
        <v>0</v>
      </c>
      <c r="G566" s="7">
        <v>-1.4990516053215155E-2</v>
      </c>
      <c r="H566" s="7">
        <v>0</v>
      </c>
      <c r="I566" s="7">
        <v>0</v>
      </c>
      <c r="J566" s="7">
        <v>0</v>
      </c>
      <c r="K566" s="7">
        <v>0</v>
      </c>
      <c r="L566">
        <v>2.3682128123525694</v>
      </c>
      <c r="M566">
        <v>0</v>
      </c>
      <c r="N566" s="9"/>
      <c r="O566" s="3">
        <f>L566-M566</f>
        <v>2.3682128123525694</v>
      </c>
      <c r="T566" s="3"/>
    </row>
    <row r="567" spans="1:20">
      <c r="A567" s="7"/>
      <c r="B567" s="8"/>
      <c r="C567" s="8"/>
      <c r="D567" s="8"/>
      <c r="E567" s="7"/>
      <c r="F567" s="7"/>
      <c r="G567" s="7"/>
      <c r="H567" s="7"/>
      <c r="I567" s="7"/>
      <c r="J567" s="7"/>
      <c r="K567" s="7"/>
      <c r="N567" s="10"/>
      <c r="O567" s="3"/>
      <c r="T567" s="3"/>
    </row>
    <row r="568" spans="1:20">
      <c r="A568" s="7"/>
      <c r="B568" s="8">
        <v>0.36768865949079377</v>
      </c>
      <c r="C568" s="8">
        <v>1.2890795247765441</v>
      </c>
      <c r="D568" s="8">
        <v>0.10954983766095538</v>
      </c>
      <c r="E568" s="7">
        <v>-1.4990516053215155E-2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>
        <v>0.90446106922389957</v>
      </c>
      <c r="M568">
        <v>0</v>
      </c>
      <c r="N568" s="9"/>
      <c r="O568" s="3">
        <f>L568-M568</f>
        <v>0.90446106922389957</v>
      </c>
      <c r="T568" s="3"/>
    </row>
    <row r="569" spans="1:20">
      <c r="A569" s="7" t="s">
        <v>155</v>
      </c>
      <c r="B569" s="8">
        <v>1.9865190328797109</v>
      </c>
      <c r="C569" s="8">
        <v>1.2694850305255347</v>
      </c>
      <c r="D569" s="8">
        <v>3.2127045366234341E-2</v>
      </c>
      <c r="E569" s="7">
        <v>0</v>
      </c>
      <c r="F569" s="7">
        <v>-1.4990516053215155E-2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>
        <v>2.779441128882862</v>
      </c>
      <c r="M569">
        <v>0</v>
      </c>
      <c r="N569" s="9"/>
      <c r="O569" s="3">
        <f>L569-M569</f>
        <v>2.779441128882862</v>
      </c>
      <c r="T569" s="3"/>
    </row>
    <row r="570" spans="1:20">
      <c r="A570" s="7"/>
      <c r="B570" s="8">
        <v>1.3773893306068323</v>
      </c>
      <c r="C570" s="8">
        <v>1.5521003879162059</v>
      </c>
      <c r="D570" s="8">
        <v>-0.65590292152571228</v>
      </c>
      <c r="E570" s="7">
        <v>0</v>
      </c>
      <c r="F570" s="7">
        <v>0</v>
      </c>
      <c r="G570" s="7">
        <v>-1.4990516053215155E-2</v>
      </c>
      <c r="H570" s="7">
        <v>0</v>
      </c>
      <c r="I570" s="7">
        <v>0</v>
      </c>
      <c r="J570" s="7">
        <v>0</v>
      </c>
      <c r="K570" s="7">
        <v>0</v>
      </c>
      <c r="L570">
        <v>2.3682128123525694</v>
      </c>
      <c r="M570">
        <v>0</v>
      </c>
      <c r="N570" s="9"/>
      <c r="O570" s="3">
        <f>L570-M570</f>
        <v>2.3682128123525694</v>
      </c>
      <c r="T570" s="3"/>
    </row>
    <row r="571" spans="1:20">
      <c r="A571" s="7"/>
      <c r="B571" s="8"/>
      <c r="C571" s="8"/>
      <c r="D571" s="8"/>
      <c r="E571" s="7"/>
      <c r="F571" s="7"/>
      <c r="G571" s="7"/>
      <c r="H571" s="7"/>
      <c r="I571" s="7"/>
      <c r="J571" s="7"/>
      <c r="K571" s="7"/>
      <c r="N571" s="10"/>
      <c r="O571" s="3"/>
      <c r="T571" s="3"/>
    </row>
    <row r="572" spans="1:20">
      <c r="A572" s="7"/>
      <c r="B572" s="8">
        <v>-1.4421025939282253</v>
      </c>
      <c r="C572" s="8">
        <v>-1.0431877148697888</v>
      </c>
      <c r="D572" s="8">
        <v>-0.78932433807079116</v>
      </c>
      <c r="E572" s="7">
        <v>-1.4990516053215155E-2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>
        <v>1.8954667052703302</v>
      </c>
      <c r="M572">
        <v>0</v>
      </c>
      <c r="N572" s="9"/>
      <c r="O572" s="3">
        <f>L572-M572</f>
        <v>1.8954667052703302</v>
      </c>
      <c r="T572" s="3"/>
    </row>
    <row r="573" spans="1:20">
      <c r="A573" s="7" t="s">
        <v>156</v>
      </c>
      <c r="B573" s="8">
        <v>-2.6959782234951333</v>
      </c>
      <c r="C573" s="8">
        <v>-1.0757798809975587</v>
      </c>
      <c r="D573" s="8">
        <v>-4.997772423355884E-2</v>
      </c>
      <c r="E573" s="7">
        <v>0</v>
      </c>
      <c r="F573" s="7">
        <v>-1.4990516053215155E-2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>
        <v>4.2140493534193304</v>
      </c>
      <c r="M573">
        <v>0</v>
      </c>
      <c r="N573" s="9"/>
      <c r="O573" s="3">
        <f>L573-M573</f>
        <v>4.2140493534193304</v>
      </c>
      <c r="T573" s="3"/>
    </row>
    <row r="574" spans="1:20">
      <c r="A574" s="7"/>
      <c r="B574" s="8">
        <v>-0.40019020491700363</v>
      </c>
      <c r="C574" s="8">
        <v>-1.0840062473010013</v>
      </c>
      <c r="D574" s="8">
        <v>-1.6840506224230944E-2</v>
      </c>
      <c r="E574" s="7">
        <v>0</v>
      </c>
      <c r="F574" s="7">
        <v>0</v>
      </c>
      <c r="G574" s="7">
        <v>-1.4990516053215155E-2</v>
      </c>
      <c r="H574" s="7">
        <v>0</v>
      </c>
      <c r="I574" s="7">
        <v>0</v>
      </c>
      <c r="J574" s="7">
        <v>0</v>
      </c>
      <c r="K574" s="7">
        <v>0</v>
      </c>
      <c r="L574">
        <v>0.66775267347450074</v>
      </c>
      <c r="M574">
        <v>0</v>
      </c>
      <c r="N574" s="9"/>
      <c r="O574" s="3">
        <f>L574-M574</f>
        <v>0.66775267347450074</v>
      </c>
      <c r="T574" s="3"/>
    </row>
    <row r="575" spans="1:20">
      <c r="A575" s="7"/>
      <c r="B575" s="8"/>
      <c r="C575" s="8"/>
      <c r="D575" s="8"/>
      <c r="E575" s="7"/>
      <c r="F575" s="7"/>
      <c r="G575" s="7"/>
      <c r="H575" s="7"/>
      <c r="I575" s="7"/>
      <c r="J575" s="7"/>
      <c r="K575" s="7"/>
      <c r="N575" s="10"/>
      <c r="O575" s="3"/>
      <c r="T575" s="3"/>
    </row>
    <row r="576" spans="1:20">
      <c r="A576" s="7"/>
      <c r="B576" s="8">
        <v>-1.4421025939282253</v>
      </c>
      <c r="C576" s="8">
        <v>-1.0431877148697888</v>
      </c>
      <c r="D576" s="8">
        <v>-0.78932433807079116</v>
      </c>
      <c r="E576" s="7">
        <v>-1.4990516053215155E-2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>
        <v>1.8954667052703302</v>
      </c>
      <c r="M576">
        <v>0</v>
      </c>
      <c r="N576" s="9"/>
      <c r="O576" s="3">
        <f>L576-M576</f>
        <v>1.8954667052703302</v>
      </c>
      <c r="T576" s="3"/>
    </row>
    <row r="577" spans="1:20">
      <c r="A577" s="7" t="s">
        <v>157</v>
      </c>
      <c r="B577" s="8">
        <v>-2.6959782234951333</v>
      </c>
      <c r="C577" s="8">
        <v>-1.0757798809975587</v>
      </c>
      <c r="D577" s="8">
        <v>-4.997772423355884E-2</v>
      </c>
      <c r="E577" s="7">
        <v>0</v>
      </c>
      <c r="F577" s="7">
        <v>-1.4990516053215155E-2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>
        <v>4.2140493534193304</v>
      </c>
      <c r="M577">
        <v>0</v>
      </c>
      <c r="N577" s="9"/>
      <c r="O577" s="3">
        <f>L577-M577</f>
        <v>4.2140493534193304</v>
      </c>
      <c r="T577" s="3"/>
    </row>
    <row r="578" spans="1:20">
      <c r="A578" s="7"/>
      <c r="B578" s="8">
        <v>-2.8449497700634536</v>
      </c>
      <c r="C578" s="8">
        <v>-0.22852225552422287</v>
      </c>
      <c r="D578" s="8">
        <v>-6.9737163040410666E-2</v>
      </c>
      <c r="E578" s="7">
        <v>0</v>
      </c>
      <c r="F578" s="7">
        <v>0</v>
      </c>
      <c r="G578" s="7">
        <v>-1.4990516053215155E-2</v>
      </c>
      <c r="H578" s="7">
        <v>0</v>
      </c>
      <c r="I578" s="7">
        <v>0</v>
      </c>
      <c r="J578" s="7">
        <v>0</v>
      </c>
      <c r="K578" s="7">
        <v>0</v>
      </c>
      <c r="L578">
        <v>4.0754124436814498</v>
      </c>
      <c r="M578">
        <v>0</v>
      </c>
      <c r="N578" s="9"/>
      <c r="O578" s="3">
        <f>L578-M578</f>
        <v>4.0754124436814498</v>
      </c>
      <c r="T578" s="3"/>
    </row>
    <row r="579" spans="1:20">
      <c r="A579" s="7"/>
      <c r="B579" s="8"/>
      <c r="C579" s="8"/>
      <c r="D579" s="8"/>
      <c r="E579" s="7"/>
      <c r="F579" s="7"/>
      <c r="G579" s="7"/>
      <c r="H579" s="7"/>
      <c r="I579" s="7"/>
      <c r="J579" s="7"/>
      <c r="K579" s="7"/>
      <c r="N579" s="10"/>
      <c r="O579" s="3"/>
      <c r="T579" s="3"/>
    </row>
    <row r="580" spans="1:20">
      <c r="A580" s="7"/>
      <c r="B580" s="8">
        <v>-1.4421025939282253</v>
      </c>
      <c r="C580" s="8">
        <v>-1.0431877148697888</v>
      </c>
      <c r="D580" s="8">
        <v>-0.78932433807079116</v>
      </c>
      <c r="E580" s="7">
        <v>-1.4990516053215155E-2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>
        <v>1.8954667052703302</v>
      </c>
      <c r="M580">
        <v>0</v>
      </c>
      <c r="N580" s="9"/>
      <c r="O580" s="3">
        <f>L580-M580</f>
        <v>1.8954667052703302</v>
      </c>
      <c r="T580" s="3"/>
    </row>
    <row r="581" spans="1:20">
      <c r="A581" s="7" t="s">
        <v>158</v>
      </c>
      <c r="B581" s="8">
        <v>-2.6959782234951333</v>
      </c>
      <c r="C581" s="8">
        <v>-1.0757798809975587</v>
      </c>
      <c r="D581" s="8">
        <v>-4.997772423355884E-2</v>
      </c>
      <c r="E581" s="7">
        <v>0</v>
      </c>
      <c r="F581" s="7">
        <v>-1.4990516053215155E-2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>
        <v>4.2140493534193304</v>
      </c>
      <c r="M581">
        <v>0</v>
      </c>
      <c r="N581" s="9"/>
      <c r="O581" s="3">
        <f>L581-M581</f>
        <v>4.2140493534193304</v>
      </c>
      <c r="T581" s="3"/>
    </row>
    <row r="582" spans="1:20">
      <c r="A582" s="7"/>
      <c r="B582" s="8">
        <v>-2.4772611105726599</v>
      </c>
      <c r="C582" s="8">
        <v>1.0605572692523213</v>
      </c>
      <c r="D582" s="8">
        <v>3.9812674620544719E-2</v>
      </c>
      <c r="E582" s="7">
        <v>0</v>
      </c>
      <c r="F582" s="7">
        <v>0</v>
      </c>
      <c r="G582" s="7">
        <v>-1.4990516053215155E-2</v>
      </c>
      <c r="H582" s="7">
        <v>0</v>
      </c>
      <c r="I582" s="7">
        <v>0</v>
      </c>
      <c r="J582" s="7">
        <v>0</v>
      </c>
      <c r="K582" s="7">
        <v>0</v>
      </c>
      <c r="L582">
        <v>3.6315946901900351</v>
      </c>
      <c r="M582">
        <v>0</v>
      </c>
      <c r="N582" s="9"/>
      <c r="O582" s="3">
        <f>L582-M582</f>
        <v>3.6315946901900351</v>
      </c>
      <c r="T582" s="3"/>
    </row>
    <row r="583" spans="1:20">
      <c r="A583" s="7"/>
      <c r="B583" s="8"/>
      <c r="C583" s="8"/>
      <c r="D583" s="8"/>
      <c r="E583" s="7"/>
      <c r="F583" s="7"/>
      <c r="G583" s="7"/>
      <c r="H583" s="7"/>
      <c r="I583" s="7"/>
      <c r="J583" s="7"/>
      <c r="K583" s="7"/>
      <c r="N583" s="10"/>
      <c r="O583" s="3"/>
      <c r="T583" s="3"/>
    </row>
    <row r="584" spans="1:20">
      <c r="A584" s="7"/>
      <c r="B584" s="8">
        <v>-1.4421025939282253</v>
      </c>
      <c r="C584" s="8">
        <v>-1.0431877148697888</v>
      </c>
      <c r="D584" s="8">
        <v>-0.78932433807079116</v>
      </c>
      <c r="E584" s="7">
        <v>-1.4990516053215155E-2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>
        <v>1.8954667052703302</v>
      </c>
      <c r="M584">
        <v>0</v>
      </c>
      <c r="N584" s="9"/>
      <c r="O584" s="3">
        <f>L584-M584</f>
        <v>1.8954667052703302</v>
      </c>
      <c r="T584" s="3"/>
    </row>
    <row r="585" spans="1:20">
      <c r="A585" s="7" t="s">
        <v>159</v>
      </c>
      <c r="B585" s="8">
        <v>-2.6959782234951333</v>
      </c>
      <c r="C585" s="8">
        <v>-1.0757798809975587</v>
      </c>
      <c r="D585" s="8">
        <v>-4.997772423355884E-2</v>
      </c>
      <c r="E585" s="7">
        <v>0</v>
      </c>
      <c r="F585" s="7">
        <v>-1.4990516053215155E-2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>
        <v>4.2140493534193304</v>
      </c>
      <c r="M585">
        <v>0</v>
      </c>
      <c r="N585" s="9"/>
      <c r="O585" s="3">
        <f>L585-M585</f>
        <v>4.2140493534193304</v>
      </c>
      <c r="T585" s="3"/>
    </row>
    <row r="586" spans="1:20">
      <c r="A586" s="7"/>
      <c r="B586" s="8">
        <v>-0.85843073718374274</v>
      </c>
      <c r="C586" s="8">
        <v>1.040962775001312</v>
      </c>
      <c r="D586" s="8">
        <v>-3.7610117674176324E-2</v>
      </c>
      <c r="E586" s="7">
        <v>0</v>
      </c>
      <c r="F586" s="7">
        <v>0</v>
      </c>
      <c r="G586" s="7">
        <v>-1.4990516053215155E-2</v>
      </c>
      <c r="H586" s="7">
        <v>0</v>
      </c>
      <c r="I586" s="7">
        <v>0</v>
      </c>
      <c r="J586" s="7">
        <v>0</v>
      </c>
      <c r="K586" s="7">
        <v>0</v>
      </c>
      <c r="L586">
        <v>0.91096067521586066</v>
      </c>
      <c r="M586">
        <v>0</v>
      </c>
      <c r="N586" s="9"/>
      <c r="O586" s="3">
        <f>L586-M586</f>
        <v>0.91096067521586066</v>
      </c>
      <c r="T586" s="3"/>
    </row>
    <row r="587" spans="1:20">
      <c r="A587" s="7"/>
      <c r="B587" s="8"/>
      <c r="C587" s="8"/>
      <c r="D587" s="8"/>
      <c r="E587" s="7"/>
      <c r="F587" s="7"/>
      <c r="G587" s="7"/>
      <c r="H587" s="7"/>
      <c r="I587" s="7"/>
      <c r="J587" s="7"/>
      <c r="K587" s="7"/>
      <c r="N587" s="10"/>
      <c r="O587" s="3"/>
      <c r="T587" s="3"/>
    </row>
    <row r="588" spans="1:20">
      <c r="A588" s="7"/>
      <c r="B588" s="8">
        <v>-1.4421025939282253</v>
      </c>
      <c r="C588" s="8">
        <v>-1.0431877148697888</v>
      </c>
      <c r="D588" s="8">
        <v>-0.78932433807079116</v>
      </c>
      <c r="E588" s="7">
        <v>-1.4990516053215155E-2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>
        <v>1.8954667052703302</v>
      </c>
      <c r="M588">
        <v>0</v>
      </c>
      <c r="N588" s="9"/>
      <c r="O588" s="3">
        <f>L588-M588</f>
        <v>1.8954667052703302</v>
      </c>
      <c r="T588" s="3"/>
    </row>
    <row r="589" spans="1:20">
      <c r="A589" s="7" t="s">
        <v>160</v>
      </c>
      <c r="B589" s="8">
        <v>-2.6959782234951333</v>
      </c>
      <c r="C589" s="8">
        <v>-1.0757798809975587</v>
      </c>
      <c r="D589" s="8">
        <v>-4.997772423355884E-2</v>
      </c>
      <c r="E589" s="7">
        <v>0</v>
      </c>
      <c r="F589" s="7">
        <v>-1.4990516053215155E-2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>
        <v>4.2140493534193304</v>
      </c>
      <c r="M589">
        <v>0</v>
      </c>
      <c r="N589" s="9"/>
      <c r="O589" s="3">
        <f>L589-M589</f>
        <v>4.2140493534193304</v>
      </c>
      <c r="T589" s="3"/>
    </row>
    <row r="590" spans="1:20">
      <c r="A590" s="7"/>
      <c r="B590" s="8">
        <v>-1.4675604394566215</v>
      </c>
      <c r="C590" s="8">
        <v>1.3235781323919831</v>
      </c>
      <c r="D590" s="8">
        <v>-0.72564008456612294</v>
      </c>
      <c r="E590" s="7">
        <v>0</v>
      </c>
      <c r="F590" s="7">
        <v>0</v>
      </c>
      <c r="G590" s="7">
        <v>-1.4990516053215155E-2</v>
      </c>
      <c r="H590" s="7">
        <v>0</v>
      </c>
      <c r="I590" s="7">
        <v>0</v>
      </c>
      <c r="J590" s="7">
        <v>0</v>
      </c>
      <c r="K590" s="7">
        <v>0</v>
      </c>
      <c r="L590">
        <v>2.216073124166746</v>
      </c>
      <c r="M590">
        <v>0</v>
      </c>
      <c r="N590" s="9"/>
      <c r="O590" s="3">
        <f>L590-M590</f>
        <v>2.216073124166746</v>
      </c>
      <c r="T590" s="3"/>
    </row>
    <row r="591" spans="1:20">
      <c r="A591" s="7"/>
      <c r="B591" s="8"/>
      <c r="C591" s="8"/>
      <c r="D591" s="8"/>
      <c r="E591" s="7"/>
      <c r="F591" s="7"/>
      <c r="G591" s="7"/>
      <c r="H591" s="7"/>
      <c r="I591" s="7"/>
      <c r="J591" s="7"/>
      <c r="K591" s="7"/>
      <c r="N591" s="10"/>
      <c r="O591" s="3"/>
      <c r="T591" s="3"/>
    </row>
    <row r="592" spans="1:20">
      <c r="A592" s="7"/>
      <c r="B592" s="8">
        <v>-1.4421025939282253</v>
      </c>
      <c r="C592" s="8">
        <v>-1.0431877148697888</v>
      </c>
      <c r="D592" s="8">
        <v>-0.78932433807079116</v>
      </c>
      <c r="E592" s="7">
        <v>-1.4990516053215155E-2</v>
      </c>
      <c r="F592" s="7">
        <v>0</v>
      </c>
      <c r="G592" s="7">
        <v>0</v>
      </c>
      <c r="H592" s="7">
        <v>-1.6236379226863738E-2</v>
      </c>
      <c r="I592" s="7">
        <v>2.1796664656245589E-2</v>
      </c>
      <c r="J592" s="7">
        <v>0</v>
      </c>
      <c r="K592" s="7">
        <v>0</v>
      </c>
      <c r="L592">
        <v>1.8954667052703302</v>
      </c>
      <c r="M592">
        <v>-3.528137221409509E-3</v>
      </c>
      <c r="N592" s="9"/>
      <c r="O592" s="3">
        <f>L592-M592</f>
        <v>1.8989948424917398</v>
      </c>
      <c r="T592" s="3"/>
    </row>
    <row r="593" spans="1:20">
      <c r="A593" s="7" t="s">
        <v>161</v>
      </c>
      <c r="B593" s="8">
        <v>-0.40019020491700363</v>
      </c>
      <c r="C593" s="8">
        <v>-1.0840062473010013</v>
      </c>
      <c r="D593" s="8">
        <v>-1.6840506224230944E-2</v>
      </c>
      <c r="E593" s="7">
        <v>0</v>
      </c>
      <c r="F593" s="7">
        <v>-1.4990516053215155E-2</v>
      </c>
      <c r="G593" s="7">
        <v>0</v>
      </c>
      <c r="H593" s="7">
        <v>-1.6236379226863738E-2</v>
      </c>
      <c r="I593" s="7">
        <v>0</v>
      </c>
      <c r="J593" s="7">
        <v>2.2872089329671663E-2</v>
      </c>
      <c r="K593" s="7">
        <v>0</v>
      </c>
      <c r="L593">
        <v>0.66775267347450074</v>
      </c>
      <c r="M593">
        <v>-4.3295774383228357E-3</v>
      </c>
      <c r="N593" s="9"/>
      <c r="O593" s="3">
        <f>L593-M593</f>
        <v>0.67208225091282359</v>
      </c>
      <c r="T593" s="3"/>
    </row>
    <row r="594" spans="1:20">
      <c r="A594" s="7"/>
      <c r="B594" s="8">
        <v>-2.8449497700634536</v>
      </c>
      <c r="C594" s="8">
        <v>-0.22852225552422287</v>
      </c>
      <c r="D594" s="8">
        <v>-6.9737163040410666E-2</v>
      </c>
      <c r="E594" s="7">
        <v>0</v>
      </c>
      <c r="F594" s="7">
        <v>0</v>
      </c>
      <c r="G594" s="7">
        <v>-1.4990516053215155E-2</v>
      </c>
      <c r="H594" s="7">
        <v>-1.6236379226863738E-2</v>
      </c>
      <c r="I594" s="7">
        <v>0</v>
      </c>
      <c r="J594" s="7">
        <v>0</v>
      </c>
      <c r="K594" s="7">
        <v>2.2385887789414392E-2</v>
      </c>
      <c r="L594">
        <v>4.0754124436814498</v>
      </c>
      <c r="M594">
        <v>-3.9624652814939246E-3</v>
      </c>
      <c r="N594" s="9"/>
      <c r="O594" s="3">
        <f>L594-M594</f>
        <v>4.0793749089629436</v>
      </c>
      <c r="T594" s="3"/>
    </row>
    <row r="595" spans="1:20">
      <c r="A595" s="7"/>
      <c r="B595" s="8"/>
      <c r="C595" s="8"/>
      <c r="D595" s="8"/>
      <c r="E595" s="7"/>
      <c r="F595" s="7"/>
      <c r="G595" s="7"/>
      <c r="H595" s="7"/>
      <c r="I595" s="7"/>
      <c r="J595" s="7"/>
      <c r="K595" s="7"/>
      <c r="N595" s="10"/>
      <c r="O595" s="3"/>
      <c r="T595" s="3"/>
    </row>
    <row r="596" spans="1:20">
      <c r="A596" s="7"/>
      <c r="B596" s="8">
        <v>-1.4421025939282253</v>
      </c>
      <c r="C596" s="8">
        <v>-1.0431877148697888</v>
      </c>
      <c r="D596" s="8">
        <v>-0.78932433807079116</v>
      </c>
      <c r="E596" s="7">
        <v>-1.4990516053215155E-2</v>
      </c>
      <c r="F596" s="7">
        <v>0</v>
      </c>
      <c r="G596" s="7">
        <v>0</v>
      </c>
      <c r="H596" s="7">
        <v>-1.6236379226863738E-2</v>
      </c>
      <c r="I596" s="7">
        <v>2.1796664656245589E-2</v>
      </c>
      <c r="J596" s="7">
        <v>0</v>
      </c>
      <c r="K596" s="7">
        <v>0</v>
      </c>
      <c r="L596">
        <v>1.8954667052703302</v>
      </c>
      <c r="M596">
        <v>-3.528137221409509E-3</v>
      </c>
      <c r="N596" s="9"/>
      <c r="O596" s="3">
        <f>L596-M596</f>
        <v>1.8989948424917398</v>
      </c>
      <c r="T596" s="3"/>
    </row>
    <row r="597" spans="1:20">
      <c r="A597" s="7" t="s">
        <v>162</v>
      </c>
      <c r="B597" s="8">
        <v>-0.40019020491700363</v>
      </c>
      <c r="C597" s="8">
        <v>-1.0840062473010013</v>
      </c>
      <c r="D597" s="8">
        <v>-1.6840506224230944E-2</v>
      </c>
      <c r="E597" s="7">
        <v>0</v>
      </c>
      <c r="F597" s="7">
        <v>-1.4990516053215155E-2</v>
      </c>
      <c r="G597" s="7">
        <v>0</v>
      </c>
      <c r="H597" s="7">
        <v>-1.6236379226863738E-2</v>
      </c>
      <c r="I597" s="7">
        <v>0</v>
      </c>
      <c r="J597" s="7">
        <v>2.2872089329671663E-2</v>
      </c>
      <c r="K597" s="7">
        <v>0</v>
      </c>
      <c r="L597">
        <v>0.66775267347450074</v>
      </c>
      <c r="M597">
        <v>-4.3295774383228357E-3</v>
      </c>
      <c r="N597" s="9"/>
      <c r="O597" s="3">
        <f>L597-M597</f>
        <v>0.67208225091282359</v>
      </c>
      <c r="T597" s="3"/>
    </row>
    <row r="598" spans="1:20">
      <c r="A598" s="7"/>
      <c r="B598" s="8">
        <v>-2.4772611105726599</v>
      </c>
      <c r="C598" s="8">
        <v>1.0605572692523213</v>
      </c>
      <c r="D598" s="8">
        <v>3.9812674620544719E-2</v>
      </c>
      <c r="E598" s="7">
        <v>0</v>
      </c>
      <c r="F598" s="7">
        <v>0</v>
      </c>
      <c r="G598" s="7">
        <v>-1.4990516053215155E-2</v>
      </c>
      <c r="H598" s="7">
        <v>-1.6236379226863738E-2</v>
      </c>
      <c r="I598" s="7">
        <v>0</v>
      </c>
      <c r="J598" s="7">
        <v>0</v>
      </c>
      <c r="K598" s="7">
        <v>1.5970575730977998E-2</v>
      </c>
      <c r="L598">
        <v>3.6315946901900351</v>
      </c>
      <c r="M598">
        <v>1.4282283579643661E-4</v>
      </c>
      <c r="N598" s="9"/>
      <c r="O598" s="3">
        <f>L598-M598</f>
        <v>3.6314518673542389</v>
      </c>
      <c r="T598" s="3"/>
    </row>
    <row r="599" spans="1:20">
      <c r="A599" s="7"/>
      <c r="B599" s="8"/>
      <c r="C599" s="8"/>
      <c r="D599" s="8"/>
      <c r="E599" s="7"/>
      <c r="F599" s="7"/>
      <c r="G599" s="7"/>
      <c r="H599" s="7"/>
      <c r="I599" s="7"/>
      <c r="J599" s="7"/>
      <c r="K599" s="7"/>
      <c r="N599" s="10"/>
      <c r="O599" s="3"/>
      <c r="T599" s="3"/>
    </row>
    <row r="600" spans="1:20">
      <c r="A600" s="7"/>
      <c r="B600" s="8">
        <v>-1.4421025939282253</v>
      </c>
      <c r="C600" s="8">
        <v>-1.0431877148697888</v>
      </c>
      <c r="D600" s="8">
        <v>-0.78932433807079116</v>
      </c>
      <c r="E600" s="7">
        <v>-1.4990516053215155E-2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>
        <v>1.8954667052703302</v>
      </c>
      <c r="M600">
        <v>0</v>
      </c>
      <c r="N600" s="9"/>
      <c r="O600" s="3">
        <f>L600-M600</f>
        <v>1.8954667052703302</v>
      </c>
      <c r="T600" s="3"/>
    </row>
    <row r="601" spans="1:20">
      <c r="A601" s="7" t="s">
        <v>163</v>
      </c>
      <c r="B601" s="8">
        <v>-0.40019020491700363</v>
      </c>
      <c r="C601" s="8">
        <v>-1.0840062473010013</v>
      </c>
      <c r="D601" s="8">
        <v>-1.6840506224230944E-2</v>
      </c>
      <c r="E601" s="7">
        <v>0</v>
      </c>
      <c r="F601" s="7">
        <v>-1.4990516053215155E-2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>
        <v>0.66775267347450074</v>
      </c>
      <c r="M601">
        <v>0</v>
      </c>
      <c r="N601" s="9"/>
      <c r="O601" s="3">
        <f>L601-M601</f>
        <v>0.66775267347450074</v>
      </c>
      <c r="T601" s="3"/>
    </row>
    <row r="602" spans="1:20">
      <c r="A602" s="7"/>
      <c r="B602" s="8">
        <v>-0.85843073718374274</v>
      </c>
      <c r="C602" s="8">
        <v>1.040962775001312</v>
      </c>
      <c r="D602" s="8">
        <v>-3.7610117674176324E-2</v>
      </c>
      <c r="E602" s="7">
        <v>0</v>
      </c>
      <c r="F602" s="7">
        <v>0</v>
      </c>
      <c r="G602" s="7">
        <v>-1.4990516053215155E-2</v>
      </c>
      <c r="H602" s="7">
        <v>0</v>
      </c>
      <c r="I602" s="7">
        <v>0</v>
      </c>
      <c r="J602" s="7">
        <v>0</v>
      </c>
      <c r="K602" s="7">
        <v>0</v>
      </c>
      <c r="L602">
        <v>0.91096067521586066</v>
      </c>
      <c r="M602">
        <v>0</v>
      </c>
      <c r="N602" s="9"/>
      <c r="O602" s="3">
        <f>L602-M602</f>
        <v>0.91096067521586066</v>
      </c>
      <c r="T602" s="3"/>
    </row>
    <row r="603" spans="1:20">
      <c r="A603" s="7"/>
      <c r="B603" s="8"/>
      <c r="C603" s="8"/>
      <c r="D603" s="8"/>
      <c r="E603" s="7"/>
      <c r="F603" s="7"/>
      <c r="G603" s="7"/>
      <c r="H603" s="7"/>
      <c r="I603" s="7"/>
      <c r="J603" s="7"/>
      <c r="K603" s="7"/>
      <c r="N603" s="10"/>
      <c r="O603" s="3"/>
      <c r="T603" s="3"/>
    </row>
    <row r="604" spans="1:20">
      <c r="A604" s="7"/>
      <c r="B604" s="8">
        <v>-1.4421025939282253</v>
      </c>
      <c r="C604" s="8">
        <v>-1.0431877148697888</v>
      </c>
      <c r="D604" s="8">
        <v>-0.78932433807079116</v>
      </c>
      <c r="E604" s="7">
        <v>-1.4990516053215155E-2</v>
      </c>
      <c r="F604" s="7">
        <v>0</v>
      </c>
      <c r="G604" s="7">
        <v>0</v>
      </c>
      <c r="H604" s="7">
        <v>-1.6236379226863738E-2</v>
      </c>
      <c r="I604" s="7">
        <v>2.1796664656245589E-2</v>
      </c>
      <c r="J604" s="7">
        <v>0</v>
      </c>
      <c r="K604" s="7">
        <v>0</v>
      </c>
      <c r="L604">
        <v>1.8954667052703302</v>
      </c>
      <c r="M604">
        <v>-3.528137221409509E-3</v>
      </c>
      <c r="N604" s="9"/>
      <c r="O604" s="3">
        <f>L604-M604</f>
        <v>1.8989948424917398</v>
      </c>
      <c r="T604" s="3"/>
    </row>
    <row r="605" spans="1:20">
      <c r="A605" s="7" t="s">
        <v>164</v>
      </c>
      <c r="B605" s="8">
        <v>-0.40019020491700363</v>
      </c>
      <c r="C605" s="8">
        <v>-1.0840062473010013</v>
      </c>
      <c r="D605" s="8">
        <v>-1.6840506224230944E-2</v>
      </c>
      <c r="E605" s="7">
        <v>0</v>
      </c>
      <c r="F605" s="7">
        <v>-1.4990516053215155E-2</v>
      </c>
      <c r="G605" s="7">
        <v>0</v>
      </c>
      <c r="H605" s="7">
        <v>-1.6236379226863738E-2</v>
      </c>
      <c r="I605" s="7">
        <v>0</v>
      </c>
      <c r="J605" s="7">
        <v>2.2872089329671663E-2</v>
      </c>
      <c r="K605" s="7">
        <v>0</v>
      </c>
      <c r="L605">
        <v>0.66775267347450074</v>
      </c>
      <c r="M605">
        <v>-4.3295774383228357E-3</v>
      </c>
      <c r="N605" s="9"/>
      <c r="O605" s="3">
        <f>L605-M605</f>
        <v>0.67208225091282359</v>
      </c>
      <c r="T605" s="3"/>
    </row>
    <row r="606" spans="1:20">
      <c r="A606" s="7"/>
      <c r="B606" s="8">
        <v>-1.4675604394566215</v>
      </c>
      <c r="C606" s="8">
        <v>1.3235781323919831</v>
      </c>
      <c r="D606" s="8">
        <v>-0.72564008456612294</v>
      </c>
      <c r="E606" s="7">
        <v>0</v>
      </c>
      <c r="F606" s="7">
        <v>0</v>
      </c>
      <c r="G606" s="7">
        <v>-1.4990516053215155E-2</v>
      </c>
      <c r="H606" s="7">
        <v>-1.6236379226863738E-2</v>
      </c>
      <c r="I606" s="7">
        <v>0</v>
      </c>
      <c r="J606" s="7">
        <v>0</v>
      </c>
      <c r="K606" s="7">
        <v>2.0521745021313972E-2</v>
      </c>
      <c r="L606">
        <v>2.216073124166746</v>
      </c>
      <c r="M606">
        <v>-2.6280192231014289E-3</v>
      </c>
      <c r="N606" s="9"/>
      <c r="O606" s="3">
        <f>L606-M606</f>
        <v>2.2187011433898474</v>
      </c>
      <c r="T606" s="3"/>
    </row>
    <row r="607" spans="1:20">
      <c r="A607" s="7"/>
      <c r="B607" s="8"/>
      <c r="C607" s="8"/>
      <c r="D607" s="8"/>
      <c r="E607" s="7"/>
      <c r="F607" s="7"/>
      <c r="G607" s="7"/>
      <c r="H607" s="7"/>
      <c r="I607" s="7"/>
      <c r="J607" s="7"/>
      <c r="K607" s="7"/>
      <c r="N607" s="10"/>
      <c r="O607" s="3"/>
      <c r="T607" s="3"/>
    </row>
    <row r="608" spans="1:20">
      <c r="A608" s="7"/>
      <c r="B608" s="8">
        <v>-1.4421025939282253</v>
      </c>
      <c r="C608" s="8">
        <v>-1.0431877148697888</v>
      </c>
      <c r="D608" s="8">
        <v>-0.78932433807079116</v>
      </c>
      <c r="E608" s="7">
        <v>-1.4990516053215155E-2</v>
      </c>
      <c r="F608" s="7">
        <v>0</v>
      </c>
      <c r="G608" s="7">
        <v>0</v>
      </c>
      <c r="H608" s="7">
        <v>-1.6236379226863738E-2</v>
      </c>
      <c r="I608" s="7">
        <v>2.1796664656245589E-2</v>
      </c>
      <c r="J608" s="7">
        <v>0</v>
      </c>
      <c r="K608" s="7">
        <v>0</v>
      </c>
      <c r="L608">
        <v>1.8954667052703302</v>
      </c>
      <c r="M608">
        <v>-3.528137221409509E-3</v>
      </c>
      <c r="N608" s="9"/>
      <c r="O608" s="3">
        <f>L608-M608</f>
        <v>1.8989948424917398</v>
      </c>
      <c r="T608" s="3"/>
    </row>
    <row r="609" spans="1:20">
      <c r="A609" s="7" t="s">
        <v>165</v>
      </c>
      <c r="B609" s="8">
        <v>-2.8449497700634536</v>
      </c>
      <c r="C609" s="8">
        <v>-0.22852225552422287</v>
      </c>
      <c r="D609" s="8">
        <v>-6.9737163040410666E-2</v>
      </c>
      <c r="E609" s="7">
        <v>0</v>
      </c>
      <c r="F609" s="7">
        <v>-1.4990516053215155E-2</v>
      </c>
      <c r="G609" s="7">
        <v>0</v>
      </c>
      <c r="H609" s="7">
        <v>-1.6236379226863738E-2</v>
      </c>
      <c r="I609" s="7">
        <v>0</v>
      </c>
      <c r="J609" s="7">
        <v>2.2385887789414392E-2</v>
      </c>
      <c r="K609" s="7">
        <v>0</v>
      </c>
      <c r="L609">
        <v>4.0754124436814498</v>
      </c>
      <c r="M609">
        <v>-3.9624652814939246E-3</v>
      </c>
      <c r="N609" s="9"/>
      <c r="O609" s="3">
        <f>L609-M609</f>
        <v>4.0793749089629436</v>
      </c>
      <c r="T609" s="3"/>
    </row>
    <row r="610" spans="1:20">
      <c r="A610" s="7"/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0</v>
      </c>
      <c r="G610" s="7">
        <v>-1.4990516053215155E-2</v>
      </c>
      <c r="H610" s="7">
        <v>-1.6236379226863738E-2</v>
      </c>
      <c r="I610" s="7">
        <v>0</v>
      </c>
      <c r="J610" s="7">
        <v>0</v>
      </c>
      <c r="K610" s="7">
        <v>1.5970575730977998E-2</v>
      </c>
      <c r="L610">
        <v>3.6315946901900351</v>
      </c>
      <c r="M610">
        <v>1.4282283579643661E-4</v>
      </c>
      <c r="N610" s="9"/>
      <c r="O610" s="3">
        <f>L610-M610</f>
        <v>3.6314518673542389</v>
      </c>
      <c r="T610" s="3"/>
    </row>
    <row r="611" spans="1:20">
      <c r="A611" s="7"/>
      <c r="B611" s="8"/>
      <c r="C611" s="8"/>
      <c r="D611" s="8"/>
      <c r="E611" s="7"/>
      <c r="F611" s="7"/>
      <c r="G611" s="7"/>
      <c r="H611" s="7"/>
      <c r="I611" s="7"/>
      <c r="J611" s="7"/>
      <c r="K611" s="7"/>
      <c r="N611" s="10"/>
      <c r="O611" s="3"/>
      <c r="T611" s="3"/>
    </row>
    <row r="612" spans="1:20">
      <c r="A612" s="7"/>
      <c r="B612" s="8">
        <v>-1.4421025939282253</v>
      </c>
      <c r="C612" s="8">
        <v>-1.0431877148697888</v>
      </c>
      <c r="D612" s="8">
        <v>-0.78932433807079116</v>
      </c>
      <c r="E612" s="7">
        <v>-1.4990516053215155E-2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>
        <v>1.8954667052703302</v>
      </c>
      <c r="M612">
        <v>0</v>
      </c>
      <c r="N612" s="9"/>
      <c r="O612" s="3">
        <f>L612-M612</f>
        <v>1.8954667052703302</v>
      </c>
      <c r="T612" s="3"/>
    </row>
    <row r="613" spans="1:20">
      <c r="A613" s="7" t="s">
        <v>166</v>
      </c>
      <c r="B613" s="8">
        <v>-2.8449497700634536</v>
      </c>
      <c r="C613" s="8">
        <v>-0.22852225552422287</v>
      </c>
      <c r="D613" s="8">
        <v>-6.9737163040410666E-2</v>
      </c>
      <c r="E613" s="7">
        <v>0</v>
      </c>
      <c r="F613" s="7">
        <v>-1.4990516053215155E-2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>
        <v>4.0754124436814498</v>
      </c>
      <c r="M613">
        <v>0</v>
      </c>
      <c r="N613" s="9"/>
      <c r="O613" s="3">
        <f>L613-M613</f>
        <v>4.0754124436814498</v>
      </c>
      <c r="T613" s="3"/>
    </row>
    <row r="614" spans="1:20">
      <c r="A614" s="7"/>
      <c r="B614" s="8">
        <v>-0.85843073718374274</v>
      </c>
      <c r="C614" s="8">
        <v>1.040962775001312</v>
      </c>
      <c r="D614" s="8">
        <v>-3.7610117674176324E-2</v>
      </c>
      <c r="E614" s="7">
        <v>0</v>
      </c>
      <c r="F614" s="7">
        <v>0</v>
      </c>
      <c r="G614" s="7">
        <v>-1.4990516053215155E-2</v>
      </c>
      <c r="H614" s="7">
        <v>0</v>
      </c>
      <c r="I614" s="7">
        <v>0</v>
      </c>
      <c r="J614" s="7">
        <v>0</v>
      </c>
      <c r="K614" s="7">
        <v>0</v>
      </c>
      <c r="L614">
        <v>0.91096067521586066</v>
      </c>
      <c r="M614">
        <v>0</v>
      </c>
      <c r="N614" s="9"/>
      <c r="O614" s="3">
        <f>L614-M614</f>
        <v>0.91096067521586066</v>
      </c>
      <c r="T614" s="3"/>
    </row>
    <row r="615" spans="1:20">
      <c r="A615" s="7"/>
      <c r="B615" s="8"/>
      <c r="C615" s="8"/>
      <c r="D615" s="8"/>
      <c r="E615" s="7"/>
      <c r="F615" s="7"/>
      <c r="G615" s="7"/>
      <c r="H615" s="7"/>
      <c r="I615" s="7"/>
      <c r="J615" s="7"/>
      <c r="K615" s="7"/>
      <c r="N615" s="10"/>
      <c r="O615" s="3"/>
      <c r="T615" s="3"/>
    </row>
    <row r="616" spans="1:20">
      <c r="A616" s="7"/>
      <c r="B616" s="8">
        <v>-1.4421025939282253</v>
      </c>
      <c r="C616" s="8">
        <v>-1.0431877148697888</v>
      </c>
      <c r="D616" s="8">
        <v>-0.78932433807079116</v>
      </c>
      <c r="E616" s="7">
        <v>-1.4990516053215155E-2</v>
      </c>
      <c r="F616" s="7">
        <v>0</v>
      </c>
      <c r="G616" s="7">
        <v>0</v>
      </c>
      <c r="H616" s="7">
        <v>-1.6236379226863738E-2</v>
      </c>
      <c r="I616" s="7">
        <v>2.1796664656245589E-2</v>
      </c>
      <c r="J616" s="7">
        <v>0</v>
      </c>
      <c r="K616" s="7">
        <v>0</v>
      </c>
      <c r="L616">
        <v>1.8954667052703302</v>
      </c>
      <c r="M616">
        <v>-3.528137221409509E-3</v>
      </c>
      <c r="N616" s="9"/>
      <c r="O616" s="3">
        <f>L616-M616</f>
        <v>1.8989948424917398</v>
      </c>
      <c r="T616" s="3"/>
    </row>
    <row r="617" spans="1:20">
      <c r="A617" s="7" t="s">
        <v>167</v>
      </c>
      <c r="B617" s="8">
        <v>-2.8449497700634536</v>
      </c>
      <c r="C617" s="8">
        <v>-0.22852225552422287</v>
      </c>
      <c r="D617" s="8">
        <v>-6.9737163040410666E-2</v>
      </c>
      <c r="E617" s="7">
        <v>0</v>
      </c>
      <c r="F617" s="7">
        <v>-1.4990516053215155E-2</v>
      </c>
      <c r="G617" s="7">
        <v>0</v>
      </c>
      <c r="H617" s="7">
        <v>-1.6236379226863738E-2</v>
      </c>
      <c r="I617" s="7">
        <v>0</v>
      </c>
      <c r="J617" s="7">
        <v>2.2385887789414392E-2</v>
      </c>
      <c r="K617" s="7">
        <v>0</v>
      </c>
      <c r="L617">
        <v>4.0754124436814498</v>
      </c>
      <c r="M617">
        <v>-3.9624652814939246E-3</v>
      </c>
      <c r="N617" s="9"/>
      <c r="O617" s="3">
        <f>L617-M617</f>
        <v>4.0793749089629436</v>
      </c>
      <c r="T617" s="3"/>
    </row>
    <row r="618" spans="1:20">
      <c r="A618" s="7"/>
      <c r="B618" s="8">
        <v>-1.4675604394566215</v>
      </c>
      <c r="C618" s="8">
        <v>1.3235781323919831</v>
      </c>
      <c r="D618" s="8">
        <v>-0.72564008456612294</v>
      </c>
      <c r="E618" s="7">
        <v>0</v>
      </c>
      <c r="F618" s="7">
        <v>0</v>
      </c>
      <c r="G618" s="7">
        <v>-1.4990516053215155E-2</v>
      </c>
      <c r="H618" s="7">
        <v>-1.6236379226863738E-2</v>
      </c>
      <c r="I618" s="7">
        <v>0</v>
      </c>
      <c r="J618" s="7">
        <v>0</v>
      </c>
      <c r="K618" s="7">
        <v>2.0521745021313972E-2</v>
      </c>
      <c r="L618">
        <v>2.216073124166746</v>
      </c>
      <c r="M618">
        <v>-2.6280192231014289E-3</v>
      </c>
      <c r="N618" s="9"/>
      <c r="O618" s="3">
        <f>L618-M618</f>
        <v>2.2187011433898474</v>
      </c>
      <c r="T618" s="3"/>
    </row>
    <row r="619" spans="1:20">
      <c r="A619" s="7"/>
      <c r="B619" s="8"/>
      <c r="C619" s="8"/>
      <c r="D619" s="8"/>
      <c r="E619" s="7"/>
      <c r="F619" s="7"/>
      <c r="G619" s="7"/>
      <c r="H619" s="7"/>
      <c r="I619" s="7"/>
      <c r="J619" s="7"/>
      <c r="K619" s="7"/>
      <c r="N619" s="10"/>
      <c r="O619" s="3"/>
      <c r="T619" s="3"/>
    </row>
    <row r="620" spans="1:20">
      <c r="A620" s="7"/>
      <c r="B620" s="8">
        <v>-1.4421025939282253</v>
      </c>
      <c r="C620" s="8">
        <v>-1.0431877148697888</v>
      </c>
      <c r="D620" s="8">
        <v>-0.78932433807079116</v>
      </c>
      <c r="E620" s="7">
        <v>-1.4990516053215155E-2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>
        <v>1.8954667052703302</v>
      </c>
      <c r="M620">
        <v>0</v>
      </c>
      <c r="N620" s="9"/>
      <c r="O620" s="3">
        <f>L620-M620</f>
        <v>1.8954667052703302</v>
      </c>
      <c r="T620" s="3"/>
    </row>
    <row r="621" spans="1:20">
      <c r="A621" s="7" t="s">
        <v>168</v>
      </c>
      <c r="B621" s="8">
        <v>-2.4772611105726599</v>
      </c>
      <c r="C621" s="8">
        <v>1.0605572692523213</v>
      </c>
      <c r="D621" s="8">
        <v>3.9812674620544719E-2</v>
      </c>
      <c r="E621" s="7">
        <v>0</v>
      </c>
      <c r="F621" s="7">
        <v>-1.4990516053215155E-2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>
        <v>3.6315946901900351</v>
      </c>
      <c r="M621">
        <v>0</v>
      </c>
      <c r="N621" s="9"/>
      <c r="O621" s="3">
        <f>L621-M621</f>
        <v>3.6315946901900351</v>
      </c>
      <c r="T621" s="3"/>
    </row>
    <row r="622" spans="1:20">
      <c r="A622" s="7"/>
      <c r="B622" s="8">
        <v>-0.85843073718374274</v>
      </c>
      <c r="C622" s="8">
        <v>1.040962775001312</v>
      </c>
      <c r="D622" s="8">
        <v>-3.7610117674176324E-2</v>
      </c>
      <c r="E622" s="7">
        <v>0</v>
      </c>
      <c r="F622" s="7">
        <v>0</v>
      </c>
      <c r="G622" s="7">
        <v>-1.4990516053215155E-2</v>
      </c>
      <c r="H622" s="7">
        <v>0</v>
      </c>
      <c r="I622" s="7">
        <v>0</v>
      </c>
      <c r="J622" s="7">
        <v>0</v>
      </c>
      <c r="K622" s="7">
        <v>0</v>
      </c>
      <c r="L622">
        <v>0.91096067521586066</v>
      </c>
      <c r="M622">
        <v>0</v>
      </c>
      <c r="N622" s="9"/>
      <c r="O622" s="3">
        <f>L622-M622</f>
        <v>0.91096067521586066</v>
      </c>
      <c r="T622" s="3"/>
    </row>
    <row r="623" spans="1:20">
      <c r="A623" s="7"/>
      <c r="B623" s="8"/>
      <c r="C623" s="8"/>
      <c r="D623" s="8"/>
      <c r="E623" s="7"/>
      <c r="F623" s="7"/>
      <c r="G623" s="7"/>
      <c r="H623" s="7"/>
      <c r="I623" s="7"/>
      <c r="J623" s="7"/>
      <c r="K623" s="7"/>
      <c r="N623" s="10"/>
      <c r="O623" s="3"/>
      <c r="T623" s="3"/>
    </row>
    <row r="624" spans="1:20">
      <c r="A624" s="7"/>
      <c r="B624" s="8">
        <v>-1.4421025939282253</v>
      </c>
      <c r="C624" s="8">
        <v>-1.0431877148697888</v>
      </c>
      <c r="D624" s="8">
        <v>-0.78932433807079116</v>
      </c>
      <c r="E624" s="7">
        <v>-1.4990516053215155E-2</v>
      </c>
      <c r="F624" s="7">
        <v>0</v>
      </c>
      <c r="G624" s="7">
        <v>0</v>
      </c>
      <c r="H624" s="7">
        <v>-1.6236379226863738E-2</v>
      </c>
      <c r="I624" s="7">
        <v>2.1796664656245589E-2</v>
      </c>
      <c r="J624" s="7">
        <v>0</v>
      </c>
      <c r="K624" s="7">
        <v>0</v>
      </c>
      <c r="L624">
        <v>1.8954667052703302</v>
      </c>
      <c r="M624">
        <v>-3.528137221409509E-3</v>
      </c>
      <c r="N624" s="9"/>
      <c r="O624" s="3">
        <f>L624-M624</f>
        <v>1.8989948424917398</v>
      </c>
      <c r="T624" s="3"/>
    </row>
    <row r="625" spans="1:20">
      <c r="A625" s="7" t="s">
        <v>169</v>
      </c>
      <c r="B625" s="8">
        <v>-2.4772611105726599</v>
      </c>
      <c r="C625" s="8">
        <v>1.0605572692523213</v>
      </c>
      <c r="D625" s="8">
        <v>3.9812674620544719E-2</v>
      </c>
      <c r="E625" s="7">
        <v>0</v>
      </c>
      <c r="F625" s="7">
        <v>-1.4990516053215155E-2</v>
      </c>
      <c r="G625" s="7">
        <v>0</v>
      </c>
      <c r="H625" s="7">
        <v>-1.6236379226863738E-2</v>
      </c>
      <c r="I625" s="7">
        <v>0</v>
      </c>
      <c r="J625" s="7">
        <v>1.5970575730977998E-2</v>
      </c>
      <c r="K625" s="7">
        <v>0</v>
      </c>
      <c r="L625">
        <v>3.6315946901900351</v>
      </c>
      <c r="M625">
        <v>1.4282283579643661E-4</v>
      </c>
      <c r="N625" s="9"/>
      <c r="O625" s="3">
        <f>L625-M625</f>
        <v>3.6314518673542389</v>
      </c>
      <c r="T625" s="3"/>
    </row>
    <row r="626" spans="1:20">
      <c r="A626" s="7"/>
      <c r="B626" s="8">
        <v>-1.4675604394566215</v>
      </c>
      <c r="C626" s="8">
        <v>1.3235781323919831</v>
      </c>
      <c r="D626" s="8">
        <v>-0.72564008456612294</v>
      </c>
      <c r="E626" s="7">
        <v>0</v>
      </c>
      <c r="F626" s="7">
        <v>0</v>
      </c>
      <c r="G626" s="7">
        <v>-1.4990516053215155E-2</v>
      </c>
      <c r="H626" s="7">
        <v>-1.6236379226863738E-2</v>
      </c>
      <c r="I626" s="7">
        <v>0</v>
      </c>
      <c r="J626" s="7">
        <v>0</v>
      </c>
      <c r="K626" s="7">
        <v>2.0521745021313972E-2</v>
      </c>
      <c r="L626">
        <v>2.216073124166746</v>
      </c>
      <c r="M626">
        <v>-2.6280192231014289E-3</v>
      </c>
      <c r="N626" s="9"/>
      <c r="O626" s="3">
        <f>L626-M626</f>
        <v>2.2187011433898474</v>
      </c>
      <c r="T626" s="3"/>
    </row>
    <row r="627" spans="1:20">
      <c r="A627" s="7"/>
      <c r="B627" s="8"/>
      <c r="C627" s="8"/>
      <c r="D627" s="8"/>
      <c r="E627" s="7"/>
      <c r="F627" s="7"/>
      <c r="G627" s="7"/>
      <c r="H627" s="7"/>
      <c r="I627" s="7"/>
      <c r="J627" s="7"/>
      <c r="K627" s="7"/>
      <c r="N627" s="10"/>
      <c r="O627" s="3"/>
      <c r="T627" s="3"/>
    </row>
    <row r="628" spans="1:20">
      <c r="A628" s="7"/>
      <c r="B628" s="8">
        <v>-1.4421025939282253</v>
      </c>
      <c r="C628" s="8">
        <v>-1.0431877148697888</v>
      </c>
      <c r="D628" s="8">
        <v>-0.78932433807079116</v>
      </c>
      <c r="E628" s="7">
        <v>-1.4990516053215155E-2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>
        <v>1.8954667052703302</v>
      </c>
      <c r="M628">
        <v>0</v>
      </c>
      <c r="N628" s="9"/>
      <c r="O628" s="3">
        <f>L628-M628</f>
        <v>1.8954667052703302</v>
      </c>
      <c r="T628" s="3"/>
    </row>
    <row r="629" spans="1:20">
      <c r="A629" s="7" t="s">
        <v>170</v>
      </c>
      <c r="B629" s="8">
        <v>-0.85843073718374274</v>
      </c>
      <c r="C629" s="8">
        <v>1.040962775001312</v>
      </c>
      <c r="D629" s="8">
        <v>-3.7610117674176324E-2</v>
      </c>
      <c r="E629" s="7">
        <v>0</v>
      </c>
      <c r="F629" s="7">
        <v>-1.4990516053215155E-2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>
        <v>0.91096067521586066</v>
      </c>
      <c r="M629">
        <v>0</v>
      </c>
      <c r="N629" s="9"/>
      <c r="O629" s="3">
        <f>L629-M629</f>
        <v>0.91096067521586066</v>
      </c>
      <c r="T629" s="3"/>
    </row>
    <row r="630" spans="1:20">
      <c r="A630" s="7"/>
      <c r="B630" s="8">
        <v>-1.4675604394566215</v>
      </c>
      <c r="C630" s="8">
        <v>1.3235781323919831</v>
      </c>
      <c r="D630" s="8">
        <v>-0.72564008456612294</v>
      </c>
      <c r="E630" s="7">
        <v>0</v>
      </c>
      <c r="F630" s="7">
        <v>0</v>
      </c>
      <c r="G630" s="7">
        <v>-1.4990516053215155E-2</v>
      </c>
      <c r="H630" s="7">
        <v>0</v>
      </c>
      <c r="I630" s="7">
        <v>0</v>
      </c>
      <c r="J630" s="7">
        <v>0</v>
      </c>
      <c r="K630" s="7">
        <v>0</v>
      </c>
      <c r="L630">
        <v>2.216073124166746</v>
      </c>
      <c r="M630">
        <v>0</v>
      </c>
      <c r="N630" s="9"/>
      <c r="O630" s="3">
        <f>L630-M630</f>
        <v>2.216073124166746</v>
      </c>
    </row>
    <row r="631" spans="1:20">
      <c r="A631" s="7"/>
      <c r="B631" s="8"/>
      <c r="C631" s="8"/>
      <c r="D631" s="8"/>
      <c r="E631" s="7"/>
      <c r="F631" s="7"/>
      <c r="G631" s="7"/>
      <c r="H631" s="7"/>
      <c r="I631" s="7"/>
      <c r="J631" s="7"/>
      <c r="K631" s="7"/>
      <c r="N631" s="10"/>
      <c r="O631" s="3"/>
    </row>
    <row r="632" spans="1:20">
      <c r="A632" s="7"/>
      <c r="B632" s="8">
        <v>-2.6959782234951333</v>
      </c>
      <c r="C632" s="8">
        <v>-1.0757798809975587</v>
      </c>
      <c r="D632" s="8">
        <v>-4.997772423355884E-2</v>
      </c>
      <c r="E632" s="7">
        <v>-1.4990516053215155E-2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>
        <v>4.2140493534193304</v>
      </c>
      <c r="M632">
        <v>0</v>
      </c>
      <c r="N632" s="9"/>
      <c r="O632" s="3">
        <f>L632-M632</f>
        <v>4.2140493534193304</v>
      </c>
    </row>
    <row r="633" spans="1:20">
      <c r="A633" s="7" t="s">
        <v>171</v>
      </c>
      <c r="B633" s="8">
        <v>-0.40019020491700363</v>
      </c>
      <c r="C633" s="8">
        <v>-1.0840062473010013</v>
      </c>
      <c r="D633" s="8">
        <v>-1.6840506224230944E-2</v>
      </c>
      <c r="E633" s="7">
        <v>0</v>
      </c>
      <c r="F633" s="7">
        <v>-1.4990516053215155E-2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>
        <v>0.66775267347450074</v>
      </c>
      <c r="M633">
        <v>0</v>
      </c>
      <c r="N633" s="9"/>
      <c r="O633" s="3">
        <f>L633-M633</f>
        <v>0.66775267347450074</v>
      </c>
    </row>
    <row r="634" spans="1:20">
      <c r="A634" s="7"/>
      <c r="B634" s="8">
        <v>-2.8449497700634536</v>
      </c>
      <c r="C634" s="8">
        <v>-0.22852225552422287</v>
      </c>
      <c r="D634" s="8">
        <v>-6.9737163040410666E-2</v>
      </c>
      <c r="E634" s="7">
        <v>0</v>
      </c>
      <c r="F634" s="7">
        <v>0</v>
      </c>
      <c r="G634" s="7">
        <v>-1.4990516053215155E-2</v>
      </c>
      <c r="H634" s="7">
        <v>0</v>
      </c>
      <c r="I634" s="7">
        <v>0</v>
      </c>
      <c r="J634" s="7">
        <v>0</v>
      </c>
      <c r="K634" s="7">
        <v>0</v>
      </c>
      <c r="L634">
        <v>4.0754124436814498</v>
      </c>
      <c r="M634">
        <v>0</v>
      </c>
      <c r="N634" s="9"/>
      <c r="O634" s="3">
        <f>L634-M634</f>
        <v>4.0754124436814498</v>
      </c>
    </row>
    <row r="635" spans="1:20">
      <c r="A635" s="7"/>
      <c r="B635" s="8"/>
      <c r="C635" s="8"/>
      <c r="D635" s="8"/>
      <c r="E635" s="7"/>
      <c r="F635" s="7"/>
      <c r="G635" s="7"/>
      <c r="H635" s="7"/>
      <c r="I635" s="7"/>
      <c r="J635" s="7"/>
      <c r="K635" s="7"/>
      <c r="N635" s="10"/>
      <c r="O635" s="3"/>
    </row>
    <row r="636" spans="1:20">
      <c r="A636" s="7"/>
      <c r="B636" s="8">
        <v>-2.6959782234951333</v>
      </c>
      <c r="C636" s="8">
        <v>-1.0757798809975587</v>
      </c>
      <c r="D636" s="8">
        <v>-4.997772423355884E-2</v>
      </c>
      <c r="E636" s="7">
        <v>-1.4990516053215155E-2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>
        <v>4.2140493534193304</v>
      </c>
      <c r="M636">
        <v>0</v>
      </c>
      <c r="N636" s="9"/>
      <c r="O636" s="3">
        <f>L636-M636</f>
        <v>4.2140493534193304</v>
      </c>
    </row>
    <row r="637" spans="1:20">
      <c r="A637" s="7" t="s">
        <v>172</v>
      </c>
      <c r="B637" s="8">
        <v>-0.40019020491700363</v>
      </c>
      <c r="C637" s="8">
        <v>-1.0840062473010013</v>
      </c>
      <c r="D637" s="8">
        <v>-1.6840506224230944E-2</v>
      </c>
      <c r="E637" s="7">
        <v>0</v>
      </c>
      <c r="F637" s="7">
        <v>-1.4990516053215155E-2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>
        <v>0.66775267347450074</v>
      </c>
      <c r="M637">
        <v>0</v>
      </c>
      <c r="N637" s="9"/>
      <c r="O637" s="3">
        <f>L637-M637</f>
        <v>0.66775267347450074</v>
      </c>
    </row>
    <row r="638" spans="1:20">
      <c r="A638" s="7"/>
      <c r="B638" s="8">
        <v>-2.4772611105726599</v>
      </c>
      <c r="C638" s="8">
        <v>1.0605572692523213</v>
      </c>
      <c r="D638" s="8">
        <v>3.9812674620544719E-2</v>
      </c>
      <c r="E638" s="7">
        <v>0</v>
      </c>
      <c r="F638" s="7">
        <v>0</v>
      </c>
      <c r="G638" s="7">
        <v>-1.4990516053215155E-2</v>
      </c>
      <c r="H638" s="7">
        <v>0</v>
      </c>
      <c r="I638" s="7">
        <v>0</v>
      </c>
      <c r="J638" s="7">
        <v>0</v>
      </c>
      <c r="K638" s="7">
        <v>0</v>
      </c>
      <c r="L638">
        <v>3.6315946901900351</v>
      </c>
      <c r="M638">
        <v>0</v>
      </c>
      <c r="N638" s="9"/>
      <c r="O638" s="3">
        <f>L638-M638</f>
        <v>3.6315946901900351</v>
      </c>
    </row>
    <row r="639" spans="1:20">
      <c r="A639" s="7"/>
      <c r="B639" s="8"/>
      <c r="C639" s="8"/>
      <c r="D639" s="8"/>
      <c r="E639" s="7"/>
      <c r="F639" s="7"/>
      <c r="G639" s="7"/>
      <c r="H639" s="7"/>
      <c r="I639" s="7"/>
      <c r="J639" s="7"/>
      <c r="K639" s="7"/>
      <c r="N639" s="10"/>
      <c r="O639" s="3"/>
    </row>
    <row r="640" spans="1:20">
      <c r="A640" s="7"/>
      <c r="B640" s="8">
        <v>-2.6959782234951333</v>
      </c>
      <c r="C640" s="8">
        <v>-1.0757798809975587</v>
      </c>
      <c r="D640" s="8">
        <v>-4.997772423355884E-2</v>
      </c>
      <c r="E640" s="7">
        <v>-1.4990516053215155E-2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>
        <v>4.2140493534193304</v>
      </c>
      <c r="M640">
        <v>0</v>
      </c>
      <c r="N640" s="9"/>
      <c r="O640" s="3">
        <f>L640-M640</f>
        <v>4.2140493534193304</v>
      </c>
    </row>
    <row r="641" spans="1:15">
      <c r="A641" s="7" t="s">
        <v>173</v>
      </c>
      <c r="B641" s="8">
        <v>-0.40019020491700363</v>
      </c>
      <c r="C641" s="8">
        <v>-1.0840062473010013</v>
      </c>
      <c r="D641" s="8">
        <v>-1.6840506224230944E-2</v>
      </c>
      <c r="E641" s="7">
        <v>0</v>
      </c>
      <c r="F641" s="7">
        <v>-1.4990516053215155E-2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>
        <v>0.66775267347450074</v>
      </c>
      <c r="M641">
        <v>0</v>
      </c>
      <c r="N641" s="9"/>
      <c r="O641" s="3">
        <f>L641-M641</f>
        <v>0.66775267347450074</v>
      </c>
    </row>
    <row r="642" spans="1:15">
      <c r="A642" s="7"/>
      <c r="B642" s="8">
        <v>-0.85843073718374274</v>
      </c>
      <c r="C642" s="8">
        <v>1.040962775001312</v>
      </c>
      <c r="D642" s="8">
        <v>-3.7610117674176324E-2</v>
      </c>
      <c r="E642" s="7">
        <v>0</v>
      </c>
      <c r="F642" s="7">
        <v>0</v>
      </c>
      <c r="G642" s="7">
        <v>-1.4990516053215155E-2</v>
      </c>
      <c r="H642" s="7">
        <v>0</v>
      </c>
      <c r="I642" s="7">
        <v>0</v>
      </c>
      <c r="J642" s="7">
        <v>0</v>
      </c>
      <c r="K642" s="7">
        <v>0</v>
      </c>
      <c r="L642">
        <v>0.91096067521586066</v>
      </c>
      <c r="M642">
        <v>0</v>
      </c>
      <c r="N642" s="9"/>
      <c r="O642" s="3">
        <f>L642-M642</f>
        <v>0.91096067521586066</v>
      </c>
    </row>
    <row r="643" spans="1:15">
      <c r="A643" s="7"/>
      <c r="B643" s="8"/>
      <c r="C643" s="8"/>
      <c r="D643" s="8"/>
      <c r="E643" s="7"/>
      <c r="F643" s="7"/>
      <c r="G643" s="7"/>
      <c r="H643" s="7"/>
      <c r="I643" s="7"/>
      <c r="J643" s="7"/>
      <c r="K643" s="7"/>
      <c r="N643" s="10"/>
      <c r="O643" s="3"/>
    </row>
    <row r="644" spans="1:15">
      <c r="A644" s="7"/>
      <c r="B644" s="8">
        <v>-2.6959782234951333</v>
      </c>
      <c r="C644" s="8">
        <v>-1.0757798809975587</v>
      </c>
      <c r="D644" s="8">
        <v>-4.997772423355884E-2</v>
      </c>
      <c r="E644" s="7">
        <v>-1.4990516053215155E-2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>
        <v>4.2140493534193304</v>
      </c>
      <c r="M644">
        <v>0</v>
      </c>
      <c r="N644" s="9"/>
      <c r="O644" s="3">
        <f>L644-M644</f>
        <v>4.2140493534193304</v>
      </c>
    </row>
    <row r="645" spans="1:15">
      <c r="A645" s="7" t="s">
        <v>174</v>
      </c>
      <c r="B645" s="8">
        <v>-0.40019020491700363</v>
      </c>
      <c r="C645" s="8">
        <v>-1.0840062473010013</v>
      </c>
      <c r="D645" s="8">
        <v>-1.6840506224230944E-2</v>
      </c>
      <c r="E645" s="7">
        <v>0</v>
      </c>
      <c r="F645" s="7">
        <v>-1.4990516053215155E-2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>
        <v>0.66775267347450074</v>
      </c>
      <c r="M645">
        <v>0</v>
      </c>
      <c r="N645" s="9"/>
      <c r="O645" s="3">
        <f>L645-M645</f>
        <v>0.66775267347450074</v>
      </c>
    </row>
    <row r="646" spans="1:15">
      <c r="A646" s="7"/>
      <c r="B646" s="8">
        <v>-1.4675604394566215</v>
      </c>
      <c r="C646" s="8">
        <v>1.3235781323919831</v>
      </c>
      <c r="D646" s="8">
        <v>-0.72564008456612294</v>
      </c>
      <c r="E646" s="7">
        <v>0</v>
      </c>
      <c r="F646" s="7">
        <v>0</v>
      </c>
      <c r="G646" s="7">
        <v>-1.4990516053215155E-2</v>
      </c>
      <c r="H646" s="7">
        <v>0</v>
      </c>
      <c r="I646" s="7">
        <v>0</v>
      </c>
      <c r="J646" s="7">
        <v>0</v>
      </c>
      <c r="K646" s="7">
        <v>0</v>
      </c>
      <c r="L646">
        <v>2.216073124166746</v>
      </c>
      <c r="M646">
        <v>0</v>
      </c>
      <c r="N646" s="9"/>
      <c r="O646" s="3">
        <f>L646-M646</f>
        <v>2.216073124166746</v>
      </c>
    </row>
    <row r="647" spans="1:15">
      <c r="A647" s="7"/>
      <c r="B647" s="8"/>
      <c r="C647" s="8"/>
      <c r="D647" s="8"/>
      <c r="E647" s="7"/>
      <c r="F647" s="7"/>
      <c r="G647" s="7"/>
      <c r="H647" s="7"/>
      <c r="I647" s="7"/>
      <c r="J647" s="7"/>
      <c r="K647" s="7"/>
      <c r="N647" s="10"/>
      <c r="O647" s="3"/>
    </row>
    <row r="648" spans="1:15">
      <c r="A648" s="7"/>
      <c r="B648" s="8">
        <v>-2.6959782234951333</v>
      </c>
      <c r="C648" s="8">
        <v>-1.0757798809975587</v>
      </c>
      <c r="D648" s="8">
        <v>-4.997772423355884E-2</v>
      </c>
      <c r="E648" s="7">
        <v>-1.4990516053215155E-2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>
        <v>4.2140493534193304</v>
      </c>
      <c r="M648">
        <v>0</v>
      </c>
      <c r="N648" s="9"/>
      <c r="O648" s="3">
        <f>L648-M648</f>
        <v>4.2140493534193304</v>
      </c>
    </row>
    <row r="649" spans="1:15">
      <c r="A649" s="7" t="s">
        <v>175</v>
      </c>
      <c r="B649" s="8">
        <v>-2.8449497700634536</v>
      </c>
      <c r="C649" s="8">
        <v>-0.22852225552422287</v>
      </c>
      <c r="D649" s="8">
        <v>-6.9737163040410666E-2</v>
      </c>
      <c r="E649" s="7">
        <v>0</v>
      </c>
      <c r="F649" s="7">
        <v>-1.4990516053215155E-2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>
        <v>4.0754124436814498</v>
      </c>
      <c r="M649">
        <v>0</v>
      </c>
      <c r="N649" s="9"/>
      <c r="O649" s="3">
        <f>L649-M649</f>
        <v>4.0754124436814498</v>
      </c>
    </row>
    <row r="650" spans="1:15">
      <c r="A650" s="7"/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0</v>
      </c>
      <c r="G650" s="7">
        <v>-1.4990516053215155E-2</v>
      </c>
      <c r="H650" s="7">
        <v>0</v>
      </c>
      <c r="I650" s="7">
        <v>0</v>
      </c>
      <c r="J650" s="7">
        <v>0</v>
      </c>
      <c r="K650" s="7">
        <v>0</v>
      </c>
      <c r="L650">
        <v>3.6315946901900351</v>
      </c>
      <c r="M650">
        <v>0</v>
      </c>
      <c r="N650" s="9"/>
      <c r="O650" s="3">
        <f>L650-M650</f>
        <v>3.6315946901900351</v>
      </c>
    </row>
    <row r="651" spans="1:15">
      <c r="A651" s="7"/>
      <c r="B651" s="8"/>
      <c r="C651" s="8"/>
      <c r="D651" s="8"/>
      <c r="E651" s="7"/>
      <c r="F651" s="7"/>
      <c r="G651" s="7"/>
      <c r="H651" s="7"/>
      <c r="I651" s="7"/>
      <c r="J651" s="7"/>
      <c r="K651" s="7"/>
      <c r="N651" s="10"/>
      <c r="O651" s="3"/>
    </row>
    <row r="652" spans="1:15">
      <c r="A652" s="7"/>
      <c r="B652" s="8">
        <v>-2.6959782234951333</v>
      </c>
      <c r="C652" s="8">
        <v>-1.0757798809975587</v>
      </c>
      <c r="D652" s="8">
        <v>-4.997772423355884E-2</v>
      </c>
      <c r="E652" s="7">
        <v>-1.4990516053215155E-2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>
        <v>4.2140493534193304</v>
      </c>
      <c r="M652">
        <v>0</v>
      </c>
      <c r="N652" s="9"/>
      <c r="O652" s="3">
        <f>L652-M652</f>
        <v>4.2140493534193304</v>
      </c>
    </row>
    <row r="653" spans="1:15">
      <c r="A653" s="7" t="s">
        <v>176</v>
      </c>
      <c r="B653" s="8">
        <v>-2.8449497700634536</v>
      </c>
      <c r="C653" s="8">
        <v>-0.22852225552422287</v>
      </c>
      <c r="D653" s="8">
        <v>-6.9737163040410666E-2</v>
      </c>
      <c r="E653" s="7">
        <v>0</v>
      </c>
      <c r="F653" s="7">
        <v>-1.4990516053215155E-2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>
        <v>4.0754124436814498</v>
      </c>
      <c r="M653">
        <v>0</v>
      </c>
      <c r="N653" s="9"/>
      <c r="O653" s="3">
        <f>L653-M653</f>
        <v>4.0754124436814498</v>
      </c>
    </row>
    <row r="654" spans="1:15">
      <c r="A654" s="7"/>
      <c r="B654" s="8">
        <v>-0.85843073718374274</v>
      </c>
      <c r="C654" s="8">
        <v>1.040962775001312</v>
      </c>
      <c r="D654" s="8">
        <v>-3.7610117674176324E-2</v>
      </c>
      <c r="E654" s="7">
        <v>0</v>
      </c>
      <c r="F654" s="7">
        <v>0</v>
      </c>
      <c r="G654" s="7">
        <v>-1.4990516053215155E-2</v>
      </c>
      <c r="H654" s="7">
        <v>0</v>
      </c>
      <c r="I654" s="7">
        <v>0</v>
      </c>
      <c r="J654" s="7">
        <v>0</v>
      </c>
      <c r="K654" s="7">
        <v>0</v>
      </c>
      <c r="L654">
        <v>0.91096067521586066</v>
      </c>
      <c r="M654">
        <v>0</v>
      </c>
      <c r="N654" s="9"/>
      <c r="O654" s="3">
        <f>L654-M654</f>
        <v>0.91096067521586066</v>
      </c>
    </row>
    <row r="655" spans="1:15">
      <c r="A655" s="7"/>
      <c r="B655" s="8"/>
      <c r="C655" s="8"/>
      <c r="D655" s="8"/>
      <c r="E655" s="7"/>
      <c r="F655" s="7"/>
      <c r="G655" s="7"/>
      <c r="H655" s="7"/>
      <c r="I655" s="7"/>
      <c r="J655" s="7"/>
      <c r="K655" s="7"/>
      <c r="N655" s="10"/>
      <c r="O655" s="3"/>
    </row>
    <row r="656" spans="1:15">
      <c r="A656" s="7"/>
      <c r="B656" s="8">
        <v>-2.6959782234951333</v>
      </c>
      <c r="C656" s="8">
        <v>-1.0757798809975587</v>
      </c>
      <c r="D656" s="8">
        <v>-4.997772423355884E-2</v>
      </c>
      <c r="E656" s="7">
        <v>-1.4990516053215155E-2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>
        <v>4.2140493534193304</v>
      </c>
      <c r="M656">
        <v>0</v>
      </c>
      <c r="N656" s="9"/>
      <c r="O656" s="3">
        <f>L656-M656</f>
        <v>4.2140493534193304</v>
      </c>
    </row>
    <row r="657" spans="1:15">
      <c r="A657" s="7" t="s">
        <v>177</v>
      </c>
      <c r="B657" s="8">
        <v>-2.8449497700634536</v>
      </c>
      <c r="C657" s="8">
        <v>-0.22852225552422287</v>
      </c>
      <c r="D657" s="8">
        <v>-6.9737163040410666E-2</v>
      </c>
      <c r="E657" s="7">
        <v>0</v>
      </c>
      <c r="F657" s="7">
        <v>-1.4990516053215155E-2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>
        <v>4.0754124436814498</v>
      </c>
      <c r="M657">
        <v>0</v>
      </c>
      <c r="N657" s="9"/>
      <c r="O657" s="3">
        <f>L657-M657</f>
        <v>4.0754124436814498</v>
      </c>
    </row>
    <row r="658" spans="1:15">
      <c r="A658" s="7"/>
      <c r="B658" s="8">
        <v>-1.4675604394566215</v>
      </c>
      <c r="C658" s="8">
        <v>1.3235781323919831</v>
      </c>
      <c r="D658" s="8">
        <v>-0.72564008456612294</v>
      </c>
      <c r="E658" s="7">
        <v>0</v>
      </c>
      <c r="F658" s="7">
        <v>0</v>
      </c>
      <c r="G658" s="7">
        <v>-1.4990516053215155E-2</v>
      </c>
      <c r="H658" s="7">
        <v>0</v>
      </c>
      <c r="I658" s="7">
        <v>0</v>
      </c>
      <c r="J658" s="7">
        <v>0</v>
      </c>
      <c r="K658" s="7">
        <v>0</v>
      </c>
      <c r="L658">
        <v>2.216073124166746</v>
      </c>
      <c r="M658">
        <v>0</v>
      </c>
      <c r="N658" s="9"/>
      <c r="O658" s="3">
        <f>L658-M658</f>
        <v>2.216073124166746</v>
      </c>
    </row>
    <row r="659" spans="1:15">
      <c r="A659" s="7"/>
      <c r="B659" s="8"/>
      <c r="C659" s="8"/>
      <c r="D659" s="8"/>
      <c r="E659" s="7"/>
      <c r="F659" s="7"/>
      <c r="G659" s="7"/>
      <c r="H659" s="7"/>
      <c r="I659" s="7"/>
      <c r="J659" s="7"/>
      <c r="K659" s="7"/>
      <c r="N659" s="10"/>
      <c r="O659" s="3"/>
    </row>
    <row r="660" spans="1:15">
      <c r="A660" s="7"/>
      <c r="B660" s="8">
        <v>-2.6959782234951333</v>
      </c>
      <c r="C660" s="8">
        <v>-1.0757798809975587</v>
      </c>
      <c r="D660" s="8">
        <v>-4.997772423355884E-2</v>
      </c>
      <c r="E660" s="7">
        <v>-1.4990516053215155E-2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>
        <v>4.2140493534193304</v>
      </c>
      <c r="M660">
        <v>0</v>
      </c>
      <c r="N660" s="9"/>
      <c r="O660" s="3">
        <f>L660-M660</f>
        <v>4.2140493534193304</v>
      </c>
    </row>
    <row r="661" spans="1:15">
      <c r="A661" s="7" t="s">
        <v>178</v>
      </c>
      <c r="B661" s="8">
        <v>-2.4772611105726599</v>
      </c>
      <c r="C661" s="8">
        <v>1.0605572692523213</v>
      </c>
      <c r="D661" s="8">
        <v>3.9812674620544719E-2</v>
      </c>
      <c r="E661" s="7">
        <v>0</v>
      </c>
      <c r="F661" s="7">
        <v>-1.4990516053215155E-2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>
        <v>3.6315946901900351</v>
      </c>
      <c r="M661">
        <v>0</v>
      </c>
      <c r="N661" s="9"/>
      <c r="O661" s="3">
        <f>L661-M661</f>
        <v>3.6315946901900351</v>
      </c>
    </row>
    <row r="662" spans="1:15">
      <c r="A662" s="7"/>
      <c r="B662" s="8">
        <v>-0.85843073718374274</v>
      </c>
      <c r="C662" s="8">
        <v>1.040962775001312</v>
      </c>
      <c r="D662" s="8">
        <v>-3.7610117674176324E-2</v>
      </c>
      <c r="E662" s="7">
        <v>0</v>
      </c>
      <c r="F662" s="7">
        <v>0</v>
      </c>
      <c r="G662" s="7">
        <v>-1.4990516053215155E-2</v>
      </c>
      <c r="H662" s="7">
        <v>0</v>
      </c>
      <c r="I662" s="7">
        <v>0</v>
      </c>
      <c r="J662" s="7">
        <v>0</v>
      </c>
      <c r="K662" s="7">
        <v>0</v>
      </c>
      <c r="L662">
        <v>0.91096067521586066</v>
      </c>
      <c r="M662">
        <v>0</v>
      </c>
      <c r="N662" s="9"/>
      <c r="O662" s="3">
        <f>L662-M662</f>
        <v>0.91096067521586066</v>
      </c>
    </row>
    <row r="663" spans="1:15">
      <c r="A663" s="7"/>
      <c r="B663" s="8"/>
      <c r="C663" s="8"/>
      <c r="D663" s="8"/>
      <c r="E663" s="7"/>
      <c r="F663" s="7"/>
      <c r="G663" s="7"/>
      <c r="H663" s="7"/>
      <c r="I663" s="7"/>
      <c r="J663" s="7"/>
      <c r="K663" s="7"/>
      <c r="N663" s="10"/>
      <c r="O663" s="3"/>
    </row>
    <row r="664" spans="1:15">
      <c r="A664" s="7"/>
      <c r="B664" s="8">
        <v>-2.6959782234951333</v>
      </c>
      <c r="C664" s="8">
        <v>-1.0757798809975587</v>
      </c>
      <c r="D664" s="8">
        <v>-4.997772423355884E-2</v>
      </c>
      <c r="E664" s="7">
        <v>-1.4990516053215155E-2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>
        <v>4.2140493534193304</v>
      </c>
      <c r="M664">
        <v>0</v>
      </c>
      <c r="N664" s="9"/>
      <c r="O664" s="3">
        <f>L664-M664</f>
        <v>4.2140493534193304</v>
      </c>
    </row>
    <row r="665" spans="1:15">
      <c r="A665" s="7" t="s">
        <v>179</v>
      </c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7">
        <v>-1.4990516053215155E-2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>
        <v>3.6315946901900351</v>
      </c>
      <c r="M665">
        <v>0</v>
      </c>
      <c r="N665" s="9"/>
      <c r="O665" s="3">
        <f>L665-M665</f>
        <v>3.6315946901900351</v>
      </c>
    </row>
    <row r="666" spans="1:15">
      <c r="A666" s="7"/>
      <c r="B666" s="8">
        <v>-1.4675604394566215</v>
      </c>
      <c r="C666" s="8">
        <v>1.3235781323919831</v>
      </c>
      <c r="D666" s="8">
        <v>-0.72564008456612294</v>
      </c>
      <c r="E666" s="7">
        <v>0</v>
      </c>
      <c r="F666" s="7">
        <v>0</v>
      </c>
      <c r="G666" s="7">
        <v>-1.4990516053215155E-2</v>
      </c>
      <c r="H666" s="7">
        <v>0</v>
      </c>
      <c r="I666" s="7">
        <v>0</v>
      </c>
      <c r="J666" s="7">
        <v>0</v>
      </c>
      <c r="K666" s="7">
        <v>0</v>
      </c>
      <c r="L666">
        <v>2.216073124166746</v>
      </c>
      <c r="M666">
        <v>0</v>
      </c>
      <c r="N666" s="9"/>
      <c r="O666" s="3">
        <f>L666-M666</f>
        <v>2.216073124166746</v>
      </c>
    </row>
    <row r="667" spans="1:15">
      <c r="A667" s="7"/>
      <c r="B667" s="8"/>
      <c r="C667" s="8"/>
      <c r="D667" s="8"/>
      <c r="E667" s="7"/>
      <c r="F667" s="7"/>
      <c r="G667" s="7"/>
      <c r="H667" s="7"/>
      <c r="I667" s="7"/>
      <c r="J667" s="7"/>
      <c r="K667" s="7"/>
      <c r="N667" s="10"/>
      <c r="O667" s="3"/>
    </row>
    <row r="668" spans="1:15">
      <c r="A668" s="7"/>
      <c r="B668" s="8">
        <v>-2.6959782234951333</v>
      </c>
      <c r="C668" s="8">
        <v>-1.0757798809975587</v>
      </c>
      <c r="D668" s="8">
        <v>-4.997772423355884E-2</v>
      </c>
      <c r="E668" s="7">
        <v>-1.4990516053215155E-2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>
        <v>4.2140493534193304</v>
      </c>
      <c r="M668">
        <v>0</v>
      </c>
      <c r="N668" s="9"/>
      <c r="O668" s="3">
        <f>L668-M668</f>
        <v>4.2140493534193304</v>
      </c>
    </row>
    <row r="669" spans="1:15">
      <c r="A669" s="7" t="s">
        <v>180</v>
      </c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7">
        <v>-1.4990516053215155E-2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>
        <v>0.91096067521586066</v>
      </c>
      <c r="M669">
        <v>0</v>
      </c>
      <c r="N669" s="9"/>
      <c r="O669" s="3">
        <f>L669-M669</f>
        <v>0.91096067521586066</v>
      </c>
    </row>
    <row r="670" spans="1:15">
      <c r="A670" s="7"/>
      <c r="B670" s="8">
        <v>-1.4675604394566215</v>
      </c>
      <c r="C670" s="8">
        <v>1.3235781323919831</v>
      </c>
      <c r="D670" s="8">
        <v>-0.72564008456612294</v>
      </c>
      <c r="E670" s="7">
        <v>0</v>
      </c>
      <c r="F670" s="7">
        <v>0</v>
      </c>
      <c r="G670" s="7">
        <v>-1.4990516053215155E-2</v>
      </c>
      <c r="H670" s="7">
        <v>0</v>
      </c>
      <c r="I670" s="7">
        <v>0</v>
      </c>
      <c r="J670" s="7">
        <v>0</v>
      </c>
      <c r="K670" s="7">
        <v>0</v>
      </c>
      <c r="L670">
        <v>2.216073124166746</v>
      </c>
      <c r="M670">
        <v>0</v>
      </c>
      <c r="N670" s="9"/>
      <c r="O670" s="3">
        <f>L670-M670</f>
        <v>2.216073124166746</v>
      </c>
    </row>
    <row r="671" spans="1:15">
      <c r="A671" s="7"/>
      <c r="B671" s="8"/>
      <c r="C671" s="8"/>
      <c r="D671" s="8"/>
      <c r="E671" s="7"/>
      <c r="F671" s="7"/>
      <c r="G671" s="7"/>
      <c r="H671" s="7"/>
      <c r="I671" s="7"/>
      <c r="J671" s="7"/>
      <c r="K671" s="7"/>
      <c r="N671" s="10"/>
      <c r="O671" s="3"/>
    </row>
    <row r="672" spans="1:15">
      <c r="A672" s="7"/>
      <c r="B672" s="8">
        <v>-0.40019020491700363</v>
      </c>
      <c r="C672" s="8">
        <v>-1.0840062473010013</v>
      </c>
      <c r="D672" s="8">
        <v>-1.6840506224230944E-2</v>
      </c>
      <c r="E672" s="7">
        <v>-1.4990516053215155E-2</v>
      </c>
      <c r="F672" s="7">
        <v>0</v>
      </c>
      <c r="G672" s="7">
        <v>0</v>
      </c>
      <c r="H672" s="7">
        <v>-1.6236379226863738E-2</v>
      </c>
      <c r="I672" s="7">
        <v>2.2872089329671663E-2</v>
      </c>
      <c r="J672" s="7">
        <v>0</v>
      </c>
      <c r="K672" s="7">
        <v>0</v>
      </c>
      <c r="L672">
        <v>0.66775267347450074</v>
      </c>
      <c r="M672">
        <v>-4.3295774383228357E-3</v>
      </c>
      <c r="N672" s="9"/>
      <c r="O672" s="3">
        <f>L672-M672</f>
        <v>0.67208225091282359</v>
      </c>
    </row>
    <row r="673" spans="1:15">
      <c r="A673" s="7" t="s">
        <v>181</v>
      </c>
      <c r="B673" s="8">
        <v>-2.8449497700634536</v>
      </c>
      <c r="C673" s="8">
        <v>-0.22852225552422287</v>
      </c>
      <c r="D673" s="8">
        <v>-6.9737163040410666E-2</v>
      </c>
      <c r="E673" s="7">
        <v>0</v>
      </c>
      <c r="F673" s="7">
        <v>-1.4990516053215155E-2</v>
      </c>
      <c r="G673" s="7">
        <v>0</v>
      </c>
      <c r="H673" s="7">
        <v>-1.6236379226863738E-2</v>
      </c>
      <c r="I673" s="7">
        <v>0</v>
      </c>
      <c r="J673" s="7">
        <v>2.2385887789414392E-2</v>
      </c>
      <c r="K673" s="7">
        <v>0</v>
      </c>
      <c r="L673">
        <v>4.0754124436814498</v>
      </c>
      <c r="M673">
        <v>-3.9624652814939246E-3</v>
      </c>
      <c r="N673" s="9"/>
      <c r="O673" s="3">
        <f>L673-M673</f>
        <v>4.0793749089629436</v>
      </c>
    </row>
    <row r="674" spans="1:15">
      <c r="A674" s="7"/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0</v>
      </c>
      <c r="G674" s="7">
        <v>-1.4990516053215155E-2</v>
      </c>
      <c r="H674" s="7">
        <v>-1.6236379226863738E-2</v>
      </c>
      <c r="I674" s="7">
        <v>0</v>
      </c>
      <c r="J674" s="7">
        <v>0</v>
      </c>
      <c r="K674" s="7">
        <v>1.5970575730977998E-2</v>
      </c>
      <c r="L674">
        <v>3.6315946901900351</v>
      </c>
      <c r="M674">
        <v>1.4282283579643661E-4</v>
      </c>
      <c r="N674" s="9"/>
      <c r="O674" s="3">
        <f>L674-M674</f>
        <v>3.6314518673542389</v>
      </c>
    </row>
    <row r="675" spans="1:15">
      <c r="A675" s="7"/>
      <c r="B675" s="8"/>
      <c r="C675" s="8"/>
      <c r="D675" s="8"/>
      <c r="E675" s="7"/>
      <c r="F675" s="7"/>
      <c r="G675" s="7"/>
      <c r="H675" s="7"/>
      <c r="I675" s="7"/>
      <c r="J675" s="7"/>
      <c r="K675" s="7"/>
      <c r="N675" s="10"/>
      <c r="O675" s="3"/>
    </row>
    <row r="676" spans="1:15">
      <c r="A676" s="7"/>
      <c r="B676" s="8">
        <v>-0.40019020491700363</v>
      </c>
      <c r="C676" s="8">
        <v>-1.0840062473010013</v>
      </c>
      <c r="D676" s="8">
        <v>-1.6840506224230944E-2</v>
      </c>
      <c r="E676" s="7">
        <v>-1.4990516053215155E-2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>
        <v>0.66775267347450074</v>
      </c>
      <c r="M676">
        <v>0</v>
      </c>
      <c r="N676" s="9"/>
      <c r="O676" s="3">
        <f>L676-M676</f>
        <v>0.66775267347450074</v>
      </c>
    </row>
    <row r="677" spans="1:15">
      <c r="A677" s="7" t="s">
        <v>182</v>
      </c>
      <c r="B677" s="8">
        <v>-2.8449497700634536</v>
      </c>
      <c r="C677" s="8">
        <v>-0.22852225552422287</v>
      </c>
      <c r="D677" s="8">
        <v>-6.9737163040410666E-2</v>
      </c>
      <c r="E677" s="7">
        <v>0</v>
      </c>
      <c r="F677" s="7">
        <v>-1.4990516053215155E-2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>
        <v>4.0754124436814498</v>
      </c>
      <c r="M677">
        <v>0</v>
      </c>
      <c r="N677" s="9"/>
      <c r="O677" s="3">
        <f>L677-M677</f>
        <v>4.0754124436814498</v>
      </c>
    </row>
    <row r="678" spans="1:15">
      <c r="A678" s="7"/>
      <c r="B678" s="8">
        <v>-0.85843073718374274</v>
      </c>
      <c r="C678" s="8">
        <v>1.040962775001312</v>
      </c>
      <c r="D678" s="8">
        <v>-3.7610117674176324E-2</v>
      </c>
      <c r="E678" s="7">
        <v>0</v>
      </c>
      <c r="F678" s="7">
        <v>0</v>
      </c>
      <c r="G678" s="7">
        <v>-1.4990516053215155E-2</v>
      </c>
      <c r="H678" s="7">
        <v>0</v>
      </c>
      <c r="I678" s="7">
        <v>0</v>
      </c>
      <c r="J678" s="7">
        <v>0</v>
      </c>
      <c r="K678" s="7">
        <v>0</v>
      </c>
      <c r="L678">
        <v>0.91096067521586066</v>
      </c>
      <c r="M678">
        <v>0</v>
      </c>
      <c r="N678" s="9"/>
      <c r="O678" s="3">
        <f>L678-M678</f>
        <v>0.91096067521586066</v>
      </c>
    </row>
    <row r="679" spans="1:15">
      <c r="A679" s="7"/>
      <c r="B679" s="8"/>
      <c r="C679" s="8"/>
      <c r="D679" s="8"/>
      <c r="E679" s="7"/>
      <c r="F679" s="7"/>
      <c r="G679" s="7"/>
      <c r="H679" s="7"/>
      <c r="I679" s="7"/>
      <c r="J679" s="7"/>
      <c r="K679" s="7"/>
      <c r="N679" s="10"/>
      <c r="O679" s="3"/>
    </row>
    <row r="680" spans="1:15">
      <c r="A680" s="7"/>
      <c r="B680" s="8">
        <v>-0.40019020491700363</v>
      </c>
      <c r="C680" s="8">
        <v>-1.0840062473010013</v>
      </c>
      <c r="D680" s="8">
        <v>-1.6840506224230944E-2</v>
      </c>
      <c r="E680" s="7">
        <v>-1.4990516053215155E-2</v>
      </c>
      <c r="F680" s="7">
        <v>0</v>
      </c>
      <c r="G680" s="7">
        <v>0</v>
      </c>
      <c r="H680" s="7">
        <v>-1.6236379226863738E-2</v>
      </c>
      <c r="I680" s="7">
        <v>2.2872089329671663E-2</v>
      </c>
      <c r="J680" s="7">
        <v>0</v>
      </c>
      <c r="K680" s="7">
        <v>0</v>
      </c>
      <c r="L680">
        <v>0.66775267347450074</v>
      </c>
      <c r="M680">
        <v>-4.3295774383228357E-3</v>
      </c>
      <c r="N680" s="9"/>
      <c r="O680" s="3">
        <f>L680-M680</f>
        <v>0.67208225091282359</v>
      </c>
    </row>
    <row r="681" spans="1:15">
      <c r="A681" s="7" t="s">
        <v>183</v>
      </c>
      <c r="B681" s="8">
        <v>-2.8449497700634536</v>
      </c>
      <c r="C681" s="8">
        <v>-0.22852225552422287</v>
      </c>
      <c r="D681" s="8">
        <v>-6.9737163040410666E-2</v>
      </c>
      <c r="E681" s="7">
        <v>0</v>
      </c>
      <c r="F681" s="7">
        <v>-1.4990516053215155E-2</v>
      </c>
      <c r="G681" s="7">
        <v>0</v>
      </c>
      <c r="H681" s="7">
        <v>-1.6236379226863738E-2</v>
      </c>
      <c r="I681" s="7">
        <v>0</v>
      </c>
      <c r="J681" s="7">
        <v>2.2385887789414392E-2</v>
      </c>
      <c r="K681" s="7">
        <v>0</v>
      </c>
      <c r="L681">
        <v>4.0754124436814498</v>
      </c>
      <c r="M681">
        <v>-3.9624652814939246E-3</v>
      </c>
      <c r="N681" s="9"/>
      <c r="O681" s="3">
        <f>L681-M681</f>
        <v>4.0793749089629436</v>
      </c>
    </row>
    <row r="682" spans="1:15">
      <c r="A682" s="7"/>
      <c r="B682" s="8">
        <v>-1.4675604394566215</v>
      </c>
      <c r="C682" s="8">
        <v>1.3235781323919831</v>
      </c>
      <c r="D682" s="8">
        <v>-0.72564008456612294</v>
      </c>
      <c r="E682" s="7">
        <v>0</v>
      </c>
      <c r="F682" s="7">
        <v>0</v>
      </c>
      <c r="G682" s="7">
        <v>-1.4990516053215155E-2</v>
      </c>
      <c r="H682" s="7">
        <v>-1.6236379226863738E-2</v>
      </c>
      <c r="I682" s="7">
        <v>0</v>
      </c>
      <c r="J682" s="7">
        <v>0</v>
      </c>
      <c r="K682" s="7">
        <v>2.0521745021313972E-2</v>
      </c>
      <c r="L682">
        <v>2.216073124166746</v>
      </c>
      <c r="M682">
        <v>-2.6280192231014289E-3</v>
      </c>
      <c r="N682" s="9"/>
      <c r="O682" s="3">
        <f>L682-M682</f>
        <v>2.2187011433898474</v>
      </c>
    </row>
    <row r="683" spans="1:15">
      <c r="A683" s="7"/>
      <c r="B683" s="8"/>
      <c r="C683" s="8"/>
      <c r="D683" s="8"/>
      <c r="E683" s="7"/>
      <c r="F683" s="7"/>
      <c r="G683" s="7"/>
      <c r="H683" s="7"/>
      <c r="I683" s="7"/>
      <c r="J683" s="7"/>
      <c r="K683" s="7"/>
      <c r="N683" s="10"/>
      <c r="O683" s="3"/>
    </row>
    <row r="684" spans="1:15">
      <c r="A684" s="7"/>
      <c r="B684" s="8">
        <v>-0.40019020491700363</v>
      </c>
      <c r="C684" s="8">
        <v>-1.0840062473010013</v>
      </c>
      <c r="D684" s="8">
        <v>-1.6840506224230944E-2</v>
      </c>
      <c r="E684" s="7">
        <v>-1.4990516053215155E-2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>
        <v>0.66775267347450074</v>
      </c>
      <c r="M684">
        <v>0</v>
      </c>
      <c r="N684" s="9"/>
      <c r="O684" s="3">
        <f>L684-M684</f>
        <v>0.66775267347450074</v>
      </c>
    </row>
    <row r="685" spans="1:15">
      <c r="A685" s="7" t="s">
        <v>184</v>
      </c>
      <c r="B685" s="8">
        <v>-2.4772611105726599</v>
      </c>
      <c r="C685" s="8">
        <v>1.0605572692523213</v>
      </c>
      <c r="D685" s="8">
        <v>3.9812674620544719E-2</v>
      </c>
      <c r="E685" s="7">
        <v>0</v>
      </c>
      <c r="F685" s="7">
        <v>-1.4990516053215155E-2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>
        <v>3.6315946901900351</v>
      </c>
      <c r="M685">
        <v>0</v>
      </c>
      <c r="N685" s="9"/>
      <c r="O685" s="3">
        <f>L685-M685</f>
        <v>3.6315946901900351</v>
      </c>
    </row>
    <row r="686" spans="1:15">
      <c r="A686" s="7"/>
      <c r="B686" s="8">
        <v>-0.85843073718374274</v>
      </c>
      <c r="C686" s="8">
        <v>1.040962775001312</v>
      </c>
      <c r="D686" s="8">
        <v>-3.7610117674176324E-2</v>
      </c>
      <c r="E686" s="7">
        <v>0</v>
      </c>
      <c r="F686" s="7">
        <v>0</v>
      </c>
      <c r="G686" s="7">
        <v>-1.4990516053215155E-2</v>
      </c>
      <c r="H686" s="7">
        <v>0</v>
      </c>
      <c r="I686" s="7">
        <v>0</v>
      </c>
      <c r="J686" s="7">
        <v>0</v>
      </c>
      <c r="K686" s="7">
        <v>0</v>
      </c>
      <c r="L686">
        <v>0.91096067521586066</v>
      </c>
      <c r="M686">
        <v>0</v>
      </c>
      <c r="N686" s="9"/>
      <c r="O686" s="3">
        <f>L686-M686</f>
        <v>0.91096067521586066</v>
      </c>
    </row>
    <row r="687" spans="1:15">
      <c r="A687" s="7"/>
      <c r="B687" s="8"/>
      <c r="C687" s="8"/>
      <c r="D687" s="8"/>
      <c r="E687" s="7"/>
      <c r="F687" s="7"/>
      <c r="G687" s="7"/>
      <c r="H687" s="7"/>
      <c r="I687" s="7"/>
      <c r="J687" s="7"/>
      <c r="K687" s="7"/>
      <c r="N687" s="10"/>
      <c r="O687" s="3"/>
    </row>
    <row r="688" spans="1:15">
      <c r="A688" s="7"/>
      <c r="B688" s="8">
        <v>-0.40019020491700363</v>
      </c>
      <c r="C688" s="8">
        <v>-1.0840062473010013</v>
      </c>
      <c r="D688" s="8">
        <v>-1.6840506224230944E-2</v>
      </c>
      <c r="E688" s="7">
        <v>-1.4990516053215155E-2</v>
      </c>
      <c r="F688" s="7">
        <v>0</v>
      </c>
      <c r="G688" s="7">
        <v>0</v>
      </c>
      <c r="H688" s="7">
        <v>-1.6236379226863738E-2</v>
      </c>
      <c r="I688" s="7">
        <v>2.2872089329671663E-2</v>
      </c>
      <c r="J688" s="7">
        <v>0</v>
      </c>
      <c r="K688" s="7">
        <v>0</v>
      </c>
      <c r="L688">
        <v>0.66775267347450074</v>
      </c>
      <c r="M688">
        <v>-4.3295774383228357E-3</v>
      </c>
      <c r="N688" s="9"/>
      <c r="O688" s="3">
        <f>L688-M688</f>
        <v>0.67208225091282359</v>
      </c>
    </row>
    <row r="689" spans="1:15">
      <c r="A689" s="7" t="s">
        <v>185</v>
      </c>
      <c r="B689" s="8">
        <v>-2.4772611105726599</v>
      </c>
      <c r="C689" s="8">
        <v>1.0605572692523213</v>
      </c>
      <c r="D689" s="8">
        <v>3.9812674620544719E-2</v>
      </c>
      <c r="E689" s="7">
        <v>0</v>
      </c>
      <c r="F689" s="7">
        <v>-1.4990516053215155E-2</v>
      </c>
      <c r="G689" s="7">
        <v>0</v>
      </c>
      <c r="H689" s="7">
        <v>-1.6236379226863738E-2</v>
      </c>
      <c r="I689" s="7">
        <v>0</v>
      </c>
      <c r="J689" s="7">
        <v>1.5970575730977998E-2</v>
      </c>
      <c r="K689" s="7">
        <v>0</v>
      </c>
      <c r="L689">
        <v>3.6315946901900351</v>
      </c>
      <c r="M689">
        <v>1.4282283579643661E-4</v>
      </c>
      <c r="N689" s="9"/>
      <c r="O689" s="3">
        <f>L689-M689</f>
        <v>3.6314518673542389</v>
      </c>
    </row>
    <row r="690" spans="1:15">
      <c r="A690" s="7"/>
      <c r="B690" s="8">
        <v>-1.4675604394566215</v>
      </c>
      <c r="C690" s="8">
        <v>1.3235781323919831</v>
      </c>
      <c r="D690" s="8">
        <v>-0.72564008456612294</v>
      </c>
      <c r="E690" s="7">
        <v>0</v>
      </c>
      <c r="F690" s="7">
        <v>0</v>
      </c>
      <c r="G690" s="7">
        <v>-1.4990516053215155E-2</v>
      </c>
      <c r="H690" s="7">
        <v>-1.6236379226863738E-2</v>
      </c>
      <c r="I690" s="7">
        <v>0</v>
      </c>
      <c r="J690" s="7">
        <v>0</v>
      </c>
      <c r="K690" s="7">
        <v>2.0521745021313972E-2</v>
      </c>
      <c r="L690">
        <v>2.216073124166746</v>
      </c>
      <c r="M690">
        <v>-2.6280192231014289E-3</v>
      </c>
      <c r="N690" s="9"/>
      <c r="O690" s="3">
        <f>L690-M690</f>
        <v>2.2187011433898474</v>
      </c>
    </row>
    <row r="691" spans="1:15">
      <c r="A691" s="7"/>
      <c r="B691" s="8"/>
      <c r="C691" s="8"/>
      <c r="D691" s="8"/>
      <c r="E691" s="7"/>
      <c r="F691" s="7"/>
      <c r="G691" s="7"/>
      <c r="H691" s="7"/>
      <c r="I691" s="7"/>
      <c r="J691" s="7"/>
      <c r="K691" s="7"/>
      <c r="N691" s="10"/>
      <c r="O691" s="3"/>
    </row>
    <row r="692" spans="1:15">
      <c r="A692" s="7"/>
      <c r="B692" s="8">
        <v>-0.40019020491700363</v>
      </c>
      <c r="C692" s="8">
        <v>-1.0840062473010013</v>
      </c>
      <c r="D692" s="8">
        <v>-1.6840506224230944E-2</v>
      </c>
      <c r="E692" s="7">
        <v>-1.4990516053215155E-2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>
        <v>0.66775267347450074</v>
      </c>
      <c r="M692">
        <v>0</v>
      </c>
      <c r="N692" s="9"/>
      <c r="O692" s="3">
        <f>L692-M692</f>
        <v>0.66775267347450074</v>
      </c>
    </row>
    <row r="693" spans="1:15">
      <c r="A693" s="7" t="s">
        <v>186</v>
      </c>
      <c r="B693" s="8">
        <v>-0.85843073718374274</v>
      </c>
      <c r="C693" s="8">
        <v>1.040962775001312</v>
      </c>
      <c r="D693" s="8">
        <v>-3.7610117674176324E-2</v>
      </c>
      <c r="E693" s="7">
        <v>0</v>
      </c>
      <c r="F693" s="7">
        <v>-1.4990516053215155E-2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>
        <v>0.91096067521586066</v>
      </c>
      <c r="M693">
        <v>0</v>
      </c>
      <c r="N693" s="9"/>
      <c r="O693" s="3">
        <f>L693-M693</f>
        <v>0.91096067521586066</v>
      </c>
    </row>
    <row r="694" spans="1:15">
      <c r="A694" s="7"/>
      <c r="B694" s="8">
        <v>-1.4675604394566215</v>
      </c>
      <c r="C694" s="8">
        <v>1.3235781323919831</v>
      </c>
      <c r="D694" s="8">
        <v>-0.72564008456612294</v>
      </c>
      <c r="E694" s="7">
        <v>0</v>
      </c>
      <c r="F694" s="7">
        <v>0</v>
      </c>
      <c r="G694" s="7">
        <v>-1.4990516053215155E-2</v>
      </c>
      <c r="H694" s="7">
        <v>0</v>
      </c>
      <c r="I694" s="7">
        <v>0</v>
      </c>
      <c r="J694" s="7">
        <v>0</v>
      </c>
      <c r="K694" s="7">
        <v>0</v>
      </c>
      <c r="L694">
        <v>2.216073124166746</v>
      </c>
      <c r="M694">
        <v>0</v>
      </c>
      <c r="N694" s="9"/>
      <c r="O694" s="3">
        <f>L694-M694</f>
        <v>2.216073124166746</v>
      </c>
    </row>
    <row r="695" spans="1:15">
      <c r="A695" s="7"/>
      <c r="B695" s="8"/>
      <c r="C695" s="8"/>
      <c r="D695" s="8"/>
      <c r="E695" s="7"/>
      <c r="F695" s="7"/>
      <c r="G695" s="7"/>
      <c r="H695" s="7"/>
      <c r="I695" s="7"/>
      <c r="J695" s="7"/>
      <c r="K695" s="7"/>
      <c r="N695" s="10"/>
      <c r="O695" s="3"/>
    </row>
    <row r="696" spans="1:15">
      <c r="A696" s="7"/>
      <c r="B696" s="8">
        <v>-2.8449497700634536</v>
      </c>
      <c r="C696" s="8">
        <v>-0.22852225552422287</v>
      </c>
      <c r="D696" s="8">
        <v>-6.9737163040410666E-2</v>
      </c>
      <c r="E696" s="7">
        <v>-1.4990516053215155E-2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>
        <v>4.0754124436814498</v>
      </c>
      <c r="M696">
        <v>0</v>
      </c>
      <c r="N696" s="9"/>
      <c r="O696" s="3">
        <f>L696-M696</f>
        <v>4.0754124436814498</v>
      </c>
    </row>
    <row r="697" spans="1:15">
      <c r="A697" s="7" t="s">
        <v>187</v>
      </c>
      <c r="B697" s="8">
        <v>-2.4772611105726599</v>
      </c>
      <c r="C697" s="8">
        <v>1.0605572692523213</v>
      </c>
      <c r="D697" s="8">
        <v>3.9812674620544719E-2</v>
      </c>
      <c r="E697" s="7">
        <v>0</v>
      </c>
      <c r="F697" s="7">
        <v>-1.4990516053215155E-2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>
        <v>3.6315946901900351</v>
      </c>
      <c r="M697">
        <v>0</v>
      </c>
      <c r="N697" s="9"/>
      <c r="O697" s="3">
        <f>L697-M697</f>
        <v>3.6315946901900351</v>
      </c>
    </row>
    <row r="698" spans="1:15">
      <c r="A698" s="7"/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0</v>
      </c>
      <c r="G698" s="7">
        <v>-1.4990516053215155E-2</v>
      </c>
      <c r="H698" s="7">
        <v>0</v>
      </c>
      <c r="I698" s="7">
        <v>0</v>
      </c>
      <c r="J698" s="7">
        <v>0</v>
      </c>
      <c r="K698" s="7">
        <v>0</v>
      </c>
      <c r="L698">
        <v>0.91096067521586066</v>
      </c>
      <c r="M698">
        <v>0</v>
      </c>
      <c r="N698" s="9"/>
      <c r="O698" s="3">
        <f>L698-M698</f>
        <v>0.91096067521586066</v>
      </c>
    </row>
    <row r="699" spans="1:15">
      <c r="A699" s="7"/>
      <c r="B699" s="8"/>
      <c r="C699" s="8"/>
      <c r="D699" s="8"/>
      <c r="E699" s="7"/>
      <c r="F699" s="7"/>
      <c r="G699" s="7"/>
      <c r="H699" s="7"/>
      <c r="I699" s="7"/>
      <c r="J699" s="7"/>
      <c r="K699" s="7"/>
      <c r="N699" s="10"/>
      <c r="O699" s="3"/>
    </row>
    <row r="700" spans="1:15">
      <c r="A700" s="7"/>
      <c r="B700" s="8">
        <v>-2.8449497700634536</v>
      </c>
      <c r="C700" s="8">
        <v>-0.22852225552422287</v>
      </c>
      <c r="D700" s="8">
        <v>-6.9737163040410666E-2</v>
      </c>
      <c r="E700" s="7">
        <v>-1.4990516053215155E-2</v>
      </c>
      <c r="F700" s="7">
        <v>0</v>
      </c>
      <c r="G700" s="7">
        <v>0</v>
      </c>
      <c r="H700" s="7">
        <v>-1.6236379226863738E-2</v>
      </c>
      <c r="I700" s="7">
        <v>2.2385887789414392E-2</v>
      </c>
      <c r="J700" s="7">
        <v>0</v>
      </c>
      <c r="K700" s="7">
        <v>0</v>
      </c>
      <c r="L700">
        <v>4.0754124436814498</v>
      </c>
      <c r="M700">
        <v>-3.9624652814939246E-3</v>
      </c>
      <c r="N700" s="9"/>
      <c r="O700" s="3">
        <f>L700-M700</f>
        <v>4.0793749089629436</v>
      </c>
    </row>
    <row r="701" spans="1:15">
      <c r="A701" s="7" t="s">
        <v>188</v>
      </c>
      <c r="B701" s="8">
        <v>-2.4772611105726599</v>
      </c>
      <c r="C701" s="8">
        <v>1.0605572692523213</v>
      </c>
      <c r="D701" s="8">
        <v>3.9812674620544719E-2</v>
      </c>
      <c r="E701" s="7">
        <v>0</v>
      </c>
      <c r="F701" s="7">
        <v>-1.4990516053215155E-2</v>
      </c>
      <c r="G701" s="7">
        <v>0</v>
      </c>
      <c r="H701" s="7">
        <v>-1.6236379226863738E-2</v>
      </c>
      <c r="I701" s="7">
        <v>0</v>
      </c>
      <c r="J701" s="7">
        <v>1.5970575730977998E-2</v>
      </c>
      <c r="K701" s="7">
        <v>0</v>
      </c>
      <c r="L701">
        <v>3.6315946901900351</v>
      </c>
      <c r="M701">
        <v>1.4282283579643661E-4</v>
      </c>
      <c r="N701" s="9"/>
      <c r="O701" s="3">
        <f>L701-M701</f>
        <v>3.6314518673542389</v>
      </c>
    </row>
    <row r="702" spans="1:15">
      <c r="A702" s="7"/>
      <c r="B702" s="8">
        <v>-1.4675604394566215</v>
      </c>
      <c r="C702" s="8">
        <v>1.3235781323919831</v>
      </c>
      <c r="D702" s="8">
        <v>-0.72564008456612294</v>
      </c>
      <c r="E702" s="7">
        <v>0</v>
      </c>
      <c r="F702" s="7">
        <v>0</v>
      </c>
      <c r="G702" s="7">
        <v>-1.4990516053215155E-2</v>
      </c>
      <c r="H702" s="7">
        <v>-1.6236379226863738E-2</v>
      </c>
      <c r="I702" s="7">
        <v>0</v>
      </c>
      <c r="J702" s="7">
        <v>0</v>
      </c>
      <c r="K702" s="7">
        <v>2.0521745021313972E-2</v>
      </c>
      <c r="L702">
        <v>2.216073124166746</v>
      </c>
      <c r="M702">
        <v>-2.6280192231014289E-3</v>
      </c>
      <c r="N702" s="9"/>
      <c r="O702" s="3">
        <f>L702-M702</f>
        <v>2.2187011433898474</v>
      </c>
    </row>
    <row r="703" spans="1:15">
      <c r="A703" s="7"/>
      <c r="B703" s="8"/>
      <c r="C703" s="8"/>
      <c r="D703" s="8"/>
      <c r="E703" s="7"/>
      <c r="F703" s="7"/>
      <c r="G703" s="7"/>
      <c r="H703" s="7"/>
      <c r="I703" s="7"/>
      <c r="J703" s="7"/>
      <c r="K703" s="7"/>
      <c r="N703" s="10"/>
      <c r="O703" s="3"/>
    </row>
    <row r="704" spans="1:15">
      <c r="A704" s="7"/>
      <c r="B704" s="8">
        <v>-2.8449497700634536</v>
      </c>
      <c r="C704" s="8">
        <v>-0.22852225552422287</v>
      </c>
      <c r="D704" s="8">
        <v>-6.9737163040410666E-2</v>
      </c>
      <c r="E704" s="7">
        <v>-1.4990516053215155E-2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>
        <v>4.0754124436814498</v>
      </c>
      <c r="M704">
        <v>0</v>
      </c>
      <c r="N704" s="9"/>
      <c r="O704" s="3">
        <f>L704-M704</f>
        <v>4.0754124436814498</v>
      </c>
    </row>
    <row r="705" spans="1:15">
      <c r="A705" s="7" t="s">
        <v>189</v>
      </c>
      <c r="B705" s="8">
        <v>-0.85843073718374274</v>
      </c>
      <c r="C705" s="8">
        <v>1.040962775001312</v>
      </c>
      <c r="D705" s="8">
        <v>-3.7610117674176324E-2</v>
      </c>
      <c r="E705" s="7">
        <v>0</v>
      </c>
      <c r="F705" s="7">
        <v>-1.4990516053215155E-2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>
        <v>0.91096067521586066</v>
      </c>
      <c r="M705">
        <v>0</v>
      </c>
      <c r="N705" s="9"/>
      <c r="O705" s="3">
        <f>L705-M705</f>
        <v>0.91096067521586066</v>
      </c>
    </row>
    <row r="706" spans="1:15">
      <c r="A706" s="7"/>
      <c r="B706" s="8">
        <v>-1.4675604394566215</v>
      </c>
      <c r="C706" s="8">
        <v>1.3235781323919831</v>
      </c>
      <c r="D706" s="8">
        <v>-0.72564008456612294</v>
      </c>
      <c r="E706" s="7">
        <v>0</v>
      </c>
      <c r="F706" s="7">
        <v>0</v>
      </c>
      <c r="G706" s="7">
        <v>-1.4990516053215155E-2</v>
      </c>
      <c r="H706" s="7">
        <v>0</v>
      </c>
      <c r="I706" s="7">
        <v>0</v>
      </c>
      <c r="J706" s="7">
        <v>0</v>
      </c>
      <c r="K706" s="7">
        <v>0</v>
      </c>
      <c r="L706">
        <v>2.216073124166746</v>
      </c>
      <c r="M706">
        <v>0</v>
      </c>
      <c r="N706" s="9"/>
      <c r="O706" s="3">
        <f>L706-M706</f>
        <v>2.216073124166746</v>
      </c>
    </row>
    <row r="707" spans="1:15">
      <c r="A707" s="7"/>
      <c r="B707" s="8"/>
      <c r="C707" s="8"/>
      <c r="D707" s="8"/>
      <c r="E707" s="7"/>
      <c r="F707" s="7"/>
      <c r="G707" s="7"/>
      <c r="H707" s="7"/>
      <c r="I707" s="7"/>
      <c r="J707" s="7"/>
      <c r="K707" s="7"/>
      <c r="N707" s="10"/>
      <c r="O707" s="3"/>
    </row>
    <row r="708" spans="1:15">
      <c r="A708" s="7"/>
      <c r="B708" s="8">
        <v>-2.4772611105726599</v>
      </c>
      <c r="C708" s="8">
        <v>1.0605572692523213</v>
      </c>
      <c r="D708" s="8">
        <v>3.9812674620544719E-2</v>
      </c>
      <c r="E708" s="7">
        <v>-1.4990516053215155E-2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>
        <v>3.6315946901900351</v>
      </c>
      <c r="M708">
        <v>0</v>
      </c>
      <c r="N708" s="9"/>
      <c r="O708" s="3">
        <f>L708-M708</f>
        <v>3.6315946901900351</v>
      </c>
    </row>
    <row r="709" spans="1:15">
      <c r="A709" s="7" t="s">
        <v>190</v>
      </c>
      <c r="B709" s="8">
        <v>-0.85843073718374274</v>
      </c>
      <c r="C709" s="8">
        <v>1.040962775001312</v>
      </c>
      <c r="D709" s="8">
        <v>-3.7610117674176324E-2</v>
      </c>
      <c r="E709" s="7">
        <v>0</v>
      </c>
      <c r="F709" s="7">
        <v>-1.4990516053215155E-2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>
        <v>0.91096067521586066</v>
      </c>
      <c r="M709">
        <v>0</v>
      </c>
      <c r="N709" s="9"/>
      <c r="O709" s="3">
        <f>L709-M709</f>
        <v>0.91096067521586066</v>
      </c>
    </row>
    <row r="710" spans="1:15">
      <c r="A710" s="7"/>
      <c r="B710" s="8">
        <v>-1.4675604394566215</v>
      </c>
      <c r="C710" s="8">
        <v>1.3235781323919831</v>
      </c>
      <c r="D710" s="8">
        <v>-0.72564008456612294</v>
      </c>
      <c r="E710" s="7">
        <v>0</v>
      </c>
      <c r="F710" s="7">
        <v>0</v>
      </c>
      <c r="G710" s="7">
        <v>-1.4990516053215155E-2</v>
      </c>
      <c r="H710" s="7">
        <v>0</v>
      </c>
      <c r="I710" s="7">
        <v>0</v>
      </c>
      <c r="J710" s="7">
        <v>0</v>
      </c>
      <c r="K710" s="7">
        <v>0</v>
      </c>
      <c r="L710">
        <v>2.216073124166746</v>
      </c>
      <c r="M710">
        <v>0</v>
      </c>
      <c r="N710" s="9"/>
      <c r="O710" s="3">
        <f>L710-M710</f>
        <v>2.216073124166746</v>
      </c>
    </row>
    <row r="711" spans="1:15">
      <c r="A711" s="7"/>
      <c r="B711" s="8"/>
      <c r="C711" s="8"/>
      <c r="D711" s="8"/>
      <c r="E711" s="7"/>
      <c r="F711" s="7"/>
      <c r="G711" s="7"/>
      <c r="H711" s="7"/>
      <c r="I711" s="7"/>
      <c r="J711" s="7"/>
      <c r="K711" s="7"/>
      <c r="N711" s="10"/>
      <c r="O711" s="3"/>
    </row>
    <row r="712" spans="1:15">
      <c r="A712" s="7"/>
      <c r="B712" s="8">
        <v>1.0351585166444348</v>
      </c>
      <c r="C712" s="8">
        <v>-2.1037449841221099</v>
      </c>
      <c r="D712" s="8">
        <v>-0.82913701269133588</v>
      </c>
      <c r="E712" s="7">
        <v>-1.4990516053215155E-2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>
        <v>3.0923821493075776</v>
      </c>
      <c r="M712">
        <v>0</v>
      </c>
      <c r="N712" s="9"/>
      <c r="O712" s="3">
        <f>L712-M712</f>
        <v>3.0923821493075776</v>
      </c>
    </row>
    <row r="713" spans="1:15">
      <c r="A713" s="7" t="s">
        <v>191</v>
      </c>
      <c r="B713" s="8">
        <v>-0.21871711292247331</v>
      </c>
      <c r="C713" s="8">
        <v>-2.1363371502498802</v>
      </c>
      <c r="D713" s="8">
        <v>-8.9790398854103559E-2</v>
      </c>
      <c r="E713" s="7">
        <v>0</v>
      </c>
      <c r="F713" s="7">
        <v>-1.4990516053215155E-2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>
        <v>2.3099179553746505</v>
      </c>
      <c r="M713">
        <v>0</v>
      </c>
      <c r="N713" s="9"/>
      <c r="O713" s="3">
        <f>L713-M713</f>
        <v>2.3099179553746505</v>
      </c>
    </row>
    <row r="714" spans="1:15">
      <c r="A714" s="7"/>
      <c r="B714" s="8">
        <v>2.0770709056556562</v>
      </c>
      <c r="C714" s="8">
        <v>-2.1445635165533226</v>
      </c>
      <c r="D714" s="8">
        <v>-5.6653180844775664E-2</v>
      </c>
      <c r="E714" s="7">
        <v>0</v>
      </c>
      <c r="F714" s="7">
        <v>0</v>
      </c>
      <c r="G714" s="7">
        <v>-1.4990516053215155E-2</v>
      </c>
      <c r="H714" s="7">
        <v>0</v>
      </c>
      <c r="I714" s="7">
        <v>0</v>
      </c>
      <c r="J714" s="7">
        <v>0</v>
      </c>
      <c r="K714" s="7">
        <v>0</v>
      </c>
      <c r="L714">
        <v>4.4582929032762966</v>
      </c>
      <c r="M714">
        <v>0</v>
      </c>
      <c r="N714" s="9"/>
      <c r="O714" s="3">
        <f>L714-M714</f>
        <v>4.4582929032762966</v>
      </c>
    </row>
    <row r="715" spans="1:15">
      <c r="A715" s="7"/>
      <c r="B715" s="8"/>
      <c r="C715" s="8"/>
      <c r="D715" s="8"/>
      <c r="E715" s="7"/>
      <c r="F715" s="7"/>
      <c r="G715" s="7"/>
      <c r="H715" s="7"/>
      <c r="I715" s="7"/>
      <c r="J715" s="7"/>
      <c r="K715" s="7"/>
      <c r="N715" s="10"/>
      <c r="O715" s="3"/>
    </row>
    <row r="716" spans="1:15">
      <c r="A716" s="7"/>
      <c r="B716" s="8">
        <v>1.0351585166444348</v>
      </c>
      <c r="C716" s="8">
        <v>-2.1037449841221099</v>
      </c>
      <c r="D716" s="8">
        <v>-0.82913701269133588</v>
      </c>
      <c r="E716" s="7">
        <v>-1.4990516053215155E-2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>
        <v>3.0923821493075776</v>
      </c>
      <c r="M716">
        <v>0</v>
      </c>
      <c r="N716" s="9"/>
      <c r="O716" s="3">
        <f>L716-M716</f>
        <v>3.0923821493075776</v>
      </c>
    </row>
    <row r="717" spans="1:15">
      <c r="A717" s="7" t="s">
        <v>192</v>
      </c>
      <c r="B717" s="8">
        <v>-0.21871711292247331</v>
      </c>
      <c r="C717" s="8">
        <v>-2.1363371502498802</v>
      </c>
      <c r="D717" s="8">
        <v>-8.9790398854103559E-2</v>
      </c>
      <c r="E717" s="7">
        <v>0</v>
      </c>
      <c r="F717" s="7">
        <v>-1.4990516053215155E-2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>
        <v>2.3099179553746505</v>
      </c>
      <c r="M717">
        <v>0</v>
      </c>
      <c r="N717" s="9"/>
      <c r="O717" s="3">
        <f>L717-M717</f>
        <v>2.3099179553746505</v>
      </c>
    </row>
    <row r="718" spans="1:15">
      <c r="A718" s="7"/>
      <c r="B718" s="8">
        <v>-0.36768865949079377</v>
      </c>
      <c r="C718" s="8">
        <v>-1.2890795247765441</v>
      </c>
      <c r="D718" s="8">
        <v>-0.10954983766095538</v>
      </c>
      <c r="E718" s="7">
        <v>0</v>
      </c>
      <c r="F718" s="7">
        <v>0</v>
      </c>
      <c r="G718" s="7">
        <v>-1.4990516053215155E-2</v>
      </c>
      <c r="H718" s="7">
        <v>0</v>
      </c>
      <c r="I718" s="7">
        <v>0</v>
      </c>
      <c r="J718" s="7">
        <v>0</v>
      </c>
      <c r="K718" s="7">
        <v>0</v>
      </c>
      <c r="L718">
        <v>0.90446106922389957</v>
      </c>
      <c r="M718">
        <v>0</v>
      </c>
      <c r="N718" s="9"/>
      <c r="O718" s="3">
        <f>L718-M718</f>
        <v>0.90446106922389957</v>
      </c>
    </row>
    <row r="719" spans="1:15">
      <c r="A719" s="7"/>
      <c r="B719" s="8"/>
      <c r="C719" s="8"/>
      <c r="D719" s="8"/>
      <c r="E719" s="7"/>
      <c r="F719" s="7"/>
      <c r="G719" s="7"/>
      <c r="H719" s="7"/>
      <c r="I719" s="7"/>
      <c r="J719" s="7"/>
      <c r="K719" s="7"/>
      <c r="N719" s="10"/>
      <c r="O719" s="3"/>
    </row>
    <row r="720" spans="1:15">
      <c r="A720" s="7"/>
      <c r="B720" s="8">
        <v>1.0351585166444348</v>
      </c>
      <c r="C720" s="8">
        <v>-2.1037449841221099</v>
      </c>
      <c r="D720" s="8">
        <v>-0.82913701269133588</v>
      </c>
      <c r="E720" s="7">
        <v>-1.4990516053215155E-2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>
        <v>3.0923821493075776</v>
      </c>
      <c r="M720">
        <v>0</v>
      </c>
      <c r="N720" s="9"/>
      <c r="O720" s="3">
        <f>L720-M720</f>
        <v>3.0923821493075776</v>
      </c>
    </row>
    <row r="721" spans="1:15">
      <c r="A721" s="7" t="s">
        <v>193</v>
      </c>
      <c r="B721" s="8">
        <v>-0.21871711292247331</v>
      </c>
      <c r="C721" s="8">
        <v>-2.1363371502498802</v>
      </c>
      <c r="D721" s="8">
        <v>-8.9790398854103559E-2</v>
      </c>
      <c r="E721" s="7">
        <v>0</v>
      </c>
      <c r="F721" s="7">
        <v>-1.4990516053215155E-2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>
        <v>2.3099179553746505</v>
      </c>
      <c r="M721">
        <v>0</v>
      </c>
      <c r="N721" s="9"/>
      <c r="O721" s="3">
        <f>L721-M721</f>
        <v>2.3099179553746505</v>
      </c>
    </row>
    <row r="722" spans="1:15">
      <c r="A722" s="7"/>
      <c r="B722" s="8">
        <v>2.4772611105726599</v>
      </c>
      <c r="C722" s="8">
        <v>-1.0605572692523213</v>
      </c>
      <c r="D722" s="8">
        <v>-3.9812674620544719E-2</v>
      </c>
      <c r="E722" s="7">
        <v>0</v>
      </c>
      <c r="F722" s="7">
        <v>0</v>
      </c>
      <c r="G722" s="7">
        <v>-1.4990516053215155E-2</v>
      </c>
      <c r="H722" s="7">
        <v>0</v>
      </c>
      <c r="I722" s="7">
        <v>0</v>
      </c>
      <c r="J722" s="7">
        <v>0</v>
      </c>
      <c r="K722" s="7">
        <v>0</v>
      </c>
      <c r="L722">
        <v>3.6315946901900351</v>
      </c>
      <c r="M722">
        <v>0</v>
      </c>
      <c r="N722" s="9"/>
      <c r="O722" s="3">
        <f>L722-M722</f>
        <v>3.6315946901900351</v>
      </c>
    </row>
    <row r="723" spans="1:15">
      <c r="A723" s="7"/>
      <c r="B723" s="8"/>
      <c r="C723" s="8"/>
      <c r="D723" s="8"/>
      <c r="E723" s="7"/>
      <c r="F723" s="7"/>
      <c r="G723" s="7"/>
      <c r="H723" s="7"/>
      <c r="I723" s="7"/>
      <c r="J723" s="7"/>
      <c r="K723" s="7"/>
      <c r="N723" s="10"/>
      <c r="O723" s="3"/>
    </row>
    <row r="724" spans="1:15">
      <c r="A724" s="7"/>
      <c r="B724" s="8">
        <v>1.0351585166444348</v>
      </c>
      <c r="C724" s="8">
        <v>-2.1037449841221099</v>
      </c>
      <c r="D724" s="8">
        <v>-0.82913701269133588</v>
      </c>
      <c r="E724" s="7">
        <v>-1.4990516053215155E-2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>
        <v>3.0923821493075776</v>
      </c>
      <c r="M724">
        <v>0</v>
      </c>
      <c r="N724" s="9"/>
      <c r="O724" s="3">
        <f>L724-M724</f>
        <v>3.0923821493075776</v>
      </c>
    </row>
    <row r="725" spans="1:15">
      <c r="A725" s="7" t="s">
        <v>194</v>
      </c>
      <c r="B725" s="8">
        <v>-0.21871711292247331</v>
      </c>
      <c r="C725" s="8">
        <v>-2.1363371502498802</v>
      </c>
      <c r="D725" s="8">
        <v>-8.9790398854103559E-2</v>
      </c>
      <c r="E725" s="7">
        <v>0</v>
      </c>
      <c r="F725" s="7">
        <v>-1.4990516053215155E-2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>
        <v>2.3099179553746505</v>
      </c>
      <c r="M725">
        <v>0</v>
      </c>
      <c r="N725" s="9"/>
      <c r="O725" s="3">
        <f>L725-M725</f>
        <v>2.3099179553746505</v>
      </c>
    </row>
    <row r="726" spans="1:15">
      <c r="A726" s="7"/>
      <c r="B726" s="8">
        <v>1.6188303733889171</v>
      </c>
      <c r="C726" s="8">
        <v>-1.9594494251009342E-2</v>
      </c>
      <c r="D726" s="8">
        <v>-7.7422792294721043E-2</v>
      </c>
      <c r="E726" s="7">
        <v>0</v>
      </c>
      <c r="F726" s="7">
        <v>0</v>
      </c>
      <c r="G726" s="7">
        <v>-1.4990516053215155E-2</v>
      </c>
      <c r="H726" s="7">
        <v>0</v>
      </c>
      <c r="I726" s="7">
        <v>0</v>
      </c>
      <c r="J726" s="7">
        <v>0</v>
      </c>
      <c r="K726" s="7">
        <v>0</v>
      </c>
      <c r="L726">
        <v>1.3134950053890826</v>
      </c>
      <c r="M726">
        <v>0</v>
      </c>
      <c r="N726" s="9"/>
      <c r="O726" s="3">
        <f>L726-M726</f>
        <v>1.3134950053890826</v>
      </c>
    </row>
    <row r="727" spans="1:15">
      <c r="A727" s="7"/>
      <c r="B727" s="8"/>
      <c r="C727" s="8"/>
      <c r="D727" s="8"/>
      <c r="E727" s="7"/>
      <c r="F727" s="7"/>
      <c r="G727" s="7"/>
      <c r="H727" s="7"/>
      <c r="I727" s="7"/>
      <c r="J727" s="7"/>
      <c r="K727" s="7"/>
      <c r="N727" s="10"/>
      <c r="O727" s="3"/>
    </row>
    <row r="728" spans="1:15">
      <c r="A728" s="7"/>
      <c r="B728" s="8">
        <v>1.0351585166444348</v>
      </c>
      <c r="C728" s="8">
        <v>-2.1037449841221099</v>
      </c>
      <c r="D728" s="8">
        <v>-0.82913701269133588</v>
      </c>
      <c r="E728" s="7">
        <v>-1.4990516053215155E-2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>
        <v>3.0923821493075776</v>
      </c>
      <c r="M728">
        <v>0</v>
      </c>
      <c r="N728" s="9"/>
      <c r="O728" s="3">
        <f>L728-M728</f>
        <v>3.0923821493075776</v>
      </c>
    </row>
    <row r="729" spans="1:15">
      <c r="A729" s="7" t="s">
        <v>195</v>
      </c>
      <c r="B729" s="8">
        <v>-0.21871711292247331</v>
      </c>
      <c r="C729" s="8">
        <v>-2.1363371502498802</v>
      </c>
      <c r="D729" s="8">
        <v>-8.9790398854103559E-2</v>
      </c>
      <c r="E729" s="7">
        <v>0</v>
      </c>
      <c r="F729" s="7">
        <v>-1.4990516053215155E-2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>
        <v>2.3099179553746505</v>
      </c>
      <c r="M729">
        <v>0</v>
      </c>
      <c r="N729" s="9"/>
      <c r="O729" s="3">
        <f>L729-M729</f>
        <v>2.3099179553746505</v>
      </c>
    </row>
    <row r="730" spans="1:15">
      <c r="A730" s="7"/>
      <c r="B730" s="8">
        <v>1.0097006711160386</v>
      </c>
      <c r="C730" s="8">
        <v>0.26302086313966178</v>
      </c>
      <c r="D730" s="8">
        <v>-0.76545275918666766</v>
      </c>
      <c r="E730" s="7">
        <v>0</v>
      </c>
      <c r="F730" s="7">
        <v>0</v>
      </c>
      <c r="G730" s="7">
        <v>-1.4990516053215155E-2</v>
      </c>
      <c r="H730" s="7">
        <v>0</v>
      </c>
      <c r="I730" s="7">
        <v>0</v>
      </c>
      <c r="J730" s="7">
        <v>0</v>
      </c>
      <c r="K730" s="7">
        <v>0</v>
      </c>
      <c r="L730">
        <v>0.83729667312269707</v>
      </c>
      <c r="M730">
        <v>0</v>
      </c>
      <c r="N730" s="9"/>
      <c r="O730" s="3">
        <f>L730-M730</f>
        <v>0.83729667312269707</v>
      </c>
    </row>
    <row r="731" spans="1:15">
      <c r="A731" s="7"/>
      <c r="B731" s="8"/>
      <c r="C731" s="8"/>
      <c r="D731" s="8"/>
      <c r="E731" s="7"/>
      <c r="F731" s="7"/>
      <c r="G731" s="7"/>
      <c r="H731" s="7"/>
      <c r="I731" s="7"/>
      <c r="J731" s="7"/>
      <c r="K731" s="7"/>
      <c r="N731" s="10"/>
      <c r="O731" s="3"/>
    </row>
    <row r="732" spans="1:15">
      <c r="A732" s="7"/>
      <c r="B732" s="8">
        <v>1.0351585166444348</v>
      </c>
      <c r="C732" s="8">
        <v>-2.1037449841221099</v>
      </c>
      <c r="D732" s="8">
        <v>-0.82913701269133588</v>
      </c>
      <c r="E732" s="7">
        <v>-1.4990516053215155E-2</v>
      </c>
      <c r="F732" s="7">
        <v>0</v>
      </c>
      <c r="G732" s="7">
        <v>0</v>
      </c>
      <c r="H732" s="7">
        <v>-1.5970575730977998E-2</v>
      </c>
      <c r="I732" s="7">
        <v>2.1796664656245589E-2</v>
      </c>
      <c r="J732" s="7">
        <v>0</v>
      </c>
      <c r="K732" s="7">
        <v>0</v>
      </c>
      <c r="L732">
        <v>3.0923821493075776</v>
      </c>
      <c r="M732">
        <v>-3.6709600572059457E-3</v>
      </c>
      <c r="N732" s="9"/>
      <c r="O732" s="3">
        <f>L732-M732</f>
        <v>3.0960531093647834</v>
      </c>
    </row>
    <row r="733" spans="1:15">
      <c r="A733" s="7" t="s">
        <v>196</v>
      </c>
      <c r="B733" s="8">
        <v>2.0770709056556562</v>
      </c>
      <c r="C733" s="8">
        <v>-2.1445635165533226</v>
      </c>
      <c r="D733" s="8">
        <v>-5.6653180844775664E-2</v>
      </c>
      <c r="E733" s="7">
        <v>0</v>
      </c>
      <c r="F733" s="7">
        <v>-1.4990516053215155E-2</v>
      </c>
      <c r="G733" s="7">
        <v>0</v>
      </c>
      <c r="H733" s="7">
        <v>-1.5970575730977998E-2</v>
      </c>
      <c r="I733" s="7">
        <v>0</v>
      </c>
      <c r="J733" s="7">
        <v>2.2872089329671663E-2</v>
      </c>
      <c r="K733" s="7">
        <v>0</v>
      </c>
      <c r="L733">
        <v>4.4582929032762966</v>
      </c>
      <c r="M733">
        <v>-4.4724002741192721E-3</v>
      </c>
      <c r="N733" s="9"/>
      <c r="O733" s="3">
        <f>L733-M733</f>
        <v>4.462765303550416</v>
      </c>
    </row>
    <row r="734" spans="1:15">
      <c r="A734" s="7"/>
      <c r="B734" s="8">
        <v>-0.36768865949079377</v>
      </c>
      <c r="C734" s="8">
        <v>-1.2890795247765441</v>
      </c>
      <c r="D734" s="8">
        <v>-0.10954983766095538</v>
      </c>
      <c r="E734" s="7">
        <v>0</v>
      </c>
      <c r="F734" s="7">
        <v>0</v>
      </c>
      <c r="G734" s="7">
        <v>-1.4990516053215155E-2</v>
      </c>
      <c r="H734" s="7">
        <v>-1.5970575730977998E-2</v>
      </c>
      <c r="I734" s="7">
        <v>0</v>
      </c>
      <c r="J734" s="7">
        <v>0</v>
      </c>
      <c r="K734" s="7">
        <v>2.2385887789414392E-2</v>
      </c>
      <c r="L734">
        <v>0.90446106922389957</v>
      </c>
      <c r="M734">
        <v>-4.1052881172903618E-3</v>
      </c>
      <c r="N734" s="9"/>
      <c r="O734" s="3">
        <f>L734-M734</f>
        <v>0.90856635734118996</v>
      </c>
    </row>
    <row r="735" spans="1:15">
      <c r="A735" s="7"/>
      <c r="B735" s="8"/>
      <c r="C735" s="8"/>
      <c r="D735" s="8"/>
      <c r="E735" s="7"/>
      <c r="F735" s="7"/>
      <c r="G735" s="7"/>
      <c r="H735" s="7"/>
      <c r="I735" s="7"/>
      <c r="J735" s="7"/>
      <c r="K735" s="7"/>
      <c r="N735" s="10"/>
      <c r="O735" s="3"/>
    </row>
    <row r="736" spans="1:15">
      <c r="A736" s="7"/>
      <c r="B736" s="8">
        <v>1.0351585166444348</v>
      </c>
      <c r="C736" s="8">
        <v>-2.1037449841221099</v>
      </c>
      <c r="D736" s="8">
        <v>-0.82913701269133588</v>
      </c>
      <c r="E736" s="7">
        <v>-1.4990516053215155E-2</v>
      </c>
      <c r="F736" s="7">
        <v>0</v>
      </c>
      <c r="G736" s="7">
        <v>0</v>
      </c>
      <c r="H736" s="7">
        <v>-1.5970575730977998E-2</v>
      </c>
      <c r="I736" s="7">
        <v>2.1796664656245589E-2</v>
      </c>
      <c r="J736" s="7">
        <v>0</v>
      </c>
      <c r="K736" s="7">
        <v>0</v>
      </c>
      <c r="L736">
        <v>3.0923821493075776</v>
      </c>
      <c r="M736">
        <v>-3.6709600572059457E-3</v>
      </c>
      <c r="N736" s="9"/>
      <c r="O736" s="3">
        <f>L736-M736</f>
        <v>3.0960531093647834</v>
      </c>
    </row>
    <row r="737" spans="1:15">
      <c r="A737" s="7" t="s">
        <v>197</v>
      </c>
      <c r="B737" s="8">
        <v>2.0770709056556562</v>
      </c>
      <c r="C737" s="8">
        <v>-2.1445635165533226</v>
      </c>
      <c r="D737" s="8">
        <v>-5.6653180844775664E-2</v>
      </c>
      <c r="E737" s="7">
        <v>0</v>
      </c>
      <c r="F737" s="7">
        <v>-1.4990516053215155E-2</v>
      </c>
      <c r="G737" s="7">
        <v>0</v>
      </c>
      <c r="H737" s="7">
        <v>-1.5970575730977998E-2</v>
      </c>
      <c r="I737" s="7">
        <v>0</v>
      </c>
      <c r="J737" s="7">
        <v>2.2872089329671663E-2</v>
      </c>
      <c r="K737" s="7">
        <v>0</v>
      </c>
      <c r="L737">
        <v>4.4582929032762966</v>
      </c>
      <c r="M737">
        <v>-4.4724002741192721E-3</v>
      </c>
      <c r="N737" s="9"/>
      <c r="O737" s="3">
        <f>L737-M737</f>
        <v>4.462765303550416</v>
      </c>
    </row>
    <row r="738" spans="1:15">
      <c r="A738" s="7"/>
      <c r="B738" s="8">
        <v>2.4772611105726599</v>
      </c>
      <c r="C738" s="8">
        <v>-1.0605572692523213</v>
      </c>
      <c r="D738" s="8">
        <v>-3.9812674620544719E-2</v>
      </c>
      <c r="E738" s="7">
        <v>0</v>
      </c>
      <c r="F738" s="7">
        <v>0</v>
      </c>
      <c r="G738" s="7">
        <v>-1.4990516053215155E-2</v>
      </c>
      <c r="H738" s="7">
        <v>-1.5970575730977998E-2</v>
      </c>
      <c r="I738" s="7">
        <v>0</v>
      </c>
      <c r="J738" s="7">
        <v>0</v>
      </c>
      <c r="K738" s="7">
        <v>1.6236379226863738E-2</v>
      </c>
      <c r="L738">
        <v>3.6315946901900351</v>
      </c>
      <c r="M738">
        <v>-1.4282283579643661E-4</v>
      </c>
      <c r="N738" s="9"/>
      <c r="O738" s="3">
        <f>L738-M738</f>
        <v>3.6317375130258314</v>
      </c>
    </row>
    <row r="739" spans="1:15">
      <c r="A739" s="7"/>
      <c r="B739" s="8"/>
      <c r="C739" s="8"/>
      <c r="D739" s="8"/>
      <c r="E739" s="7"/>
      <c r="F739" s="7"/>
      <c r="G739" s="7"/>
      <c r="H739" s="7"/>
      <c r="I739" s="7"/>
      <c r="J739" s="7"/>
      <c r="K739" s="7"/>
      <c r="N739" s="10"/>
      <c r="O739" s="3"/>
    </row>
    <row r="740" spans="1:15">
      <c r="A740" s="7"/>
      <c r="B740" s="8">
        <v>1.0351585166444348</v>
      </c>
      <c r="C740" s="8">
        <v>-2.1037449841221099</v>
      </c>
      <c r="D740" s="8">
        <v>-0.82913701269133588</v>
      </c>
      <c r="E740" s="7">
        <v>-1.4990516053215155E-2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>
        <v>3.0923821493075776</v>
      </c>
      <c r="M740">
        <v>0</v>
      </c>
      <c r="N740" s="9"/>
      <c r="O740" s="3">
        <f>L740-M740</f>
        <v>3.0923821493075776</v>
      </c>
    </row>
    <row r="741" spans="1:15">
      <c r="A741" s="7" t="s">
        <v>198</v>
      </c>
      <c r="B741" s="8">
        <v>2.0770709056556562</v>
      </c>
      <c r="C741" s="8">
        <v>-2.1445635165533226</v>
      </c>
      <c r="D741" s="8">
        <v>-5.6653180844775664E-2</v>
      </c>
      <c r="E741" s="7">
        <v>0</v>
      </c>
      <c r="F741" s="7">
        <v>-1.4990516053215155E-2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>
        <v>4.4582929032762966</v>
      </c>
      <c r="M741">
        <v>0</v>
      </c>
      <c r="N741" s="9"/>
      <c r="O741" s="3">
        <f>L741-M741</f>
        <v>4.4582929032762966</v>
      </c>
    </row>
    <row r="742" spans="1:15">
      <c r="A742" s="7"/>
      <c r="B742" s="8">
        <v>1.6188303733889171</v>
      </c>
      <c r="C742" s="8">
        <v>-1.9594494251009342E-2</v>
      </c>
      <c r="D742" s="8">
        <v>-7.7422792294721043E-2</v>
      </c>
      <c r="E742" s="7">
        <v>0</v>
      </c>
      <c r="F742" s="7">
        <v>0</v>
      </c>
      <c r="G742" s="7">
        <v>-1.4990516053215155E-2</v>
      </c>
      <c r="H742" s="7">
        <v>0</v>
      </c>
      <c r="I742" s="7">
        <v>0</v>
      </c>
      <c r="J742" s="7">
        <v>0</v>
      </c>
      <c r="K742" s="7">
        <v>0</v>
      </c>
      <c r="L742">
        <v>1.3134950053890826</v>
      </c>
      <c r="M742">
        <v>0</v>
      </c>
      <c r="N742" s="9"/>
      <c r="O742" s="3">
        <f>L742-M742</f>
        <v>1.3134950053890826</v>
      </c>
    </row>
    <row r="743" spans="1:15">
      <c r="A743" s="7"/>
      <c r="B743" s="8"/>
      <c r="C743" s="8"/>
      <c r="D743" s="8"/>
      <c r="E743" s="7"/>
      <c r="F743" s="7"/>
      <c r="G743" s="7"/>
      <c r="H743" s="7"/>
      <c r="I743" s="7"/>
      <c r="J743" s="7"/>
      <c r="K743" s="7"/>
      <c r="N743" s="10"/>
      <c r="O743" s="3"/>
    </row>
    <row r="744" spans="1:15">
      <c r="A744" s="7"/>
      <c r="B744" s="8">
        <v>1.0351585166444348</v>
      </c>
      <c r="C744" s="8">
        <v>-2.1037449841221099</v>
      </c>
      <c r="D744" s="8">
        <v>-0.82913701269133588</v>
      </c>
      <c r="E744" s="7">
        <v>-1.4990516053215155E-2</v>
      </c>
      <c r="F744" s="7">
        <v>0</v>
      </c>
      <c r="G744" s="7">
        <v>0</v>
      </c>
      <c r="H744" s="7">
        <v>-1.5970575730977998E-2</v>
      </c>
      <c r="I744" s="7">
        <v>2.1796664656245589E-2</v>
      </c>
      <c r="J744" s="7">
        <v>0</v>
      </c>
      <c r="K744" s="7">
        <v>0</v>
      </c>
      <c r="L744">
        <v>3.0923821493075776</v>
      </c>
      <c r="M744">
        <v>-3.6709600572059457E-3</v>
      </c>
      <c r="N744" s="9"/>
      <c r="O744" s="3">
        <f>L744-M744</f>
        <v>3.0960531093647834</v>
      </c>
    </row>
    <row r="745" spans="1:15">
      <c r="A745" s="7" t="s">
        <v>199</v>
      </c>
      <c r="B745" s="8">
        <v>2.0770709056556562</v>
      </c>
      <c r="C745" s="8">
        <v>-2.1445635165533226</v>
      </c>
      <c r="D745" s="8">
        <v>-5.6653180844775664E-2</v>
      </c>
      <c r="E745" s="7">
        <v>0</v>
      </c>
      <c r="F745" s="7">
        <v>-1.4990516053215155E-2</v>
      </c>
      <c r="G745" s="7">
        <v>0</v>
      </c>
      <c r="H745" s="7">
        <v>-1.5970575730977998E-2</v>
      </c>
      <c r="I745" s="7">
        <v>0</v>
      </c>
      <c r="J745" s="7">
        <v>2.2872089329671663E-2</v>
      </c>
      <c r="K745" s="7">
        <v>0</v>
      </c>
      <c r="L745">
        <v>4.4582929032762966</v>
      </c>
      <c r="M745">
        <v>-4.4724002741192721E-3</v>
      </c>
      <c r="N745" s="9"/>
      <c r="O745" s="3">
        <f>L745-M745</f>
        <v>4.462765303550416</v>
      </c>
    </row>
    <row r="746" spans="1:15">
      <c r="A746" s="7"/>
      <c r="B746" s="8">
        <v>1.0097006711160386</v>
      </c>
      <c r="C746" s="8">
        <v>0.26302086313966178</v>
      </c>
      <c r="D746" s="8">
        <v>-0.76545275918666766</v>
      </c>
      <c r="E746" s="7">
        <v>0</v>
      </c>
      <c r="F746" s="7">
        <v>0</v>
      </c>
      <c r="G746" s="7">
        <v>-1.4990516053215155E-2</v>
      </c>
      <c r="H746" s="7">
        <v>-1.5970575730977998E-2</v>
      </c>
      <c r="I746" s="7">
        <v>0</v>
      </c>
      <c r="J746" s="7">
        <v>0</v>
      </c>
      <c r="K746" s="7">
        <v>2.0521745021313972E-2</v>
      </c>
      <c r="L746">
        <v>0.83729667312269707</v>
      </c>
      <c r="M746">
        <v>-2.7708420588978652E-3</v>
      </c>
      <c r="N746" s="9"/>
      <c r="O746" s="3">
        <f>L746-M746</f>
        <v>0.84006751518159495</v>
      </c>
    </row>
    <row r="747" spans="1:15">
      <c r="A747" s="7"/>
      <c r="B747" s="8"/>
      <c r="C747" s="8"/>
      <c r="D747" s="8"/>
      <c r="E747" s="7"/>
      <c r="F747" s="7"/>
      <c r="G747" s="7"/>
      <c r="H747" s="7"/>
      <c r="I747" s="7"/>
      <c r="J747" s="7"/>
      <c r="K747" s="7"/>
      <c r="N747" s="10"/>
      <c r="O747" s="3"/>
    </row>
    <row r="748" spans="1:15">
      <c r="A748" s="7"/>
      <c r="B748" s="8">
        <v>1.0351585166444348</v>
      </c>
      <c r="C748" s="8">
        <v>-2.1037449841221099</v>
      </c>
      <c r="D748" s="8">
        <v>-0.82913701269133588</v>
      </c>
      <c r="E748" s="7">
        <v>-1.4990516053215155E-2</v>
      </c>
      <c r="F748" s="7">
        <v>0</v>
      </c>
      <c r="G748" s="7">
        <v>0</v>
      </c>
      <c r="H748" s="7">
        <v>-1.5970575730977998E-2</v>
      </c>
      <c r="I748" s="7">
        <v>2.1796664656245589E-2</v>
      </c>
      <c r="J748" s="7">
        <v>0</v>
      </c>
      <c r="K748" s="7">
        <v>0</v>
      </c>
      <c r="L748">
        <v>3.0923821493075776</v>
      </c>
      <c r="M748">
        <v>-3.6709600572059457E-3</v>
      </c>
      <c r="N748" s="9"/>
      <c r="O748" s="3">
        <f>L748-M748</f>
        <v>3.0960531093647834</v>
      </c>
    </row>
    <row r="749" spans="1:15">
      <c r="A749" s="7" t="s">
        <v>200</v>
      </c>
      <c r="B749" s="8">
        <v>-0.36768865949079377</v>
      </c>
      <c r="C749" s="8">
        <v>-1.2890795247765441</v>
      </c>
      <c r="D749" s="8">
        <v>-0.10954983766095538</v>
      </c>
      <c r="E749" s="7">
        <v>0</v>
      </c>
      <c r="F749" s="7">
        <v>-1.4990516053215155E-2</v>
      </c>
      <c r="G749" s="7">
        <v>0</v>
      </c>
      <c r="H749" s="7">
        <v>-1.5970575730977998E-2</v>
      </c>
      <c r="I749" s="7">
        <v>0</v>
      </c>
      <c r="J749" s="7">
        <v>2.2385887789414392E-2</v>
      </c>
      <c r="K749" s="7">
        <v>0</v>
      </c>
      <c r="L749">
        <v>0.90446106922389957</v>
      </c>
      <c r="M749">
        <v>-4.1052881172903618E-3</v>
      </c>
      <c r="N749" s="9"/>
      <c r="O749" s="3">
        <f>L749-M749</f>
        <v>0.90856635734118996</v>
      </c>
    </row>
    <row r="750" spans="1:15">
      <c r="A750" s="7"/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0</v>
      </c>
      <c r="G750" s="7">
        <v>-1.4990516053215155E-2</v>
      </c>
      <c r="H750" s="7">
        <v>-1.5970575730977998E-2</v>
      </c>
      <c r="I750" s="7">
        <v>0</v>
      </c>
      <c r="J750" s="7">
        <v>0</v>
      </c>
      <c r="K750" s="7">
        <v>1.6236379226863738E-2</v>
      </c>
      <c r="L750">
        <v>3.6315946901900351</v>
      </c>
      <c r="M750">
        <v>-1.4282283579643661E-4</v>
      </c>
      <c r="N750" s="9"/>
      <c r="O750" s="3">
        <f>L750-M750</f>
        <v>3.6317375130258314</v>
      </c>
    </row>
    <row r="751" spans="1:15">
      <c r="A751" s="7"/>
      <c r="B751" s="8"/>
      <c r="C751" s="8"/>
      <c r="D751" s="8"/>
      <c r="E751" s="7"/>
      <c r="F751" s="7"/>
      <c r="G751" s="7"/>
      <c r="H751" s="7"/>
      <c r="I751" s="7"/>
      <c r="J751" s="7"/>
      <c r="K751" s="7"/>
      <c r="N751" s="10"/>
      <c r="O751" s="3"/>
    </row>
    <row r="752" spans="1:15">
      <c r="A752" s="7"/>
      <c r="B752" s="8">
        <v>1.0351585166444348</v>
      </c>
      <c r="C752" s="8">
        <v>-2.1037449841221099</v>
      </c>
      <c r="D752" s="8">
        <v>-0.82913701269133588</v>
      </c>
      <c r="E752" s="7">
        <v>-1.4990516053215155E-2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>
        <v>3.0923821493075776</v>
      </c>
      <c r="M752">
        <v>0</v>
      </c>
      <c r="N752" s="9"/>
      <c r="O752" s="3">
        <f>L752-M752</f>
        <v>3.0923821493075776</v>
      </c>
    </row>
    <row r="753" spans="1:15">
      <c r="A753" s="7" t="s">
        <v>201</v>
      </c>
      <c r="B753" s="8">
        <v>-0.36768865949079377</v>
      </c>
      <c r="C753" s="8">
        <v>-1.2890795247765441</v>
      </c>
      <c r="D753" s="8">
        <v>-0.10954983766095538</v>
      </c>
      <c r="E753" s="7">
        <v>0</v>
      </c>
      <c r="F753" s="7">
        <v>-1.4990516053215155E-2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>
        <v>0.90446106922389957</v>
      </c>
      <c r="M753">
        <v>0</v>
      </c>
      <c r="N753" s="9"/>
      <c r="O753" s="3">
        <f>L753-M753</f>
        <v>0.90446106922389957</v>
      </c>
    </row>
    <row r="754" spans="1:15">
      <c r="A754" s="7"/>
      <c r="B754" s="8">
        <v>1.6188303733889171</v>
      </c>
      <c r="C754" s="8">
        <v>-1.9594494251009342E-2</v>
      </c>
      <c r="D754" s="8">
        <v>-7.7422792294721043E-2</v>
      </c>
      <c r="E754" s="7">
        <v>0</v>
      </c>
      <c r="F754" s="7">
        <v>0</v>
      </c>
      <c r="G754" s="7">
        <v>-1.4990516053215155E-2</v>
      </c>
      <c r="H754" s="7">
        <v>0</v>
      </c>
      <c r="I754" s="7">
        <v>0</v>
      </c>
      <c r="J754" s="7">
        <v>0</v>
      </c>
      <c r="K754" s="7">
        <v>0</v>
      </c>
      <c r="L754">
        <v>1.3134950053890826</v>
      </c>
      <c r="M754">
        <v>0</v>
      </c>
      <c r="N754" s="9"/>
      <c r="O754" s="3">
        <f>L754-M754</f>
        <v>1.3134950053890826</v>
      </c>
    </row>
    <row r="755" spans="1:15">
      <c r="A755" s="7"/>
      <c r="B755" s="8"/>
      <c r="C755" s="8"/>
      <c r="D755" s="8"/>
      <c r="E755" s="7"/>
      <c r="F755" s="7"/>
      <c r="G755" s="7"/>
      <c r="H755" s="7"/>
      <c r="I755" s="7"/>
      <c r="J755" s="7"/>
      <c r="K755" s="7"/>
      <c r="N755" s="10"/>
      <c r="O755" s="3"/>
    </row>
    <row r="756" spans="1:15">
      <c r="A756" s="7"/>
      <c r="B756" s="8">
        <v>1.0351585166444348</v>
      </c>
      <c r="C756" s="8">
        <v>-2.1037449841221099</v>
      </c>
      <c r="D756" s="8">
        <v>-0.82913701269133588</v>
      </c>
      <c r="E756" s="7">
        <v>-1.4990516053215155E-2</v>
      </c>
      <c r="F756" s="7">
        <v>0</v>
      </c>
      <c r="G756" s="7">
        <v>0</v>
      </c>
      <c r="H756" s="7">
        <v>-1.5970575730977998E-2</v>
      </c>
      <c r="I756" s="7">
        <v>2.1796664656245589E-2</v>
      </c>
      <c r="J756" s="7">
        <v>0</v>
      </c>
      <c r="K756" s="7">
        <v>0</v>
      </c>
      <c r="L756">
        <v>3.0923821493075776</v>
      </c>
      <c r="M756">
        <v>-3.6709600572059457E-3</v>
      </c>
      <c r="N756" s="9"/>
      <c r="O756" s="3">
        <f>L756-M756</f>
        <v>3.0960531093647834</v>
      </c>
    </row>
    <row r="757" spans="1:15">
      <c r="A757" s="7" t="s">
        <v>202</v>
      </c>
      <c r="B757" s="8">
        <v>-0.36768865949079377</v>
      </c>
      <c r="C757" s="8">
        <v>-1.2890795247765441</v>
      </c>
      <c r="D757" s="8">
        <v>-0.10954983766095538</v>
      </c>
      <c r="E757" s="7">
        <v>0</v>
      </c>
      <c r="F757" s="7">
        <v>-1.4990516053215155E-2</v>
      </c>
      <c r="G757" s="7">
        <v>0</v>
      </c>
      <c r="H757" s="7">
        <v>-1.5970575730977998E-2</v>
      </c>
      <c r="I757" s="7">
        <v>0</v>
      </c>
      <c r="J757" s="7">
        <v>2.2385887789414392E-2</v>
      </c>
      <c r="K757" s="7">
        <v>0</v>
      </c>
      <c r="L757">
        <v>0.90446106922389957</v>
      </c>
      <c r="M757">
        <v>-4.1052881172903618E-3</v>
      </c>
      <c r="N757" s="9"/>
      <c r="O757" s="3">
        <f>L757-M757</f>
        <v>0.90856635734118996</v>
      </c>
    </row>
    <row r="758" spans="1:15">
      <c r="A758" s="7"/>
      <c r="B758" s="8">
        <v>1.0097006711160386</v>
      </c>
      <c r="C758" s="8">
        <v>0.26302086313966178</v>
      </c>
      <c r="D758" s="8">
        <v>-0.76545275918666766</v>
      </c>
      <c r="E758" s="7">
        <v>0</v>
      </c>
      <c r="F758" s="7">
        <v>0</v>
      </c>
      <c r="G758" s="7">
        <v>-1.4990516053215155E-2</v>
      </c>
      <c r="H758" s="7">
        <v>-1.5970575730977998E-2</v>
      </c>
      <c r="I758" s="7">
        <v>0</v>
      </c>
      <c r="J758" s="7">
        <v>0</v>
      </c>
      <c r="K758" s="7">
        <v>2.0521745021313972E-2</v>
      </c>
      <c r="L758">
        <v>0.83729667312269707</v>
      </c>
      <c r="M758">
        <v>-2.7708420588978652E-3</v>
      </c>
      <c r="N758" s="9"/>
      <c r="O758" s="3">
        <f>L758-M758</f>
        <v>0.84006751518159495</v>
      </c>
    </row>
    <row r="759" spans="1:15">
      <c r="A759" s="7"/>
      <c r="B759" s="8"/>
      <c r="C759" s="8"/>
      <c r="D759" s="8"/>
      <c r="E759" s="7"/>
      <c r="F759" s="7"/>
      <c r="G759" s="7"/>
      <c r="H759" s="7"/>
      <c r="I759" s="7"/>
      <c r="J759" s="7"/>
      <c r="K759" s="7"/>
      <c r="N759" s="10"/>
      <c r="O759" s="3"/>
    </row>
    <row r="760" spans="1:15">
      <c r="A760" s="7"/>
      <c r="B760" s="8">
        <v>1.0351585166444348</v>
      </c>
      <c r="C760" s="8">
        <v>-2.1037449841221099</v>
      </c>
      <c r="D760" s="8">
        <v>-0.82913701269133588</v>
      </c>
      <c r="E760" s="7">
        <v>-1.4990516053215155E-2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>
        <v>3.0923821493075776</v>
      </c>
      <c r="M760">
        <v>0</v>
      </c>
      <c r="N760" s="9"/>
      <c r="O760" s="3">
        <f>L760-M760</f>
        <v>3.0923821493075776</v>
      </c>
    </row>
    <row r="761" spans="1:15">
      <c r="A761" s="7" t="s">
        <v>203</v>
      </c>
      <c r="B761" s="8">
        <v>2.4772611105726599</v>
      </c>
      <c r="C761" s="8">
        <v>-1.0605572692523213</v>
      </c>
      <c r="D761" s="8">
        <v>-3.9812674620544719E-2</v>
      </c>
      <c r="E761" s="7">
        <v>0</v>
      </c>
      <c r="F761" s="7">
        <v>-1.4990516053215155E-2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>
        <v>3.6315946901900351</v>
      </c>
      <c r="M761">
        <v>0</v>
      </c>
      <c r="N761" s="9"/>
      <c r="O761" s="3">
        <f>L761-M761</f>
        <v>3.6315946901900351</v>
      </c>
    </row>
    <row r="762" spans="1:15">
      <c r="A762" s="7"/>
      <c r="B762" s="8">
        <v>1.6188303733889171</v>
      </c>
      <c r="C762" s="8">
        <v>-1.9594494251009342E-2</v>
      </c>
      <c r="D762" s="8">
        <v>-7.7422792294721043E-2</v>
      </c>
      <c r="E762" s="7">
        <v>0</v>
      </c>
      <c r="F762" s="7">
        <v>0</v>
      </c>
      <c r="G762" s="7">
        <v>-1.4990516053215155E-2</v>
      </c>
      <c r="H762" s="7">
        <v>0</v>
      </c>
      <c r="I762" s="7">
        <v>0</v>
      </c>
      <c r="J762" s="7">
        <v>0</v>
      </c>
      <c r="K762" s="7">
        <v>0</v>
      </c>
      <c r="L762">
        <v>1.3134950053890826</v>
      </c>
      <c r="M762">
        <v>0</v>
      </c>
      <c r="N762" s="9"/>
      <c r="O762" s="3">
        <f>L762-M762</f>
        <v>1.3134950053890826</v>
      </c>
    </row>
    <row r="763" spans="1:15">
      <c r="A763" s="7"/>
      <c r="B763" s="8"/>
      <c r="C763" s="8"/>
      <c r="D763" s="8"/>
      <c r="E763" s="7"/>
      <c r="F763" s="7"/>
      <c r="G763" s="7"/>
      <c r="H763" s="7"/>
      <c r="I763" s="7"/>
      <c r="J763" s="7"/>
      <c r="K763" s="7"/>
      <c r="N763" s="10"/>
      <c r="O763" s="3"/>
    </row>
    <row r="764" spans="1:15">
      <c r="A764" s="7"/>
      <c r="B764" s="8">
        <v>1.0351585166444348</v>
      </c>
      <c r="C764" s="8">
        <v>-2.1037449841221099</v>
      </c>
      <c r="D764" s="8">
        <v>-0.82913701269133588</v>
      </c>
      <c r="E764" s="7">
        <v>-1.4990516053215155E-2</v>
      </c>
      <c r="F764" s="7">
        <v>0</v>
      </c>
      <c r="G764" s="7">
        <v>0</v>
      </c>
      <c r="H764" s="7">
        <v>-1.5970575730977998E-2</v>
      </c>
      <c r="I764" s="7">
        <v>2.1796664656245589E-2</v>
      </c>
      <c r="J764" s="7">
        <v>0</v>
      </c>
      <c r="K764" s="7">
        <v>0</v>
      </c>
      <c r="L764">
        <v>3.0923821493075776</v>
      </c>
      <c r="M764">
        <v>-3.6709600572059457E-3</v>
      </c>
      <c r="N764" s="9"/>
      <c r="O764" s="3">
        <f>L764-M764</f>
        <v>3.0960531093647834</v>
      </c>
    </row>
    <row r="765" spans="1:15">
      <c r="A765" s="7" t="s">
        <v>204</v>
      </c>
      <c r="B765" s="8">
        <v>2.4772611105726599</v>
      </c>
      <c r="C765" s="8">
        <v>-1.0605572692523213</v>
      </c>
      <c r="D765" s="8">
        <v>-3.9812674620544719E-2</v>
      </c>
      <c r="E765" s="7">
        <v>0</v>
      </c>
      <c r="F765" s="7">
        <v>-1.4990516053215155E-2</v>
      </c>
      <c r="G765" s="7">
        <v>0</v>
      </c>
      <c r="H765" s="7">
        <v>-1.5970575730977998E-2</v>
      </c>
      <c r="I765" s="7">
        <v>0</v>
      </c>
      <c r="J765" s="7">
        <v>1.6236379226863738E-2</v>
      </c>
      <c r="K765" s="7">
        <v>0</v>
      </c>
      <c r="L765">
        <v>3.6315946901900351</v>
      </c>
      <c r="M765">
        <v>-1.4282283579643661E-4</v>
      </c>
      <c r="N765" s="9"/>
      <c r="O765" s="3">
        <f>L765-M765</f>
        <v>3.6317375130258314</v>
      </c>
    </row>
    <row r="766" spans="1:15">
      <c r="A766" s="7"/>
      <c r="B766" s="8">
        <v>1.0097006711160386</v>
      </c>
      <c r="C766" s="8">
        <v>0.26302086313966178</v>
      </c>
      <c r="D766" s="8">
        <v>-0.76545275918666766</v>
      </c>
      <c r="E766" s="7">
        <v>0</v>
      </c>
      <c r="F766" s="7">
        <v>0</v>
      </c>
      <c r="G766" s="7">
        <v>-1.4990516053215155E-2</v>
      </c>
      <c r="H766" s="7">
        <v>-1.5970575730977998E-2</v>
      </c>
      <c r="I766" s="7">
        <v>0</v>
      </c>
      <c r="J766" s="7">
        <v>0</v>
      </c>
      <c r="K766" s="7">
        <v>2.0521745021313972E-2</v>
      </c>
      <c r="L766">
        <v>0.83729667312269707</v>
      </c>
      <c r="M766">
        <v>-2.7708420588978652E-3</v>
      </c>
      <c r="N766" s="9"/>
      <c r="O766" s="3">
        <f>L766-M766</f>
        <v>0.84006751518159495</v>
      </c>
    </row>
    <row r="767" spans="1:15">
      <c r="A767" s="7"/>
      <c r="B767" s="8"/>
      <c r="C767" s="8"/>
      <c r="D767" s="8"/>
      <c r="E767" s="7"/>
      <c r="F767" s="7"/>
      <c r="G767" s="7"/>
      <c r="H767" s="7"/>
      <c r="I767" s="7"/>
      <c r="J767" s="7"/>
      <c r="K767" s="7"/>
      <c r="N767" s="10"/>
      <c r="O767" s="3"/>
    </row>
    <row r="768" spans="1:15">
      <c r="A768" s="7"/>
      <c r="B768" s="8">
        <v>1.0351585166444348</v>
      </c>
      <c r="C768" s="8">
        <v>-2.1037449841221099</v>
      </c>
      <c r="D768" s="8">
        <v>-0.82913701269133588</v>
      </c>
      <c r="E768" s="7">
        <v>-1.4990516053215155E-2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>
        <v>3.0923821493075776</v>
      </c>
      <c r="M768">
        <v>0</v>
      </c>
      <c r="N768" s="9"/>
      <c r="O768" s="3">
        <f>L768-M768</f>
        <v>3.0923821493075776</v>
      </c>
    </row>
    <row r="769" spans="1:15">
      <c r="A769" s="7" t="s">
        <v>205</v>
      </c>
      <c r="B769" s="8">
        <v>1.6188303733889171</v>
      </c>
      <c r="C769" s="8">
        <v>-1.9594494251009342E-2</v>
      </c>
      <c r="D769" s="8">
        <v>-7.7422792294721043E-2</v>
      </c>
      <c r="E769" s="7">
        <v>0</v>
      </c>
      <c r="F769" s="7">
        <v>-1.4990516053215155E-2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>
        <v>1.3134950053890826</v>
      </c>
      <c r="M769">
        <v>0</v>
      </c>
      <c r="N769" s="9"/>
      <c r="O769" s="3">
        <f>L769-M769</f>
        <v>1.3134950053890826</v>
      </c>
    </row>
    <row r="770" spans="1:15">
      <c r="A770" s="7"/>
      <c r="B770" s="8">
        <v>1.0097006711160386</v>
      </c>
      <c r="C770" s="8">
        <v>0.26302086313966178</v>
      </c>
      <c r="D770" s="8">
        <v>-0.76545275918666766</v>
      </c>
      <c r="E770" s="7">
        <v>0</v>
      </c>
      <c r="F770" s="7">
        <v>0</v>
      </c>
      <c r="G770" s="7">
        <v>-1.4990516053215155E-2</v>
      </c>
      <c r="H770" s="7">
        <v>0</v>
      </c>
      <c r="I770" s="7">
        <v>0</v>
      </c>
      <c r="J770" s="7">
        <v>0</v>
      </c>
      <c r="K770" s="7">
        <v>0</v>
      </c>
      <c r="L770">
        <v>0.83729667312269707</v>
      </c>
      <c r="M770">
        <v>0</v>
      </c>
      <c r="N770" s="9"/>
      <c r="O770" s="3">
        <f>L770-M770</f>
        <v>0.83729667312269707</v>
      </c>
    </row>
    <row r="771" spans="1:15">
      <c r="A771" s="7"/>
      <c r="B771" s="8"/>
      <c r="C771" s="8"/>
      <c r="D771" s="8"/>
      <c r="E771" s="7"/>
      <c r="F771" s="7"/>
      <c r="G771" s="7"/>
      <c r="H771" s="7"/>
      <c r="I771" s="7"/>
      <c r="J771" s="7"/>
      <c r="K771" s="7"/>
      <c r="N771" s="10"/>
      <c r="O771" s="3"/>
    </row>
    <row r="772" spans="1:15">
      <c r="A772" s="7"/>
      <c r="B772" s="8">
        <v>-0.21871711292247331</v>
      </c>
      <c r="C772" s="8">
        <v>-2.1363371502498802</v>
      </c>
      <c r="D772" s="8">
        <v>-8.9790398854103559E-2</v>
      </c>
      <c r="E772" s="7">
        <v>-1.4990516053215155E-2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>
        <v>2.3099179553746505</v>
      </c>
      <c r="M772">
        <v>0</v>
      </c>
      <c r="N772" s="9"/>
      <c r="O772" s="3">
        <f>L772-M772</f>
        <v>2.3099179553746505</v>
      </c>
    </row>
    <row r="773" spans="1:15">
      <c r="A773" s="7" t="s">
        <v>206</v>
      </c>
      <c r="B773" s="8">
        <v>2.0770709056556562</v>
      </c>
      <c r="C773" s="8">
        <v>-2.1445635165533226</v>
      </c>
      <c r="D773" s="8">
        <v>-5.6653180844775664E-2</v>
      </c>
      <c r="E773" s="7">
        <v>0</v>
      </c>
      <c r="F773" s="7">
        <v>-1.4990516053215155E-2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>
        <v>4.4582929032762966</v>
      </c>
      <c r="M773">
        <v>0</v>
      </c>
      <c r="N773" s="9"/>
      <c r="O773" s="3">
        <f>L773-M773</f>
        <v>4.4582929032762966</v>
      </c>
    </row>
    <row r="774" spans="1:15">
      <c r="A774" s="7"/>
      <c r="B774" s="8">
        <v>-0.36768865949079377</v>
      </c>
      <c r="C774" s="8">
        <v>-1.2890795247765441</v>
      </c>
      <c r="D774" s="8">
        <v>-0.10954983766095538</v>
      </c>
      <c r="E774" s="7">
        <v>0</v>
      </c>
      <c r="F774" s="7">
        <v>0</v>
      </c>
      <c r="G774" s="7">
        <v>-1.4990516053215155E-2</v>
      </c>
      <c r="H774" s="7">
        <v>0</v>
      </c>
      <c r="I774" s="7">
        <v>0</v>
      </c>
      <c r="J774" s="7">
        <v>0</v>
      </c>
      <c r="K774" s="7">
        <v>0</v>
      </c>
      <c r="L774">
        <v>0.90446106922389957</v>
      </c>
      <c r="M774">
        <v>0</v>
      </c>
      <c r="N774" s="9"/>
      <c r="O774" s="3">
        <f>L774-M774</f>
        <v>0.90446106922389957</v>
      </c>
    </row>
    <row r="775" spans="1:15">
      <c r="A775" s="7"/>
      <c r="B775" s="8"/>
      <c r="C775" s="8"/>
      <c r="D775" s="8"/>
      <c r="E775" s="7"/>
      <c r="F775" s="7"/>
      <c r="G775" s="7"/>
      <c r="H775" s="7"/>
      <c r="I775" s="7"/>
      <c r="J775" s="7"/>
      <c r="K775" s="7"/>
      <c r="N775" s="10"/>
      <c r="O775" s="3"/>
    </row>
    <row r="776" spans="1:15">
      <c r="A776" s="7"/>
      <c r="B776" s="8">
        <v>-0.21871711292247331</v>
      </c>
      <c r="C776" s="8">
        <v>-2.1363371502498802</v>
      </c>
      <c r="D776" s="8">
        <v>-8.9790398854103559E-2</v>
      </c>
      <c r="E776" s="7">
        <v>-1.4990516053215155E-2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>
        <v>2.3099179553746505</v>
      </c>
      <c r="M776">
        <v>0</v>
      </c>
      <c r="N776" s="9"/>
      <c r="O776" s="3">
        <f>L776-M776</f>
        <v>2.3099179553746505</v>
      </c>
    </row>
    <row r="777" spans="1:15">
      <c r="A777" s="7" t="s">
        <v>207</v>
      </c>
      <c r="B777" s="8">
        <v>2.0770709056556562</v>
      </c>
      <c r="C777" s="8">
        <v>-2.1445635165533226</v>
      </c>
      <c r="D777" s="8">
        <v>-5.6653180844775664E-2</v>
      </c>
      <c r="E777" s="7">
        <v>0</v>
      </c>
      <c r="F777" s="7">
        <v>-1.4990516053215155E-2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>
        <v>4.4582929032762966</v>
      </c>
      <c r="M777">
        <v>0</v>
      </c>
      <c r="N777" s="9"/>
      <c r="O777" s="3">
        <f>L777-M777</f>
        <v>4.4582929032762966</v>
      </c>
    </row>
    <row r="778" spans="1:15">
      <c r="A778" s="7"/>
      <c r="B778" s="8">
        <v>2.4772611105726599</v>
      </c>
      <c r="C778" s="8">
        <v>-1.0605572692523213</v>
      </c>
      <c r="D778" s="8">
        <v>-3.9812674620544719E-2</v>
      </c>
      <c r="E778" s="7">
        <v>0</v>
      </c>
      <c r="F778" s="7">
        <v>0</v>
      </c>
      <c r="G778" s="7">
        <v>-1.4990516053215155E-2</v>
      </c>
      <c r="H778" s="7">
        <v>0</v>
      </c>
      <c r="I778" s="7">
        <v>0</v>
      </c>
      <c r="J778" s="7">
        <v>0</v>
      </c>
      <c r="K778" s="7">
        <v>0</v>
      </c>
      <c r="L778">
        <v>3.6315946901900351</v>
      </c>
      <c r="M778">
        <v>0</v>
      </c>
      <c r="N778" s="9"/>
      <c r="O778" s="3">
        <f>L778-M778</f>
        <v>3.6315946901900351</v>
      </c>
    </row>
    <row r="779" spans="1:15">
      <c r="A779" s="7"/>
      <c r="B779" s="8"/>
      <c r="C779" s="8"/>
      <c r="D779" s="8"/>
      <c r="E779" s="7"/>
      <c r="F779" s="7"/>
      <c r="G779" s="7"/>
      <c r="H779" s="7"/>
      <c r="I779" s="7"/>
      <c r="J779" s="7"/>
      <c r="K779" s="7"/>
      <c r="N779" s="10"/>
      <c r="O779" s="3"/>
    </row>
    <row r="780" spans="1:15">
      <c r="A780" s="7"/>
      <c r="B780" s="8">
        <v>-0.21871711292247331</v>
      </c>
      <c r="C780" s="8">
        <v>-2.1363371502498802</v>
      </c>
      <c r="D780" s="8">
        <v>-8.9790398854103559E-2</v>
      </c>
      <c r="E780" s="7">
        <v>-1.4990516053215155E-2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>
        <v>2.3099179553746505</v>
      </c>
      <c r="M780">
        <v>0</v>
      </c>
      <c r="N780" s="9"/>
      <c r="O780" s="3">
        <f>L780-M780</f>
        <v>2.3099179553746505</v>
      </c>
    </row>
    <row r="781" spans="1:15">
      <c r="A781" s="7" t="s">
        <v>208</v>
      </c>
      <c r="B781" s="8">
        <v>2.0770709056556562</v>
      </c>
      <c r="C781" s="8">
        <v>-2.1445635165533226</v>
      </c>
      <c r="D781" s="8">
        <v>-5.6653180844775664E-2</v>
      </c>
      <c r="E781" s="7">
        <v>0</v>
      </c>
      <c r="F781" s="7">
        <v>-1.4990516053215155E-2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>
        <v>4.4582929032762966</v>
      </c>
      <c r="M781">
        <v>0</v>
      </c>
      <c r="N781" s="9"/>
      <c r="O781" s="3">
        <f>L781-M781</f>
        <v>4.4582929032762966</v>
      </c>
    </row>
    <row r="782" spans="1:15">
      <c r="A782" s="7"/>
      <c r="B782" s="8">
        <v>1.6188303733889171</v>
      </c>
      <c r="C782" s="8">
        <v>-1.9594494251009342E-2</v>
      </c>
      <c r="D782" s="8">
        <v>-7.7422792294721043E-2</v>
      </c>
      <c r="E782" s="7">
        <v>0</v>
      </c>
      <c r="F782" s="7">
        <v>0</v>
      </c>
      <c r="G782" s="7">
        <v>-1.4990516053215155E-2</v>
      </c>
      <c r="H782" s="7">
        <v>0</v>
      </c>
      <c r="I782" s="7">
        <v>0</v>
      </c>
      <c r="J782" s="7">
        <v>0</v>
      </c>
      <c r="K782" s="7">
        <v>0</v>
      </c>
      <c r="L782">
        <v>1.3134950053890826</v>
      </c>
      <c r="M782">
        <v>0</v>
      </c>
      <c r="N782" s="9"/>
      <c r="O782" s="3">
        <f>L782-M782</f>
        <v>1.3134950053890826</v>
      </c>
    </row>
    <row r="783" spans="1:15">
      <c r="A783" s="7"/>
      <c r="B783" s="8"/>
      <c r="C783" s="8"/>
      <c r="D783" s="8"/>
      <c r="E783" s="7"/>
      <c r="F783" s="7"/>
      <c r="G783" s="7"/>
      <c r="H783" s="7"/>
      <c r="I783" s="7"/>
      <c r="J783" s="7"/>
      <c r="K783" s="7"/>
      <c r="N783" s="10"/>
      <c r="O783" s="3"/>
    </row>
    <row r="784" spans="1:15">
      <c r="A784" s="7"/>
      <c r="B784" s="8">
        <v>-0.21871711292247331</v>
      </c>
      <c r="C784" s="8">
        <v>-2.1363371502498802</v>
      </c>
      <c r="D784" s="8">
        <v>-8.9790398854103559E-2</v>
      </c>
      <c r="E784" s="7">
        <v>-1.4990516053215155E-2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>
        <v>2.3099179553746505</v>
      </c>
      <c r="M784">
        <v>0</v>
      </c>
      <c r="N784" s="9"/>
      <c r="O784" s="3">
        <f>L784-M784</f>
        <v>2.3099179553746505</v>
      </c>
    </row>
    <row r="785" spans="1:15">
      <c r="A785" s="7" t="s">
        <v>209</v>
      </c>
      <c r="B785" s="8">
        <v>2.0770709056556562</v>
      </c>
      <c r="C785" s="8">
        <v>-2.1445635165533226</v>
      </c>
      <c r="D785" s="8">
        <v>-5.6653180844775664E-2</v>
      </c>
      <c r="E785" s="7">
        <v>0</v>
      </c>
      <c r="F785" s="7">
        <v>-1.4990516053215155E-2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>
        <v>4.4582929032762966</v>
      </c>
      <c r="M785">
        <v>0</v>
      </c>
      <c r="N785" s="9"/>
      <c r="O785" s="3">
        <f>L785-M785</f>
        <v>4.4582929032762966</v>
      </c>
    </row>
    <row r="786" spans="1:15">
      <c r="A786" s="7"/>
      <c r="B786" s="8">
        <v>1.0097006711160386</v>
      </c>
      <c r="C786" s="8">
        <v>0.26302086313966178</v>
      </c>
      <c r="D786" s="8">
        <v>-0.76545275918666766</v>
      </c>
      <c r="E786" s="7">
        <v>0</v>
      </c>
      <c r="F786" s="7">
        <v>0</v>
      </c>
      <c r="G786" s="7">
        <v>-1.4990516053215155E-2</v>
      </c>
      <c r="H786" s="7">
        <v>0</v>
      </c>
      <c r="I786" s="7">
        <v>0</v>
      </c>
      <c r="J786" s="7">
        <v>0</v>
      </c>
      <c r="K786" s="7">
        <v>0</v>
      </c>
      <c r="L786">
        <v>0.83729667312269707</v>
      </c>
      <c r="M786">
        <v>0</v>
      </c>
      <c r="N786" s="9"/>
      <c r="O786" s="3">
        <f>L786-M786</f>
        <v>0.83729667312269707</v>
      </c>
    </row>
    <row r="787" spans="1:15">
      <c r="A787" s="7"/>
      <c r="B787" s="8"/>
      <c r="C787" s="8"/>
      <c r="D787" s="8"/>
      <c r="E787" s="7"/>
      <c r="F787" s="7"/>
      <c r="G787" s="7"/>
      <c r="H787" s="7"/>
      <c r="I787" s="7"/>
      <c r="J787" s="7"/>
      <c r="K787" s="7"/>
      <c r="N787" s="10"/>
      <c r="O787" s="3"/>
    </row>
    <row r="788" spans="1:15">
      <c r="A788" s="7"/>
      <c r="B788" s="8">
        <v>-0.21871711292247331</v>
      </c>
      <c r="C788" s="8">
        <v>-2.1363371502498802</v>
      </c>
      <c r="D788" s="8">
        <v>-8.9790398854103559E-2</v>
      </c>
      <c r="E788" s="7">
        <v>-1.4990516053215155E-2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>
        <v>2.3099179553746505</v>
      </c>
      <c r="M788">
        <v>0</v>
      </c>
      <c r="N788" s="9"/>
      <c r="O788" s="3">
        <f>L788-M788</f>
        <v>2.3099179553746505</v>
      </c>
    </row>
    <row r="789" spans="1:15">
      <c r="A789" s="7" t="s">
        <v>210</v>
      </c>
      <c r="B789" s="8">
        <v>-0.36768865949079377</v>
      </c>
      <c r="C789" s="8">
        <v>-1.2890795247765441</v>
      </c>
      <c r="D789" s="8">
        <v>-0.10954983766095538</v>
      </c>
      <c r="E789" s="7">
        <v>0</v>
      </c>
      <c r="F789" s="7">
        <v>-1.4990516053215155E-2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>
        <v>0.90446106922389957</v>
      </c>
      <c r="M789">
        <v>0</v>
      </c>
      <c r="N789" s="9"/>
      <c r="O789" s="3">
        <f>L789-M789</f>
        <v>0.90446106922389957</v>
      </c>
    </row>
    <row r="790" spans="1:15">
      <c r="A790" s="7"/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0</v>
      </c>
      <c r="G790" s="7">
        <v>-1.4990516053215155E-2</v>
      </c>
      <c r="H790" s="7">
        <v>0</v>
      </c>
      <c r="I790" s="7">
        <v>0</v>
      </c>
      <c r="J790" s="7">
        <v>0</v>
      </c>
      <c r="K790" s="7">
        <v>0</v>
      </c>
      <c r="L790">
        <v>3.6315946901900351</v>
      </c>
      <c r="M790">
        <v>0</v>
      </c>
      <c r="N790" s="9"/>
      <c r="O790" s="3">
        <f>L790-M790</f>
        <v>3.6315946901900351</v>
      </c>
    </row>
    <row r="791" spans="1:15">
      <c r="A791" s="7"/>
      <c r="B791" s="8"/>
      <c r="C791" s="8"/>
      <c r="D791" s="8"/>
      <c r="E791" s="7"/>
      <c r="F791" s="7"/>
      <c r="G791" s="7"/>
      <c r="H791" s="7"/>
      <c r="I791" s="7"/>
      <c r="J791" s="7"/>
      <c r="K791" s="7"/>
      <c r="N791" s="10"/>
      <c r="O791" s="3"/>
    </row>
    <row r="792" spans="1:15">
      <c r="A792" s="7"/>
      <c r="B792" s="8">
        <v>-0.21871711292247331</v>
      </c>
      <c r="C792" s="8">
        <v>-2.1363371502498802</v>
      </c>
      <c r="D792" s="8">
        <v>-8.9790398854103559E-2</v>
      </c>
      <c r="E792" s="7">
        <v>-1.4990516053215155E-2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>
        <v>2.3099179553746505</v>
      </c>
      <c r="M792">
        <v>0</v>
      </c>
      <c r="N792" s="9"/>
      <c r="O792" s="3">
        <f>L792-M792</f>
        <v>2.3099179553746505</v>
      </c>
    </row>
    <row r="793" spans="1:15">
      <c r="A793" s="7" t="s">
        <v>211</v>
      </c>
      <c r="B793" s="8">
        <v>-0.36768865949079377</v>
      </c>
      <c r="C793" s="8">
        <v>-1.2890795247765441</v>
      </c>
      <c r="D793" s="8">
        <v>-0.10954983766095538</v>
      </c>
      <c r="E793" s="7">
        <v>0</v>
      </c>
      <c r="F793" s="7">
        <v>-1.4990516053215155E-2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>
        <v>0.90446106922389957</v>
      </c>
      <c r="M793">
        <v>0</v>
      </c>
      <c r="N793" s="9"/>
      <c r="O793" s="3">
        <f>L793-M793</f>
        <v>0.90446106922389957</v>
      </c>
    </row>
    <row r="794" spans="1:15">
      <c r="A794" s="7"/>
      <c r="B794" s="8">
        <v>1.6188303733889171</v>
      </c>
      <c r="C794" s="8">
        <v>-1.9594494251009342E-2</v>
      </c>
      <c r="D794" s="8">
        <v>-7.7422792294721043E-2</v>
      </c>
      <c r="E794" s="7">
        <v>0</v>
      </c>
      <c r="F794" s="7">
        <v>0</v>
      </c>
      <c r="G794" s="7">
        <v>-1.4990516053215155E-2</v>
      </c>
      <c r="H794" s="7">
        <v>0</v>
      </c>
      <c r="I794" s="7">
        <v>0</v>
      </c>
      <c r="J794" s="7">
        <v>0</v>
      </c>
      <c r="K794" s="7">
        <v>0</v>
      </c>
      <c r="L794">
        <v>1.3134950053890826</v>
      </c>
      <c r="M794">
        <v>0</v>
      </c>
      <c r="N794" s="9"/>
      <c r="O794" s="3">
        <f>L794-M794</f>
        <v>1.3134950053890826</v>
      </c>
    </row>
    <row r="795" spans="1:15">
      <c r="A795" s="7"/>
      <c r="B795" s="8"/>
      <c r="C795" s="8"/>
      <c r="D795" s="8"/>
      <c r="E795" s="7"/>
      <c r="F795" s="7"/>
      <c r="G795" s="7"/>
      <c r="H795" s="7"/>
      <c r="I795" s="7"/>
      <c r="J795" s="7"/>
      <c r="K795" s="7"/>
      <c r="N795" s="10"/>
      <c r="O795" s="3"/>
    </row>
    <row r="796" spans="1:15">
      <c r="A796" s="7"/>
      <c r="B796" s="8">
        <v>-0.21871711292247331</v>
      </c>
      <c r="C796" s="8">
        <v>-2.1363371502498802</v>
      </c>
      <c r="D796" s="8">
        <v>-8.9790398854103559E-2</v>
      </c>
      <c r="E796" s="7">
        <v>-1.4990516053215155E-2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>
        <v>2.3099179553746505</v>
      </c>
      <c r="M796">
        <v>0</v>
      </c>
      <c r="N796" s="9"/>
      <c r="O796" s="3">
        <f>L796-M796</f>
        <v>2.3099179553746505</v>
      </c>
    </row>
    <row r="797" spans="1:15">
      <c r="A797" s="7" t="s">
        <v>212</v>
      </c>
      <c r="B797" s="8">
        <v>-0.36768865949079377</v>
      </c>
      <c r="C797" s="8">
        <v>-1.2890795247765441</v>
      </c>
      <c r="D797" s="8">
        <v>-0.10954983766095538</v>
      </c>
      <c r="E797" s="7">
        <v>0</v>
      </c>
      <c r="F797" s="7">
        <v>-1.4990516053215155E-2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>
        <v>0.90446106922389957</v>
      </c>
      <c r="M797">
        <v>0</v>
      </c>
      <c r="N797" s="9"/>
      <c r="O797" s="3">
        <f>L797-M797</f>
        <v>0.90446106922389957</v>
      </c>
    </row>
    <row r="798" spans="1:15">
      <c r="A798" s="7"/>
      <c r="B798" s="8">
        <v>1.0097006711160386</v>
      </c>
      <c r="C798" s="8">
        <v>0.26302086313966178</v>
      </c>
      <c r="D798" s="8">
        <v>-0.76545275918666766</v>
      </c>
      <c r="E798" s="7">
        <v>0</v>
      </c>
      <c r="F798" s="7">
        <v>0</v>
      </c>
      <c r="G798" s="7">
        <v>-1.4990516053215155E-2</v>
      </c>
      <c r="H798" s="7">
        <v>0</v>
      </c>
      <c r="I798" s="7">
        <v>0</v>
      </c>
      <c r="J798" s="7">
        <v>0</v>
      </c>
      <c r="K798" s="7">
        <v>0</v>
      </c>
      <c r="L798">
        <v>0.83729667312269707</v>
      </c>
      <c r="M798">
        <v>0</v>
      </c>
      <c r="N798" s="9"/>
      <c r="O798" s="3">
        <f>L798-M798</f>
        <v>0.83729667312269707</v>
      </c>
    </row>
    <row r="799" spans="1:15">
      <c r="A799" s="7"/>
      <c r="B799" s="8"/>
      <c r="C799" s="8"/>
      <c r="D799" s="8"/>
      <c r="E799" s="7"/>
      <c r="F799" s="7"/>
      <c r="G799" s="7"/>
      <c r="H799" s="7"/>
      <c r="I799" s="7"/>
      <c r="J799" s="7"/>
      <c r="K799" s="7"/>
      <c r="N799" s="10"/>
      <c r="O799" s="3"/>
    </row>
    <row r="800" spans="1:15">
      <c r="A800" s="7"/>
      <c r="B800" s="8">
        <v>-0.21871711292247331</v>
      </c>
      <c r="C800" s="8">
        <v>-2.1363371502498802</v>
      </c>
      <c r="D800" s="8">
        <v>-8.9790398854103559E-2</v>
      </c>
      <c r="E800" s="7">
        <v>-1.4990516053215155E-2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>
        <v>2.3099179553746505</v>
      </c>
      <c r="M800">
        <v>0</v>
      </c>
      <c r="N800" s="9"/>
      <c r="O800" s="3">
        <f>L800-M800</f>
        <v>2.3099179553746505</v>
      </c>
    </row>
    <row r="801" spans="1:15">
      <c r="A801" s="7" t="s">
        <v>213</v>
      </c>
      <c r="B801" s="8">
        <v>2.4772611105726599</v>
      </c>
      <c r="C801" s="8">
        <v>-1.0605572692523213</v>
      </c>
      <c r="D801" s="8">
        <v>-3.9812674620544719E-2</v>
      </c>
      <c r="E801" s="7">
        <v>0</v>
      </c>
      <c r="F801" s="7">
        <v>-1.4990516053215155E-2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>
        <v>3.6315946901900351</v>
      </c>
      <c r="M801">
        <v>0</v>
      </c>
      <c r="N801" s="9"/>
      <c r="O801" s="3">
        <f>L801-M801</f>
        <v>3.6315946901900351</v>
      </c>
    </row>
    <row r="802" spans="1:15">
      <c r="A802" s="7"/>
      <c r="B802" s="8">
        <v>1.6188303733889171</v>
      </c>
      <c r="C802" s="8">
        <v>-1.9594494251009342E-2</v>
      </c>
      <c r="D802" s="8">
        <v>-7.7422792294721043E-2</v>
      </c>
      <c r="E802" s="7">
        <v>0</v>
      </c>
      <c r="F802" s="7">
        <v>0</v>
      </c>
      <c r="G802" s="7">
        <v>-1.4990516053215155E-2</v>
      </c>
      <c r="H802" s="7">
        <v>0</v>
      </c>
      <c r="I802" s="7">
        <v>0</v>
      </c>
      <c r="J802" s="7">
        <v>0</v>
      </c>
      <c r="K802" s="7">
        <v>0</v>
      </c>
      <c r="L802">
        <v>1.3134950053890826</v>
      </c>
      <c r="M802">
        <v>0</v>
      </c>
      <c r="N802" s="9"/>
      <c r="O802" s="3">
        <f>L802-M802</f>
        <v>1.3134950053890826</v>
      </c>
    </row>
    <row r="803" spans="1:15">
      <c r="A803" s="7"/>
      <c r="B803" s="8"/>
      <c r="C803" s="8"/>
      <c r="D803" s="8"/>
      <c r="E803" s="7"/>
      <c r="F803" s="7"/>
      <c r="G803" s="7"/>
      <c r="H803" s="7"/>
      <c r="I803" s="7"/>
      <c r="J803" s="7"/>
      <c r="K803" s="7"/>
      <c r="N803" s="10"/>
      <c r="O803" s="3"/>
    </row>
    <row r="804" spans="1:15">
      <c r="A804" s="7"/>
      <c r="B804" s="8">
        <v>-0.21871711292247331</v>
      </c>
      <c r="C804" s="8">
        <v>-2.1363371502498802</v>
      </c>
      <c r="D804" s="8">
        <v>-8.9790398854103559E-2</v>
      </c>
      <c r="E804" s="7">
        <v>-1.4990516053215155E-2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>
        <v>2.3099179553746505</v>
      </c>
      <c r="M804">
        <v>0</v>
      </c>
      <c r="N804" s="9"/>
      <c r="O804" s="3">
        <f>L804-M804</f>
        <v>2.3099179553746505</v>
      </c>
    </row>
    <row r="805" spans="1:15">
      <c r="A805" s="7" t="s">
        <v>214</v>
      </c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7">
        <v>-1.4990516053215155E-2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>
        <v>3.6315946901900351</v>
      </c>
      <c r="M805">
        <v>0</v>
      </c>
      <c r="N805" s="9"/>
      <c r="O805" s="3">
        <f>L805-M805</f>
        <v>3.6315946901900351</v>
      </c>
    </row>
    <row r="806" spans="1:15">
      <c r="A806" s="7"/>
      <c r="B806" s="8">
        <v>1.0097006711160386</v>
      </c>
      <c r="C806" s="8">
        <v>0.26302086313966178</v>
      </c>
      <c r="D806" s="8">
        <v>-0.76545275918666766</v>
      </c>
      <c r="E806" s="7">
        <v>0</v>
      </c>
      <c r="F806" s="7">
        <v>0</v>
      </c>
      <c r="G806" s="7">
        <v>-1.4990516053215155E-2</v>
      </c>
      <c r="H806" s="7">
        <v>0</v>
      </c>
      <c r="I806" s="7">
        <v>0</v>
      </c>
      <c r="J806" s="7">
        <v>0</v>
      </c>
      <c r="K806" s="7">
        <v>0</v>
      </c>
      <c r="L806">
        <v>0.83729667312269707</v>
      </c>
      <c r="M806">
        <v>0</v>
      </c>
      <c r="N806" s="9"/>
      <c r="O806" s="3">
        <f>L806-M806</f>
        <v>0.83729667312269707</v>
      </c>
    </row>
    <row r="807" spans="1:15">
      <c r="A807" s="7"/>
      <c r="B807" s="8"/>
      <c r="C807" s="8"/>
      <c r="D807" s="8"/>
      <c r="E807" s="7"/>
      <c r="F807" s="7"/>
      <c r="G807" s="7"/>
      <c r="H807" s="7"/>
      <c r="I807" s="7"/>
      <c r="J807" s="7"/>
      <c r="K807" s="7"/>
      <c r="N807" s="10"/>
      <c r="O807" s="3"/>
    </row>
    <row r="808" spans="1:15">
      <c r="A808" s="7"/>
      <c r="B808" s="8">
        <v>-0.21871711292247331</v>
      </c>
      <c r="C808" s="8">
        <v>-2.1363371502498802</v>
      </c>
      <c r="D808" s="8">
        <v>-8.9790398854103559E-2</v>
      </c>
      <c r="E808" s="7">
        <v>-1.4990516053215155E-2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>
        <v>2.3099179553746505</v>
      </c>
      <c r="M808">
        <v>0</v>
      </c>
      <c r="N808" s="9"/>
      <c r="O808" s="3">
        <f>L808-M808</f>
        <v>2.3099179553746505</v>
      </c>
    </row>
    <row r="809" spans="1:15">
      <c r="A809" s="7" t="s">
        <v>215</v>
      </c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7">
        <v>-1.4990516053215155E-2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>
        <v>1.3134950053890826</v>
      </c>
      <c r="M809">
        <v>0</v>
      </c>
      <c r="N809" s="9"/>
      <c r="O809" s="3">
        <f>L809-M809</f>
        <v>1.3134950053890826</v>
      </c>
    </row>
    <row r="810" spans="1:15">
      <c r="A810" s="7"/>
      <c r="B810" s="8">
        <v>1.0097006711160386</v>
      </c>
      <c r="C810" s="8">
        <v>0.26302086313966178</v>
      </c>
      <c r="D810" s="8">
        <v>-0.76545275918666766</v>
      </c>
      <c r="E810" s="7">
        <v>0</v>
      </c>
      <c r="F810" s="7">
        <v>0</v>
      </c>
      <c r="G810" s="7">
        <v>-1.4990516053215155E-2</v>
      </c>
      <c r="H810" s="7">
        <v>0</v>
      </c>
      <c r="I810" s="7">
        <v>0</v>
      </c>
      <c r="J810" s="7">
        <v>0</v>
      </c>
      <c r="K810" s="7">
        <v>0</v>
      </c>
      <c r="L810">
        <v>0.83729667312269707</v>
      </c>
      <c r="M810">
        <v>0</v>
      </c>
      <c r="N810" s="9"/>
      <c r="O810" s="3">
        <f>L810-M810</f>
        <v>0.83729667312269707</v>
      </c>
    </row>
    <row r="811" spans="1:15">
      <c r="A811" s="7"/>
      <c r="B811" s="8"/>
      <c r="C811" s="8"/>
      <c r="D811" s="8"/>
      <c r="E811" s="7"/>
      <c r="F811" s="7"/>
      <c r="G811" s="7"/>
      <c r="H811" s="7"/>
      <c r="I811" s="7"/>
      <c r="J811" s="7"/>
      <c r="K811" s="7"/>
      <c r="N811" s="10"/>
      <c r="O811" s="3"/>
    </row>
    <row r="812" spans="1:15">
      <c r="A812" s="7"/>
      <c r="B812" s="8">
        <v>2.0770709056556562</v>
      </c>
      <c r="C812" s="8">
        <v>-2.1445635165533226</v>
      </c>
      <c r="D812" s="8">
        <v>-5.6653180844775664E-2</v>
      </c>
      <c r="E812" s="7">
        <v>-1.4990516053215155E-2</v>
      </c>
      <c r="F812" s="7">
        <v>0</v>
      </c>
      <c r="G812" s="7">
        <v>0</v>
      </c>
      <c r="H812" s="7">
        <v>-1.5970575730977998E-2</v>
      </c>
      <c r="I812" s="7">
        <v>2.2872089329671663E-2</v>
      </c>
      <c r="J812" s="7">
        <v>0</v>
      </c>
      <c r="K812" s="7">
        <v>0</v>
      </c>
      <c r="L812">
        <v>4.4582929032762966</v>
      </c>
      <c r="M812">
        <v>-4.4724002741192721E-3</v>
      </c>
      <c r="N812" s="9"/>
      <c r="O812" s="3">
        <f>L812-M812</f>
        <v>4.462765303550416</v>
      </c>
    </row>
    <row r="813" spans="1:15">
      <c r="A813" s="7" t="s">
        <v>216</v>
      </c>
      <c r="B813" s="8">
        <v>-0.36768865949079377</v>
      </c>
      <c r="C813" s="8">
        <v>-1.2890795247765441</v>
      </c>
      <c r="D813" s="8">
        <v>-0.10954983766095538</v>
      </c>
      <c r="E813" s="7">
        <v>0</v>
      </c>
      <c r="F813" s="7">
        <v>-1.4990516053215155E-2</v>
      </c>
      <c r="G813" s="7">
        <v>0</v>
      </c>
      <c r="H813" s="7">
        <v>-1.5970575730977998E-2</v>
      </c>
      <c r="I813" s="7">
        <v>0</v>
      </c>
      <c r="J813" s="7">
        <v>2.2385887789414392E-2</v>
      </c>
      <c r="K813" s="7">
        <v>0</v>
      </c>
      <c r="L813">
        <v>0.90446106922389957</v>
      </c>
      <c r="M813">
        <v>-4.1052881172903618E-3</v>
      </c>
      <c r="N813" s="9"/>
      <c r="O813" s="3">
        <f>L813-M813</f>
        <v>0.90856635734118996</v>
      </c>
    </row>
    <row r="814" spans="1:15">
      <c r="A814" s="7"/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0</v>
      </c>
      <c r="G814" s="7">
        <v>-1.4990516053215155E-2</v>
      </c>
      <c r="H814" s="7">
        <v>-1.5970575730977998E-2</v>
      </c>
      <c r="I814" s="7">
        <v>0</v>
      </c>
      <c r="J814" s="7">
        <v>0</v>
      </c>
      <c r="K814" s="7">
        <v>1.6236379226863738E-2</v>
      </c>
      <c r="L814">
        <v>3.6315946901900351</v>
      </c>
      <c r="M814">
        <v>-1.4282283579643661E-4</v>
      </c>
      <c r="N814" s="9"/>
      <c r="O814" s="3">
        <f>L814-M814</f>
        <v>3.6317375130258314</v>
      </c>
    </row>
    <row r="815" spans="1:15">
      <c r="A815" s="7"/>
      <c r="B815" s="8"/>
      <c r="C815" s="8"/>
      <c r="D815" s="8"/>
      <c r="E815" s="7"/>
      <c r="F815" s="7"/>
      <c r="G815" s="7"/>
      <c r="H815" s="7"/>
      <c r="I815" s="7"/>
      <c r="J815" s="7"/>
      <c r="K815" s="7"/>
      <c r="N815" s="10"/>
      <c r="O815" s="3"/>
    </row>
    <row r="816" spans="1:15">
      <c r="A816" s="7"/>
      <c r="B816" s="8">
        <v>2.0770709056556562</v>
      </c>
      <c r="C816" s="8">
        <v>-2.1445635165533226</v>
      </c>
      <c r="D816" s="8">
        <v>-5.6653180844775664E-2</v>
      </c>
      <c r="E816" s="7">
        <v>-1.4990516053215155E-2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>
        <v>4.4582929032762966</v>
      </c>
      <c r="M816">
        <v>0</v>
      </c>
      <c r="N816" s="9"/>
      <c r="O816" s="3">
        <f>L816-M816</f>
        <v>4.4582929032762966</v>
      </c>
    </row>
    <row r="817" spans="1:15">
      <c r="A817" s="7" t="s">
        <v>217</v>
      </c>
      <c r="B817" s="8">
        <v>-0.36768865949079377</v>
      </c>
      <c r="C817" s="8">
        <v>-1.2890795247765441</v>
      </c>
      <c r="D817" s="8">
        <v>-0.10954983766095538</v>
      </c>
      <c r="E817" s="7">
        <v>0</v>
      </c>
      <c r="F817" s="7">
        <v>-1.4990516053215155E-2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>
        <v>0.90446106922389957</v>
      </c>
      <c r="M817">
        <v>0</v>
      </c>
      <c r="N817" s="9"/>
      <c r="O817" s="3">
        <f>L817-M817</f>
        <v>0.90446106922389957</v>
      </c>
    </row>
    <row r="818" spans="1:15">
      <c r="A818" s="7"/>
      <c r="B818" s="8">
        <v>1.6188303733889171</v>
      </c>
      <c r="C818" s="8">
        <v>-1.9594494251009342E-2</v>
      </c>
      <c r="D818" s="8">
        <v>-7.7422792294721043E-2</v>
      </c>
      <c r="E818" s="7">
        <v>0</v>
      </c>
      <c r="F818" s="7">
        <v>0</v>
      </c>
      <c r="G818" s="7">
        <v>-1.4990516053215155E-2</v>
      </c>
      <c r="H818" s="7">
        <v>0</v>
      </c>
      <c r="I818" s="7">
        <v>0</v>
      </c>
      <c r="J818" s="7">
        <v>0</v>
      </c>
      <c r="K818" s="7">
        <v>0</v>
      </c>
      <c r="L818">
        <v>1.3134950053890826</v>
      </c>
      <c r="M818">
        <v>0</v>
      </c>
      <c r="N818" s="9"/>
      <c r="O818" s="3">
        <f>L818-M818</f>
        <v>1.3134950053890826</v>
      </c>
    </row>
    <row r="819" spans="1:15">
      <c r="A819" s="7"/>
      <c r="B819" s="8"/>
      <c r="C819" s="8"/>
      <c r="D819" s="8"/>
      <c r="E819" s="7"/>
      <c r="F819" s="7"/>
      <c r="G819" s="7"/>
      <c r="H819" s="7"/>
      <c r="I819" s="7"/>
      <c r="J819" s="7"/>
      <c r="K819" s="7"/>
      <c r="N819" s="10"/>
      <c r="O819" s="3"/>
    </row>
    <row r="820" spans="1:15">
      <c r="A820" s="7"/>
      <c r="B820" s="8">
        <v>2.0770709056556562</v>
      </c>
      <c r="C820" s="8">
        <v>-2.1445635165533226</v>
      </c>
      <c r="D820" s="8">
        <v>-5.6653180844775664E-2</v>
      </c>
      <c r="E820" s="7">
        <v>-1.4990516053215155E-2</v>
      </c>
      <c r="F820" s="7">
        <v>0</v>
      </c>
      <c r="G820" s="7">
        <v>0</v>
      </c>
      <c r="H820" s="7">
        <v>-1.5970575730977998E-2</v>
      </c>
      <c r="I820" s="7">
        <v>2.2872089329671663E-2</v>
      </c>
      <c r="J820" s="7">
        <v>0</v>
      </c>
      <c r="K820" s="7">
        <v>0</v>
      </c>
      <c r="L820">
        <v>4.4582929032762966</v>
      </c>
      <c r="M820">
        <v>-4.4724002741192721E-3</v>
      </c>
      <c r="N820" s="9"/>
      <c r="O820" s="3">
        <f>L820-M820</f>
        <v>4.462765303550416</v>
      </c>
    </row>
    <row r="821" spans="1:15">
      <c r="A821" s="7" t="s">
        <v>218</v>
      </c>
      <c r="B821" s="8">
        <v>-0.36768865949079377</v>
      </c>
      <c r="C821" s="8">
        <v>-1.2890795247765441</v>
      </c>
      <c r="D821" s="8">
        <v>-0.10954983766095538</v>
      </c>
      <c r="E821" s="7">
        <v>0</v>
      </c>
      <c r="F821" s="7">
        <v>-1.4990516053215155E-2</v>
      </c>
      <c r="G821" s="7">
        <v>0</v>
      </c>
      <c r="H821" s="7">
        <v>-1.5970575730977998E-2</v>
      </c>
      <c r="I821" s="7">
        <v>0</v>
      </c>
      <c r="J821" s="7">
        <v>2.2385887789414392E-2</v>
      </c>
      <c r="K821" s="7">
        <v>0</v>
      </c>
      <c r="L821">
        <v>0.90446106922389957</v>
      </c>
      <c r="M821">
        <v>-4.1052881172903618E-3</v>
      </c>
      <c r="N821" s="9"/>
      <c r="O821" s="3">
        <f>L821-M821</f>
        <v>0.90856635734118996</v>
      </c>
    </row>
    <row r="822" spans="1:15">
      <c r="A822" s="7"/>
      <c r="B822" s="8">
        <v>1.0097006711160386</v>
      </c>
      <c r="C822" s="8">
        <v>0.26302086313966178</v>
      </c>
      <c r="D822" s="8">
        <v>-0.76545275918666766</v>
      </c>
      <c r="E822" s="7">
        <v>0</v>
      </c>
      <c r="F822" s="7">
        <v>0</v>
      </c>
      <c r="G822" s="7">
        <v>-1.4990516053215155E-2</v>
      </c>
      <c r="H822" s="7">
        <v>-1.5970575730977998E-2</v>
      </c>
      <c r="I822" s="7">
        <v>0</v>
      </c>
      <c r="J822" s="7">
        <v>0</v>
      </c>
      <c r="K822" s="7">
        <v>2.0521745021313972E-2</v>
      </c>
      <c r="L822">
        <v>0.83729667312269707</v>
      </c>
      <c r="M822">
        <v>-2.7708420588978652E-3</v>
      </c>
      <c r="N822" s="9"/>
      <c r="O822" s="3">
        <f>L822-M822</f>
        <v>0.84006751518159495</v>
      </c>
    </row>
    <row r="823" spans="1:15">
      <c r="A823" s="7"/>
      <c r="B823" s="8"/>
      <c r="C823" s="8"/>
      <c r="D823" s="8"/>
      <c r="E823" s="7"/>
      <c r="F823" s="7"/>
      <c r="G823" s="7"/>
      <c r="H823" s="7"/>
      <c r="I823" s="7"/>
      <c r="J823" s="7"/>
      <c r="K823" s="7"/>
      <c r="N823" s="10"/>
      <c r="O823" s="3"/>
    </row>
    <row r="824" spans="1:15">
      <c r="A824" s="7"/>
      <c r="B824" s="8">
        <v>2.0770709056556562</v>
      </c>
      <c r="C824" s="8">
        <v>-2.1445635165533226</v>
      </c>
      <c r="D824" s="8">
        <v>-5.6653180844775664E-2</v>
      </c>
      <c r="E824" s="7">
        <v>-1.4990516053215155E-2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>
        <v>4.4582929032762966</v>
      </c>
      <c r="M824">
        <v>0</v>
      </c>
      <c r="N824" s="9"/>
      <c r="O824" s="3">
        <f>L824-M824</f>
        <v>4.4582929032762966</v>
      </c>
    </row>
    <row r="825" spans="1:15">
      <c r="A825" s="7" t="s">
        <v>219</v>
      </c>
      <c r="B825" s="8">
        <v>2.4772611105726599</v>
      </c>
      <c r="C825" s="8">
        <v>-1.0605572692523213</v>
      </c>
      <c r="D825" s="8">
        <v>-3.9812674620544719E-2</v>
      </c>
      <c r="E825" s="7">
        <v>0</v>
      </c>
      <c r="F825" s="7">
        <v>-1.4990516053215155E-2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>
        <v>3.6315946901900351</v>
      </c>
      <c r="M825">
        <v>0</v>
      </c>
      <c r="N825" s="9"/>
      <c r="O825" s="3">
        <f>L825-M825</f>
        <v>3.6315946901900351</v>
      </c>
    </row>
    <row r="826" spans="1:15">
      <c r="A826" s="7"/>
      <c r="B826" s="8">
        <v>1.6188303733889171</v>
      </c>
      <c r="C826" s="8">
        <v>-1.9594494251009342E-2</v>
      </c>
      <c r="D826" s="8">
        <v>-7.7422792294721043E-2</v>
      </c>
      <c r="E826" s="7">
        <v>0</v>
      </c>
      <c r="F826" s="7">
        <v>0</v>
      </c>
      <c r="G826" s="7">
        <v>-1.4990516053215155E-2</v>
      </c>
      <c r="H826" s="7">
        <v>0</v>
      </c>
      <c r="I826" s="7">
        <v>0</v>
      </c>
      <c r="J826" s="7">
        <v>0</v>
      </c>
      <c r="K826" s="7">
        <v>0</v>
      </c>
      <c r="L826">
        <v>1.3134950053890826</v>
      </c>
      <c r="M826">
        <v>0</v>
      </c>
      <c r="N826" s="9"/>
      <c r="O826" s="3">
        <f>L826-M826</f>
        <v>1.3134950053890826</v>
      </c>
    </row>
    <row r="827" spans="1:15">
      <c r="A827" s="7"/>
      <c r="B827" s="8"/>
      <c r="C827" s="8"/>
      <c r="D827" s="8"/>
      <c r="E827" s="7"/>
      <c r="F827" s="7"/>
      <c r="G827" s="7"/>
      <c r="H827" s="7"/>
      <c r="I827" s="7"/>
      <c r="J827" s="7"/>
      <c r="K827" s="7"/>
      <c r="N827" s="10"/>
      <c r="O827" s="3"/>
    </row>
    <row r="828" spans="1:15">
      <c r="A828" s="7"/>
      <c r="B828" s="8">
        <v>2.0770709056556562</v>
      </c>
      <c r="C828" s="8">
        <v>-2.1445635165533226</v>
      </c>
      <c r="D828" s="8">
        <v>-5.6653180844775664E-2</v>
      </c>
      <c r="E828" s="7">
        <v>-1.4990516053215155E-2</v>
      </c>
      <c r="F828" s="7">
        <v>0</v>
      </c>
      <c r="G828" s="7">
        <v>0</v>
      </c>
      <c r="H828" s="7">
        <v>-1.5970575730977998E-2</v>
      </c>
      <c r="I828" s="7">
        <v>2.2872089329671663E-2</v>
      </c>
      <c r="J828" s="7">
        <v>0</v>
      </c>
      <c r="K828" s="7">
        <v>0</v>
      </c>
      <c r="L828">
        <v>4.4582929032762966</v>
      </c>
      <c r="M828">
        <v>-4.4724002741192721E-3</v>
      </c>
      <c r="N828" s="9"/>
      <c r="O828" s="3">
        <f>L828-M828</f>
        <v>4.462765303550416</v>
      </c>
    </row>
    <row r="829" spans="1:15">
      <c r="A829" s="7" t="s">
        <v>220</v>
      </c>
      <c r="B829" s="8">
        <v>2.4772611105726599</v>
      </c>
      <c r="C829" s="8">
        <v>-1.0605572692523213</v>
      </c>
      <c r="D829" s="8">
        <v>-3.9812674620544719E-2</v>
      </c>
      <c r="E829" s="7">
        <v>0</v>
      </c>
      <c r="F829" s="7">
        <v>-1.4990516053215155E-2</v>
      </c>
      <c r="G829" s="7">
        <v>0</v>
      </c>
      <c r="H829" s="7">
        <v>-1.5970575730977998E-2</v>
      </c>
      <c r="I829" s="7">
        <v>0</v>
      </c>
      <c r="J829" s="7">
        <v>1.6236379226863738E-2</v>
      </c>
      <c r="K829" s="7">
        <v>0</v>
      </c>
      <c r="L829">
        <v>3.6315946901900351</v>
      </c>
      <c r="M829">
        <v>-1.4282283579643661E-4</v>
      </c>
      <c r="N829" s="9"/>
      <c r="O829" s="3">
        <f>L829-M829</f>
        <v>3.6317375130258314</v>
      </c>
    </row>
    <row r="830" spans="1:15">
      <c r="A830" s="7"/>
      <c r="B830" s="8">
        <v>1.0097006711160386</v>
      </c>
      <c r="C830" s="8">
        <v>0.26302086313966178</v>
      </c>
      <c r="D830" s="8">
        <v>-0.76545275918666766</v>
      </c>
      <c r="E830" s="7">
        <v>0</v>
      </c>
      <c r="F830" s="7">
        <v>0</v>
      </c>
      <c r="G830" s="7">
        <v>-1.4990516053215155E-2</v>
      </c>
      <c r="H830" s="7">
        <v>-1.5970575730977998E-2</v>
      </c>
      <c r="I830" s="7">
        <v>0</v>
      </c>
      <c r="J830" s="7">
        <v>0</v>
      </c>
      <c r="K830" s="7">
        <v>2.0521745021313972E-2</v>
      </c>
      <c r="L830">
        <v>0.83729667312269707</v>
      </c>
      <c r="M830">
        <v>-2.7708420588978652E-3</v>
      </c>
      <c r="N830" s="9"/>
      <c r="O830" s="3">
        <f>L830-M830</f>
        <v>0.84006751518159495</v>
      </c>
    </row>
    <row r="831" spans="1:15">
      <c r="A831" s="7"/>
      <c r="B831" s="8"/>
      <c r="C831" s="8"/>
      <c r="D831" s="8"/>
      <c r="E831" s="7"/>
      <c r="F831" s="7"/>
      <c r="G831" s="7"/>
      <c r="H831" s="7"/>
      <c r="I831" s="7"/>
      <c r="J831" s="7"/>
      <c r="K831" s="7"/>
      <c r="N831" s="10"/>
      <c r="O831" s="3"/>
    </row>
    <row r="832" spans="1:15">
      <c r="A832" s="7"/>
      <c r="B832" s="8">
        <v>2.0770709056556562</v>
      </c>
      <c r="C832" s="8">
        <v>-2.1445635165533226</v>
      </c>
      <c r="D832" s="8">
        <v>-5.6653180844775664E-2</v>
      </c>
      <c r="E832" s="7">
        <v>-1.4990516053215155E-2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>
        <v>4.4582929032762966</v>
      </c>
      <c r="M832">
        <v>0</v>
      </c>
      <c r="N832" s="9"/>
      <c r="O832" s="3">
        <f>L832-M832</f>
        <v>4.4582929032762966</v>
      </c>
    </row>
    <row r="833" spans="1:15">
      <c r="A833" s="7" t="s">
        <v>221</v>
      </c>
      <c r="B833" s="8">
        <v>1.6188303733889171</v>
      </c>
      <c r="C833" s="8">
        <v>-1.9594494251009342E-2</v>
      </c>
      <c r="D833" s="8">
        <v>-7.7422792294721043E-2</v>
      </c>
      <c r="E833" s="7">
        <v>0</v>
      </c>
      <c r="F833" s="7">
        <v>-1.4990516053215155E-2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>
        <v>1.3134950053890826</v>
      </c>
      <c r="M833">
        <v>0</v>
      </c>
      <c r="N833" s="9"/>
      <c r="O833" s="3">
        <f>L833-M833</f>
        <v>1.3134950053890826</v>
      </c>
    </row>
    <row r="834" spans="1:15">
      <c r="A834" s="7"/>
      <c r="B834" s="8">
        <v>1.0097006711160386</v>
      </c>
      <c r="C834" s="8">
        <v>0.26302086313966178</v>
      </c>
      <c r="D834" s="8">
        <v>-0.76545275918666766</v>
      </c>
      <c r="E834" s="7">
        <v>0</v>
      </c>
      <c r="F834" s="7">
        <v>0</v>
      </c>
      <c r="G834" s="7">
        <v>-1.4990516053215155E-2</v>
      </c>
      <c r="H834" s="7">
        <v>0</v>
      </c>
      <c r="I834" s="7">
        <v>0</v>
      </c>
      <c r="J834" s="7">
        <v>0</v>
      </c>
      <c r="K834" s="7">
        <v>0</v>
      </c>
      <c r="L834">
        <v>0.83729667312269707</v>
      </c>
      <c r="M834">
        <v>0</v>
      </c>
      <c r="N834" s="9"/>
      <c r="O834" s="3">
        <f>L834-M834</f>
        <v>0.83729667312269707</v>
      </c>
    </row>
    <row r="835" spans="1:15">
      <c r="A835" s="7"/>
      <c r="B835" s="8"/>
      <c r="C835" s="8"/>
      <c r="D835" s="8"/>
      <c r="E835" s="7"/>
      <c r="F835" s="7"/>
      <c r="G835" s="7"/>
      <c r="H835" s="7"/>
      <c r="I835" s="7"/>
      <c r="J835" s="7"/>
      <c r="K835" s="7"/>
      <c r="N835" s="10"/>
      <c r="O835" s="3"/>
    </row>
    <row r="836" spans="1:15">
      <c r="A836" s="7"/>
      <c r="B836" s="8">
        <v>-0.36768865949079377</v>
      </c>
      <c r="C836" s="8">
        <v>-1.2890795247765441</v>
      </c>
      <c r="D836" s="8">
        <v>-0.10954983766095538</v>
      </c>
      <c r="E836" s="7">
        <v>-1.4990516053215155E-2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>
        <v>0.90446106922389957</v>
      </c>
      <c r="M836">
        <v>0</v>
      </c>
      <c r="N836" s="9"/>
      <c r="O836" s="3">
        <f>L836-M836</f>
        <v>0.90446106922389957</v>
      </c>
    </row>
    <row r="837" spans="1:15">
      <c r="A837" s="7" t="s">
        <v>222</v>
      </c>
      <c r="B837" s="8">
        <v>2.4772611105726599</v>
      </c>
      <c r="C837" s="8">
        <v>-1.0605572692523213</v>
      </c>
      <c r="D837" s="8">
        <v>-3.9812674620544719E-2</v>
      </c>
      <c r="E837" s="7">
        <v>0</v>
      </c>
      <c r="F837" s="7">
        <v>-1.4990516053215155E-2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>
        <v>3.6315946901900351</v>
      </c>
      <c r="M837">
        <v>0</v>
      </c>
      <c r="N837" s="9"/>
      <c r="O837" s="3">
        <f>L837-M837</f>
        <v>3.6315946901900351</v>
      </c>
    </row>
    <row r="838" spans="1:15">
      <c r="A838" s="7"/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0</v>
      </c>
      <c r="G838" s="7">
        <v>-1.4990516053215155E-2</v>
      </c>
      <c r="H838" s="7">
        <v>0</v>
      </c>
      <c r="I838" s="7">
        <v>0</v>
      </c>
      <c r="J838" s="7">
        <v>0</v>
      </c>
      <c r="K838" s="7">
        <v>0</v>
      </c>
      <c r="L838">
        <v>1.3134950053890826</v>
      </c>
      <c r="M838">
        <v>0</v>
      </c>
      <c r="N838" s="9"/>
      <c r="O838" s="3">
        <f>L838-M838</f>
        <v>1.3134950053890826</v>
      </c>
    </row>
    <row r="839" spans="1:15">
      <c r="A839" s="7"/>
      <c r="B839" s="8"/>
      <c r="C839" s="8"/>
      <c r="D839" s="8"/>
      <c r="E839" s="7"/>
      <c r="F839" s="7"/>
      <c r="G839" s="7"/>
      <c r="H839" s="7"/>
      <c r="I839" s="7"/>
      <c r="J839" s="7"/>
      <c r="K839" s="7"/>
      <c r="N839" s="10"/>
      <c r="O839" s="3"/>
    </row>
    <row r="840" spans="1:15">
      <c r="A840" s="7"/>
      <c r="B840" s="8">
        <v>-0.36768865949079377</v>
      </c>
      <c r="C840" s="8">
        <v>-1.2890795247765441</v>
      </c>
      <c r="D840" s="8">
        <v>-0.10954983766095538</v>
      </c>
      <c r="E840" s="7">
        <v>-1.4990516053215155E-2</v>
      </c>
      <c r="F840" s="7">
        <v>0</v>
      </c>
      <c r="G840" s="7">
        <v>0</v>
      </c>
      <c r="H840" s="7">
        <v>-1.5970575730977998E-2</v>
      </c>
      <c r="I840" s="7">
        <v>2.2385887789414392E-2</v>
      </c>
      <c r="J840" s="7">
        <v>0</v>
      </c>
      <c r="K840" s="7">
        <v>0</v>
      </c>
      <c r="L840">
        <v>0.90446106922389957</v>
      </c>
      <c r="M840">
        <v>-4.1052881172903618E-3</v>
      </c>
      <c r="N840" s="9"/>
      <c r="O840" s="3">
        <f>L840-M840</f>
        <v>0.90856635734118996</v>
      </c>
    </row>
    <row r="841" spans="1:15">
      <c r="A841" s="7" t="s">
        <v>223</v>
      </c>
      <c r="B841" s="8">
        <v>2.4772611105726599</v>
      </c>
      <c r="C841" s="8">
        <v>-1.0605572692523213</v>
      </c>
      <c r="D841" s="8">
        <v>-3.9812674620544719E-2</v>
      </c>
      <c r="E841" s="7">
        <v>0</v>
      </c>
      <c r="F841" s="7">
        <v>-1.4990516053215155E-2</v>
      </c>
      <c r="G841" s="7">
        <v>0</v>
      </c>
      <c r="H841" s="7">
        <v>-1.5970575730977998E-2</v>
      </c>
      <c r="I841" s="7">
        <v>0</v>
      </c>
      <c r="J841" s="7">
        <v>1.6236379226863738E-2</v>
      </c>
      <c r="K841" s="7">
        <v>0</v>
      </c>
      <c r="L841">
        <v>3.6315946901900351</v>
      </c>
      <c r="M841">
        <v>-1.4282283579643661E-4</v>
      </c>
      <c r="N841" s="9"/>
      <c r="O841" s="3">
        <f>L841-M841</f>
        <v>3.6317375130258314</v>
      </c>
    </row>
    <row r="842" spans="1:15">
      <c r="A842" s="7"/>
      <c r="B842" s="8">
        <v>1.0097006711160386</v>
      </c>
      <c r="C842" s="8">
        <v>0.26302086313966178</v>
      </c>
      <c r="D842" s="8">
        <v>-0.76545275918666766</v>
      </c>
      <c r="E842" s="7">
        <v>0</v>
      </c>
      <c r="F842" s="7">
        <v>0</v>
      </c>
      <c r="G842" s="7">
        <v>-1.4990516053215155E-2</v>
      </c>
      <c r="H842" s="7">
        <v>-1.5970575730977998E-2</v>
      </c>
      <c r="I842" s="7">
        <v>0</v>
      </c>
      <c r="J842" s="7">
        <v>0</v>
      </c>
      <c r="K842" s="7">
        <v>2.0521745021313972E-2</v>
      </c>
      <c r="L842">
        <v>0.83729667312269707</v>
      </c>
      <c r="M842">
        <v>-2.7708420588978652E-3</v>
      </c>
      <c r="N842" s="9"/>
      <c r="O842" s="3">
        <f>L842-M842</f>
        <v>0.84006751518159495</v>
      </c>
    </row>
    <row r="843" spans="1:15">
      <c r="A843" s="7"/>
      <c r="B843" s="8"/>
      <c r="C843" s="8"/>
      <c r="D843" s="8"/>
      <c r="E843" s="7"/>
      <c r="F843" s="7"/>
      <c r="G843" s="7"/>
      <c r="H843" s="7"/>
      <c r="I843" s="7"/>
      <c r="J843" s="7"/>
      <c r="K843" s="7"/>
      <c r="N843" s="10"/>
      <c r="O843" s="3"/>
    </row>
    <row r="844" spans="1:15">
      <c r="A844" s="7"/>
      <c r="B844" s="8">
        <v>-0.36768865949079377</v>
      </c>
      <c r="C844" s="8">
        <v>-1.2890795247765441</v>
      </c>
      <c r="D844" s="8">
        <v>-0.10954983766095538</v>
      </c>
      <c r="E844" s="7">
        <v>-1.4990516053215155E-2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>
        <v>0.90446106922389957</v>
      </c>
      <c r="M844">
        <v>0</v>
      </c>
      <c r="N844" s="9"/>
      <c r="O844" s="3">
        <f>L844-M844</f>
        <v>0.90446106922389957</v>
      </c>
    </row>
    <row r="845" spans="1:15">
      <c r="A845" s="7" t="s">
        <v>224</v>
      </c>
      <c r="B845" s="8">
        <v>1.6188303733889171</v>
      </c>
      <c r="C845" s="8">
        <v>-1.9594494251009342E-2</v>
      </c>
      <c r="D845" s="8">
        <v>-7.7422792294721043E-2</v>
      </c>
      <c r="E845" s="7">
        <v>0</v>
      </c>
      <c r="F845" s="7">
        <v>-1.4990516053215155E-2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>
        <v>1.3134950053890826</v>
      </c>
      <c r="M845">
        <v>0</v>
      </c>
      <c r="N845" s="9"/>
      <c r="O845" s="3">
        <f>L845-M845</f>
        <v>1.3134950053890826</v>
      </c>
    </row>
    <row r="846" spans="1:15">
      <c r="A846" s="7"/>
      <c r="B846" s="8">
        <v>1.0097006711160386</v>
      </c>
      <c r="C846" s="8">
        <v>0.26302086313966178</v>
      </c>
      <c r="D846" s="8">
        <v>-0.76545275918666766</v>
      </c>
      <c r="E846" s="7">
        <v>0</v>
      </c>
      <c r="F846" s="7">
        <v>0</v>
      </c>
      <c r="G846" s="7">
        <v>-1.4990516053215155E-2</v>
      </c>
      <c r="H846" s="7">
        <v>0</v>
      </c>
      <c r="I846" s="7">
        <v>0</v>
      </c>
      <c r="J846" s="7">
        <v>0</v>
      </c>
      <c r="K846" s="7">
        <v>0</v>
      </c>
      <c r="L846">
        <v>0.83729667312269707</v>
      </c>
      <c r="M846">
        <v>0</v>
      </c>
      <c r="N846" s="9"/>
      <c r="O846" s="3">
        <f>L846-M846</f>
        <v>0.83729667312269707</v>
      </c>
    </row>
    <row r="847" spans="1:15">
      <c r="A847" s="7"/>
      <c r="B847" s="8"/>
      <c r="C847" s="8"/>
      <c r="D847" s="8"/>
      <c r="E847" s="7"/>
      <c r="F847" s="7"/>
      <c r="G847" s="7"/>
      <c r="H847" s="7"/>
      <c r="I847" s="7"/>
      <c r="J847" s="7"/>
      <c r="K847" s="7"/>
      <c r="N847" s="10"/>
      <c r="O847" s="3"/>
    </row>
    <row r="848" spans="1:15">
      <c r="A848" s="7"/>
      <c r="B848" s="8">
        <v>2.4772611105726599</v>
      </c>
      <c r="C848" s="8">
        <v>-1.0605572692523213</v>
      </c>
      <c r="D848" s="8">
        <v>-3.9812674620544719E-2</v>
      </c>
      <c r="E848" s="7">
        <v>-1.4990516053215155E-2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>
        <v>3.6315946901900351</v>
      </c>
      <c r="M848">
        <v>0</v>
      </c>
      <c r="N848" s="9"/>
      <c r="O848" s="3">
        <f>L848-M848</f>
        <v>3.6315946901900351</v>
      </c>
    </row>
    <row r="849" spans="1:15">
      <c r="A849" s="7" t="s">
        <v>225</v>
      </c>
      <c r="B849" s="8">
        <v>1.6188303733889171</v>
      </c>
      <c r="C849" s="8">
        <v>-1.9594494251009342E-2</v>
      </c>
      <c r="D849" s="8">
        <v>-7.7422792294721043E-2</v>
      </c>
      <c r="E849" s="7">
        <v>0</v>
      </c>
      <c r="F849" s="7">
        <v>-1.4990516053215155E-2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>
        <v>1.3134950053890826</v>
      </c>
      <c r="M849">
        <v>0</v>
      </c>
      <c r="N849" s="9"/>
      <c r="O849" s="3">
        <f>L849-M849</f>
        <v>1.3134950053890826</v>
      </c>
    </row>
    <row r="850" spans="1:15">
      <c r="A850" s="7"/>
      <c r="B850" s="8">
        <v>1.0097006711160386</v>
      </c>
      <c r="C850" s="8">
        <v>0.26302086313966178</v>
      </c>
      <c r="D850" s="8">
        <v>-0.76545275918666766</v>
      </c>
      <c r="E850" s="7">
        <v>0</v>
      </c>
      <c r="F850" s="7">
        <v>0</v>
      </c>
      <c r="G850" s="7">
        <v>-1.4990516053215155E-2</v>
      </c>
      <c r="H850" s="7">
        <v>0</v>
      </c>
      <c r="I850" s="7">
        <v>0</v>
      </c>
      <c r="J850" s="7">
        <v>0</v>
      </c>
      <c r="K850" s="7">
        <v>0</v>
      </c>
      <c r="L850">
        <v>0.83729667312269707</v>
      </c>
      <c r="M850">
        <v>0</v>
      </c>
      <c r="N850" s="9"/>
      <c r="O850" s="3">
        <f>L850-M850</f>
        <v>0.83729667312269707</v>
      </c>
    </row>
    <row r="851" spans="1:15">
      <c r="A851" s="7"/>
      <c r="B851" s="8"/>
      <c r="C851" s="8"/>
      <c r="D851" s="8"/>
      <c r="E851" s="7"/>
      <c r="F851" s="7"/>
      <c r="G851" s="7"/>
      <c r="H851" s="7"/>
      <c r="I851" s="7"/>
      <c r="J851" s="7"/>
      <c r="K851" s="7"/>
      <c r="N851" s="10"/>
      <c r="O851" s="3"/>
    </row>
    <row r="852" spans="1:15">
      <c r="A852" s="7"/>
      <c r="B852" s="8">
        <v>-0.58367185674448252</v>
      </c>
      <c r="C852" s="8">
        <v>-2.0841504898711007</v>
      </c>
      <c r="D852" s="8">
        <v>-0.75171422039661484</v>
      </c>
      <c r="E852" s="7">
        <v>-1.4990516053215155E-2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>
        <v>2.6247151849659955</v>
      </c>
      <c r="M852">
        <v>0</v>
      </c>
      <c r="N852" s="9"/>
      <c r="O852" s="3">
        <f>L852-M852</f>
        <v>2.6247151849659955</v>
      </c>
    </row>
    <row r="853" spans="1:15">
      <c r="A853" s="7" t="s">
        <v>226</v>
      </c>
      <c r="B853" s="8">
        <v>-1.8375474863113905</v>
      </c>
      <c r="C853" s="8">
        <v>-2.1167426559988707</v>
      </c>
      <c r="D853" s="8">
        <v>-1.2367606559382516E-2</v>
      </c>
      <c r="E853" s="7">
        <v>0</v>
      </c>
      <c r="F853" s="7">
        <v>-1.4990516053215155E-2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>
        <v>3.9286665969332351</v>
      </c>
      <c r="M853">
        <v>0</v>
      </c>
      <c r="N853" s="9"/>
      <c r="O853" s="3">
        <f>L853-M853</f>
        <v>3.9286665969332351</v>
      </c>
    </row>
    <row r="854" spans="1:15">
      <c r="A854" s="7"/>
      <c r="B854" s="8">
        <v>0.45824053226673911</v>
      </c>
      <c r="C854" s="8">
        <v>-2.124969022302313</v>
      </c>
      <c r="D854" s="8">
        <v>2.076961144994538E-2</v>
      </c>
      <c r="E854" s="7">
        <v>0</v>
      </c>
      <c r="F854" s="7">
        <v>0</v>
      </c>
      <c r="G854" s="7">
        <v>-1.4990516053215155E-2</v>
      </c>
      <c r="H854" s="7">
        <v>0</v>
      </c>
      <c r="I854" s="7">
        <v>0</v>
      </c>
      <c r="J854" s="7">
        <v>0</v>
      </c>
      <c r="K854" s="7">
        <v>0</v>
      </c>
      <c r="L854">
        <v>2.3629545539581671</v>
      </c>
      <c r="M854">
        <v>0</v>
      </c>
      <c r="N854" s="9"/>
      <c r="O854" s="3">
        <f>L854-M854</f>
        <v>2.3629545539581671</v>
      </c>
    </row>
    <row r="855" spans="1:15">
      <c r="A855" s="7"/>
      <c r="B855" s="8"/>
      <c r="C855" s="8"/>
      <c r="D855" s="8"/>
      <c r="E855" s="7"/>
      <c r="F855" s="7"/>
      <c r="G855" s="7"/>
      <c r="H855" s="7"/>
      <c r="I855" s="7"/>
      <c r="J855" s="7"/>
      <c r="K855" s="7"/>
      <c r="N855" s="10"/>
      <c r="O855" s="3"/>
    </row>
    <row r="856" spans="1:15">
      <c r="A856" s="7"/>
      <c r="B856" s="8">
        <v>-0.58367185674448252</v>
      </c>
      <c r="C856" s="8">
        <v>-2.0841504898711007</v>
      </c>
      <c r="D856" s="8">
        <v>-0.75171422039661484</v>
      </c>
      <c r="E856" s="7">
        <v>-1.4990516053215155E-2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>
        <v>2.6247151849659955</v>
      </c>
      <c r="M856">
        <v>0</v>
      </c>
      <c r="N856" s="9"/>
      <c r="O856" s="3">
        <f>L856-M856</f>
        <v>2.6247151849659955</v>
      </c>
    </row>
    <row r="857" spans="1:15">
      <c r="A857" s="7" t="s">
        <v>227</v>
      </c>
      <c r="B857" s="8">
        <v>-1.8375474863113905</v>
      </c>
      <c r="C857" s="8">
        <v>-2.1167426559988707</v>
      </c>
      <c r="D857" s="8">
        <v>-1.2367606559382516E-2</v>
      </c>
      <c r="E857" s="7">
        <v>0</v>
      </c>
      <c r="F857" s="7">
        <v>-1.4990516053215155E-2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>
        <v>3.9286665969332351</v>
      </c>
      <c r="M857">
        <v>0</v>
      </c>
      <c r="N857" s="9"/>
      <c r="O857" s="3">
        <f>L857-M857</f>
        <v>3.9286665969332351</v>
      </c>
    </row>
    <row r="858" spans="1:15">
      <c r="A858" s="7"/>
      <c r="B858" s="8">
        <v>-1.9865190328797109</v>
      </c>
      <c r="C858" s="8">
        <v>-1.2694850305255347</v>
      </c>
      <c r="D858" s="8">
        <v>-3.2127045366234341E-2</v>
      </c>
      <c r="E858" s="7">
        <v>0</v>
      </c>
      <c r="F858" s="7">
        <v>0</v>
      </c>
      <c r="G858" s="7">
        <v>-1.4990516053215155E-2</v>
      </c>
      <c r="H858" s="7">
        <v>0</v>
      </c>
      <c r="I858" s="7">
        <v>0</v>
      </c>
      <c r="J858" s="7">
        <v>0</v>
      </c>
      <c r="K858" s="7">
        <v>0</v>
      </c>
      <c r="L858">
        <v>2.779441128882862</v>
      </c>
      <c r="M858">
        <v>0</v>
      </c>
      <c r="N858" s="9"/>
      <c r="O858" s="3">
        <f>L858-M858</f>
        <v>2.779441128882862</v>
      </c>
    </row>
    <row r="859" spans="1:15">
      <c r="A859" s="7"/>
      <c r="B859" s="8"/>
      <c r="C859" s="8"/>
      <c r="D859" s="8"/>
      <c r="E859" s="7"/>
      <c r="F859" s="7"/>
      <c r="G859" s="7"/>
      <c r="H859" s="7"/>
      <c r="I859" s="7"/>
      <c r="J859" s="7"/>
      <c r="K859" s="7"/>
      <c r="N859" s="10"/>
      <c r="O859" s="3"/>
    </row>
    <row r="860" spans="1:15">
      <c r="A860" s="7"/>
      <c r="B860" s="8">
        <v>-0.58367185674448252</v>
      </c>
      <c r="C860" s="8">
        <v>-2.0841504898711007</v>
      </c>
      <c r="D860" s="8">
        <v>-0.75171422039661484</v>
      </c>
      <c r="E860" s="7">
        <v>-1.4990516053215155E-2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>
        <v>2.6247151849659955</v>
      </c>
      <c r="M860">
        <v>0</v>
      </c>
      <c r="N860" s="9"/>
      <c r="O860" s="3">
        <f>L860-M860</f>
        <v>2.6247151849659955</v>
      </c>
    </row>
    <row r="861" spans="1:15">
      <c r="A861" s="7" t="s">
        <v>228</v>
      </c>
      <c r="B861" s="8">
        <v>-1.8375474863113905</v>
      </c>
      <c r="C861" s="8">
        <v>-2.1167426559988707</v>
      </c>
      <c r="D861" s="8">
        <v>-1.2367606559382516E-2</v>
      </c>
      <c r="E861" s="7">
        <v>0</v>
      </c>
      <c r="F861" s="7">
        <v>-1.4990516053215155E-2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>
        <v>3.9286665969332351</v>
      </c>
      <c r="M861">
        <v>0</v>
      </c>
      <c r="N861" s="9"/>
      <c r="O861" s="3">
        <f>L861-M861</f>
        <v>3.9286665969332351</v>
      </c>
    </row>
    <row r="862" spans="1:15">
      <c r="A862" s="7"/>
      <c r="B862" s="8">
        <v>0.85843073718374274</v>
      </c>
      <c r="C862" s="8">
        <v>-1.040962775001312</v>
      </c>
      <c r="D862" s="8">
        <v>3.7610117674176324E-2</v>
      </c>
      <c r="E862" s="7">
        <v>0</v>
      </c>
      <c r="F862" s="7">
        <v>0</v>
      </c>
      <c r="G862" s="7">
        <v>-1.4990516053215155E-2</v>
      </c>
      <c r="H862" s="7">
        <v>0</v>
      </c>
      <c r="I862" s="7">
        <v>0</v>
      </c>
      <c r="J862" s="7">
        <v>0</v>
      </c>
      <c r="K862" s="7">
        <v>0</v>
      </c>
      <c r="L862">
        <v>0.91096067521586066</v>
      </c>
      <c r="M862">
        <v>0</v>
      </c>
      <c r="N862" s="9"/>
      <c r="O862" s="3">
        <f>L862-M862</f>
        <v>0.91096067521586066</v>
      </c>
    </row>
    <row r="863" spans="1:15">
      <c r="A863" s="7"/>
      <c r="B863" s="8"/>
      <c r="C863" s="8"/>
      <c r="D863" s="8"/>
      <c r="E863" s="7"/>
      <c r="F863" s="7"/>
      <c r="G863" s="7"/>
      <c r="H863" s="7"/>
      <c r="I863" s="7"/>
      <c r="J863" s="7"/>
      <c r="K863" s="7"/>
      <c r="N863" s="10"/>
      <c r="O863" s="3"/>
    </row>
    <row r="864" spans="1:15">
      <c r="A864" s="7"/>
      <c r="B864" s="8">
        <v>-0.58367185674448252</v>
      </c>
      <c r="C864" s="8">
        <v>-2.0841504898711007</v>
      </c>
      <c r="D864" s="8">
        <v>-0.75171422039661484</v>
      </c>
      <c r="E864" s="7">
        <v>-1.4990516053215155E-2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>
        <v>2.6247151849659955</v>
      </c>
      <c r="M864">
        <v>0</v>
      </c>
      <c r="N864" s="9"/>
      <c r="O864" s="3">
        <f>L864-M864</f>
        <v>2.6247151849659955</v>
      </c>
    </row>
    <row r="865" spans="1:15">
      <c r="A865" s="7" t="s">
        <v>229</v>
      </c>
      <c r="B865" s="8">
        <v>-1.8375474863113905</v>
      </c>
      <c r="C865" s="8">
        <v>-2.1167426559988707</v>
      </c>
      <c r="D865" s="8">
        <v>-1.2367606559382516E-2</v>
      </c>
      <c r="E865" s="7">
        <v>0</v>
      </c>
      <c r="F865" s="7">
        <v>-1.4990516053215155E-2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>
        <v>3.9286665969332351</v>
      </c>
      <c r="M865">
        <v>0</v>
      </c>
      <c r="N865" s="9"/>
      <c r="O865" s="3">
        <f>L865-M865</f>
        <v>3.9286665969332351</v>
      </c>
    </row>
    <row r="866" spans="1:15">
      <c r="A866" s="7"/>
      <c r="B866" s="8">
        <v>-1.6188303733889171</v>
      </c>
      <c r="C866" s="8">
        <v>1.9594494251009342E-2</v>
      </c>
      <c r="D866" s="8">
        <v>7.7422792294721043E-2</v>
      </c>
      <c r="E866" s="7">
        <v>0</v>
      </c>
      <c r="F866" s="7">
        <v>0</v>
      </c>
      <c r="G866" s="7">
        <v>-1.4990516053215155E-2</v>
      </c>
      <c r="H866" s="7">
        <v>0</v>
      </c>
      <c r="I866" s="7">
        <v>0</v>
      </c>
      <c r="J866" s="7">
        <v>0</v>
      </c>
      <c r="K866" s="7">
        <v>0</v>
      </c>
      <c r="L866">
        <v>1.3134950053890826</v>
      </c>
      <c r="M866">
        <v>0</v>
      </c>
      <c r="N866" s="9"/>
      <c r="O866" s="3">
        <f>L866-M866</f>
        <v>1.3134950053890826</v>
      </c>
    </row>
    <row r="867" spans="1:15">
      <c r="A867" s="7"/>
      <c r="B867" s="8"/>
      <c r="C867" s="8"/>
      <c r="D867" s="8"/>
      <c r="E867" s="7"/>
      <c r="F867" s="7"/>
      <c r="G867" s="7"/>
      <c r="H867" s="7"/>
      <c r="I867" s="7"/>
      <c r="J867" s="7"/>
      <c r="K867" s="7"/>
      <c r="N867" s="10"/>
      <c r="O867" s="3"/>
    </row>
    <row r="868" spans="1:15">
      <c r="A868" s="7"/>
      <c r="B868" s="8">
        <v>-0.58367185674448252</v>
      </c>
      <c r="C868" s="8">
        <v>-2.0841504898711007</v>
      </c>
      <c r="D868" s="8">
        <v>-0.75171422039661484</v>
      </c>
      <c r="E868" s="7">
        <v>-1.4990516053215155E-2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>
        <v>2.6247151849659955</v>
      </c>
      <c r="M868">
        <v>0</v>
      </c>
      <c r="N868" s="9"/>
      <c r="O868" s="3">
        <f>L868-M868</f>
        <v>2.6247151849659955</v>
      </c>
    </row>
    <row r="869" spans="1:15">
      <c r="A869" s="7" t="s">
        <v>230</v>
      </c>
      <c r="B869" s="8">
        <v>-1.8375474863113905</v>
      </c>
      <c r="C869" s="8">
        <v>-2.1167426559988707</v>
      </c>
      <c r="D869" s="8">
        <v>-1.2367606559382516E-2</v>
      </c>
      <c r="E869" s="7">
        <v>0</v>
      </c>
      <c r="F869" s="7">
        <v>-1.4990516053215155E-2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>
        <v>3.9286665969332351</v>
      </c>
      <c r="M869">
        <v>0</v>
      </c>
      <c r="N869" s="9"/>
      <c r="O869" s="3">
        <f>L869-M869</f>
        <v>3.9286665969332351</v>
      </c>
    </row>
    <row r="870" spans="1:15">
      <c r="A870" s="7"/>
      <c r="B870" s="8">
        <v>-0.60912970227287866</v>
      </c>
      <c r="C870" s="8">
        <v>0.28261535739067112</v>
      </c>
      <c r="D870" s="8">
        <v>-0.68802996689194662</v>
      </c>
      <c r="E870" s="7">
        <v>0</v>
      </c>
      <c r="F870" s="7">
        <v>0</v>
      </c>
      <c r="G870" s="7">
        <v>-1.4990516053215155E-2</v>
      </c>
      <c r="H870" s="7">
        <v>0</v>
      </c>
      <c r="I870" s="7">
        <v>0</v>
      </c>
      <c r="J870" s="7">
        <v>0</v>
      </c>
      <c r="K870" s="7">
        <v>0</v>
      </c>
      <c r="L870">
        <v>0.46214783488271782</v>
      </c>
      <c r="M870">
        <v>0</v>
      </c>
      <c r="N870" s="9"/>
      <c r="O870" s="3">
        <f>L870-M870</f>
        <v>0.46214783488271782</v>
      </c>
    </row>
    <row r="871" spans="1:15">
      <c r="A871" s="7"/>
      <c r="B871" s="8"/>
      <c r="C871" s="8"/>
      <c r="D871" s="8"/>
      <c r="E871" s="7"/>
      <c r="F871" s="7"/>
      <c r="G871" s="7"/>
      <c r="H871" s="7"/>
      <c r="I871" s="7"/>
      <c r="J871" s="7"/>
      <c r="K871" s="7"/>
      <c r="N871" s="10"/>
      <c r="O871" s="3"/>
    </row>
    <row r="872" spans="1:15">
      <c r="A872" s="7"/>
      <c r="B872" s="8">
        <v>-0.58367185674448252</v>
      </c>
      <c r="C872" s="8">
        <v>-2.0841504898711007</v>
      </c>
      <c r="D872" s="8">
        <v>-0.75171422039661484</v>
      </c>
      <c r="E872" s="7">
        <v>-1.4990516053215155E-2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>
        <v>2.6247151849659955</v>
      </c>
      <c r="M872">
        <v>0</v>
      </c>
      <c r="N872" s="9"/>
      <c r="O872" s="3">
        <f>L872-M872</f>
        <v>2.6247151849659955</v>
      </c>
    </row>
    <row r="873" spans="1:15">
      <c r="A873" s="7" t="s">
        <v>231</v>
      </c>
      <c r="B873" s="8">
        <v>0.45824053226673911</v>
      </c>
      <c r="C873" s="8">
        <v>-2.124969022302313</v>
      </c>
      <c r="D873" s="8">
        <v>2.076961144994538E-2</v>
      </c>
      <c r="E873" s="7">
        <v>0</v>
      </c>
      <c r="F873" s="7">
        <v>-1.4990516053215155E-2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>
        <v>2.3629545539581671</v>
      </c>
      <c r="M873">
        <v>0</v>
      </c>
      <c r="N873" s="9"/>
      <c r="O873" s="3">
        <f>L873-M873</f>
        <v>2.3629545539581671</v>
      </c>
    </row>
    <row r="874" spans="1:15">
      <c r="A874" s="7"/>
      <c r="B874" s="8">
        <v>-1.9865190328797109</v>
      </c>
      <c r="C874" s="8">
        <v>-1.2694850305255347</v>
      </c>
      <c r="D874" s="8">
        <v>-3.2127045366234341E-2</v>
      </c>
      <c r="E874" s="7">
        <v>0</v>
      </c>
      <c r="F874" s="7">
        <v>0</v>
      </c>
      <c r="G874" s="7">
        <v>-1.4990516053215155E-2</v>
      </c>
      <c r="H874" s="7">
        <v>0</v>
      </c>
      <c r="I874" s="7">
        <v>0</v>
      </c>
      <c r="J874" s="7">
        <v>0</v>
      </c>
      <c r="K874" s="7">
        <v>0</v>
      </c>
      <c r="L874">
        <v>2.779441128882862</v>
      </c>
      <c r="M874">
        <v>0</v>
      </c>
      <c r="N874" s="9"/>
      <c r="O874" s="3">
        <f>L874-M874</f>
        <v>2.779441128882862</v>
      </c>
    </row>
    <row r="875" spans="1:15">
      <c r="A875" s="7"/>
      <c r="B875" s="8"/>
      <c r="C875" s="8"/>
      <c r="D875" s="8"/>
      <c r="E875" s="7"/>
      <c r="F875" s="7"/>
      <c r="G875" s="7"/>
      <c r="H875" s="7"/>
      <c r="I875" s="7"/>
      <c r="J875" s="7"/>
      <c r="K875" s="7"/>
      <c r="N875" s="10"/>
      <c r="O875" s="3"/>
    </row>
    <row r="876" spans="1:15">
      <c r="A876" s="7"/>
      <c r="B876" s="8">
        <v>-0.58367185674448252</v>
      </c>
      <c r="C876" s="8">
        <v>-2.0841504898711007</v>
      </c>
      <c r="D876" s="8">
        <v>-0.75171422039661484</v>
      </c>
      <c r="E876" s="7">
        <v>-1.4990516053215155E-2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>
        <v>2.6247151849659955</v>
      </c>
      <c r="M876">
        <v>0</v>
      </c>
      <c r="N876" s="9"/>
      <c r="O876" s="3">
        <f>L876-M876</f>
        <v>2.6247151849659955</v>
      </c>
    </row>
    <row r="877" spans="1:15">
      <c r="A877" s="7" t="s">
        <v>232</v>
      </c>
      <c r="B877" s="8">
        <v>0.45824053226673911</v>
      </c>
      <c r="C877" s="8">
        <v>-2.124969022302313</v>
      </c>
      <c r="D877" s="8">
        <v>2.076961144994538E-2</v>
      </c>
      <c r="E877" s="7">
        <v>0</v>
      </c>
      <c r="F877" s="7">
        <v>-1.4990516053215155E-2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>
        <v>2.3629545539581671</v>
      </c>
      <c r="M877">
        <v>0</v>
      </c>
      <c r="N877" s="9"/>
      <c r="O877" s="3">
        <f>L877-M877</f>
        <v>2.3629545539581671</v>
      </c>
    </row>
    <row r="878" spans="1:15">
      <c r="A878" s="7"/>
      <c r="B878" s="8">
        <v>0.85843073718374274</v>
      </c>
      <c r="C878" s="8">
        <v>-1.040962775001312</v>
      </c>
      <c r="D878" s="8">
        <v>3.7610117674176324E-2</v>
      </c>
      <c r="E878" s="7">
        <v>0</v>
      </c>
      <c r="F878" s="7">
        <v>0</v>
      </c>
      <c r="G878" s="7">
        <v>-1.4990516053215155E-2</v>
      </c>
      <c r="H878" s="7">
        <v>0</v>
      </c>
      <c r="I878" s="7">
        <v>0</v>
      </c>
      <c r="J878" s="7">
        <v>0</v>
      </c>
      <c r="K878" s="7">
        <v>0</v>
      </c>
      <c r="L878">
        <v>0.91096067521586066</v>
      </c>
      <c r="M878">
        <v>0</v>
      </c>
      <c r="N878" s="9"/>
      <c r="O878" s="3">
        <f>L878-M878</f>
        <v>0.91096067521586066</v>
      </c>
    </row>
    <row r="879" spans="1:15">
      <c r="A879" s="7"/>
      <c r="B879" s="8"/>
      <c r="C879" s="8"/>
      <c r="D879" s="8"/>
      <c r="E879" s="7"/>
      <c r="F879" s="7"/>
      <c r="G879" s="7"/>
      <c r="H879" s="7"/>
      <c r="I879" s="7"/>
      <c r="J879" s="7"/>
      <c r="K879" s="7"/>
      <c r="N879" s="10"/>
      <c r="O879" s="3"/>
    </row>
    <row r="880" spans="1:15">
      <c r="A880" s="7"/>
      <c r="B880" s="8">
        <v>-0.58367185674448252</v>
      </c>
      <c r="C880" s="8">
        <v>-2.0841504898711007</v>
      </c>
      <c r="D880" s="8">
        <v>-0.75171422039661484</v>
      </c>
      <c r="E880" s="7">
        <v>-1.4990516053215155E-2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>
        <v>2.6247151849659955</v>
      </c>
      <c r="M880">
        <v>0</v>
      </c>
      <c r="N880" s="9"/>
      <c r="O880" s="3">
        <f>L880-M880</f>
        <v>2.6247151849659955</v>
      </c>
    </row>
    <row r="881" spans="1:15">
      <c r="A881" s="7" t="s">
        <v>233</v>
      </c>
      <c r="B881" s="8">
        <v>0.45824053226673911</v>
      </c>
      <c r="C881" s="8">
        <v>-2.124969022302313</v>
      </c>
      <c r="D881" s="8">
        <v>2.076961144994538E-2</v>
      </c>
      <c r="E881" s="7">
        <v>0</v>
      </c>
      <c r="F881" s="7">
        <v>-1.4990516053215155E-2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>
        <v>2.3629545539581671</v>
      </c>
      <c r="M881">
        <v>0</v>
      </c>
      <c r="N881" s="9"/>
      <c r="O881" s="3">
        <f>L881-M881</f>
        <v>2.3629545539581671</v>
      </c>
    </row>
    <row r="882" spans="1:15">
      <c r="A882" s="7"/>
      <c r="B882" s="8">
        <v>-1.6188303733889171</v>
      </c>
      <c r="C882" s="8">
        <v>1.9594494251009342E-2</v>
      </c>
      <c r="D882" s="8">
        <v>7.7422792294721043E-2</v>
      </c>
      <c r="E882" s="7">
        <v>0</v>
      </c>
      <c r="F882" s="7">
        <v>0</v>
      </c>
      <c r="G882" s="7">
        <v>-1.4990516053215155E-2</v>
      </c>
      <c r="H882" s="7">
        <v>0</v>
      </c>
      <c r="I882" s="7">
        <v>0</v>
      </c>
      <c r="J882" s="7">
        <v>0</v>
      </c>
      <c r="K882" s="7">
        <v>0</v>
      </c>
      <c r="L882">
        <v>1.3134950053890826</v>
      </c>
      <c r="M882">
        <v>0</v>
      </c>
      <c r="N882" s="9"/>
      <c r="O882" s="3">
        <f>L882-M882</f>
        <v>1.3134950053890826</v>
      </c>
    </row>
    <row r="883" spans="1:15">
      <c r="A883" s="7"/>
      <c r="B883" s="8"/>
      <c r="C883" s="8"/>
      <c r="D883" s="8"/>
      <c r="E883" s="7"/>
      <c r="F883" s="7"/>
      <c r="G883" s="7"/>
      <c r="H883" s="7"/>
      <c r="I883" s="7"/>
      <c r="J883" s="7"/>
      <c r="K883" s="7"/>
      <c r="N883" s="10"/>
      <c r="O883" s="3"/>
    </row>
    <row r="884" spans="1:15">
      <c r="A884" s="7"/>
      <c r="B884" s="8">
        <v>-0.58367185674448252</v>
      </c>
      <c r="C884" s="8">
        <v>-2.0841504898711007</v>
      </c>
      <c r="D884" s="8">
        <v>-0.75171422039661484</v>
      </c>
      <c r="E884" s="7">
        <v>-1.4990516053215155E-2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>
        <v>2.6247151849659955</v>
      </c>
      <c r="M884">
        <v>0</v>
      </c>
      <c r="N884" s="9"/>
      <c r="O884" s="3">
        <f>L884-M884</f>
        <v>2.6247151849659955</v>
      </c>
    </row>
    <row r="885" spans="1:15">
      <c r="A885" s="7" t="s">
        <v>234</v>
      </c>
      <c r="B885" s="8">
        <v>0.45824053226673911</v>
      </c>
      <c r="C885" s="8">
        <v>-2.124969022302313</v>
      </c>
      <c r="D885" s="8">
        <v>2.076961144994538E-2</v>
      </c>
      <c r="E885" s="7">
        <v>0</v>
      </c>
      <c r="F885" s="7">
        <v>-1.4990516053215155E-2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>
        <v>2.3629545539581671</v>
      </c>
      <c r="M885">
        <v>0</v>
      </c>
      <c r="N885" s="9"/>
      <c r="O885" s="3">
        <f>L885-M885</f>
        <v>2.3629545539581671</v>
      </c>
    </row>
    <row r="886" spans="1:15">
      <c r="A886" s="7"/>
      <c r="B886" s="8">
        <v>-0.60912970227287866</v>
      </c>
      <c r="C886" s="8">
        <v>0.28261535739067112</v>
      </c>
      <c r="D886" s="8">
        <v>-0.68802996689194662</v>
      </c>
      <c r="E886" s="7">
        <v>0</v>
      </c>
      <c r="F886" s="7">
        <v>0</v>
      </c>
      <c r="G886" s="7">
        <v>-1.4990516053215155E-2</v>
      </c>
      <c r="H886" s="7">
        <v>0</v>
      </c>
      <c r="I886" s="7">
        <v>0</v>
      </c>
      <c r="J886" s="7">
        <v>0</v>
      </c>
      <c r="K886" s="7">
        <v>0</v>
      </c>
      <c r="L886">
        <v>0.46214783488271782</v>
      </c>
      <c r="M886">
        <v>0</v>
      </c>
      <c r="N886" s="9"/>
      <c r="O886" s="3">
        <f>L886-M886</f>
        <v>0.46214783488271782</v>
      </c>
    </row>
    <row r="887" spans="1:15">
      <c r="A887" s="7"/>
      <c r="B887" s="8"/>
      <c r="C887" s="8"/>
      <c r="D887" s="8"/>
      <c r="E887" s="7"/>
      <c r="F887" s="7"/>
      <c r="G887" s="7"/>
      <c r="H887" s="7"/>
      <c r="I887" s="7"/>
      <c r="J887" s="7"/>
      <c r="K887" s="7"/>
      <c r="N887" s="10"/>
      <c r="O887" s="3"/>
    </row>
    <row r="888" spans="1:15">
      <c r="A888" s="7"/>
      <c r="B888" s="8">
        <v>-0.58367185674448252</v>
      </c>
      <c r="C888" s="8">
        <v>-2.0841504898711007</v>
      </c>
      <c r="D888" s="8">
        <v>-0.75171422039661484</v>
      </c>
      <c r="E888" s="7">
        <v>-1.4990516053215155E-2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>
        <v>2.6247151849659955</v>
      </c>
      <c r="M888">
        <v>0</v>
      </c>
      <c r="N888" s="9"/>
      <c r="O888" s="3">
        <f>L888-M888</f>
        <v>2.6247151849659955</v>
      </c>
    </row>
    <row r="889" spans="1:15">
      <c r="A889" s="7" t="s">
        <v>235</v>
      </c>
      <c r="B889" s="8">
        <v>-1.9865190328797109</v>
      </c>
      <c r="C889" s="8">
        <v>-1.2694850305255347</v>
      </c>
      <c r="D889" s="8">
        <v>-3.2127045366234341E-2</v>
      </c>
      <c r="E889" s="7">
        <v>0</v>
      </c>
      <c r="F889" s="7">
        <v>-1.4990516053215155E-2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>
        <v>2.779441128882862</v>
      </c>
      <c r="M889">
        <v>0</v>
      </c>
      <c r="N889" s="9"/>
      <c r="O889" s="3">
        <f>L889-M889</f>
        <v>2.779441128882862</v>
      </c>
    </row>
    <row r="890" spans="1:15">
      <c r="A890" s="7"/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0</v>
      </c>
      <c r="G890" s="7">
        <v>-1.4990516053215155E-2</v>
      </c>
      <c r="H890" s="7">
        <v>0</v>
      </c>
      <c r="I890" s="7">
        <v>0</v>
      </c>
      <c r="J890" s="7">
        <v>0</v>
      </c>
      <c r="K890" s="7">
        <v>0</v>
      </c>
      <c r="L890">
        <v>0.91096067521586066</v>
      </c>
      <c r="M890">
        <v>0</v>
      </c>
      <c r="N890" s="9"/>
      <c r="O890" s="3">
        <f>L890-M890</f>
        <v>0.91096067521586066</v>
      </c>
    </row>
    <row r="891" spans="1:15">
      <c r="A891" s="7"/>
      <c r="B891" s="8"/>
      <c r="C891" s="8"/>
      <c r="D891" s="8"/>
      <c r="E891" s="7"/>
      <c r="F891" s="7"/>
      <c r="G891" s="7"/>
      <c r="H891" s="7"/>
      <c r="I891" s="7"/>
      <c r="J891" s="7"/>
      <c r="K891" s="7"/>
      <c r="N891" s="10"/>
      <c r="O891" s="3"/>
    </row>
    <row r="892" spans="1:15">
      <c r="A892" s="7"/>
      <c r="B892" s="8">
        <v>-0.58367185674448252</v>
      </c>
      <c r="C892" s="8">
        <v>-2.0841504898711007</v>
      </c>
      <c r="D892" s="8">
        <v>-0.75171422039661484</v>
      </c>
      <c r="E892" s="7">
        <v>-1.4990516053215155E-2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>
        <v>2.6247151849659955</v>
      </c>
      <c r="M892">
        <v>0</v>
      </c>
      <c r="N892" s="9"/>
      <c r="O892" s="3">
        <f>L892-M892</f>
        <v>2.6247151849659955</v>
      </c>
    </row>
    <row r="893" spans="1:15">
      <c r="A893" s="7" t="s">
        <v>236</v>
      </c>
      <c r="B893" s="8">
        <v>-1.9865190328797109</v>
      </c>
      <c r="C893" s="8">
        <v>-1.2694850305255347</v>
      </c>
      <c r="D893" s="8">
        <v>-3.2127045366234341E-2</v>
      </c>
      <c r="E893" s="7">
        <v>0</v>
      </c>
      <c r="F893" s="7">
        <v>-1.4990516053215155E-2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>
        <v>2.779441128882862</v>
      </c>
      <c r="M893">
        <v>0</v>
      </c>
      <c r="N893" s="9"/>
      <c r="O893" s="3">
        <f>L893-M893</f>
        <v>2.779441128882862</v>
      </c>
    </row>
    <row r="894" spans="1:15">
      <c r="A894" s="7"/>
      <c r="B894" s="8">
        <v>-1.6188303733889171</v>
      </c>
      <c r="C894" s="8">
        <v>1.9594494251009342E-2</v>
      </c>
      <c r="D894" s="8">
        <v>7.7422792294721043E-2</v>
      </c>
      <c r="E894" s="7">
        <v>0</v>
      </c>
      <c r="F894" s="7">
        <v>0</v>
      </c>
      <c r="G894" s="7">
        <v>-1.4990516053215155E-2</v>
      </c>
      <c r="H894" s="7">
        <v>0</v>
      </c>
      <c r="I894" s="7">
        <v>0</v>
      </c>
      <c r="J894" s="7">
        <v>0</v>
      </c>
      <c r="K894" s="7">
        <v>0</v>
      </c>
      <c r="L894">
        <v>1.3134950053890826</v>
      </c>
      <c r="M894">
        <v>0</v>
      </c>
      <c r="N894" s="9"/>
      <c r="O894" s="3">
        <f>L894-M894</f>
        <v>1.3134950053890826</v>
      </c>
    </row>
    <row r="895" spans="1:15">
      <c r="A895" s="7"/>
      <c r="B895" s="8"/>
      <c r="C895" s="8"/>
      <c r="D895" s="8"/>
      <c r="E895" s="7"/>
      <c r="F895" s="7"/>
      <c r="G895" s="7"/>
      <c r="H895" s="7"/>
      <c r="I895" s="7"/>
      <c r="J895" s="7"/>
      <c r="K895" s="7"/>
      <c r="N895" s="10"/>
      <c r="O895" s="3"/>
    </row>
    <row r="896" spans="1:15">
      <c r="A896" s="7"/>
      <c r="B896" s="8">
        <v>-0.58367185674448252</v>
      </c>
      <c r="C896" s="8">
        <v>-2.0841504898711007</v>
      </c>
      <c r="D896" s="8">
        <v>-0.75171422039661484</v>
      </c>
      <c r="E896" s="7">
        <v>-1.4990516053215155E-2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>
        <v>2.6247151849659955</v>
      </c>
      <c r="M896">
        <v>0</v>
      </c>
      <c r="N896" s="9"/>
      <c r="O896" s="3">
        <f>L896-M896</f>
        <v>2.6247151849659955</v>
      </c>
    </row>
    <row r="897" spans="1:15">
      <c r="A897" s="7" t="s">
        <v>237</v>
      </c>
      <c r="B897" s="8">
        <v>-1.9865190328797109</v>
      </c>
      <c r="C897" s="8">
        <v>-1.2694850305255347</v>
      </c>
      <c r="D897" s="8">
        <v>-3.2127045366234341E-2</v>
      </c>
      <c r="E897" s="7">
        <v>0</v>
      </c>
      <c r="F897" s="7">
        <v>-1.4990516053215155E-2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>
        <v>2.779441128882862</v>
      </c>
      <c r="M897">
        <v>0</v>
      </c>
      <c r="N897" s="9"/>
      <c r="O897" s="3">
        <f>L897-M897</f>
        <v>2.779441128882862</v>
      </c>
    </row>
    <row r="898" spans="1:15">
      <c r="A898" s="7"/>
      <c r="B898" s="8">
        <v>-0.60912970227287866</v>
      </c>
      <c r="C898" s="8">
        <v>0.28261535739067112</v>
      </c>
      <c r="D898" s="8">
        <v>-0.68802996689194662</v>
      </c>
      <c r="E898" s="7">
        <v>0</v>
      </c>
      <c r="F898" s="7">
        <v>0</v>
      </c>
      <c r="G898" s="7">
        <v>-1.4990516053215155E-2</v>
      </c>
      <c r="H898" s="7">
        <v>0</v>
      </c>
      <c r="I898" s="7">
        <v>0</v>
      </c>
      <c r="J898" s="7">
        <v>0</v>
      </c>
      <c r="K898" s="7">
        <v>0</v>
      </c>
      <c r="L898">
        <v>0.46214783488271782</v>
      </c>
      <c r="M898">
        <v>0</v>
      </c>
      <c r="N898" s="9"/>
      <c r="O898" s="3">
        <f>L898-M898</f>
        <v>0.46214783488271782</v>
      </c>
    </row>
    <row r="899" spans="1:15">
      <c r="A899" s="7"/>
      <c r="B899" s="8"/>
      <c r="C899" s="8"/>
      <c r="D899" s="8"/>
      <c r="E899" s="7"/>
      <c r="F899" s="7"/>
      <c r="G899" s="7"/>
      <c r="H899" s="7"/>
      <c r="I899" s="7"/>
      <c r="J899" s="7"/>
      <c r="K899" s="7"/>
      <c r="N899" s="10"/>
      <c r="O899" s="3"/>
    </row>
    <row r="900" spans="1:15">
      <c r="A900" s="7"/>
      <c r="B900" s="8">
        <v>-0.58367185674448252</v>
      </c>
      <c r="C900" s="8">
        <v>-2.0841504898711007</v>
      </c>
      <c r="D900" s="8">
        <v>-0.75171422039661484</v>
      </c>
      <c r="E900" s="7">
        <v>-1.4990516053215155E-2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>
        <v>2.6247151849659955</v>
      </c>
      <c r="M900">
        <v>0</v>
      </c>
      <c r="N900" s="9"/>
      <c r="O900" s="3">
        <f>L900-M900</f>
        <v>2.6247151849659955</v>
      </c>
    </row>
    <row r="901" spans="1:15">
      <c r="A901" s="7" t="s">
        <v>238</v>
      </c>
      <c r="B901" s="8">
        <v>0.85843073718374274</v>
      </c>
      <c r="C901" s="8">
        <v>-1.040962775001312</v>
      </c>
      <c r="D901" s="8">
        <v>3.7610117674176324E-2</v>
      </c>
      <c r="E901" s="7">
        <v>0</v>
      </c>
      <c r="F901" s="7">
        <v>-1.4990516053215155E-2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>
        <v>0.91096067521586066</v>
      </c>
      <c r="M901">
        <v>0</v>
      </c>
      <c r="N901" s="9"/>
      <c r="O901" s="3">
        <f>L901-M901</f>
        <v>0.91096067521586066</v>
      </c>
    </row>
    <row r="902" spans="1:15">
      <c r="A902" s="7"/>
      <c r="B902" s="8">
        <v>-1.6188303733889171</v>
      </c>
      <c r="C902" s="8">
        <v>1.9594494251009342E-2</v>
      </c>
      <c r="D902" s="8">
        <v>7.7422792294721043E-2</v>
      </c>
      <c r="E902" s="7">
        <v>0</v>
      </c>
      <c r="F902" s="7">
        <v>0</v>
      </c>
      <c r="G902" s="7">
        <v>-1.4990516053215155E-2</v>
      </c>
      <c r="H902" s="7">
        <v>0</v>
      </c>
      <c r="I902" s="7">
        <v>0</v>
      </c>
      <c r="J902" s="7">
        <v>0</v>
      </c>
      <c r="K902" s="7">
        <v>0</v>
      </c>
      <c r="L902">
        <v>1.3134950053890826</v>
      </c>
      <c r="M902">
        <v>0</v>
      </c>
      <c r="N902" s="9"/>
      <c r="O902" s="3">
        <f>L902-M902</f>
        <v>1.3134950053890826</v>
      </c>
    </row>
    <row r="903" spans="1:15">
      <c r="A903" s="7"/>
      <c r="B903" s="8"/>
      <c r="C903" s="8"/>
      <c r="D903" s="8"/>
      <c r="E903" s="7"/>
      <c r="F903" s="7"/>
      <c r="G903" s="7"/>
      <c r="H903" s="7"/>
      <c r="I903" s="7"/>
      <c r="J903" s="7"/>
      <c r="K903" s="7"/>
      <c r="N903" s="10"/>
      <c r="O903" s="3"/>
    </row>
    <row r="904" spans="1:15">
      <c r="A904" s="7"/>
      <c r="B904" s="8">
        <v>-0.58367185674448252</v>
      </c>
      <c r="C904" s="8">
        <v>-2.0841504898711007</v>
      </c>
      <c r="D904" s="8">
        <v>-0.75171422039661484</v>
      </c>
      <c r="E904" s="7">
        <v>-1.4990516053215155E-2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>
        <v>2.6247151849659955</v>
      </c>
      <c r="M904">
        <v>0</v>
      </c>
      <c r="N904" s="9"/>
      <c r="O904" s="3">
        <f>L904-M904</f>
        <v>2.6247151849659955</v>
      </c>
    </row>
    <row r="905" spans="1:15">
      <c r="A905" s="7" t="s">
        <v>239</v>
      </c>
      <c r="B905" s="8">
        <v>0.85843073718374274</v>
      </c>
      <c r="C905" s="8">
        <v>-1.040962775001312</v>
      </c>
      <c r="D905" s="8">
        <v>3.7610117674176324E-2</v>
      </c>
      <c r="E905" s="7">
        <v>0</v>
      </c>
      <c r="F905" s="7">
        <v>-1.4990516053215155E-2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>
        <v>0.91096067521586066</v>
      </c>
      <c r="M905">
        <v>0</v>
      </c>
      <c r="N905" s="9"/>
      <c r="O905" s="3">
        <f>L905-M905</f>
        <v>0.91096067521586066</v>
      </c>
    </row>
    <row r="906" spans="1:15">
      <c r="A906" s="7"/>
      <c r="B906" s="8">
        <v>-0.60912970227287866</v>
      </c>
      <c r="C906" s="8">
        <v>0.28261535739067112</v>
      </c>
      <c r="D906" s="8">
        <v>-0.68802996689194662</v>
      </c>
      <c r="E906" s="7">
        <v>0</v>
      </c>
      <c r="F906" s="7">
        <v>0</v>
      </c>
      <c r="G906" s="7">
        <v>-1.4990516053215155E-2</v>
      </c>
      <c r="H906" s="7">
        <v>0</v>
      </c>
      <c r="I906" s="7">
        <v>0</v>
      </c>
      <c r="J906" s="7">
        <v>0</v>
      </c>
      <c r="K906" s="7">
        <v>0</v>
      </c>
      <c r="L906">
        <v>0.46214783488271782</v>
      </c>
      <c r="M906">
        <v>0</v>
      </c>
      <c r="N906" s="9"/>
      <c r="O906" s="3">
        <f>L906-M906</f>
        <v>0.46214783488271782</v>
      </c>
    </row>
    <row r="907" spans="1:15">
      <c r="A907" s="7"/>
      <c r="B907" s="8"/>
      <c r="C907" s="8"/>
      <c r="D907" s="8"/>
      <c r="E907" s="7"/>
      <c r="F907" s="7"/>
      <c r="G907" s="7"/>
      <c r="H907" s="7"/>
      <c r="I907" s="7"/>
      <c r="J907" s="7"/>
      <c r="K907" s="7"/>
      <c r="N907" s="10"/>
      <c r="O907" s="3"/>
    </row>
    <row r="908" spans="1:15">
      <c r="A908" s="7"/>
      <c r="B908" s="8">
        <v>-0.58367185674448252</v>
      </c>
      <c r="C908" s="8">
        <v>-2.0841504898711007</v>
      </c>
      <c r="D908" s="8">
        <v>-0.75171422039661484</v>
      </c>
      <c r="E908" s="7">
        <v>-1.4990516053215155E-2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>
        <v>2.6247151849659955</v>
      </c>
      <c r="M908">
        <v>0</v>
      </c>
      <c r="N908" s="9"/>
      <c r="O908" s="3">
        <f>L908-M908</f>
        <v>2.6247151849659955</v>
      </c>
    </row>
    <row r="909" spans="1:15">
      <c r="A909" s="7" t="s">
        <v>240</v>
      </c>
      <c r="B909" s="8">
        <v>-1.6188303733889171</v>
      </c>
      <c r="C909" s="8">
        <v>1.9594494251009342E-2</v>
      </c>
      <c r="D909" s="8">
        <v>7.7422792294721043E-2</v>
      </c>
      <c r="E909" s="7">
        <v>0</v>
      </c>
      <c r="F909" s="7">
        <v>-1.4990516053215155E-2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>
        <v>1.3134950053890826</v>
      </c>
      <c r="M909">
        <v>0</v>
      </c>
      <c r="N909" s="9"/>
      <c r="O909" s="3">
        <f>L909-M909</f>
        <v>1.3134950053890826</v>
      </c>
    </row>
    <row r="910" spans="1:15">
      <c r="A910" s="7"/>
      <c r="B910" s="8">
        <v>-0.60912970227287866</v>
      </c>
      <c r="C910" s="8">
        <v>0.28261535739067112</v>
      </c>
      <c r="D910" s="8">
        <v>-0.68802996689194662</v>
      </c>
      <c r="E910" s="7">
        <v>0</v>
      </c>
      <c r="F910" s="7">
        <v>0</v>
      </c>
      <c r="G910" s="7">
        <v>-1.4990516053215155E-2</v>
      </c>
      <c r="H910" s="7">
        <v>0</v>
      </c>
      <c r="I910" s="7">
        <v>0</v>
      </c>
      <c r="J910" s="7">
        <v>0</v>
      </c>
      <c r="K910" s="7">
        <v>0</v>
      </c>
      <c r="L910">
        <v>0.46214783488271782</v>
      </c>
      <c r="M910">
        <v>0</v>
      </c>
      <c r="N910" s="9"/>
      <c r="O910" s="3">
        <f>L910-M910</f>
        <v>0.46214783488271782</v>
      </c>
    </row>
    <row r="911" spans="1:15">
      <c r="A911" s="7"/>
      <c r="B911" s="8"/>
      <c r="C911" s="8"/>
      <c r="D911" s="8"/>
      <c r="E911" s="7"/>
      <c r="F911" s="7"/>
      <c r="G911" s="7"/>
      <c r="H911" s="7"/>
      <c r="I911" s="7"/>
      <c r="J911" s="7"/>
      <c r="K911" s="7"/>
      <c r="N911" s="10"/>
      <c r="O911" s="3"/>
    </row>
    <row r="912" spans="1:15">
      <c r="A912" s="7"/>
      <c r="B912" s="8">
        <v>-1.8375474863113905</v>
      </c>
      <c r="C912" s="8">
        <v>-2.1167426559988707</v>
      </c>
      <c r="D912" s="8">
        <v>-1.2367606559382516E-2</v>
      </c>
      <c r="E912" s="7">
        <v>-1.4990516053215155E-2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>
        <v>3.9286665969332351</v>
      </c>
      <c r="M912">
        <v>0</v>
      </c>
      <c r="N912" s="9"/>
      <c r="O912" s="3">
        <f>L912-M912</f>
        <v>3.9286665969332351</v>
      </c>
    </row>
    <row r="913" spans="1:15">
      <c r="A913" s="7" t="s">
        <v>241</v>
      </c>
      <c r="B913" s="8">
        <v>0.45824053226673911</v>
      </c>
      <c r="C913" s="8">
        <v>-2.124969022302313</v>
      </c>
      <c r="D913" s="8">
        <v>2.076961144994538E-2</v>
      </c>
      <c r="E913" s="7">
        <v>0</v>
      </c>
      <c r="F913" s="7">
        <v>-1.4990516053215155E-2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>
        <v>2.3629545539581671</v>
      </c>
      <c r="M913">
        <v>0</v>
      </c>
      <c r="N913" s="9"/>
      <c r="O913" s="3">
        <f>L913-M913</f>
        <v>2.3629545539581671</v>
      </c>
    </row>
    <row r="914" spans="1:15">
      <c r="A914" s="7"/>
      <c r="B914" s="8">
        <v>-1.9865190328797109</v>
      </c>
      <c r="C914" s="8">
        <v>-1.2694850305255347</v>
      </c>
      <c r="D914" s="8">
        <v>-3.2127045366234341E-2</v>
      </c>
      <c r="E914" s="7">
        <v>0</v>
      </c>
      <c r="F914" s="7">
        <v>0</v>
      </c>
      <c r="G914" s="7">
        <v>-1.4990516053215155E-2</v>
      </c>
      <c r="H914" s="7">
        <v>0</v>
      </c>
      <c r="I914" s="7">
        <v>0</v>
      </c>
      <c r="J914" s="7">
        <v>0</v>
      </c>
      <c r="K914" s="7">
        <v>0</v>
      </c>
      <c r="L914">
        <v>2.779441128882862</v>
      </c>
      <c r="M914">
        <v>0</v>
      </c>
      <c r="N914" s="9"/>
      <c r="O914" s="3">
        <f>L914-M914</f>
        <v>2.779441128882862</v>
      </c>
    </row>
    <row r="915" spans="1:15">
      <c r="A915" s="7"/>
      <c r="B915" s="8"/>
      <c r="C915" s="8"/>
      <c r="D915" s="8"/>
      <c r="E915" s="7"/>
      <c r="F915" s="7"/>
      <c r="G915" s="7"/>
      <c r="H915" s="7"/>
      <c r="I915" s="7"/>
      <c r="J915" s="7"/>
      <c r="K915" s="7"/>
      <c r="N915" s="10"/>
      <c r="O915" s="3"/>
    </row>
    <row r="916" spans="1:15">
      <c r="A916" s="7"/>
      <c r="B916" s="8">
        <v>-1.8375474863113905</v>
      </c>
      <c r="C916" s="8">
        <v>-2.1167426559988707</v>
      </c>
      <c r="D916" s="8">
        <v>-1.2367606559382516E-2</v>
      </c>
      <c r="E916" s="7">
        <v>-1.4990516053215155E-2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>
        <v>3.9286665969332351</v>
      </c>
      <c r="M916">
        <v>0</v>
      </c>
      <c r="N916" s="9"/>
      <c r="O916" s="3">
        <f>L916-M916</f>
        <v>3.9286665969332351</v>
      </c>
    </row>
    <row r="917" spans="1:15">
      <c r="A917" s="7" t="s">
        <v>242</v>
      </c>
      <c r="B917" s="8">
        <v>0.45824053226673911</v>
      </c>
      <c r="C917" s="8">
        <v>-2.124969022302313</v>
      </c>
      <c r="D917" s="8">
        <v>2.076961144994538E-2</v>
      </c>
      <c r="E917" s="7">
        <v>0</v>
      </c>
      <c r="F917" s="7">
        <v>-1.4990516053215155E-2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>
        <v>2.3629545539581671</v>
      </c>
      <c r="M917">
        <v>0</v>
      </c>
      <c r="N917" s="9"/>
      <c r="O917" s="3">
        <f>L917-M917</f>
        <v>2.3629545539581671</v>
      </c>
    </row>
    <row r="918" spans="1:15">
      <c r="A918" s="7"/>
      <c r="B918" s="8">
        <v>0.85843073718374274</v>
      </c>
      <c r="C918" s="8">
        <v>-1.040962775001312</v>
      </c>
      <c r="D918" s="8">
        <v>3.7610117674176324E-2</v>
      </c>
      <c r="E918" s="7">
        <v>0</v>
      </c>
      <c r="F918" s="7">
        <v>0</v>
      </c>
      <c r="G918" s="7">
        <v>-1.4990516053215155E-2</v>
      </c>
      <c r="H918" s="7">
        <v>0</v>
      </c>
      <c r="I918" s="7">
        <v>0</v>
      </c>
      <c r="J918" s="7">
        <v>0</v>
      </c>
      <c r="K918" s="7">
        <v>0</v>
      </c>
      <c r="L918">
        <v>0.91096067521586066</v>
      </c>
      <c r="M918">
        <v>0</v>
      </c>
      <c r="N918" s="9"/>
      <c r="O918" s="3">
        <f>L918-M918</f>
        <v>0.91096067521586066</v>
      </c>
    </row>
    <row r="919" spans="1:15">
      <c r="A919" s="7"/>
      <c r="B919" s="8"/>
      <c r="C919" s="8"/>
      <c r="D919" s="8"/>
      <c r="E919" s="7"/>
      <c r="F919" s="7"/>
      <c r="G919" s="7"/>
      <c r="H919" s="7"/>
      <c r="I919" s="7"/>
      <c r="J919" s="7"/>
      <c r="K919" s="7"/>
      <c r="N919" s="10"/>
      <c r="O919" s="3"/>
    </row>
    <row r="920" spans="1:15">
      <c r="A920" s="7"/>
      <c r="B920" s="8">
        <v>-1.8375474863113905</v>
      </c>
      <c r="C920" s="8">
        <v>-2.1167426559988707</v>
      </c>
      <c r="D920" s="8">
        <v>-1.2367606559382516E-2</v>
      </c>
      <c r="E920" s="7">
        <v>-1.4990516053215155E-2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>
        <v>3.9286665969332351</v>
      </c>
      <c r="M920">
        <v>0</v>
      </c>
      <c r="N920" s="9"/>
      <c r="O920" s="3">
        <f>L920-M920</f>
        <v>3.9286665969332351</v>
      </c>
    </row>
    <row r="921" spans="1:15">
      <c r="A921" s="7" t="s">
        <v>243</v>
      </c>
      <c r="B921" s="8">
        <v>0.45824053226673911</v>
      </c>
      <c r="C921" s="8">
        <v>-2.124969022302313</v>
      </c>
      <c r="D921" s="8">
        <v>2.076961144994538E-2</v>
      </c>
      <c r="E921" s="7">
        <v>0</v>
      </c>
      <c r="F921" s="7">
        <v>-1.4990516053215155E-2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>
        <v>2.3629545539581671</v>
      </c>
      <c r="M921">
        <v>0</v>
      </c>
      <c r="N921" s="9"/>
      <c r="O921" s="3">
        <f>L921-M921</f>
        <v>2.3629545539581671</v>
      </c>
    </row>
    <row r="922" spans="1:15">
      <c r="A922" s="7"/>
      <c r="B922" s="8">
        <v>-1.6188303733889171</v>
      </c>
      <c r="C922" s="8">
        <v>1.9594494251009342E-2</v>
      </c>
      <c r="D922" s="8">
        <v>7.7422792294721043E-2</v>
      </c>
      <c r="E922" s="7">
        <v>0</v>
      </c>
      <c r="F922" s="7">
        <v>0</v>
      </c>
      <c r="G922" s="7">
        <v>-1.4990516053215155E-2</v>
      </c>
      <c r="H922" s="7">
        <v>0</v>
      </c>
      <c r="I922" s="7">
        <v>0</v>
      </c>
      <c r="J922" s="7">
        <v>0</v>
      </c>
      <c r="K922" s="7">
        <v>0</v>
      </c>
      <c r="L922">
        <v>1.3134950053890826</v>
      </c>
      <c r="M922">
        <v>0</v>
      </c>
      <c r="N922" s="9"/>
      <c r="O922" s="3">
        <f>L922-M922</f>
        <v>1.3134950053890826</v>
      </c>
    </row>
    <row r="923" spans="1:15">
      <c r="A923" s="7"/>
      <c r="B923" s="8"/>
      <c r="C923" s="8"/>
      <c r="D923" s="8"/>
      <c r="E923" s="7"/>
      <c r="F923" s="7"/>
      <c r="G923" s="7"/>
      <c r="H923" s="7"/>
      <c r="I923" s="7"/>
      <c r="J923" s="7"/>
      <c r="K923" s="7"/>
      <c r="N923" s="10"/>
      <c r="O923" s="3"/>
    </row>
    <row r="924" spans="1:15">
      <c r="A924" s="7"/>
      <c r="B924" s="8">
        <v>-1.8375474863113905</v>
      </c>
      <c r="C924" s="8">
        <v>-2.1167426559988707</v>
      </c>
      <c r="D924" s="8">
        <v>-1.2367606559382516E-2</v>
      </c>
      <c r="E924" s="7">
        <v>-1.4990516053215155E-2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>
        <v>3.9286665969332351</v>
      </c>
      <c r="M924">
        <v>0</v>
      </c>
      <c r="N924" s="9"/>
      <c r="O924" s="3">
        <f>L924-M924</f>
        <v>3.9286665969332351</v>
      </c>
    </row>
    <row r="925" spans="1:15">
      <c r="A925" s="7" t="s">
        <v>244</v>
      </c>
      <c r="B925" s="8">
        <v>0.45824053226673911</v>
      </c>
      <c r="C925" s="8">
        <v>-2.124969022302313</v>
      </c>
      <c r="D925" s="8">
        <v>2.076961144994538E-2</v>
      </c>
      <c r="E925" s="7">
        <v>0</v>
      </c>
      <c r="F925" s="7">
        <v>-1.4990516053215155E-2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>
        <v>2.3629545539581671</v>
      </c>
      <c r="M925">
        <v>0</v>
      </c>
      <c r="N925" s="9"/>
      <c r="O925" s="3">
        <f>L925-M925</f>
        <v>2.3629545539581671</v>
      </c>
    </row>
    <row r="926" spans="1:15">
      <c r="A926" s="7"/>
      <c r="B926" s="8">
        <v>-0.60912970227287866</v>
      </c>
      <c r="C926" s="8">
        <v>0.28261535739067112</v>
      </c>
      <c r="D926" s="8">
        <v>-0.68802996689194662</v>
      </c>
      <c r="E926" s="7">
        <v>0</v>
      </c>
      <c r="F926" s="7">
        <v>0</v>
      </c>
      <c r="G926" s="7">
        <v>-1.4990516053215155E-2</v>
      </c>
      <c r="H926" s="7">
        <v>0</v>
      </c>
      <c r="I926" s="7">
        <v>0</v>
      </c>
      <c r="J926" s="7">
        <v>0</v>
      </c>
      <c r="K926" s="7">
        <v>0</v>
      </c>
      <c r="L926">
        <v>0.46214783488271782</v>
      </c>
      <c r="M926">
        <v>0</v>
      </c>
      <c r="N926" s="9"/>
      <c r="O926" s="3">
        <f>L926-M926</f>
        <v>0.46214783488271782</v>
      </c>
    </row>
    <row r="927" spans="1:15">
      <c r="A927" s="7"/>
      <c r="B927" s="8"/>
      <c r="C927" s="8"/>
      <c r="D927" s="8"/>
      <c r="E927" s="7"/>
      <c r="F927" s="7"/>
      <c r="G927" s="7"/>
      <c r="H927" s="7"/>
      <c r="I927" s="7"/>
      <c r="J927" s="7"/>
      <c r="K927" s="7"/>
      <c r="N927" s="10"/>
      <c r="O927" s="3"/>
    </row>
    <row r="928" spans="1:15">
      <c r="A928" s="7"/>
      <c r="B928" s="8">
        <v>-1.8375474863113905</v>
      </c>
      <c r="C928" s="8">
        <v>-2.1167426559988707</v>
      </c>
      <c r="D928" s="8">
        <v>-1.2367606559382516E-2</v>
      </c>
      <c r="E928" s="7">
        <v>-1.4990516053215155E-2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>
        <v>3.9286665969332351</v>
      </c>
      <c r="M928">
        <v>0</v>
      </c>
      <c r="N928" s="9"/>
      <c r="O928" s="3">
        <f>L928-M928</f>
        <v>3.9286665969332351</v>
      </c>
    </row>
    <row r="929" spans="1:15">
      <c r="A929" s="7" t="s">
        <v>245</v>
      </c>
      <c r="B929" s="8">
        <v>-1.9865190328797109</v>
      </c>
      <c r="C929" s="8">
        <v>-1.2694850305255347</v>
      </c>
      <c r="D929" s="8">
        <v>-3.2127045366234341E-2</v>
      </c>
      <c r="E929" s="7">
        <v>0</v>
      </c>
      <c r="F929" s="7">
        <v>-1.4990516053215155E-2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>
        <v>2.779441128882862</v>
      </c>
      <c r="M929">
        <v>0</v>
      </c>
      <c r="N929" s="9"/>
      <c r="O929" s="3">
        <f>L929-M929</f>
        <v>2.779441128882862</v>
      </c>
    </row>
    <row r="930" spans="1:15">
      <c r="A930" s="7"/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0</v>
      </c>
      <c r="G930" s="7">
        <v>-1.4990516053215155E-2</v>
      </c>
      <c r="H930" s="7">
        <v>0</v>
      </c>
      <c r="I930" s="7">
        <v>0</v>
      </c>
      <c r="J930" s="7">
        <v>0</v>
      </c>
      <c r="K930" s="7">
        <v>0</v>
      </c>
      <c r="L930">
        <v>0.91096067521586066</v>
      </c>
      <c r="M930">
        <v>0</v>
      </c>
      <c r="N930" s="9"/>
      <c r="O930" s="3">
        <f>L930-M930</f>
        <v>0.91096067521586066</v>
      </c>
    </row>
    <row r="931" spans="1:15">
      <c r="A931" s="7"/>
      <c r="B931" s="8"/>
      <c r="C931" s="8"/>
      <c r="D931" s="8"/>
      <c r="E931" s="7"/>
      <c r="F931" s="7"/>
      <c r="G931" s="7"/>
      <c r="H931" s="7"/>
      <c r="I931" s="7"/>
      <c r="J931" s="7"/>
      <c r="K931" s="7"/>
      <c r="N931" s="10"/>
      <c r="O931" s="3"/>
    </row>
    <row r="932" spans="1:15">
      <c r="A932" s="7"/>
      <c r="B932" s="8">
        <v>-1.8375474863113905</v>
      </c>
      <c r="C932" s="8">
        <v>-2.1167426559988707</v>
      </c>
      <c r="D932" s="8">
        <v>-1.2367606559382516E-2</v>
      </c>
      <c r="E932" s="7">
        <v>-1.4990516053215155E-2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>
        <v>3.9286665969332351</v>
      </c>
      <c r="M932">
        <v>0</v>
      </c>
      <c r="N932" s="9"/>
      <c r="O932" s="3">
        <f>L932-M932</f>
        <v>3.9286665969332351</v>
      </c>
    </row>
    <row r="933" spans="1:15">
      <c r="A933" s="7" t="s">
        <v>246</v>
      </c>
      <c r="B933" s="8">
        <v>-1.9865190328797109</v>
      </c>
      <c r="C933" s="8">
        <v>-1.2694850305255347</v>
      </c>
      <c r="D933" s="8">
        <v>-3.2127045366234341E-2</v>
      </c>
      <c r="E933" s="7">
        <v>0</v>
      </c>
      <c r="F933" s="7">
        <v>-1.4990516053215155E-2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>
        <v>2.779441128882862</v>
      </c>
      <c r="M933">
        <v>0</v>
      </c>
      <c r="N933" s="9"/>
      <c r="O933" s="3">
        <f>L933-M933</f>
        <v>2.779441128882862</v>
      </c>
    </row>
    <row r="934" spans="1:15">
      <c r="A934" s="7"/>
      <c r="B934" s="8">
        <v>-1.6188303733889171</v>
      </c>
      <c r="C934" s="8">
        <v>1.9594494251009342E-2</v>
      </c>
      <c r="D934" s="8">
        <v>7.7422792294721043E-2</v>
      </c>
      <c r="E934" s="7">
        <v>0</v>
      </c>
      <c r="F934" s="7">
        <v>0</v>
      </c>
      <c r="G934" s="7">
        <v>-1.4990516053215155E-2</v>
      </c>
      <c r="H934" s="7">
        <v>0</v>
      </c>
      <c r="I934" s="7">
        <v>0</v>
      </c>
      <c r="J934" s="7">
        <v>0</v>
      </c>
      <c r="K934" s="7">
        <v>0</v>
      </c>
      <c r="L934">
        <v>1.3134950053890826</v>
      </c>
      <c r="M934">
        <v>0</v>
      </c>
      <c r="N934" s="9"/>
      <c r="O934" s="3">
        <f>L934-M934</f>
        <v>1.3134950053890826</v>
      </c>
    </row>
    <row r="935" spans="1:15">
      <c r="A935" s="7"/>
      <c r="B935" s="8"/>
      <c r="C935" s="8"/>
      <c r="D935" s="8"/>
      <c r="E935" s="7"/>
      <c r="F935" s="7"/>
      <c r="G935" s="7"/>
      <c r="H935" s="7"/>
      <c r="I935" s="7"/>
      <c r="J935" s="7"/>
      <c r="K935" s="7"/>
      <c r="N935" s="10"/>
      <c r="O935" s="3"/>
    </row>
    <row r="936" spans="1:15">
      <c r="A936" s="7"/>
      <c r="B936" s="8">
        <v>-1.8375474863113905</v>
      </c>
      <c r="C936" s="8">
        <v>-2.1167426559988707</v>
      </c>
      <c r="D936" s="8">
        <v>-1.2367606559382516E-2</v>
      </c>
      <c r="E936" s="7">
        <v>-1.4990516053215155E-2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>
        <v>3.9286665969332351</v>
      </c>
      <c r="M936">
        <v>0</v>
      </c>
      <c r="N936" s="9"/>
      <c r="O936" s="3">
        <f>L936-M936</f>
        <v>3.9286665969332351</v>
      </c>
    </row>
    <row r="937" spans="1:15">
      <c r="A937" s="7" t="s">
        <v>247</v>
      </c>
      <c r="B937" s="8">
        <v>-1.9865190328797109</v>
      </c>
      <c r="C937" s="8">
        <v>-1.2694850305255347</v>
      </c>
      <c r="D937" s="8">
        <v>-3.2127045366234341E-2</v>
      </c>
      <c r="E937" s="7">
        <v>0</v>
      </c>
      <c r="F937" s="7">
        <v>-1.4990516053215155E-2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>
        <v>2.779441128882862</v>
      </c>
      <c r="M937">
        <v>0</v>
      </c>
      <c r="N937" s="9"/>
      <c r="O937" s="3">
        <f>L937-M937</f>
        <v>2.779441128882862</v>
      </c>
    </row>
    <row r="938" spans="1:15">
      <c r="A938" s="7"/>
      <c r="B938" s="8">
        <v>-0.60912970227287866</v>
      </c>
      <c r="C938" s="8">
        <v>0.28261535739067112</v>
      </c>
      <c r="D938" s="8">
        <v>-0.68802996689194662</v>
      </c>
      <c r="E938" s="7">
        <v>0</v>
      </c>
      <c r="F938" s="7">
        <v>0</v>
      </c>
      <c r="G938" s="7">
        <v>-1.4990516053215155E-2</v>
      </c>
      <c r="H938" s="7">
        <v>0</v>
      </c>
      <c r="I938" s="7">
        <v>0</v>
      </c>
      <c r="J938" s="7">
        <v>0</v>
      </c>
      <c r="K938" s="7">
        <v>0</v>
      </c>
      <c r="L938">
        <v>0.46214783488271782</v>
      </c>
      <c r="M938">
        <v>0</v>
      </c>
      <c r="N938" s="9"/>
      <c r="O938" s="3">
        <f>L938-M938</f>
        <v>0.46214783488271782</v>
      </c>
    </row>
    <row r="939" spans="1:15">
      <c r="A939" s="7"/>
      <c r="B939" s="8"/>
      <c r="C939" s="8"/>
      <c r="D939" s="8"/>
      <c r="E939" s="7"/>
      <c r="F939" s="7"/>
      <c r="G939" s="7"/>
      <c r="H939" s="7"/>
      <c r="I939" s="7"/>
      <c r="J939" s="7"/>
      <c r="K939" s="7"/>
      <c r="N939" s="10"/>
      <c r="O939" s="3"/>
    </row>
    <row r="940" spans="1:15">
      <c r="A940" s="7"/>
      <c r="B940" s="8">
        <v>-1.8375474863113905</v>
      </c>
      <c r="C940" s="8">
        <v>-2.1167426559988707</v>
      </c>
      <c r="D940" s="8">
        <v>-1.2367606559382516E-2</v>
      </c>
      <c r="E940" s="7">
        <v>-1.4990516053215155E-2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>
        <v>3.9286665969332351</v>
      </c>
      <c r="M940">
        <v>0</v>
      </c>
      <c r="N940" s="9"/>
      <c r="O940" s="3">
        <f>L940-M940</f>
        <v>3.9286665969332351</v>
      </c>
    </row>
    <row r="941" spans="1:15">
      <c r="A941" s="7" t="s">
        <v>248</v>
      </c>
      <c r="B941" s="8">
        <v>0.85843073718374274</v>
      </c>
      <c r="C941" s="8">
        <v>-1.040962775001312</v>
      </c>
      <c r="D941" s="8">
        <v>3.7610117674176324E-2</v>
      </c>
      <c r="E941" s="7">
        <v>0</v>
      </c>
      <c r="F941" s="7">
        <v>-1.4990516053215155E-2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>
        <v>0.91096067521586066</v>
      </c>
      <c r="M941">
        <v>0</v>
      </c>
      <c r="N941" s="9"/>
      <c r="O941" s="3">
        <f>L941-M941</f>
        <v>0.91096067521586066</v>
      </c>
    </row>
    <row r="942" spans="1:15">
      <c r="A942" s="7"/>
      <c r="B942" s="8">
        <v>-1.6188303733889171</v>
      </c>
      <c r="C942" s="8">
        <v>1.9594494251009342E-2</v>
      </c>
      <c r="D942" s="8">
        <v>7.7422792294721043E-2</v>
      </c>
      <c r="E942" s="7">
        <v>0</v>
      </c>
      <c r="F942" s="7">
        <v>0</v>
      </c>
      <c r="G942" s="7">
        <v>-1.4990516053215155E-2</v>
      </c>
      <c r="H942" s="7">
        <v>0</v>
      </c>
      <c r="I942" s="7">
        <v>0</v>
      </c>
      <c r="J942" s="7">
        <v>0</v>
      </c>
      <c r="K942" s="7">
        <v>0</v>
      </c>
      <c r="L942">
        <v>1.3134950053890826</v>
      </c>
      <c r="M942">
        <v>0</v>
      </c>
      <c r="N942" s="9"/>
      <c r="O942" s="3">
        <f>L942-M942</f>
        <v>1.3134950053890826</v>
      </c>
    </row>
    <row r="943" spans="1:15">
      <c r="A943" s="7"/>
      <c r="B943" s="8"/>
      <c r="C943" s="8"/>
      <c r="D943" s="8"/>
      <c r="E943" s="7"/>
      <c r="F943" s="7"/>
      <c r="G943" s="7"/>
      <c r="H943" s="7"/>
      <c r="I943" s="7"/>
      <c r="J943" s="7"/>
      <c r="K943" s="7"/>
      <c r="N943" s="10"/>
      <c r="O943" s="3"/>
    </row>
    <row r="944" spans="1:15">
      <c r="A944" s="7"/>
      <c r="B944" s="8">
        <v>-1.8375474863113905</v>
      </c>
      <c r="C944" s="8">
        <v>-2.1167426559988707</v>
      </c>
      <c r="D944" s="8">
        <v>-1.2367606559382516E-2</v>
      </c>
      <c r="E944" s="7">
        <v>-1.4990516053215155E-2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>
        <v>3.9286665969332351</v>
      </c>
      <c r="M944">
        <v>0</v>
      </c>
      <c r="N944" s="9"/>
      <c r="O944" s="3">
        <f>L944-M944</f>
        <v>3.9286665969332351</v>
      </c>
    </row>
    <row r="945" spans="1:15">
      <c r="A945" s="7" t="s">
        <v>249</v>
      </c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7">
        <v>-1.4990516053215155E-2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>
        <v>0.91096067521586066</v>
      </c>
      <c r="M945">
        <v>0</v>
      </c>
      <c r="N945" s="9"/>
      <c r="O945" s="3">
        <f>L945-M945</f>
        <v>0.91096067521586066</v>
      </c>
    </row>
    <row r="946" spans="1:15">
      <c r="A946" s="7"/>
      <c r="B946" s="8">
        <v>-0.60912970227287866</v>
      </c>
      <c r="C946" s="8">
        <v>0.28261535739067112</v>
      </c>
      <c r="D946" s="8">
        <v>-0.68802996689194662</v>
      </c>
      <c r="E946" s="7">
        <v>0</v>
      </c>
      <c r="F946" s="7">
        <v>0</v>
      </c>
      <c r="G946" s="7">
        <v>-1.4990516053215155E-2</v>
      </c>
      <c r="H946" s="7">
        <v>0</v>
      </c>
      <c r="I946" s="7">
        <v>0</v>
      </c>
      <c r="J946" s="7">
        <v>0</v>
      </c>
      <c r="K946" s="7">
        <v>0</v>
      </c>
      <c r="L946">
        <v>0.46214783488271782</v>
      </c>
      <c r="M946">
        <v>0</v>
      </c>
      <c r="N946" s="9"/>
      <c r="O946" s="3">
        <f>L946-M946</f>
        <v>0.46214783488271782</v>
      </c>
    </row>
    <row r="947" spans="1:15">
      <c r="A947" s="7"/>
      <c r="B947" s="8"/>
      <c r="C947" s="8"/>
      <c r="D947" s="8"/>
      <c r="E947" s="7"/>
      <c r="F947" s="7"/>
      <c r="G947" s="7"/>
      <c r="H947" s="7"/>
      <c r="I947" s="7"/>
      <c r="J947" s="7"/>
      <c r="K947" s="7"/>
      <c r="N947" s="10"/>
      <c r="O947" s="3"/>
    </row>
    <row r="948" spans="1:15">
      <c r="A948" s="7"/>
      <c r="B948" s="8">
        <v>-1.8375474863113905</v>
      </c>
      <c r="C948" s="8">
        <v>-2.1167426559988707</v>
      </c>
      <c r="D948" s="8">
        <v>-1.2367606559382516E-2</v>
      </c>
      <c r="E948" s="7">
        <v>-1.4990516053215155E-2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>
        <v>3.9286665969332351</v>
      </c>
      <c r="M948">
        <v>0</v>
      </c>
      <c r="N948" s="9"/>
      <c r="O948" s="3">
        <f>L948-M948</f>
        <v>3.9286665969332351</v>
      </c>
    </row>
    <row r="949" spans="1:15">
      <c r="A949" s="7" t="s">
        <v>250</v>
      </c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7">
        <v>-1.4990516053215155E-2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>
        <v>1.3134950053890826</v>
      </c>
      <c r="M949">
        <v>0</v>
      </c>
      <c r="N949" s="9"/>
      <c r="O949" s="3">
        <f>L949-M949</f>
        <v>1.3134950053890826</v>
      </c>
    </row>
    <row r="950" spans="1:15">
      <c r="A950" s="7"/>
      <c r="B950" s="8">
        <v>-0.60912970227287866</v>
      </c>
      <c r="C950" s="8">
        <v>0.28261535739067112</v>
      </c>
      <c r="D950" s="8">
        <v>-0.68802996689194662</v>
      </c>
      <c r="E950" s="7">
        <v>0</v>
      </c>
      <c r="F950" s="7">
        <v>0</v>
      </c>
      <c r="G950" s="7">
        <v>-1.4990516053215155E-2</v>
      </c>
      <c r="H950" s="7">
        <v>0</v>
      </c>
      <c r="I950" s="7">
        <v>0</v>
      </c>
      <c r="J950" s="7">
        <v>0</v>
      </c>
      <c r="K950" s="7">
        <v>0</v>
      </c>
      <c r="L950">
        <v>0.46214783488271782</v>
      </c>
      <c r="M950">
        <v>0</v>
      </c>
      <c r="N950" s="9"/>
      <c r="O950" s="3">
        <f>L950-M950</f>
        <v>0.46214783488271782</v>
      </c>
    </row>
    <row r="951" spans="1:15">
      <c r="A951" s="7"/>
      <c r="B951" s="8"/>
      <c r="C951" s="8"/>
      <c r="D951" s="8"/>
      <c r="E951" s="7"/>
      <c r="F951" s="7"/>
      <c r="G951" s="7"/>
      <c r="H951" s="7"/>
      <c r="I951" s="7"/>
      <c r="J951" s="7"/>
      <c r="K951" s="7"/>
      <c r="N951" s="10"/>
      <c r="O951" s="3"/>
    </row>
    <row r="952" spans="1:15">
      <c r="A952" s="7"/>
      <c r="B952" s="8">
        <v>0.45824053226673911</v>
      </c>
      <c r="C952" s="8">
        <v>-2.124969022302313</v>
      </c>
      <c r="D952" s="8">
        <v>2.076961144994538E-2</v>
      </c>
      <c r="E952" s="7">
        <v>-1.4990516053215155E-2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>
        <v>2.3629545539581671</v>
      </c>
      <c r="M952">
        <v>0</v>
      </c>
      <c r="N952" s="9"/>
      <c r="O952" s="3">
        <f>L952-M952</f>
        <v>2.3629545539581671</v>
      </c>
    </row>
    <row r="953" spans="1:15">
      <c r="A953" s="7" t="s">
        <v>251</v>
      </c>
      <c r="B953" s="8">
        <v>-1.9865190328797109</v>
      </c>
      <c r="C953" s="8">
        <v>-1.2694850305255347</v>
      </c>
      <c r="D953" s="8">
        <v>-3.2127045366234341E-2</v>
      </c>
      <c r="E953" s="7">
        <v>0</v>
      </c>
      <c r="F953" s="7">
        <v>-1.4990516053215155E-2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>
        <v>2.779441128882862</v>
      </c>
      <c r="M953">
        <v>0</v>
      </c>
      <c r="N953" s="9"/>
      <c r="O953" s="3">
        <f>L953-M953</f>
        <v>2.779441128882862</v>
      </c>
    </row>
    <row r="954" spans="1:15">
      <c r="A954" s="7"/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0</v>
      </c>
      <c r="G954" s="7">
        <v>-1.4990516053215155E-2</v>
      </c>
      <c r="H954" s="7">
        <v>0</v>
      </c>
      <c r="I954" s="7">
        <v>0</v>
      </c>
      <c r="J954" s="7">
        <v>0</v>
      </c>
      <c r="K954" s="7">
        <v>0</v>
      </c>
      <c r="L954">
        <v>0.91096067521586066</v>
      </c>
      <c r="M954">
        <v>0</v>
      </c>
      <c r="N954" s="9"/>
      <c r="O954" s="3">
        <f>L954-M954</f>
        <v>0.91096067521586066</v>
      </c>
    </row>
    <row r="955" spans="1:15">
      <c r="A955" s="7"/>
      <c r="B955" s="8"/>
      <c r="C955" s="8"/>
      <c r="D955" s="8"/>
      <c r="E955" s="7"/>
      <c r="F955" s="7"/>
      <c r="G955" s="7"/>
      <c r="H955" s="7"/>
      <c r="I955" s="7"/>
      <c r="J955" s="7"/>
      <c r="K955" s="7"/>
      <c r="N955" s="10"/>
      <c r="O955" s="3"/>
    </row>
    <row r="956" spans="1:15">
      <c r="A956" s="7"/>
      <c r="B956" s="8">
        <v>0.45824053226673911</v>
      </c>
      <c r="C956" s="8">
        <v>-2.124969022302313</v>
      </c>
      <c r="D956" s="8">
        <v>2.076961144994538E-2</v>
      </c>
      <c r="E956" s="7">
        <v>-1.4990516053215155E-2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>
        <v>2.3629545539581671</v>
      </c>
      <c r="M956">
        <v>0</v>
      </c>
      <c r="N956" s="9"/>
      <c r="O956" s="3">
        <f>L956-M956</f>
        <v>2.3629545539581671</v>
      </c>
    </row>
    <row r="957" spans="1:15">
      <c r="A957" s="7" t="s">
        <v>252</v>
      </c>
      <c r="B957" s="8">
        <v>-1.9865190328797109</v>
      </c>
      <c r="C957" s="8">
        <v>-1.2694850305255347</v>
      </c>
      <c r="D957" s="8">
        <v>-3.2127045366234341E-2</v>
      </c>
      <c r="E957" s="7">
        <v>0</v>
      </c>
      <c r="F957" s="7">
        <v>-1.4990516053215155E-2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>
        <v>2.779441128882862</v>
      </c>
      <c r="M957">
        <v>0</v>
      </c>
      <c r="N957" s="9"/>
      <c r="O957" s="3">
        <f>L957-M957</f>
        <v>2.779441128882862</v>
      </c>
    </row>
    <row r="958" spans="1:15">
      <c r="A958" s="7"/>
      <c r="B958" s="8">
        <v>-1.6188303733889171</v>
      </c>
      <c r="C958" s="8">
        <v>1.9594494251009342E-2</v>
      </c>
      <c r="D958" s="8">
        <v>7.7422792294721043E-2</v>
      </c>
      <c r="E958" s="7">
        <v>0</v>
      </c>
      <c r="F958" s="7">
        <v>0</v>
      </c>
      <c r="G958" s="7">
        <v>-1.4990516053215155E-2</v>
      </c>
      <c r="H958" s="7">
        <v>0</v>
      </c>
      <c r="I958" s="7">
        <v>0</v>
      </c>
      <c r="J958" s="7">
        <v>0</v>
      </c>
      <c r="K958" s="7">
        <v>0</v>
      </c>
      <c r="L958">
        <v>1.3134950053890826</v>
      </c>
      <c r="M958">
        <v>0</v>
      </c>
      <c r="N958" s="9"/>
      <c r="O958" s="3">
        <f>L958-M958</f>
        <v>1.3134950053890826</v>
      </c>
    </row>
    <row r="959" spans="1:15">
      <c r="A959" s="7"/>
      <c r="B959" s="8"/>
      <c r="C959" s="8"/>
      <c r="D959" s="8"/>
      <c r="E959" s="7"/>
      <c r="F959" s="7"/>
      <c r="G959" s="7"/>
      <c r="H959" s="7"/>
      <c r="I959" s="7"/>
      <c r="J959" s="7"/>
      <c r="K959" s="7"/>
      <c r="N959" s="10"/>
      <c r="O959" s="3"/>
    </row>
    <row r="960" spans="1:15">
      <c r="A960" s="7"/>
      <c r="B960" s="8">
        <v>0.45824053226673911</v>
      </c>
      <c r="C960" s="8">
        <v>-2.124969022302313</v>
      </c>
      <c r="D960" s="8">
        <v>2.076961144994538E-2</v>
      </c>
      <c r="E960" s="7">
        <v>-1.4990516053215155E-2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>
        <v>2.3629545539581671</v>
      </c>
      <c r="M960">
        <v>0</v>
      </c>
      <c r="N960" s="9"/>
      <c r="O960" s="3">
        <f>L960-M960</f>
        <v>2.3629545539581671</v>
      </c>
    </row>
    <row r="961" spans="1:15">
      <c r="A961" s="7" t="s">
        <v>253</v>
      </c>
      <c r="B961" s="8">
        <v>-1.9865190328797109</v>
      </c>
      <c r="C961" s="8">
        <v>-1.2694850305255347</v>
      </c>
      <c r="D961" s="8">
        <v>-3.2127045366234341E-2</v>
      </c>
      <c r="E961" s="7">
        <v>0</v>
      </c>
      <c r="F961" s="7">
        <v>-1.4990516053215155E-2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>
        <v>2.779441128882862</v>
      </c>
      <c r="M961">
        <v>0</v>
      </c>
      <c r="N961" s="9"/>
      <c r="O961" s="3">
        <f>L961-M961</f>
        <v>2.779441128882862</v>
      </c>
    </row>
    <row r="962" spans="1:15">
      <c r="A962" s="7"/>
      <c r="B962" s="8">
        <v>-0.60912970227287866</v>
      </c>
      <c r="C962" s="8">
        <v>0.28261535739067112</v>
      </c>
      <c r="D962" s="8">
        <v>-0.68802996689194662</v>
      </c>
      <c r="E962" s="7">
        <v>0</v>
      </c>
      <c r="F962" s="7">
        <v>0</v>
      </c>
      <c r="G962" s="7">
        <v>-1.4990516053215155E-2</v>
      </c>
      <c r="H962" s="7">
        <v>0</v>
      </c>
      <c r="I962" s="7">
        <v>0</v>
      </c>
      <c r="J962" s="7">
        <v>0</v>
      </c>
      <c r="K962" s="7">
        <v>0</v>
      </c>
      <c r="L962">
        <v>0.46214783488271782</v>
      </c>
      <c r="M962">
        <v>0</v>
      </c>
      <c r="N962" s="9"/>
      <c r="O962" s="3">
        <f>L962-M962</f>
        <v>0.46214783488271782</v>
      </c>
    </row>
    <row r="963" spans="1:15">
      <c r="A963" s="7"/>
      <c r="B963" s="8"/>
      <c r="C963" s="8"/>
      <c r="D963" s="8"/>
      <c r="E963" s="7"/>
      <c r="F963" s="7"/>
      <c r="G963" s="7"/>
      <c r="H963" s="7"/>
      <c r="I963" s="7"/>
      <c r="J963" s="7"/>
      <c r="K963" s="7"/>
      <c r="N963" s="10"/>
      <c r="O963" s="3"/>
    </row>
    <row r="964" spans="1:15">
      <c r="A964" s="7"/>
      <c r="B964" s="8">
        <v>0.45824053226673911</v>
      </c>
      <c r="C964" s="8">
        <v>-2.124969022302313</v>
      </c>
      <c r="D964" s="8">
        <v>2.076961144994538E-2</v>
      </c>
      <c r="E964" s="7">
        <v>-1.4990516053215155E-2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>
        <v>2.3629545539581671</v>
      </c>
      <c r="M964">
        <v>0</v>
      </c>
      <c r="N964" s="9"/>
      <c r="O964" s="3">
        <f>L964-M964</f>
        <v>2.3629545539581671</v>
      </c>
    </row>
    <row r="965" spans="1:15">
      <c r="A965" s="7" t="s">
        <v>254</v>
      </c>
      <c r="B965" s="8">
        <v>0.85843073718374274</v>
      </c>
      <c r="C965" s="8">
        <v>-1.040962775001312</v>
      </c>
      <c r="D965" s="8">
        <v>3.7610117674176324E-2</v>
      </c>
      <c r="E965" s="7">
        <v>0</v>
      </c>
      <c r="F965" s="7">
        <v>-1.4990516053215155E-2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>
        <v>0.91096067521586066</v>
      </c>
      <c r="M965">
        <v>0</v>
      </c>
      <c r="N965" s="9"/>
      <c r="O965" s="3">
        <f>L965-M965</f>
        <v>0.91096067521586066</v>
      </c>
    </row>
    <row r="966" spans="1:15">
      <c r="A966" s="7"/>
      <c r="B966" s="8">
        <v>-1.6188303733889171</v>
      </c>
      <c r="C966" s="8">
        <v>1.9594494251009342E-2</v>
      </c>
      <c r="D966" s="8">
        <v>7.7422792294721043E-2</v>
      </c>
      <c r="E966" s="7">
        <v>0</v>
      </c>
      <c r="F966" s="7">
        <v>0</v>
      </c>
      <c r="G966" s="7">
        <v>-1.4990516053215155E-2</v>
      </c>
      <c r="H966" s="7">
        <v>0</v>
      </c>
      <c r="I966" s="7">
        <v>0</v>
      </c>
      <c r="J966" s="7">
        <v>0</v>
      </c>
      <c r="K966" s="7">
        <v>0</v>
      </c>
      <c r="L966">
        <v>1.3134950053890826</v>
      </c>
      <c r="M966">
        <v>0</v>
      </c>
      <c r="N966" s="9"/>
      <c r="O966" s="3">
        <f>L966-M966</f>
        <v>1.3134950053890826</v>
      </c>
    </row>
    <row r="967" spans="1:15">
      <c r="A967" s="7"/>
      <c r="B967" s="8"/>
      <c r="C967" s="8"/>
      <c r="D967" s="8"/>
      <c r="E967" s="7"/>
      <c r="F967" s="7"/>
      <c r="G967" s="7"/>
      <c r="H967" s="7"/>
      <c r="I967" s="7"/>
      <c r="J967" s="7"/>
      <c r="K967" s="7"/>
      <c r="N967" s="10"/>
      <c r="O967" s="3"/>
    </row>
    <row r="968" spans="1:15">
      <c r="A968" s="7"/>
      <c r="B968" s="8">
        <v>0.45824053226673911</v>
      </c>
      <c r="C968" s="8">
        <v>-2.124969022302313</v>
      </c>
      <c r="D968" s="8">
        <v>2.076961144994538E-2</v>
      </c>
      <c r="E968" s="7">
        <v>-1.4990516053215155E-2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>
        <v>2.3629545539581671</v>
      </c>
      <c r="M968">
        <v>0</v>
      </c>
      <c r="N968" s="9"/>
      <c r="O968" s="3">
        <f>L968-M968</f>
        <v>2.3629545539581671</v>
      </c>
    </row>
    <row r="969" spans="1:15">
      <c r="A969" s="7" t="s">
        <v>255</v>
      </c>
      <c r="B969" s="8">
        <v>0.85843073718374274</v>
      </c>
      <c r="C969" s="8">
        <v>-1.040962775001312</v>
      </c>
      <c r="D969" s="8">
        <v>3.7610117674176324E-2</v>
      </c>
      <c r="E969" s="7">
        <v>0</v>
      </c>
      <c r="F969" s="7">
        <v>-1.4990516053215155E-2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>
        <v>0.91096067521586066</v>
      </c>
      <c r="M969">
        <v>0</v>
      </c>
      <c r="N969" s="9"/>
      <c r="O969" s="3">
        <f>L969-M969</f>
        <v>0.91096067521586066</v>
      </c>
    </row>
    <row r="970" spans="1:15">
      <c r="A970" s="7"/>
      <c r="B970" s="8">
        <v>-0.60912970227287866</v>
      </c>
      <c r="C970" s="8">
        <v>0.28261535739067112</v>
      </c>
      <c r="D970" s="8">
        <v>-0.68802996689194662</v>
      </c>
      <c r="E970" s="7">
        <v>0</v>
      </c>
      <c r="F970" s="7">
        <v>0</v>
      </c>
      <c r="G970" s="7">
        <v>-1.4990516053215155E-2</v>
      </c>
      <c r="H970" s="7">
        <v>0</v>
      </c>
      <c r="I970" s="7">
        <v>0</v>
      </c>
      <c r="J970" s="7">
        <v>0</v>
      </c>
      <c r="K970" s="7">
        <v>0</v>
      </c>
      <c r="L970">
        <v>0.46214783488271782</v>
      </c>
      <c r="M970">
        <v>0</v>
      </c>
      <c r="N970" s="9"/>
      <c r="O970" s="3">
        <f>L970-M970</f>
        <v>0.46214783488271782</v>
      </c>
    </row>
    <row r="971" spans="1:15">
      <c r="A971" s="7"/>
      <c r="B971" s="8"/>
      <c r="C971" s="8"/>
      <c r="D971" s="8"/>
      <c r="E971" s="7"/>
      <c r="F971" s="7"/>
      <c r="G971" s="7"/>
      <c r="H971" s="7"/>
      <c r="I971" s="7"/>
      <c r="J971" s="7"/>
      <c r="K971" s="7"/>
      <c r="N971" s="10"/>
      <c r="O971" s="3"/>
    </row>
    <row r="972" spans="1:15">
      <c r="A972" s="7"/>
      <c r="B972" s="8">
        <v>0.45824053226673911</v>
      </c>
      <c r="C972" s="8">
        <v>-2.124969022302313</v>
      </c>
      <c r="D972" s="8">
        <v>2.076961144994538E-2</v>
      </c>
      <c r="E972" s="7">
        <v>-1.4990516053215155E-2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>
        <v>2.3629545539581671</v>
      </c>
      <c r="M972">
        <v>0</v>
      </c>
      <c r="N972" s="9"/>
      <c r="O972" s="3">
        <f>L972-M972</f>
        <v>2.3629545539581671</v>
      </c>
    </row>
    <row r="973" spans="1:15">
      <c r="A973" s="7" t="s">
        <v>256</v>
      </c>
      <c r="B973" s="8">
        <v>-1.6188303733889171</v>
      </c>
      <c r="C973" s="8">
        <v>1.9594494251009342E-2</v>
      </c>
      <c r="D973" s="8">
        <v>7.7422792294721043E-2</v>
      </c>
      <c r="E973" s="7">
        <v>0</v>
      </c>
      <c r="F973" s="7">
        <v>-1.4990516053215155E-2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>
        <v>1.3134950053890826</v>
      </c>
      <c r="M973">
        <v>0</v>
      </c>
      <c r="N973" s="9"/>
      <c r="O973" s="3">
        <f>L973-M973</f>
        <v>1.3134950053890826</v>
      </c>
    </row>
    <row r="974" spans="1:15">
      <c r="A974" s="7"/>
      <c r="B974" s="8">
        <v>-0.60912970227287866</v>
      </c>
      <c r="C974" s="8">
        <v>0.28261535739067112</v>
      </c>
      <c r="D974" s="8">
        <v>-0.68802996689194662</v>
      </c>
      <c r="E974" s="7">
        <v>0</v>
      </c>
      <c r="F974" s="7">
        <v>0</v>
      </c>
      <c r="G974" s="7">
        <v>-1.4990516053215155E-2</v>
      </c>
      <c r="H974" s="7">
        <v>0</v>
      </c>
      <c r="I974" s="7">
        <v>0</v>
      </c>
      <c r="J974" s="7">
        <v>0</v>
      </c>
      <c r="K974" s="7">
        <v>0</v>
      </c>
      <c r="L974">
        <v>0.46214783488271782</v>
      </c>
      <c r="M974">
        <v>0</v>
      </c>
      <c r="N974" s="9"/>
      <c r="O974" s="3">
        <f>L974-M974</f>
        <v>0.46214783488271782</v>
      </c>
    </row>
    <row r="975" spans="1:15">
      <c r="A975" s="7"/>
      <c r="B975" s="8"/>
      <c r="C975" s="8"/>
      <c r="D975" s="8"/>
      <c r="E975" s="7"/>
      <c r="F975" s="7"/>
      <c r="G975" s="7"/>
      <c r="H975" s="7"/>
      <c r="I975" s="7"/>
      <c r="J975" s="7"/>
      <c r="K975" s="7"/>
      <c r="N975" s="10"/>
      <c r="O975" s="3"/>
    </row>
    <row r="976" spans="1:15">
      <c r="A976" s="7"/>
      <c r="B976" s="8">
        <v>-1.9865190328797109</v>
      </c>
      <c r="C976" s="8">
        <v>-1.2694850305255347</v>
      </c>
      <c r="D976" s="8">
        <v>-3.2127045366234341E-2</v>
      </c>
      <c r="E976" s="7">
        <v>-1.4990516053215155E-2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>
        <v>2.779441128882862</v>
      </c>
      <c r="M976">
        <v>0</v>
      </c>
      <c r="N976" s="9"/>
      <c r="O976" s="3">
        <f>L976-M976</f>
        <v>2.779441128882862</v>
      </c>
    </row>
    <row r="977" spans="1:15">
      <c r="A977" s="7" t="s">
        <v>257</v>
      </c>
      <c r="B977" s="8">
        <v>0.85843073718374274</v>
      </c>
      <c r="C977" s="8">
        <v>-1.040962775001312</v>
      </c>
      <c r="D977" s="8">
        <v>3.7610117674176324E-2</v>
      </c>
      <c r="E977" s="7">
        <v>0</v>
      </c>
      <c r="F977" s="7">
        <v>-1.4990516053215155E-2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>
        <v>0.91096067521586066</v>
      </c>
      <c r="M977">
        <v>0</v>
      </c>
      <c r="N977" s="9"/>
      <c r="O977" s="3">
        <f>L977-M977</f>
        <v>0.91096067521586066</v>
      </c>
    </row>
    <row r="978" spans="1:15">
      <c r="A978" s="7"/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0</v>
      </c>
      <c r="G978" s="7">
        <v>-1.4990516053215155E-2</v>
      </c>
      <c r="H978" s="7">
        <v>0</v>
      </c>
      <c r="I978" s="7">
        <v>0</v>
      </c>
      <c r="J978" s="7">
        <v>0</v>
      </c>
      <c r="K978" s="7">
        <v>0</v>
      </c>
      <c r="L978">
        <v>1.3134950053890826</v>
      </c>
      <c r="M978">
        <v>0</v>
      </c>
      <c r="N978" s="9"/>
      <c r="O978" s="3">
        <f>L978-M978</f>
        <v>1.3134950053890826</v>
      </c>
    </row>
    <row r="979" spans="1:15">
      <c r="A979" s="7"/>
      <c r="B979" s="8"/>
      <c r="C979" s="8"/>
      <c r="D979" s="8"/>
      <c r="E979" s="7"/>
      <c r="F979" s="7"/>
      <c r="G979" s="7"/>
      <c r="H979" s="7"/>
      <c r="I979" s="7"/>
      <c r="J979" s="7"/>
      <c r="K979" s="7"/>
      <c r="N979" s="10"/>
      <c r="O979" s="3"/>
    </row>
    <row r="980" spans="1:15">
      <c r="A980" s="7"/>
      <c r="B980" s="8">
        <v>-1.9865190328797109</v>
      </c>
      <c r="C980" s="8">
        <v>-1.2694850305255347</v>
      </c>
      <c r="D980" s="8">
        <v>-3.2127045366234341E-2</v>
      </c>
      <c r="E980" s="7">
        <v>-1.4990516053215155E-2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>
        <v>2.779441128882862</v>
      </c>
      <c r="M980">
        <v>0</v>
      </c>
      <c r="N980" s="9"/>
      <c r="O980" s="3">
        <f>L980-M980</f>
        <v>2.779441128882862</v>
      </c>
    </row>
    <row r="981" spans="1:15">
      <c r="A981" s="7" t="s">
        <v>258</v>
      </c>
      <c r="B981" s="8">
        <v>0.85843073718374274</v>
      </c>
      <c r="C981" s="8">
        <v>-1.040962775001312</v>
      </c>
      <c r="D981" s="8">
        <v>3.7610117674176324E-2</v>
      </c>
      <c r="E981" s="7">
        <v>0</v>
      </c>
      <c r="F981" s="7">
        <v>-1.4990516053215155E-2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>
        <v>0.91096067521586066</v>
      </c>
      <c r="M981">
        <v>0</v>
      </c>
      <c r="N981" s="9"/>
      <c r="O981" s="3">
        <f>L981-M981</f>
        <v>0.91096067521586066</v>
      </c>
    </row>
    <row r="982" spans="1:15">
      <c r="A982" s="7"/>
      <c r="B982" s="8">
        <v>-0.60912970227287866</v>
      </c>
      <c r="C982" s="8">
        <v>0.28261535739067112</v>
      </c>
      <c r="D982" s="8">
        <v>-0.68802996689194662</v>
      </c>
      <c r="E982" s="7">
        <v>0</v>
      </c>
      <c r="F982" s="7">
        <v>0</v>
      </c>
      <c r="G982" s="7">
        <v>-1.4990516053215155E-2</v>
      </c>
      <c r="H982" s="7">
        <v>0</v>
      </c>
      <c r="I982" s="7">
        <v>0</v>
      </c>
      <c r="J982" s="7">
        <v>0</v>
      </c>
      <c r="K982" s="7">
        <v>0</v>
      </c>
      <c r="L982">
        <v>0.46214783488271782</v>
      </c>
      <c r="M982">
        <v>0</v>
      </c>
      <c r="N982" s="9"/>
      <c r="O982" s="3">
        <f>L982-M982</f>
        <v>0.46214783488271782</v>
      </c>
    </row>
    <row r="983" spans="1:15">
      <c r="A983" s="7"/>
      <c r="B983" s="8"/>
      <c r="C983" s="8"/>
      <c r="D983" s="8"/>
      <c r="E983" s="7"/>
      <c r="F983" s="7"/>
      <c r="G983" s="7"/>
      <c r="H983" s="7"/>
      <c r="I983" s="7"/>
      <c r="J983" s="7"/>
      <c r="K983" s="7"/>
      <c r="N983" s="10"/>
      <c r="O983" s="3"/>
    </row>
    <row r="984" spans="1:15">
      <c r="A984" s="7"/>
      <c r="B984" s="8">
        <v>-1.9865190328797109</v>
      </c>
      <c r="C984" s="8">
        <v>-1.2694850305255347</v>
      </c>
      <c r="D984" s="8">
        <v>-3.2127045366234341E-2</v>
      </c>
      <c r="E984" s="7">
        <v>-1.4990516053215155E-2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>
        <v>2.779441128882862</v>
      </c>
      <c r="M984">
        <v>0</v>
      </c>
      <c r="N984" s="9"/>
      <c r="O984" s="3">
        <f>L984-M984</f>
        <v>2.779441128882862</v>
      </c>
    </row>
    <row r="985" spans="1:15">
      <c r="A985" s="7" t="s">
        <v>259</v>
      </c>
      <c r="B985" s="8">
        <v>-1.6188303733889171</v>
      </c>
      <c r="C985" s="8">
        <v>1.9594494251009342E-2</v>
      </c>
      <c r="D985" s="8">
        <v>7.7422792294721043E-2</v>
      </c>
      <c r="E985" s="7">
        <v>0</v>
      </c>
      <c r="F985" s="7">
        <v>-1.4990516053215155E-2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>
        <v>1.3134950053890826</v>
      </c>
      <c r="M985">
        <v>0</v>
      </c>
      <c r="N985" s="9"/>
      <c r="O985" s="3">
        <f>L985-M985</f>
        <v>1.3134950053890826</v>
      </c>
    </row>
    <row r="986" spans="1:15">
      <c r="A986" s="7"/>
      <c r="B986" s="8">
        <v>-0.60912970227287866</v>
      </c>
      <c r="C986" s="8">
        <v>0.28261535739067112</v>
      </c>
      <c r="D986" s="8">
        <v>-0.68802996689194662</v>
      </c>
      <c r="E986" s="7">
        <v>0</v>
      </c>
      <c r="F986" s="7">
        <v>0</v>
      </c>
      <c r="G986" s="7">
        <v>-1.4990516053215155E-2</v>
      </c>
      <c r="H986" s="7">
        <v>0</v>
      </c>
      <c r="I986" s="7">
        <v>0</v>
      </c>
      <c r="J986" s="7">
        <v>0</v>
      </c>
      <c r="K986" s="7">
        <v>0</v>
      </c>
      <c r="L986">
        <v>0.46214783488271782</v>
      </c>
      <c r="M986">
        <v>0</v>
      </c>
      <c r="N986" s="9"/>
      <c r="O986" s="3">
        <f>L986-M986</f>
        <v>0.46214783488271782</v>
      </c>
    </row>
    <row r="987" spans="1:15">
      <c r="A987" s="7"/>
      <c r="B987" s="8"/>
      <c r="C987" s="8"/>
      <c r="D987" s="8"/>
      <c r="E987" s="7"/>
      <c r="F987" s="7"/>
      <c r="G987" s="7"/>
      <c r="H987" s="7"/>
      <c r="I987" s="7"/>
      <c r="J987" s="7"/>
      <c r="K987" s="7"/>
      <c r="N987" s="10"/>
      <c r="O987" s="3"/>
    </row>
    <row r="988" spans="1:15">
      <c r="A988" s="7"/>
      <c r="B988" s="8">
        <v>0.85843073718374274</v>
      </c>
      <c r="C988" s="8">
        <v>-1.040962775001312</v>
      </c>
      <c r="D988" s="8">
        <v>3.7610117674176324E-2</v>
      </c>
      <c r="E988" s="7">
        <v>-1.4990516053215155E-2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>
        <v>0.91096067521586066</v>
      </c>
      <c r="M988">
        <v>0</v>
      </c>
      <c r="N988" s="9"/>
      <c r="O988" s="3">
        <f>L988-M988</f>
        <v>0.91096067521586066</v>
      </c>
    </row>
    <row r="989" spans="1:15">
      <c r="A989" s="7" t="s">
        <v>260</v>
      </c>
      <c r="B989" s="8">
        <v>-1.6188303733889171</v>
      </c>
      <c r="C989" s="8">
        <v>1.9594494251009342E-2</v>
      </c>
      <c r="D989" s="8">
        <v>7.7422792294721043E-2</v>
      </c>
      <c r="E989" s="7">
        <v>0</v>
      </c>
      <c r="F989" s="7">
        <v>-1.4990516053215155E-2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>
        <v>1.3134950053890826</v>
      </c>
      <c r="M989">
        <v>0</v>
      </c>
      <c r="N989" s="9"/>
      <c r="O989" s="3">
        <f>L989-M989</f>
        <v>1.3134950053890826</v>
      </c>
    </row>
    <row r="990" spans="1:15">
      <c r="A990" s="7"/>
      <c r="B990" s="8">
        <v>-0.60912970227287866</v>
      </c>
      <c r="C990" s="8">
        <v>0.28261535739067112</v>
      </c>
      <c r="D990" s="8">
        <v>-0.68802996689194662</v>
      </c>
      <c r="E990" s="7">
        <v>0</v>
      </c>
      <c r="F990" s="7">
        <v>0</v>
      </c>
      <c r="G990" s="7">
        <v>-1.4990516053215155E-2</v>
      </c>
      <c r="H990" s="7">
        <v>0</v>
      </c>
      <c r="I990" s="7">
        <v>0</v>
      </c>
      <c r="J990" s="7">
        <v>0</v>
      </c>
      <c r="K990" s="7">
        <v>0</v>
      </c>
      <c r="L990">
        <v>0.46214783488271782</v>
      </c>
      <c r="M990">
        <v>0</v>
      </c>
      <c r="N990" s="9"/>
      <c r="O990" s="3">
        <f>L990-M990</f>
        <v>0.46214783488271782</v>
      </c>
    </row>
    <row r="991" spans="1:15">
      <c r="A991" s="7"/>
      <c r="B991" s="8"/>
      <c r="C991" s="8"/>
      <c r="D991" s="8"/>
      <c r="E991" s="7"/>
      <c r="F991" s="7"/>
      <c r="G991" s="7"/>
      <c r="H991" s="7"/>
      <c r="I991" s="7"/>
      <c r="J991" s="7"/>
      <c r="K991" s="7"/>
      <c r="N991" s="10"/>
      <c r="O991" s="3"/>
    </row>
    <row r="992" spans="1:15">
      <c r="A992" s="7"/>
      <c r="B992" s="8">
        <v>2.5457845528396139E-2</v>
      </c>
      <c r="C992" s="8">
        <v>-2.3667658472617719</v>
      </c>
      <c r="D992" s="8">
        <v>-6.368425350466822E-2</v>
      </c>
      <c r="E992" s="7">
        <v>-1.4990516053215155E-2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>
        <v>2.803142180904064</v>
      </c>
      <c r="M992">
        <v>0</v>
      </c>
      <c r="N992" s="9"/>
      <c r="O992" s="3">
        <f>L992-M992</f>
        <v>2.803142180904064</v>
      </c>
    </row>
    <row r="993" spans="1:15">
      <c r="A993" s="7" t="s">
        <v>261</v>
      </c>
      <c r="B993" s="8">
        <v>-1.2284177840385118</v>
      </c>
      <c r="C993" s="8">
        <v>-2.3993580133895418</v>
      </c>
      <c r="D993" s="8">
        <v>0.6756623603325641</v>
      </c>
      <c r="E993" s="7">
        <v>0</v>
      </c>
      <c r="F993" s="7">
        <v>-1.4990516053215155E-2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>
        <v>3.8612243768644339</v>
      </c>
      <c r="M993">
        <v>0</v>
      </c>
      <c r="N993" s="9"/>
      <c r="O993" s="3">
        <f>L993-M993</f>
        <v>3.8612243768644339</v>
      </c>
    </row>
    <row r="994" spans="1:15">
      <c r="A994" s="7"/>
      <c r="B994" s="8">
        <v>1.0673702345396179</v>
      </c>
      <c r="C994" s="8">
        <v>-2.4075843796929846</v>
      </c>
      <c r="D994" s="8">
        <v>0.708799578341892</v>
      </c>
      <c r="E994" s="7">
        <v>0</v>
      </c>
      <c r="F994" s="7">
        <v>0</v>
      </c>
      <c r="G994" s="7">
        <v>-1.4990516053215155E-2</v>
      </c>
      <c r="H994" s="7">
        <v>0</v>
      </c>
      <c r="I994" s="7">
        <v>0</v>
      </c>
      <c r="J994" s="7">
        <v>0</v>
      </c>
      <c r="K994" s="7">
        <v>0</v>
      </c>
      <c r="L994">
        <v>3.7190693025902282</v>
      </c>
      <c r="M994">
        <v>0</v>
      </c>
      <c r="N994" s="9"/>
      <c r="O994" s="3">
        <f>L994-M994</f>
        <v>3.7190693025902282</v>
      </c>
    </row>
    <row r="995" spans="1:15">
      <c r="A995" s="7"/>
      <c r="B995" s="8"/>
      <c r="C995" s="8"/>
      <c r="D995" s="8"/>
      <c r="E995" s="7"/>
      <c r="F995" s="7"/>
      <c r="G995" s="7"/>
      <c r="H995" s="7"/>
      <c r="I995" s="7"/>
      <c r="J995" s="7"/>
      <c r="K995" s="7"/>
      <c r="N995" s="10"/>
      <c r="O995" s="3"/>
    </row>
    <row r="996" spans="1:15">
      <c r="A996" s="7"/>
      <c r="B996" s="8">
        <v>2.5457845528396139E-2</v>
      </c>
      <c r="C996" s="8">
        <v>-2.3667658472617719</v>
      </c>
      <c r="D996" s="8">
        <v>-6.368425350466822E-2</v>
      </c>
      <c r="E996" s="7">
        <v>-1.4990516053215155E-2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>
        <v>2.803142180904064</v>
      </c>
      <c r="M996">
        <v>0</v>
      </c>
      <c r="N996" s="9"/>
      <c r="O996" s="3">
        <f>L996-M996</f>
        <v>2.803142180904064</v>
      </c>
    </row>
    <row r="997" spans="1:15">
      <c r="A997" s="7" t="s">
        <v>262</v>
      </c>
      <c r="B997" s="8">
        <v>-1.2284177840385118</v>
      </c>
      <c r="C997" s="8">
        <v>-2.3993580133895418</v>
      </c>
      <c r="D997" s="8">
        <v>0.6756623603325641</v>
      </c>
      <c r="E997" s="7">
        <v>0</v>
      </c>
      <c r="F997" s="7">
        <v>-1.4990516053215155E-2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>
        <v>3.8612243768644339</v>
      </c>
      <c r="M997">
        <v>0</v>
      </c>
      <c r="N997" s="9"/>
      <c r="O997" s="3">
        <f>L997-M997</f>
        <v>3.8612243768644339</v>
      </c>
    </row>
    <row r="998" spans="1:15">
      <c r="A998" s="7"/>
      <c r="B998" s="8">
        <v>-1.3773893306068323</v>
      </c>
      <c r="C998" s="8">
        <v>-1.5521003879162059</v>
      </c>
      <c r="D998" s="8">
        <v>0.65590292152571228</v>
      </c>
      <c r="E998" s="7">
        <v>0</v>
      </c>
      <c r="F998" s="7">
        <v>0</v>
      </c>
      <c r="G998" s="7">
        <v>-1.4990516053215155E-2</v>
      </c>
      <c r="H998" s="7">
        <v>0</v>
      </c>
      <c r="I998" s="7">
        <v>0</v>
      </c>
      <c r="J998" s="7">
        <v>0</v>
      </c>
      <c r="K998" s="7">
        <v>0</v>
      </c>
      <c r="L998">
        <v>2.3682128123525694</v>
      </c>
      <c r="M998">
        <v>0</v>
      </c>
      <c r="N998" s="9"/>
      <c r="O998" s="3">
        <f>L998-M998</f>
        <v>2.3682128123525694</v>
      </c>
    </row>
    <row r="999" spans="1:15">
      <c r="A999" s="7"/>
      <c r="B999" s="8"/>
      <c r="C999" s="8"/>
      <c r="D999" s="8"/>
      <c r="E999" s="7"/>
      <c r="F999" s="7"/>
      <c r="G999" s="7"/>
      <c r="H999" s="7"/>
      <c r="I999" s="7"/>
      <c r="J999" s="7"/>
      <c r="K999" s="7"/>
      <c r="N999" s="10"/>
      <c r="O999" s="3"/>
    </row>
    <row r="1000" spans="1:15">
      <c r="A1000" s="7"/>
      <c r="B1000" s="8">
        <v>2.5457845528396139E-2</v>
      </c>
      <c r="C1000" s="8">
        <v>-2.3667658472617719</v>
      </c>
      <c r="D1000" s="8">
        <v>-6.368425350466822E-2</v>
      </c>
      <c r="E1000" s="7">
        <v>-1.4990516053215155E-2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>
        <v>2.803142180904064</v>
      </c>
      <c r="M1000">
        <v>0</v>
      </c>
      <c r="N1000" s="9"/>
      <c r="O1000" s="3">
        <f>L1000-M1000</f>
        <v>2.803142180904064</v>
      </c>
    </row>
    <row r="1001" spans="1:15">
      <c r="A1001" s="7" t="s">
        <v>263</v>
      </c>
      <c r="B1001" s="8">
        <v>-1.2284177840385118</v>
      </c>
      <c r="C1001" s="8">
        <v>-2.3993580133895418</v>
      </c>
      <c r="D1001" s="8">
        <v>0.6756623603325641</v>
      </c>
      <c r="E1001" s="7">
        <v>0</v>
      </c>
      <c r="F1001" s="7">
        <v>-1.4990516053215155E-2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>
        <v>3.8612243768644339</v>
      </c>
      <c r="M1001">
        <v>0</v>
      </c>
      <c r="N1001" s="9"/>
      <c r="O1001" s="3">
        <f>L1001-M1001</f>
        <v>3.8612243768644339</v>
      </c>
    </row>
    <row r="1002" spans="1:15">
      <c r="A1002" s="7"/>
      <c r="B1002" s="8">
        <v>1.4675604394566215</v>
      </c>
      <c r="C1002" s="8">
        <v>-1.3235781323919831</v>
      </c>
      <c r="D1002" s="8">
        <v>0.72564008456612294</v>
      </c>
      <c r="E1002" s="7">
        <v>0</v>
      </c>
      <c r="F1002" s="7">
        <v>0</v>
      </c>
      <c r="G1002" s="7">
        <v>-1.4990516053215155E-2</v>
      </c>
      <c r="H1002" s="7">
        <v>0</v>
      </c>
      <c r="I1002" s="7">
        <v>0</v>
      </c>
      <c r="J1002" s="7">
        <v>0</v>
      </c>
      <c r="K1002" s="7">
        <v>0</v>
      </c>
      <c r="L1002">
        <v>2.216073124166746</v>
      </c>
      <c r="M1002">
        <v>0</v>
      </c>
      <c r="N1002" s="9"/>
      <c r="O1002" s="3">
        <f>L1002-M1002</f>
        <v>2.216073124166746</v>
      </c>
    </row>
    <row r="1003" spans="1:15">
      <c r="A1003" s="7"/>
      <c r="B1003" s="8"/>
      <c r="C1003" s="8"/>
      <c r="D1003" s="8"/>
      <c r="E1003" s="7"/>
      <c r="F1003" s="7"/>
      <c r="G1003" s="7"/>
      <c r="H1003" s="7"/>
      <c r="I1003" s="7"/>
      <c r="J1003" s="7"/>
      <c r="K1003" s="7"/>
      <c r="N1003" s="10"/>
      <c r="O1003" s="3"/>
    </row>
    <row r="1004" spans="1:15">
      <c r="A1004" s="7"/>
      <c r="B1004" s="8">
        <v>2.5457845528396139E-2</v>
      </c>
      <c r="C1004" s="8">
        <v>-2.3667658472617719</v>
      </c>
      <c r="D1004" s="8">
        <v>-6.368425350466822E-2</v>
      </c>
      <c r="E1004" s="7">
        <v>-1.4990516053215155E-2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>
        <v>2.803142180904064</v>
      </c>
      <c r="M1004">
        <v>0</v>
      </c>
      <c r="N1004" s="9"/>
      <c r="O1004" s="3">
        <f>L1004-M1004</f>
        <v>2.803142180904064</v>
      </c>
    </row>
    <row r="1005" spans="1:15">
      <c r="A1005" s="7" t="s">
        <v>264</v>
      </c>
      <c r="B1005" s="8">
        <v>-1.2284177840385118</v>
      </c>
      <c r="C1005" s="8">
        <v>-2.3993580133895418</v>
      </c>
      <c r="D1005" s="8">
        <v>0.6756623603325641</v>
      </c>
      <c r="E1005" s="7">
        <v>0</v>
      </c>
      <c r="F1005" s="7">
        <v>-1.4990516053215155E-2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>
        <v>3.8612243768644339</v>
      </c>
      <c r="M1005">
        <v>0</v>
      </c>
      <c r="N1005" s="9"/>
      <c r="O1005" s="3">
        <f>L1005-M1005</f>
        <v>3.8612243768644339</v>
      </c>
    </row>
    <row r="1006" spans="1:15">
      <c r="A1006" s="7"/>
      <c r="B1006" s="8">
        <v>-1.0097006711160386</v>
      </c>
      <c r="C1006" s="8">
        <v>-0.26302086313966178</v>
      </c>
      <c r="D1006" s="8">
        <v>0.76545275918666766</v>
      </c>
      <c r="E1006" s="7">
        <v>0</v>
      </c>
      <c r="F1006" s="7">
        <v>0</v>
      </c>
      <c r="G1006" s="7">
        <v>-1.4990516053215155E-2</v>
      </c>
      <c r="H1006" s="7">
        <v>0</v>
      </c>
      <c r="I1006" s="7">
        <v>0</v>
      </c>
      <c r="J1006" s="7">
        <v>0</v>
      </c>
      <c r="K1006" s="7">
        <v>0</v>
      </c>
      <c r="L1006">
        <v>0.83729667312269707</v>
      </c>
      <c r="M1006">
        <v>0</v>
      </c>
      <c r="N1006" s="9"/>
      <c r="O1006" s="3">
        <f>L1006-M1006</f>
        <v>0.83729667312269707</v>
      </c>
    </row>
    <row r="1007" spans="1:15">
      <c r="A1007" s="7"/>
      <c r="B1007" s="8"/>
      <c r="C1007" s="8"/>
      <c r="D1007" s="8"/>
      <c r="E1007" s="7"/>
      <c r="F1007" s="7"/>
      <c r="G1007" s="7"/>
      <c r="H1007" s="7"/>
      <c r="I1007" s="7"/>
      <c r="J1007" s="7"/>
      <c r="K1007" s="7"/>
      <c r="N1007" s="10"/>
      <c r="O1007" s="3"/>
    </row>
    <row r="1008" spans="1:15">
      <c r="A1008" s="7"/>
      <c r="B1008" s="8">
        <v>2.5457845528396139E-2</v>
      </c>
      <c r="C1008" s="8">
        <v>-2.3667658472617719</v>
      </c>
      <c r="D1008" s="8">
        <v>-6.368425350466822E-2</v>
      </c>
      <c r="E1008" s="7">
        <v>-1.4990516053215155E-2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>
        <v>2.803142180904064</v>
      </c>
      <c r="M1008">
        <v>0</v>
      </c>
      <c r="N1008" s="9"/>
      <c r="O1008" s="3">
        <f>L1008-M1008</f>
        <v>2.803142180904064</v>
      </c>
    </row>
    <row r="1009" spans="1:15">
      <c r="A1009" s="7" t="s">
        <v>265</v>
      </c>
      <c r="B1009" s="8">
        <v>-1.2284177840385118</v>
      </c>
      <c r="C1009" s="8">
        <v>-2.3993580133895418</v>
      </c>
      <c r="D1009" s="8">
        <v>0.6756623603325641</v>
      </c>
      <c r="E1009" s="7">
        <v>0</v>
      </c>
      <c r="F1009" s="7">
        <v>-1.4990516053215155E-2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>
        <v>3.8612243768644339</v>
      </c>
      <c r="M1009">
        <v>0</v>
      </c>
      <c r="N1009" s="9"/>
      <c r="O1009" s="3">
        <f>L1009-M1009</f>
        <v>3.8612243768644339</v>
      </c>
    </row>
    <row r="1010" spans="1:15">
      <c r="A1010" s="7"/>
      <c r="B1010" s="8">
        <v>0.60912970227287866</v>
      </c>
      <c r="C1010" s="8">
        <v>-0.28261535739067112</v>
      </c>
      <c r="D1010" s="8">
        <v>0.68802996689194662</v>
      </c>
      <c r="E1010" s="7">
        <v>0</v>
      </c>
      <c r="F1010" s="7">
        <v>0</v>
      </c>
      <c r="G1010" s="7">
        <v>-1.4990516053215155E-2</v>
      </c>
      <c r="H1010" s="7">
        <v>0</v>
      </c>
      <c r="I1010" s="7">
        <v>0</v>
      </c>
      <c r="J1010" s="7">
        <v>0</v>
      </c>
      <c r="K1010" s="7">
        <v>0</v>
      </c>
      <c r="L1010">
        <v>0.46214783488271782</v>
      </c>
      <c r="M1010">
        <v>0</v>
      </c>
      <c r="N1010" s="9"/>
      <c r="O1010" s="3">
        <f>L1010-M1010</f>
        <v>0.46214783488271782</v>
      </c>
    </row>
    <row r="1011" spans="1:15">
      <c r="A1011" s="7"/>
      <c r="B1011" s="8"/>
      <c r="C1011" s="8"/>
      <c r="D1011" s="8"/>
      <c r="E1011" s="7"/>
      <c r="F1011" s="7"/>
      <c r="G1011" s="7"/>
      <c r="H1011" s="7"/>
      <c r="I1011" s="7"/>
      <c r="J1011" s="7"/>
      <c r="K1011" s="7"/>
      <c r="N1011" s="10"/>
      <c r="O1011" s="3"/>
    </row>
    <row r="1012" spans="1:15">
      <c r="A1012" s="7"/>
      <c r="B1012" s="8">
        <v>2.5457845528396139E-2</v>
      </c>
      <c r="C1012" s="8">
        <v>-2.3667658472617719</v>
      </c>
      <c r="D1012" s="8">
        <v>-6.368425350466822E-2</v>
      </c>
      <c r="E1012" s="7">
        <v>-1.4990516053215155E-2</v>
      </c>
      <c r="F1012" s="7">
        <v>0</v>
      </c>
      <c r="G1012" s="7">
        <v>0</v>
      </c>
      <c r="H1012" s="7">
        <v>-2.0521745021313972E-2</v>
      </c>
      <c r="I1012" s="7">
        <v>2.1796664656245589E-2</v>
      </c>
      <c r="J1012" s="7">
        <v>0</v>
      </c>
      <c r="K1012" s="7">
        <v>0</v>
      </c>
      <c r="L1012">
        <v>2.803142180904064</v>
      </c>
      <c r="M1012">
        <v>-9.0011799830808027E-4</v>
      </c>
      <c r="N1012" s="9"/>
      <c r="O1012" s="3">
        <f>L1012-M1012</f>
        <v>2.8040422989023721</v>
      </c>
    </row>
    <row r="1013" spans="1:15">
      <c r="A1013" s="7" t="s">
        <v>266</v>
      </c>
      <c r="B1013" s="8">
        <v>1.0673702345396179</v>
      </c>
      <c r="C1013" s="8">
        <v>-2.4075843796929846</v>
      </c>
      <c r="D1013" s="8">
        <v>0.708799578341892</v>
      </c>
      <c r="E1013" s="7">
        <v>0</v>
      </c>
      <c r="F1013" s="7">
        <v>-1.4990516053215155E-2</v>
      </c>
      <c r="G1013" s="7">
        <v>0</v>
      </c>
      <c r="H1013" s="7">
        <v>-2.0521745021313972E-2</v>
      </c>
      <c r="I1013" s="7">
        <v>0</v>
      </c>
      <c r="J1013" s="7">
        <v>2.2872089329671663E-2</v>
      </c>
      <c r="K1013" s="7">
        <v>0</v>
      </c>
      <c r="L1013">
        <v>3.7190693025902282</v>
      </c>
      <c r="M1013">
        <v>-1.7015582152214068E-3</v>
      </c>
      <c r="N1013" s="9"/>
      <c r="O1013" s="3">
        <f>L1013-M1013</f>
        <v>3.7207708608054495</v>
      </c>
    </row>
    <row r="1014" spans="1:15">
      <c r="A1014" s="7"/>
      <c r="B1014" s="8">
        <v>-1.3773893306068323</v>
      </c>
      <c r="C1014" s="8">
        <v>-1.5521003879162059</v>
      </c>
      <c r="D1014" s="8">
        <v>0.65590292152571228</v>
      </c>
      <c r="E1014" s="7">
        <v>0</v>
      </c>
      <c r="F1014" s="7">
        <v>0</v>
      </c>
      <c r="G1014" s="7">
        <v>-1.4990516053215155E-2</v>
      </c>
      <c r="H1014" s="7">
        <v>-2.0521745021313972E-2</v>
      </c>
      <c r="I1014" s="7">
        <v>0</v>
      </c>
      <c r="J1014" s="7">
        <v>0</v>
      </c>
      <c r="K1014" s="7">
        <v>2.2385887789414392E-2</v>
      </c>
      <c r="L1014">
        <v>2.3682128123525694</v>
      </c>
      <c r="M1014">
        <v>-1.3344460583924961E-3</v>
      </c>
      <c r="N1014" s="9"/>
      <c r="O1014" s="3">
        <f>L1014-M1014</f>
        <v>2.3695472584109618</v>
      </c>
    </row>
    <row r="1015" spans="1:15">
      <c r="A1015" s="7"/>
      <c r="B1015" s="8"/>
      <c r="C1015" s="8"/>
      <c r="D1015" s="8"/>
      <c r="E1015" s="7"/>
      <c r="F1015" s="7"/>
      <c r="G1015" s="7"/>
      <c r="H1015" s="7"/>
      <c r="I1015" s="7"/>
      <c r="J1015" s="7"/>
      <c r="K1015" s="7"/>
      <c r="N1015" s="10"/>
      <c r="O1015" s="3"/>
    </row>
    <row r="1016" spans="1:15">
      <c r="A1016" s="7"/>
      <c r="B1016" s="8">
        <v>2.5457845528396139E-2</v>
      </c>
      <c r="C1016" s="8">
        <v>-2.3667658472617719</v>
      </c>
      <c r="D1016" s="8">
        <v>-6.368425350466822E-2</v>
      </c>
      <c r="E1016" s="7">
        <v>-1.4990516053215155E-2</v>
      </c>
      <c r="F1016" s="7">
        <v>0</v>
      </c>
      <c r="G1016" s="7">
        <v>0</v>
      </c>
      <c r="H1016" s="7">
        <v>-2.0521745021313972E-2</v>
      </c>
      <c r="I1016" s="7">
        <v>2.1796664656245589E-2</v>
      </c>
      <c r="J1016" s="7">
        <v>0</v>
      </c>
      <c r="K1016" s="7">
        <v>0</v>
      </c>
      <c r="L1016">
        <v>2.803142180904064</v>
      </c>
      <c r="M1016">
        <v>-9.0011799830808027E-4</v>
      </c>
      <c r="N1016" s="9"/>
      <c r="O1016" s="3">
        <f>L1016-M1016</f>
        <v>2.8040422989023721</v>
      </c>
    </row>
    <row r="1017" spans="1:15">
      <c r="A1017" s="7" t="s">
        <v>267</v>
      </c>
      <c r="B1017" s="8">
        <v>1.0673702345396179</v>
      </c>
      <c r="C1017" s="8">
        <v>-2.4075843796929846</v>
      </c>
      <c r="D1017" s="8">
        <v>0.708799578341892</v>
      </c>
      <c r="E1017" s="7">
        <v>0</v>
      </c>
      <c r="F1017" s="7">
        <v>-1.4990516053215155E-2</v>
      </c>
      <c r="G1017" s="7">
        <v>0</v>
      </c>
      <c r="H1017" s="7">
        <v>-2.0521745021313972E-2</v>
      </c>
      <c r="I1017" s="7">
        <v>0</v>
      </c>
      <c r="J1017" s="7">
        <v>2.2872089329671663E-2</v>
      </c>
      <c r="K1017" s="7">
        <v>0</v>
      </c>
      <c r="L1017">
        <v>3.7190693025902282</v>
      </c>
      <c r="M1017">
        <v>-1.7015582152214068E-3</v>
      </c>
      <c r="N1017" s="9"/>
      <c r="O1017" s="3">
        <f>L1017-M1017</f>
        <v>3.7207708608054495</v>
      </c>
    </row>
    <row r="1018" spans="1:15">
      <c r="A1018" s="7"/>
      <c r="B1018" s="8">
        <v>1.4675604394566215</v>
      </c>
      <c r="C1018" s="8">
        <v>-1.3235781323919831</v>
      </c>
      <c r="D1018" s="8">
        <v>0.72564008456612294</v>
      </c>
      <c r="E1018" s="7">
        <v>0</v>
      </c>
      <c r="F1018" s="7">
        <v>0</v>
      </c>
      <c r="G1018" s="7">
        <v>-1.4990516053215155E-2</v>
      </c>
      <c r="H1018" s="7">
        <v>-2.0521745021313972E-2</v>
      </c>
      <c r="I1018" s="7">
        <v>0</v>
      </c>
      <c r="J1018" s="7">
        <v>0</v>
      </c>
      <c r="K1018" s="7">
        <v>1.6236379226863738E-2</v>
      </c>
      <c r="L1018">
        <v>2.216073124166746</v>
      </c>
      <c r="M1018">
        <v>2.6280192231014289E-3</v>
      </c>
      <c r="N1018" s="9"/>
      <c r="O1018" s="3">
        <f>L1018-M1018</f>
        <v>2.2134451049436445</v>
      </c>
    </row>
    <row r="1019" spans="1:15">
      <c r="A1019" s="7"/>
      <c r="B1019" s="8"/>
      <c r="C1019" s="8"/>
      <c r="D1019" s="8"/>
      <c r="E1019" s="7"/>
      <c r="F1019" s="7"/>
      <c r="G1019" s="7"/>
      <c r="H1019" s="7"/>
      <c r="I1019" s="7"/>
      <c r="J1019" s="7"/>
      <c r="K1019" s="7"/>
      <c r="N1019" s="10"/>
      <c r="O1019" s="3"/>
    </row>
    <row r="1020" spans="1:15">
      <c r="A1020" s="7"/>
      <c r="B1020" s="8">
        <v>2.5457845528396139E-2</v>
      </c>
      <c r="C1020" s="8">
        <v>-2.3667658472617719</v>
      </c>
      <c r="D1020" s="8">
        <v>-6.368425350466822E-2</v>
      </c>
      <c r="E1020" s="7">
        <v>-1.4990516053215155E-2</v>
      </c>
      <c r="F1020" s="7">
        <v>0</v>
      </c>
      <c r="G1020" s="7">
        <v>0</v>
      </c>
      <c r="H1020" s="7">
        <v>-2.0521745021313972E-2</v>
      </c>
      <c r="I1020" s="7">
        <v>2.1796664656245589E-2</v>
      </c>
      <c r="J1020" s="7">
        <v>0</v>
      </c>
      <c r="K1020" s="7">
        <v>0</v>
      </c>
      <c r="L1020">
        <v>2.803142180904064</v>
      </c>
      <c r="M1020">
        <v>-9.0011799830808027E-4</v>
      </c>
      <c r="N1020" s="9"/>
      <c r="O1020" s="3">
        <f>L1020-M1020</f>
        <v>2.8040422989023721</v>
      </c>
    </row>
    <row r="1021" spans="1:15">
      <c r="A1021" s="7" t="s">
        <v>268</v>
      </c>
      <c r="B1021" s="8">
        <v>1.0673702345396179</v>
      </c>
      <c r="C1021" s="8">
        <v>-2.4075843796929846</v>
      </c>
      <c r="D1021" s="8">
        <v>0.708799578341892</v>
      </c>
      <c r="E1021" s="7">
        <v>0</v>
      </c>
      <c r="F1021" s="7">
        <v>-1.4990516053215155E-2</v>
      </c>
      <c r="G1021" s="7">
        <v>0</v>
      </c>
      <c r="H1021" s="7">
        <v>-2.0521745021313972E-2</v>
      </c>
      <c r="I1021" s="7">
        <v>0</v>
      </c>
      <c r="J1021" s="7">
        <v>2.2872089329671663E-2</v>
      </c>
      <c r="K1021" s="7">
        <v>0</v>
      </c>
      <c r="L1021">
        <v>3.7190693025902282</v>
      </c>
      <c r="M1021">
        <v>-1.7015582152214068E-3</v>
      </c>
      <c r="N1021" s="9"/>
      <c r="O1021" s="3">
        <f>L1021-M1021</f>
        <v>3.7207708608054495</v>
      </c>
    </row>
    <row r="1022" spans="1:15">
      <c r="A1022" s="7"/>
      <c r="B1022" s="8">
        <v>-1.0097006711160386</v>
      </c>
      <c r="C1022" s="8">
        <v>-0.26302086313966178</v>
      </c>
      <c r="D1022" s="8">
        <v>0.76545275918666766</v>
      </c>
      <c r="E1022" s="7">
        <v>0</v>
      </c>
      <c r="F1022" s="7">
        <v>0</v>
      </c>
      <c r="G1022" s="7">
        <v>-1.4990516053215155E-2</v>
      </c>
      <c r="H1022" s="7">
        <v>-2.0521745021313972E-2</v>
      </c>
      <c r="I1022" s="7">
        <v>0</v>
      </c>
      <c r="J1022" s="7">
        <v>0</v>
      </c>
      <c r="K1022" s="7">
        <v>1.5970575730977998E-2</v>
      </c>
      <c r="L1022">
        <v>0.83729667312269707</v>
      </c>
      <c r="M1022">
        <v>2.7708420588978652E-3</v>
      </c>
      <c r="N1022" s="9"/>
      <c r="O1022" s="3">
        <f>L1022-M1022</f>
        <v>0.83452583106379918</v>
      </c>
    </row>
    <row r="1023" spans="1:15">
      <c r="A1023" s="7"/>
      <c r="B1023" s="8"/>
      <c r="C1023" s="8"/>
      <c r="D1023" s="8"/>
      <c r="E1023" s="7"/>
      <c r="F1023" s="7"/>
      <c r="G1023" s="7"/>
      <c r="H1023" s="7"/>
      <c r="I1023" s="7"/>
      <c r="J1023" s="7"/>
      <c r="K1023" s="7"/>
      <c r="N1023" s="10"/>
      <c r="O1023" s="3"/>
    </row>
    <row r="1024" spans="1:15">
      <c r="A1024" s="7"/>
      <c r="B1024" s="8">
        <v>2.5457845528396139E-2</v>
      </c>
      <c r="C1024" s="8">
        <v>-2.3667658472617719</v>
      </c>
      <c r="D1024" s="8">
        <v>-6.368425350466822E-2</v>
      </c>
      <c r="E1024" s="7">
        <v>-1.4990516053215155E-2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>
        <v>2.803142180904064</v>
      </c>
      <c r="M1024">
        <v>0</v>
      </c>
      <c r="N1024" s="9"/>
      <c r="O1024" s="3">
        <f>L1024-M1024</f>
        <v>2.803142180904064</v>
      </c>
    </row>
    <row r="1025" spans="1:15">
      <c r="A1025" s="7" t="s">
        <v>269</v>
      </c>
      <c r="B1025" s="8">
        <v>1.0673702345396179</v>
      </c>
      <c r="C1025" s="8">
        <v>-2.4075843796929846</v>
      </c>
      <c r="D1025" s="8">
        <v>0.708799578341892</v>
      </c>
      <c r="E1025" s="7">
        <v>0</v>
      </c>
      <c r="F1025" s="7">
        <v>-1.4990516053215155E-2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>
        <v>3.7190693025902282</v>
      </c>
      <c r="M1025">
        <v>0</v>
      </c>
      <c r="N1025" s="9"/>
      <c r="O1025" s="3">
        <f>L1025-M1025</f>
        <v>3.7190693025902282</v>
      </c>
    </row>
    <row r="1026" spans="1:15">
      <c r="A1026" s="7"/>
      <c r="B1026" s="8">
        <v>0.60912970227287866</v>
      </c>
      <c r="C1026" s="8">
        <v>-0.28261535739067112</v>
      </c>
      <c r="D1026" s="8">
        <v>0.68802996689194662</v>
      </c>
      <c r="E1026" s="7">
        <v>0</v>
      </c>
      <c r="F1026" s="7">
        <v>0</v>
      </c>
      <c r="G1026" s="7">
        <v>-1.4990516053215155E-2</v>
      </c>
      <c r="H1026" s="7">
        <v>0</v>
      </c>
      <c r="I1026" s="7">
        <v>0</v>
      </c>
      <c r="J1026" s="7">
        <v>0</v>
      </c>
      <c r="K1026" s="7">
        <v>0</v>
      </c>
      <c r="L1026">
        <v>0.46214783488271782</v>
      </c>
      <c r="M1026">
        <v>0</v>
      </c>
      <c r="N1026" s="9"/>
      <c r="O1026" s="3">
        <f>L1026-M1026</f>
        <v>0.46214783488271782</v>
      </c>
    </row>
    <row r="1027" spans="1:15">
      <c r="A1027" s="7"/>
      <c r="B1027" s="8"/>
      <c r="C1027" s="8"/>
      <c r="D1027" s="8"/>
      <c r="E1027" s="7"/>
      <c r="F1027" s="7"/>
      <c r="G1027" s="7"/>
      <c r="H1027" s="7"/>
      <c r="I1027" s="7"/>
      <c r="J1027" s="7"/>
      <c r="K1027" s="7"/>
      <c r="N1027" s="10"/>
      <c r="O1027" s="3"/>
    </row>
    <row r="1028" spans="1:15">
      <c r="A1028" s="7"/>
      <c r="B1028" s="8">
        <v>2.5457845528396139E-2</v>
      </c>
      <c r="C1028" s="8">
        <v>-2.3667658472617719</v>
      </c>
      <c r="D1028" s="8">
        <v>-6.368425350466822E-2</v>
      </c>
      <c r="E1028" s="7">
        <v>-1.4990516053215155E-2</v>
      </c>
      <c r="F1028" s="7">
        <v>0</v>
      </c>
      <c r="G1028" s="7">
        <v>0</v>
      </c>
      <c r="H1028" s="7">
        <v>-2.0521745021313972E-2</v>
      </c>
      <c r="I1028" s="7">
        <v>2.1796664656245589E-2</v>
      </c>
      <c r="J1028" s="7">
        <v>0</v>
      </c>
      <c r="K1028" s="7">
        <v>0</v>
      </c>
      <c r="L1028">
        <v>2.803142180904064</v>
      </c>
      <c r="M1028">
        <v>-9.0011799830808027E-4</v>
      </c>
      <c r="N1028" s="9"/>
      <c r="O1028" s="3">
        <f>L1028-M1028</f>
        <v>2.8040422989023721</v>
      </c>
    </row>
    <row r="1029" spans="1:15">
      <c r="A1029" s="7" t="s">
        <v>270</v>
      </c>
      <c r="B1029" s="8">
        <v>-1.3773893306068323</v>
      </c>
      <c r="C1029" s="8">
        <v>-1.5521003879162059</v>
      </c>
      <c r="D1029" s="8">
        <v>0.65590292152571228</v>
      </c>
      <c r="E1029" s="7">
        <v>0</v>
      </c>
      <c r="F1029" s="7">
        <v>-1.4990516053215155E-2</v>
      </c>
      <c r="G1029" s="7">
        <v>0</v>
      </c>
      <c r="H1029" s="7">
        <v>-2.0521745021313972E-2</v>
      </c>
      <c r="I1029" s="7">
        <v>0</v>
      </c>
      <c r="J1029" s="7">
        <v>2.2385887789414392E-2</v>
      </c>
      <c r="K1029" s="7">
        <v>0</v>
      </c>
      <c r="L1029">
        <v>2.3682128123525694</v>
      </c>
      <c r="M1029">
        <v>-1.3344460583924961E-3</v>
      </c>
      <c r="N1029" s="9"/>
      <c r="O1029" s="3">
        <f>L1029-M1029</f>
        <v>2.3695472584109618</v>
      </c>
    </row>
    <row r="1030" spans="1:15">
      <c r="A1030" s="7"/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0</v>
      </c>
      <c r="G1030" s="7">
        <v>-1.4990516053215155E-2</v>
      </c>
      <c r="H1030" s="7">
        <v>-2.0521745021313972E-2</v>
      </c>
      <c r="I1030" s="7">
        <v>0</v>
      </c>
      <c r="J1030" s="7">
        <v>0</v>
      </c>
      <c r="K1030" s="7">
        <v>1.6236379226863738E-2</v>
      </c>
      <c r="L1030">
        <v>2.216073124166746</v>
      </c>
      <c r="M1030">
        <v>2.6280192231014289E-3</v>
      </c>
      <c r="N1030" s="9"/>
      <c r="O1030" s="3">
        <f>L1030-M1030</f>
        <v>2.2134451049436445</v>
      </c>
    </row>
    <row r="1031" spans="1:15">
      <c r="A1031" s="7"/>
      <c r="B1031" s="8"/>
      <c r="C1031" s="8"/>
      <c r="D1031" s="8"/>
      <c r="E1031" s="7"/>
      <c r="F1031" s="7"/>
      <c r="G1031" s="7"/>
      <c r="H1031" s="7"/>
      <c r="I1031" s="7"/>
      <c r="J1031" s="7"/>
      <c r="K1031" s="7"/>
      <c r="N1031" s="10"/>
      <c r="O1031" s="3"/>
    </row>
    <row r="1032" spans="1:15">
      <c r="A1032" s="7"/>
      <c r="B1032" s="8">
        <v>2.5457845528396139E-2</v>
      </c>
      <c r="C1032" s="8">
        <v>-2.3667658472617719</v>
      </c>
      <c r="D1032" s="8">
        <v>-6.368425350466822E-2</v>
      </c>
      <c r="E1032" s="7">
        <v>-1.4990516053215155E-2</v>
      </c>
      <c r="F1032" s="7">
        <v>0</v>
      </c>
      <c r="G1032" s="7">
        <v>0</v>
      </c>
      <c r="H1032" s="7">
        <v>-2.0521745021313972E-2</v>
      </c>
      <c r="I1032" s="7">
        <v>2.1796664656245589E-2</v>
      </c>
      <c r="J1032" s="7">
        <v>0</v>
      </c>
      <c r="K1032" s="7">
        <v>0</v>
      </c>
      <c r="L1032">
        <v>2.803142180904064</v>
      </c>
      <c r="M1032">
        <v>-9.0011799830808027E-4</v>
      </c>
      <c r="N1032" s="9"/>
      <c r="O1032" s="3">
        <f>L1032-M1032</f>
        <v>2.8040422989023721</v>
      </c>
    </row>
    <row r="1033" spans="1:15">
      <c r="A1033" s="7" t="s">
        <v>271</v>
      </c>
      <c r="B1033" s="8">
        <v>-1.3773893306068323</v>
      </c>
      <c r="C1033" s="8">
        <v>-1.5521003879162059</v>
      </c>
      <c r="D1033" s="8">
        <v>0.65590292152571228</v>
      </c>
      <c r="E1033" s="7">
        <v>0</v>
      </c>
      <c r="F1033" s="7">
        <v>-1.4990516053215155E-2</v>
      </c>
      <c r="G1033" s="7">
        <v>0</v>
      </c>
      <c r="H1033" s="7">
        <v>-2.0521745021313972E-2</v>
      </c>
      <c r="I1033" s="7">
        <v>0</v>
      </c>
      <c r="J1033" s="7">
        <v>2.2385887789414392E-2</v>
      </c>
      <c r="K1033" s="7">
        <v>0</v>
      </c>
      <c r="L1033">
        <v>2.3682128123525694</v>
      </c>
      <c r="M1033">
        <v>-1.3344460583924961E-3</v>
      </c>
      <c r="N1033" s="9"/>
      <c r="O1033" s="3">
        <f>L1033-M1033</f>
        <v>2.3695472584109618</v>
      </c>
    </row>
    <row r="1034" spans="1:15">
      <c r="A1034" s="7"/>
      <c r="B1034" s="8">
        <v>-1.0097006711160386</v>
      </c>
      <c r="C1034" s="8">
        <v>-0.26302086313966178</v>
      </c>
      <c r="D1034" s="8">
        <v>0.76545275918666766</v>
      </c>
      <c r="E1034" s="7">
        <v>0</v>
      </c>
      <c r="F1034" s="7">
        <v>0</v>
      </c>
      <c r="G1034" s="7">
        <v>-1.4990516053215155E-2</v>
      </c>
      <c r="H1034" s="7">
        <v>-2.0521745021313972E-2</v>
      </c>
      <c r="I1034" s="7">
        <v>0</v>
      </c>
      <c r="J1034" s="7">
        <v>0</v>
      </c>
      <c r="K1034" s="7">
        <v>1.5970575730977998E-2</v>
      </c>
      <c r="L1034">
        <v>0.83729667312269707</v>
      </c>
      <c r="M1034">
        <v>2.7708420588978652E-3</v>
      </c>
      <c r="N1034" s="9"/>
      <c r="O1034" s="3">
        <f>L1034-M1034</f>
        <v>0.83452583106379918</v>
      </c>
    </row>
    <row r="1035" spans="1:15">
      <c r="A1035" s="7"/>
      <c r="B1035" s="8"/>
      <c r="C1035" s="8"/>
      <c r="D1035" s="8"/>
      <c r="E1035" s="7"/>
      <c r="F1035" s="7"/>
      <c r="G1035" s="7"/>
      <c r="H1035" s="7"/>
      <c r="I1035" s="7"/>
      <c r="J1035" s="7"/>
      <c r="K1035" s="7"/>
      <c r="N1035" s="10"/>
      <c r="O1035" s="3"/>
    </row>
    <row r="1036" spans="1:15">
      <c r="A1036" s="7"/>
      <c r="B1036" s="8">
        <v>2.5457845528396139E-2</v>
      </c>
      <c r="C1036" s="8">
        <v>-2.3667658472617719</v>
      </c>
      <c r="D1036" s="8">
        <v>-6.368425350466822E-2</v>
      </c>
      <c r="E1036" s="7">
        <v>-1.4990516053215155E-2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>
        <v>2.803142180904064</v>
      </c>
      <c r="M1036">
        <v>0</v>
      </c>
      <c r="N1036" s="9"/>
      <c r="O1036" s="3">
        <f>L1036-M1036</f>
        <v>2.803142180904064</v>
      </c>
    </row>
    <row r="1037" spans="1:15">
      <c r="A1037" s="7" t="s">
        <v>272</v>
      </c>
      <c r="B1037" s="8">
        <v>-1.3773893306068323</v>
      </c>
      <c r="C1037" s="8">
        <v>-1.5521003879162059</v>
      </c>
      <c r="D1037" s="8">
        <v>0.65590292152571228</v>
      </c>
      <c r="E1037" s="7">
        <v>0</v>
      </c>
      <c r="F1037" s="7">
        <v>-1.4990516053215155E-2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>
        <v>2.3682128123525694</v>
      </c>
      <c r="M1037">
        <v>0</v>
      </c>
      <c r="N1037" s="9"/>
      <c r="O1037" s="3">
        <f>L1037-M1037</f>
        <v>2.3682128123525694</v>
      </c>
    </row>
    <row r="1038" spans="1:15">
      <c r="A1038" s="7"/>
      <c r="B1038" s="8">
        <v>0.60912970227287866</v>
      </c>
      <c r="C1038" s="8">
        <v>-0.28261535739067112</v>
      </c>
      <c r="D1038" s="8">
        <v>0.68802996689194662</v>
      </c>
      <c r="E1038" s="7">
        <v>0</v>
      </c>
      <c r="F1038" s="7">
        <v>0</v>
      </c>
      <c r="G1038" s="7">
        <v>-1.4990516053215155E-2</v>
      </c>
      <c r="H1038" s="7">
        <v>0</v>
      </c>
      <c r="I1038" s="7">
        <v>0</v>
      </c>
      <c r="J1038" s="7">
        <v>0</v>
      </c>
      <c r="K1038" s="7">
        <v>0</v>
      </c>
      <c r="L1038">
        <v>0.46214783488271782</v>
      </c>
      <c r="M1038">
        <v>0</v>
      </c>
      <c r="N1038" s="9"/>
      <c r="O1038" s="3">
        <f>L1038-M1038</f>
        <v>0.46214783488271782</v>
      </c>
    </row>
    <row r="1039" spans="1:15">
      <c r="A1039" s="7"/>
      <c r="B1039" s="8"/>
      <c r="C1039" s="8"/>
      <c r="D1039" s="8"/>
      <c r="E1039" s="7"/>
      <c r="F1039" s="7"/>
      <c r="G1039" s="7"/>
      <c r="H1039" s="7"/>
      <c r="I1039" s="7"/>
      <c r="J1039" s="7"/>
      <c r="K1039" s="7"/>
      <c r="N1039" s="10"/>
      <c r="O1039" s="3"/>
    </row>
    <row r="1040" spans="1:15">
      <c r="A1040" s="7"/>
      <c r="B1040" s="8">
        <v>2.5457845528396139E-2</v>
      </c>
      <c r="C1040" s="8">
        <v>-2.3667658472617719</v>
      </c>
      <c r="D1040" s="8">
        <v>-6.368425350466822E-2</v>
      </c>
      <c r="E1040" s="7">
        <v>-1.4990516053215155E-2</v>
      </c>
      <c r="F1040" s="7">
        <v>0</v>
      </c>
      <c r="G1040" s="7">
        <v>0</v>
      </c>
      <c r="H1040" s="7">
        <v>-2.0521745021313972E-2</v>
      </c>
      <c r="I1040" s="7">
        <v>2.1796664656245589E-2</v>
      </c>
      <c r="J1040" s="7">
        <v>0</v>
      </c>
      <c r="K1040" s="7">
        <v>0</v>
      </c>
      <c r="L1040">
        <v>2.803142180904064</v>
      </c>
      <c r="M1040">
        <v>-9.0011799830808027E-4</v>
      </c>
      <c r="N1040" s="9"/>
      <c r="O1040" s="3">
        <f>L1040-M1040</f>
        <v>2.8040422989023721</v>
      </c>
    </row>
    <row r="1041" spans="1:15">
      <c r="A1041" s="7" t="s">
        <v>273</v>
      </c>
      <c r="B1041" s="8">
        <v>1.4675604394566215</v>
      </c>
      <c r="C1041" s="8">
        <v>-1.3235781323919831</v>
      </c>
      <c r="D1041" s="8">
        <v>0.72564008456612294</v>
      </c>
      <c r="E1041" s="7">
        <v>0</v>
      </c>
      <c r="F1041" s="7">
        <v>-1.4990516053215155E-2</v>
      </c>
      <c r="G1041" s="7">
        <v>0</v>
      </c>
      <c r="H1041" s="7">
        <v>-2.0521745021313972E-2</v>
      </c>
      <c r="I1041" s="7">
        <v>0</v>
      </c>
      <c r="J1041" s="7">
        <v>1.6236379226863738E-2</v>
      </c>
      <c r="K1041" s="7">
        <v>0</v>
      </c>
      <c r="L1041">
        <v>2.216073124166746</v>
      </c>
      <c r="M1041">
        <v>2.6280192231014289E-3</v>
      </c>
      <c r="N1041" s="9"/>
      <c r="O1041" s="3">
        <f>L1041-M1041</f>
        <v>2.2134451049436445</v>
      </c>
    </row>
    <row r="1042" spans="1:15">
      <c r="A1042" s="7"/>
      <c r="B1042" s="8">
        <v>-1.0097006711160386</v>
      </c>
      <c r="C1042" s="8">
        <v>-0.26302086313966178</v>
      </c>
      <c r="D1042" s="8">
        <v>0.76545275918666766</v>
      </c>
      <c r="E1042" s="7">
        <v>0</v>
      </c>
      <c r="F1042" s="7">
        <v>0</v>
      </c>
      <c r="G1042" s="7">
        <v>-1.4990516053215155E-2</v>
      </c>
      <c r="H1042" s="7">
        <v>-2.0521745021313972E-2</v>
      </c>
      <c r="I1042" s="7">
        <v>0</v>
      </c>
      <c r="J1042" s="7">
        <v>0</v>
      </c>
      <c r="K1042" s="7">
        <v>1.5970575730977998E-2</v>
      </c>
      <c r="L1042">
        <v>0.83729667312269707</v>
      </c>
      <c r="M1042">
        <v>2.7708420588978652E-3</v>
      </c>
      <c r="N1042" s="9"/>
      <c r="O1042" s="3">
        <f>L1042-M1042</f>
        <v>0.83452583106379918</v>
      </c>
    </row>
    <row r="1043" spans="1:15">
      <c r="A1043" s="7"/>
      <c r="B1043" s="8"/>
      <c r="C1043" s="8"/>
      <c r="D1043" s="8"/>
      <c r="E1043" s="7"/>
      <c r="F1043" s="7"/>
      <c r="G1043" s="7"/>
      <c r="H1043" s="7"/>
      <c r="I1043" s="7"/>
      <c r="J1043" s="7"/>
      <c r="K1043" s="7"/>
      <c r="N1043" s="10"/>
      <c r="O1043" s="3"/>
    </row>
    <row r="1044" spans="1:15">
      <c r="A1044" s="7"/>
      <c r="B1044" s="8">
        <v>2.5457845528396139E-2</v>
      </c>
      <c r="C1044" s="8">
        <v>-2.3667658472617719</v>
      </c>
      <c r="D1044" s="8">
        <v>-6.368425350466822E-2</v>
      </c>
      <c r="E1044" s="7">
        <v>-1.4990516053215155E-2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>
        <v>2.803142180904064</v>
      </c>
      <c r="M1044">
        <v>0</v>
      </c>
      <c r="N1044" s="9"/>
      <c r="O1044" s="3">
        <f>L1044-M1044</f>
        <v>2.803142180904064</v>
      </c>
    </row>
    <row r="1045" spans="1:15">
      <c r="A1045" s="7" t="s">
        <v>274</v>
      </c>
      <c r="B1045" s="8">
        <v>1.4675604394566215</v>
      </c>
      <c r="C1045" s="8">
        <v>-1.3235781323919831</v>
      </c>
      <c r="D1045" s="8">
        <v>0.72564008456612294</v>
      </c>
      <c r="E1045" s="7">
        <v>0</v>
      </c>
      <c r="F1045" s="7">
        <v>-1.4990516053215155E-2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>
        <v>2.216073124166746</v>
      </c>
      <c r="M1045">
        <v>0</v>
      </c>
      <c r="N1045" s="9"/>
      <c r="O1045" s="3">
        <f>L1045-M1045</f>
        <v>2.216073124166746</v>
      </c>
    </row>
    <row r="1046" spans="1:15">
      <c r="A1046" s="7"/>
      <c r="B1046" s="8">
        <v>0.60912970227287866</v>
      </c>
      <c r="C1046" s="8">
        <v>-0.28261535739067112</v>
      </c>
      <c r="D1046" s="8">
        <v>0.68802996689194662</v>
      </c>
      <c r="E1046" s="7">
        <v>0</v>
      </c>
      <c r="F1046" s="7">
        <v>0</v>
      </c>
      <c r="G1046" s="7">
        <v>-1.4990516053215155E-2</v>
      </c>
      <c r="H1046" s="7">
        <v>0</v>
      </c>
      <c r="I1046" s="7">
        <v>0</v>
      </c>
      <c r="J1046" s="7">
        <v>0</v>
      </c>
      <c r="K1046" s="7">
        <v>0</v>
      </c>
      <c r="L1046">
        <v>0.46214783488271782</v>
      </c>
      <c r="M1046">
        <v>0</v>
      </c>
      <c r="N1046" s="9"/>
      <c r="O1046" s="3">
        <f>L1046-M1046</f>
        <v>0.46214783488271782</v>
      </c>
    </row>
    <row r="1047" spans="1:15">
      <c r="A1047" s="7"/>
      <c r="B1047" s="8"/>
      <c r="C1047" s="8"/>
      <c r="D1047" s="8"/>
      <c r="E1047" s="7"/>
      <c r="F1047" s="7"/>
      <c r="G1047" s="7"/>
      <c r="H1047" s="7"/>
      <c r="I1047" s="7"/>
      <c r="J1047" s="7"/>
      <c r="K1047" s="7"/>
      <c r="N1047" s="10"/>
      <c r="O1047" s="3"/>
    </row>
    <row r="1048" spans="1:15">
      <c r="A1048" s="7"/>
      <c r="B1048" s="8">
        <v>2.5457845528396139E-2</v>
      </c>
      <c r="C1048" s="8">
        <v>-2.3667658472617719</v>
      </c>
      <c r="D1048" s="8">
        <v>-6.368425350466822E-2</v>
      </c>
      <c r="E1048" s="7">
        <v>-1.4990516053215155E-2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>
        <v>2.803142180904064</v>
      </c>
      <c r="M1048">
        <v>0</v>
      </c>
      <c r="N1048" s="9"/>
      <c r="O1048" s="3">
        <f>L1048-M1048</f>
        <v>2.803142180904064</v>
      </c>
    </row>
    <row r="1049" spans="1:15">
      <c r="A1049" s="7" t="s">
        <v>275</v>
      </c>
      <c r="B1049" s="8">
        <v>-1.0097006711160386</v>
      </c>
      <c r="C1049" s="8">
        <v>-0.26302086313966178</v>
      </c>
      <c r="D1049" s="8">
        <v>0.76545275918666766</v>
      </c>
      <c r="E1049" s="7">
        <v>0</v>
      </c>
      <c r="F1049" s="7">
        <v>-1.4990516053215155E-2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>
        <v>0.83729667312269707</v>
      </c>
      <c r="M1049">
        <v>0</v>
      </c>
      <c r="N1049" s="9"/>
      <c r="O1049" s="3">
        <f>L1049-M1049</f>
        <v>0.83729667312269707</v>
      </c>
    </row>
    <row r="1050" spans="1:15">
      <c r="A1050" s="7"/>
      <c r="B1050" s="8">
        <v>0.60912970227287866</v>
      </c>
      <c r="C1050" s="8">
        <v>-0.28261535739067112</v>
      </c>
      <c r="D1050" s="8">
        <v>0.68802996689194662</v>
      </c>
      <c r="E1050" s="7">
        <v>0</v>
      </c>
      <c r="F1050" s="7">
        <v>0</v>
      </c>
      <c r="G1050" s="7">
        <v>-1.4990516053215155E-2</v>
      </c>
      <c r="H1050" s="7">
        <v>0</v>
      </c>
      <c r="I1050" s="7">
        <v>0</v>
      </c>
      <c r="J1050" s="7">
        <v>0</v>
      </c>
      <c r="K1050" s="7">
        <v>0</v>
      </c>
      <c r="L1050">
        <v>0.46214783488271782</v>
      </c>
      <c r="M1050">
        <v>0</v>
      </c>
      <c r="N1050" s="9"/>
      <c r="O1050" s="3">
        <f>L1050-M1050</f>
        <v>0.46214783488271782</v>
      </c>
    </row>
    <row r="1051" spans="1:15">
      <c r="A1051" s="7"/>
      <c r="B1051" s="8"/>
      <c r="C1051" s="8"/>
      <c r="D1051" s="8"/>
      <c r="E1051" s="7"/>
      <c r="F1051" s="7"/>
      <c r="G1051" s="7"/>
      <c r="H1051" s="7"/>
      <c r="I1051" s="7"/>
      <c r="J1051" s="7"/>
      <c r="K1051" s="7"/>
      <c r="N1051" s="10"/>
      <c r="O1051" s="3"/>
    </row>
    <row r="1052" spans="1:15">
      <c r="A1052" s="7"/>
      <c r="B1052" s="8">
        <v>-1.2284177840385118</v>
      </c>
      <c r="C1052" s="8">
        <v>-2.3993580133895418</v>
      </c>
      <c r="D1052" s="8">
        <v>0.6756623603325641</v>
      </c>
      <c r="E1052" s="7">
        <v>-1.4990516053215155E-2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>
        <v>3.8612243768644339</v>
      </c>
      <c r="M1052">
        <v>0</v>
      </c>
      <c r="N1052" s="9"/>
      <c r="O1052" s="3">
        <f>L1052-M1052</f>
        <v>3.8612243768644339</v>
      </c>
    </row>
    <row r="1053" spans="1:15">
      <c r="A1053" s="7" t="s">
        <v>276</v>
      </c>
      <c r="B1053" s="8">
        <v>1.0673702345396179</v>
      </c>
      <c r="C1053" s="8">
        <v>-2.4075843796929846</v>
      </c>
      <c r="D1053" s="8">
        <v>0.708799578341892</v>
      </c>
      <c r="E1053" s="7">
        <v>0</v>
      </c>
      <c r="F1053" s="7">
        <v>-1.4990516053215155E-2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>
        <v>3.7190693025902282</v>
      </c>
      <c r="M1053">
        <v>0</v>
      </c>
      <c r="N1053" s="9"/>
      <c r="O1053" s="3">
        <f>L1053-M1053</f>
        <v>3.7190693025902282</v>
      </c>
    </row>
    <row r="1054" spans="1:15">
      <c r="A1054" s="7"/>
      <c r="B1054" s="8">
        <v>-1.3773893306068323</v>
      </c>
      <c r="C1054" s="8">
        <v>-1.5521003879162059</v>
      </c>
      <c r="D1054" s="8">
        <v>0.65590292152571228</v>
      </c>
      <c r="E1054" s="7">
        <v>0</v>
      </c>
      <c r="F1054" s="7">
        <v>0</v>
      </c>
      <c r="G1054" s="7">
        <v>-1.4990516053215155E-2</v>
      </c>
      <c r="H1054" s="7">
        <v>0</v>
      </c>
      <c r="I1054" s="7">
        <v>0</v>
      </c>
      <c r="J1054" s="7">
        <v>0</v>
      </c>
      <c r="K1054" s="7">
        <v>0</v>
      </c>
      <c r="L1054">
        <v>2.3682128123525694</v>
      </c>
      <c r="M1054">
        <v>0</v>
      </c>
      <c r="N1054" s="9"/>
      <c r="O1054" s="3">
        <f>L1054-M1054</f>
        <v>2.3682128123525694</v>
      </c>
    </row>
    <row r="1055" spans="1:15">
      <c r="A1055" s="7"/>
      <c r="B1055" s="8"/>
      <c r="C1055" s="8"/>
      <c r="D1055" s="8"/>
      <c r="E1055" s="7"/>
      <c r="F1055" s="7"/>
      <c r="G1055" s="7"/>
      <c r="H1055" s="7"/>
      <c r="I1055" s="7"/>
      <c r="J1055" s="7"/>
      <c r="K1055" s="7"/>
      <c r="N1055" s="10"/>
      <c r="O1055" s="3"/>
    </row>
    <row r="1056" spans="1:15">
      <c r="A1056" s="7"/>
      <c r="B1056" s="8">
        <v>-1.2284177840385118</v>
      </c>
      <c r="C1056" s="8">
        <v>-2.3993580133895418</v>
      </c>
      <c r="D1056" s="8">
        <v>0.6756623603325641</v>
      </c>
      <c r="E1056" s="7">
        <v>-1.4990516053215155E-2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>
        <v>3.8612243768644339</v>
      </c>
      <c r="M1056">
        <v>0</v>
      </c>
      <c r="N1056" s="9"/>
      <c r="O1056" s="3">
        <f>L1056-M1056</f>
        <v>3.8612243768644339</v>
      </c>
    </row>
    <row r="1057" spans="1:15">
      <c r="A1057" s="7" t="s">
        <v>277</v>
      </c>
      <c r="B1057" s="8">
        <v>1.0673702345396179</v>
      </c>
      <c r="C1057" s="8">
        <v>-2.4075843796929846</v>
      </c>
      <c r="D1057" s="8">
        <v>0.708799578341892</v>
      </c>
      <c r="E1057" s="7">
        <v>0</v>
      </c>
      <c r="F1057" s="7">
        <v>-1.4990516053215155E-2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>
        <v>3.7190693025902282</v>
      </c>
      <c r="M1057">
        <v>0</v>
      </c>
      <c r="N1057" s="9"/>
      <c r="O1057" s="3">
        <f>L1057-M1057</f>
        <v>3.7190693025902282</v>
      </c>
    </row>
    <row r="1058" spans="1:15">
      <c r="A1058" s="7"/>
      <c r="B1058" s="8">
        <v>1.4675604394566215</v>
      </c>
      <c r="C1058" s="8">
        <v>-1.3235781323919831</v>
      </c>
      <c r="D1058" s="8">
        <v>0.72564008456612294</v>
      </c>
      <c r="E1058" s="7">
        <v>0</v>
      </c>
      <c r="F1058" s="7">
        <v>0</v>
      </c>
      <c r="G1058" s="7">
        <v>-1.4990516053215155E-2</v>
      </c>
      <c r="H1058" s="7">
        <v>0</v>
      </c>
      <c r="I1058" s="7">
        <v>0</v>
      </c>
      <c r="J1058" s="7">
        <v>0</v>
      </c>
      <c r="K1058" s="7">
        <v>0</v>
      </c>
      <c r="L1058">
        <v>2.216073124166746</v>
      </c>
      <c r="M1058">
        <v>0</v>
      </c>
      <c r="N1058" s="9"/>
      <c r="O1058" s="3">
        <f>L1058-M1058</f>
        <v>2.216073124166746</v>
      </c>
    </row>
    <row r="1059" spans="1:15">
      <c r="A1059" s="7"/>
      <c r="B1059" s="8"/>
      <c r="C1059" s="8"/>
      <c r="D1059" s="8"/>
      <c r="E1059" s="7"/>
      <c r="F1059" s="7"/>
      <c r="G1059" s="7"/>
      <c r="H1059" s="7"/>
      <c r="I1059" s="7"/>
      <c r="J1059" s="7"/>
      <c r="K1059" s="7"/>
      <c r="N1059" s="10"/>
      <c r="O1059" s="3"/>
    </row>
    <row r="1060" spans="1:15">
      <c r="A1060" s="7"/>
      <c r="B1060" s="8">
        <v>-1.2284177840385118</v>
      </c>
      <c r="C1060" s="8">
        <v>-2.3993580133895418</v>
      </c>
      <c r="D1060" s="8">
        <v>0.6756623603325641</v>
      </c>
      <c r="E1060" s="7">
        <v>-1.4990516053215155E-2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>
        <v>3.8612243768644339</v>
      </c>
      <c r="M1060">
        <v>0</v>
      </c>
      <c r="N1060" s="9"/>
      <c r="O1060" s="3">
        <f>L1060-M1060</f>
        <v>3.8612243768644339</v>
      </c>
    </row>
    <row r="1061" spans="1:15">
      <c r="A1061" s="7" t="s">
        <v>278</v>
      </c>
      <c r="B1061" s="8">
        <v>1.0673702345396179</v>
      </c>
      <c r="C1061" s="8">
        <v>-2.4075843796929846</v>
      </c>
      <c r="D1061" s="8">
        <v>0.708799578341892</v>
      </c>
      <c r="E1061" s="7">
        <v>0</v>
      </c>
      <c r="F1061" s="7">
        <v>-1.4990516053215155E-2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>
        <v>3.7190693025902282</v>
      </c>
      <c r="M1061">
        <v>0</v>
      </c>
      <c r="N1061" s="9"/>
      <c r="O1061" s="3">
        <f>L1061-M1061</f>
        <v>3.7190693025902282</v>
      </c>
    </row>
    <row r="1062" spans="1:15">
      <c r="A1062" s="7"/>
      <c r="B1062" s="8">
        <v>-1.0097006711160386</v>
      </c>
      <c r="C1062" s="8">
        <v>-0.26302086313966178</v>
      </c>
      <c r="D1062" s="8">
        <v>0.76545275918666766</v>
      </c>
      <c r="E1062" s="7">
        <v>0</v>
      </c>
      <c r="F1062" s="7">
        <v>0</v>
      </c>
      <c r="G1062" s="7">
        <v>-1.4990516053215155E-2</v>
      </c>
      <c r="H1062" s="7">
        <v>0</v>
      </c>
      <c r="I1062" s="7">
        <v>0</v>
      </c>
      <c r="J1062" s="7">
        <v>0</v>
      </c>
      <c r="K1062" s="7">
        <v>0</v>
      </c>
      <c r="L1062">
        <v>0.83729667312269707</v>
      </c>
      <c r="M1062">
        <v>0</v>
      </c>
      <c r="N1062" s="9"/>
      <c r="O1062" s="3">
        <f>L1062-M1062</f>
        <v>0.83729667312269707</v>
      </c>
    </row>
    <row r="1063" spans="1:15">
      <c r="A1063" s="7"/>
      <c r="B1063" s="8"/>
      <c r="C1063" s="8"/>
      <c r="D1063" s="8"/>
      <c r="E1063" s="7"/>
      <c r="F1063" s="7"/>
      <c r="G1063" s="7"/>
      <c r="H1063" s="7"/>
      <c r="I1063" s="7"/>
      <c r="J1063" s="7"/>
      <c r="K1063" s="7"/>
      <c r="N1063" s="10"/>
      <c r="O1063" s="3"/>
    </row>
    <row r="1064" spans="1:15">
      <c r="A1064" s="7"/>
      <c r="B1064" s="8">
        <v>-1.2284177840385118</v>
      </c>
      <c r="C1064" s="8">
        <v>-2.3993580133895418</v>
      </c>
      <c r="D1064" s="8">
        <v>0.6756623603325641</v>
      </c>
      <c r="E1064" s="7">
        <v>-1.4990516053215155E-2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>
        <v>3.8612243768644339</v>
      </c>
      <c r="M1064">
        <v>0</v>
      </c>
      <c r="N1064" s="9"/>
      <c r="O1064" s="3">
        <f>L1064-M1064</f>
        <v>3.8612243768644339</v>
      </c>
    </row>
    <row r="1065" spans="1:15">
      <c r="A1065" s="7" t="s">
        <v>279</v>
      </c>
      <c r="B1065" s="8">
        <v>1.0673702345396179</v>
      </c>
      <c r="C1065" s="8">
        <v>-2.4075843796929846</v>
      </c>
      <c r="D1065" s="8">
        <v>0.708799578341892</v>
      </c>
      <c r="E1065" s="7">
        <v>0</v>
      </c>
      <c r="F1065" s="7">
        <v>-1.4990516053215155E-2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>
        <v>3.7190693025902282</v>
      </c>
      <c r="M1065">
        <v>0</v>
      </c>
      <c r="N1065" s="9"/>
      <c r="O1065" s="3">
        <f>L1065-M1065</f>
        <v>3.7190693025902282</v>
      </c>
    </row>
    <row r="1066" spans="1:15">
      <c r="A1066" s="7"/>
      <c r="B1066" s="8">
        <v>0.60912970227287866</v>
      </c>
      <c r="C1066" s="8">
        <v>-0.28261535739067112</v>
      </c>
      <c r="D1066" s="8">
        <v>0.68802996689194662</v>
      </c>
      <c r="E1066" s="7">
        <v>0</v>
      </c>
      <c r="F1066" s="7">
        <v>0</v>
      </c>
      <c r="G1066" s="7">
        <v>-1.4990516053215155E-2</v>
      </c>
      <c r="H1066" s="7">
        <v>0</v>
      </c>
      <c r="I1066" s="7">
        <v>0</v>
      </c>
      <c r="J1066" s="7">
        <v>0</v>
      </c>
      <c r="K1066" s="7">
        <v>0</v>
      </c>
      <c r="L1066">
        <v>0.46214783488271782</v>
      </c>
      <c r="M1066">
        <v>0</v>
      </c>
      <c r="N1066" s="9"/>
      <c r="O1066" s="3">
        <f>L1066-M1066</f>
        <v>0.46214783488271782</v>
      </c>
    </row>
    <row r="1067" spans="1:15">
      <c r="A1067" s="7"/>
      <c r="B1067" s="8"/>
      <c r="C1067" s="8"/>
      <c r="D1067" s="8"/>
      <c r="E1067" s="7"/>
      <c r="F1067" s="7"/>
      <c r="G1067" s="7"/>
      <c r="H1067" s="7"/>
      <c r="I1067" s="7"/>
      <c r="J1067" s="7"/>
      <c r="K1067" s="7"/>
      <c r="N1067" s="10"/>
      <c r="O1067" s="3"/>
    </row>
    <row r="1068" spans="1:15">
      <c r="A1068" s="7"/>
      <c r="B1068" s="8">
        <v>-1.2284177840385118</v>
      </c>
      <c r="C1068" s="8">
        <v>-2.3993580133895418</v>
      </c>
      <c r="D1068" s="8">
        <v>0.6756623603325641</v>
      </c>
      <c r="E1068" s="7">
        <v>-1.4990516053215155E-2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>
        <v>3.8612243768644339</v>
      </c>
      <c r="M1068">
        <v>0</v>
      </c>
      <c r="N1068" s="9"/>
      <c r="O1068" s="3">
        <f>L1068-M1068</f>
        <v>3.8612243768644339</v>
      </c>
    </row>
    <row r="1069" spans="1:15">
      <c r="A1069" s="7" t="s">
        <v>280</v>
      </c>
      <c r="B1069" s="8">
        <v>-1.3773893306068323</v>
      </c>
      <c r="C1069" s="8">
        <v>-1.5521003879162059</v>
      </c>
      <c r="D1069" s="8">
        <v>0.65590292152571228</v>
      </c>
      <c r="E1069" s="7">
        <v>0</v>
      </c>
      <c r="F1069" s="7">
        <v>-1.4990516053215155E-2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>
        <v>2.3682128123525694</v>
      </c>
      <c r="M1069">
        <v>0</v>
      </c>
      <c r="N1069" s="9"/>
      <c r="O1069" s="3">
        <f>L1069-M1069</f>
        <v>2.3682128123525694</v>
      </c>
    </row>
    <row r="1070" spans="1:15">
      <c r="A1070" s="7"/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0</v>
      </c>
      <c r="G1070" s="7">
        <v>-1.4990516053215155E-2</v>
      </c>
      <c r="H1070" s="7">
        <v>0</v>
      </c>
      <c r="I1070" s="7">
        <v>0</v>
      </c>
      <c r="J1070" s="7">
        <v>0</v>
      </c>
      <c r="K1070" s="7">
        <v>0</v>
      </c>
      <c r="L1070">
        <v>2.216073124166746</v>
      </c>
      <c r="M1070">
        <v>0</v>
      </c>
      <c r="N1070" s="9"/>
      <c r="O1070" s="3">
        <f>L1070-M1070</f>
        <v>2.216073124166746</v>
      </c>
    </row>
    <row r="1071" spans="1:15">
      <c r="A1071" s="7"/>
      <c r="B1071" s="8"/>
      <c r="C1071" s="8"/>
      <c r="D1071" s="8"/>
      <c r="E1071" s="7"/>
      <c r="F1071" s="7"/>
      <c r="G1071" s="7"/>
      <c r="H1071" s="7"/>
      <c r="I1071" s="7"/>
      <c r="J1071" s="7"/>
      <c r="K1071" s="7"/>
      <c r="N1071" s="10"/>
      <c r="O1071" s="3"/>
    </row>
    <row r="1072" spans="1:15">
      <c r="A1072" s="7"/>
      <c r="B1072" s="8">
        <v>-1.2284177840385118</v>
      </c>
      <c r="C1072" s="8">
        <v>-2.3993580133895418</v>
      </c>
      <c r="D1072" s="8">
        <v>0.6756623603325641</v>
      </c>
      <c r="E1072" s="7">
        <v>-1.4990516053215155E-2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0</v>
      </c>
      <c r="L1072">
        <v>3.8612243768644339</v>
      </c>
      <c r="M1072">
        <v>0</v>
      </c>
      <c r="N1072" s="9"/>
      <c r="O1072" s="3">
        <f>L1072-M1072</f>
        <v>3.8612243768644339</v>
      </c>
    </row>
    <row r="1073" spans="1:15">
      <c r="A1073" s="7" t="s">
        <v>281</v>
      </c>
      <c r="B1073" s="8">
        <v>-1.3773893306068323</v>
      </c>
      <c r="C1073" s="8">
        <v>-1.5521003879162059</v>
      </c>
      <c r="D1073" s="8">
        <v>0.65590292152571228</v>
      </c>
      <c r="E1073" s="7">
        <v>0</v>
      </c>
      <c r="F1073" s="7">
        <v>-1.4990516053215155E-2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>
        <v>2.3682128123525694</v>
      </c>
      <c r="M1073">
        <v>0</v>
      </c>
      <c r="N1073" s="9"/>
      <c r="O1073" s="3">
        <f>L1073-M1073</f>
        <v>2.3682128123525694</v>
      </c>
    </row>
    <row r="1074" spans="1:15">
      <c r="A1074" s="7"/>
      <c r="B1074" s="8">
        <v>-1.0097006711160386</v>
      </c>
      <c r="C1074" s="8">
        <v>-0.26302086313966178</v>
      </c>
      <c r="D1074" s="8">
        <v>0.76545275918666766</v>
      </c>
      <c r="E1074" s="7">
        <v>0</v>
      </c>
      <c r="F1074" s="7">
        <v>0</v>
      </c>
      <c r="G1074" s="7">
        <v>-1.4990516053215155E-2</v>
      </c>
      <c r="H1074" s="7">
        <v>0</v>
      </c>
      <c r="I1074" s="7">
        <v>0</v>
      </c>
      <c r="J1074" s="7">
        <v>0</v>
      </c>
      <c r="K1074" s="7">
        <v>0</v>
      </c>
      <c r="L1074">
        <v>0.83729667312269707</v>
      </c>
      <c r="M1074">
        <v>0</v>
      </c>
      <c r="N1074" s="9"/>
      <c r="O1074" s="3">
        <f>L1074-M1074</f>
        <v>0.83729667312269707</v>
      </c>
    </row>
    <row r="1075" spans="1:15">
      <c r="A1075" s="7"/>
      <c r="B1075" s="8"/>
      <c r="C1075" s="8"/>
      <c r="D1075" s="8"/>
      <c r="E1075" s="7"/>
      <c r="F1075" s="7"/>
      <c r="G1075" s="7"/>
      <c r="H1075" s="7"/>
      <c r="I1075" s="7"/>
      <c r="J1075" s="7"/>
      <c r="K1075" s="7"/>
      <c r="N1075" s="10"/>
      <c r="O1075" s="3"/>
    </row>
    <row r="1076" spans="1:15">
      <c r="A1076" s="7"/>
      <c r="B1076" s="8">
        <v>-1.2284177840385118</v>
      </c>
      <c r="C1076" s="8">
        <v>-2.3993580133895418</v>
      </c>
      <c r="D1076" s="8">
        <v>0.6756623603325641</v>
      </c>
      <c r="E1076" s="7">
        <v>-1.4990516053215155E-2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>
        <v>3.8612243768644339</v>
      </c>
      <c r="M1076">
        <v>0</v>
      </c>
      <c r="N1076" s="9"/>
      <c r="O1076" s="3">
        <f>L1076-M1076</f>
        <v>3.8612243768644339</v>
      </c>
    </row>
    <row r="1077" spans="1:15">
      <c r="A1077" s="7" t="s">
        <v>282</v>
      </c>
      <c r="B1077" s="8">
        <v>-1.3773893306068323</v>
      </c>
      <c r="C1077" s="8">
        <v>-1.5521003879162059</v>
      </c>
      <c r="D1077" s="8">
        <v>0.65590292152571228</v>
      </c>
      <c r="E1077" s="7">
        <v>0</v>
      </c>
      <c r="F1077" s="7">
        <v>-1.4990516053215155E-2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>
        <v>2.3682128123525694</v>
      </c>
      <c r="M1077">
        <v>0</v>
      </c>
      <c r="N1077" s="9"/>
      <c r="O1077" s="3">
        <f>L1077-M1077</f>
        <v>2.3682128123525694</v>
      </c>
    </row>
    <row r="1078" spans="1:15">
      <c r="A1078" s="7"/>
      <c r="B1078" s="8">
        <v>0.60912970227287866</v>
      </c>
      <c r="C1078" s="8">
        <v>-0.28261535739067112</v>
      </c>
      <c r="D1078" s="8">
        <v>0.68802996689194662</v>
      </c>
      <c r="E1078" s="7">
        <v>0</v>
      </c>
      <c r="F1078" s="7">
        <v>0</v>
      </c>
      <c r="G1078" s="7">
        <v>-1.4990516053215155E-2</v>
      </c>
      <c r="H1078" s="7">
        <v>0</v>
      </c>
      <c r="I1078" s="7">
        <v>0</v>
      </c>
      <c r="J1078" s="7">
        <v>0</v>
      </c>
      <c r="K1078" s="7">
        <v>0</v>
      </c>
      <c r="L1078">
        <v>0.46214783488271782</v>
      </c>
      <c r="M1078">
        <v>0</v>
      </c>
      <c r="N1078" s="9"/>
      <c r="O1078" s="3">
        <f>L1078-M1078</f>
        <v>0.46214783488271782</v>
      </c>
    </row>
    <row r="1079" spans="1:15">
      <c r="A1079" s="7"/>
      <c r="B1079" s="8"/>
      <c r="C1079" s="8"/>
      <c r="D1079" s="8"/>
      <c r="E1079" s="7"/>
      <c r="F1079" s="7"/>
      <c r="G1079" s="7"/>
      <c r="H1079" s="7"/>
      <c r="I1079" s="7"/>
      <c r="J1079" s="7"/>
      <c r="K1079" s="7"/>
      <c r="N1079" s="10"/>
      <c r="O1079" s="3"/>
    </row>
    <row r="1080" spans="1:15">
      <c r="A1080" s="7"/>
      <c r="B1080" s="8">
        <v>-1.2284177840385118</v>
      </c>
      <c r="C1080" s="8">
        <v>-2.3993580133895418</v>
      </c>
      <c r="D1080" s="8">
        <v>0.6756623603325641</v>
      </c>
      <c r="E1080" s="7">
        <v>-1.4990516053215155E-2</v>
      </c>
      <c r="F1080" s="7">
        <v>0</v>
      </c>
      <c r="G1080" s="7">
        <v>0</v>
      </c>
      <c r="H1080" s="7">
        <v>0</v>
      </c>
      <c r="I1080" s="7">
        <v>0</v>
      </c>
      <c r="J1080" s="7">
        <v>0</v>
      </c>
      <c r="K1080" s="7">
        <v>0</v>
      </c>
      <c r="L1080">
        <v>3.8612243768644339</v>
      </c>
      <c r="M1080">
        <v>0</v>
      </c>
      <c r="N1080" s="9"/>
      <c r="O1080" s="3">
        <f>L1080-M1080</f>
        <v>3.8612243768644339</v>
      </c>
    </row>
    <row r="1081" spans="1:15">
      <c r="A1081" s="7" t="s">
        <v>283</v>
      </c>
      <c r="B1081" s="8">
        <v>1.4675604394566215</v>
      </c>
      <c r="C1081" s="8">
        <v>-1.3235781323919831</v>
      </c>
      <c r="D1081" s="8">
        <v>0.72564008456612294</v>
      </c>
      <c r="E1081" s="7">
        <v>0</v>
      </c>
      <c r="F1081" s="7">
        <v>-1.4990516053215155E-2</v>
      </c>
      <c r="G1081" s="7">
        <v>0</v>
      </c>
      <c r="H1081" s="7">
        <v>0</v>
      </c>
      <c r="I1081" s="7">
        <v>0</v>
      </c>
      <c r="J1081" s="7">
        <v>0</v>
      </c>
      <c r="K1081" s="7">
        <v>0</v>
      </c>
      <c r="L1081">
        <v>2.216073124166746</v>
      </c>
      <c r="M1081">
        <v>0</v>
      </c>
      <c r="N1081" s="9"/>
      <c r="O1081" s="3">
        <f>L1081-M1081</f>
        <v>2.216073124166746</v>
      </c>
    </row>
    <row r="1082" spans="1:15">
      <c r="A1082" s="7"/>
      <c r="B1082" s="8">
        <v>-1.0097006711160386</v>
      </c>
      <c r="C1082" s="8">
        <v>-0.26302086313966178</v>
      </c>
      <c r="D1082" s="8">
        <v>0.76545275918666766</v>
      </c>
      <c r="E1082" s="7">
        <v>0</v>
      </c>
      <c r="F1082" s="7">
        <v>0</v>
      </c>
      <c r="G1082" s="7">
        <v>-1.4990516053215155E-2</v>
      </c>
      <c r="H1082" s="7">
        <v>0</v>
      </c>
      <c r="I1082" s="7">
        <v>0</v>
      </c>
      <c r="J1082" s="7">
        <v>0</v>
      </c>
      <c r="K1082" s="7">
        <v>0</v>
      </c>
      <c r="L1082">
        <v>0.83729667312269707</v>
      </c>
      <c r="M1082">
        <v>0</v>
      </c>
      <c r="N1082" s="9"/>
      <c r="O1082" s="3">
        <f>L1082-M1082</f>
        <v>0.83729667312269707</v>
      </c>
    </row>
    <row r="1083" spans="1:15">
      <c r="A1083" s="7"/>
      <c r="B1083" s="8"/>
      <c r="C1083" s="8"/>
      <c r="D1083" s="8"/>
      <c r="E1083" s="7"/>
      <c r="F1083" s="7"/>
      <c r="G1083" s="7"/>
      <c r="H1083" s="7"/>
      <c r="I1083" s="7"/>
      <c r="J1083" s="7"/>
      <c r="K1083" s="7"/>
      <c r="N1083" s="10"/>
      <c r="O1083" s="3"/>
    </row>
    <row r="1084" spans="1:15">
      <c r="A1084" s="7"/>
      <c r="B1084" s="8">
        <v>-1.2284177840385118</v>
      </c>
      <c r="C1084" s="8">
        <v>-2.3993580133895418</v>
      </c>
      <c r="D1084" s="8">
        <v>0.6756623603325641</v>
      </c>
      <c r="E1084" s="7">
        <v>-1.4990516053215155E-2</v>
      </c>
      <c r="F1084" s="7">
        <v>0</v>
      </c>
      <c r="G1084" s="7">
        <v>0</v>
      </c>
      <c r="H1084" s="7">
        <v>0</v>
      </c>
      <c r="I1084" s="7">
        <v>0</v>
      </c>
      <c r="J1084" s="7">
        <v>0</v>
      </c>
      <c r="K1084" s="7">
        <v>0</v>
      </c>
      <c r="L1084">
        <v>3.8612243768644339</v>
      </c>
      <c r="M1084">
        <v>0</v>
      </c>
      <c r="N1084" s="9"/>
      <c r="O1084" s="3">
        <f>L1084-M1084</f>
        <v>3.8612243768644339</v>
      </c>
    </row>
    <row r="1085" spans="1:15">
      <c r="A1085" s="7" t="s">
        <v>284</v>
      </c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7">
        <v>-1.4990516053215155E-2</v>
      </c>
      <c r="G1085" s="7">
        <v>0</v>
      </c>
      <c r="H1085" s="7">
        <v>0</v>
      </c>
      <c r="I1085" s="7">
        <v>0</v>
      </c>
      <c r="J1085" s="7">
        <v>0</v>
      </c>
      <c r="K1085" s="7">
        <v>0</v>
      </c>
      <c r="L1085">
        <v>2.216073124166746</v>
      </c>
      <c r="M1085">
        <v>0</v>
      </c>
      <c r="N1085" s="9"/>
      <c r="O1085" s="3">
        <f>L1085-M1085</f>
        <v>2.216073124166746</v>
      </c>
    </row>
    <row r="1086" spans="1:15">
      <c r="A1086" s="7"/>
      <c r="B1086" s="8">
        <v>0.60912970227287866</v>
      </c>
      <c r="C1086" s="8">
        <v>-0.28261535739067112</v>
      </c>
      <c r="D1086" s="8">
        <v>0.68802996689194662</v>
      </c>
      <c r="E1086" s="7">
        <v>0</v>
      </c>
      <c r="F1086" s="7">
        <v>0</v>
      </c>
      <c r="G1086" s="7">
        <v>-1.4990516053215155E-2</v>
      </c>
      <c r="H1086" s="7">
        <v>0</v>
      </c>
      <c r="I1086" s="7">
        <v>0</v>
      </c>
      <c r="J1086" s="7">
        <v>0</v>
      </c>
      <c r="K1086" s="7">
        <v>0</v>
      </c>
      <c r="L1086">
        <v>0.46214783488271782</v>
      </c>
      <c r="M1086">
        <v>0</v>
      </c>
      <c r="N1086" s="9"/>
      <c r="O1086" s="3">
        <f>L1086-M1086</f>
        <v>0.46214783488271782</v>
      </c>
    </row>
    <row r="1087" spans="1:15">
      <c r="A1087" s="7"/>
      <c r="B1087" s="8"/>
      <c r="C1087" s="8"/>
      <c r="D1087" s="8"/>
      <c r="E1087" s="7"/>
      <c r="F1087" s="7"/>
      <c r="G1087" s="7"/>
      <c r="H1087" s="7"/>
      <c r="I1087" s="7"/>
      <c r="J1087" s="7"/>
      <c r="K1087" s="7"/>
      <c r="N1087" s="10"/>
      <c r="O1087" s="3"/>
    </row>
    <row r="1088" spans="1:15">
      <c r="A1088" s="7"/>
      <c r="B1088" s="8">
        <v>-1.2284177840385118</v>
      </c>
      <c r="C1088" s="8">
        <v>-2.3993580133895418</v>
      </c>
      <c r="D1088" s="8">
        <v>0.6756623603325641</v>
      </c>
      <c r="E1088" s="7">
        <v>-1.4990516053215155E-2</v>
      </c>
      <c r="F1088" s="7">
        <v>0</v>
      </c>
      <c r="G1088" s="7">
        <v>0</v>
      </c>
      <c r="H1088" s="7">
        <v>0</v>
      </c>
      <c r="I1088" s="7">
        <v>0</v>
      </c>
      <c r="J1088" s="7">
        <v>0</v>
      </c>
      <c r="K1088" s="7">
        <v>0</v>
      </c>
      <c r="L1088">
        <v>3.8612243768644339</v>
      </c>
      <c r="M1088">
        <v>0</v>
      </c>
      <c r="N1088" s="9"/>
      <c r="O1088" s="3">
        <f>L1088-M1088</f>
        <v>3.8612243768644339</v>
      </c>
    </row>
    <row r="1089" spans="1:15">
      <c r="A1089" s="7" t="s">
        <v>285</v>
      </c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7">
        <v>-1.4990516053215155E-2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>
        <v>0.83729667312269707</v>
      </c>
      <c r="M1089">
        <v>0</v>
      </c>
      <c r="N1089" s="9"/>
      <c r="O1089" s="3">
        <f>L1089-M1089</f>
        <v>0.83729667312269707</v>
      </c>
    </row>
    <row r="1090" spans="1:15">
      <c r="A1090" s="7"/>
      <c r="B1090" s="8">
        <v>0.60912970227287866</v>
      </c>
      <c r="C1090" s="8">
        <v>-0.28261535739067112</v>
      </c>
      <c r="D1090" s="8">
        <v>0.68802996689194662</v>
      </c>
      <c r="E1090" s="7">
        <v>0</v>
      </c>
      <c r="F1090" s="7">
        <v>0</v>
      </c>
      <c r="G1090" s="7">
        <v>-1.4990516053215155E-2</v>
      </c>
      <c r="H1090" s="7">
        <v>0</v>
      </c>
      <c r="I1090" s="7">
        <v>0</v>
      </c>
      <c r="J1090" s="7">
        <v>0</v>
      </c>
      <c r="K1090" s="7">
        <v>0</v>
      </c>
      <c r="L1090">
        <v>0.46214783488271782</v>
      </c>
      <c r="M1090">
        <v>0</v>
      </c>
      <c r="N1090" s="9"/>
      <c r="O1090" s="3">
        <f>L1090-M1090</f>
        <v>0.46214783488271782</v>
      </c>
    </row>
    <row r="1091" spans="1:15">
      <c r="A1091" s="7"/>
      <c r="B1091" s="8"/>
      <c r="C1091" s="8"/>
      <c r="D1091" s="8"/>
      <c r="E1091" s="7"/>
      <c r="F1091" s="7"/>
      <c r="G1091" s="7"/>
      <c r="H1091" s="7"/>
      <c r="I1091" s="7"/>
      <c r="J1091" s="7"/>
      <c r="K1091" s="7"/>
      <c r="N1091" s="10"/>
      <c r="O1091" s="3"/>
    </row>
    <row r="1092" spans="1:15">
      <c r="A1092" s="7"/>
      <c r="B1092" s="8">
        <v>1.0673702345396179</v>
      </c>
      <c r="C1092" s="8">
        <v>-2.4075843796929846</v>
      </c>
      <c r="D1092" s="8">
        <v>0.708799578341892</v>
      </c>
      <c r="E1092" s="7">
        <v>-1.4990516053215155E-2</v>
      </c>
      <c r="F1092" s="7">
        <v>0</v>
      </c>
      <c r="G1092" s="7">
        <v>0</v>
      </c>
      <c r="H1092" s="7">
        <v>-2.0521745021313972E-2</v>
      </c>
      <c r="I1092" s="7">
        <v>2.2872089329671663E-2</v>
      </c>
      <c r="J1092" s="7">
        <v>0</v>
      </c>
      <c r="K1092" s="7">
        <v>0</v>
      </c>
      <c r="L1092">
        <v>3.7190693025902282</v>
      </c>
      <c r="M1092">
        <v>-1.7015582152214068E-3</v>
      </c>
      <c r="N1092" s="9"/>
      <c r="O1092" s="3">
        <f>L1092-M1092</f>
        <v>3.7207708608054495</v>
      </c>
    </row>
    <row r="1093" spans="1:15">
      <c r="A1093" s="7" t="s">
        <v>286</v>
      </c>
      <c r="B1093" s="8">
        <v>-1.3773893306068323</v>
      </c>
      <c r="C1093" s="8">
        <v>-1.5521003879162059</v>
      </c>
      <c r="D1093" s="8">
        <v>0.65590292152571228</v>
      </c>
      <c r="E1093" s="7">
        <v>0</v>
      </c>
      <c r="F1093" s="7">
        <v>-1.4990516053215155E-2</v>
      </c>
      <c r="G1093" s="7">
        <v>0</v>
      </c>
      <c r="H1093" s="7">
        <v>-2.0521745021313972E-2</v>
      </c>
      <c r="I1093" s="7">
        <v>0</v>
      </c>
      <c r="J1093" s="7">
        <v>2.2385887789414392E-2</v>
      </c>
      <c r="K1093" s="7">
        <v>0</v>
      </c>
      <c r="L1093">
        <v>2.3682128123525694</v>
      </c>
      <c r="M1093">
        <v>-1.3344460583924961E-3</v>
      </c>
      <c r="N1093" s="9"/>
      <c r="O1093" s="3">
        <f>L1093-M1093</f>
        <v>2.3695472584109618</v>
      </c>
    </row>
    <row r="1094" spans="1:15">
      <c r="A1094" s="7"/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0</v>
      </c>
      <c r="G1094" s="7">
        <v>-1.4990516053215155E-2</v>
      </c>
      <c r="H1094" s="7">
        <v>-2.0521745021313972E-2</v>
      </c>
      <c r="I1094" s="7">
        <v>0</v>
      </c>
      <c r="J1094" s="7">
        <v>0</v>
      </c>
      <c r="K1094" s="7">
        <v>1.6236379226863738E-2</v>
      </c>
      <c r="L1094">
        <v>2.216073124166746</v>
      </c>
      <c r="M1094">
        <v>2.6280192231014289E-3</v>
      </c>
      <c r="N1094" s="9"/>
      <c r="O1094" s="3">
        <f>L1094-M1094</f>
        <v>2.2134451049436445</v>
      </c>
    </row>
    <row r="1095" spans="1:15">
      <c r="A1095" s="7"/>
      <c r="B1095" s="8"/>
      <c r="C1095" s="8"/>
      <c r="D1095" s="8"/>
      <c r="E1095" s="7"/>
      <c r="F1095" s="7"/>
      <c r="G1095" s="7"/>
      <c r="H1095" s="7"/>
      <c r="I1095" s="7"/>
      <c r="J1095" s="7"/>
      <c r="K1095" s="7"/>
      <c r="N1095" s="10"/>
      <c r="O1095" s="3"/>
    </row>
    <row r="1096" spans="1:15">
      <c r="A1096" s="7"/>
      <c r="B1096" s="8">
        <v>1.0673702345396179</v>
      </c>
      <c r="C1096" s="8">
        <v>-2.4075843796929846</v>
      </c>
      <c r="D1096" s="8">
        <v>0.708799578341892</v>
      </c>
      <c r="E1096" s="7">
        <v>-1.4990516053215155E-2</v>
      </c>
      <c r="F1096" s="7">
        <v>0</v>
      </c>
      <c r="G1096" s="7">
        <v>0</v>
      </c>
      <c r="H1096" s="7">
        <v>-2.0521745021313972E-2</v>
      </c>
      <c r="I1096" s="7">
        <v>2.2872089329671663E-2</v>
      </c>
      <c r="J1096" s="7">
        <v>0</v>
      </c>
      <c r="K1096" s="7">
        <v>0</v>
      </c>
      <c r="L1096">
        <v>3.7190693025902282</v>
      </c>
      <c r="M1096">
        <v>-1.7015582152214068E-3</v>
      </c>
      <c r="N1096" s="9"/>
      <c r="O1096" s="3">
        <f>L1096-M1096</f>
        <v>3.7207708608054495</v>
      </c>
    </row>
    <row r="1097" spans="1:15">
      <c r="A1097" s="7" t="s">
        <v>287</v>
      </c>
      <c r="B1097" s="8">
        <v>-1.3773893306068323</v>
      </c>
      <c r="C1097" s="8">
        <v>-1.5521003879162059</v>
      </c>
      <c r="D1097" s="8">
        <v>0.65590292152571228</v>
      </c>
      <c r="E1097" s="7">
        <v>0</v>
      </c>
      <c r="F1097" s="7">
        <v>-1.4990516053215155E-2</v>
      </c>
      <c r="G1097" s="7">
        <v>0</v>
      </c>
      <c r="H1097" s="7">
        <v>-2.0521745021313972E-2</v>
      </c>
      <c r="I1097" s="7">
        <v>0</v>
      </c>
      <c r="J1097" s="7">
        <v>2.2385887789414392E-2</v>
      </c>
      <c r="K1097" s="7">
        <v>0</v>
      </c>
      <c r="L1097">
        <v>2.3682128123525694</v>
      </c>
      <c r="M1097">
        <v>-1.3344460583924961E-3</v>
      </c>
      <c r="N1097" s="9"/>
      <c r="O1097" s="3">
        <f>L1097-M1097</f>
        <v>2.3695472584109618</v>
      </c>
    </row>
    <row r="1098" spans="1:15">
      <c r="A1098" s="7"/>
      <c r="B1098" s="8">
        <v>-1.0097006711160386</v>
      </c>
      <c r="C1098" s="8">
        <v>-0.26302086313966178</v>
      </c>
      <c r="D1098" s="8">
        <v>0.76545275918666766</v>
      </c>
      <c r="E1098" s="7">
        <v>0</v>
      </c>
      <c r="F1098" s="7">
        <v>0</v>
      </c>
      <c r="G1098" s="7">
        <v>-1.4990516053215155E-2</v>
      </c>
      <c r="H1098" s="7">
        <v>-2.0521745021313972E-2</v>
      </c>
      <c r="I1098" s="7">
        <v>0</v>
      </c>
      <c r="J1098" s="7">
        <v>0</v>
      </c>
      <c r="K1098" s="7">
        <v>1.5970575730977998E-2</v>
      </c>
      <c r="L1098">
        <v>0.83729667312269707</v>
      </c>
      <c r="M1098">
        <v>2.7708420588978652E-3</v>
      </c>
      <c r="N1098" s="9"/>
      <c r="O1098" s="3">
        <f>L1098-M1098</f>
        <v>0.83452583106379918</v>
      </c>
    </row>
    <row r="1099" spans="1:15">
      <c r="A1099" s="7"/>
      <c r="B1099" s="8"/>
      <c r="C1099" s="8"/>
      <c r="D1099" s="8"/>
      <c r="E1099" s="7"/>
      <c r="F1099" s="7"/>
      <c r="G1099" s="7"/>
      <c r="H1099" s="7"/>
      <c r="I1099" s="7"/>
      <c r="J1099" s="7"/>
      <c r="K1099" s="7"/>
      <c r="N1099" s="10"/>
      <c r="O1099" s="3"/>
    </row>
    <row r="1100" spans="1:15">
      <c r="A1100" s="7"/>
      <c r="B1100" s="8">
        <v>1.0673702345396179</v>
      </c>
      <c r="C1100" s="8">
        <v>-2.4075843796929846</v>
      </c>
      <c r="D1100" s="8">
        <v>0.708799578341892</v>
      </c>
      <c r="E1100" s="7">
        <v>-1.4990516053215155E-2</v>
      </c>
      <c r="F1100" s="7">
        <v>0</v>
      </c>
      <c r="G1100" s="7">
        <v>0</v>
      </c>
      <c r="H1100" s="7">
        <v>0</v>
      </c>
      <c r="I1100" s="7">
        <v>0</v>
      </c>
      <c r="J1100" s="7">
        <v>0</v>
      </c>
      <c r="K1100" s="7">
        <v>0</v>
      </c>
      <c r="L1100">
        <v>3.7190693025902282</v>
      </c>
      <c r="M1100">
        <v>0</v>
      </c>
      <c r="N1100" s="9"/>
      <c r="O1100" s="3">
        <f>L1100-M1100</f>
        <v>3.7190693025902282</v>
      </c>
    </row>
    <row r="1101" spans="1:15">
      <c r="A1101" s="7" t="s">
        <v>288</v>
      </c>
      <c r="B1101" s="8">
        <v>-1.3773893306068323</v>
      </c>
      <c r="C1101" s="8">
        <v>-1.5521003879162059</v>
      </c>
      <c r="D1101" s="8">
        <v>0.65590292152571228</v>
      </c>
      <c r="E1101" s="7">
        <v>0</v>
      </c>
      <c r="F1101" s="7">
        <v>-1.4990516053215155E-2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>
        <v>2.3682128123525694</v>
      </c>
      <c r="M1101">
        <v>0</v>
      </c>
      <c r="N1101" s="9"/>
      <c r="O1101" s="3">
        <f>L1101-M1101</f>
        <v>2.3682128123525694</v>
      </c>
    </row>
    <row r="1102" spans="1:15">
      <c r="A1102" s="7"/>
      <c r="B1102" s="8">
        <v>0.60912970227287866</v>
      </c>
      <c r="C1102" s="8">
        <v>-0.28261535739067112</v>
      </c>
      <c r="D1102" s="8">
        <v>0.68802996689194662</v>
      </c>
      <c r="E1102" s="7">
        <v>0</v>
      </c>
      <c r="F1102" s="7">
        <v>0</v>
      </c>
      <c r="G1102" s="7">
        <v>-1.4990516053215155E-2</v>
      </c>
      <c r="H1102" s="7">
        <v>0</v>
      </c>
      <c r="I1102" s="7">
        <v>0</v>
      </c>
      <c r="J1102" s="7">
        <v>0</v>
      </c>
      <c r="K1102" s="7">
        <v>0</v>
      </c>
      <c r="L1102">
        <v>0.46214783488271782</v>
      </c>
      <c r="M1102">
        <v>0</v>
      </c>
      <c r="N1102" s="9"/>
      <c r="O1102" s="3">
        <f>L1102-M1102</f>
        <v>0.46214783488271782</v>
      </c>
    </row>
    <row r="1103" spans="1:15">
      <c r="A1103" s="7"/>
      <c r="B1103" s="8"/>
      <c r="C1103" s="8"/>
      <c r="D1103" s="8"/>
      <c r="E1103" s="7"/>
      <c r="F1103" s="7"/>
      <c r="G1103" s="7"/>
      <c r="H1103" s="7"/>
      <c r="I1103" s="7"/>
      <c r="J1103" s="7"/>
      <c r="K1103" s="7"/>
      <c r="N1103" s="10"/>
      <c r="O1103" s="3"/>
    </row>
    <row r="1104" spans="1:15">
      <c r="A1104" s="7"/>
      <c r="B1104" s="8">
        <v>1.0673702345396179</v>
      </c>
      <c r="C1104" s="8">
        <v>-2.4075843796929846</v>
      </c>
      <c r="D1104" s="8">
        <v>0.708799578341892</v>
      </c>
      <c r="E1104" s="7">
        <v>-1.4990516053215155E-2</v>
      </c>
      <c r="F1104" s="7">
        <v>0</v>
      </c>
      <c r="G1104" s="7">
        <v>0</v>
      </c>
      <c r="H1104" s="7">
        <v>-2.0521745021313972E-2</v>
      </c>
      <c r="I1104" s="7">
        <v>2.2872089329671663E-2</v>
      </c>
      <c r="J1104" s="7">
        <v>0</v>
      </c>
      <c r="K1104" s="7">
        <v>0</v>
      </c>
      <c r="L1104">
        <v>3.7190693025902282</v>
      </c>
      <c r="M1104">
        <v>-1.7015582152214068E-3</v>
      </c>
      <c r="N1104" s="9"/>
      <c r="O1104" s="3">
        <f>L1104-M1104</f>
        <v>3.7207708608054495</v>
      </c>
    </row>
    <row r="1105" spans="1:15">
      <c r="A1105" s="7" t="s">
        <v>289</v>
      </c>
      <c r="B1105" s="8">
        <v>1.4675604394566215</v>
      </c>
      <c r="C1105" s="8">
        <v>-1.3235781323919831</v>
      </c>
      <c r="D1105" s="8">
        <v>0.72564008456612294</v>
      </c>
      <c r="E1105" s="7">
        <v>0</v>
      </c>
      <c r="F1105" s="7">
        <v>-1.4990516053215155E-2</v>
      </c>
      <c r="G1105" s="7">
        <v>0</v>
      </c>
      <c r="H1105" s="7">
        <v>-2.0521745021313972E-2</v>
      </c>
      <c r="I1105" s="7">
        <v>0</v>
      </c>
      <c r="J1105" s="7">
        <v>1.6236379226863738E-2</v>
      </c>
      <c r="K1105" s="7">
        <v>0</v>
      </c>
      <c r="L1105">
        <v>2.216073124166746</v>
      </c>
      <c r="M1105">
        <v>2.6280192231014289E-3</v>
      </c>
      <c r="N1105" s="9"/>
      <c r="O1105" s="3">
        <f>L1105-M1105</f>
        <v>2.2134451049436445</v>
      </c>
    </row>
    <row r="1106" spans="1:15">
      <c r="A1106" s="7"/>
      <c r="B1106" s="8">
        <v>-1.0097006711160386</v>
      </c>
      <c r="C1106" s="8">
        <v>-0.26302086313966178</v>
      </c>
      <c r="D1106" s="8">
        <v>0.76545275918666766</v>
      </c>
      <c r="E1106" s="7">
        <v>0</v>
      </c>
      <c r="F1106" s="7">
        <v>0</v>
      </c>
      <c r="G1106" s="7">
        <v>-1.4990516053215155E-2</v>
      </c>
      <c r="H1106" s="7">
        <v>-2.0521745021313972E-2</v>
      </c>
      <c r="I1106" s="7">
        <v>0</v>
      </c>
      <c r="J1106" s="7">
        <v>0</v>
      </c>
      <c r="K1106" s="7">
        <v>1.5970575730977998E-2</v>
      </c>
      <c r="L1106">
        <v>0.83729667312269707</v>
      </c>
      <c r="M1106">
        <v>2.7708420588978652E-3</v>
      </c>
      <c r="N1106" s="9"/>
      <c r="O1106" s="3">
        <f>L1106-M1106</f>
        <v>0.83452583106379918</v>
      </c>
    </row>
    <row r="1107" spans="1:15">
      <c r="A1107" s="7"/>
      <c r="B1107" s="8"/>
      <c r="C1107" s="8"/>
      <c r="D1107" s="8"/>
      <c r="E1107" s="7"/>
      <c r="F1107" s="7"/>
      <c r="G1107" s="7"/>
      <c r="H1107" s="7"/>
      <c r="I1107" s="7"/>
      <c r="J1107" s="7"/>
      <c r="K1107" s="7"/>
      <c r="N1107" s="10"/>
      <c r="O1107" s="3"/>
    </row>
    <row r="1108" spans="1:15">
      <c r="A1108" s="7"/>
      <c r="B1108" s="8">
        <v>1.0673702345396179</v>
      </c>
      <c r="C1108" s="8">
        <v>-2.4075843796929846</v>
      </c>
      <c r="D1108" s="8">
        <v>0.708799578341892</v>
      </c>
      <c r="E1108" s="7">
        <v>-1.4990516053215155E-2</v>
      </c>
      <c r="F1108" s="7">
        <v>0</v>
      </c>
      <c r="G1108" s="7">
        <v>0</v>
      </c>
      <c r="H1108" s="7">
        <v>0</v>
      </c>
      <c r="I1108" s="7">
        <v>0</v>
      </c>
      <c r="J1108" s="7">
        <v>0</v>
      </c>
      <c r="K1108" s="7">
        <v>0</v>
      </c>
      <c r="L1108">
        <v>3.7190693025902282</v>
      </c>
      <c r="M1108">
        <v>0</v>
      </c>
      <c r="N1108" s="9"/>
      <c r="O1108" s="3">
        <f>L1108-M1108</f>
        <v>3.7190693025902282</v>
      </c>
    </row>
    <row r="1109" spans="1:15">
      <c r="A1109" s="7" t="s">
        <v>290</v>
      </c>
      <c r="B1109" s="8">
        <v>1.4675604394566215</v>
      </c>
      <c r="C1109" s="8">
        <v>-1.3235781323919831</v>
      </c>
      <c r="D1109" s="8">
        <v>0.72564008456612294</v>
      </c>
      <c r="E1109" s="7">
        <v>0</v>
      </c>
      <c r="F1109" s="7">
        <v>-1.4990516053215155E-2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>
        <v>2.216073124166746</v>
      </c>
      <c r="M1109">
        <v>0</v>
      </c>
      <c r="N1109" s="9"/>
      <c r="O1109" s="3">
        <f>L1109-M1109</f>
        <v>2.216073124166746</v>
      </c>
    </row>
    <row r="1110" spans="1:15">
      <c r="A1110" s="7"/>
      <c r="B1110" s="8">
        <v>0.60912970227287866</v>
      </c>
      <c r="C1110" s="8">
        <v>-0.28261535739067112</v>
      </c>
      <c r="D1110" s="8">
        <v>0.68802996689194662</v>
      </c>
      <c r="E1110" s="7">
        <v>0</v>
      </c>
      <c r="F1110" s="7">
        <v>0</v>
      </c>
      <c r="G1110" s="7">
        <v>-1.4990516053215155E-2</v>
      </c>
      <c r="H1110" s="7">
        <v>0</v>
      </c>
      <c r="I1110" s="7">
        <v>0</v>
      </c>
      <c r="J1110" s="7">
        <v>0</v>
      </c>
      <c r="K1110" s="7">
        <v>0</v>
      </c>
      <c r="L1110">
        <v>0.46214783488271782</v>
      </c>
      <c r="M1110">
        <v>0</v>
      </c>
      <c r="N1110" s="9"/>
      <c r="O1110" s="3">
        <f>L1110-M1110</f>
        <v>0.46214783488271782</v>
      </c>
    </row>
    <row r="1111" spans="1:15">
      <c r="A1111" s="7"/>
      <c r="B1111" s="8"/>
      <c r="C1111" s="8"/>
      <c r="D1111" s="8"/>
      <c r="E1111" s="7"/>
      <c r="F1111" s="7"/>
      <c r="G1111" s="7"/>
      <c r="H1111" s="7"/>
      <c r="I1111" s="7"/>
      <c r="J1111" s="7"/>
      <c r="K1111" s="7"/>
      <c r="N1111" s="10"/>
      <c r="O1111" s="3"/>
    </row>
    <row r="1112" spans="1:15">
      <c r="A1112" s="7"/>
      <c r="B1112" s="8">
        <v>1.0673702345396179</v>
      </c>
      <c r="C1112" s="8">
        <v>-2.4075843796929846</v>
      </c>
      <c r="D1112" s="8">
        <v>0.708799578341892</v>
      </c>
      <c r="E1112" s="7">
        <v>-1.4990516053215155E-2</v>
      </c>
      <c r="F1112" s="7">
        <v>0</v>
      </c>
      <c r="G1112" s="7">
        <v>0</v>
      </c>
      <c r="H1112" s="7">
        <v>0</v>
      </c>
      <c r="I1112" s="7">
        <v>0</v>
      </c>
      <c r="J1112" s="7">
        <v>0</v>
      </c>
      <c r="K1112" s="7">
        <v>0</v>
      </c>
      <c r="L1112">
        <v>3.7190693025902282</v>
      </c>
      <c r="M1112">
        <v>0</v>
      </c>
      <c r="N1112" s="9"/>
      <c r="O1112" s="3">
        <f>L1112-M1112</f>
        <v>3.7190693025902282</v>
      </c>
    </row>
    <row r="1113" spans="1:15">
      <c r="A1113" s="7" t="s">
        <v>291</v>
      </c>
      <c r="B1113" s="8">
        <v>-1.0097006711160386</v>
      </c>
      <c r="C1113" s="8">
        <v>-0.26302086313966178</v>
      </c>
      <c r="D1113" s="8">
        <v>0.76545275918666766</v>
      </c>
      <c r="E1113" s="7">
        <v>0</v>
      </c>
      <c r="F1113" s="7">
        <v>-1.4990516053215155E-2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>
        <v>0.83729667312269707</v>
      </c>
      <c r="M1113">
        <v>0</v>
      </c>
      <c r="N1113" s="9"/>
      <c r="O1113" s="3">
        <f>L1113-M1113</f>
        <v>0.83729667312269707</v>
      </c>
    </row>
    <row r="1114" spans="1:15">
      <c r="A1114" s="7"/>
      <c r="B1114" s="8">
        <v>0.60912970227287866</v>
      </c>
      <c r="C1114" s="8">
        <v>-0.28261535739067112</v>
      </c>
      <c r="D1114" s="8">
        <v>0.68802996689194662</v>
      </c>
      <c r="E1114" s="7">
        <v>0</v>
      </c>
      <c r="F1114" s="7">
        <v>0</v>
      </c>
      <c r="G1114" s="7">
        <v>-1.4990516053215155E-2</v>
      </c>
      <c r="H1114" s="7">
        <v>0</v>
      </c>
      <c r="I1114" s="7">
        <v>0</v>
      </c>
      <c r="J1114" s="7">
        <v>0</v>
      </c>
      <c r="K1114" s="7">
        <v>0</v>
      </c>
      <c r="L1114">
        <v>0.46214783488271782</v>
      </c>
      <c r="M1114">
        <v>0</v>
      </c>
      <c r="N1114" s="9"/>
      <c r="O1114" s="3">
        <f>L1114-M1114</f>
        <v>0.46214783488271782</v>
      </c>
    </row>
    <row r="1115" spans="1:15">
      <c r="A1115" s="7"/>
      <c r="B1115" s="8"/>
      <c r="C1115" s="8"/>
      <c r="D1115" s="8"/>
      <c r="E1115" s="7"/>
      <c r="F1115" s="7"/>
      <c r="G1115" s="7"/>
      <c r="H1115" s="7"/>
      <c r="I1115" s="7"/>
      <c r="J1115" s="7"/>
      <c r="K1115" s="7"/>
      <c r="N1115" s="10"/>
      <c r="O1115" s="3"/>
    </row>
    <row r="1116" spans="1:15">
      <c r="A1116" s="7"/>
      <c r="B1116" s="8">
        <v>-1.3773893306068323</v>
      </c>
      <c r="C1116" s="8">
        <v>-1.5521003879162059</v>
      </c>
      <c r="D1116" s="8">
        <v>0.65590292152571228</v>
      </c>
      <c r="E1116" s="7">
        <v>-1.4990516053215155E-2</v>
      </c>
      <c r="F1116" s="7">
        <v>0</v>
      </c>
      <c r="G1116" s="7">
        <v>0</v>
      </c>
      <c r="H1116" s="7">
        <v>-2.0521745021313972E-2</v>
      </c>
      <c r="I1116" s="7">
        <v>2.2385887789414392E-2</v>
      </c>
      <c r="J1116" s="7">
        <v>0</v>
      </c>
      <c r="K1116" s="7">
        <v>0</v>
      </c>
      <c r="L1116">
        <v>2.3682128123525694</v>
      </c>
      <c r="M1116">
        <v>-1.3344460583924961E-3</v>
      </c>
      <c r="N1116" s="9"/>
      <c r="O1116" s="3">
        <f>L1116-M1116</f>
        <v>2.3695472584109618</v>
      </c>
    </row>
    <row r="1117" spans="1:15">
      <c r="A1117" s="7" t="s">
        <v>292</v>
      </c>
      <c r="B1117" s="8">
        <v>1.4675604394566215</v>
      </c>
      <c r="C1117" s="8">
        <v>-1.3235781323919831</v>
      </c>
      <c r="D1117" s="8">
        <v>0.72564008456612294</v>
      </c>
      <c r="E1117" s="7">
        <v>0</v>
      </c>
      <c r="F1117" s="7">
        <v>-1.4990516053215155E-2</v>
      </c>
      <c r="G1117" s="7">
        <v>0</v>
      </c>
      <c r="H1117" s="7">
        <v>-2.0521745021313972E-2</v>
      </c>
      <c r="I1117" s="7">
        <v>0</v>
      </c>
      <c r="J1117" s="7">
        <v>1.6236379226863738E-2</v>
      </c>
      <c r="K1117" s="7">
        <v>0</v>
      </c>
      <c r="L1117">
        <v>2.216073124166746</v>
      </c>
      <c r="M1117">
        <v>2.6280192231014289E-3</v>
      </c>
      <c r="N1117" s="9"/>
      <c r="O1117" s="3">
        <f>L1117-M1117</f>
        <v>2.2134451049436445</v>
      </c>
    </row>
    <row r="1118" spans="1:15">
      <c r="A1118" s="7"/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0</v>
      </c>
      <c r="G1118" s="7">
        <v>-1.4990516053215155E-2</v>
      </c>
      <c r="H1118" s="7">
        <v>-2.0521745021313972E-2</v>
      </c>
      <c r="I1118" s="7">
        <v>0</v>
      </c>
      <c r="J1118" s="7">
        <v>0</v>
      </c>
      <c r="K1118" s="7">
        <v>1.5970575730977998E-2</v>
      </c>
      <c r="L1118">
        <v>0.83729667312269707</v>
      </c>
      <c r="M1118">
        <v>2.7708420588978652E-3</v>
      </c>
      <c r="N1118" s="9"/>
      <c r="O1118" s="3">
        <f>L1118-M1118</f>
        <v>0.83452583106379918</v>
      </c>
    </row>
    <row r="1119" spans="1:15">
      <c r="A1119" s="7"/>
      <c r="B1119" s="8"/>
      <c r="C1119" s="8"/>
      <c r="D1119" s="8"/>
      <c r="E1119" s="7"/>
      <c r="F1119" s="7"/>
      <c r="G1119" s="7"/>
      <c r="H1119" s="7"/>
      <c r="I1119" s="7"/>
      <c r="J1119" s="7"/>
      <c r="K1119" s="7"/>
      <c r="N1119" s="10"/>
      <c r="O1119" s="3"/>
    </row>
    <row r="1120" spans="1:15">
      <c r="A1120" s="7"/>
      <c r="B1120" s="8">
        <v>-1.3773893306068323</v>
      </c>
      <c r="C1120" s="8">
        <v>-1.5521003879162059</v>
      </c>
      <c r="D1120" s="8">
        <v>0.65590292152571228</v>
      </c>
      <c r="E1120" s="7">
        <v>-1.4990516053215155E-2</v>
      </c>
      <c r="F1120" s="7">
        <v>0</v>
      </c>
      <c r="G1120" s="7">
        <v>0</v>
      </c>
      <c r="H1120" s="7">
        <v>0</v>
      </c>
      <c r="I1120" s="7">
        <v>0</v>
      </c>
      <c r="J1120" s="7">
        <v>0</v>
      </c>
      <c r="K1120" s="7">
        <v>0</v>
      </c>
      <c r="L1120">
        <v>2.3682128123525694</v>
      </c>
      <c r="M1120">
        <v>0</v>
      </c>
      <c r="N1120" s="9"/>
      <c r="O1120" s="3">
        <f>L1120-M1120</f>
        <v>2.3682128123525694</v>
      </c>
    </row>
    <row r="1121" spans="1:16">
      <c r="A1121" s="7" t="s">
        <v>293</v>
      </c>
      <c r="B1121" s="8">
        <v>1.4675604394566215</v>
      </c>
      <c r="C1121" s="8">
        <v>-1.3235781323919831</v>
      </c>
      <c r="D1121" s="8">
        <v>0.72564008456612294</v>
      </c>
      <c r="E1121" s="7">
        <v>0</v>
      </c>
      <c r="F1121" s="7">
        <v>-1.4990516053215155E-2</v>
      </c>
      <c r="G1121" s="7">
        <v>0</v>
      </c>
      <c r="H1121" s="7">
        <v>0</v>
      </c>
      <c r="I1121" s="7">
        <v>0</v>
      </c>
      <c r="J1121" s="7">
        <v>0</v>
      </c>
      <c r="K1121" s="7">
        <v>0</v>
      </c>
      <c r="L1121">
        <v>2.216073124166746</v>
      </c>
      <c r="M1121">
        <v>0</v>
      </c>
      <c r="N1121" s="9"/>
      <c r="O1121" s="3">
        <f>L1121-M1121</f>
        <v>2.216073124166746</v>
      </c>
    </row>
    <row r="1122" spans="1:16">
      <c r="A1122" s="7"/>
      <c r="B1122" s="8">
        <v>0.60912970227287866</v>
      </c>
      <c r="C1122" s="8">
        <v>-0.28261535739067112</v>
      </c>
      <c r="D1122" s="8">
        <v>0.68802996689194662</v>
      </c>
      <c r="E1122" s="7">
        <v>0</v>
      </c>
      <c r="F1122" s="7">
        <v>0</v>
      </c>
      <c r="G1122" s="7">
        <v>-1.4990516053215155E-2</v>
      </c>
      <c r="H1122" s="7">
        <v>0</v>
      </c>
      <c r="I1122" s="7">
        <v>0</v>
      </c>
      <c r="J1122" s="7">
        <v>0</v>
      </c>
      <c r="K1122" s="7">
        <v>0</v>
      </c>
      <c r="L1122">
        <v>0.46214783488271782</v>
      </c>
      <c r="M1122">
        <v>0</v>
      </c>
      <c r="N1122" s="9"/>
      <c r="O1122" s="3">
        <f>L1122-M1122</f>
        <v>0.46214783488271782</v>
      </c>
    </row>
    <row r="1123" spans="1:16">
      <c r="A1123" s="7"/>
      <c r="B1123" s="8"/>
      <c r="C1123" s="8"/>
      <c r="D1123" s="8"/>
      <c r="E1123" s="7"/>
      <c r="F1123" s="7"/>
      <c r="G1123" s="7"/>
      <c r="H1123" s="7"/>
      <c r="I1123" s="7"/>
      <c r="J1123" s="7"/>
      <c r="K1123" s="7"/>
      <c r="N1123" s="10"/>
      <c r="O1123" s="3"/>
    </row>
    <row r="1124" spans="1:16">
      <c r="A1124" s="7"/>
      <c r="B1124" s="8">
        <v>-1.3773893306068323</v>
      </c>
      <c r="C1124" s="8">
        <v>-1.5521003879162059</v>
      </c>
      <c r="D1124" s="8">
        <v>0.65590292152571228</v>
      </c>
      <c r="E1124" s="7">
        <v>-1.4990516053215155E-2</v>
      </c>
      <c r="F1124" s="7">
        <v>0</v>
      </c>
      <c r="G1124" s="7">
        <v>0</v>
      </c>
      <c r="H1124" s="7">
        <v>0</v>
      </c>
      <c r="I1124" s="7">
        <v>0</v>
      </c>
      <c r="J1124" s="7">
        <v>0</v>
      </c>
      <c r="K1124" s="7">
        <v>0</v>
      </c>
      <c r="L1124">
        <v>2.3682128123525694</v>
      </c>
      <c r="M1124">
        <v>0</v>
      </c>
      <c r="N1124" s="9"/>
      <c r="O1124" s="3">
        <f>L1124-M1124</f>
        <v>2.3682128123525694</v>
      </c>
    </row>
    <row r="1125" spans="1:16">
      <c r="A1125" s="7" t="s">
        <v>294</v>
      </c>
      <c r="B1125" s="8">
        <v>-1.0097006711160386</v>
      </c>
      <c r="C1125" s="8">
        <v>-0.26302086313966178</v>
      </c>
      <c r="D1125" s="8">
        <v>0.76545275918666766</v>
      </c>
      <c r="E1125" s="7">
        <v>0</v>
      </c>
      <c r="F1125" s="7">
        <v>-1.4990516053215155E-2</v>
      </c>
      <c r="G1125" s="7">
        <v>0</v>
      </c>
      <c r="H1125" s="7">
        <v>0</v>
      </c>
      <c r="I1125" s="7">
        <v>0</v>
      </c>
      <c r="J1125" s="7">
        <v>0</v>
      </c>
      <c r="K1125" s="7">
        <v>0</v>
      </c>
      <c r="L1125">
        <v>0.83729667312269707</v>
      </c>
      <c r="M1125">
        <v>0</v>
      </c>
      <c r="N1125" s="9"/>
      <c r="O1125" s="3">
        <f>L1125-M1125</f>
        <v>0.83729667312269707</v>
      </c>
    </row>
    <row r="1126" spans="1:16">
      <c r="A1126" s="7"/>
      <c r="B1126" s="8">
        <v>0.60912970227287866</v>
      </c>
      <c r="C1126" s="8">
        <v>-0.28261535739067112</v>
      </c>
      <c r="D1126" s="8">
        <v>0.68802996689194662</v>
      </c>
      <c r="E1126" s="7">
        <v>0</v>
      </c>
      <c r="F1126" s="7">
        <v>0</v>
      </c>
      <c r="G1126" s="7">
        <v>-1.4990516053215155E-2</v>
      </c>
      <c r="H1126" s="7">
        <v>0</v>
      </c>
      <c r="I1126" s="7">
        <v>0</v>
      </c>
      <c r="J1126" s="7">
        <v>0</v>
      </c>
      <c r="K1126" s="7">
        <v>0</v>
      </c>
      <c r="L1126">
        <v>0.46214783488271782</v>
      </c>
      <c r="M1126">
        <v>0</v>
      </c>
      <c r="N1126" s="9"/>
      <c r="O1126" s="3">
        <f>L1126-M1126</f>
        <v>0.46214783488271782</v>
      </c>
    </row>
    <row r="1127" spans="1:16">
      <c r="A1127" s="7"/>
      <c r="B1127" s="8"/>
      <c r="C1127" s="8"/>
      <c r="D1127" s="8"/>
      <c r="E1127" s="7"/>
      <c r="F1127" s="7"/>
      <c r="G1127" s="7"/>
      <c r="H1127" s="7"/>
      <c r="I1127" s="7"/>
      <c r="J1127" s="7"/>
      <c r="K1127" s="7"/>
      <c r="N1127" s="10"/>
      <c r="O1127" s="3"/>
    </row>
    <row r="1128" spans="1:16">
      <c r="A1128" s="7"/>
      <c r="B1128" s="8">
        <v>1.4675604394566215</v>
      </c>
      <c r="C1128" s="8">
        <v>-1.3235781323919831</v>
      </c>
      <c r="D1128" s="8">
        <v>0.72564008456612294</v>
      </c>
      <c r="E1128" s="7">
        <v>-1.4990516053215155E-2</v>
      </c>
      <c r="F1128" s="7">
        <v>0</v>
      </c>
      <c r="G1128" s="7">
        <v>0</v>
      </c>
      <c r="H1128" s="7">
        <v>0</v>
      </c>
      <c r="I1128" s="7">
        <v>0</v>
      </c>
      <c r="J1128" s="7">
        <v>0</v>
      </c>
      <c r="K1128" s="7">
        <v>0</v>
      </c>
      <c r="L1128">
        <v>2.216073124166746</v>
      </c>
      <c r="M1128">
        <v>0</v>
      </c>
      <c r="N1128" s="9"/>
      <c r="O1128" s="3">
        <f>L1128-M1128</f>
        <v>2.216073124166746</v>
      </c>
      <c r="P1128" s="3"/>
    </row>
    <row r="1129" spans="1:16">
      <c r="A1129" s="7" t="s">
        <v>295</v>
      </c>
      <c r="B1129" s="8">
        <v>-1.0097006711160386</v>
      </c>
      <c r="C1129" s="8">
        <v>-0.26302086313966178</v>
      </c>
      <c r="D1129" s="8">
        <v>0.76545275918666766</v>
      </c>
      <c r="E1129" s="7">
        <v>0</v>
      </c>
      <c r="F1129" s="7">
        <v>-1.4990516053215155E-2</v>
      </c>
      <c r="G1129" s="7">
        <v>0</v>
      </c>
      <c r="H1129" s="7">
        <v>0</v>
      </c>
      <c r="I1129" s="7">
        <v>0</v>
      </c>
      <c r="J1129" s="7">
        <v>0</v>
      </c>
      <c r="K1129" s="7">
        <v>0</v>
      </c>
      <c r="L1129">
        <v>0.83729667312269707</v>
      </c>
      <c r="M1129">
        <v>0</v>
      </c>
      <c r="N1129" s="9"/>
      <c r="O1129" s="3">
        <f>L1129-M1129</f>
        <v>0.83729667312269707</v>
      </c>
      <c r="P1129" s="3"/>
    </row>
    <row r="1130" spans="1:16">
      <c r="A1130" s="7"/>
      <c r="B1130" s="8">
        <v>0.60912970227287866</v>
      </c>
      <c r="C1130" s="8">
        <v>-0.28261535739067112</v>
      </c>
      <c r="D1130" s="8">
        <v>0.68802996689194662</v>
      </c>
      <c r="E1130" s="7">
        <v>0</v>
      </c>
      <c r="F1130" s="7">
        <v>0</v>
      </c>
      <c r="G1130" s="7">
        <v>-1.4990516053215155E-2</v>
      </c>
      <c r="H1130" s="7">
        <v>0</v>
      </c>
      <c r="I1130" s="7">
        <v>0</v>
      </c>
      <c r="J1130" s="7">
        <v>0</v>
      </c>
      <c r="K1130" s="7">
        <v>0</v>
      </c>
      <c r="L1130">
        <v>0.46214783488271782</v>
      </c>
      <c r="M1130">
        <v>0</v>
      </c>
      <c r="N1130" s="9"/>
      <c r="O1130" s="3">
        <f>L1130-M1130</f>
        <v>0.46214783488271782</v>
      </c>
      <c r="P1130" s="3"/>
    </row>
    <row r="1131" spans="1:1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N1131" s="11"/>
      <c r="O1131" s="3"/>
    </row>
    <row r="1132" spans="1:16">
      <c r="O1132" s="3"/>
    </row>
    <row r="1133" spans="1:16">
      <c r="O1133" s="3"/>
    </row>
  </sheetData>
  <pageMargins left="0.70866141732283472" right="0.70866141732283472" top="0.78740157480314965" bottom="0.78740157480314965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2:AD1810"/>
  <sheetViews>
    <sheetView topLeftCell="D73" zoomScale="85" zoomScaleNormal="85" workbookViewId="0">
      <selection activeCell="F120" sqref="F120"/>
    </sheetView>
  </sheetViews>
  <sheetFormatPr baseColWidth="10" defaultRowHeight="15"/>
  <cols>
    <col min="29" max="29" width="12.140625" customWidth="1"/>
  </cols>
  <sheetData>
    <row r="2" spans="1:30">
      <c r="A2" s="8">
        <v>1.4675604394566215</v>
      </c>
      <c r="B2" s="8">
        <v>-1.3235781323919831</v>
      </c>
      <c r="C2" s="8">
        <v>0.72564008456612294</v>
      </c>
      <c r="D2" s="7">
        <v>-1.4990516053215155E-2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>
        <v>2.216073124166746</v>
      </c>
      <c r="L2">
        <v>0</v>
      </c>
      <c r="N2" s="18">
        <f t="array" ref="N2:P4">SVDD(A2:J4)</f>
        <v>2.2912523003304912</v>
      </c>
      <c r="O2" s="19">
        <v>0</v>
      </c>
      <c r="P2" s="19">
        <v>0</v>
      </c>
      <c r="Q2" s="19"/>
      <c r="R2" s="19">
        <f t="array" ref="R2:T4">SVDD(A2:C4)</f>
        <v>2.2912032620870262</v>
      </c>
      <c r="S2" s="19">
        <v>0</v>
      </c>
      <c r="T2" s="19">
        <v>0</v>
      </c>
      <c r="U2" s="19"/>
      <c r="V2" s="19">
        <f t="array" ref="V2:X4">SVDD(D2:F4)</f>
        <v>1.4990516053215155E-2</v>
      </c>
      <c r="W2" s="19">
        <v>0</v>
      </c>
      <c r="X2" s="19">
        <v>0</v>
      </c>
      <c r="Y2" s="19"/>
      <c r="Z2" s="19">
        <f t="array" ref="Z2:AB4">SVDD(G2:J4)</f>
        <v>0</v>
      </c>
      <c r="AA2" s="19">
        <v>0</v>
      </c>
      <c r="AB2" s="20">
        <v>0</v>
      </c>
    </row>
    <row r="3" spans="1:30">
      <c r="A3" s="8">
        <v>-1.0097006711160386</v>
      </c>
      <c r="B3" s="8">
        <v>-0.26302086313966178</v>
      </c>
      <c r="C3" s="8">
        <v>0.76545275918666766</v>
      </c>
      <c r="D3" s="7">
        <v>0</v>
      </c>
      <c r="E3" s="7">
        <v>-1.4990516053215155E-2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>
        <v>0.83729667312269707</v>
      </c>
      <c r="L3">
        <v>0</v>
      </c>
      <c r="N3" s="21">
        <v>0</v>
      </c>
      <c r="O3" s="15">
        <v>1.2741051722030583</v>
      </c>
      <c r="P3" s="15">
        <v>0</v>
      </c>
      <c r="Q3" s="15"/>
      <c r="R3" s="15">
        <v>0</v>
      </c>
      <c r="S3" s="15">
        <v>1.2740169835065172</v>
      </c>
      <c r="T3" s="15">
        <v>0</v>
      </c>
      <c r="U3" s="15"/>
      <c r="V3" s="15">
        <v>0</v>
      </c>
      <c r="W3" s="15">
        <v>1.4990516053215155E-2</v>
      </c>
      <c r="X3" s="15">
        <v>0</v>
      </c>
      <c r="Y3" s="15"/>
      <c r="Z3" s="15">
        <v>0</v>
      </c>
      <c r="AA3" s="15">
        <v>0</v>
      </c>
      <c r="AB3" s="22">
        <v>0</v>
      </c>
    </row>
    <row r="4" spans="1:30">
      <c r="A4" s="8">
        <v>0.60912970227287866</v>
      </c>
      <c r="B4" s="8">
        <v>-0.28261535739067112</v>
      </c>
      <c r="C4" s="8">
        <v>0.68802996689194662</v>
      </c>
      <c r="D4" s="7">
        <v>0</v>
      </c>
      <c r="E4" s="7">
        <v>0</v>
      </c>
      <c r="F4" s="7">
        <v>-1.4990516053215155E-2</v>
      </c>
      <c r="G4" s="7">
        <v>0</v>
      </c>
      <c r="H4" s="7">
        <v>0</v>
      </c>
      <c r="I4" s="7">
        <v>0</v>
      </c>
      <c r="J4" s="7">
        <v>0</v>
      </c>
      <c r="K4">
        <v>0.46214783488271782</v>
      </c>
      <c r="L4">
        <v>0</v>
      </c>
      <c r="N4" s="23">
        <v>0</v>
      </c>
      <c r="O4" s="24">
        <v>0</v>
      </c>
      <c r="P4" s="24">
        <v>0.39815614707623082</v>
      </c>
      <c r="Q4" s="24"/>
      <c r="R4" s="24">
        <v>0</v>
      </c>
      <c r="S4" s="24">
        <v>0</v>
      </c>
      <c r="T4" s="24">
        <v>0.39787385172067724</v>
      </c>
      <c r="U4" s="24"/>
      <c r="V4" s="24">
        <v>0</v>
      </c>
      <c r="W4" s="24">
        <v>0</v>
      </c>
      <c r="X4" s="24">
        <v>1.4990516053215155E-2</v>
      </c>
      <c r="Y4" s="24"/>
      <c r="Z4" s="24">
        <v>0</v>
      </c>
      <c r="AA4" s="24">
        <v>0</v>
      </c>
      <c r="AB4" s="25">
        <v>0</v>
      </c>
    </row>
    <row r="5" spans="1:30">
      <c r="A5">
        <v>-0.29229363337989422</v>
      </c>
      <c r="B5">
        <v>-0.67403299109699355</v>
      </c>
      <c r="C5">
        <v>-0.40462482035878167</v>
      </c>
      <c r="D5">
        <v>0.10217100278453817</v>
      </c>
      <c r="E5">
        <v>-9.015845756468277E-2</v>
      </c>
      <c r="F5">
        <v>-0.71416680836488933</v>
      </c>
      <c r="G5">
        <v>0.62087483819192557</v>
      </c>
      <c r="H5">
        <v>0.1853981860867826</v>
      </c>
      <c r="I5">
        <v>0.76930404582796008</v>
      </c>
      <c r="J5">
        <v>0.86389539546261185</v>
      </c>
    </row>
    <row r="6" spans="1:30">
      <c r="A6" s="13" t="s">
        <v>296</v>
      </c>
      <c r="B6" s="13" t="s">
        <v>297</v>
      </c>
      <c r="C6" s="13" t="s">
        <v>298</v>
      </c>
      <c r="D6" s="13" t="s">
        <v>299</v>
      </c>
      <c r="E6" s="13" t="s">
        <v>300</v>
      </c>
      <c r="F6" s="13" t="s">
        <v>301</v>
      </c>
      <c r="G6" s="13" t="s">
        <v>302</v>
      </c>
      <c r="H6" s="13" t="s">
        <v>303</v>
      </c>
      <c r="I6" s="13" t="s">
        <v>304</v>
      </c>
      <c r="J6" s="13" t="s">
        <v>305</v>
      </c>
      <c r="L6" s="34" t="s">
        <v>306</v>
      </c>
      <c r="M6" s="34"/>
      <c r="N6" s="34"/>
      <c r="P6" s="13" t="s">
        <v>311</v>
      </c>
      <c r="Q6" s="13"/>
      <c r="R6" s="13" t="s">
        <v>310</v>
      </c>
      <c r="W6" t="s">
        <v>315</v>
      </c>
    </row>
    <row r="7" spans="1:30">
      <c r="A7">
        <v>-0.29229363337989422</v>
      </c>
      <c r="B7">
        <v>-0.67403299109699355</v>
      </c>
      <c r="C7">
        <v>-0.40462482035878167</v>
      </c>
      <c r="D7">
        <v>0.10217100278453817</v>
      </c>
      <c r="E7">
        <v>-9.015845756468277E-2</v>
      </c>
      <c r="F7">
        <v>-0.71416680836488933</v>
      </c>
      <c r="G7">
        <v>0.62087483819192557</v>
      </c>
      <c r="H7">
        <v>0.1853981860867826</v>
      </c>
      <c r="I7">
        <v>0.76930404582796008</v>
      </c>
      <c r="J7">
        <v>0.86389539546261185</v>
      </c>
      <c r="L7">
        <f t="array" ref="L7:N7">TRANSPOSE(MMULT(A2:J4,TRANSPOSE(A7:J7)))</f>
        <v>0.16803316955325731</v>
      </c>
      <c r="M7">
        <v>0.16404415351598106</v>
      </c>
      <c r="N7">
        <v>-0.25524093195461817</v>
      </c>
      <c r="P7">
        <f>(L7-(K2-L2))^2+(M7-(K3-L3))^2+(N7-(K4-L4))^2</f>
        <v>5.162383253634407</v>
      </c>
      <c r="R7">
        <f>MAX(N2,O3,P4)/MIN(N2,O3,P4)</f>
        <v>5.7546576064586263</v>
      </c>
      <c r="S7">
        <f>MAX(R2,S3,T4)/MIN(R2,S3,T4)</f>
        <v>5.7586173410951851</v>
      </c>
      <c r="T7">
        <f>MAX(V2,W3,X4)/MIN(V2,W3,X4)</f>
        <v>1</v>
      </c>
      <c r="U7" t="e">
        <f>MAX(Z2,AA3,AB4)/MIN(Z2,AA3,AB4)</f>
        <v>#DIV/0!</v>
      </c>
      <c r="W7">
        <v>10</v>
      </c>
    </row>
    <row r="8" spans="1:30">
      <c r="A8" s="12">
        <f ca="1">RAND()-RAND()</f>
        <v>0.27721177667291586</v>
      </c>
      <c r="B8" s="12">
        <f t="shared" ref="B8:F8" ca="1" si="0">RAND()-RAND()</f>
        <v>0.31983871881129122</v>
      </c>
      <c r="C8" s="12">
        <f t="shared" ca="1" si="0"/>
        <v>-0.20991208931833172</v>
      </c>
      <c r="D8" s="12">
        <f ca="1">RAND()-RAND()</f>
        <v>-0.22851173006923897</v>
      </c>
      <c r="E8" s="12">
        <f t="shared" ca="1" si="0"/>
        <v>0.56828620879720737</v>
      </c>
      <c r="F8" s="12">
        <f t="shared" ca="1" si="0"/>
        <v>-0.25937039042163246</v>
      </c>
      <c r="G8" s="12">
        <f ca="1">RAND()</f>
        <v>0.94335509654054772</v>
      </c>
      <c r="H8" s="12">
        <f ca="1">RAND()</f>
        <v>0.53014092461654805</v>
      </c>
      <c r="I8" s="12">
        <f ca="1">RAND()</f>
        <v>0.22314515607352314</v>
      </c>
      <c r="J8" s="12">
        <f ca="1">RAND()</f>
        <v>0.84127980164939853</v>
      </c>
      <c r="L8" s="12">
        <f ca="1">RANDBETWEEN(-4,4)*RAND()</f>
        <v>-0.11972732400290709</v>
      </c>
      <c r="M8" s="12">
        <f ca="1">RANDBETWEEN(-4,4)*RAND()</f>
        <v>-0.60427901439085829</v>
      </c>
      <c r="N8" s="12">
        <f ca="1">RANDBETWEEN(-4,4)*RAND()</f>
        <v>1.520967150898171</v>
      </c>
      <c r="O8" s="12">
        <f ca="1">RANDBETWEEN(-10,10)</f>
        <v>-3</v>
      </c>
      <c r="P8" s="12">
        <f ca="1">RANDBETWEEN(-10,10)</f>
        <v>4</v>
      </c>
      <c r="Q8" s="12">
        <f ca="1">RANDBETWEEN(-10,10)</f>
        <v>-6</v>
      </c>
      <c r="R8" s="12">
        <f ca="1">RANDBETWEEN(1,10)</f>
        <v>9</v>
      </c>
      <c r="S8" s="12">
        <f ca="1">RANDBETWEEN(1,10)</f>
        <v>3</v>
      </c>
      <c r="T8" s="12">
        <f ca="1">RANDBETWEEN(1,10)</f>
        <v>4</v>
      </c>
      <c r="U8" s="12">
        <f ca="1">RANDBETWEEN(1,10)</f>
        <v>3</v>
      </c>
    </row>
    <row r="9" spans="1:30">
      <c r="A9" s="17" t="s">
        <v>309</v>
      </c>
      <c r="B9" s="12"/>
      <c r="C9" s="12"/>
      <c r="D9" s="12"/>
      <c r="E9" s="12"/>
      <c r="F9" s="12"/>
      <c r="G9" s="12"/>
      <c r="H9" s="12"/>
      <c r="I9" s="12"/>
      <c r="J9" s="12"/>
      <c r="AC9" s="14"/>
    </row>
    <row r="10" spans="1:30">
      <c r="A10" s="13" t="s">
        <v>296</v>
      </c>
      <c r="B10" s="13" t="s">
        <v>297</v>
      </c>
      <c r="C10" s="13" t="s">
        <v>298</v>
      </c>
      <c r="D10" s="13" t="s">
        <v>299</v>
      </c>
      <c r="E10" s="13" t="s">
        <v>300</v>
      </c>
      <c r="F10" s="13" t="s">
        <v>301</v>
      </c>
      <c r="G10" s="13" t="s">
        <v>302</v>
      </c>
      <c r="H10" s="13" t="s">
        <v>303</v>
      </c>
      <c r="I10" s="13" t="s">
        <v>304</v>
      </c>
      <c r="J10" s="13" t="s">
        <v>305</v>
      </c>
      <c r="L10" s="34" t="s">
        <v>306</v>
      </c>
      <c r="M10" s="34"/>
      <c r="N10" s="34"/>
      <c r="P10" s="13" t="s">
        <v>311</v>
      </c>
      <c r="Q10" s="13"/>
      <c r="R10" s="13" t="s">
        <v>310</v>
      </c>
      <c r="AA10" s="27" t="s">
        <v>312</v>
      </c>
      <c r="AB10" s="27" t="s">
        <v>313</v>
      </c>
      <c r="AD10" s="27" t="s">
        <v>314</v>
      </c>
    </row>
    <row r="11" spans="1:30">
      <c r="A11">
        <v>3.0467882354948597E-3</v>
      </c>
      <c r="B11">
        <v>0.95061204584663817</v>
      </c>
      <c r="C11">
        <v>1.1187192503903378</v>
      </c>
      <c r="D11">
        <v>-0.66795746227156694</v>
      </c>
      <c r="E11">
        <v>-0.18807533063518883</v>
      </c>
      <c r="F11">
        <v>-4.0126230138717515E-2</v>
      </c>
      <c r="G11">
        <v>0.17749538319000416</v>
      </c>
      <c r="H11">
        <v>0.35334346868547806</v>
      </c>
      <c r="I11">
        <v>4.6623565595534953E-2</v>
      </c>
      <c r="J11">
        <v>0.99239510205342474</v>
      </c>
      <c r="L11">
        <v>0.84279035418385573</v>
      </c>
      <c r="M11">
        <v>1.5751668945825621</v>
      </c>
      <c r="N11">
        <v>1.8919385296248583</v>
      </c>
      <c r="P11">
        <v>3.4634235485757449E-13</v>
      </c>
      <c r="R11">
        <v>4.1072441892278677</v>
      </c>
      <c r="S11">
        <v>4.1121618081555962</v>
      </c>
      <c r="T11">
        <v>1</v>
      </c>
      <c r="U11">
        <v>2.3508464689995701</v>
      </c>
      <c r="W11">
        <f ca="1">MEDIAN(OFFSET(A$11,(ROW(A1)-1)*$W$7,0,$W$7,1))</f>
        <v>8.0271402855946489E-3</v>
      </c>
      <c r="X11">
        <f t="shared" ref="X11:Y11" ca="1" si="1">MEDIAN(OFFSET(B$11,(ROW(B1)-1)*$W$7,0,$W$7,1))</f>
        <v>0.95318588886874467</v>
      </c>
      <c r="Y11">
        <f t="shared" ca="1" si="1"/>
        <v>1.1200119302929621</v>
      </c>
      <c r="AA11">
        <v>1.1299999999999999</v>
      </c>
      <c r="AB11">
        <f ca="1">(W11^2+X11^2+Y11^2)</f>
        <v>2.1630544977182304</v>
      </c>
      <c r="AC11" s="14">
        <f ca="1">ABS(1-AB11/AA11)</f>
        <v>0.91420752010462891</v>
      </c>
      <c r="AD11">
        <f ca="1">ABS(AA11-AB11)</f>
        <v>1.0330544977182305</v>
      </c>
    </row>
    <row r="12" spans="1:30">
      <c r="A12">
        <v>1.0289028048679602E-2</v>
      </c>
      <c r="B12">
        <v>0.94226852863419697</v>
      </c>
      <c r="C12">
        <v>1.1297052728026935</v>
      </c>
      <c r="D12">
        <v>0.3138935915727567</v>
      </c>
      <c r="E12">
        <v>0.23876565183704065</v>
      </c>
      <c r="F12">
        <v>0.56953886313043578</v>
      </c>
      <c r="G12">
        <v>0.14917912713606565</v>
      </c>
      <c r="H12">
        <v>0.25402629784738245</v>
      </c>
      <c r="I12">
        <v>0.70922387859937586</v>
      </c>
      <c r="J12">
        <v>0.87601024556284102</v>
      </c>
      <c r="L12">
        <v>0.84279038313680799</v>
      </c>
      <c r="M12">
        <v>1.575166894055581</v>
      </c>
      <c r="N12">
        <v>1.8919385995626889</v>
      </c>
      <c r="P12">
        <v>3.174277806621224E-13</v>
      </c>
      <c r="R12">
        <v>4.1072441892278677</v>
      </c>
      <c r="S12">
        <v>4.1121618081555962</v>
      </c>
      <c r="T12">
        <v>1</v>
      </c>
      <c r="U12">
        <v>2.3508464689995701</v>
      </c>
      <c r="W12">
        <f t="shared" ref="W12:W20" ca="1" si="2">MEDIAN(OFFSET(A$11,(ROW(A2)-1)*$W$7,0,$W$7,1))</f>
        <v>5.4055756100579722E-2</v>
      </c>
      <c r="X12">
        <f t="shared" ref="X12:X20" ca="1" si="3">MEDIAN(OFFSET(B$11,(ROW(B2)-1)*$W$7,0,$W$7,1))</f>
        <v>1.070530034022223</v>
      </c>
      <c r="Y12">
        <f t="shared" ref="Y12:Y20" ca="1" si="4">MEDIAN(OFFSET(C$11,(ROW(C2)-1)*$W$7,0,$W$7,1))</f>
        <v>1.0763324091881379</v>
      </c>
      <c r="AA12">
        <v>1.1299999999999999</v>
      </c>
      <c r="AB12">
        <f t="shared" ref="AB12:AB70" ca="1" si="5">(W12^2+X12^2+Y12^2)</f>
        <v>2.3074480335799685</v>
      </c>
      <c r="AC12" s="14">
        <f t="shared" ref="AC12:AC70" ca="1" si="6">ABS(1-AB12/AA12)</f>
        <v>1.0419894102477598</v>
      </c>
      <c r="AD12">
        <f t="shared" ref="AD12:AD70" ca="1" si="7">ABS(AA12-AB12)</f>
        <v>1.1774480335799686</v>
      </c>
    </row>
    <row r="13" spans="1:30">
      <c r="A13">
        <v>6.4910337676905069E-3</v>
      </c>
      <c r="B13">
        <v>0.93947508285344805</v>
      </c>
      <c r="C13">
        <v>1.1355331324149691</v>
      </c>
      <c r="D13">
        <v>-9.6889314539662263E-2</v>
      </c>
      <c r="E13">
        <v>-0.53563935487812819</v>
      </c>
      <c r="F13">
        <v>-0.52467968776317098</v>
      </c>
      <c r="G13">
        <v>0.55454286164066269</v>
      </c>
      <c r="H13">
        <v>0.3422951167565314</v>
      </c>
      <c r="I13">
        <v>0.26166178691031422</v>
      </c>
      <c r="J13">
        <v>0.64342739427789664</v>
      </c>
      <c r="L13">
        <v>0.84279032019878153</v>
      </c>
      <c r="M13">
        <v>1.5751669073890915</v>
      </c>
      <c r="N13">
        <v>1.8919385052615161</v>
      </c>
      <c r="P13">
        <v>3.7741930167556229E-13</v>
      </c>
      <c r="R13">
        <v>4.1072441892278677</v>
      </c>
      <c r="S13">
        <v>4.1121618081555962</v>
      </c>
      <c r="T13">
        <v>1</v>
      </c>
      <c r="U13">
        <v>2.3508464689995701</v>
      </c>
      <c r="W13">
        <f t="shared" ca="1" si="2"/>
        <v>8.4398044084682183E-2</v>
      </c>
      <c r="X13">
        <f t="shared" ca="1" si="3"/>
        <v>1.157141081903033</v>
      </c>
      <c r="Y13">
        <f t="shared" ca="1" si="4"/>
        <v>1.0373527977557395</v>
      </c>
      <c r="AA13">
        <v>1.1299999999999999</v>
      </c>
      <c r="AB13">
        <f t="shared" ca="1" si="5"/>
        <v>2.4221993402847017</v>
      </c>
      <c r="AC13" s="14">
        <f t="shared" ca="1" si="6"/>
        <v>1.1435392391900017</v>
      </c>
      <c r="AD13">
        <f t="shared" ca="1" si="7"/>
        <v>1.2921993402847018</v>
      </c>
    </row>
    <row r="14" spans="1:30">
      <c r="A14">
        <v>4.3644371057872571E-3</v>
      </c>
      <c r="B14">
        <v>0.93568587046934482</v>
      </c>
      <c r="C14">
        <v>1.150455192853487</v>
      </c>
      <c r="D14">
        <v>-0.25586310743603463</v>
      </c>
      <c r="E14">
        <v>0.61903284860222518</v>
      </c>
      <c r="F14">
        <v>-0.28162067337839719</v>
      </c>
      <c r="G14">
        <v>0.82923100334225042</v>
      </c>
      <c r="H14">
        <v>8.6006899698185785E-2</v>
      </c>
      <c r="I14">
        <v>0.82730133452105326</v>
      </c>
      <c r="J14">
        <v>0.9434963060745587</v>
      </c>
      <c r="L14">
        <v>0.84279028019553204</v>
      </c>
      <c r="M14">
        <v>1.5751669063100322</v>
      </c>
      <c r="N14">
        <v>1.891938387648695</v>
      </c>
      <c r="P14">
        <v>4.5180272456467254E-13</v>
      </c>
      <c r="R14">
        <v>4.1072441892278677</v>
      </c>
      <c r="S14">
        <v>4.1121618081555962</v>
      </c>
      <c r="T14">
        <v>1</v>
      </c>
      <c r="U14">
        <v>2.3508464689995701</v>
      </c>
      <c r="W14">
        <f t="shared" ca="1" si="2"/>
        <v>-4.7380015520789256E-2</v>
      </c>
      <c r="X14">
        <f t="shared" ca="1" si="3"/>
        <v>0.98023429397128481</v>
      </c>
      <c r="Y14">
        <f t="shared" ca="1" si="4"/>
        <v>1.1923442201107299</v>
      </c>
      <c r="AA14">
        <v>1.1299999999999999</v>
      </c>
      <c r="AB14">
        <f t="shared" ca="1" si="5"/>
        <v>2.3847888761795986</v>
      </c>
      <c r="AC14" s="14">
        <f t="shared" ca="1" si="6"/>
        <v>1.1104326337872554</v>
      </c>
      <c r="AD14">
        <f t="shared" ca="1" si="7"/>
        <v>1.2547888761795987</v>
      </c>
    </row>
    <row r="15" spans="1:30">
      <c r="A15">
        <v>1.163031473540246E-2</v>
      </c>
      <c r="B15">
        <v>0.95575973189085117</v>
      </c>
      <c r="C15">
        <v>1.1122748437505385</v>
      </c>
      <c r="D15">
        <v>-0.48390533518750339</v>
      </c>
      <c r="E15">
        <v>-0.49870532102483672</v>
      </c>
      <c r="F15">
        <v>-0.14663198134822111</v>
      </c>
      <c r="G15">
        <v>0.36201805871174225</v>
      </c>
      <c r="H15">
        <v>0.48564795433824326</v>
      </c>
      <c r="I15">
        <v>0.57599557078084518</v>
      </c>
      <c r="J15">
        <v>0.3619249486730976</v>
      </c>
      <c r="L15">
        <v>0.84279038062974843</v>
      </c>
      <c r="M15">
        <v>1.5751668356026416</v>
      </c>
      <c r="N15">
        <v>1.891938176083481</v>
      </c>
      <c r="P15">
        <v>5.0985508089472926E-13</v>
      </c>
      <c r="R15">
        <v>4.1072441892278677</v>
      </c>
      <c r="S15">
        <v>4.1121618081555962</v>
      </c>
      <c r="T15">
        <v>1</v>
      </c>
      <c r="U15">
        <v>2.3508464689995701</v>
      </c>
      <c r="W15">
        <f t="shared" ca="1" si="2"/>
        <v>-0.47445680440168714</v>
      </c>
      <c r="X15">
        <f t="shared" ca="1" si="3"/>
        <v>1.1275560553373283</v>
      </c>
      <c r="Y15">
        <f t="shared" ca="1" si="4"/>
        <v>1.7838049104364115</v>
      </c>
      <c r="AA15">
        <v>1.1299999999999999</v>
      </c>
      <c r="AB15">
        <f t="shared" ca="1" si="5"/>
        <v>4.6784518756679914</v>
      </c>
      <c r="AC15" s="14">
        <f t="shared" ca="1" si="6"/>
        <v>3.1402228988212313</v>
      </c>
      <c r="AD15">
        <f t="shared" ca="1" si="7"/>
        <v>3.5484518756679915</v>
      </c>
    </row>
    <row r="16" spans="1:30">
      <c r="A16">
        <v>1.7221915319563293E-2</v>
      </c>
      <c r="B16">
        <v>0.95827175061949332</v>
      </c>
      <c r="C16">
        <v>1.1138451603357187</v>
      </c>
      <c r="D16">
        <v>-0.1944627691956283</v>
      </c>
      <c r="E16">
        <v>-0.71398749710821041</v>
      </c>
      <c r="F16">
        <v>3.2023725607372142E-2</v>
      </c>
      <c r="G16">
        <v>0.72414750940097827</v>
      </c>
      <c r="H16">
        <v>0.71718108111540668</v>
      </c>
      <c r="I16">
        <v>0.99294036706121236</v>
      </c>
      <c r="J16">
        <v>0.27863952583258023</v>
      </c>
      <c r="L16">
        <v>0.8427903845353939</v>
      </c>
      <c r="M16">
        <v>1.5751667652215999</v>
      </c>
      <c r="N16">
        <v>1.891938224815263</v>
      </c>
      <c r="P16">
        <v>5.2431277336732238E-13</v>
      </c>
      <c r="R16">
        <v>4.1072441892278677</v>
      </c>
      <c r="S16">
        <v>4.1121618081555962</v>
      </c>
      <c r="T16">
        <v>1</v>
      </c>
      <c r="U16">
        <v>2.3508464689995701</v>
      </c>
      <c r="W16">
        <f t="shared" ca="1" si="2"/>
        <v>0.14419434373252821</v>
      </c>
      <c r="X16">
        <f t="shared" ca="1" si="3"/>
        <v>1.1607969263112063</v>
      </c>
      <c r="Y16">
        <f t="shared" ca="1" si="4"/>
        <v>0.96603830181153105</v>
      </c>
      <c r="AA16">
        <v>1.1299999999999999</v>
      </c>
      <c r="AB16">
        <f t="shared" ca="1" si="5"/>
        <v>2.3014715134649055</v>
      </c>
      <c r="AC16" s="14">
        <f t="shared" ca="1" si="6"/>
        <v>1.0367004543937219</v>
      </c>
      <c r="AD16">
        <f t="shared" ca="1" si="7"/>
        <v>1.1714715134649056</v>
      </c>
    </row>
    <row r="17" spans="1:30">
      <c r="A17">
        <v>9.003960372184365E-3</v>
      </c>
      <c r="B17">
        <v>0.96324539133434783</v>
      </c>
      <c r="C17">
        <v>1.135477575475337</v>
      </c>
      <c r="D17">
        <v>-0.2331595422120982</v>
      </c>
      <c r="E17">
        <v>-7.7048568886522876E-3</v>
      </c>
      <c r="F17">
        <v>0.85271207606831123</v>
      </c>
      <c r="G17">
        <v>0.71429105807873639</v>
      </c>
      <c r="H17">
        <v>0.33504863014912323</v>
      </c>
      <c r="I17">
        <v>6.495066445792988E-2</v>
      </c>
      <c r="J17">
        <v>0.38185288651010713</v>
      </c>
      <c r="L17">
        <v>0.84279042449472663</v>
      </c>
      <c r="M17">
        <v>1.5751669850657701</v>
      </c>
      <c r="N17">
        <v>1.8919386304588661</v>
      </c>
      <c r="P17">
        <v>2.376196395419848E-13</v>
      </c>
      <c r="R17">
        <v>4.1072441892278677</v>
      </c>
      <c r="S17">
        <v>4.1121618081555962</v>
      </c>
      <c r="T17">
        <v>1</v>
      </c>
      <c r="U17">
        <v>2.3508464689995701</v>
      </c>
      <c r="W17">
        <f t="shared" ca="1" si="2"/>
        <v>5.0248896507814364E-4</v>
      </c>
      <c r="X17">
        <f t="shared" ca="1" si="3"/>
        <v>1.0883228781505099</v>
      </c>
      <c r="Y17">
        <f t="shared" ca="1" si="4"/>
        <v>0.96746114824465179</v>
      </c>
      <c r="AA17">
        <v>1.1299999999999999</v>
      </c>
      <c r="AB17">
        <f t="shared" ca="1" si="5"/>
        <v>2.1204280129638295</v>
      </c>
      <c r="AC17" s="14">
        <f t="shared" ca="1" si="6"/>
        <v>0.87648496722462799</v>
      </c>
      <c r="AD17">
        <f t="shared" ca="1" si="7"/>
        <v>0.99042801296382965</v>
      </c>
    </row>
    <row r="18" spans="1:30">
      <c r="A18">
        <v>1.2480493512875135E-2</v>
      </c>
      <c r="B18">
        <v>0.97028447510268834</v>
      </c>
      <c r="C18">
        <v>1.1213046101955861</v>
      </c>
      <c r="D18">
        <v>-0.29892302985379998</v>
      </c>
      <c r="E18">
        <v>-1.0363311119289013E-2</v>
      </c>
      <c r="F18">
        <v>0.30282993368875549</v>
      </c>
      <c r="G18">
        <v>0.87923896199456519</v>
      </c>
      <c r="H18">
        <v>0.78200656504874344</v>
      </c>
      <c r="I18">
        <v>0.64105961674420464</v>
      </c>
      <c r="J18">
        <v>2.3547005495449514E-2</v>
      </c>
      <c r="L18">
        <v>0.84279033213124033</v>
      </c>
      <c r="M18">
        <v>1.575167002544434</v>
      </c>
      <c r="N18">
        <v>1.8919382799640099</v>
      </c>
      <c r="P18">
        <v>3.9994591983324592E-13</v>
      </c>
      <c r="R18">
        <v>4.1072441892278677</v>
      </c>
      <c r="S18">
        <v>4.1121618081555962</v>
      </c>
      <c r="T18">
        <v>1</v>
      </c>
      <c r="U18">
        <v>2.3508464689995701</v>
      </c>
      <c r="W18">
        <f t="shared" ca="1" si="2"/>
        <v>-7.880790725411736E-4</v>
      </c>
      <c r="X18">
        <f t="shared" ca="1" si="3"/>
        <v>1.1611037872465535</v>
      </c>
      <c r="Y18">
        <f t="shared" ca="1" si="4"/>
        <v>0.86891545230160849</v>
      </c>
      <c r="AA18">
        <v>1.1299999999999999</v>
      </c>
      <c r="AB18">
        <f t="shared" ca="1" si="5"/>
        <v>2.1031766890754233</v>
      </c>
      <c r="AC18" s="14">
        <f t="shared" ca="1" si="6"/>
        <v>0.86121830891630391</v>
      </c>
      <c r="AD18">
        <f t="shared" ca="1" si="7"/>
        <v>0.97317668907542343</v>
      </c>
    </row>
    <row r="19" spans="1:30">
      <c r="A19">
        <v>6.340833869473708E-3</v>
      </c>
      <c r="B19">
        <v>0.93706036547069171</v>
      </c>
      <c r="C19">
        <v>1.1155365756689162</v>
      </c>
      <c r="D19">
        <v>-0.12976088329266072</v>
      </c>
      <c r="E19">
        <v>-0.4082133449083224</v>
      </c>
      <c r="F19">
        <v>-0.79974167207721425</v>
      </c>
      <c r="G19">
        <v>1.7991276985051805E-2</v>
      </c>
      <c r="H19">
        <v>0.4873257461925608</v>
      </c>
      <c r="I19">
        <v>0.54580786114240964</v>
      </c>
      <c r="J19">
        <v>0.8097802129895042</v>
      </c>
      <c r="L19">
        <v>0.84279032375747442</v>
      </c>
      <c r="M19">
        <v>1.5751668777141492</v>
      </c>
      <c r="N19">
        <v>1.8919384526759062</v>
      </c>
      <c r="P19">
        <v>4.0024561543642239E-13</v>
      </c>
      <c r="R19">
        <v>4.1072441892278677</v>
      </c>
      <c r="S19">
        <v>4.1121618081555962</v>
      </c>
      <c r="T19">
        <v>1</v>
      </c>
      <c r="U19">
        <v>2.3508464689995701</v>
      </c>
      <c r="W19">
        <f t="shared" ca="1" si="2"/>
        <v>-0.14647230504965847</v>
      </c>
      <c r="X19">
        <f t="shared" ca="1" si="3"/>
        <v>1.1669380818443256</v>
      </c>
      <c r="Y19">
        <f t="shared" ca="1" si="4"/>
        <v>0.58070407050054096</v>
      </c>
      <c r="AA19">
        <v>1.1299999999999999</v>
      </c>
      <c r="AB19">
        <f t="shared" ca="1" si="5"/>
        <v>1.7204158405009711</v>
      </c>
      <c r="AC19" s="14">
        <f t="shared" ca="1" si="6"/>
        <v>0.52249189424864717</v>
      </c>
      <c r="AD19">
        <f t="shared" ca="1" si="7"/>
        <v>0.59041584050097118</v>
      </c>
    </row>
    <row r="20" spans="1:30">
      <c r="A20">
        <v>7.050320199004932E-3</v>
      </c>
      <c r="B20">
        <v>0.95872379650475581</v>
      </c>
      <c r="C20">
        <v>1.1168656729706792</v>
      </c>
      <c r="D20">
        <v>-0.42298261163582912</v>
      </c>
      <c r="E20">
        <v>-0.45430199971971247</v>
      </c>
      <c r="F20">
        <v>-0.26519685983698543</v>
      </c>
      <c r="G20">
        <v>0.50122887125270521</v>
      </c>
      <c r="H20">
        <v>0.71711657891864933</v>
      </c>
      <c r="I20">
        <v>0.19883433919799867</v>
      </c>
      <c r="J20">
        <v>0.43253077543836788</v>
      </c>
      <c r="L20">
        <v>0.84279035675596214</v>
      </c>
      <c r="M20">
        <v>1.5751670417874757</v>
      </c>
      <c r="N20">
        <v>1.8919384834048958</v>
      </c>
      <c r="P20">
        <v>2.8574959402881559E-13</v>
      </c>
      <c r="R20">
        <v>4.1072441892278677</v>
      </c>
      <c r="S20">
        <v>4.1121618081555962</v>
      </c>
      <c r="T20">
        <v>1</v>
      </c>
      <c r="U20">
        <v>2.3508464689995701</v>
      </c>
      <c r="W20">
        <f t="shared" ca="1" si="2"/>
        <v>2.7746806473897781E-2</v>
      </c>
      <c r="X20">
        <f t="shared" ca="1" si="3"/>
        <v>1.1624571161370838</v>
      </c>
      <c r="Y20">
        <f t="shared" ca="1" si="4"/>
        <v>0.81527861319626405</v>
      </c>
      <c r="AA20">
        <v>1.1299999999999999</v>
      </c>
      <c r="AB20">
        <f t="shared" ca="1" si="5"/>
        <v>2.016755649262469</v>
      </c>
      <c r="AC20" s="14">
        <f t="shared" ca="1" si="6"/>
        <v>0.78473951262165409</v>
      </c>
      <c r="AD20">
        <f t="shared" ca="1" si="7"/>
        <v>0.88675564926246908</v>
      </c>
    </row>
    <row r="21" spans="1:30">
      <c r="A21">
        <v>6.1010835265203914E-2</v>
      </c>
      <c r="B21">
        <v>1.068018579366526</v>
      </c>
      <c r="C21">
        <v>1.06605562734468</v>
      </c>
      <c r="D21">
        <v>0.3048146403295976</v>
      </c>
      <c r="E21">
        <v>-0.29728334149507968</v>
      </c>
      <c r="F21">
        <v>-0.51465644814891731</v>
      </c>
      <c r="G21">
        <v>6.2812041673540292E-2</v>
      </c>
      <c r="H21">
        <v>0.22930637039208884</v>
      </c>
      <c r="I21">
        <v>0.91446616352741883</v>
      </c>
      <c r="J21">
        <v>0.92513543009704424</v>
      </c>
      <c r="L21">
        <v>0.84279002410015813</v>
      </c>
      <c r="M21">
        <v>1.5751674005082292</v>
      </c>
      <c r="N21">
        <v>3.0887098399654502</v>
      </c>
      <c r="P21">
        <v>2.574263565701195E-12</v>
      </c>
      <c r="R21">
        <v>4.6541230593082208</v>
      </c>
      <c r="S21">
        <v>4.6589206831506358</v>
      </c>
      <c r="T21">
        <v>1</v>
      </c>
      <c r="U21">
        <v>2.3717307355012416</v>
      </c>
      <c r="W21">
        <f t="shared" ref="W21:W46" ca="1" si="8">MEDIAN(OFFSET(A$11,(ROW(A11)-1)*$W$7,0,$W$7,1))</f>
        <v>-1.0353708024638935</v>
      </c>
      <c r="X21">
        <f t="shared" ref="X21:X46" ca="1" si="9">MEDIAN(OFFSET(B$11,(ROW(B11)-1)*$W$7,0,$W$7,1))</f>
        <v>0.99197491168350527</v>
      </c>
      <c r="Y21">
        <f t="shared" ref="Y21:Y46" ca="1" si="10">MEDIAN(OFFSET(C$11,(ROW(C11)-1)*$W$7,0,$W$7,1))</f>
        <v>0.34777724350911532</v>
      </c>
      <c r="AA21">
        <v>1.9059999999999999</v>
      </c>
      <c r="AB21">
        <f t="shared" ca="1" si="5"/>
        <v>2.1769559351070238</v>
      </c>
      <c r="AC21" s="14">
        <f t="shared" ca="1" si="6"/>
        <v>0.14215946228070497</v>
      </c>
      <c r="AD21">
        <f t="shared" ca="1" si="7"/>
        <v>0.27095593510702387</v>
      </c>
    </row>
    <row r="22" spans="1:30">
      <c r="A22">
        <v>5.5176612593851489E-2</v>
      </c>
      <c r="B22">
        <v>1.0806045843820953</v>
      </c>
      <c r="C22">
        <v>1.0482139000396842</v>
      </c>
      <c r="D22">
        <v>-0.53430488266753162</v>
      </c>
      <c r="E22">
        <v>-0.47200940839137018</v>
      </c>
      <c r="F22">
        <v>4.0275849572804077E-2</v>
      </c>
      <c r="G22">
        <v>0</v>
      </c>
      <c r="H22">
        <v>0.51029267710715909</v>
      </c>
      <c r="I22">
        <v>0.48617644649375247</v>
      </c>
      <c r="J22">
        <v>0.25051323134110914</v>
      </c>
      <c r="L22">
        <v>0.84278975868578254</v>
      </c>
      <c r="M22">
        <v>1.5751673100885308</v>
      </c>
      <c r="N22">
        <v>3.0887099602706796</v>
      </c>
      <c r="P22">
        <v>2.7499646369479114E-12</v>
      </c>
      <c r="R22">
        <v>4.6541230593082208</v>
      </c>
      <c r="S22">
        <v>4.6589206831506358</v>
      </c>
      <c r="T22">
        <v>1</v>
      </c>
      <c r="U22">
        <v>2.3717307355012416</v>
      </c>
      <c r="W22">
        <f t="shared" ca="1" si="8"/>
        <v>-0.99133450334260553</v>
      </c>
      <c r="X22">
        <f t="shared" ca="1" si="9"/>
        <v>1.1099033563762184</v>
      </c>
      <c r="Y22">
        <f t="shared" ca="1" si="10"/>
        <v>0.30976839836536241</v>
      </c>
      <c r="AA22">
        <v>1.9059999999999999</v>
      </c>
      <c r="AB22">
        <f t="shared" ca="1" si="5"/>
        <v>2.3105860186385674</v>
      </c>
      <c r="AC22" s="14">
        <f t="shared" ca="1" si="6"/>
        <v>0.21226968449032912</v>
      </c>
      <c r="AD22">
        <f t="shared" ca="1" si="7"/>
        <v>0.40458601863856747</v>
      </c>
    </row>
    <row r="23" spans="1:30">
      <c r="A23">
        <v>4.7634091685171347E-2</v>
      </c>
      <c r="B23">
        <v>1.0617816775726105</v>
      </c>
      <c r="C23">
        <v>1.0858087886310939</v>
      </c>
      <c r="D23">
        <v>-0.10583488114504716</v>
      </c>
      <c r="E23">
        <v>0.47122583795389622</v>
      </c>
      <c r="F23">
        <v>-0.60248259982612895</v>
      </c>
      <c r="G23">
        <v>0.84031051988398298</v>
      </c>
      <c r="H23">
        <v>0.63218134728104314</v>
      </c>
      <c r="I23">
        <v>0.93986069774360959</v>
      </c>
      <c r="J23">
        <v>0.83284968873010234</v>
      </c>
      <c r="L23">
        <v>0.8427897752429635</v>
      </c>
      <c r="M23">
        <v>1.5751673169301004</v>
      </c>
      <c r="N23">
        <v>3.088709945597031</v>
      </c>
      <c r="P23">
        <v>2.7516551205073786E-12</v>
      </c>
      <c r="R23">
        <v>4.6541230593082208</v>
      </c>
      <c r="S23">
        <v>4.6589206831506358</v>
      </c>
      <c r="T23">
        <v>1</v>
      </c>
      <c r="U23">
        <v>2.3717307355012416</v>
      </c>
      <c r="W23">
        <f t="shared" ca="1" si="8"/>
        <v>-0.95899536982553402</v>
      </c>
      <c r="X23">
        <f t="shared" ca="1" si="9"/>
        <v>1.1988691443394326</v>
      </c>
      <c r="Y23">
        <f t="shared" ca="1" si="10"/>
        <v>0.26792811747760203</v>
      </c>
      <c r="AA23">
        <v>1.9059999999999999</v>
      </c>
      <c r="AB23">
        <f t="shared" ca="1" si="5"/>
        <v>2.4287448207310676</v>
      </c>
      <c r="AC23" s="14">
        <f t="shared" ca="1" si="6"/>
        <v>0.27426276008975226</v>
      </c>
      <c r="AD23">
        <f t="shared" ca="1" si="7"/>
        <v>0.52274482073106765</v>
      </c>
    </row>
    <row r="24" spans="1:30">
      <c r="A24">
        <v>4.8335370345565301E-2</v>
      </c>
      <c r="B24">
        <v>1.0607584971426738</v>
      </c>
      <c r="C24">
        <v>1.0953774057942651</v>
      </c>
      <c r="D24">
        <v>0.56188650142508678</v>
      </c>
      <c r="E24">
        <v>-0.12575993284113732</v>
      </c>
      <c r="F24">
        <v>0.1255013345133964</v>
      </c>
      <c r="G24">
        <v>0.66995225511282708</v>
      </c>
      <c r="H24">
        <v>0.55056733056517448</v>
      </c>
      <c r="I24">
        <v>0.14781783026903333</v>
      </c>
      <c r="J24">
        <v>0.96713068371456568</v>
      </c>
      <c r="L24">
        <v>0.84279088372588418</v>
      </c>
      <c r="M24">
        <v>1.5751672185737178</v>
      </c>
      <c r="N24">
        <v>3.0887101268861774</v>
      </c>
      <c r="P24">
        <v>1.1301377378513831E-12</v>
      </c>
      <c r="R24">
        <v>4.6541230593082208</v>
      </c>
      <c r="S24">
        <v>4.6589206831506358</v>
      </c>
      <c r="T24">
        <v>1</v>
      </c>
      <c r="U24">
        <v>2.3717307355012416</v>
      </c>
      <c r="W24">
        <f t="shared" ca="1" si="8"/>
        <v>-1.0924639989920477</v>
      </c>
      <c r="X24">
        <f t="shared" ca="1" si="9"/>
        <v>1.0081584353975139</v>
      </c>
      <c r="Y24">
        <f t="shared" ca="1" si="10"/>
        <v>0.44077196549742248</v>
      </c>
      <c r="AA24">
        <v>1.9059999999999999</v>
      </c>
      <c r="AB24">
        <f t="shared" ca="1" si="5"/>
        <v>2.4041409455253211</v>
      </c>
      <c r="AC24" s="14">
        <f t="shared" ca="1" si="6"/>
        <v>0.26135411622524729</v>
      </c>
      <c r="AD24">
        <f t="shared" ca="1" si="7"/>
        <v>0.49814094552532118</v>
      </c>
    </row>
    <row r="25" spans="1:30">
      <c r="A25">
        <v>5.6012733181147405E-2</v>
      </c>
      <c r="B25">
        <v>1.083461924552948</v>
      </c>
      <c r="C25">
        <v>1.0629297355771452</v>
      </c>
      <c r="D25">
        <v>0.14102596944162235</v>
      </c>
      <c r="E25">
        <v>-0.30948457579092309</v>
      </c>
      <c r="F25">
        <v>0.40058143967021836</v>
      </c>
      <c r="G25">
        <v>0.45751595909969028</v>
      </c>
      <c r="H25">
        <v>0.85891084242515525</v>
      </c>
      <c r="I25">
        <v>0.51585893253026593</v>
      </c>
      <c r="J25">
        <v>0.1269368857829824</v>
      </c>
      <c r="L25">
        <v>0.84278978158071338</v>
      </c>
      <c r="M25">
        <v>1.5751672793033464</v>
      </c>
      <c r="N25">
        <v>3.0887099278398598</v>
      </c>
      <c r="P25">
        <v>2.7738093226041569E-12</v>
      </c>
      <c r="R25">
        <v>4.6541230593082208</v>
      </c>
      <c r="S25">
        <v>4.6589206831506358</v>
      </c>
      <c r="T25">
        <v>1</v>
      </c>
      <c r="U25">
        <v>2.3717307355012416</v>
      </c>
      <c r="W25">
        <f t="shared" ca="1" si="8"/>
        <v>-1.5277859919108066</v>
      </c>
      <c r="X25">
        <f t="shared" ca="1" si="9"/>
        <v>1.1674530241390606</v>
      </c>
      <c r="Y25">
        <f t="shared" ca="1" si="10"/>
        <v>1.0132715442602704</v>
      </c>
      <c r="AA25">
        <v>1.9059999999999999</v>
      </c>
      <c r="AB25">
        <f t="shared" ca="1" si="5"/>
        <v>4.7237958230579178</v>
      </c>
      <c r="AC25" s="14">
        <f t="shared" ca="1" si="6"/>
        <v>1.4783818588971238</v>
      </c>
      <c r="AD25">
        <f t="shared" ca="1" si="7"/>
        <v>2.8177958230579181</v>
      </c>
    </row>
    <row r="26" spans="1:30">
      <c r="A26">
        <v>4.7328797035223899E-2</v>
      </c>
      <c r="B26">
        <v>1.0610208738876126</v>
      </c>
      <c r="C26">
        <v>1.0872500194883625</v>
      </c>
      <c r="D26">
        <v>0.22964801627622236</v>
      </c>
      <c r="E26">
        <v>0.41106084215795663</v>
      </c>
      <c r="F26">
        <v>0.38458558610147059</v>
      </c>
      <c r="G26">
        <v>0.21791547735462391</v>
      </c>
      <c r="H26">
        <v>0.22280230738067464</v>
      </c>
      <c r="I26">
        <v>0.25578381705301489</v>
      </c>
      <c r="J26">
        <v>0.91550757369503566</v>
      </c>
      <c r="L26">
        <v>0.84278978768602553</v>
      </c>
      <c r="M26">
        <v>1.5751672614958769</v>
      </c>
      <c r="N26">
        <v>3.0887099834159395</v>
      </c>
      <c r="P26">
        <v>2.6204360633471435E-12</v>
      </c>
      <c r="R26">
        <v>4.6541230593082208</v>
      </c>
      <c r="S26">
        <v>4.6589206831506358</v>
      </c>
      <c r="T26">
        <v>1</v>
      </c>
      <c r="U26">
        <v>2.3717307355012416</v>
      </c>
      <c r="W26">
        <f t="shared" ca="1" si="8"/>
        <v>-0.9012773107105172</v>
      </c>
      <c r="X26">
        <f t="shared" ca="1" si="9"/>
        <v>1.1991375120030643</v>
      </c>
      <c r="Y26">
        <f t="shared" ca="1" si="10"/>
        <v>0.18641909442822374</v>
      </c>
      <c r="AA26">
        <v>1.9059999999999999</v>
      </c>
      <c r="AB26">
        <f t="shared" ca="1" si="5"/>
        <v>2.2849836422619201</v>
      </c>
      <c r="AC26" s="14">
        <f t="shared" ca="1" si="6"/>
        <v>0.19883716802828966</v>
      </c>
      <c r="AD26">
        <f t="shared" ca="1" si="7"/>
        <v>0.37898364226192016</v>
      </c>
    </row>
    <row r="27" spans="1:30">
      <c r="A27">
        <v>4.3496076720854183E-2</v>
      </c>
      <c r="B27">
        <v>1.0663519520074409</v>
      </c>
      <c r="C27">
        <v>1.0855920313694147</v>
      </c>
      <c r="D27">
        <v>-0.42891565226704259</v>
      </c>
      <c r="E27">
        <v>0.7201272859917105</v>
      </c>
      <c r="F27">
        <v>0.55105847888484116</v>
      </c>
      <c r="G27">
        <v>0.34371514119016677</v>
      </c>
      <c r="H27">
        <v>0.15116359671923624</v>
      </c>
      <c r="I27">
        <v>0.2043446096511925</v>
      </c>
      <c r="J27">
        <v>0.37886763248946187</v>
      </c>
      <c r="L27">
        <v>0.84278972227561988</v>
      </c>
      <c r="M27">
        <v>1.5751673696851907</v>
      </c>
      <c r="N27">
        <v>3.0887100095503279</v>
      </c>
      <c r="P27">
        <v>2.7316798487582204E-12</v>
      </c>
      <c r="R27">
        <v>4.6541230593082208</v>
      </c>
      <c r="S27">
        <v>4.6589206831506358</v>
      </c>
      <c r="T27">
        <v>1</v>
      </c>
      <c r="U27">
        <v>2.3717307355012416</v>
      </c>
      <c r="W27">
        <f t="shared" ca="1" si="8"/>
        <v>-1.0689315560071835</v>
      </c>
      <c r="X27">
        <f t="shared" ca="1" si="9"/>
        <v>1.0019494049895101</v>
      </c>
      <c r="Y27">
        <f t="shared" ca="1" si="10"/>
        <v>1.6704894042248948</v>
      </c>
      <c r="AA27">
        <v>1.9059999999999999</v>
      </c>
      <c r="AB27">
        <f t="shared" ca="1" si="5"/>
        <v>4.9370521312144158</v>
      </c>
      <c r="AC27" s="14">
        <f t="shared" ca="1" si="6"/>
        <v>1.5902686942363147</v>
      </c>
      <c r="AD27">
        <f t="shared" ca="1" si="7"/>
        <v>3.0310521312144161</v>
      </c>
    </row>
    <row r="28" spans="1:30">
      <c r="A28">
        <v>5.2934899607307948E-2</v>
      </c>
      <c r="B28">
        <v>1.07304148867792</v>
      </c>
      <c r="C28">
        <v>1.0895216817394884</v>
      </c>
      <c r="D28">
        <v>-0.11631294240136748</v>
      </c>
      <c r="E28">
        <v>-7.9592610786418883E-2</v>
      </c>
      <c r="F28">
        <v>0.41014931486418804</v>
      </c>
      <c r="G28">
        <v>0.83783491771436991</v>
      </c>
      <c r="H28">
        <v>0.27617654252206969</v>
      </c>
      <c r="I28">
        <v>0.37166457161559813</v>
      </c>
      <c r="J28">
        <v>0.44758620392781528</v>
      </c>
      <c r="L28">
        <v>0.84278975133918743</v>
      </c>
      <c r="M28">
        <v>1.5751672609012872</v>
      </c>
      <c r="N28">
        <v>3.088710242603363</v>
      </c>
      <c r="P28">
        <v>2.1420786640634777E-12</v>
      </c>
      <c r="R28">
        <v>4.6541230593082208</v>
      </c>
      <c r="S28">
        <v>4.6589206831506358</v>
      </c>
      <c r="T28">
        <v>1</v>
      </c>
      <c r="U28">
        <v>2.3717307355012416</v>
      </c>
      <c r="W28">
        <f t="shared" ca="1" si="8"/>
        <v>-1.0163352190275803</v>
      </c>
      <c r="X28">
        <f t="shared" ca="1" si="9"/>
        <v>0.99876912916343541</v>
      </c>
      <c r="Y28">
        <f t="shared" ca="1" si="10"/>
        <v>-0.31608334759109236</v>
      </c>
      <c r="AA28">
        <v>1.9059999999999999</v>
      </c>
      <c r="AB28">
        <f t="shared" ca="1" si="5"/>
        <v>2.1303857334301179</v>
      </c>
      <c r="AC28" s="14">
        <f t="shared" ca="1" si="6"/>
        <v>0.11772598815850888</v>
      </c>
      <c r="AD28">
        <f t="shared" ca="1" si="7"/>
        <v>0.22438573343011803</v>
      </c>
    </row>
    <row r="29" spans="1:30">
      <c r="A29">
        <v>6.6226677590768043E-2</v>
      </c>
      <c r="B29">
        <v>1.0862867191850241</v>
      </c>
      <c r="C29">
        <v>1.0670727870068608</v>
      </c>
      <c r="D29">
        <v>-0.21805169924735793</v>
      </c>
      <c r="E29">
        <v>-0.92493829175824938</v>
      </c>
      <c r="F29">
        <v>-0.16005355830713172</v>
      </c>
      <c r="G29">
        <v>0.6982560412441513</v>
      </c>
      <c r="H29">
        <v>0.2528383379609358</v>
      </c>
      <c r="I29">
        <v>0.74220276236015337</v>
      </c>
      <c r="J29">
        <v>4.1306817047241443E-3</v>
      </c>
      <c r="L29">
        <v>0.84279023732908231</v>
      </c>
      <c r="M29">
        <v>1.5751667710677171</v>
      </c>
      <c r="N29">
        <v>3.0887102724348625</v>
      </c>
      <c r="P29">
        <v>1.4052913669282516E-12</v>
      </c>
      <c r="R29">
        <v>4.6541230593082208</v>
      </c>
      <c r="S29">
        <v>4.6589206831506358</v>
      </c>
      <c r="T29">
        <v>1</v>
      </c>
      <c r="U29">
        <v>2.3717307355012416</v>
      </c>
      <c r="W29">
        <f t="shared" ca="1" si="8"/>
        <v>-0.97976106085552273</v>
      </c>
      <c r="X29">
        <f t="shared" ca="1" si="9"/>
        <v>1.126323560014036</v>
      </c>
      <c r="Y29">
        <f t="shared" ca="1" si="10"/>
        <v>4.5545334088858615E-2</v>
      </c>
      <c r="AA29">
        <v>1.9059999999999999</v>
      </c>
      <c r="AB29">
        <f t="shared" ca="1" si="5"/>
        <v>2.2306108756686966</v>
      </c>
      <c r="AC29" s="14">
        <f t="shared" ca="1" si="6"/>
        <v>0.17031000822072229</v>
      </c>
      <c r="AD29">
        <f t="shared" ca="1" si="7"/>
        <v>0.32461087566869673</v>
      </c>
    </row>
    <row r="30" spans="1:30">
      <c r="A30">
        <v>6.3603466486626362E-2</v>
      </c>
      <c r="B30">
        <v>1.092967336286869</v>
      </c>
      <c r="C30">
        <v>1.0441806633113935</v>
      </c>
      <c r="D30">
        <v>-0.13489519353883486</v>
      </c>
      <c r="E30">
        <v>-0.90452800897040853</v>
      </c>
      <c r="F30">
        <v>0.14920107194467577</v>
      </c>
      <c r="G30">
        <v>0.48837597961917978</v>
      </c>
      <c r="H30">
        <v>1.0118889050893722</v>
      </c>
      <c r="I30">
        <v>0.87988927383516624</v>
      </c>
      <c r="J30">
        <v>0.14637763480645669</v>
      </c>
      <c r="L30">
        <v>0.8427897915280913</v>
      </c>
      <c r="M30">
        <v>1.5751672841825732</v>
      </c>
      <c r="N30">
        <v>3.0887098839730598</v>
      </c>
      <c r="P30">
        <v>2.8658974260492809E-12</v>
      </c>
      <c r="R30">
        <v>4.6541230593082208</v>
      </c>
      <c r="S30">
        <v>4.6589206831506358</v>
      </c>
      <c r="T30">
        <v>1</v>
      </c>
      <c r="U30">
        <v>2.3717307355012416</v>
      </c>
      <c r="W30">
        <f t="shared" ca="1" si="8"/>
        <v>-1.0935024642530902</v>
      </c>
      <c r="X30">
        <f t="shared" ca="1" si="9"/>
        <v>1.0232190938301871</v>
      </c>
      <c r="Y30">
        <f t="shared" ca="1" si="10"/>
        <v>-0.13268342375284303</v>
      </c>
      <c r="AA30">
        <v>1.9059999999999999</v>
      </c>
      <c r="AB30">
        <f t="shared" ca="1" si="5"/>
        <v>2.2603298442450264</v>
      </c>
      <c r="AC30" s="14">
        <f t="shared" ca="1" si="6"/>
        <v>0.1859023317130255</v>
      </c>
      <c r="AD30">
        <f t="shared" ca="1" si="7"/>
        <v>0.35432984424502645</v>
      </c>
    </row>
    <row r="31" spans="1:30">
      <c r="A31">
        <v>9.3992557836650933E-2</v>
      </c>
      <c r="B31">
        <v>1.1579761884279047</v>
      </c>
      <c r="C31">
        <v>1.0453223740195394</v>
      </c>
      <c r="D31">
        <v>0.21776993770986353</v>
      </c>
      <c r="E31">
        <v>-0.6325114985192245</v>
      </c>
      <c r="F31">
        <v>-0.50153206412850515</v>
      </c>
      <c r="G31">
        <v>0.68493783033924471</v>
      </c>
      <c r="H31">
        <v>0.12350261060896527</v>
      </c>
      <c r="I31">
        <v>0.75529678410796863</v>
      </c>
      <c r="J31">
        <v>0.23469504594540722</v>
      </c>
      <c r="L31">
        <v>0.84279067367736871</v>
      </c>
      <c r="M31">
        <v>1.575166885865606</v>
      </c>
      <c r="N31">
        <v>2.8022414379073615</v>
      </c>
      <c r="P31">
        <v>5.1633279594103966E-13</v>
      </c>
      <c r="R31">
        <v>2.574791744766602</v>
      </c>
      <c r="S31">
        <v>2.5761959575841629</v>
      </c>
      <c r="T31">
        <v>1</v>
      </c>
      <c r="U31">
        <v>2.0602256942739356</v>
      </c>
      <c r="W31">
        <f t="shared" ca="1" si="8"/>
        <v>1.4113563832837037</v>
      </c>
      <c r="X31">
        <f t="shared" ca="1" si="9"/>
        <v>0.1335874818376738</v>
      </c>
      <c r="Y31">
        <f t="shared" ca="1" si="10"/>
        <v>0.41248512892567352</v>
      </c>
      <c r="AA31">
        <v>2.0489999999999999</v>
      </c>
      <c r="AB31">
        <f t="shared" ca="1" si="5"/>
        <v>2.1799164375242168</v>
      </c>
      <c r="AC31" s="14">
        <f t="shared" ca="1" si="6"/>
        <v>6.3892844082097167E-2</v>
      </c>
      <c r="AD31">
        <f t="shared" ca="1" si="7"/>
        <v>0.13091643752421689</v>
      </c>
    </row>
    <row r="32" spans="1:30">
      <c r="A32">
        <v>7.9563436855178069E-2</v>
      </c>
      <c r="B32">
        <v>1.1549322161383462</v>
      </c>
      <c r="C32">
        <v>1.0352077501426049</v>
      </c>
      <c r="D32">
        <v>-0.74097486959500958</v>
      </c>
      <c r="E32">
        <v>0.11678878138810914</v>
      </c>
      <c r="F32">
        <v>-5.117479324686941E-2</v>
      </c>
      <c r="G32">
        <v>0.59563516811940742</v>
      </c>
      <c r="H32">
        <v>0.40351154650775528</v>
      </c>
      <c r="I32">
        <v>0.70179086424830128</v>
      </c>
      <c r="J32">
        <v>0.83335857377888367</v>
      </c>
      <c r="L32">
        <v>0.84279062983685005</v>
      </c>
      <c r="M32">
        <v>1.5751668895716109</v>
      </c>
      <c r="N32">
        <v>2.8022412928686387</v>
      </c>
      <c r="P32">
        <v>7.3515920470100536E-13</v>
      </c>
      <c r="R32">
        <v>2.574791744766602</v>
      </c>
      <c r="S32">
        <v>2.5761959575841629</v>
      </c>
      <c r="T32">
        <v>1</v>
      </c>
      <c r="U32">
        <v>2.0602256942739356</v>
      </c>
      <c r="W32">
        <f t="shared" ca="1" si="8"/>
        <v>1.4576792086589068</v>
      </c>
      <c r="X32">
        <f t="shared" ca="1" si="9"/>
        <v>0.25502493009594573</v>
      </c>
      <c r="Y32">
        <f t="shared" ca="1" si="10"/>
        <v>0.33998067223462369</v>
      </c>
      <c r="AA32">
        <v>2.0489999999999999</v>
      </c>
      <c r="AB32">
        <f t="shared" ca="1" si="5"/>
        <v>2.3054532478200054</v>
      </c>
      <c r="AC32" s="14">
        <f t="shared" ca="1" si="6"/>
        <v>0.1251601990336777</v>
      </c>
      <c r="AD32">
        <f t="shared" ca="1" si="7"/>
        <v>0.25645324782000545</v>
      </c>
    </row>
    <row r="33" spans="1:30">
      <c r="A33">
        <v>8.7885872215661506E-2</v>
      </c>
      <c r="B33">
        <v>1.1602110946693673</v>
      </c>
      <c r="C33">
        <v>1.0398027390536988</v>
      </c>
      <c r="D33">
        <v>2.3067455309059376E-2</v>
      </c>
      <c r="E33">
        <v>0.26261589140059</v>
      </c>
      <c r="F33">
        <v>0.44254673215667928</v>
      </c>
      <c r="G33">
        <v>0.61278152827868804</v>
      </c>
      <c r="H33">
        <v>0.3957169461194418</v>
      </c>
      <c r="I33">
        <v>0.99787389906627855</v>
      </c>
      <c r="J33">
        <v>0.59947684005290525</v>
      </c>
      <c r="L33">
        <v>0.84279055591685004</v>
      </c>
      <c r="M33">
        <v>1.5751671242184038</v>
      </c>
      <c r="N33">
        <v>2.8022413842330267</v>
      </c>
      <c r="P33">
        <v>5.5971036288781912E-13</v>
      </c>
      <c r="R33">
        <v>2.574791744766602</v>
      </c>
      <c r="S33">
        <v>2.5761959575841629</v>
      </c>
      <c r="T33">
        <v>1</v>
      </c>
      <c r="U33">
        <v>2.0602256942739356</v>
      </c>
      <c r="W33">
        <f t="shared" ca="1" si="8"/>
        <v>1.486785568078353</v>
      </c>
      <c r="X33">
        <f t="shared" ca="1" si="9"/>
        <v>0.34245386264293337</v>
      </c>
      <c r="Y33">
        <f t="shared" ca="1" si="10"/>
        <v>0.3183980085987424</v>
      </c>
      <c r="AA33">
        <v>2.0489999999999999</v>
      </c>
      <c r="AB33">
        <f t="shared" ca="1" si="5"/>
        <v>2.4291832653647809</v>
      </c>
      <c r="AC33" s="14">
        <f t="shared" ca="1" si="6"/>
        <v>0.18554576152502733</v>
      </c>
      <c r="AD33">
        <f t="shared" ca="1" si="7"/>
        <v>0.38018326536478098</v>
      </c>
    </row>
    <row r="34" spans="1:30">
      <c r="A34">
        <v>7.4776841423305263E-2</v>
      </c>
      <c r="B34">
        <v>1.1615779473860703</v>
      </c>
      <c r="C34">
        <v>1.0489727362316446</v>
      </c>
      <c r="D34">
        <v>-9.878692014625276E-2</v>
      </c>
      <c r="E34">
        <v>0.157555151573603</v>
      </c>
      <c r="F34">
        <v>0.55871579982656605</v>
      </c>
      <c r="G34">
        <v>0.93169051325394414</v>
      </c>
      <c r="H34">
        <v>0.90968095312735087</v>
      </c>
      <c r="I34">
        <v>7.2016016536713565E-2</v>
      </c>
      <c r="J34">
        <v>0.82070488137736552</v>
      </c>
      <c r="L34">
        <v>0.84279091441302978</v>
      </c>
      <c r="M34">
        <v>1.575166842946274</v>
      </c>
      <c r="N34">
        <v>2.8022415156474758</v>
      </c>
      <c r="P34">
        <v>4.1854082419121873E-13</v>
      </c>
      <c r="R34">
        <v>2.574791744766602</v>
      </c>
      <c r="S34">
        <v>2.5761959575841629</v>
      </c>
      <c r="T34">
        <v>1</v>
      </c>
      <c r="U34">
        <v>2.0602256942739356</v>
      </c>
      <c r="W34">
        <f t="shared" ca="1" si="8"/>
        <v>1.4016669110582434</v>
      </c>
      <c r="X34">
        <f t="shared" ca="1" si="9"/>
        <v>0.27780929200885368</v>
      </c>
      <c r="Y34">
        <f t="shared" ca="1" si="10"/>
        <v>0.23340660509857519</v>
      </c>
      <c r="AA34">
        <v>2.0489999999999999</v>
      </c>
      <c r="AB34">
        <f t="shared" ca="1" si="5"/>
        <v>2.0963267755856605</v>
      </c>
      <c r="AC34" s="14">
        <f t="shared" ca="1" si="6"/>
        <v>2.3097499065720228E-2</v>
      </c>
      <c r="AD34">
        <f t="shared" ca="1" si="7"/>
        <v>4.7326775585660563E-2</v>
      </c>
    </row>
    <row r="35" spans="1:30">
      <c r="A35">
        <v>9.5704203175760574E-2</v>
      </c>
      <c r="B35">
        <v>1.1593451047960739</v>
      </c>
      <c r="C35">
        <v>1.0412896319375167</v>
      </c>
      <c r="D35">
        <v>0.17108719487849217</v>
      </c>
      <c r="E35">
        <v>-0.51978974903478226</v>
      </c>
      <c r="F35">
        <v>0.45839781026420984</v>
      </c>
      <c r="G35">
        <v>0.67250381255235747</v>
      </c>
      <c r="H35">
        <v>0.141738909846678</v>
      </c>
      <c r="I35">
        <v>1.005751695114383</v>
      </c>
      <c r="J35">
        <v>0.7794614749229829</v>
      </c>
      <c r="L35">
        <v>0.84279087373530071</v>
      </c>
      <c r="M35">
        <v>1.5751669268894775</v>
      </c>
      <c r="N35">
        <v>2.8022416791192244</v>
      </c>
      <c r="P35">
        <v>2.1368892006507912E-13</v>
      </c>
      <c r="R35">
        <v>2.574791744766602</v>
      </c>
      <c r="S35">
        <v>2.5761959575841629</v>
      </c>
      <c r="T35">
        <v>1</v>
      </c>
      <c r="U35">
        <v>2.0602256942739356</v>
      </c>
      <c r="W35">
        <f t="shared" ca="1" si="8"/>
        <v>1.4002119070980699</v>
      </c>
      <c r="X35">
        <f t="shared" ca="1" si="9"/>
        <v>0.34598640640689621</v>
      </c>
      <c r="Y35">
        <f t="shared" ca="1" si="10"/>
        <v>0.14245982448718625</v>
      </c>
      <c r="AA35">
        <v>2.0489999999999999</v>
      </c>
      <c r="AB35">
        <f t="shared" ca="1" si="5"/>
        <v>2.1005947797904918</v>
      </c>
      <c r="AC35" s="14">
        <f t="shared" ca="1" si="6"/>
        <v>2.5180468418980917E-2</v>
      </c>
      <c r="AD35">
        <f t="shared" ca="1" si="7"/>
        <v>5.1594779790491874E-2</v>
      </c>
    </row>
    <row r="36" spans="1:30">
      <c r="A36">
        <v>7.1299522290770842E-2</v>
      </c>
      <c r="B36">
        <v>1.1573515936051295</v>
      </c>
      <c r="C36">
        <v>1.0336291584538129</v>
      </c>
      <c r="D36">
        <v>-0.40395466481108433</v>
      </c>
      <c r="E36">
        <v>0.41396769526056537</v>
      </c>
      <c r="F36">
        <v>0.34042014893481909</v>
      </c>
      <c r="G36">
        <v>0.31555438160420451</v>
      </c>
      <c r="H36">
        <v>0.79158472226189969</v>
      </c>
      <c r="I36">
        <v>7.2908522744041665E-2</v>
      </c>
      <c r="J36">
        <v>0.53755576384882842</v>
      </c>
      <c r="L36">
        <v>0.84279092740874961</v>
      </c>
      <c r="M36">
        <v>1.5751668198751441</v>
      </c>
      <c r="N36">
        <v>2.8022414697270315</v>
      </c>
      <c r="P36">
        <v>4.8865359035576957E-13</v>
      </c>
      <c r="R36">
        <v>2.574791744766602</v>
      </c>
      <c r="S36">
        <v>2.5761959575841629</v>
      </c>
      <c r="T36">
        <v>1</v>
      </c>
      <c r="U36">
        <v>2.0602256942739356</v>
      </c>
      <c r="W36">
        <f t="shared" ca="1" si="8"/>
        <v>1.2406253028289314</v>
      </c>
      <c r="X36">
        <f t="shared" ca="1" si="9"/>
        <v>0.35626854455596324</v>
      </c>
      <c r="Y36">
        <f t="shared" ca="1" si="10"/>
        <v>-0.16653435991295107</v>
      </c>
      <c r="AA36">
        <v>2.0489999999999999</v>
      </c>
      <c r="AB36">
        <f t="shared" ca="1" si="5"/>
        <v>1.6938121108910182</v>
      </c>
      <c r="AC36" s="14">
        <f t="shared" ca="1" si="6"/>
        <v>0.17334694441629173</v>
      </c>
      <c r="AD36">
        <f t="shared" ca="1" si="7"/>
        <v>0.35518788910898169</v>
      </c>
    </row>
    <row r="37" spans="1:30">
      <c r="A37">
        <v>7.7072177813192339E-2</v>
      </c>
      <c r="B37">
        <v>1.1569305702009367</v>
      </c>
      <c r="C37">
        <v>1.0310366180000317</v>
      </c>
      <c r="D37">
        <v>-0.26067337798048018</v>
      </c>
      <c r="E37">
        <v>0.46737195314613261</v>
      </c>
      <c r="F37">
        <v>-6.0254393935941668E-2</v>
      </c>
      <c r="G37">
        <v>0.15281151763027959</v>
      </c>
      <c r="H37">
        <v>0.5542435058157249</v>
      </c>
      <c r="I37">
        <v>0.41062468748455905</v>
      </c>
      <c r="J37">
        <v>0.13579008132768033</v>
      </c>
      <c r="L37">
        <v>0.84279092038528602</v>
      </c>
      <c r="M37">
        <v>1.5751668847050988</v>
      </c>
      <c r="N37">
        <v>2.802241579440274</v>
      </c>
      <c r="P37">
        <v>3.2663991881803456E-13</v>
      </c>
      <c r="R37">
        <v>2.574791744766602</v>
      </c>
      <c r="S37">
        <v>2.5761959575841629</v>
      </c>
      <c r="T37">
        <v>1</v>
      </c>
      <c r="U37">
        <v>2.0602256942739356</v>
      </c>
      <c r="W37">
        <f t="shared" ca="1" si="8"/>
        <v>1.3790144647260272</v>
      </c>
      <c r="X37">
        <f t="shared" ca="1" si="9"/>
        <v>0.15504278257066634</v>
      </c>
      <c r="Y37">
        <f t="shared" ca="1" si="10"/>
        <v>1.7363707241492707</v>
      </c>
      <c r="AA37">
        <v>2.0489999999999999</v>
      </c>
      <c r="AB37">
        <f t="shared" ca="1" si="5"/>
        <v>4.9407024500335286</v>
      </c>
      <c r="AC37" s="14">
        <f t="shared" ca="1" si="6"/>
        <v>1.4112749878152897</v>
      </c>
      <c r="AD37">
        <f t="shared" ca="1" si="7"/>
        <v>2.8917024500335287</v>
      </c>
    </row>
    <row r="38" spans="1:30">
      <c r="A38">
        <v>8.551167076148046E-2</v>
      </c>
      <c r="B38">
        <v>1.154784432762</v>
      </c>
      <c r="C38">
        <v>1.0392112146815322</v>
      </c>
      <c r="D38">
        <v>4.5011267293286403E-2</v>
      </c>
      <c r="E38">
        <v>0.18318537140304564</v>
      </c>
      <c r="F38">
        <v>-0.17819269835161233</v>
      </c>
      <c r="G38">
        <v>0.42235705404862589</v>
      </c>
      <c r="H38">
        <v>0.34708048538567787</v>
      </c>
      <c r="I38">
        <v>0.82698043053145343</v>
      </c>
      <c r="J38">
        <v>0.56854255355868044</v>
      </c>
      <c r="L38">
        <v>0.84279066323588214</v>
      </c>
      <c r="M38">
        <v>1.5751669195382787</v>
      </c>
      <c r="N38">
        <v>2.8022415146970174</v>
      </c>
      <c r="P38">
        <v>4.1137355186297399E-13</v>
      </c>
      <c r="R38">
        <v>2.574791744766602</v>
      </c>
      <c r="S38">
        <v>2.5761959575841629</v>
      </c>
      <c r="T38">
        <v>1</v>
      </c>
      <c r="U38">
        <v>2.0602256942739356</v>
      </c>
      <c r="W38">
        <f t="shared" ca="1" si="8"/>
        <v>1.4289876610599017</v>
      </c>
      <c r="X38">
        <f t="shared" ca="1" si="9"/>
        <v>0.15124234748282339</v>
      </c>
      <c r="Y38">
        <f t="shared" ca="1" si="10"/>
        <v>-0.26492458726623758</v>
      </c>
      <c r="AA38">
        <v>2.0489999999999999</v>
      </c>
      <c r="AB38">
        <f t="shared" ca="1" si="5"/>
        <v>2.13506502007175</v>
      </c>
      <c r="AC38" s="14">
        <f t="shared" ca="1" si="6"/>
        <v>4.2003426096510532E-2</v>
      </c>
      <c r="AD38">
        <f t="shared" ca="1" si="7"/>
        <v>8.6065020071750098E-2</v>
      </c>
    </row>
    <row r="39" spans="1:30">
      <c r="A39">
        <v>8.3284417407883893E-2</v>
      </c>
      <c r="B39">
        <v>1.1547304695290037</v>
      </c>
      <c r="C39">
        <v>1.0354943808299466</v>
      </c>
      <c r="D39">
        <v>2.8954055319781249E-2</v>
      </c>
      <c r="E39">
        <v>-0.17375672039884368</v>
      </c>
      <c r="F39">
        <v>2.7883124700428107E-2</v>
      </c>
      <c r="G39">
        <v>5.6903307411701826E-2</v>
      </c>
      <c r="H39">
        <v>0.21517885824505875</v>
      </c>
      <c r="I39">
        <v>0.21399154600378439</v>
      </c>
      <c r="J39">
        <v>0.34589718960659827</v>
      </c>
      <c r="L39">
        <v>0.84279058187525235</v>
      </c>
      <c r="M39">
        <v>1.5751669861974362</v>
      </c>
      <c r="N39">
        <v>2.802241212082714</v>
      </c>
      <c r="P39">
        <v>8.4331084955034187E-13</v>
      </c>
      <c r="R39">
        <v>2.574791744766602</v>
      </c>
      <c r="S39">
        <v>2.5761959575841629</v>
      </c>
      <c r="T39">
        <v>1</v>
      </c>
      <c r="U39">
        <v>2.0602256942739356</v>
      </c>
      <c r="W39">
        <f t="shared" ca="1" si="8"/>
        <v>1.4641698730993729</v>
      </c>
      <c r="X39">
        <f t="shared" ca="1" si="9"/>
        <v>0.27119467058948937</v>
      </c>
      <c r="Y39">
        <f t="shared" ca="1" si="10"/>
        <v>0.11872464301353811</v>
      </c>
      <c r="AA39">
        <v>2.0489999999999999</v>
      </c>
      <c r="AB39">
        <f t="shared" ca="1" si="5"/>
        <v>2.2314355075066676</v>
      </c>
      <c r="AC39" s="14">
        <f t="shared" ca="1" si="6"/>
        <v>8.9036362863185836E-2</v>
      </c>
      <c r="AD39">
        <f t="shared" ca="1" si="7"/>
        <v>0.1824355075066677</v>
      </c>
    </row>
    <row r="40" spans="1:30">
      <c r="A40">
        <v>9.1846784166526266E-2</v>
      </c>
      <c r="B40">
        <v>1.155221656928241</v>
      </c>
      <c r="C40">
        <v>1.0238139594113858</v>
      </c>
      <c r="D40">
        <v>0.86580637124837534</v>
      </c>
      <c r="E40">
        <v>-0.64349951410082318</v>
      </c>
      <c r="F40">
        <v>0.18460281753974342</v>
      </c>
      <c r="G40">
        <v>0.1864027642798475</v>
      </c>
      <c r="H40">
        <v>0.89240475709998901</v>
      </c>
      <c r="I40">
        <v>0.91967786555186248</v>
      </c>
      <c r="J40">
        <v>0.58815479602351173</v>
      </c>
      <c r="L40">
        <v>0.84279089858092004</v>
      </c>
      <c r="M40">
        <v>1.5751668115447974</v>
      </c>
      <c r="N40">
        <v>2.8022414828373519</v>
      </c>
      <c r="P40">
        <v>4.7664370240794669E-13</v>
      </c>
      <c r="R40">
        <v>2.574791744766602</v>
      </c>
      <c r="S40">
        <v>2.5761959575841629</v>
      </c>
      <c r="T40">
        <v>1</v>
      </c>
      <c r="U40">
        <v>2.0602256942739356</v>
      </c>
      <c r="W40">
        <f t="shared" ca="1" si="8"/>
        <v>1.4067110141861783</v>
      </c>
      <c r="X40">
        <f t="shared" ca="1" si="9"/>
        <v>0.29674797672183195</v>
      </c>
      <c r="Y40">
        <f t="shared" ca="1" si="10"/>
        <v>4.3966183951681823E-2</v>
      </c>
      <c r="AA40">
        <v>2.0489999999999999</v>
      </c>
      <c r="AB40">
        <f t="shared" ca="1" si="5"/>
        <v>2.0688282644524802</v>
      </c>
      <c r="AC40" s="14">
        <f t="shared" ca="1" si="6"/>
        <v>9.6770446327381077E-3</v>
      </c>
      <c r="AD40">
        <f t="shared" ca="1" si="7"/>
        <v>1.9828264452480315E-2</v>
      </c>
    </row>
    <row r="41" spans="1:30">
      <c r="A41">
        <v>-3.7505442315244573E-2</v>
      </c>
      <c r="B41">
        <v>0.98455578513657538</v>
      </c>
      <c r="C41">
        <v>1.1680904709763382</v>
      </c>
      <c r="D41">
        <v>-0.45983845550345714</v>
      </c>
      <c r="E41">
        <v>0.20857102058365096</v>
      </c>
      <c r="F41">
        <v>6.5920779036700766E-2</v>
      </c>
      <c r="G41">
        <v>0.22052930761428235</v>
      </c>
      <c r="H41">
        <v>0.77123159600736069</v>
      </c>
      <c r="I41">
        <v>0.30050314397858235</v>
      </c>
      <c r="J41">
        <v>0.99687594552185255</v>
      </c>
      <c r="L41">
        <v>0.84279158605563409</v>
      </c>
      <c r="M41">
        <v>1.8919377342266761</v>
      </c>
      <c r="N41">
        <v>3.0887111091821691</v>
      </c>
      <c r="P41">
        <v>1.2216904114303964E-12</v>
      </c>
      <c r="R41">
        <v>6.0429167939989181</v>
      </c>
      <c r="S41">
        <v>6.0546724397063105</v>
      </c>
      <c r="T41">
        <v>1</v>
      </c>
      <c r="U41">
        <v>2.6230787899835941</v>
      </c>
      <c r="W41">
        <f t="shared" ca="1" si="8"/>
        <v>-1.4324455167811427</v>
      </c>
      <c r="X41">
        <f t="shared" ca="1" si="9"/>
        <v>-8.955144201339979E-2</v>
      </c>
      <c r="Y41">
        <f t="shared" ca="1" si="10"/>
        <v>0.34240248118253735</v>
      </c>
      <c r="AA41">
        <v>1.857</v>
      </c>
      <c r="AB41">
        <f t="shared" ca="1" si="5"/>
        <v>2.1771590784330321</v>
      </c>
      <c r="AC41" s="14">
        <f t="shared" ca="1" si="6"/>
        <v>0.17240661197255358</v>
      </c>
      <c r="AD41">
        <f t="shared" ca="1" si="7"/>
        <v>0.32015907843303215</v>
      </c>
    </row>
    <row r="42" spans="1:30">
      <c r="A42">
        <v>-4.8864788922904481E-2</v>
      </c>
      <c r="B42">
        <v>0.98113273703355297</v>
      </c>
      <c r="C42">
        <v>1.1747308840553163</v>
      </c>
      <c r="D42">
        <v>-0.35262507938458337</v>
      </c>
      <c r="E42">
        <v>-0.7921802773712816</v>
      </c>
      <c r="F42">
        <v>0.21248195858191765</v>
      </c>
      <c r="G42">
        <v>6.4413009238457483E-2</v>
      </c>
      <c r="H42">
        <v>0.97980357114531424</v>
      </c>
      <c r="I42">
        <v>7.3002046345126581E-2</v>
      </c>
      <c r="J42">
        <v>0.29125793235158409</v>
      </c>
      <c r="L42">
        <v>0.84279158524860465</v>
      </c>
      <c r="M42">
        <v>1.8919377478526767</v>
      </c>
      <c r="N42">
        <v>3.0887110865246457</v>
      </c>
      <c r="P42">
        <v>1.2021311268625136E-12</v>
      </c>
      <c r="R42">
        <v>6.0429167939989181</v>
      </c>
      <c r="S42">
        <v>6.0546724397063105</v>
      </c>
      <c r="T42">
        <v>1</v>
      </c>
      <c r="U42">
        <v>2.6230787899835941</v>
      </c>
      <c r="W42">
        <f t="shared" ca="1" si="8"/>
        <v>-1.4864737874442886</v>
      </c>
      <c r="X42">
        <f t="shared" ca="1" si="9"/>
        <v>-6.823208933515279E-2</v>
      </c>
      <c r="Y42">
        <f t="shared" ca="1" si="10"/>
        <v>0.40119879759138377</v>
      </c>
      <c r="AA42">
        <v>1.857</v>
      </c>
      <c r="AB42">
        <f t="shared" ca="1" si="5"/>
        <v>2.3752204139627802</v>
      </c>
      <c r="AC42" s="14">
        <f t="shared" ca="1" si="6"/>
        <v>0.27906322776670978</v>
      </c>
      <c r="AD42">
        <f t="shared" ca="1" si="7"/>
        <v>0.51822041396278018</v>
      </c>
    </row>
    <row r="43" spans="1:30">
      <c r="A43">
        <v>-5.049896162201771E-2</v>
      </c>
      <c r="B43">
        <v>0.95382278342437898</v>
      </c>
      <c r="C43">
        <v>1.2355307885850701</v>
      </c>
      <c r="D43">
        <v>0.17372711172661565</v>
      </c>
      <c r="E43">
        <v>5.9392172989922332E-2</v>
      </c>
      <c r="F43">
        <v>-0.88575441350186046</v>
      </c>
      <c r="G43">
        <v>0.92224365611253178</v>
      </c>
      <c r="H43">
        <v>0.11450705606792747</v>
      </c>
      <c r="I43">
        <v>0.95489222639055549</v>
      </c>
      <c r="J43">
        <v>0.76619211830969514</v>
      </c>
      <c r="L43">
        <v>0.84279133881998958</v>
      </c>
      <c r="M43">
        <v>1.8919378854336046</v>
      </c>
      <c r="N43">
        <v>3.0887112430118688</v>
      </c>
      <c r="P43">
        <v>6.9342423071584792E-13</v>
      </c>
      <c r="R43">
        <v>6.0429167939989181</v>
      </c>
      <c r="S43">
        <v>6.0546724397063105</v>
      </c>
      <c r="T43">
        <v>1</v>
      </c>
      <c r="U43">
        <v>2.6230787899835941</v>
      </c>
      <c r="W43">
        <f t="shared" ca="1" si="8"/>
        <v>-1.9207900779707201</v>
      </c>
      <c r="X43">
        <f t="shared" ca="1" si="9"/>
        <v>8.5442425957818438E-2</v>
      </c>
      <c r="Y43">
        <f t="shared" ca="1" si="10"/>
        <v>0.97829173711928064</v>
      </c>
      <c r="AA43">
        <v>1.857</v>
      </c>
      <c r="AB43">
        <f t="shared" ca="1" si="5"/>
        <v>4.6537896547001818</v>
      </c>
      <c r="AC43" s="14">
        <f t="shared" ca="1" si="6"/>
        <v>1.5060795124933666</v>
      </c>
      <c r="AD43">
        <f t="shared" ca="1" si="7"/>
        <v>2.7967896547001816</v>
      </c>
    </row>
    <row r="44" spans="1:30">
      <c r="A44">
        <v>-5.1805360059441252E-2</v>
      </c>
      <c r="B44">
        <v>0.95876635135433175</v>
      </c>
      <c r="C44">
        <v>1.2173543470618204</v>
      </c>
      <c r="D44">
        <v>0.29257243734478222</v>
      </c>
      <c r="E44">
        <v>8.1058638555224383E-2</v>
      </c>
      <c r="F44">
        <v>0.16688456906580393</v>
      </c>
      <c r="G44">
        <v>0.17746400867115003</v>
      </c>
      <c r="H44">
        <v>0.16487054430799961</v>
      </c>
      <c r="I44">
        <v>0.65710945091860296</v>
      </c>
      <c r="J44">
        <v>0.94553694486529183</v>
      </c>
      <c r="L44">
        <v>0.84279146737649224</v>
      </c>
      <c r="M44">
        <v>1.8919378931650348</v>
      </c>
      <c r="N44">
        <v>3.0887111690769791</v>
      </c>
      <c r="P44">
        <v>8.1881514543813362E-13</v>
      </c>
      <c r="R44">
        <v>6.0429167939989181</v>
      </c>
      <c r="S44">
        <v>6.0546724397063105</v>
      </c>
      <c r="T44">
        <v>1</v>
      </c>
      <c r="U44">
        <v>2.6230787899835941</v>
      </c>
      <c r="W44">
        <f t="shared" ca="1" si="8"/>
        <v>-1.4402668296406715</v>
      </c>
      <c r="X44">
        <f t="shared" ca="1" si="9"/>
        <v>5.9023906644303098E-2</v>
      </c>
      <c r="Y44">
        <f t="shared" ca="1" si="10"/>
        <v>0.1414235351101128</v>
      </c>
      <c r="AA44">
        <v>1.857</v>
      </c>
      <c r="AB44">
        <f t="shared" ca="1" si="5"/>
        <v>2.0978529784017881</v>
      </c>
      <c r="AC44" s="14">
        <f t="shared" ca="1" si="6"/>
        <v>0.12970004221959508</v>
      </c>
      <c r="AD44">
        <f t="shared" ca="1" si="7"/>
        <v>0.2408529784017881</v>
      </c>
    </row>
    <row r="45" spans="1:30">
      <c r="A45">
        <v>-4.662920103340578E-2</v>
      </c>
      <c r="B45">
        <v>0.97969979045128064</v>
      </c>
      <c r="C45">
        <v>1.1978767021213017</v>
      </c>
      <c r="D45">
        <v>-0.37150837302675371</v>
      </c>
      <c r="E45">
        <v>-0.11233390372979227</v>
      </c>
      <c r="F45">
        <v>0.4086773657146161</v>
      </c>
      <c r="G45">
        <v>0.96705091030990431</v>
      </c>
      <c r="H45">
        <v>0.94149768974237735</v>
      </c>
      <c r="I45">
        <v>0.68072284857334731</v>
      </c>
      <c r="J45">
        <v>0.8393471659456504</v>
      </c>
      <c r="L45">
        <v>0.84279157211428224</v>
      </c>
      <c r="M45">
        <v>1.8919378619959935</v>
      </c>
      <c r="N45">
        <v>3.0887111335202682</v>
      </c>
      <c r="P45">
        <v>1.0017240111378391E-12</v>
      </c>
      <c r="R45">
        <v>6.0429167939989181</v>
      </c>
      <c r="S45">
        <v>6.0546724397063105</v>
      </c>
      <c r="T45">
        <v>1</v>
      </c>
      <c r="U45">
        <v>2.6230787899835941</v>
      </c>
      <c r="W45">
        <f t="shared" ca="1" si="8"/>
        <v>-1.4447780680968423</v>
      </c>
      <c r="X45">
        <f t="shared" ca="1" si="9"/>
        <v>0.11593423978987011</v>
      </c>
      <c r="Y45">
        <f t="shared" ca="1" si="10"/>
        <v>7.7992415821479394E-2</v>
      </c>
      <c r="AA45">
        <v>1.857</v>
      </c>
      <c r="AB45">
        <f t="shared" ca="1" si="5"/>
        <v>2.1069072309349695</v>
      </c>
      <c r="AC45" s="14">
        <f t="shared" ca="1" si="6"/>
        <v>0.13457578402529324</v>
      </c>
      <c r="AD45">
        <f t="shared" ca="1" si="7"/>
        <v>0.24990723093496947</v>
      </c>
    </row>
    <row r="46" spans="1:30">
      <c r="A46">
        <v>-4.8130830008172726E-2</v>
      </c>
      <c r="B46">
        <v>0.97550179261337389</v>
      </c>
      <c r="C46">
        <v>1.2121175672683782</v>
      </c>
      <c r="D46">
        <v>0.42764509002129864</v>
      </c>
      <c r="E46">
        <v>-0.14911920237017873</v>
      </c>
      <c r="F46">
        <v>0.6749947328370518</v>
      </c>
      <c r="G46">
        <v>0.75086560181920337</v>
      </c>
      <c r="H46">
        <v>0.83918591890108418</v>
      </c>
      <c r="I46">
        <v>6.7324252948249119E-2</v>
      </c>
      <c r="J46">
        <v>0.51059465686553307</v>
      </c>
      <c r="L46">
        <v>0.84279151236410643</v>
      </c>
      <c r="M46">
        <v>1.8919378977073564</v>
      </c>
      <c r="N46">
        <v>3.0887111860963414</v>
      </c>
      <c r="P46">
        <v>8.6853668848760019E-13</v>
      </c>
      <c r="R46">
        <v>6.0429167939989181</v>
      </c>
      <c r="S46">
        <v>6.0546724397063105</v>
      </c>
      <c r="T46">
        <v>1</v>
      </c>
      <c r="U46">
        <v>2.6230787899835941</v>
      </c>
      <c r="W46">
        <f t="shared" ca="1" si="8"/>
        <v>-1.4162973217787655</v>
      </c>
      <c r="X46">
        <f t="shared" ca="1" si="9"/>
        <v>0.11546391008258865</v>
      </c>
      <c r="Y46">
        <f t="shared" ca="1" si="10"/>
        <v>2.9350500234912508E-2</v>
      </c>
      <c r="AA46">
        <v>1.857</v>
      </c>
      <c r="AB46">
        <f t="shared" ca="1" si="5"/>
        <v>2.0200914700733041</v>
      </c>
      <c r="AC46" s="14">
        <f t="shared" ca="1" si="6"/>
        <v>8.7825239673292588E-2</v>
      </c>
      <c r="AD46">
        <f t="shared" ca="1" si="7"/>
        <v>0.16309147007330416</v>
      </c>
    </row>
    <row r="47" spans="1:30">
      <c r="A47">
        <v>-4.028505280158149E-2</v>
      </c>
      <c r="B47">
        <v>0.97268031165805169</v>
      </c>
      <c r="C47">
        <v>1.1976758028997774</v>
      </c>
      <c r="D47">
        <v>0.16523788914301918</v>
      </c>
      <c r="E47">
        <v>0.63066431999673045</v>
      </c>
      <c r="F47">
        <v>0.14075349423187777</v>
      </c>
      <c r="G47">
        <v>0.24192120256243912</v>
      </c>
      <c r="H47">
        <v>0.30750669799621527</v>
      </c>
      <c r="I47">
        <v>0.29053991201191148</v>
      </c>
      <c r="J47">
        <v>0.94449341113916485</v>
      </c>
      <c r="L47">
        <v>0.84279155919212545</v>
      </c>
      <c r="M47">
        <v>1.8919378900763457</v>
      </c>
      <c r="N47">
        <v>3.0887111404046927</v>
      </c>
      <c r="P47">
        <v>9.4403047299574909E-13</v>
      </c>
      <c r="R47">
        <v>6.0429167939989181</v>
      </c>
      <c r="S47">
        <v>6.0546724397063105</v>
      </c>
      <c r="T47">
        <v>1</v>
      </c>
      <c r="U47">
        <v>2.6230787899835941</v>
      </c>
      <c r="W47">
        <f t="shared" ref="W47:W70" ca="1" si="11">MEDIAN(OFFSET(A$11,(ROW(A37)-1)*$W$7,0,$W$7,1))</f>
        <v>-1.469696962615342</v>
      </c>
      <c r="X47">
        <f t="shared" ref="X47:X70" ca="1" si="12">MEDIAN(OFFSET(B$11,(ROW(B37)-1)*$W$7,0,$W$7,1))</f>
        <v>-8.383672637059511E-2</v>
      </c>
      <c r="Y47">
        <f t="shared" ref="Y47:Y70" ca="1" si="13">MEDIAN(OFFSET(C$11,(ROW(C37)-1)*$W$7,0,$W$7,1))</f>
        <v>1.5502427227510402</v>
      </c>
      <c r="AA47">
        <v>1.857</v>
      </c>
      <c r="AB47">
        <f t="shared" ca="1" si="5"/>
        <v>4.570290258051859</v>
      </c>
      <c r="AC47" s="14">
        <f t="shared" ca="1" si="6"/>
        <v>1.4611148400925464</v>
      </c>
      <c r="AD47">
        <f t="shared" ca="1" si="7"/>
        <v>2.7132902580518587</v>
      </c>
    </row>
    <row r="48" spans="1:30">
      <c r="A48">
        <v>-4.4476615031078151E-2</v>
      </c>
      <c r="B48">
        <v>0.98335947892272413</v>
      </c>
      <c r="C48">
        <v>1.1716066434567387</v>
      </c>
      <c r="D48">
        <v>-0.16100123637549696</v>
      </c>
      <c r="E48">
        <v>-0.24379565707872791</v>
      </c>
      <c r="F48">
        <v>0.26259333680514763</v>
      </c>
      <c r="G48">
        <v>3.8890307430536987E-2</v>
      </c>
      <c r="H48">
        <v>0.99066521280646935</v>
      </c>
      <c r="I48">
        <v>0.16410362764367689</v>
      </c>
      <c r="J48">
        <v>0.4567684924126269</v>
      </c>
      <c r="L48">
        <v>0.84279155822237817</v>
      </c>
      <c r="M48">
        <v>1.8919377165859379</v>
      </c>
      <c r="N48">
        <v>3.0887111177979061</v>
      </c>
      <c r="P48">
        <v>1.2107468519150417E-12</v>
      </c>
      <c r="R48">
        <v>6.0429167939989181</v>
      </c>
      <c r="S48">
        <v>6.0546724397063105</v>
      </c>
      <c r="T48">
        <v>1</v>
      </c>
      <c r="U48">
        <v>2.6230787899835941</v>
      </c>
      <c r="W48">
        <f t="shared" ca="1" si="11"/>
        <v>-1.4170812788392864</v>
      </c>
      <c r="X48">
        <f t="shared" ca="1" si="12"/>
        <v>-8.9634406310066139E-2</v>
      </c>
      <c r="Y48">
        <f t="shared" ca="1" si="13"/>
        <v>-0.35419420698744386</v>
      </c>
      <c r="AA48">
        <v>1.857</v>
      </c>
      <c r="AB48">
        <f t="shared" ca="1" si="5"/>
        <v>2.1416072138948095</v>
      </c>
      <c r="AC48" s="14">
        <f t="shared" ca="1" si="6"/>
        <v>0.15326182762240692</v>
      </c>
      <c r="AD48">
        <f t="shared" ca="1" si="7"/>
        <v>0.28460721389480947</v>
      </c>
    </row>
    <row r="49" spans="1:30">
      <c r="A49">
        <v>-5.1432494000636174E-2</v>
      </c>
      <c r="B49">
        <v>0.98076879749128898</v>
      </c>
      <c r="C49">
        <v>1.1870126373216827</v>
      </c>
      <c r="D49">
        <v>-0.69297805190283845</v>
      </c>
      <c r="E49">
        <v>-0.61557949849151461</v>
      </c>
      <c r="F49">
        <v>1.3908154789872408E-2</v>
      </c>
      <c r="G49">
        <v>0.64912023785691098</v>
      </c>
      <c r="H49">
        <v>1.0154602902616112</v>
      </c>
      <c r="I49">
        <v>0.67536984449247006</v>
      </c>
      <c r="J49">
        <v>0.14676804697148671</v>
      </c>
      <c r="L49">
        <v>0.84279151579864087</v>
      </c>
      <c r="M49">
        <v>1.8919377510171997</v>
      </c>
      <c r="N49">
        <v>3.0887111582838069</v>
      </c>
      <c r="P49">
        <v>1.0921277438924007E-12</v>
      </c>
      <c r="R49">
        <v>6.0429167939989181</v>
      </c>
      <c r="S49">
        <v>6.0546724397063105</v>
      </c>
      <c r="T49">
        <v>1</v>
      </c>
      <c r="U49">
        <v>2.6230787899835941</v>
      </c>
      <c r="W49">
        <f t="shared" ca="1" si="11"/>
        <v>-1.4952158647295226</v>
      </c>
      <c r="X49">
        <f t="shared" ca="1" si="12"/>
        <v>-6.3063173619721816E-2</v>
      </c>
      <c r="Y49">
        <f t="shared" ca="1" si="13"/>
        <v>-0.14908445483377611</v>
      </c>
      <c r="AA49">
        <v>1.857</v>
      </c>
      <c r="AB49">
        <f t="shared" ca="1" si="5"/>
        <v>2.2618736206789296</v>
      </c>
      <c r="AC49" s="14">
        <f t="shared" ca="1" si="6"/>
        <v>0.21802564387664503</v>
      </c>
      <c r="AD49">
        <f t="shared" ca="1" si="7"/>
        <v>0.40487362067892962</v>
      </c>
    </row>
    <row r="50" spans="1:30">
      <c r="A50">
        <v>-3.7874879432898793E-2</v>
      </c>
      <c r="B50">
        <v>0.98307324075852731</v>
      </c>
      <c r="C50">
        <v>1.1759102169703661</v>
      </c>
      <c r="D50">
        <v>-7.9803081700845935E-2</v>
      </c>
      <c r="E50">
        <v>0.60617101977860532</v>
      </c>
      <c r="F50">
        <v>-0.43640164957238653</v>
      </c>
      <c r="G50">
        <v>0.34681897125422334</v>
      </c>
      <c r="H50">
        <v>0.890740822206736</v>
      </c>
      <c r="I50">
        <v>0.58504779768581816</v>
      </c>
      <c r="J50">
        <v>0.4631067307512996</v>
      </c>
      <c r="L50">
        <v>0.84279161345876374</v>
      </c>
      <c r="M50">
        <v>1.8919377640356694</v>
      </c>
      <c r="N50">
        <v>3.0887110580099968</v>
      </c>
      <c r="P50">
        <v>1.2239543486918388E-12</v>
      </c>
      <c r="R50">
        <v>6.0429167939989181</v>
      </c>
      <c r="S50">
        <v>6.0546724397063105</v>
      </c>
      <c r="T50">
        <v>1</v>
      </c>
      <c r="U50">
        <v>2.6230787899835941</v>
      </c>
      <c r="W50">
        <f t="shared" ca="1" si="11"/>
        <v>-1.4394473755900756</v>
      </c>
      <c r="X50">
        <f t="shared" ca="1" si="12"/>
        <v>6.6572220428314247E-2</v>
      </c>
      <c r="Y50">
        <f t="shared" ca="1" si="13"/>
        <v>-1.6844465632654772E-2</v>
      </c>
      <c r="AA50">
        <v>1.857</v>
      </c>
      <c r="AB50">
        <f t="shared" ca="1" si="5"/>
        <v>2.0767243436483618</v>
      </c>
      <c r="AC50" s="14">
        <f t="shared" ca="1" si="6"/>
        <v>0.11832220982679686</v>
      </c>
      <c r="AD50">
        <f t="shared" ca="1" si="7"/>
        <v>0.2197243436483618</v>
      </c>
    </row>
    <row r="51" spans="1:30">
      <c r="A51">
        <v>-0.47297908001906053</v>
      </c>
      <c r="B51">
        <v>1.1272464235234945</v>
      </c>
      <c r="C51">
        <v>1.7794815223613611</v>
      </c>
      <c r="D51">
        <v>-0.20979468104651616</v>
      </c>
      <c r="E51">
        <v>0.4331663845772486</v>
      </c>
      <c r="F51">
        <v>-0.2723985839198596</v>
      </c>
      <c r="G51">
        <v>0</v>
      </c>
      <c r="H51">
        <v>0.16779259726058174</v>
      </c>
      <c r="I51">
        <v>0</v>
      </c>
      <c r="J51">
        <v>0.23696842476351956</v>
      </c>
      <c r="L51">
        <v>0.842788094989812</v>
      </c>
      <c r="M51">
        <v>1.8919399495867102</v>
      </c>
      <c r="N51">
        <v>2.8022407183138305</v>
      </c>
      <c r="P51">
        <v>1.1389151287229168E-11</v>
      </c>
      <c r="R51">
        <v>17.744699360444759</v>
      </c>
      <c r="S51">
        <v>18.020767054039418</v>
      </c>
      <c r="T51">
        <v>1</v>
      </c>
      <c r="U51">
        <v>2.3879876994860578</v>
      </c>
      <c r="W51">
        <f t="shared" ca="1" si="11"/>
        <v>1.0869775197552516</v>
      </c>
      <c r="X51">
        <f t="shared" ca="1" si="12"/>
        <v>-1.0336545318088279</v>
      </c>
      <c r="Y51">
        <f t="shared" ca="1" si="13"/>
        <v>0.24089167223932009</v>
      </c>
      <c r="AA51">
        <v>1.762</v>
      </c>
      <c r="AB51">
        <f t="shared" ca="1" si="5"/>
        <v>2.3079906173364617</v>
      </c>
      <c r="AC51" s="14">
        <f t="shared" ca="1" si="6"/>
        <v>0.30986981687653903</v>
      </c>
      <c r="AD51">
        <f t="shared" ca="1" si="7"/>
        <v>0.5459906173364617</v>
      </c>
    </row>
    <row r="52" spans="1:30">
      <c r="A52">
        <v>-0.47122304929400566</v>
      </c>
      <c r="B52">
        <v>1.1275005818289541</v>
      </c>
      <c r="C52">
        <v>1.7865483962661477</v>
      </c>
      <c r="D52">
        <v>-0.13845400900483593</v>
      </c>
      <c r="E52">
        <v>0.22039813757131593</v>
      </c>
      <c r="F52">
        <v>-0.14596588451181883</v>
      </c>
      <c r="G52">
        <v>0.60347037377143553</v>
      </c>
      <c r="H52">
        <v>0.47143359020576858</v>
      </c>
      <c r="I52">
        <v>9.7854796423817822E-2</v>
      </c>
      <c r="J52">
        <v>0.92122863181546966</v>
      </c>
      <c r="L52">
        <v>0.84278822568007239</v>
      </c>
      <c r="M52">
        <v>1.8919401884785287</v>
      </c>
      <c r="N52">
        <v>2.8022408760614361</v>
      </c>
      <c r="P52">
        <v>1.1000039864257953E-11</v>
      </c>
      <c r="R52">
        <v>17.744699360444759</v>
      </c>
      <c r="S52">
        <v>18.020767054039418</v>
      </c>
      <c r="T52">
        <v>1</v>
      </c>
      <c r="U52">
        <v>2.3879876994860578</v>
      </c>
      <c r="W52">
        <f t="shared" ca="1" si="11"/>
        <v>0.98502313684366061</v>
      </c>
      <c r="X52">
        <f t="shared" ca="1" si="12"/>
        <v>-1.1366210240406105</v>
      </c>
      <c r="Y52">
        <f t="shared" ca="1" si="13"/>
        <v>0.38629735509065199</v>
      </c>
      <c r="AA52">
        <v>1.762</v>
      </c>
      <c r="AB52">
        <f t="shared" ca="1" si="5"/>
        <v>2.4114035789584842</v>
      </c>
      <c r="AC52" s="14">
        <f t="shared" ca="1" si="6"/>
        <v>0.36856048749062675</v>
      </c>
      <c r="AD52">
        <f t="shared" ca="1" si="7"/>
        <v>0.64940357895848422</v>
      </c>
    </row>
    <row r="53" spans="1:30">
      <c r="A53">
        <v>-0.50162743384458697</v>
      </c>
      <c r="B53">
        <v>1.1323940079732824</v>
      </c>
      <c r="C53">
        <v>1.8233851622675885</v>
      </c>
      <c r="D53">
        <v>-0.23012253877123831</v>
      </c>
      <c r="E53">
        <v>6.5844253424297311E-2</v>
      </c>
      <c r="F53">
        <v>-6.8346625888994303E-2</v>
      </c>
      <c r="G53">
        <v>0.67515688752196268</v>
      </c>
      <c r="H53">
        <v>0.6293105490232408</v>
      </c>
      <c r="I53">
        <v>0.64667757448334984</v>
      </c>
      <c r="J53">
        <v>0.33767727417845916</v>
      </c>
      <c r="L53">
        <v>0.84278819198802912</v>
      </c>
      <c r="M53">
        <v>1.8919400749631987</v>
      </c>
      <c r="N53">
        <v>2.8022408501942442</v>
      </c>
      <c r="P53">
        <v>1.0886086865268203E-11</v>
      </c>
      <c r="R53">
        <v>17.744699360444759</v>
      </c>
      <c r="S53">
        <v>18.020767054039418</v>
      </c>
      <c r="T53">
        <v>1</v>
      </c>
      <c r="U53">
        <v>2.3879876994860578</v>
      </c>
      <c r="W53">
        <f t="shared" ca="1" si="11"/>
        <v>1.1771796130112451</v>
      </c>
      <c r="X53">
        <f t="shared" ca="1" si="12"/>
        <v>-0.94432406493049093</v>
      </c>
      <c r="Y53">
        <f t="shared" ca="1" si="13"/>
        <v>0.13248013052350055</v>
      </c>
      <c r="AA53">
        <v>1.762</v>
      </c>
      <c r="AB53">
        <f t="shared" ca="1" si="5"/>
        <v>2.2950507658796742</v>
      </c>
      <c r="AC53" s="14">
        <f t="shared" ca="1" si="6"/>
        <v>0.30252597382501367</v>
      </c>
      <c r="AD53">
        <f t="shared" ca="1" si="7"/>
        <v>0.53305076587967415</v>
      </c>
    </row>
    <row r="54" spans="1:30">
      <c r="A54">
        <v>-0.47434474365698526</v>
      </c>
      <c r="B54">
        <v>1.1237730542862561</v>
      </c>
      <c r="C54">
        <v>1.778354838519113</v>
      </c>
      <c r="D54">
        <v>-0.3194325551363898</v>
      </c>
      <c r="E54">
        <v>0.18232438287216801</v>
      </c>
      <c r="F54">
        <v>-0.37468587578317536</v>
      </c>
      <c r="G54">
        <v>0.26748473200958428</v>
      </c>
      <c r="H54">
        <v>0.44492029112470699</v>
      </c>
      <c r="I54">
        <v>0.52674893822541757</v>
      </c>
      <c r="J54">
        <v>0.84874391740411637</v>
      </c>
      <c r="L54">
        <v>0.84278836858644479</v>
      </c>
      <c r="M54">
        <v>1.8919402989840119</v>
      </c>
      <c r="N54">
        <v>2.8022408464194108</v>
      </c>
      <c r="P54">
        <v>1.0707714153105984E-11</v>
      </c>
      <c r="R54">
        <v>17.744699360444759</v>
      </c>
      <c r="S54">
        <v>18.020767054039418</v>
      </c>
      <c r="T54">
        <v>1</v>
      </c>
      <c r="U54">
        <v>2.3879876994860578</v>
      </c>
      <c r="W54">
        <f t="shared" ca="1" si="11"/>
        <v>1.0377226359195231</v>
      </c>
      <c r="X54">
        <f t="shared" ca="1" si="12"/>
        <v>-1.0050712286420431</v>
      </c>
      <c r="Y54">
        <f t="shared" ca="1" si="13"/>
        <v>0.11852701242526675</v>
      </c>
      <c r="AA54">
        <v>1.762</v>
      </c>
      <c r="AB54">
        <f t="shared" ca="1" si="5"/>
        <v>2.1010850964182484</v>
      </c>
      <c r="AC54" s="14">
        <f t="shared" ca="1" si="6"/>
        <v>0.19244330103192309</v>
      </c>
      <c r="AD54">
        <f t="shared" ca="1" si="7"/>
        <v>0.33908509641824836</v>
      </c>
    </row>
    <row r="55" spans="1:30">
      <c r="A55">
        <v>-0.50394015993173003</v>
      </c>
      <c r="B55">
        <v>1.1276115288457023</v>
      </c>
      <c r="C55">
        <v>1.8176233090691716</v>
      </c>
      <c r="D55">
        <v>0.4252400783987732</v>
      </c>
      <c r="E55">
        <v>-0.6853338271679259</v>
      </c>
      <c r="F55">
        <v>-0.18858623379353262</v>
      </c>
      <c r="G55">
        <v>0.55088786907841136</v>
      </c>
      <c r="H55">
        <v>1.2318376624963223</v>
      </c>
      <c r="I55">
        <v>0.57911819120635011</v>
      </c>
      <c r="J55">
        <v>0.68443137190258496</v>
      </c>
      <c r="L55">
        <v>0.84278828961928165</v>
      </c>
      <c r="M55">
        <v>1.8919401696703673</v>
      </c>
      <c r="N55">
        <v>2.802240882706867</v>
      </c>
      <c r="P55">
        <v>1.059029390443218E-11</v>
      </c>
      <c r="R55">
        <v>17.744699360444759</v>
      </c>
      <c r="S55">
        <v>18.020767054039418</v>
      </c>
      <c r="T55">
        <v>1</v>
      </c>
      <c r="U55">
        <v>2.3879876994860578</v>
      </c>
      <c r="W55">
        <f t="shared" ca="1" si="11"/>
        <v>0.89471978473538682</v>
      </c>
      <c r="X55">
        <f t="shared" ca="1" si="12"/>
        <v>-0.93545400846734983</v>
      </c>
      <c r="Y55">
        <f t="shared" ca="1" si="13"/>
        <v>-0.24119788919211557</v>
      </c>
      <c r="AA55">
        <v>1.762</v>
      </c>
      <c r="AB55">
        <f t="shared" ca="1" si="5"/>
        <v>1.7337741169053018</v>
      </c>
      <c r="AC55" s="14">
        <f t="shared" ca="1" si="6"/>
        <v>1.6019229906185095E-2</v>
      </c>
      <c r="AD55">
        <f t="shared" ca="1" si="7"/>
        <v>2.8225883094698201E-2</v>
      </c>
    </row>
    <row r="56" spans="1:30">
      <c r="A56">
        <v>-0.47623636163917338</v>
      </c>
      <c r="B56">
        <v>1.1313512806854251</v>
      </c>
      <c r="C56">
        <v>1.7810614246066754</v>
      </c>
      <c r="D56">
        <v>-0.52545368715967677</v>
      </c>
      <c r="E56">
        <v>0.38666656330689514</v>
      </c>
      <c r="F56">
        <v>3.7131532329720718E-2</v>
      </c>
      <c r="G56">
        <v>0.61597323661146142</v>
      </c>
      <c r="H56">
        <v>0.65027186832297557</v>
      </c>
      <c r="I56">
        <v>0.7327627510972734</v>
      </c>
      <c r="J56">
        <v>0.63496411668558717</v>
      </c>
      <c r="L56">
        <v>0.84278822592082447</v>
      </c>
      <c r="M56">
        <v>1.8919401153215292</v>
      </c>
      <c r="N56">
        <v>2.8022408801769774</v>
      </c>
      <c r="P56">
        <v>1.0757277446132274E-11</v>
      </c>
      <c r="R56">
        <v>17.744699360444759</v>
      </c>
      <c r="S56">
        <v>18.020767054039418</v>
      </c>
      <c r="T56">
        <v>1</v>
      </c>
      <c r="U56">
        <v>2.3879876994860578</v>
      </c>
      <c r="W56">
        <f t="shared" ca="1" si="11"/>
        <v>1.0624429035201952</v>
      </c>
      <c r="X56">
        <f t="shared" ca="1" si="12"/>
        <v>-0.94082671580600774</v>
      </c>
      <c r="Y56">
        <f t="shared" ca="1" si="13"/>
        <v>-1.1484774829471913E-2</v>
      </c>
      <c r="AA56">
        <v>1.762</v>
      </c>
      <c r="AB56">
        <f t="shared" ca="1" si="5"/>
        <v>2.0140717324676252</v>
      </c>
      <c r="AC56" s="14">
        <f t="shared" ca="1" si="6"/>
        <v>0.14306000707583721</v>
      </c>
      <c r="AD56">
        <f t="shared" ca="1" si="7"/>
        <v>0.25207173246762515</v>
      </c>
    </row>
    <row r="57" spans="1:30">
      <c r="A57">
        <v>-0.48288411154379141</v>
      </c>
      <c r="B57">
        <v>1.1270668648204898</v>
      </c>
      <c r="C57">
        <v>1.7941874767060442</v>
      </c>
      <c r="D57">
        <v>-0.41083417815706785</v>
      </c>
      <c r="E57">
        <v>-0.11441474523773738</v>
      </c>
      <c r="F57">
        <v>-0.46933980569999212</v>
      </c>
      <c r="G57">
        <v>0.72780857936193688</v>
      </c>
      <c r="H57">
        <v>0.68383342957360693</v>
      </c>
      <c r="I57">
        <v>0.64786572900630501</v>
      </c>
      <c r="J57">
        <v>0.82892208147323709</v>
      </c>
      <c r="L57">
        <v>0.84278817950142859</v>
      </c>
      <c r="M57">
        <v>1.8919400500205723</v>
      </c>
      <c r="N57">
        <v>2.802240816410781</v>
      </c>
      <c r="P57">
        <v>1.0961524582754921E-11</v>
      </c>
      <c r="R57">
        <v>17.744699360444759</v>
      </c>
      <c r="S57">
        <v>18.020767054039418</v>
      </c>
      <c r="T57">
        <v>1</v>
      </c>
      <c r="U57">
        <v>2.3879876994860578</v>
      </c>
      <c r="W57">
        <f t="shared" ca="1" si="11"/>
        <v>1.0079319486366787</v>
      </c>
      <c r="X57">
        <f t="shared" ca="1" si="12"/>
        <v>-1.1407046279895243</v>
      </c>
      <c r="Y57">
        <f t="shared" ca="1" si="13"/>
        <v>1.7300139043835792</v>
      </c>
      <c r="AA57">
        <v>1.762</v>
      </c>
      <c r="AB57">
        <f t="shared" ca="1" si="5"/>
        <v>5.310081970759768</v>
      </c>
      <c r="AC57" s="14">
        <f t="shared" ca="1" si="6"/>
        <v>2.0136674067876097</v>
      </c>
      <c r="AD57">
        <f t="shared" ca="1" si="7"/>
        <v>3.5480819707597679</v>
      </c>
    </row>
    <row r="58" spans="1:30">
      <c r="A58">
        <v>-0.47456886514638902</v>
      </c>
      <c r="B58">
        <v>1.1271781755820776</v>
      </c>
      <c r="C58">
        <v>1.7877322475003148</v>
      </c>
      <c r="D58">
        <v>-0.71176637540047516</v>
      </c>
      <c r="E58">
        <v>-0.231072281931545</v>
      </c>
      <c r="F58">
        <v>-0.78184760759430483</v>
      </c>
      <c r="G58">
        <v>0.74673670509405221</v>
      </c>
      <c r="H58">
        <v>0.34407203088859523</v>
      </c>
      <c r="I58">
        <v>0.133698114309619</v>
      </c>
      <c r="J58">
        <v>0.63825830217443902</v>
      </c>
      <c r="L58">
        <v>0.84278833986939627</v>
      </c>
      <c r="M58">
        <v>1.8919403032075277</v>
      </c>
      <c r="N58">
        <v>2.8022408079565841</v>
      </c>
      <c r="P58">
        <v>1.0961611645761425E-11</v>
      </c>
      <c r="R58">
        <v>17.744699360444759</v>
      </c>
      <c r="S58">
        <v>18.020767054039418</v>
      </c>
      <c r="T58">
        <v>1</v>
      </c>
      <c r="U58">
        <v>2.3879876994860578</v>
      </c>
      <c r="W58">
        <f t="shared" ca="1" si="11"/>
        <v>1.0961208206699322</v>
      </c>
      <c r="X58">
        <f t="shared" ca="1" si="12"/>
        <v>-1.0207369436030831</v>
      </c>
      <c r="Y58">
        <f t="shared" ca="1" si="13"/>
        <v>3.4099438954992437E-3</v>
      </c>
      <c r="AA58">
        <v>1.762</v>
      </c>
      <c r="AB58">
        <f t="shared" ca="1" si="5"/>
        <v>2.2433963892596598</v>
      </c>
      <c r="AC58" s="14">
        <f t="shared" ca="1" si="6"/>
        <v>0.27321020956847897</v>
      </c>
      <c r="AD58">
        <f t="shared" ca="1" si="7"/>
        <v>0.48139638925965977</v>
      </c>
    </row>
    <row r="59" spans="1:30">
      <c r="A59">
        <v>-0.43116945878732416</v>
      </c>
      <c r="B59">
        <v>1.1335902030702898</v>
      </c>
      <c r="C59">
        <v>1.7095037166736835</v>
      </c>
      <c r="D59">
        <v>-0.40425684450868637</v>
      </c>
      <c r="E59">
        <v>4.3925497573298854E-2</v>
      </c>
      <c r="F59">
        <v>-0.11645887600591927</v>
      </c>
      <c r="G59">
        <v>0.8033907239245901</v>
      </c>
      <c r="H59">
        <v>1.2761543136672644</v>
      </c>
      <c r="I59">
        <v>0</v>
      </c>
      <c r="J59">
        <v>0.74152964707277091</v>
      </c>
      <c r="L59">
        <v>0.84278878825106807</v>
      </c>
      <c r="M59">
        <v>1.891939964119018</v>
      </c>
      <c r="N59">
        <v>2.8022397137514439</v>
      </c>
      <c r="P59">
        <v>1.178013948137798E-11</v>
      </c>
      <c r="R59">
        <v>17.744699360444759</v>
      </c>
      <c r="S59">
        <v>18.020767054039418</v>
      </c>
      <c r="T59">
        <v>1</v>
      </c>
      <c r="U59">
        <v>2.3879876994860578</v>
      </c>
      <c r="W59">
        <f t="shared" ca="1" si="11"/>
        <v>0.98750601512058744</v>
      </c>
      <c r="X59">
        <f t="shared" ca="1" si="12"/>
        <v>-1.117914831613033</v>
      </c>
      <c r="Y59">
        <f t="shared" ca="1" si="13"/>
        <v>-0.17487607653912063</v>
      </c>
      <c r="AA59">
        <v>1.762</v>
      </c>
      <c r="AB59">
        <f t="shared" ca="1" si="5"/>
        <v>2.2554833427854541</v>
      </c>
      <c r="AC59" s="14">
        <f t="shared" ca="1" si="6"/>
        <v>0.28007000158084794</v>
      </c>
      <c r="AD59">
        <f t="shared" ca="1" si="7"/>
        <v>0.49348334278545414</v>
      </c>
    </row>
    <row r="60" spans="1:30">
      <c r="A60">
        <v>-0.44764342496411041</v>
      </c>
      <c r="B60">
        <v>1.1281810455355472</v>
      </c>
      <c r="C60">
        <v>1.7435408800517034</v>
      </c>
      <c r="D60">
        <v>0.10241898799418528</v>
      </c>
      <c r="E60">
        <v>0.77760650256674968</v>
      </c>
      <c r="F60">
        <v>-0.64551097804751434</v>
      </c>
      <c r="G60">
        <v>0.26223680905009439</v>
      </c>
      <c r="H60">
        <v>0.68372432483532453</v>
      </c>
      <c r="I60">
        <v>0.10695932894733325</v>
      </c>
      <c r="J60">
        <v>0.27812726004879279</v>
      </c>
      <c r="L60">
        <v>0.84278821764190326</v>
      </c>
      <c r="M60">
        <v>1.891940135281593</v>
      </c>
      <c r="N60">
        <v>2.8022408162728714</v>
      </c>
      <c r="P60">
        <v>1.1018454219694953E-11</v>
      </c>
      <c r="R60">
        <v>17.744699360444759</v>
      </c>
      <c r="S60">
        <v>18.020767054039418</v>
      </c>
      <c r="T60">
        <v>1</v>
      </c>
      <c r="U60">
        <v>2.3879876994860578</v>
      </c>
      <c r="W60">
        <f t="shared" ca="1" si="11"/>
        <v>1.040071484024131</v>
      </c>
      <c r="X60">
        <f t="shared" ca="1" si="12"/>
        <v>-0.99138695757947204</v>
      </c>
      <c r="Y60">
        <f t="shared" ca="1" si="13"/>
        <v>-6.6454731521923646E-2</v>
      </c>
      <c r="AA60">
        <v>1.762</v>
      </c>
      <c r="AB60">
        <f t="shared" ca="1" si="5"/>
        <v>2.0690130228804913</v>
      </c>
      <c r="AC60" s="14">
        <f t="shared" ca="1" si="6"/>
        <v>0.17424121616372945</v>
      </c>
      <c r="AD60">
        <f t="shared" ca="1" si="7"/>
        <v>0.30701302288049126</v>
      </c>
    </row>
    <row r="61" spans="1:30">
      <c r="A61">
        <v>0.15417765345504353</v>
      </c>
      <c r="B61">
        <v>1.1652555179133084</v>
      </c>
      <c r="C61">
        <v>0.96338762147562751</v>
      </c>
      <c r="D61">
        <v>0.45955393782395287</v>
      </c>
      <c r="E61">
        <v>2.3660681718398937E-3</v>
      </c>
      <c r="F61">
        <v>0.62912949396710638</v>
      </c>
      <c r="G61">
        <v>0.80536752654268262</v>
      </c>
      <c r="H61">
        <v>0.4353311647310672</v>
      </c>
      <c r="I61">
        <v>0.9841536792754596</v>
      </c>
      <c r="J61">
        <v>0.67790856508018371</v>
      </c>
      <c r="L61">
        <v>0.84279060519030102</v>
      </c>
      <c r="M61">
        <v>3.0887101808963995</v>
      </c>
      <c r="N61">
        <v>2.8022411187946648</v>
      </c>
      <c r="P61">
        <v>1.9755889971339649E-12</v>
      </c>
      <c r="R61">
        <v>3.879698490595195</v>
      </c>
      <c r="S61">
        <v>3.8811004351956018</v>
      </c>
      <c r="T61">
        <v>1</v>
      </c>
      <c r="U61">
        <v>2.409062993440434</v>
      </c>
      <c r="W61">
        <f t="shared" ca="1" si="11"/>
        <v>0.10835364775356342</v>
      </c>
      <c r="X61">
        <f t="shared" ca="1" si="12"/>
        <v>-1.2102951645249851</v>
      </c>
      <c r="Y61">
        <f t="shared" ca="1" si="13"/>
        <v>0.9774786627582579</v>
      </c>
      <c r="AA61">
        <v>1.51</v>
      </c>
      <c r="AB61">
        <f t="shared" ca="1" si="5"/>
        <v>2.4320194344017363</v>
      </c>
      <c r="AC61" s="14">
        <f t="shared" ca="1" si="6"/>
        <v>0.61060889695479226</v>
      </c>
      <c r="AD61">
        <f t="shared" ca="1" si="7"/>
        <v>0.92201943440173628</v>
      </c>
    </row>
    <row r="62" spans="1:30">
      <c r="A62">
        <v>0.14152724348775994</v>
      </c>
      <c r="B62">
        <v>1.1582234723024658</v>
      </c>
      <c r="C62">
        <v>0.96868898214743471</v>
      </c>
      <c r="D62">
        <v>-5.6872375135373798E-2</v>
      </c>
      <c r="E62">
        <v>-0.28113545526718103</v>
      </c>
      <c r="F62">
        <v>-0.39948546494283876</v>
      </c>
      <c r="G62">
        <v>0.7222406942121673</v>
      </c>
      <c r="H62">
        <v>0.40230822247675568</v>
      </c>
      <c r="I62">
        <v>0.43572646791949282</v>
      </c>
      <c r="J62">
        <v>0.61709864296335448</v>
      </c>
      <c r="L62">
        <v>0.84279032044469415</v>
      </c>
      <c r="M62">
        <v>3.0887103076963491</v>
      </c>
      <c r="N62">
        <v>2.8022410098122097</v>
      </c>
      <c r="P62">
        <v>2.1826094373407954E-12</v>
      </c>
      <c r="R62">
        <v>3.879698490595195</v>
      </c>
      <c r="S62">
        <v>3.8811004351956018</v>
      </c>
      <c r="T62">
        <v>1</v>
      </c>
      <c r="U62">
        <v>2.409062993440434</v>
      </c>
      <c r="W62">
        <f t="shared" ca="1" si="11"/>
        <v>-0.48660390358753614</v>
      </c>
      <c r="X62">
        <f t="shared" ca="1" si="12"/>
        <v>-1.2366318324035714</v>
      </c>
      <c r="Y62">
        <f t="shared" ca="1" si="13"/>
        <v>1.7626283212435316</v>
      </c>
      <c r="AA62">
        <v>1.51</v>
      </c>
      <c r="AB62">
        <f t="shared" ca="1" si="5"/>
        <v>4.872900246750234</v>
      </c>
      <c r="AC62" s="14">
        <f t="shared" ca="1" si="6"/>
        <v>2.227086256125983</v>
      </c>
      <c r="AD62">
        <f t="shared" ca="1" si="7"/>
        <v>3.3629002467502342</v>
      </c>
    </row>
    <row r="63" spans="1:30">
      <c r="A63">
        <v>0.14557917693701605</v>
      </c>
      <c r="B63">
        <v>1.163362847505079</v>
      </c>
      <c r="C63">
        <v>0.9715834251100478</v>
      </c>
      <c r="D63">
        <v>-0.40619228646275224</v>
      </c>
      <c r="E63">
        <v>9.929045860868034E-2</v>
      </c>
      <c r="F63">
        <v>-0.19233274267928485</v>
      </c>
      <c r="G63">
        <v>0.85423333332968876</v>
      </c>
      <c r="H63">
        <v>2.6007933356573715E-2</v>
      </c>
      <c r="I63">
        <v>0.40832503801699482</v>
      </c>
      <c r="J63">
        <v>0.31194439450754796</v>
      </c>
      <c r="L63">
        <v>0.84279092136134481</v>
      </c>
      <c r="M63">
        <v>3.0887103422005731</v>
      </c>
      <c r="N63">
        <v>2.8022412612820853</v>
      </c>
      <c r="P63">
        <v>1.3632781935978834E-12</v>
      </c>
      <c r="R63">
        <v>3.879698490595195</v>
      </c>
      <c r="S63">
        <v>3.8811004351956018</v>
      </c>
      <c r="T63">
        <v>1</v>
      </c>
      <c r="U63">
        <v>2.409062993440434</v>
      </c>
      <c r="W63">
        <f t="shared" ca="1" si="11"/>
        <v>0.16622385601250439</v>
      </c>
      <c r="X63">
        <f t="shared" ca="1" si="12"/>
        <v>-1.2043030912907131</v>
      </c>
      <c r="Y63">
        <f t="shared" ca="1" si="13"/>
        <v>0.89538961131815065</v>
      </c>
      <c r="AA63">
        <v>1.51</v>
      </c>
      <c r="AB63">
        <f t="shared" ca="1" si="5"/>
        <v>2.2796988620565024</v>
      </c>
      <c r="AC63" s="14">
        <f t="shared" ca="1" si="6"/>
        <v>0.50973434573278298</v>
      </c>
      <c r="AD63">
        <f t="shared" ca="1" si="7"/>
        <v>0.7696988620565024</v>
      </c>
    </row>
    <row r="64" spans="1:30">
      <c r="A64">
        <v>0.13848471073978533</v>
      </c>
      <c r="B64">
        <v>1.1661141443730645</v>
      </c>
      <c r="C64">
        <v>0.96013517375920643</v>
      </c>
      <c r="D64">
        <v>0.33815388168267518</v>
      </c>
      <c r="E64">
        <v>0.76205812685849972</v>
      </c>
      <c r="F64">
        <v>0.33966063428213356</v>
      </c>
      <c r="G64">
        <v>0.46829396488297714</v>
      </c>
      <c r="H64">
        <v>0.86075928629028631</v>
      </c>
      <c r="I64">
        <v>0.27582242059176365</v>
      </c>
      <c r="J64">
        <v>0</v>
      </c>
      <c r="L64">
        <v>0.84278978148646166</v>
      </c>
      <c r="M64">
        <v>3.0887109159010442</v>
      </c>
      <c r="N64">
        <v>2.8022401656374747</v>
      </c>
      <c r="P64">
        <v>4.8482000237769839E-12</v>
      </c>
      <c r="R64">
        <v>3.879698490595195</v>
      </c>
      <c r="S64">
        <v>3.8811004351956018</v>
      </c>
      <c r="T64">
        <v>1</v>
      </c>
      <c r="U64">
        <v>2.409062993440434</v>
      </c>
      <c r="W64">
        <f t="shared" ca="1" si="11"/>
        <v>2.1574967313155877E-2</v>
      </c>
      <c r="X64">
        <f t="shared" ca="1" si="12"/>
        <v>-1.2058577453238444</v>
      </c>
      <c r="Y64">
        <f t="shared" ca="1" si="13"/>
        <v>0.80833893771322618</v>
      </c>
      <c r="AA64">
        <v>1.51</v>
      </c>
      <c r="AB64">
        <f t="shared" ca="1" si="5"/>
        <v>2.1079702193954164</v>
      </c>
      <c r="AC64" s="14">
        <f t="shared" ca="1" si="6"/>
        <v>0.39600676781153399</v>
      </c>
      <c r="AD64">
        <f t="shared" ca="1" si="7"/>
        <v>0.59797021939541639</v>
      </c>
    </row>
    <row r="65" spans="1:30">
      <c r="A65">
        <v>0.14492093764752939</v>
      </c>
      <c r="B65">
        <v>1.1556398441193665</v>
      </c>
      <c r="C65">
        <v>0.95605162632234075</v>
      </c>
      <c r="D65">
        <v>0.33234213721618139</v>
      </c>
      <c r="E65">
        <v>-0.75349078389494395</v>
      </c>
      <c r="F65">
        <v>-0.86123802864489718</v>
      </c>
      <c r="G65">
        <v>0.39416649733342779</v>
      </c>
      <c r="H65">
        <v>0.61238038135107176</v>
      </c>
      <c r="I65">
        <v>0.76098974781931061</v>
      </c>
      <c r="J65">
        <v>0.27275454845138153</v>
      </c>
      <c r="L65">
        <v>0.84279074533251086</v>
      </c>
      <c r="M65">
        <v>3.0887103172283052</v>
      </c>
      <c r="N65">
        <v>2.8022412609160954</v>
      </c>
      <c r="P65">
        <v>1.417913827864916E-12</v>
      </c>
      <c r="R65">
        <v>3.879698490595195</v>
      </c>
      <c r="S65">
        <v>3.8811004351956018</v>
      </c>
      <c r="T65">
        <v>1</v>
      </c>
      <c r="U65">
        <v>2.409062993440434</v>
      </c>
      <c r="W65">
        <f t="shared" ca="1" si="11"/>
        <v>-0.11503137516440323</v>
      </c>
      <c r="X65">
        <f t="shared" ca="1" si="12"/>
        <v>-1.199208637978912</v>
      </c>
      <c r="Y65">
        <f t="shared" ca="1" si="13"/>
        <v>0.53175732032286094</v>
      </c>
      <c r="AA65">
        <v>1.51</v>
      </c>
      <c r="AB65">
        <f t="shared" ca="1" si="5"/>
        <v>1.7340994223924004</v>
      </c>
      <c r="AC65" s="14">
        <f t="shared" ca="1" si="6"/>
        <v>0.14841021350490102</v>
      </c>
      <c r="AD65">
        <f t="shared" ca="1" si="7"/>
        <v>0.22409942239240044</v>
      </c>
    </row>
    <row r="66" spans="1:30">
      <c r="A66">
        <v>0.13854209617614133</v>
      </c>
      <c r="B66">
        <v>1.1576639829749058</v>
      </c>
      <c r="C66">
        <v>0.97147832498984477</v>
      </c>
      <c r="D66">
        <v>0.25028333154492249</v>
      </c>
      <c r="E66">
        <v>7.9569783433124392E-3</v>
      </c>
      <c r="F66">
        <v>-0.20417675808406952</v>
      </c>
      <c r="G66">
        <v>0.64105289723879266</v>
      </c>
      <c r="H66">
        <v>0.56702781289220683</v>
      </c>
      <c r="I66">
        <v>0.33167433642129479</v>
      </c>
      <c r="J66">
        <v>0.72570283060070095</v>
      </c>
      <c r="L66">
        <v>0.84279030007750511</v>
      </c>
      <c r="M66">
        <v>3.0887103388564583</v>
      </c>
      <c r="N66">
        <v>2.8022410545419092</v>
      </c>
      <c r="P66">
        <v>2.059027536322944E-12</v>
      </c>
      <c r="R66">
        <v>3.879698490595195</v>
      </c>
      <c r="S66">
        <v>3.8811004351956018</v>
      </c>
      <c r="T66">
        <v>1</v>
      </c>
      <c r="U66">
        <v>2.409062993440434</v>
      </c>
      <c r="W66">
        <f t="shared" ca="1" si="11"/>
        <v>5.3786330704036808E-2</v>
      </c>
      <c r="X66">
        <f t="shared" ca="1" si="12"/>
        <v>-1.2025419400483737</v>
      </c>
      <c r="Y66">
        <f t="shared" ca="1" si="13"/>
        <v>0.74387951956228116</v>
      </c>
      <c r="AA66">
        <v>1.51</v>
      </c>
      <c r="AB66">
        <f t="shared" ca="1" si="5"/>
        <v>2.0023568265701206</v>
      </c>
      <c r="AC66" s="14">
        <f t="shared" ca="1" si="6"/>
        <v>0.32606412355637127</v>
      </c>
      <c r="AD66">
        <f t="shared" ca="1" si="7"/>
        <v>0.49235682657012059</v>
      </c>
    </row>
    <row r="67" spans="1:30">
      <c r="A67">
        <v>0.14819056573067152</v>
      </c>
      <c r="B67">
        <v>1.1645714128746276</v>
      </c>
      <c r="C67">
        <v>0.97350926997396303</v>
      </c>
      <c r="D67">
        <v>0.4164516800504342</v>
      </c>
      <c r="E67">
        <v>7.9403094700700033E-2</v>
      </c>
      <c r="F67">
        <v>1.3271141443792262E-2</v>
      </c>
      <c r="G67">
        <v>0.95671321421982858</v>
      </c>
      <c r="H67">
        <v>0.48096526559803193</v>
      </c>
      <c r="I67">
        <v>0.43959878966364851</v>
      </c>
      <c r="J67">
        <v>0.42885082482491721</v>
      </c>
      <c r="L67">
        <v>0.84279035941361158</v>
      </c>
      <c r="M67">
        <v>3.088710305511305</v>
      </c>
      <c r="N67">
        <v>2.802241114213917</v>
      </c>
      <c r="P67">
        <v>1.9365593195077728E-12</v>
      </c>
      <c r="R67">
        <v>3.879698490595195</v>
      </c>
      <c r="S67">
        <v>3.8811004351956018</v>
      </c>
      <c r="T67">
        <v>1</v>
      </c>
      <c r="U67">
        <v>2.409062993440434</v>
      </c>
      <c r="W67">
        <f t="shared" ca="1" si="11"/>
        <v>4.9173670812167239E-2</v>
      </c>
      <c r="X67">
        <f t="shared" ca="1" si="12"/>
        <v>-1.4150824582469608</v>
      </c>
      <c r="Y67">
        <f t="shared" ca="1" si="13"/>
        <v>0.37129386681109899</v>
      </c>
      <c r="AA67">
        <v>1.51</v>
      </c>
      <c r="AB67">
        <f t="shared" ca="1" si="5"/>
        <v>2.142735549070943</v>
      </c>
      <c r="AC67" s="14">
        <f t="shared" ca="1" si="6"/>
        <v>0.41903016494764445</v>
      </c>
      <c r="AD67">
        <f t="shared" ca="1" si="7"/>
        <v>0.63273554907094298</v>
      </c>
    </row>
    <row r="68" spans="1:30">
      <c r="A68">
        <v>0.1448898430207716</v>
      </c>
      <c r="B68">
        <v>1.1609469136892574</v>
      </c>
      <c r="C68">
        <v>0.96313753780438183</v>
      </c>
      <c r="D68">
        <v>-0.35776325399230358</v>
      </c>
      <c r="E68">
        <v>-0.47843076987939198</v>
      </c>
      <c r="F68">
        <v>-0.12693558556424295</v>
      </c>
      <c r="G68">
        <v>0.96103692523992246</v>
      </c>
      <c r="H68">
        <v>0.47185177484202473</v>
      </c>
      <c r="I68">
        <v>0.72386091570139366</v>
      </c>
      <c r="J68">
        <v>0.77713112286396324</v>
      </c>
      <c r="L68">
        <v>0.84279044120133129</v>
      </c>
      <c r="M68">
        <v>3.0887102725610158</v>
      </c>
      <c r="N68">
        <v>2.8022411347817777</v>
      </c>
      <c r="P68">
        <v>1.8812807840715584E-12</v>
      </c>
      <c r="R68">
        <v>3.879698490595195</v>
      </c>
      <c r="S68">
        <v>3.8811004351956018</v>
      </c>
      <c r="T68">
        <v>1</v>
      </c>
      <c r="U68">
        <v>2.409062993440434</v>
      </c>
      <c r="W68">
        <f t="shared" ca="1" si="11"/>
        <v>8.7765899237500722E-2</v>
      </c>
      <c r="X68">
        <f t="shared" ca="1" si="12"/>
        <v>-1.2831438730067646</v>
      </c>
      <c r="Y68">
        <f t="shared" ca="1" si="13"/>
        <v>0.75767132875247301</v>
      </c>
      <c r="AA68">
        <v>1.51</v>
      </c>
      <c r="AB68">
        <f t="shared" ca="1" si="5"/>
        <v>2.2282268943173049</v>
      </c>
      <c r="AC68" s="14">
        <f t="shared" ca="1" si="6"/>
        <v>0.47564694987900991</v>
      </c>
      <c r="AD68">
        <f t="shared" ca="1" si="7"/>
        <v>0.71822689431730491</v>
      </c>
    </row>
    <row r="69" spans="1:30">
      <c r="A69">
        <v>0.1409926835331132</v>
      </c>
      <c r="B69">
        <v>1.1606469389331553</v>
      </c>
      <c r="C69">
        <v>0.95652821316478254</v>
      </c>
      <c r="D69">
        <v>-0.1678516756098517</v>
      </c>
      <c r="E69">
        <v>9.8483909968660716E-2</v>
      </c>
      <c r="F69">
        <v>0.31398665850121982</v>
      </c>
      <c r="G69">
        <v>2.4957077249126155E-2</v>
      </c>
      <c r="H69">
        <v>0.10448532514206083</v>
      </c>
      <c r="I69">
        <v>0.11785934220612146</v>
      </c>
      <c r="J69">
        <v>0.1552553847720394</v>
      </c>
      <c r="L69">
        <v>0.84279069827441155</v>
      </c>
      <c r="M69">
        <v>3.0887103200652177</v>
      </c>
      <c r="N69">
        <v>2.802241259380565</v>
      </c>
      <c r="P69">
        <v>1.4289101628887588E-12</v>
      </c>
      <c r="R69">
        <v>3.879698490595195</v>
      </c>
      <c r="S69">
        <v>3.8811004351956018</v>
      </c>
      <c r="T69">
        <v>1</v>
      </c>
      <c r="U69">
        <v>2.409062993440434</v>
      </c>
      <c r="W69">
        <f t="shared" ca="1" si="11"/>
        <v>-2.5414146290024066E-2</v>
      </c>
      <c r="X69">
        <f t="shared" ca="1" si="12"/>
        <v>-1.3846826310907261</v>
      </c>
      <c r="Y69">
        <f t="shared" ca="1" si="13"/>
        <v>0.58420298665849557</v>
      </c>
      <c r="AA69">
        <v>1.51</v>
      </c>
      <c r="AB69">
        <f t="shared" ca="1" si="5"/>
        <v>2.2592849972966929</v>
      </c>
      <c r="AC69" s="14">
        <f t="shared" ca="1" si="6"/>
        <v>0.49621522999780976</v>
      </c>
      <c r="AD69">
        <f t="shared" ca="1" si="7"/>
        <v>0.74928499729669285</v>
      </c>
    </row>
    <row r="70" spans="1:30">
      <c r="A70">
        <v>0.14349884444428485</v>
      </c>
      <c r="B70">
        <v>1.1537226251282622</v>
      </c>
      <c r="C70">
        <v>0.97069884706394582</v>
      </c>
      <c r="D70">
        <v>0.25710608905081961</v>
      </c>
      <c r="E70">
        <v>4.1513266407283415E-2</v>
      </c>
      <c r="F70">
        <v>-0.56188659570791732</v>
      </c>
      <c r="G70">
        <v>0.39502962688863247</v>
      </c>
      <c r="H70">
        <v>0.13054461422043517</v>
      </c>
      <c r="I70">
        <v>0.90832173118850223</v>
      </c>
      <c r="J70">
        <v>0.66622539336616349</v>
      </c>
      <c r="L70">
        <v>0.8427904712099562</v>
      </c>
      <c r="M70">
        <v>3.0887102644071276</v>
      </c>
      <c r="N70">
        <v>2.8022411157803679</v>
      </c>
      <c r="P70">
        <v>1.9073982124664518E-12</v>
      </c>
      <c r="R70">
        <v>3.879698490595195</v>
      </c>
      <c r="S70">
        <v>3.8811004351956018</v>
      </c>
      <c r="T70">
        <v>1</v>
      </c>
      <c r="U70">
        <v>2.409062993440434</v>
      </c>
      <c r="W70">
        <f t="shared" ca="1" si="11"/>
        <v>2.8293634743358716E-2</v>
      </c>
      <c r="X70">
        <f t="shared" ca="1" si="12"/>
        <v>-1.2548787795613805</v>
      </c>
      <c r="Y70">
        <f t="shared" ca="1" si="13"/>
        <v>0.69484789068363884</v>
      </c>
      <c r="AA70">
        <v>1.51</v>
      </c>
      <c r="AB70">
        <f t="shared" ca="1" si="5"/>
        <v>2.0583348723479524</v>
      </c>
      <c r="AC70" s="14">
        <f t="shared" ca="1" si="6"/>
        <v>0.36313567705162408</v>
      </c>
      <c r="AD70">
        <f t="shared" ca="1" si="7"/>
        <v>0.54833487234795242</v>
      </c>
    </row>
    <row r="71" spans="1:30">
      <c r="A71">
        <v>6.1507032435961144E-4</v>
      </c>
      <c r="B71">
        <v>1.0730512385786337</v>
      </c>
      <c r="C71">
        <v>0.98995289685366761</v>
      </c>
      <c r="D71">
        <v>0.65612739729583369</v>
      </c>
      <c r="E71">
        <v>0.63934014408177109</v>
      </c>
      <c r="F71">
        <v>-0.26843381995878046</v>
      </c>
      <c r="G71">
        <v>0.263285002986404</v>
      </c>
      <c r="H71">
        <v>0.22650127887219107</v>
      </c>
      <c r="I71">
        <v>0.3440475374979598</v>
      </c>
      <c r="J71">
        <v>0.8032242183134165</v>
      </c>
      <c r="L71">
        <v>1.5751683479821719</v>
      </c>
      <c r="M71">
        <v>1.8919380917299815</v>
      </c>
      <c r="N71">
        <v>3.0887092329593409</v>
      </c>
      <c r="P71">
        <v>5.4078432662936853E-12</v>
      </c>
      <c r="R71">
        <v>7.3489080575917889</v>
      </c>
      <c r="S71">
        <v>7.3654400484483462</v>
      </c>
      <c r="T71">
        <v>1</v>
      </c>
      <c r="U71">
        <v>2.6163177829877382</v>
      </c>
    </row>
    <row r="72" spans="1:30">
      <c r="A72">
        <v>4.458880761412324E-3</v>
      </c>
      <c r="B72">
        <v>1.0976548396568417</v>
      </c>
      <c r="C72">
        <v>0.94009053358409733</v>
      </c>
      <c r="D72">
        <v>9.4057094012110376E-2</v>
      </c>
      <c r="E72">
        <v>0.11295382378094247</v>
      </c>
      <c r="F72">
        <v>-0.3962370846673085</v>
      </c>
      <c r="G72">
        <v>0.45339829404292714</v>
      </c>
      <c r="H72">
        <v>0.98354302429318952</v>
      </c>
      <c r="I72">
        <v>0.61511768919103804</v>
      </c>
      <c r="J72">
        <v>0.53960493497639173</v>
      </c>
      <c r="L72">
        <v>1.5751683960308511</v>
      </c>
      <c r="M72">
        <v>1.891938022948549</v>
      </c>
      <c r="N72">
        <v>3.0887091007923506</v>
      </c>
      <c r="P72">
        <v>6.1268046808958271E-12</v>
      </c>
      <c r="R72">
        <v>7.3489080575917889</v>
      </c>
      <c r="S72">
        <v>7.3654400484483462</v>
      </c>
      <c r="T72">
        <v>1</v>
      </c>
      <c r="U72">
        <v>2.6163177829877382</v>
      </c>
    </row>
    <row r="73" spans="1:30">
      <c r="A73">
        <v>1.5335513291297518E-4</v>
      </c>
      <c r="B73">
        <v>1.0984164852879188</v>
      </c>
      <c r="C73">
        <v>0.94914566261895428</v>
      </c>
      <c r="D73">
        <v>0.10306261652395932</v>
      </c>
      <c r="E73">
        <v>-0.45710428258354857</v>
      </c>
      <c r="F73">
        <v>-0.19358663969054493</v>
      </c>
      <c r="G73">
        <v>0.62645316548288033</v>
      </c>
      <c r="H73">
        <v>0.5694679458219537</v>
      </c>
      <c r="I73">
        <v>0.21438636777156403</v>
      </c>
      <c r="J73">
        <v>0.11649625147861464</v>
      </c>
      <c r="L73">
        <v>1.5751683769374596</v>
      </c>
      <c r="M73">
        <v>1.8919380068606406</v>
      </c>
      <c r="N73">
        <v>3.0887091101081188</v>
      </c>
      <c r="P73">
        <v>6.0598749932025142E-12</v>
      </c>
      <c r="R73">
        <v>7.3489080575917889</v>
      </c>
      <c r="S73">
        <v>7.3654400484483462</v>
      </c>
      <c r="T73">
        <v>1</v>
      </c>
      <c r="U73">
        <v>2.6163177829877382</v>
      </c>
    </row>
    <row r="74" spans="1:30">
      <c r="A74">
        <v>-1.7513335241669088E-3</v>
      </c>
      <c r="B74">
        <v>1.084308304849684</v>
      </c>
      <c r="C74">
        <v>0.97808648350776428</v>
      </c>
      <c r="D74">
        <v>0.11521519551520656</v>
      </c>
      <c r="E74">
        <v>-0.10797248226904275</v>
      </c>
      <c r="F74">
        <v>4.7130351122735725E-2</v>
      </c>
      <c r="G74">
        <v>0.88735381520425893</v>
      </c>
      <c r="H74">
        <v>0.29539163494714898</v>
      </c>
      <c r="I74">
        <v>0.55565367445068381</v>
      </c>
      <c r="J74">
        <v>0.93097417033652008</v>
      </c>
      <c r="L74">
        <v>1.5751679813486454</v>
      </c>
      <c r="M74">
        <v>1.8919379797676894</v>
      </c>
      <c r="N74">
        <v>3.0887091021362951</v>
      </c>
      <c r="P74">
        <v>5.3372234670258571E-12</v>
      </c>
      <c r="R74">
        <v>7.3489080575917889</v>
      </c>
      <c r="S74">
        <v>7.3654400484483462</v>
      </c>
      <c r="T74">
        <v>1</v>
      </c>
      <c r="U74">
        <v>2.6163177829877382</v>
      </c>
    </row>
    <row r="75" spans="1:30">
      <c r="A75">
        <v>-3.523868482054509E-3</v>
      </c>
      <c r="B75">
        <v>1.0835350650567692</v>
      </c>
      <c r="C75">
        <v>0.98358246709643082</v>
      </c>
      <c r="D75">
        <v>5.467648374491197E-2</v>
      </c>
      <c r="E75">
        <v>2.2658618427295576E-2</v>
      </c>
      <c r="F75">
        <v>0.18352036748724329</v>
      </c>
      <c r="G75">
        <v>0.9964384052781281</v>
      </c>
      <c r="H75">
        <v>0.10147390859628223</v>
      </c>
      <c r="I75">
        <v>0.7626322032055135</v>
      </c>
      <c r="J75">
        <v>0.90951364021342007</v>
      </c>
      <c r="L75">
        <v>1.575168290401582</v>
      </c>
      <c r="M75">
        <v>1.8919379559062859</v>
      </c>
      <c r="N75">
        <v>3.0887092068922697</v>
      </c>
      <c r="P75">
        <v>5.5276689247549706E-12</v>
      </c>
      <c r="R75">
        <v>7.3489080575917889</v>
      </c>
      <c r="S75">
        <v>7.3654400484483462</v>
      </c>
      <c r="T75">
        <v>1</v>
      </c>
      <c r="U75">
        <v>2.6163177829877382</v>
      </c>
    </row>
    <row r="76" spans="1:30">
      <c r="A76">
        <v>3.1973842151839329E-4</v>
      </c>
      <c r="B76">
        <v>1.0923374514513358</v>
      </c>
      <c r="C76">
        <v>0.963990849505447</v>
      </c>
      <c r="D76">
        <v>0.6169616710350817</v>
      </c>
      <c r="E76">
        <v>0.37581106254434482</v>
      </c>
      <c r="F76">
        <v>0.13863860705229408</v>
      </c>
      <c r="G76">
        <v>0.44641658938104112</v>
      </c>
      <c r="H76">
        <v>0.49271743894988812</v>
      </c>
      <c r="I76">
        <v>0.39582043327694921</v>
      </c>
      <c r="J76">
        <v>0.22345886020463962</v>
      </c>
      <c r="L76">
        <v>1.575167450426626</v>
      </c>
      <c r="M76">
        <v>1.8919382408441003</v>
      </c>
      <c r="N76">
        <v>3.0887090574193925</v>
      </c>
      <c r="P76">
        <v>4.7225285892614582E-12</v>
      </c>
      <c r="R76">
        <v>7.3489080575917889</v>
      </c>
      <c r="S76">
        <v>7.3654400484483462</v>
      </c>
      <c r="T76">
        <v>1</v>
      </c>
      <c r="U76">
        <v>2.6163177829877382</v>
      </c>
    </row>
    <row r="77" spans="1:30">
      <c r="A77">
        <v>6.2589145997169774E-3</v>
      </c>
      <c r="B77">
        <v>1.0984813489290479</v>
      </c>
      <c r="C77">
        <v>0.95507568016160282</v>
      </c>
      <c r="D77">
        <v>0.42352690375144236</v>
      </c>
      <c r="E77">
        <v>0.8321628744532048</v>
      </c>
      <c r="F77">
        <v>0.72459479854659559</v>
      </c>
      <c r="G77">
        <v>0.22204676251659056</v>
      </c>
      <c r="H77">
        <v>0.57993388187908368</v>
      </c>
      <c r="I77">
        <v>2.7074218758410248E-2</v>
      </c>
      <c r="J77">
        <v>0.50573100216011369</v>
      </c>
      <c r="L77">
        <v>1.5751682917984333</v>
      </c>
      <c r="M77">
        <v>1.8919378817809447</v>
      </c>
      <c r="N77">
        <v>3.0887091420408974</v>
      </c>
      <c r="P77">
        <v>5.888328790531047E-12</v>
      </c>
      <c r="R77">
        <v>7.3489080575917889</v>
      </c>
      <c r="S77">
        <v>7.3654400484483462</v>
      </c>
      <c r="T77">
        <v>1</v>
      </c>
      <c r="U77">
        <v>2.6163177829877382</v>
      </c>
    </row>
    <row r="78" spans="1:30">
      <c r="A78">
        <v>1.6031842829109879E-3</v>
      </c>
      <c r="B78">
        <v>1.092590151660662</v>
      </c>
      <c r="C78">
        <v>0.95326298283297495</v>
      </c>
      <c r="D78">
        <v>0.46242106841077735</v>
      </c>
      <c r="E78">
        <v>-0.34077722197261695</v>
      </c>
      <c r="F78">
        <v>0.17840894857497996</v>
      </c>
      <c r="G78">
        <v>0.5002436034949358</v>
      </c>
      <c r="H78">
        <v>0.85775861126349773</v>
      </c>
      <c r="I78">
        <v>0.19776393937412196</v>
      </c>
      <c r="J78">
        <v>0.94111173602822396</v>
      </c>
      <c r="L78">
        <v>1.5751683676137642</v>
      </c>
      <c r="M78">
        <v>1.8919380074068948</v>
      </c>
      <c r="N78">
        <v>3.088709135260582</v>
      </c>
      <c r="P78">
        <v>5.9331532330653182E-12</v>
      </c>
      <c r="R78">
        <v>7.3489080575917889</v>
      </c>
      <c r="S78">
        <v>7.3654400484483462</v>
      </c>
      <c r="T78">
        <v>1</v>
      </c>
      <c r="U78">
        <v>2.6163177829877382</v>
      </c>
    </row>
    <row r="79" spans="1:30">
      <c r="A79">
        <v>3.8990760579667589E-4</v>
      </c>
      <c r="B79">
        <v>1.0839858485412002</v>
      </c>
      <c r="C79">
        <v>0.98870506561819849</v>
      </c>
      <c r="D79">
        <v>0.55182628679736478</v>
      </c>
      <c r="E79">
        <v>0.20562771833975085</v>
      </c>
      <c r="F79">
        <v>2.5943395311981612E-2</v>
      </c>
      <c r="G79">
        <v>0.85215147973626315</v>
      </c>
      <c r="H79">
        <v>0.35809787125864739</v>
      </c>
      <c r="I79">
        <v>0.11226314543440175</v>
      </c>
      <c r="J79">
        <v>0.49303417214960099</v>
      </c>
      <c r="L79">
        <v>1.5751684514612585</v>
      </c>
      <c r="M79">
        <v>1.8919381998764988</v>
      </c>
      <c r="N79">
        <v>3.0887092147487598</v>
      </c>
      <c r="P79">
        <v>5.6396141756222406E-12</v>
      </c>
      <c r="R79">
        <v>7.3489080575917889</v>
      </c>
      <c r="S79">
        <v>7.3654400484483462</v>
      </c>
      <c r="T79">
        <v>1</v>
      </c>
      <c r="U79">
        <v>2.6163177829877382</v>
      </c>
    </row>
    <row r="80" spans="1:30">
      <c r="A80">
        <v>4.8966661601630964E-3</v>
      </c>
      <c r="B80">
        <v>1.0800454283475065</v>
      </c>
      <c r="C80">
        <v>0.97093144698385658</v>
      </c>
      <c r="D80">
        <v>0.32526456903589007</v>
      </c>
      <c r="E80">
        <v>0.5135906577083359</v>
      </c>
      <c r="F80">
        <v>-0.56048656524802487</v>
      </c>
      <c r="G80">
        <v>0.14044545271545086</v>
      </c>
      <c r="H80">
        <v>0.51055595593852132</v>
      </c>
      <c r="I80">
        <v>0.15809437083646991</v>
      </c>
      <c r="J80">
        <v>0.70516674550375313</v>
      </c>
      <c r="L80">
        <v>1.5751683699476602</v>
      </c>
      <c r="M80">
        <v>1.8919380877512595</v>
      </c>
      <c r="N80">
        <v>3.08870918564216</v>
      </c>
      <c r="P80">
        <v>5.6506197783651818E-12</v>
      </c>
      <c r="R80">
        <v>7.3489080575917889</v>
      </c>
      <c r="S80">
        <v>7.3654400484483462</v>
      </c>
      <c r="T80">
        <v>1</v>
      </c>
      <c r="U80">
        <v>2.6163177829877382</v>
      </c>
    </row>
    <row r="81" spans="1:21">
      <c r="A81">
        <v>-9.8167352035369282E-4</v>
      </c>
      <c r="B81">
        <v>1.1662564239867432</v>
      </c>
      <c r="C81">
        <v>0.87852058515651876</v>
      </c>
      <c r="D81">
        <v>-0.28652897848423176</v>
      </c>
      <c r="E81">
        <v>0.40693979315836576</v>
      </c>
      <c r="F81">
        <v>0.2715948802536674</v>
      </c>
      <c r="G81">
        <v>0.86464386117198211</v>
      </c>
      <c r="H81">
        <v>0.27070273125961097</v>
      </c>
      <c r="I81">
        <v>0.50740131931841603</v>
      </c>
      <c r="J81">
        <v>0.43515690330849416</v>
      </c>
      <c r="L81">
        <v>1.5751668952955065</v>
      </c>
      <c r="M81">
        <v>1.891938149770668</v>
      </c>
      <c r="N81">
        <v>2.8022412717009866</v>
      </c>
      <c r="P81">
        <v>8.8455167237348089E-13</v>
      </c>
      <c r="R81">
        <v>3.1635782706465303</v>
      </c>
      <c r="S81">
        <v>3.1648692167093064</v>
      </c>
      <c r="T81">
        <v>1</v>
      </c>
      <c r="U81">
        <v>2.3876783103034156</v>
      </c>
    </row>
    <row r="82" spans="1:21">
      <c r="A82">
        <v>3.4950461272304206E-4</v>
      </c>
      <c r="B82">
        <v>1.1543432452110443</v>
      </c>
      <c r="C82">
        <v>0.88335799430526341</v>
      </c>
      <c r="D82">
        <v>-0.15951230159450031</v>
      </c>
      <c r="E82">
        <v>6.0786306381644922E-2</v>
      </c>
      <c r="F82">
        <v>-0.47454234431030373</v>
      </c>
      <c r="G82">
        <v>0.57836354209076457</v>
      </c>
      <c r="H82">
        <v>0.43847775364851593</v>
      </c>
      <c r="I82">
        <v>0.2155095403276705</v>
      </c>
      <c r="J82">
        <v>0.94664339372774253</v>
      </c>
      <c r="L82">
        <v>1.5751668415386464</v>
      </c>
      <c r="M82">
        <v>1.8919381581360137</v>
      </c>
      <c r="N82">
        <v>2.802241278399245</v>
      </c>
      <c r="P82">
        <v>9.0104314074835478E-13</v>
      </c>
      <c r="R82">
        <v>3.1635782706465303</v>
      </c>
      <c r="S82">
        <v>3.1648692167093064</v>
      </c>
      <c r="T82">
        <v>1</v>
      </c>
      <c r="U82">
        <v>2.3876783103034156</v>
      </c>
    </row>
    <row r="83" spans="1:21">
      <c r="A83">
        <v>-5.9448462472865438E-4</v>
      </c>
      <c r="B83">
        <v>1.1653437327778884</v>
      </c>
      <c r="C83">
        <v>0.87955876981138825</v>
      </c>
      <c r="D83">
        <v>0.50989350518807131</v>
      </c>
      <c r="E83">
        <v>0.22250427566386716</v>
      </c>
      <c r="F83">
        <v>0.15009073805820369</v>
      </c>
      <c r="G83">
        <v>0.83270258361630212</v>
      </c>
      <c r="H83">
        <v>0.79702797249851054</v>
      </c>
      <c r="I83">
        <v>0.26801723785893677</v>
      </c>
      <c r="J83">
        <v>0.41499597650345382</v>
      </c>
      <c r="L83">
        <v>1.5751669418867553</v>
      </c>
      <c r="M83">
        <v>1.8919381382142491</v>
      </c>
      <c r="N83">
        <v>2.8022412900488236</v>
      </c>
      <c r="P83">
        <v>8.4088555429930952E-13</v>
      </c>
      <c r="R83">
        <v>3.1635782706465303</v>
      </c>
      <c r="S83">
        <v>3.1648692167093064</v>
      </c>
      <c r="T83">
        <v>1</v>
      </c>
      <c r="U83">
        <v>2.3876783103034156</v>
      </c>
    </row>
    <row r="84" spans="1:21">
      <c r="A84">
        <v>-5.6950997427557644E-3</v>
      </c>
      <c r="B84">
        <v>1.1554154629293274</v>
      </c>
      <c r="C84">
        <v>0.86100204278282555</v>
      </c>
      <c r="D84">
        <v>-0.13755813186730872</v>
      </c>
      <c r="E84">
        <v>-0.29288976906536801</v>
      </c>
      <c r="F84">
        <v>-0.72551788106273518</v>
      </c>
      <c r="G84">
        <v>9.3551305478592764E-2</v>
      </c>
      <c r="H84">
        <v>0.28194090085095241</v>
      </c>
      <c r="I84">
        <v>0.79293815572429627</v>
      </c>
      <c r="J84">
        <v>0.18660062634098368</v>
      </c>
      <c r="L84">
        <v>1.5751669094157361</v>
      </c>
      <c r="M84">
        <v>1.8919380728350244</v>
      </c>
      <c r="N84">
        <v>2.8022412658733025</v>
      </c>
      <c r="P84">
        <v>9.5612204176759273E-13</v>
      </c>
      <c r="R84">
        <v>3.1635782706465303</v>
      </c>
      <c r="S84">
        <v>3.1648692167093064</v>
      </c>
      <c r="T84">
        <v>1</v>
      </c>
      <c r="U84">
        <v>2.3876783103034156</v>
      </c>
    </row>
    <row r="85" spans="1:21">
      <c r="A85">
        <v>-4.8868290856939594E-3</v>
      </c>
      <c r="B85">
        <v>1.1614490172442473</v>
      </c>
      <c r="C85">
        <v>0.86178494862569377</v>
      </c>
      <c r="D85">
        <v>0.55279983916667119</v>
      </c>
      <c r="E85">
        <v>0.182412639273281</v>
      </c>
      <c r="F85">
        <v>6.5883658121001248E-2</v>
      </c>
      <c r="G85">
        <v>0.26999371207956074</v>
      </c>
      <c r="H85">
        <v>0.72194388976674717</v>
      </c>
      <c r="I85">
        <v>0.97112957750082374</v>
      </c>
      <c r="J85">
        <v>0.25482464603447219</v>
      </c>
      <c r="L85">
        <v>1.5751669058299624</v>
      </c>
      <c r="M85">
        <v>1.8919380775694703</v>
      </c>
      <c r="N85">
        <v>2.8022412605990721</v>
      </c>
      <c r="P85">
        <v>9.6187563983837602E-13</v>
      </c>
      <c r="R85">
        <v>3.1635782706465303</v>
      </c>
      <c r="S85">
        <v>3.1648692167093064</v>
      </c>
      <c r="T85">
        <v>1</v>
      </c>
      <c r="U85">
        <v>2.3876783103034156</v>
      </c>
    </row>
    <row r="86" spans="1:21">
      <c r="A86">
        <v>1.930134566226629E-3</v>
      </c>
      <c r="B86">
        <v>1.1645503061969471</v>
      </c>
      <c r="C86">
        <v>0.86567602734873406</v>
      </c>
      <c r="D86">
        <v>9.0678690071419127E-2</v>
      </c>
      <c r="E86">
        <v>-2.011512540849866E-2</v>
      </c>
      <c r="F86">
        <v>-8.0251528463836874E-2</v>
      </c>
      <c r="G86">
        <v>0.55176083916575991</v>
      </c>
      <c r="H86">
        <v>0.87609226985921829</v>
      </c>
      <c r="I86">
        <v>0.16850689373437355</v>
      </c>
      <c r="J86">
        <v>8.606225660547577E-2</v>
      </c>
      <c r="L86">
        <v>1.5751668302198583</v>
      </c>
      <c r="M86">
        <v>1.8919381140654994</v>
      </c>
      <c r="N86">
        <v>2.8022413001661319</v>
      </c>
      <c r="P86">
        <v>9.1332676550012537E-13</v>
      </c>
      <c r="R86">
        <v>3.1635782706465303</v>
      </c>
      <c r="S86">
        <v>3.1648692167093064</v>
      </c>
      <c r="T86">
        <v>1</v>
      </c>
      <c r="U86">
        <v>2.3876783103034156</v>
      </c>
    </row>
    <row r="87" spans="1:21">
      <c r="A87">
        <v>1.3191176435740494E-3</v>
      </c>
      <c r="B87">
        <v>1.1605761184164218</v>
      </c>
      <c r="C87">
        <v>0.87555751721481168</v>
      </c>
      <c r="D87">
        <v>0.24213213130624253</v>
      </c>
      <c r="E87">
        <v>0.21289789286854965</v>
      </c>
      <c r="F87">
        <v>-1.2958611990178547E-2</v>
      </c>
      <c r="G87">
        <v>0.55580752849062498</v>
      </c>
      <c r="H87">
        <v>0.77015315507201054</v>
      </c>
      <c r="I87">
        <v>0.2183018148265681</v>
      </c>
      <c r="J87">
        <v>0.56643066071203607</v>
      </c>
      <c r="L87">
        <v>1.5751668427399839</v>
      </c>
      <c r="M87">
        <v>1.8919381410560259</v>
      </c>
      <c r="N87">
        <v>2.8022412167671695</v>
      </c>
      <c r="P87">
        <v>1.0150151465117289E-12</v>
      </c>
      <c r="R87">
        <v>3.1635782706465303</v>
      </c>
      <c r="S87">
        <v>3.1648692167093064</v>
      </c>
      <c r="T87">
        <v>1</v>
      </c>
      <c r="U87">
        <v>2.3876783103034156</v>
      </c>
    </row>
    <row r="88" spans="1:21">
      <c r="A88">
        <v>5.8760013886910451E-3</v>
      </c>
      <c r="B88">
        <v>1.1610053770123439</v>
      </c>
      <c r="C88">
        <v>0.85888453352389671</v>
      </c>
      <c r="D88">
        <v>-0.90998549606202739</v>
      </c>
      <c r="E88">
        <v>0.39277394267690996</v>
      </c>
      <c r="F88">
        <v>0.43567458820199101</v>
      </c>
      <c r="G88">
        <v>0.27078714690853495</v>
      </c>
      <c r="H88">
        <v>0.52702271448166826</v>
      </c>
      <c r="I88">
        <v>0.37997681547755568</v>
      </c>
      <c r="J88">
        <v>0.59930536696267223</v>
      </c>
      <c r="L88">
        <v>1.5751669088684712</v>
      </c>
      <c r="M88">
        <v>1.8919381158907318</v>
      </c>
      <c r="N88">
        <v>2.8022412532164953</v>
      </c>
      <c r="P88">
        <v>9.3596952752760347E-13</v>
      </c>
      <c r="R88">
        <v>3.1635782706465303</v>
      </c>
      <c r="S88">
        <v>3.1648692167093064</v>
      </c>
      <c r="T88">
        <v>1</v>
      </c>
      <c r="U88">
        <v>2.3876783103034156</v>
      </c>
    </row>
    <row r="89" spans="1:21">
      <c r="A89">
        <v>-3.5698924780992363E-3</v>
      </c>
      <c r="B89">
        <v>1.1528324681132986</v>
      </c>
      <c r="C89">
        <v>0.87196951023256442</v>
      </c>
      <c r="D89">
        <v>2.4824155256377153E-2</v>
      </c>
      <c r="E89">
        <v>0.11990856252698863</v>
      </c>
      <c r="F89">
        <v>-0.13940733604541608</v>
      </c>
      <c r="G89">
        <v>3.9458120223402997E-2</v>
      </c>
      <c r="H89">
        <v>0.21264144884574054</v>
      </c>
      <c r="I89">
        <v>0.54546730881070693</v>
      </c>
      <c r="J89">
        <v>0.82377817099192974</v>
      </c>
      <c r="L89">
        <v>1.5751668676477719</v>
      </c>
      <c r="M89">
        <v>1.891938140754083</v>
      </c>
      <c r="N89">
        <v>2.8022412203279732</v>
      </c>
      <c r="P89">
        <v>9.9285957335151247E-13</v>
      </c>
      <c r="R89">
        <v>3.1635782706465303</v>
      </c>
      <c r="S89">
        <v>3.1648692167093064</v>
      </c>
      <c r="T89">
        <v>1</v>
      </c>
      <c r="U89">
        <v>2.3876783103034156</v>
      </c>
    </row>
    <row r="90" spans="1:21">
      <c r="A90">
        <v>-1.3157608406515352E-3</v>
      </c>
      <c r="B90">
        <v>1.1612021974807634</v>
      </c>
      <c r="C90">
        <v>0.86586139437065257</v>
      </c>
      <c r="D90">
        <v>-0.29757533548884391</v>
      </c>
      <c r="E90">
        <v>0.15679098686004306</v>
      </c>
      <c r="F90">
        <v>0.24618738701857118</v>
      </c>
      <c r="G90">
        <v>0.23863086834843633</v>
      </c>
      <c r="H90">
        <v>0.22368998914626398</v>
      </c>
      <c r="I90">
        <v>0.40587662210278486</v>
      </c>
      <c r="J90">
        <v>0.37346179752818554</v>
      </c>
      <c r="L90">
        <v>1.5751668375528785</v>
      </c>
      <c r="M90">
        <v>1.8919381086793445</v>
      </c>
      <c r="N90">
        <v>2.8022411905308839</v>
      </c>
      <c r="P90">
        <v>1.0923715447089594E-12</v>
      </c>
      <c r="R90">
        <v>3.1635782706465303</v>
      </c>
      <c r="S90">
        <v>3.1648692167093064</v>
      </c>
      <c r="T90">
        <v>1</v>
      </c>
      <c r="U90">
        <v>2.3876783103034156</v>
      </c>
    </row>
    <row r="91" spans="1:21">
      <c r="A91">
        <v>-0.18879888049996096</v>
      </c>
      <c r="B91">
        <v>1.1657068283055494</v>
      </c>
      <c r="C91">
        <v>0.52374485091797862</v>
      </c>
      <c r="D91">
        <v>0.5817815250115963</v>
      </c>
      <c r="E91">
        <v>-0.38818984917759708</v>
      </c>
      <c r="F91">
        <v>0.25701197552525579</v>
      </c>
      <c r="G91">
        <v>0.36340467637631557</v>
      </c>
      <c r="H91">
        <v>1.8425524551475617E-2</v>
      </c>
      <c r="I91">
        <v>0.54909621134268949</v>
      </c>
      <c r="J91">
        <v>0.8235287730905686</v>
      </c>
      <c r="L91">
        <v>1.575167399388876</v>
      </c>
      <c r="M91">
        <v>3.0887104421169123</v>
      </c>
      <c r="N91">
        <v>2.8022423172353577</v>
      </c>
      <c r="P91">
        <v>6.6910578903883277E-13</v>
      </c>
      <c r="R91">
        <v>21.15355593936761</v>
      </c>
      <c r="S91">
        <v>21.390548698925272</v>
      </c>
      <c r="T91">
        <v>1</v>
      </c>
      <c r="U91">
        <v>2.4089871765427575</v>
      </c>
    </row>
    <row r="92" spans="1:21">
      <c r="A92">
        <v>-0.15404097169153283</v>
      </c>
      <c r="B92">
        <v>1.1676739057686469</v>
      </c>
      <c r="C92">
        <v>0.5796506177370051</v>
      </c>
      <c r="D92">
        <v>0.23384396660685727</v>
      </c>
      <c r="E92">
        <v>-0.30531895860012237</v>
      </c>
      <c r="F92">
        <v>0.30367307958245027</v>
      </c>
      <c r="G92">
        <v>0.69612616649135928</v>
      </c>
      <c r="H92">
        <v>0.41889532175017608</v>
      </c>
      <c r="I92">
        <v>0.17232041959915678</v>
      </c>
      <c r="J92">
        <v>0.85377106002386782</v>
      </c>
      <c r="L92">
        <v>1.5751673648008182</v>
      </c>
      <c r="M92">
        <v>3.0887104441568853</v>
      </c>
      <c r="N92">
        <v>2.802242316274989</v>
      </c>
      <c r="P92">
        <v>6.5189937315444799E-13</v>
      </c>
      <c r="R92">
        <v>21.15355593936761</v>
      </c>
      <c r="S92">
        <v>21.390548698925272</v>
      </c>
      <c r="T92">
        <v>1</v>
      </c>
      <c r="U92">
        <v>2.4089871765427575</v>
      </c>
    </row>
    <row r="93" spans="1:21">
      <c r="A93">
        <v>-0.18134978846714475</v>
      </c>
      <c r="B93">
        <v>1.1705183580276188</v>
      </c>
      <c r="C93">
        <v>0.53125103436366583</v>
      </c>
      <c r="D93">
        <v>0.67760381735390174</v>
      </c>
      <c r="E93">
        <v>-0.6441013142173927</v>
      </c>
      <c r="F93">
        <v>0.33568399546344885</v>
      </c>
      <c r="G93">
        <v>0.66524530865239906</v>
      </c>
      <c r="H93">
        <v>0.42690875587458282</v>
      </c>
      <c r="I93">
        <v>0.18016629911360332</v>
      </c>
      <c r="J93">
        <v>0.63262249936441062</v>
      </c>
      <c r="L93">
        <v>1.5751673172052874</v>
      </c>
      <c r="M93">
        <v>3.0887104398763547</v>
      </c>
      <c r="N93">
        <v>2.8022422862181959</v>
      </c>
      <c r="P93">
        <v>6.2906316636173475E-13</v>
      </c>
      <c r="R93">
        <v>21.15355593936761</v>
      </c>
      <c r="S93">
        <v>21.390548698925272</v>
      </c>
      <c r="T93">
        <v>1</v>
      </c>
      <c r="U93">
        <v>2.4089871765427575</v>
      </c>
    </row>
    <row r="94" spans="1:21">
      <c r="A94">
        <v>-0.11254884703160301</v>
      </c>
      <c r="B94">
        <v>1.1671869114665039</v>
      </c>
      <c r="C94">
        <v>0.63661194519442377</v>
      </c>
      <c r="D94">
        <v>-0.57661772872696382</v>
      </c>
      <c r="E94">
        <v>0.78287492949848037</v>
      </c>
      <c r="F94">
        <v>0.20963847489093679</v>
      </c>
      <c r="G94">
        <v>0.57485583483215164</v>
      </c>
      <c r="H94">
        <v>0.54498216081838669</v>
      </c>
      <c r="I94">
        <v>0.82451353306505393</v>
      </c>
      <c r="J94">
        <v>0.58714636999113079</v>
      </c>
      <c r="L94">
        <v>1.5751672518014435</v>
      </c>
      <c r="M94">
        <v>3.0887103513212377</v>
      </c>
      <c r="N94">
        <v>2.8022422664082636</v>
      </c>
      <c r="P94">
        <v>7.4807945877080754E-13</v>
      </c>
      <c r="R94">
        <v>21.15355593936761</v>
      </c>
      <c r="S94">
        <v>21.390548698925272</v>
      </c>
      <c r="T94">
        <v>1</v>
      </c>
      <c r="U94">
        <v>2.4089871765427575</v>
      </c>
    </row>
    <row r="95" spans="1:21">
      <c r="A95">
        <v>-0.13265510401299674</v>
      </c>
      <c r="B95">
        <v>1.1621519934271032</v>
      </c>
      <c r="C95">
        <v>0.60980237920770208</v>
      </c>
      <c r="D95">
        <v>-0.11370390477297768</v>
      </c>
      <c r="E95">
        <v>0.34670042714529875</v>
      </c>
      <c r="F95">
        <v>-0.25469005967513292</v>
      </c>
      <c r="G95">
        <v>0.38144395996090907</v>
      </c>
      <c r="H95">
        <v>0.45167539540859686</v>
      </c>
      <c r="I95">
        <v>0.90301087697710158</v>
      </c>
      <c r="J95">
        <v>0.6814723780483567</v>
      </c>
      <c r="L95">
        <v>1.5751673258483392</v>
      </c>
      <c r="M95">
        <v>3.0887103898809931</v>
      </c>
      <c r="N95">
        <v>2.8022423015512969</v>
      </c>
      <c r="P95">
        <v>7.1594653268033362E-13</v>
      </c>
      <c r="R95">
        <v>21.15355593936761</v>
      </c>
      <c r="S95">
        <v>21.390548698925272</v>
      </c>
      <c r="T95">
        <v>1</v>
      </c>
      <c r="U95">
        <v>2.4089871765427575</v>
      </c>
    </row>
    <row r="96" spans="1:21">
      <c r="A96">
        <v>-8.2850876935526327E-2</v>
      </c>
      <c r="B96">
        <v>1.1550956755053001</v>
      </c>
      <c r="C96">
        <v>0.69358699954091629</v>
      </c>
      <c r="D96">
        <v>-0.18132241715044153</v>
      </c>
      <c r="E96">
        <v>0.34735220345791112</v>
      </c>
      <c r="F96">
        <v>-0.7734001736423386</v>
      </c>
      <c r="G96">
        <v>5.4679780037223687E-2</v>
      </c>
      <c r="H96">
        <v>0.77285761114344897</v>
      </c>
      <c r="I96">
        <v>0.26548182713226853</v>
      </c>
      <c r="J96">
        <v>0.5710886422657101</v>
      </c>
      <c r="L96">
        <v>1.5751673609967833</v>
      </c>
      <c r="M96">
        <v>3.0887102492519971</v>
      </c>
      <c r="N96">
        <v>2.8022423366296745</v>
      </c>
      <c r="P96">
        <v>9.8970291091676922E-13</v>
      </c>
      <c r="R96">
        <v>21.15355593936761</v>
      </c>
      <c r="S96">
        <v>21.390548698925272</v>
      </c>
      <c r="T96">
        <v>1</v>
      </c>
      <c r="U96">
        <v>2.4089871765427575</v>
      </c>
    </row>
    <row r="97" spans="1:21">
      <c r="A97">
        <v>-0.13986986694666248</v>
      </c>
      <c r="B97">
        <v>1.1683007643381471</v>
      </c>
      <c r="C97">
        <v>0.58175752326407681</v>
      </c>
      <c r="D97">
        <v>-0.19129552364658198</v>
      </c>
      <c r="E97">
        <v>-0.32314887298344136</v>
      </c>
      <c r="F97">
        <v>-9.592073962157753E-2</v>
      </c>
      <c r="G97">
        <v>0.74849067422118321</v>
      </c>
      <c r="H97">
        <v>0.98270678651015531</v>
      </c>
      <c r="I97">
        <v>0.95362157747508625</v>
      </c>
      <c r="J97">
        <v>0.55624296776203852</v>
      </c>
      <c r="L97">
        <v>1.5751673616706341</v>
      </c>
      <c r="M97">
        <v>3.0887105056295239</v>
      </c>
      <c r="N97">
        <v>2.8022423049390723</v>
      </c>
      <c r="P97">
        <v>5.573372066995216E-13</v>
      </c>
      <c r="R97">
        <v>21.15355593936761</v>
      </c>
      <c r="S97">
        <v>21.390548698925272</v>
      </c>
      <c r="T97">
        <v>1</v>
      </c>
      <c r="U97">
        <v>2.4089871765427575</v>
      </c>
    </row>
    <row r="98" spans="1:21">
      <c r="A98">
        <v>-0.1432230479870728</v>
      </c>
      <c r="B98">
        <v>1.166689252222147</v>
      </c>
      <c r="C98">
        <v>0.60281160324782723</v>
      </c>
      <c r="D98">
        <v>-0.10389508937631566</v>
      </c>
      <c r="E98">
        <v>0.24987270776136183</v>
      </c>
      <c r="F98">
        <v>-0.42819606489620843</v>
      </c>
      <c r="G98">
        <v>0.52978279004009243</v>
      </c>
      <c r="H98">
        <v>0</v>
      </c>
      <c r="I98">
        <v>9.4810539859692372E-2</v>
      </c>
      <c r="J98">
        <v>0.19754002007804763</v>
      </c>
      <c r="L98">
        <v>1.5751669258478662</v>
      </c>
      <c r="M98">
        <v>3.088709592482501</v>
      </c>
      <c r="N98">
        <v>2.8022412818084468</v>
      </c>
      <c r="P98">
        <v>3.2266375192072084E-12</v>
      </c>
      <c r="R98">
        <v>21.15355593936761</v>
      </c>
      <c r="S98">
        <v>21.390548698925272</v>
      </c>
      <c r="T98">
        <v>1</v>
      </c>
      <c r="U98">
        <v>2.4089871765427575</v>
      </c>
    </row>
    <row r="99" spans="1:21">
      <c r="A99">
        <v>-0.14972156211224413</v>
      </c>
      <c r="B99">
        <v>1.1562220540914157</v>
      </c>
      <c r="C99">
        <v>0.57751875988591517</v>
      </c>
      <c r="D99">
        <v>-0.10523799462419894</v>
      </c>
      <c r="E99">
        <v>-0.6943883536298493</v>
      </c>
      <c r="F99">
        <v>-0.66021049625336692</v>
      </c>
      <c r="G99">
        <v>0.17119037152508262</v>
      </c>
      <c r="H99">
        <v>0.4366680066124588</v>
      </c>
      <c r="I99">
        <v>0.98983935405089318</v>
      </c>
      <c r="J99">
        <v>0.92484058969806215</v>
      </c>
      <c r="L99">
        <v>1.575167128095494</v>
      </c>
      <c r="M99">
        <v>3.088710241324105</v>
      </c>
      <c r="N99">
        <v>2.8022421686724375</v>
      </c>
      <c r="P99">
        <v>9.1292266695313353E-13</v>
      </c>
      <c r="R99">
        <v>21.15355593936761</v>
      </c>
      <c r="S99">
        <v>21.390548698925272</v>
      </c>
      <c r="T99">
        <v>1</v>
      </c>
      <c r="U99">
        <v>2.4089871765427575</v>
      </c>
    </row>
    <row r="100" spans="1:21">
      <c r="A100">
        <v>-0.1564783859391895</v>
      </c>
      <c r="B100">
        <v>1.1700203827500673</v>
      </c>
      <c r="C100">
        <v>0.55289880869398222</v>
      </c>
      <c r="D100">
        <v>-0.3492408012278026</v>
      </c>
      <c r="E100">
        <v>0.14879127055575161</v>
      </c>
      <c r="F100">
        <v>3.7887252132952041E-2</v>
      </c>
      <c r="G100">
        <v>0.32710712685133586</v>
      </c>
      <c r="H100">
        <v>0.29091956173623151</v>
      </c>
      <c r="I100">
        <v>1.0167110013450797</v>
      </c>
      <c r="J100">
        <v>7.7051591766915242E-2</v>
      </c>
      <c r="L100">
        <v>1.575167294374884</v>
      </c>
      <c r="M100">
        <v>3.0887104697309478</v>
      </c>
      <c r="N100">
        <v>2.802242272273844</v>
      </c>
      <c r="P100">
        <v>5.7363440929489694E-13</v>
      </c>
      <c r="R100">
        <v>21.15355593936761</v>
      </c>
      <c r="S100">
        <v>21.390548698925272</v>
      </c>
      <c r="T100">
        <v>1</v>
      </c>
      <c r="U100">
        <v>2.4089871765427575</v>
      </c>
    </row>
    <row r="101" spans="1:21">
      <c r="A101">
        <v>3.3010330184131645E-2</v>
      </c>
      <c r="B101">
        <v>1.1715761817863461</v>
      </c>
      <c r="C101">
        <v>0.78935421602888378</v>
      </c>
      <c r="D101">
        <v>-0.37747337628530681</v>
      </c>
      <c r="E101">
        <v>-0.25742024916057382</v>
      </c>
      <c r="F101">
        <v>0.3150233573799045</v>
      </c>
      <c r="G101">
        <v>0.75155187082687436</v>
      </c>
      <c r="H101">
        <v>0.60520506822358688</v>
      </c>
      <c r="I101">
        <v>1.0158089611430767</v>
      </c>
      <c r="J101">
        <v>5.209231790999614E-2</v>
      </c>
      <c r="L101">
        <v>1.8919381923332981</v>
      </c>
      <c r="M101">
        <v>3.0887099803755285</v>
      </c>
      <c r="N101">
        <v>2.8022408950987554</v>
      </c>
      <c r="P101">
        <v>2.9663138061994625E-12</v>
      </c>
      <c r="R101">
        <v>4.7226020324850646</v>
      </c>
      <c r="S101">
        <v>4.7248309144760778</v>
      </c>
      <c r="T101">
        <v>1</v>
      </c>
      <c r="U101">
        <v>2.5926992506716622</v>
      </c>
    </row>
    <row r="102" spans="1:21">
      <c r="A102">
        <v>2.6102451122493341E-2</v>
      </c>
      <c r="B102">
        <v>1.1610505184880071</v>
      </c>
      <c r="C102">
        <v>0.81393956154270986</v>
      </c>
      <c r="D102">
        <v>6.0462716124311325E-2</v>
      </c>
      <c r="E102">
        <v>-0.44949526943805629</v>
      </c>
      <c r="F102">
        <v>-0.66726644709619798</v>
      </c>
      <c r="G102">
        <v>0.58113436760319359</v>
      </c>
      <c r="H102">
        <v>0.87534967537906461</v>
      </c>
      <c r="I102">
        <v>0.2653259276488858</v>
      </c>
      <c r="J102">
        <v>0.28261042451398061</v>
      </c>
      <c r="L102">
        <v>1.8919377063838672</v>
      </c>
      <c r="M102">
        <v>3.088710229507992</v>
      </c>
      <c r="N102">
        <v>2.8022408718375065</v>
      </c>
      <c r="P102">
        <v>3.0822156746825041E-12</v>
      </c>
      <c r="R102">
        <v>4.7226020324850646</v>
      </c>
      <c r="S102">
        <v>4.7248309144760778</v>
      </c>
      <c r="T102">
        <v>1</v>
      </c>
      <c r="U102">
        <v>2.5926992506716622</v>
      </c>
    </row>
    <row r="103" spans="1:21">
      <c r="A103">
        <v>2.6250626644875215E-2</v>
      </c>
      <c r="B103">
        <v>1.1624583884457118</v>
      </c>
      <c r="C103">
        <v>0.82604828008488651</v>
      </c>
      <c r="D103">
        <v>0.54721108877316726</v>
      </c>
      <c r="E103">
        <v>-9.4660469836491207E-2</v>
      </c>
      <c r="F103">
        <v>0.22281426876476645</v>
      </c>
      <c r="G103">
        <v>0.79200243429049288</v>
      </c>
      <c r="H103">
        <v>0.91556174056240358</v>
      </c>
      <c r="I103">
        <v>8.1677672300979443E-2</v>
      </c>
      <c r="J103">
        <v>0.95699491342575183</v>
      </c>
      <c r="L103">
        <v>1.891937838090701</v>
      </c>
      <c r="M103">
        <v>3.0887100847695819</v>
      </c>
      <c r="N103">
        <v>2.8022408895741959</v>
      </c>
      <c r="P103">
        <v>3.1294237672561798E-12</v>
      </c>
      <c r="R103">
        <v>4.7226020324850646</v>
      </c>
      <c r="S103">
        <v>4.7248309144760778</v>
      </c>
      <c r="T103">
        <v>1</v>
      </c>
      <c r="U103">
        <v>2.5926992506716622</v>
      </c>
    </row>
    <row r="104" spans="1:21">
      <c r="A104">
        <v>3.5752665533204116E-2</v>
      </c>
      <c r="B104">
        <v>1.1583640815840628</v>
      </c>
      <c r="C104">
        <v>0.82395448736552213</v>
      </c>
      <c r="D104">
        <v>0.77119546496712565</v>
      </c>
      <c r="E104">
        <v>-0.94389295324008571</v>
      </c>
      <c r="F104">
        <v>-0.21292119525329867</v>
      </c>
      <c r="G104">
        <v>0.4971584449060929</v>
      </c>
      <c r="H104">
        <v>0.24743059561999545</v>
      </c>
      <c r="I104">
        <v>0.14607390561787337</v>
      </c>
      <c r="J104">
        <v>0.81602136165882577</v>
      </c>
      <c r="L104">
        <v>1.891937884380871</v>
      </c>
      <c r="M104">
        <v>3.0887100433835339</v>
      </c>
      <c r="N104">
        <v>2.8022408726080146</v>
      </c>
      <c r="P104">
        <v>3.1972215251743094E-12</v>
      </c>
      <c r="R104">
        <v>4.7226020324850646</v>
      </c>
      <c r="S104">
        <v>4.7248309144760778</v>
      </c>
      <c r="T104">
        <v>1</v>
      </c>
      <c r="U104">
        <v>2.5926992506716622</v>
      </c>
    </row>
    <row r="105" spans="1:21">
      <c r="A105">
        <v>2.8452483963673204E-2</v>
      </c>
      <c r="B105">
        <v>1.1658619588077075</v>
      </c>
      <c r="C105">
        <v>0.81411861289582499</v>
      </c>
      <c r="D105">
        <v>-9.7189538367369127E-2</v>
      </c>
      <c r="E105">
        <v>-0.30069134310490214</v>
      </c>
      <c r="F105">
        <v>-7.1523269254301969E-2</v>
      </c>
      <c r="G105">
        <v>0.74893760776103868</v>
      </c>
      <c r="H105">
        <v>0.42852017719126639</v>
      </c>
      <c r="I105">
        <v>0.14324305938580129</v>
      </c>
      <c r="J105">
        <v>0.34346074995157555</v>
      </c>
      <c r="L105">
        <v>1.8919381043785728</v>
      </c>
      <c r="M105">
        <v>3.0887101422475816</v>
      </c>
      <c r="N105">
        <v>2.8022407066791253</v>
      </c>
      <c r="P105">
        <v>3.1505557077239333E-12</v>
      </c>
      <c r="R105">
        <v>4.7226020324850646</v>
      </c>
      <c r="S105">
        <v>4.7248309144760778</v>
      </c>
      <c r="T105">
        <v>1</v>
      </c>
      <c r="U105">
        <v>2.5926992506716622</v>
      </c>
    </row>
    <row r="106" spans="1:21">
      <c r="A106">
        <v>1.856314874582702E-2</v>
      </c>
      <c r="B106">
        <v>1.1564378470808865</v>
      </c>
      <c r="C106">
        <v>0.8164386134967031</v>
      </c>
      <c r="D106">
        <v>-0.65524106712739194</v>
      </c>
      <c r="E106">
        <v>-0.15181811717604793</v>
      </c>
      <c r="F106">
        <v>-0.28521404316552246</v>
      </c>
      <c r="G106">
        <v>0.24919400620032922</v>
      </c>
      <c r="H106">
        <v>0.61347096937305323</v>
      </c>
      <c r="I106">
        <v>8.0886560197515361E-2</v>
      </c>
      <c r="J106">
        <v>0.72399639942505867</v>
      </c>
      <c r="L106">
        <v>1.8919379390682172</v>
      </c>
      <c r="M106">
        <v>3.0887100304363733</v>
      </c>
      <c r="N106">
        <v>2.8022408838221362</v>
      </c>
      <c r="P106">
        <v>3.1287047906829701E-12</v>
      </c>
      <c r="R106">
        <v>4.7226020324850646</v>
      </c>
      <c r="S106">
        <v>4.7248309144760778</v>
      </c>
      <c r="T106">
        <v>1</v>
      </c>
      <c r="U106">
        <v>2.5926992506716622</v>
      </c>
    </row>
    <row r="107" spans="1:21">
      <c r="A107">
        <v>2.9960521111300969E-2</v>
      </c>
      <c r="B107">
        <v>1.1710349710307761</v>
      </c>
      <c r="C107">
        <v>0.79457710336609277</v>
      </c>
      <c r="D107">
        <v>-0.23824464673360832</v>
      </c>
      <c r="E107">
        <v>-0.17258636906255873</v>
      </c>
      <c r="F107">
        <v>0.36756518558121803</v>
      </c>
      <c r="G107">
        <v>0.83662247522081923</v>
      </c>
      <c r="H107">
        <v>0.89967919320681189</v>
      </c>
      <c r="I107">
        <v>0.81401319367361102</v>
      </c>
      <c r="J107">
        <v>0.22324812414351408</v>
      </c>
      <c r="L107">
        <v>1.891937850061512</v>
      </c>
      <c r="M107">
        <v>3.088710182339315</v>
      </c>
      <c r="N107">
        <v>2.802240764475024</v>
      </c>
      <c r="P107">
        <v>3.2152981605197191E-12</v>
      </c>
      <c r="R107">
        <v>4.7226020324850646</v>
      </c>
      <c r="S107">
        <v>4.7248309144760778</v>
      </c>
      <c r="T107">
        <v>1</v>
      </c>
      <c r="U107">
        <v>2.5926992506716622</v>
      </c>
    </row>
    <row r="108" spans="1:21">
      <c r="A108">
        <v>2.7041128984122361E-2</v>
      </c>
      <c r="B108">
        <v>1.1654632349263883</v>
      </c>
      <c r="C108">
        <v>0.80328850068738122</v>
      </c>
      <c r="D108">
        <v>0.11180679928309002</v>
      </c>
      <c r="E108">
        <v>-0.17315100291087202</v>
      </c>
      <c r="F108">
        <v>0.26753987378358768</v>
      </c>
      <c r="G108">
        <v>0.51719274435436302</v>
      </c>
      <c r="H108">
        <v>0.98783209153873086</v>
      </c>
      <c r="I108">
        <v>0.46997103977227572</v>
      </c>
      <c r="J108">
        <v>0.42284503449600641</v>
      </c>
      <c r="L108">
        <v>1.8919378731631482</v>
      </c>
      <c r="M108">
        <v>3.0887100616362395</v>
      </c>
      <c r="N108">
        <v>2.8022408806908592</v>
      </c>
      <c r="P108">
        <v>3.1520119299820902E-12</v>
      </c>
      <c r="R108">
        <v>4.7226020324850646</v>
      </c>
      <c r="S108">
        <v>4.7248309144760778</v>
      </c>
      <c r="T108">
        <v>1</v>
      </c>
      <c r="U108">
        <v>2.5926992506716622</v>
      </c>
    </row>
    <row r="109" spans="1:21">
      <c r="A109">
        <v>3.0757352398568121E-2</v>
      </c>
      <c r="B109">
        <v>1.1624558438284558</v>
      </c>
      <c r="C109">
        <v>0.82732220778935184</v>
      </c>
      <c r="D109">
        <v>0.48101653138842521</v>
      </c>
      <c r="E109">
        <v>0.18259311265757022</v>
      </c>
      <c r="F109">
        <v>0.37125068592406368</v>
      </c>
      <c r="G109">
        <v>0.58363171765194766</v>
      </c>
      <c r="H109">
        <v>0.11266425583133685</v>
      </c>
      <c r="I109">
        <v>0.28384308280451659</v>
      </c>
      <c r="J109">
        <v>0.84603935016033893</v>
      </c>
      <c r="L109">
        <v>1.8919378157863163</v>
      </c>
      <c r="M109">
        <v>3.0887101269631363</v>
      </c>
      <c r="N109">
        <v>2.8022409110301956</v>
      </c>
      <c r="P109">
        <v>3.0211705030938203E-12</v>
      </c>
      <c r="R109">
        <v>4.7226020324850646</v>
      </c>
      <c r="S109">
        <v>4.7248309144760778</v>
      </c>
      <c r="T109">
        <v>1</v>
      </c>
      <c r="U109">
        <v>2.5926992506716622</v>
      </c>
    </row>
    <row r="110" spans="1:21">
      <c r="A110">
        <v>2.0992055530895413E-2</v>
      </c>
      <c r="B110">
        <v>1.1553871065032435</v>
      </c>
      <c r="C110">
        <v>0.82721873003933288</v>
      </c>
      <c r="D110">
        <v>-0.31176281105647391</v>
      </c>
      <c r="E110">
        <v>0.34473165422349933</v>
      </c>
      <c r="F110">
        <v>-0.45002711590383543</v>
      </c>
      <c r="G110">
        <v>0.44077405303908396</v>
      </c>
      <c r="H110">
        <v>0.51547896982129515</v>
      </c>
      <c r="I110">
        <v>0.54462358861502158</v>
      </c>
      <c r="J110">
        <v>0.89782296837482678</v>
      </c>
      <c r="L110">
        <v>1.8919378029223444</v>
      </c>
      <c r="M110">
        <v>3.0887102342749073</v>
      </c>
      <c r="N110">
        <v>2.8022407673524201</v>
      </c>
      <c r="P110">
        <v>3.175855261258941E-12</v>
      </c>
      <c r="R110">
        <v>4.7226020324850646</v>
      </c>
      <c r="S110">
        <v>4.7248309144760778</v>
      </c>
      <c r="T110">
        <v>1</v>
      </c>
      <c r="U110">
        <v>2.5926992506716622</v>
      </c>
    </row>
    <row r="111" spans="1:21">
      <c r="A111">
        <v>-1.0318143074454964</v>
      </c>
      <c r="B111">
        <v>1.0023161080519341</v>
      </c>
      <c r="C111">
        <v>0.34013922134725361</v>
      </c>
      <c r="D111">
        <v>-0.62312351584770809</v>
      </c>
      <c r="E111">
        <v>3.4227358417027148E-2</v>
      </c>
      <c r="F111">
        <v>0.13988803346226958</v>
      </c>
      <c r="G111">
        <v>0.96229349868099934</v>
      </c>
      <c r="H111">
        <v>2.9175527568153531E-2</v>
      </c>
      <c r="I111">
        <v>0.71007880813773161</v>
      </c>
      <c r="J111">
        <v>0.5054511718550303</v>
      </c>
      <c r="L111">
        <v>0.84118834297653799</v>
      </c>
      <c r="M111">
        <v>3.3553840509510504</v>
      </c>
      <c r="N111">
        <v>0.66342310067245402</v>
      </c>
      <c r="P111">
        <v>1.2084153629395378E-12</v>
      </c>
      <c r="R111">
        <v>4.2196534208925307</v>
      </c>
      <c r="S111">
        <v>4.2243239500446652</v>
      </c>
      <c r="T111">
        <v>1</v>
      </c>
      <c r="U111">
        <v>2.4503036114677172</v>
      </c>
    </row>
    <row r="112" spans="1:21">
      <c r="A112">
        <v>-1.0352714957742977</v>
      </c>
      <c r="B112">
        <v>0.99571939990731717</v>
      </c>
      <c r="C112">
        <v>0.33633045857129734</v>
      </c>
      <c r="D112">
        <v>0.47379788285597729</v>
      </c>
      <c r="E112">
        <v>0.15151339874640357</v>
      </c>
      <c r="F112">
        <v>-0.23858126154119896</v>
      </c>
      <c r="G112">
        <v>0.56553968132240939</v>
      </c>
      <c r="H112">
        <v>7.9372479877313037E-2</v>
      </c>
      <c r="I112">
        <v>0.24878356239156182</v>
      </c>
      <c r="J112">
        <v>0.12659932631951512</v>
      </c>
      <c r="L112">
        <v>0.84118866709826523</v>
      </c>
      <c r="M112">
        <v>3.3553840446607852</v>
      </c>
      <c r="N112">
        <v>0.66342140999309374</v>
      </c>
      <c r="P112">
        <v>4.3755377769701016E-12</v>
      </c>
      <c r="R112">
        <v>4.2196534208925307</v>
      </c>
      <c r="S112">
        <v>4.2243239500446652</v>
      </c>
      <c r="T112">
        <v>1</v>
      </c>
      <c r="U112">
        <v>2.4503036114677172</v>
      </c>
    </row>
    <row r="113" spans="1:21">
      <c r="A113">
        <v>-1.0358776556387079</v>
      </c>
      <c r="B113">
        <v>0.98982281105487857</v>
      </c>
      <c r="C113">
        <v>0.33678310581131177</v>
      </c>
      <c r="D113">
        <v>0.55072288158821714</v>
      </c>
      <c r="E113">
        <v>0.35247904412616582</v>
      </c>
      <c r="F113">
        <v>-0.80754393555603621</v>
      </c>
      <c r="G113">
        <v>0.58665114974846977</v>
      </c>
      <c r="H113">
        <v>0.15255465012618266</v>
      </c>
      <c r="I113">
        <v>0.56513363679154549</v>
      </c>
      <c r="J113">
        <v>3.9241159506659129E-2</v>
      </c>
      <c r="L113">
        <v>0.8411889981965881</v>
      </c>
      <c r="M113">
        <v>3.3553839140350057</v>
      </c>
      <c r="N113">
        <v>0.66342231478943803</v>
      </c>
      <c r="P113">
        <v>2.4520049395214179E-12</v>
      </c>
      <c r="R113">
        <v>4.2196534208925307</v>
      </c>
      <c r="S113">
        <v>4.2243239500446652</v>
      </c>
      <c r="T113">
        <v>1</v>
      </c>
      <c r="U113">
        <v>2.4503036114677172</v>
      </c>
    </row>
    <row r="114" spans="1:21">
      <c r="A114">
        <v>-1.0388539361704439</v>
      </c>
      <c r="B114">
        <v>0.97977951956718634</v>
      </c>
      <c r="C114">
        <v>0.36486779492185928</v>
      </c>
      <c r="D114">
        <v>0.61598096430328586</v>
      </c>
      <c r="E114">
        <v>6.6113827333034128E-2</v>
      </c>
      <c r="F114">
        <v>-0.54386229628300131</v>
      </c>
      <c r="G114">
        <v>0.14708265413185193</v>
      </c>
      <c r="H114">
        <v>0.60803268540512678</v>
      </c>
      <c r="I114">
        <v>4.9395782226707846E-2</v>
      </c>
      <c r="J114">
        <v>0.37827197021935011</v>
      </c>
      <c r="L114">
        <v>0.84118860063110645</v>
      </c>
      <c r="M114">
        <v>3.3553841056160185</v>
      </c>
      <c r="N114">
        <v>0.6634229650033151</v>
      </c>
      <c r="P114">
        <v>1.593278075976089E-12</v>
      </c>
      <c r="R114">
        <v>4.2196534208925307</v>
      </c>
      <c r="S114">
        <v>4.2243239500446652</v>
      </c>
      <c r="T114">
        <v>1</v>
      </c>
      <c r="U114">
        <v>2.4503036114677172</v>
      </c>
    </row>
    <row r="115" spans="1:21">
      <c r="A115">
        <v>-1.0360397682055889</v>
      </c>
      <c r="B115">
        <v>0.9981081065744204</v>
      </c>
      <c r="C115">
        <v>0.34811340428781273</v>
      </c>
      <c r="D115">
        <v>-0.17215088584917018</v>
      </c>
      <c r="E115">
        <v>0.73580229365373273</v>
      </c>
      <c r="F115">
        <v>-0.42815281202840244</v>
      </c>
      <c r="G115">
        <v>0.83281673371930387</v>
      </c>
      <c r="H115">
        <v>0.29200295869356291</v>
      </c>
      <c r="I115">
        <v>0.76577667510555558</v>
      </c>
      <c r="J115">
        <v>0.17536345845489901</v>
      </c>
      <c r="L115">
        <v>0.84118906411668015</v>
      </c>
      <c r="M115">
        <v>3.3553838810468286</v>
      </c>
      <c r="N115">
        <v>0.66342210230680876</v>
      </c>
      <c r="P115">
        <v>2.9087086309868631E-12</v>
      </c>
      <c r="R115">
        <v>4.2196534208925307</v>
      </c>
      <c r="S115">
        <v>4.2243239500446652</v>
      </c>
      <c r="T115">
        <v>1</v>
      </c>
      <c r="U115">
        <v>2.4503036114677172</v>
      </c>
    </row>
    <row r="116" spans="1:21">
      <c r="A116">
        <v>-1.0306397470898909</v>
      </c>
      <c r="B116">
        <v>1.0038302515707351</v>
      </c>
      <c r="C116">
        <v>0.34744108273041796</v>
      </c>
      <c r="D116">
        <v>-0.14267741689541388</v>
      </c>
      <c r="E116">
        <v>0.17714028589494024</v>
      </c>
      <c r="F116">
        <v>-0.14006320882190296</v>
      </c>
      <c r="G116">
        <v>0.89792328913098518</v>
      </c>
      <c r="H116">
        <v>0.60416900866136314</v>
      </c>
      <c r="I116">
        <v>0.8276711947931279</v>
      </c>
      <c r="J116">
        <v>1.8597765706193377E-2</v>
      </c>
      <c r="L116">
        <v>0.84118887555670419</v>
      </c>
      <c r="M116">
        <v>3.3553839673947108</v>
      </c>
      <c r="N116">
        <v>0.66342161454206672</v>
      </c>
      <c r="P116">
        <v>3.9020198994683154E-12</v>
      </c>
      <c r="R116">
        <v>4.2196534208925307</v>
      </c>
      <c r="S116">
        <v>4.2243239500446652</v>
      </c>
      <c r="T116">
        <v>1</v>
      </c>
      <c r="U116">
        <v>2.4503036114677172</v>
      </c>
    </row>
    <row r="117" spans="1:21">
      <c r="A117">
        <v>-1.03666695913217</v>
      </c>
      <c r="B117">
        <v>0.97234808736955547</v>
      </c>
      <c r="C117">
        <v>0.37590684160151178</v>
      </c>
      <c r="D117">
        <v>7.3681413842948185E-2</v>
      </c>
      <c r="E117">
        <v>7.3121358807057044E-2</v>
      </c>
      <c r="F117">
        <v>-0.54391139291221313</v>
      </c>
      <c r="G117">
        <v>4.4527276029425897E-2</v>
      </c>
      <c r="H117">
        <v>0.63715661614263142</v>
      </c>
      <c r="I117">
        <v>0.49821712385703842</v>
      </c>
      <c r="J117">
        <v>0.66448089777192654</v>
      </c>
      <c r="L117">
        <v>0.8411889473630263</v>
      </c>
      <c r="M117">
        <v>3.3553839460854764</v>
      </c>
      <c r="N117">
        <v>0.66342174443696611</v>
      </c>
      <c r="P117">
        <v>3.6268660489925154E-12</v>
      </c>
      <c r="R117">
        <v>4.2196534208925307</v>
      </c>
      <c r="S117">
        <v>4.2243239500446652</v>
      </c>
      <c r="T117">
        <v>1</v>
      </c>
      <c r="U117">
        <v>2.4503036114677172</v>
      </c>
    </row>
    <row r="118" spans="1:21">
      <c r="A118">
        <v>-1.0354701091534892</v>
      </c>
      <c r="B118">
        <v>0.99194097968039896</v>
      </c>
      <c r="C118">
        <v>0.3426618780477147</v>
      </c>
      <c r="D118">
        <v>0.12302483832239511</v>
      </c>
      <c r="E118">
        <v>0.50223258822447048</v>
      </c>
      <c r="F118">
        <v>-0.45439525483660193</v>
      </c>
      <c r="G118">
        <v>0.5818071147193965</v>
      </c>
      <c r="H118">
        <v>7.7171260248849613E-2</v>
      </c>
      <c r="I118">
        <v>0.63792344536822376</v>
      </c>
      <c r="J118">
        <v>0.20085222211838016</v>
      </c>
      <c r="L118">
        <v>0.84118867561114552</v>
      </c>
      <c r="M118">
        <v>3.3553840276026321</v>
      </c>
      <c r="N118">
        <v>0.66342141115843467</v>
      </c>
      <c r="P118">
        <v>4.3483565015212032E-12</v>
      </c>
      <c r="R118">
        <v>4.2196534208925307</v>
      </c>
      <c r="S118">
        <v>4.2243239500446652</v>
      </c>
      <c r="T118">
        <v>1</v>
      </c>
      <c r="U118">
        <v>2.4503036114677172</v>
      </c>
    </row>
    <row r="119" spans="1:21">
      <c r="A119">
        <v>-1.0318441187638185</v>
      </c>
      <c r="B119">
        <v>0.99200884368661146</v>
      </c>
      <c r="C119">
        <v>0.35865884853543356</v>
      </c>
      <c r="D119">
        <v>-0.15471774836402785</v>
      </c>
      <c r="E119">
        <v>8.4818941308070175E-2</v>
      </c>
      <c r="F119">
        <v>0.17152330539451441</v>
      </c>
      <c r="G119">
        <v>0.25650155761137278</v>
      </c>
      <c r="H119">
        <v>0.28495506962837597</v>
      </c>
      <c r="I119">
        <v>0.45723032272144992</v>
      </c>
      <c r="J119">
        <v>0.21001689299450693</v>
      </c>
      <c r="L119">
        <v>0.84118899683060133</v>
      </c>
      <c r="M119">
        <v>3.3553839109959558</v>
      </c>
      <c r="N119">
        <v>0.66342183569157054</v>
      </c>
      <c r="P119">
        <v>3.4218846773202919E-12</v>
      </c>
      <c r="R119">
        <v>4.2196534208925307</v>
      </c>
      <c r="S119">
        <v>4.2243239500446652</v>
      </c>
      <c r="T119">
        <v>1</v>
      </c>
      <c r="U119">
        <v>2.4503036114677172</v>
      </c>
    </row>
    <row r="120" spans="1:21">
      <c r="A120">
        <v>-1.0307669865029949</v>
      </c>
      <c r="B120">
        <v>0.98867250409822027</v>
      </c>
      <c r="C120">
        <v>0.34900972434121702</v>
      </c>
      <c r="D120">
        <v>-7.0083830060129373E-2</v>
      </c>
      <c r="E120">
        <v>-0.49473308785423709</v>
      </c>
      <c r="F120">
        <v>-0.78440703140103685</v>
      </c>
      <c r="G120">
        <v>0.95757458349684266</v>
      </c>
      <c r="H120">
        <v>0.79457800043274984</v>
      </c>
      <c r="I120">
        <v>1.0077750456137324</v>
      </c>
      <c r="J120">
        <v>0.52121725655120754</v>
      </c>
      <c r="L120">
        <v>0.8411886964674864</v>
      </c>
      <c r="M120">
        <v>3.3553840144123339</v>
      </c>
      <c r="N120">
        <v>0.66342143568182521</v>
      </c>
      <c r="P120">
        <v>4.2689590960043399E-12</v>
      </c>
      <c r="R120">
        <v>4.2196534208925307</v>
      </c>
      <c r="S120">
        <v>4.2243239500446652</v>
      </c>
      <c r="T120">
        <v>1</v>
      </c>
      <c r="U120">
        <v>2.4503036114677172</v>
      </c>
    </row>
    <row r="121" spans="1:21">
      <c r="A121">
        <v>-0.98904783598635371</v>
      </c>
      <c r="B121">
        <v>1.1199973082163672</v>
      </c>
      <c r="C121">
        <v>0.29652724347983894</v>
      </c>
      <c r="D121">
        <v>-0.55420320815977686</v>
      </c>
      <c r="E121">
        <v>-0.16419707943424852</v>
      </c>
      <c r="F121">
        <v>5.2245580604368083E-2</v>
      </c>
      <c r="G121">
        <v>0.91441577458000289</v>
      </c>
      <c r="H121">
        <v>0.3046599224142777</v>
      </c>
      <c r="I121">
        <v>0.59871296983608469</v>
      </c>
      <c r="J121">
        <v>0.15575388877945023</v>
      </c>
      <c r="L121">
        <v>0.84118910176808703</v>
      </c>
      <c r="M121">
        <v>3.3553881466275319</v>
      </c>
      <c r="N121">
        <v>4.453816753598689</v>
      </c>
      <c r="P121">
        <v>4.1673029815508183E-11</v>
      </c>
      <c r="R121">
        <v>7.3001627320782827</v>
      </c>
      <c r="S121">
        <v>7.309134947611736</v>
      </c>
      <c r="T121">
        <v>1</v>
      </c>
      <c r="U121">
        <v>2.4721205257502379</v>
      </c>
    </row>
    <row r="122" spans="1:21">
      <c r="A122">
        <v>-0.99035378476055458</v>
      </c>
      <c r="B122">
        <v>1.1117281078857708</v>
      </c>
      <c r="C122">
        <v>0.31251040627813842</v>
      </c>
      <c r="D122">
        <v>-0.10963116781914294</v>
      </c>
      <c r="E122">
        <v>0.31274270983258973</v>
      </c>
      <c r="F122">
        <v>0.34010877567984998</v>
      </c>
      <c r="G122">
        <v>0.41952925804652491</v>
      </c>
      <c r="H122">
        <v>0.61068716835791437</v>
      </c>
      <c r="I122">
        <v>0.6235616794324198</v>
      </c>
      <c r="J122">
        <v>0.60111954730156403</v>
      </c>
      <c r="L122">
        <v>0.84119061207218282</v>
      </c>
      <c r="M122">
        <v>3.3553870284713692</v>
      </c>
      <c r="N122">
        <v>4.4538175902189732</v>
      </c>
      <c r="P122">
        <v>3.1522303061567314E-11</v>
      </c>
      <c r="R122">
        <v>7.3001627320782827</v>
      </c>
      <c r="S122">
        <v>7.309134947611736</v>
      </c>
      <c r="T122">
        <v>1</v>
      </c>
      <c r="U122">
        <v>2.4721205257502379</v>
      </c>
    </row>
    <row r="123" spans="1:21">
      <c r="A123">
        <v>-0.99419547081589477</v>
      </c>
      <c r="B123">
        <v>1.1100763711449693</v>
      </c>
      <c r="C123">
        <v>0.32215228074590707</v>
      </c>
      <c r="D123">
        <v>-0.83483938038000682</v>
      </c>
      <c r="E123">
        <v>0.66375623896297065</v>
      </c>
      <c r="F123">
        <v>-6.0998151493214768E-2</v>
      </c>
      <c r="G123">
        <v>0.64175287959188065</v>
      </c>
      <c r="H123">
        <v>0.50624442418246696</v>
      </c>
      <c r="I123">
        <v>0.75205902591397245</v>
      </c>
      <c r="J123">
        <v>0.23080975805595494</v>
      </c>
      <c r="L123">
        <v>0.84118972212176402</v>
      </c>
      <c r="M123">
        <v>3.3553879046493802</v>
      </c>
      <c r="N123">
        <v>4.4538170538324406</v>
      </c>
      <c r="P123">
        <v>3.88563286135193E-11</v>
      </c>
      <c r="R123">
        <v>7.3001627320782827</v>
      </c>
      <c r="S123">
        <v>7.309134947611736</v>
      </c>
      <c r="T123">
        <v>1</v>
      </c>
      <c r="U123">
        <v>2.4721205257502379</v>
      </c>
    </row>
    <row r="124" spans="1:21">
      <c r="A124">
        <v>-0.99719380994196893</v>
      </c>
      <c r="B124">
        <v>1.0993376419795613</v>
      </c>
      <c r="C124">
        <v>0.31653303575351943</v>
      </c>
      <c r="D124">
        <v>0.19161340091754608</v>
      </c>
      <c r="E124">
        <v>-0.18445865217404087</v>
      </c>
      <c r="F124">
        <v>-0.59976531119247201</v>
      </c>
      <c r="G124">
        <v>0.49351449197843872</v>
      </c>
      <c r="H124">
        <v>0.73431774304823572</v>
      </c>
      <c r="I124">
        <v>0.10219930701097966</v>
      </c>
      <c r="J124">
        <v>0.5848625904103204</v>
      </c>
      <c r="L124">
        <v>0.84119086793880071</v>
      </c>
      <c r="M124">
        <v>3.3553865651278225</v>
      </c>
      <c r="N124">
        <v>4.4538179288833337</v>
      </c>
      <c r="P124">
        <v>2.7566636387371309E-11</v>
      </c>
      <c r="R124">
        <v>7.3001627320782827</v>
      </c>
      <c r="S124">
        <v>7.309134947611736</v>
      </c>
      <c r="T124">
        <v>1</v>
      </c>
      <c r="U124">
        <v>2.4721205257502379</v>
      </c>
    </row>
    <row r="125" spans="1:21">
      <c r="A125">
        <v>-0.98940816684422905</v>
      </c>
      <c r="B125">
        <v>1.105312735807376</v>
      </c>
      <c r="C125">
        <v>0.30268720776931873</v>
      </c>
      <c r="D125">
        <v>0.75686720418194142</v>
      </c>
      <c r="E125">
        <v>0.30181276513219002</v>
      </c>
      <c r="F125">
        <v>-0.30024512177358065</v>
      </c>
      <c r="G125">
        <v>0.37952524677322941</v>
      </c>
      <c r="H125">
        <v>0.87369776991146475</v>
      </c>
      <c r="I125">
        <v>0.90061286907173521</v>
      </c>
      <c r="J125">
        <v>0.96205126874932079</v>
      </c>
      <c r="L125">
        <v>0.84119022844865554</v>
      </c>
      <c r="M125">
        <v>3.3553874439455278</v>
      </c>
      <c r="N125">
        <v>4.4538172845010688</v>
      </c>
      <c r="P125">
        <v>3.5038200530931632E-11</v>
      </c>
      <c r="R125">
        <v>7.3001627320782827</v>
      </c>
      <c r="S125">
        <v>7.309134947611736</v>
      </c>
      <c r="T125">
        <v>1</v>
      </c>
      <c r="U125">
        <v>2.4721205257502379</v>
      </c>
    </row>
    <row r="126" spans="1:21">
      <c r="A126">
        <v>-0.99593073005394228</v>
      </c>
      <c r="B126">
        <v>1.1066349415804804</v>
      </c>
      <c r="C126">
        <v>0.31905237580007428</v>
      </c>
      <c r="D126">
        <v>0.49923879654314091</v>
      </c>
      <c r="E126">
        <v>0.39173398544819182</v>
      </c>
      <c r="F126">
        <v>0.3536400840132759</v>
      </c>
      <c r="G126">
        <v>0.18090163489777369</v>
      </c>
      <c r="H126">
        <v>0.75385385130090043</v>
      </c>
      <c r="I126">
        <v>3.3611966505384588E-2</v>
      </c>
      <c r="J126">
        <v>0.20754376510558448</v>
      </c>
      <c r="L126">
        <v>0.84119103272421025</v>
      </c>
      <c r="M126">
        <v>3.3553853925163648</v>
      </c>
      <c r="N126">
        <v>4.4538187449535975</v>
      </c>
      <c r="P126">
        <v>1.8050348884010766E-11</v>
      </c>
      <c r="R126">
        <v>7.3001627320782827</v>
      </c>
      <c r="S126">
        <v>7.309134947611736</v>
      </c>
      <c r="T126">
        <v>1</v>
      </c>
      <c r="U126">
        <v>2.4721205257502379</v>
      </c>
    </row>
    <row r="127" spans="1:21">
      <c r="A127">
        <v>-0.97337113947670362</v>
      </c>
      <c r="B127">
        <v>1.1252732937796583</v>
      </c>
      <c r="C127">
        <v>0.29971852722531328</v>
      </c>
      <c r="D127">
        <v>-2.9399030480673379E-2</v>
      </c>
      <c r="E127">
        <v>-0.5948895148411304</v>
      </c>
      <c r="F127">
        <v>0.32402754645677179</v>
      </c>
      <c r="G127">
        <v>4.4328819994403024E-2</v>
      </c>
      <c r="H127">
        <v>0.60519435717921999</v>
      </c>
      <c r="I127">
        <v>0.9392719287970045</v>
      </c>
      <c r="J127">
        <v>0.4838513912841591</v>
      </c>
      <c r="L127">
        <v>0.84118976973931803</v>
      </c>
      <c r="M127">
        <v>3.3553878288926287</v>
      </c>
      <c r="N127">
        <v>4.4538170865484314</v>
      </c>
      <c r="P127">
        <v>3.8063865736963827E-11</v>
      </c>
      <c r="R127">
        <v>7.3001627320782827</v>
      </c>
      <c r="S127">
        <v>7.309134947611736</v>
      </c>
      <c r="T127">
        <v>1</v>
      </c>
      <c r="U127">
        <v>2.4721205257502379</v>
      </c>
    </row>
    <row r="128" spans="1:21">
      <c r="A128">
        <v>-1.0006753355055538</v>
      </c>
      <c r="B128">
        <v>1.0980725137637219</v>
      </c>
      <c r="C128">
        <v>0.30702639045258634</v>
      </c>
      <c r="D128">
        <v>0.28524078059410951</v>
      </c>
      <c r="E128">
        <v>0.54480125405984314</v>
      </c>
      <c r="F128">
        <v>-0.20479144791201176</v>
      </c>
      <c r="G128">
        <v>0.45572948409556019</v>
      </c>
      <c r="H128">
        <v>0.25804283585547982</v>
      </c>
      <c r="I128">
        <v>0.19749459559250249</v>
      </c>
      <c r="J128">
        <v>0.65246649406722568</v>
      </c>
      <c r="L128">
        <v>0.84118989657041465</v>
      </c>
      <c r="M128">
        <v>3.3553841402497602</v>
      </c>
      <c r="N128">
        <v>4.4538206081284155</v>
      </c>
      <c r="P128">
        <v>4.9405287556201157E-12</v>
      </c>
      <c r="R128">
        <v>7.3001627320782827</v>
      </c>
      <c r="S128">
        <v>7.309134947611736</v>
      </c>
      <c r="T128">
        <v>1</v>
      </c>
      <c r="U128">
        <v>2.4721205257502379</v>
      </c>
    </row>
    <row r="129" spans="1:21">
      <c r="A129">
        <v>-0.98850416506247984</v>
      </c>
      <c r="B129">
        <v>1.1097303416074673</v>
      </c>
      <c r="C129">
        <v>0.31590675511187438</v>
      </c>
      <c r="D129">
        <v>-0.27754998206169867</v>
      </c>
      <c r="E129">
        <v>0.51344563422831668</v>
      </c>
      <c r="F129">
        <v>-0.17059211854552483</v>
      </c>
      <c r="G129">
        <v>1.7196369719646488E-2</v>
      </c>
      <c r="H129">
        <v>0.28553919491411611</v>
      </c>
      <c r="I129">
        <v>0.6332606671394938</v>
      </c>
      <c r="J129">
        <v>4.2329243842734503E-2</v>
      </c>
      <c r="L129">
        <v>0.84119054204661148</v>
      </c>
      <c r="M129">
        <v>3.355387114256009</v>
      </c>
      <c r="N129">
        <v>4.4538175371034434</v>
      </c>
      <c r="P129">
        <v>3.2167961842590376E-11</v>
      </c>
      <c r="R129">
        <v>7.3001627320782827</v>
      </c>
      <c r="S129">
        <v>7.309134947611736</v>
      </c>
      <c r="T129">
        <v>1</v>
      </c>
      <c r="U129">
        <v>2.4721205257502379</v>
      </c>
    </row>
    <row r="130" spans="1:21">
      <c r="A130">
        <v>-0.99231522192465649</v>
      </c>
      <c r="B130">
        <v>1.1101383738230319</v>
      </c>
      <c r="C130">
        <v>0.28982527577765821</v>
      </c>
      <c r="D130">
        <v>-0.38562811215576481</v>
      </c>
      <c r="E130">
        <v>-0.35189596491166947</v>
      </c>
      <c r="F130">
        <v>-0.14765698352462561</v>
      </c>
      <c r="G130">
        <v>0.88175594641839916</v>
      </c>
      <c r="H130">
        <v>1.1170795564825867E-2</v>
      </c>
      <c r="I130">
        <v>0.44364021214170646</v>
      </c>
      <c r="J130">
        <v>0.8441724205924872</v>
      </c>
      <c r="L130">
        <v>0.84119105286129814</v>
      </c>
      <c r="M130">
        <v>3.355385731099465</v>
      </c>
      <c r="N130">
        <v>4.453818628469187</v>
      </c>
      <c r="P130">
        <v>2.0323454398359188E-11</v>
      </c>
      <c r="R130">
        <v>7.3001627320782827</v>
      </c>
      <c r="S130">
        <v>7.309134947611736</v>
      </c>
      <c r="T130">
        <v>1</v>
      </c>
      <c r="U130">
        <v>2.4721205257502379</v>
      </c>
    </row>
    <row r="131" spans="1:21">
      <c r="A131">
        <v>-0.95859240393410972</v>
      </c>
      <c r="B131">
        <v>1.1990614408352815</v>
      </c>
      <c r="C131">
        <v>0.27373474161790257</v>
      </c>
      <c r="D131">
        <v>-0.15593706253024822</v>
      </c>
      <c r="E131">
        <v>0.3410465129681543</v>
      </c>
      <c r="F131">
        <v>-0.19645777729996486</v>
      </c>
      <c r="G131">
        <v>0.45854153121650532</v>
      </c>
      <c r="H131">
        <v>0.60016444434995619</v>
      </c>
      <c r="I131">
        <v>0.72183997647668974</v>
      </c>
      <c r="J131">
        <v>0.43451003365675711</v>
      </c>
      <c r="L131">
        <v>0.84118892517412447</v>
      </c>
      <c r="M131">
        <v>3.3553849263244286</v>
      </c>
      <c r="N131">
        <v>3.7173656295468906</v>
      </c>
      <c r="P131">
        <v>9.0228694688624115E-12</v>
      </c>
      <c r="R131">
        <v>4.797781381421685</v>
      </c>
      <c r="S131">
        <v>4.8011093563140337</v>
      </c>
      <c r="T131">
        <v>1</v>
      </c>
      <c r="U131">
        <v>2.1469341607833865</v>
      </c>
    </row>
    <row r="132" spans="1:21">
      <c r="A132">
        <v>-0.9632919769136753</v>
      </c>
      <c r="B132">
        <v>1.1982154762571922</v>
      </c>
      <c r="C132">
        <v>0.28080481734286511</v>
      </c>
      <c r="D132">
        <v>-0.20772694406787531</v>
      </c>
      <c r="E132">
        <v>0.41229278629370364</v>
      </c>
      <c r="F132">
        <v>-0.20194935658948265</v>
      </c>
      <c r="G132">
        <v>0.80835412190863842</v>
      </c>
      <c r="H132">
        <v>0.9590724201563785</v>
      </c>
      <c r="I132">
        <v>0.662720838715674</v>
      </c>
      <c r="J132">
        <v>0.91944391381141033</v>
      </c>
      <c r="L132">
        <v>0.84118782728329944</v>
      </c>
      <c r="M132">
        <v>3.3553841621837743</v>
      </c>
      <c r="N132">
        <v>3.7173668822889181</v>
      </c>
      <c r="P132">
        <v>2.0913490742744611E-12</v>
      </c>
      <c r="R132">
        <v>4.797781381421685</v>
      </c>
      <c r="S132">
        <v>4.8011093563140337</v>
      </c>
      <c r="T132">
        <v>1</v>
      </c>
      <c r="U132">
        <v>2.1469341607833865</v>
      </c>
    </row>
    <row r="133" spans="1:21">
      <c r="A133">
        <v>-0.94937100109920669</v>
      </c>
      <c r="B133">
        <v>1.199875047913546</v>
      </c>
      <c r="C133">
        <v>0.26189282351454701</v>
      </c>
      <c r="D133">
        <v>0.73584901480083764</v>
      </c>
      <c r="E133">
        <v>-0.26474693922408216</v>
      </c>
      <c r="F133">
        <v>-0.14620922427327049</v>
      </c>
      <c r="G133">
        <v>9.7725145017693429E-2</v>
      </c>
      <c r="H133">
        <v>0.85442475645971971</v>
      </c>
      <c r="I133">
        <v>0.89543009712345378</v>
      </c>
      <c r="J133">
        <v>4.4342944297998815E-2</v>
      </c>
      <c r="L133">
        <v>0.84118824970311157</v>
      </c>
      <c r="M133">
        <v>3.355382989297659</v>
      </c>
      <c r="N133">
        <v>3.7173678162438932</v>
      </c>
      <c r="P133">
        <v>7.6004272177918053E-14</v>
      </c>
      <c r="R133">
        <v>4.797781381421685</v>
      </c>
      <c r="S133">
        <v>4.8011093563140337</v>
      </c>
      <c r="T133">
        <v>1</v>
      </c>
      <c r="U133">
        <v>2.1469341607833865</v>
      </c>
    </row>
    <row r="134" spans="1:21">
      <c r="A134">
        <v>-0.95247092495124464</v>
      </c>
      <c r="B134">
        <v>1.1975538105831145</v>
      </c>
      <c r="C134">
        <v>0.24498779824938666</v>
      </c>
      <c r="D134">
        <v>0.88043588197468592</v>
      </c>
      <c r="E134">
        <v>-0.43435648084541911</v>
      </c>
      <c r="F134">
        <v>9.3723875627240414E-4</v>
      </c>
      <c r="G134">
        <v>0.425671724698029</v>
      </c>
      <c r="H134">
        <v>0.55502408066753905</v>
      </c>
      <c r="I134">
        <v>0.82720650814445418</v>
      </c>
      <c r="J134">
        <v>4.4482130503961229E-2</v>
      </c>
      <c r="L134">
        <v>0.84118801661522447</v>
      </c>
      <c r="M134">
        <v>3.355384461211945</v>
      </c>
      <c r="N134">
        <v>3.7173665141961973</v>
      </c>
      <c r="P134">
        <v>3.6152388069029692E-12</v>
      </c>
      <c r="R134">
        <v>4.797781381421685</v>
      </c>
      <c r="S134">
        <v>4.8011093563140337</v>
      </c>
      <c r="T134">
        <v>1</v>
      </c>
      <c r="U134">
        <v>2.1469341607833865</v>
      </c>
    </row>
    <row r="135" spans="1:21">
      <c r="A135">
        <v>-0.95973283526439535</v>
      </c>
      <c r="B135">
        <v>1.1986768478435834</v>
      </c>
      <c r="C135">
        <v>0.26348356350382446</v>
      </c>
      <c r="D135">
        <v>-0.17309087575265755</v>
      </c>
      <c r="E135">
        <v>-0.15819134737510315</v>
      </c>
      <c r="F135">
        <v>-0.25528241213253766</v>
      </c>
      <c r="G135">
        <v>0.78287962423873136</v>
      </c>
      <c r="H135">
        <v>0.51161621235080035</v>
      </c>
      <c r="I135">
        <v>0.58477555887401711</v>
      </c>
      <c r="J135">
        <v>0.38482521317120361</v>
      </c>
      <c r="L135">
        <v>0.84118912409204161</v>
      </c>
      <c r="M135">
        <v>3.3553834812813053</v>
      </c>
      <c r="N135">
        <v>3.7173668852275159</v>
      </c>
      <c r="P135">
        <v>2.2572457856380987E-12</v>
      </c>
      <c r="R135">
        <v>4.797781381421685</v>
      </c>
      <c r="S135">
        <v>4.8011093563140337</v>
      </c>
      <c r="T135">
        <v>1</v>
      </c>
      <c r="U135">
        <v>2.1469341607833865</v>
      </c>
    </row>
    <row r="136" spans="1:21">
      <c r="A136">
        <v>-0.94996106426228444</v>
      </c>
      <c r="B136">
        <v>1.2003572132953531</v>
      </c>
      <c r="C136">
        <v>0.26308875033260742</v>
      </c>
      <c r="D136">
        <v>7.3699740122933941E-2</v>
      </c>
      <c r="E136">
        <v>-0.80106101837858679</v>
      </c>
      <c r="F136">
        <v>-1.6517055016044602E-2</v>
      </c>
      <c r="G136">
        <v>0.16899043668623037</v>
      </c>
      <c r="H136">
        <v>0.48707255476244288</v>
      </c>
      <c r="I136">
        <v>0.52911409349834038</v>
      </c>
      <c r="J136">
        <v>0.17250922220302151</v>
      </c>
      <c r="L136">
        <v>0.84118781143867938</v>
      </c>
      <c r="M136">
        <v>3.3553841058380516</v>
      </c>
      <c r="N136">
        <v>3.7173668705310825</v>
      </c>
      <c r="P136">
        <v>1.9905265274821017E-12</v>
      </c>
      <c r="R136">
        <v>4.797781381421685</v>
      </c>
      <c r="S136">
        <v>4.8011093563140337</v>
      </c>
      <c r="T136">
        <v>1</v>
      </c>
      <c r="U136">
        <v>2.1469341607833865</v>
      </c>
    </row>
    <row r="137" spans="1:21">
      <c r="A137">
        <v>-0.95493214156152728</v>
      </c>
      <c r="B137">
        <v>1.1929712250311821</v>
      </c>
      <c r="C137">
        <v>0.27420313193172413</v>
      </c>
      <c r="D137">
        <v>0.26913439978307013</v>
      </c>
      <c r="E137">
        <v>-2.219558116829248E-2</v>
      </c>
      <c r="F137">
        <v>-0.52712214330739215</v>
      </c>
      <c r="G137">
        <v>0.18362558261429426</v>
      </c>
      <c r="H137">
        <v>0.80701360050253279</v>
      </c>
      <c r="I137">
        <v>0.83129030087867106</v>
      </c>
      <c r="J137">
        <v>0.80762064432336755</v>
      </c>
      <c r="L137">
        <v>0.84118931809146069</v>
      </c>
      <c r="M137">
        <v>3.3553848377280682</v>
      </c>
      <c r="N137">
        <v>3.7173656835822344</v>
      </c>
      <c r="P137">
        <v>9.3594436289372844E-12</v>
      </c>
      <c r="R137">
        <v>4.797781381421685</v>
      </c>
      <c r="S137">
        <v>4.8011093563140337</v>
      </c>
      <c r="T137">
        <v>1</v>
      </c>
      <c r="U137">
        <v>2.1469341607833865</v>
      </c>
    </row>
    <row r="138" spans="1:21">
      <c r="A138">
        <v>-0.95939833571695821</v>
      </c>
      <c r="B138">
        <v>1.2011230574275795</v>
      </c>
      <c r="C138">
        <v>0.2646662670016241</v>
      </c>
      <c r="D138">
        <v>5.9893900722560983E-2</v>
      </c>
      <c r="E138">
        <v>1.700942949217385E-2</v>
      </c>
      <c r="F138">
        <v>-0.53299462249536045</v>
      </c>
      <c r="G138">
        <v>0.89623344675453076</v>
      </c>
      <c r="H138">
        <v>0.84413524978985954</v>
      </c>
      <c r="I138">
        <v>0.76380408617294804</v>
      </c>
      <c r="J138">
        <v>7.9511257380295575E-2</v>
      </c>
      <c r="L138">
        <v>0.84118944138929663</v>
      </c>
      <c r="M138">
        <v>3.3553845661023849</v>
      </c>
      <c r="N138">
        <v>3.7173658420514428</v>
      </c>
      <c r="P138">
        <v>8.1573015514858818E-12</v>
      </c>
      <c r="R138">
        <v>4.797781381421685</v>
      </c>
      <c r="S138">
        <v>4.8011093563140337</v>
      </c>
      <c r="T138">
        <v>1</v>
      </c>
      <c r="U138">
        <v>2.1469341607833865</v>
      </c>
    </row>
    <row r="139" spans="1:21">
      <c r="A139">
        <v>-0.96257833268073023</v>
      </c>
      <c r="B139">
        <v>1.1951404051934447</v>
      </c>
      <c r="C139">
        <v>0.27118996795357991</v>
      </c>
      <c r="D139">
        <v>-0.30309727412494092</v>
      </c>
      <c r="E139">
        <v>-0.49094758651967996</v>
      </c>
      <c r="F139">
        <v>-0.62942013065601077</v>
      </c>
      <c r="G139">
        <v>0.63359469406856816</v>
      </c>
      <c r="H139">
        <v>0.40927621011354987</v>
      </c>
      <c r="I139">
        <v>5.2019867169893777E-2</v>
      </c>
      <c r="J139">
        <v>0.47821347006660297</v>
      </c>
      <c r="L139">
        <v>0.84118910841546957</v>
      </c>
      <c r="M139">
        <v>3.355383462070463</v>
      </c>
      <c r="N139">
        <v>3.7173669698935567</v>
      </c>
      <c r="P139">
        <v>2.0657786152444267E-12</v>
      </c>
      <c r="R139">
        <v>4.797781381421685</v>
      </c>
      <c r="S139">
        <v>4.8011093563140337</v>
      </c>
      <c r="T139">
        <v>1</v>
      </c>
      <c r="U139">
        <v>2.1469341607833865</v>
      </c>
    </row>
    <row r="140" spans="1:21">
      <c r="A140">
        <v>-0.96370986399696446</v>
      </c>
      <c r="B140">
        <v>1.2089774977945007</v>
      </c>
      <c r="C140">
        <v>0.29286041948999042</v>
      </c>
      <c r="D140">
        <v>-0.76894744500670742</v>
      </c>
      <c r="E140">
        <v>0.30955022408830279</v>
      </c>
      <c r="F140">
        <v>0.24311728076719427</v>
      </c>
      <c r="G140">
        <v>0.81234201461344591</v>
      </c>
      <c r="H140">
        <v>0.96440507095536765</v>
      </c>
      <c r="I140">
        <v>0.16954248401297375</v>
      </c>
      <c r="J140">
        <v>0.38109278938647906</v>
      </c>
      <c r="L140">
        <v>0.84118776868763334</v>
      </c>
      <c r="M140">
        <v>3.3553835490039963</v>
      </c>
      <c r="N140">
        <v>3.7173674972340103</v>
      </c>
      <c r="P140">
        <v>3.9626762456611007E-13</v>
      </c>
      <c r="R140">
        <v>4.797781381421685</v>
      </c>
      <c r="S140">
        <v>4.8011093563140337</v>
      </c>
      <c r="T140">
        <v>1</v>
      </c>
      <c r="U140">
        <v>2.1469341607833865</v>
      </c>
    </row>
    <row r="141" spans="1:21">
      <c r="A141">
        <v>-1.0985826191860875</v>
      </c>
      <c r="B141">
        <v>1.0041823879107141</v>
      </c>
      <c r="C141">
        <v>0.43682370315963709</v>
      </c>
      <c r="D141">
        <v>0.21425013352353006</v>
      </c>
      <c r="E141">
        <v>-0.57844499437747665</v>
      </c>
      <c r="F141">
        <v>-0.28597714316018952</v>
      </c>
      <c r="G141">
        <v>0.73354528428282473</v>
      </c>
      <c r="H141">
        <v>0.59651848711094291</v>
      </c>
      <c r="I141">
        <v>0.94060403817122751</v>
      </c>
      <c r="J141">
        <v>0.38802573098372367</v>
      </c>
      <c r="L141">
        <v>0.84118952468135044</v>
      </c>
      <c r="M141">
        <v>0.66341979029717291</v>
      </c>
      <c r="N141">
        <v>4.4538205871096732</v>
      </c>
      <c r="P141">
        <v>1.3307150075145777E-11</v>
      </c>
      <c r="R141">
        <v>5.4601440346102681</v>
      </c>
      <c r="S141">
        <v>5.4695394540896514</v>
      </c>
      <c r="T141">
        <v>1</v>
      </c>
      <c r="U141">
        <v>2.7123915755660324</v>
      </c>
    </row>
    <row r="142" spans="1:21">
      <c r="A142">
        <v>-1.0955517156129326</v>
      </c>
      <c r="B142">
        <v>1.0052719175837244</v>
      </c>
      <c r="C142">
        <v>0.45782715369420551</v>
      </c>
      <c r="D142">
        <v>-0.43805027868750623</v>
      </c>
      <c r="E142">
        <v>-0.36446316458179362</v>
      </c>
      <c r="F142">
        <v>-0.46702125523225163</v>
      </c>
      <c r="G142">
        <v>0.56717783860673854</v>
      </c>
      <c r="H142">
        <v>0.8604994306948428</v>
      </c>
      <c r="I142">
        <v>0.73453976897267592</v>
      </c>
      <c r="J142">
        <v>0.1532349049370044</v>
      </c>
      <c r="L142">
        <v>0.84118863073269046</v>
      </c>
      <c r="M142">
        <v>0.66341922933540798</v>
      </c>
      <c r="N142">
        <v>4.4538210344275573</v>
      </c>
      <c r="P142">
        <v>1.5651407423974431E-11</v>
      </c>
      <c r="R142">
        <v>5.4601440346102681</v>
      </c>
      <c r="S142">
        <v>5.4695394540896514</v>
      </c>
      <c r="T142">
        <v>1</v>
      </c>
      <c r="U142">
        <v>2.7123915755660324</v>
      </c>
    </row>
    <row r="143" spans="1:21">
      <c r="A143">
        <v>-1.0919872148760108</v>
      </c>
      <c r="B143">
        <v>1.007591554459192</v>
      </c>
      <c r="C143">
        <v>0.44142712731189693</v>
      </c>
      <c r="D143">
        <v>-0.64146272861024878</v>
      </c>
      <c r="E143">
        <v>0.23051533591701198</v>
      </c>
      <c r="F143">
        <v>0.1398499536451899</v>
      </c>
      <c r="G143">
        <v>0.39935705620182721</v>
      </c>
      <c r="H143">
        <v>0.12936763995310446</v>
      </c>
      <c r="I143">
        <v>0.82192057383677475</v>
      </c>
      <c r="J143">
        <v>0.69273883988964091</v>
      </c>
      <c r="L143">
        <v>0.84118960770968543</v>
      </c>
      <c r="M143">
        <v>0.66342214878226879</v>
      </c>
      <c r="N143">
        <v>4.4538200963859431</v>
      </c>
      <c r="P143">
        <v>3.6974438355597645E-12</v>
      </c>
      <c r="R143">
        <v>5.4601440346102681</v>
      </c>
      <c r="S143">
        <v>5.4695394540896514</v>
      </c>
      <c r="T143">
        <v>1</v>
      </c>
      <c r="U143">
        <v>2.7123915755660324</v>
      </c>
    </row>
    <row r="144" spans="1:21">
      <c r="A144">
        <v>-1.0903357697512681</v>
      </c>
      <c r="B144">
        <v>1.0097845041861693</v>
      </c>
      <c r="C144">
        <v>0.43513478161371821</v>
      </c>
      <c r="D144">
        <v>-0.37405951983251873</v>
      </c>
      <c r="E144">
        <v>0.3517176313436966</v>
      </c>
      <c r="F144">
        <v>0.11546571955082306</v>
      </c>
      <c r="G144">
        <v>0.45046632114672647</v>
      </c>
      <c r="H144">
        <v>0.21871047699852933</v>
      </c>
      <c r="I144">
        <v>0.82506355944049337</v>
      </c>
      <c r="J144">
        <v>0.68572296820974799</v>
      </c>
      <c r="L144">
        <v>0.84118908297148598</v>
      </c>
      <c r="M144">
        <v>0.66341941593980669</v>
      </c>
      <c r="N144">
        <v>4.4538208754136477</v>
      </c>
      <c r="P144">
        <v>1.4888444233301015E-11</v>
      </c>
      <c r="R144">
        <v>5.4601440346102681</v>
      </c>
      <c r="S144">
        <v>5.4695394540896514</v>
      </c>
      <c r="T144">
        <v>1</v>
      </c>
      <c r="U144">
        <v>2.7123915755660324</v>
      </c>
    </row>
    <row r="145" spans="1:21">
      <c r="A145">
        <v>-1.0835107340541363</v>
      </c>
      <c r="B145">
        <v>1.0117005716928182</v>
      </c>
      <c r="C145">
        <v>0.42297281841310924</v>
      </c>
      <c r="D145">
        <v>0.72219754935054625</v>
      </c>
      <c r="E145">
        <v>0.38343930708644697</v>
      </c>
      <c r="F145">
        <v>-0.34114868593600928</v>
      </c>
      <c r="G145">
        <v>0.34124882370751697</v>
      </c>
      <c r="H145">
        <v>0.74967653647951904</v>
      </c>
      <c r="I145">
        <v>0.41696253566671293</v>
      </c>
      <c r="J145">
        <v>0.77419658238477318</v>
      </c>
      <c r="L145">
        <v>0.84118898702895317</v>
      </c>
      <c r="M145">
        <v>0.66341936898796083</v>
      </c>
      <c r="N145">
        <v>4.4538207993952019</v>
      </c>
      <c r="P145">
        <v>1.498380612369663E-11</v>
      </c>
      <c r="R145">
        <v>5.4601440346102681</v>
      </c>
      <c r="S145">
        <v>5.4695394540896514</v>
      </c>
      <c r="T145">
        <v>1</v>
      </c>
      <c r="U145">
        <v>2.7123915755660324</v>
      </c>
    </row>
    <row r="146" spans="1:21">
      <c r="A146">
        <v>-1.0994268686546662</v>
      </c>
      <c r="B146">
        <v>1.0007780211890187</v>
      </c>
      <c r="C146">
        <v>0.46545861893596036</v>
      </c>
      <c r="D146">
        <v>-0.59551949640922253</v>
      </c>
      <c r="E146">
        <v>-0.22875966897757849</v>
      </c>
      <c r="F146">
        <v>0.245772638483468</v>
      </c>
      <c r="G146">
        <v>0.22941110496795458</v>
      </c>
      <c r="H146">
        <v>0.4914636471196675</v>
      </c>
      <c r="I146">
        <v>0.77171443018139996</v>
      </c>
      <c r="J146">
        <v>0.41090858663041757</v>
      </c>
      <c r="L146">
        <v>0.84118980944768196</v>
      </c>
      <c r="M146">
        <v>0.66342028438893164</v>
      </c>
      <c r="N146">
        <v>4.4538203822360627</v>
      </c>
      <c r="P146">
        <v>1.1250387078768365E-11</v>
      </c>
      <c r="R146">
        <v>5.4601440346102681</v>
      </c>
      <c r="S146">
        <v>5.4695394540896514</v>
      </c>
      <c r="T146">
        <v>1</v>
      </c>
      <c r="U146">
        <v>2.7123915755660324</v>
      </c>
    </row>
    <row r="147" spans="1:21">
      <c r="A147">
        <v>-1.0947067062131199</v>
      </c>
      <c r="B147">
        <v>1.0036776916293753</v>
      </c>
      <c r="C147">
        <v>0.44983014647349923</v>
      </c>
      <c r="D147">
        <v>2.93442276820961E-3</v>
      </c>
      <c r="E147">
        <v>0.15289297488287173</v>
      </c>
      <c r="F147">
        <v>-0.49603404373654042</v>
      </c>
      <c r="G147">
        <v>0.27305638716184849</v>
      </c>
      <c r="H147">
        <v>0.61511844781834168</v>
      </c>
      <c r="I147">
        <v>0.89185025469634849</v>
      </c>
      <c r="J147">
        <v>5.7107462188427806E-2</v>
      </c>
      <c r="L147">
        <v>0.84118878665557684</v>
      </c>
      <c r="M147">
        <v>0.66342045857619381</v>
      </c>
      <c r="N147">
        <v>4.4538207934518681</v>
      </c>
      <c r="P147">
        <v>7.6840134281613232E-12</v>
      </c>
      <c r="R147">
        <v>5.4601440346102681</v>
      </c>
      <c r="S147">
        <v>5.4695394540896514</v>
      </c>
      <c r="T147">
        <v>1</v>
      </c>
      <c r="U147">
        <v>2.7123915755660324</v>
      </c>
    </row>
    <row r="148" spans="1:21">
      <c r="A148">
        <v>-1.0846703039118926</v>
      </c>
      <c r="B148">
        <v>1.0088141390421776</v>
      </c>
      <c r="C148">
        <v>0.44011680368294803</v>
      </c>
      <c r="D148">
        <v>-9.5718676613461229E-2</v>
      </c>
      <c r="E148">
        <v>-0.35945146038527687</v>
      </c>
      <c r="F148">
        <v>-0.6563679984537012</v>
      </c>
      <c r="G148">
        <v>0.48534851968996556</v>
      </c>
      <c r="H148">
        <v>0.89592062904033642</v>
      </c>
      <c r="I148">
        <v>0.13756900867083188</v>
      </c>
      <c r="J148">
        <v>0.86067400394184757</v>
      </c>
      <c r="L148">
        <v>0.84118864449066122</v>
      </c>
      <c r="M148">
        <v>0.66341923845275164</v>
      </c>
      <c r="N148">
        <v>4.4538209646078508</v>
      </c>
      <c r="P148">
        <v>1.5529620379356933E-11</v>
      </c>
      <c r="R148">
        <v>5.4601440346102681</v>
      </c>
      <c r="S148">
        <v>5.4695394540896514</v>
      </c>
      <c r="T148">
        <v>1</v>
      </c>
      <c r="U148">
        <v>2.7123915755660324</v>
      </c>
    </row>
    <row r="149" spans="1:21">
      <c r="A149">
        <v>-1.0929407831080844</v>
      </c>
      <c r="B149">
        <v>1.0087253163358358</v>
      </c>
      <c r="C149">
        <v>0.44631670605635482</v>
      </c>
      <c r="D149">
        <v>0.11954883923287299</v>
      </c>
      <c r="E149">
        <v>0.3998886079258841</v>
      </c>
      <c r="F149">
        <v>7.5187988485099153E-2</v>
      </c>
      <c r="G149">
        <v>0.35689392949181215</v>
      </c>
      <c r="H149">
        <v>0.73373217315977091</v>
      </c>
      <c r="I149">
        <v>0.86125713970425832</v>
      </c>
      <c r="J149">
        <v>0.27763299691891247</v>
      </c>
      <c r="L149">
        <v>0.84118869559907505</v>
      </c>
      <c r="M149">
        <v>0.66342279912978752</v>
      </c>
      <c r="N149">
        <v>4.4538202171158723</v>
      </c>
      <c r="P149">
        <v>6.7554953021191874E-13</v>
      </c>
      <c r="R149">
        <v>5.4601440346102681</v>
      </c>
      <c r="S149">
        <v>5.4695394540896514</v>
      </c>
      <c r="T149">
        <v>1</v>
      </c>
      <c r="U149">
        <v>2.7123915755660324</v>
      </c>
    </row>
    <row r="150" spans="1:21">
      <c r="A150">
        <v>-1.0886412252205144</v>
      </c>
      <c r="B150">
        <v>1.0138827187798849</v>
      </c>
      <c r="C150">
        <v>0.43466509307365053</v>
      </c>
      <c r="D150">
        <v>0.36216126976608548</v>
      </c>
      <c r="E150">
        <v>0.97165792835872788</v>
      </c>
      <c r="F150">
        <v>0.24419180529007534</v>
      </c>
      <c r="G150">
        <v>0.25774273379316115</v>
      </c>
      <c r="H150">
        <v>0.57950221800846058</v>
      </c>
      <c r="I150">
        <v>0.81107659223186479</v>
      </c>
      <c r="J150">
        <v>0.20223802190995468</v>
      </c>
      <c r="L150">
        <v>0.84118934406990531</v>
      </c>
      <c r="M150">
        <v>0.66341980492000918</v>
      </c>
      <c r="N150">
        <v>4.4538202461228433</v>
      </c>
      <c r="P150">
        <v>1.2745869172518594E-11</v>
      </c>
      <c r="R150">
        <v>5.4601440346102681</v>
      </c>
      <c r="S150">
        <v>5.4695394540896514</v>
      </c>
      <c r="T150">
        <v>1</v>
      </c>
      <c r="U150">
        <v>2.7123915755660324</v>
      </c>
    </row>
    <row r="151" spans="1:21">
      <c r="A151">
        <v>-1.5691831776437686</v>
      </c>
      <c r="B151">
        <v>1.1666104830056097</v>
      </c>
      <c r="C151">
        <v>1.0958328230953844</v>
      </c>
      <c r="D151">
        <v>-0.42131817495250323</v>
      </c>
      <c r="E151">
        <v>-0.5740829624525291</v>
      </c>
      <c r="F151">
        <v>7.4064062413086343E-2</v>
      </c>
      <c r="G151">
        <v>0.25583460835648753</v>
      </c>
      <c r="H151">
        <v>0.21404172550948602</v>
      </c>
      <c r="I151">
        <v>0.34317196012461759</v>
      </c>
      <c r="J151">
        <v>0.84999687732290197</v>
      </c>
      <c r="L151">
        <v>0.84118728356479966</v>
      </c>
      <c r="M151">
        <v>0.66342189174257937</v>
      </c>
      <c r="N151">
        <v>3.7173684381372447</v>
      </c>
      <c r="P151">
        <v>2.422936063957936E-12</v>
      </c>
      <c r="R151">
        <v>14.825211659433096</v>
      </c>
      <c r="S151">
        <v>15.029251889619651</v>
      </c>
      <c r="T151">
        <v>1</v>
      </c>
      <c r="U151">
        <v>2.4798020697948133</v>
      </c>
    </row>
    <row r="152" spans="1:21">
      <c r="A152">
        <v>-1.5083449869387113</v>
      </c>
      <c r="B152">
        <v>1.1754712916511851</v>
      </c>
      <c r="C152">
        <v>1.0173226782288112</v>
      </c>
      <c r="D152">
        <v>-0.71582987722152758</v>
      </c>
      <c r="E152">
        <v>0.38778344027699918</v>
      </c>
      <c r="F152">
        <v>-0.64680401795839693</v>
      </c>
      <c r="G152">
        <v>0.84487234897970476</v>
      </c>
      <c r="H152">
        <v>0.73871767872950655</v>
      </c>
      <c r="I152">
        <v>5.1329023238122037E-2</v>
      </c>
      <c r="J152">
        <v>0.39302151807708346</v>
      </c>
      <c r="L152">
        <v>0.8411872660787727</v>
      </c>
      <c r="M152">
        <v>0.66342189092104942</v>
      </c>
      <c r="N152">
        <v>3.7173683952244567</v>
      </c>
      <c r="P152">
        <v>2.3920332539144179E-12</v>
      </c>
      <c r="R152">
        <v>14.825211659433096</v>
      </c>
      <c r="S152">
        <v>15.029251889619651</v>
      </c>
      <c r="T152">
        <v>1</v>
      </c>
      <c r="U152">
        <v>2.4798020697948133</v>
      </c>
    </row>
    <row r="153" spans="1:21">
      <c r="A153">
        <v>-1.502479930770843</v>
      </c>
      <c r="B153">
        <v>1.1686074347750284</v>
      </c>
      <c r="C153">
        <v>1.0015013377066357</v>
      </c>
      <c r="D153">
        <v>7.3454708016676445E-2</v>
      </c>
      <c r="E153">
        <v>0.67267978663085282</v>
      </c>
      <c r="F153">
        <v>-0.28287709486790363</v>
      </c>
      <c r="G153">
        <v>0.52806906147190769</v>
      </c>
      <c r="H153">
        <v>0.68160727345522854</v>
      </c>
      <c r="I153">
        <v>0.1981923097759738</v>
      </c>
      <c r="J153">
        <v>0.86963382627100616</v>
      </c>
      <c r="L153">
        <v>0.84118730207633829</v>
      </c>
      <c r="M153">
        <v>0.66342186368586953</v>
      </c>
      <c r="N153">
        <v>3.7173684707102117</v>
      </c>
      <c r="P153">
        <v>2.5119490458011184E-12</v>
      </c>
      <c r="R153">
        <v>14.825211659433096</v>
      </c>
      <c r="S153">
        <v>15.029251889619651</v>
      </c>
      <c r="T153">
        <v>1</v>
      </c>
      <c r="U153">
        <v>2.4798020697948133</v>
      </c>
    </row>
    <row r="154" spans="1:21">
      <c r="A154">
        <v>-1.5335204021459647</v>
      </c>
      <c r="B154">
        <v>1.1626527221623499</v>
      </c>
      <c r="C154">
        <v>1.0184053379680065</v>
      </c>
      <c r="D154">
        <v>0.95636917194731208</v>
      </c>
      <c r="E154">
        <v>-0.31667820342089148</v>
      </c>
      <c r="F154">
        <v>0.29003321206151628</v>
      </c>
      <c r="G154">
        <v>0.35820570926145451</v>
      </c>
      <c r="H154">
        <v>0.23703624789408625</v>
      </c>
      <c r="I154">
        <v>0.19056871794394586</v>
      </c>
      <c r="J154">
        <v>0.76678801881157121</v>
      </c>
      <c r="L154">
        <v>0.84118724499787534</v>
      </c>
      <c r="M154">
        <v>0.66342183440391633</v>
      </c>
      <c r="N154">
        <v>3.717368457768023</v>
      </c>
      <c r="P154">
        <v>2.6475055697497996E-12</v>
      </c>
      <c r="R154">
        <v>14.825211659433096</v>
      </c>
      <c r="S154">
        <v>15.029251889619651</v>
      </c>
      <c r="T154">
        <v>1</v>
      </c>
      <c r="U154">
        <v>2.4798020697948133</v>
      </c>
    </row>
    <row r="155" spans="1:21">
      <c r="A155">
        <v>-1.5303922318418701</v>
      </c>
      <c r="B155">
        <v>1.1719830237947366</v>
      </c>
      <c r="C155">
        <v>1.0092204102917297</v>
      </c>
      <c r="D155">
        <v>1.8509050156639243E-3</v>
      </c>
      <c r="E155">
        <v>-0.31520427096222947</v>
      </c>
      <c r="F155">
        <v>7.3150788438883577E-2</v>
      </c>
      <c r="G155">
        <v>1.0062136286820329</v>
      </c>
      <c r="H155">
        <v>6.7096115736460057E-2</v>
      </c>
      <c r="I155">
        <v>0.41426813161638409</v>
      </c>
      <c r="J155">
        <v>8.1435742303138686E-2</v>
      </c>
      <c r="L155">
        <v>0.84118732126140672</v>
      </c>
      <c r="M155">
        <v>0.66342180243164328</v>
      </c>
      <c r="N155">
        <v>3.7173685629942352</v>
      </c>
      <c r="P155">
        <v>2.7834325318140253E-12</v>
      </c>
      <c r="R155">
        <v>14.825211659433096</v>
      </c>
      <c r="S155">
        <v>15.029251889619651</v>
      </c>
      <c r="T155">
        <v>1</v>
      </c>
      <c r="U155">
        <v>2.4798020697948133</v>
      </c>
    </row>
    <row r="156" spans="1:21">
      <c r="A156">
        <v>-1.589978958808836</v>
      </c>
      <c r="B156">
        <v>1.1675928499235566</v>
      </c>
      <c r="C156">
        <v>1.1404253768627459</v>
      </c>
      <c r="D156">
        <v>-0.45556788701640083</v>
      </c>
      <c r="E156">
        <v>-0.30151996954559157</v>
      </c>
      <c r="F156">
        <v>-0.3435615655552442</v>
      </c>
      <c r="G156">
        <v>0.19197715226060794</v>
      </c>
      <c r="H156">
        <v>0.70795641417544986</v>
      </c>
      <c r="I156">
        <v>0.90559622411238194</v>
      </c>
      <c r="J156">
        <v>0.81707554593845855</v>
      </c>
      <c r="L156">
        <v>0.84118740470606257</v>
      </c>
      <c r="M156">
        <v>0.66342190402819379</v>
      </c>
      <c r="N156">
        <v>3.7173685578481699</v>
      </c>
      <c r="P156">
        <v>2.4187799797529874E-12</v>
      </c>
      <c r="R156">
        <v>14.825211659433096</v>
      </c>
      <c r="S156">
        <v>15.029251889619651</v>
      </c>
      <c r="T156">
        <v>1</v>
      </c>
      <c r="U156">
        <v>2.4798020697948133</v>
      </c>
    </row>
    <row r="157" spans="1:21">
      <c r="A157">
        <v>-1.5645354282025028</v>
      </c>
      <c r="B157">
        <v>1.1728597624117105</v>
      </c>
      <c r="C157">
        <v>1.0909449795238604</v>
      </c>
      <c r="D157">
        <v>-0.44767255425537578</v>
      </c>
      <c r="E157">
        <v>-0.42552651525121493</v>
      </c>
      <c r="F157">
        <v>0.47465347160322707</v>
      </c>
      <c r="G157">
        <v>0.37354383500169935</v>
      </c>
      <c r="H157">
        <v>0.35667775680748182</v>
      </c>
      <c r="I157">
        <v>0.11943771579346324</v>
      </c>
      <c r="J157">
        <v>0.61357004344484245</v>
      </c>
      <c r="L157">
        <v>0.8411874019279888</v>
      </c>
      <c r="M157">
        <v>0.66342199191080375</v>
      </c>
      <c r="N157">
        <v>3.7173685485539916</v>
      </c>
      <c r="P157">
        <v>2.2051841655356762E-12</v>
      </c>
      <c r="R157">
        <v>14.825211659433096</v>
      </c>
      <c r="S157">
        <v>15.029251889619651</v>
      </c>
      <c r="T157">
        <v>1</v>
      </c>
      <c r="U157">
        <v>2.4798020697948133</v>
      </c>
    </row>
    <row r="158" spans="1:21">
      <c r="A158">
        <v>-1.5251797519797432</v>
      </c>
      <c r="B158">
        <v>1.166873962432579</v>
      </c>
      <c r="C158">
        <v>1.0032988893794819</v>
      </c>
      <c r="D158">
        <v>0.43011112426254844</v>
      </c>
      <c r="E158">
        <v>0.18087903091309179</v>
      </c>
      <c r="F158">
        <v>-0.31499970839443675</v>
      </c>
      <c r="G158">
        <v>0.71560978407394749</v>
      </c>
      <c r="H158">
        <v>0.10555225682329167</v>
      </c>
      <c r="I158">
        <v>0.68168351377752456</v>
      </c>
      <c r="J158">
        <v>0.13998385680598699</v>
      </c>
      <c r="L158">
        <v>0.84118719970642486</v>
      </c>
      <c r="M158">
        <v>0.66342183992038439</v>
      </c>
      <c r="N158">
        <v>3.7173683951611567</v>
      </c>
      <c r="P158">
        <v>2.6172468663755118E-12</v>
      </c>
      <c r="R158">
        <v>14.825211659433096</v>
      </c>
      <c r="S158">
        <v>15.029251889619651</v>
      </c>
      <c r="T158">
        <v>1</v>
      </c>
      <c r="U158">
        <v>2.4798020697948133</v>
      </c>
    </row>
    <row r="159" spans="1:21">
      <c r="A159">
        <v>-1.5012366037162499</v>
      </c>
      <c r="B159">
        <v>1.1673131983545648</v>
      </c>
      <c r="C159">
        <v>0.96243057171631574</v>
      </c>
      <c r="D159">
        <v>0.73288353524042216</v>
      </c>
      <c r="E159">
        <v>0.11541646357312206</v>
      </c>
      <c r="F159">
        <v>-0.17458537240719912</v>
      </c>
      <c r="G159">
        <v>1.126016327448798</v>
      </c>
      <c r="H159">
        <v>0.4397418163150334</v>
      </c>
      <c r="I159">
        <v>0.62229648520009206</v>
      </c>
      <c r="J159">
        <v>0.48220955955491634</v>
      </c>
      <c r="L159">
        <v>0.84118722844512428</v>
      </c>
      <c r="M159">
        <v>0.66342177688370463</v>
      </c>
      <c r="N159">
        <v>3.7173684653877856</v>
      </c>
      <c r="P159">
        <v>2.8316381927174563E-12</v>
      </c>
      <c r="R159">
        <v>14.825211659433096</v>
      </c>
      <c r="S159">
        <v>15.029251889619651</v>
      </c>
      <c r="T159">
        <v>1</v>
      </c>
      <c r="U159">
        <v>2.4798020697948133</v>
      </c>
    </row>
    <row r="160" spans="1:21">
      <c r="A160">
        <v>-1.5062936110955949</v>
      </c>
      <c r="B160">
        <v>1.1633517924262435</v>
      </c>
      <c r="C160">
        <v>0.98778557718841764</v>
      </c>
      <c r="D160">
        <v>4.0985912585168573E-2</v>
      </c>
      <c r="E160">
        <v>0.47070746276050218</v>
      </c>
      <c r="F160">
        <v>-0.77292989574876614</v>
      </c>
      <c r="G160">
        <v>0.68724106684889663</v>
      </c>
      <c r="H160">
        <v>0.16775604419757165</v>
      </c>
      <c r="I160">
        <v>0.69505130892652733</v>
      </c>
      <c r="J160">
        <v>0.63357511398955535</v>
      </c>
      <c r="L160">
        <v>0.84118738323461828</v>
      </c>
      <c r="M160">
        <v>0.66342180085518621</v>
      </c>
      <c r="N160">
        <v>3.7173686137699273</v>
      </c>
      <c r="P160">
        <v>2.794858638780016E-12</v>
      </c>
      <c r="R160">
        <v>14.825211659433096</v>
      </c>
      <c r="S160">
        <v>15.029251889619651</v>
      </c>
      <c r="T160">
        <v>1</v>
      </c>
      <c r="U160">
        <v>2.4798020697948133</v>
      </c>
    </row>
    <row r="161" spans="1:21">
      <c r="A161">
        <v>-0.89188346385298833</v>
      </c>
      <c r="B161">
        <v>1.2087123629927412</v>
      </c>
      <c r="C161">
        <v>0.18675981222874863</v>
      </c>
      <c r="D161">
        <v>-0.3761454247397828</v>
      </c>
      <c r="E161">
        <v>-0.53913006803911145</v>
      </c>
      <c r="F161">
        <v>0.13418860850159572</v>
      </c>
      <c r="G161">
        <v>0.63580667289604098</v>
      </c>
      <c r="H161">
        <v>0.72309701515670666</v>
      </c>
      <c r="I161">
        <v>0.3152142270785151</v>
      </c>
      <c r="J161">
        <v>0.20703766667470477</v>
      </c>
      <c r="L161">
        <v>0.84119085010841776</v>
      </c>
      <c r="M161">
        <v>4.4538199307082218</v>
      </c>
      <c r="N161">
        <v>3.7173665812154684</v>
      </c>
      <c r="P161">
        <v>9.8921851911028717E-12</v>
      </c>
      <c r="R161">
        <v>4.7080601680628069</v>
      </c>
      <c r="S161">
        <v>4.7098691394570427</v>
      </c>
      <c r="T161">
        <v>1</v>
      </c>
      <c r="U161">
        <v>2.5021295704526123</v>
      </c>
    </row>
    <row r="162" spans="1:21">
      <c r="A162">
        <v>-0.91118752271607861</v>
      </c>
      <c r="B162">
        <v>1.1952457465393274</v>
      </c>
      <c r="C162">
        <v>0.18009945128077071</v>
      </c>
      <c r="D162">
        <v>0.50264373473716251</v>
      </c>
      <c r="E162">
        <v>0.40720546091085441</v>
      </c>
      <c r="F162">
        <v>-0.26532660881685793</v>
      </c>
      <c r="G162">
        <v>0.50810146278298352</v>
      </c>
      <c r="H162">
        <v>5.987733948579025E-2</v>
      </c>
      <c r="I162">
        <v>0.34191963329289327</v>
      </c>
      <c r="J162">
        <v>0.11868464210332121</v>
      </c>
      <c r="L162">
        <v>0.84119072692922303</v>
      </c>
      <c r="M162">
        <v>4.4538198125106163</v>
      </c>
      <c r="N162">
        <v>3.7173666706728778</v>
      </c>
      <c r="P162">
        <v>9.1505454413108605E-12</v>
      </c>
      <c r="R162">
        <v>4.7080601680628069</v>
      </c>
      <c r="S162">
        <v>4.7098691394570427</v>
      </c>
      <c r="T162">
        <v>1</v>
      </c>
      <c r="U162">
        <v>2.5021295704526123</v>
      </c>
    </row>
    <row r="163" spans="1:21">
      <c r="A163">
        <v>-0.8925324870837632</v>
      </c>
      <c r="B163">
        <v>1.2025174738544864</v>
      </c>
      <c r="C163">
        <v>0.19912406399319649</v>
      </c>
      <c r="D163">
        <v>-0.29420680850694397</v>
      </c>
      <c r="E163">
        <v>-0.2559195278616716</v>
      </c>
      <c r="F163">
        <v>-0.30570104803219783</v>
      </c>
      <c r="G163">
        <v>0.20169146768620952</v>
      </c>
      <c r="H163">
        <v>0.74270185625612017</v>
      </c>
      <c r="I163">
        <v>0.66294717681952575</v>
      </c>
      <c r="J163">
        <v>0.52191215808171454</v>
      </c>
      <c r="L163">
        <v>0.84119116434719876</v>
      </c>
      <c r="M163">
        <v>4.4538202839461407</v>
      </c>
      <c r="N163">
        <v>3.7173659032703879</v>
      </c>
      <c r="P163">
        <v>1.3549094513459158E-11</v>
      </c>
      <c r="R163">
        <v>4.7080601680628069</v>
      </c>
      <c r="S163">
        <v>4.7098691394570427</v>
      </c>
      <c r="T163">
        <v>1</v>
      </c>
      <c r="U163">
        <v>2.5021295704526123</v>
      </c>
    </row>
    <row r="164" spans="1:21">
      <c r="A164">
        <v>-0.89681428034901411</v>
      </c>
      <c r="B164">
        <v>1.2036024595865631</v>
      </c>
      <c r="C164">
        <v>0.17664643709945957</v>
      </c>
      <c r="D164">
        <v>0.51083875329148543</v>
      </c>
      <c r="E164">
        <v>-2.952728518855299E-2</v>
      </c>
      <c r="F164">
        <v>0.24588070954413119</v>
      </c>
      <c r="G164">
        <v>0.68777384578599643</v>
      </c>
      <c r="H164">
        <v>0.80309952395980688</v>
      </c>
      <c r="I164">
        <v>0.94873848417565587</v>
      </c>
      <c r="J164">
        <v>0.3402560040896031</v>
      </c>
      <c r="L164">
        <v>0.84119100839420191</v>
      </c>
      <c r="M164">
        <v>4.4538200595128385</v>
      </c>
      <c r="N164">
        <v>3.7173663730784492</v>
      </c>
      <c r="P164">
        <v>1.1221087014501274E-11</v>
      </c>
      <c r="R164">
        <v>4.7080601680628069</v>
      </c>
      <c r="S164">
        <v>4.7098691394570427</v>
      </c>
      <c r="T164">
        <v>1</v>
      </c>
      <c r="U164">
        <v>2.5021295704526123</v>
      </c>
    </row>
    <row r="165" spans="1:21">
      <c r="A165">
        <v>-0.89910201739373996</v>
      </c>
      <c r="B165">
        <v>1.1961232044739867</v>
      </c>
      <c r="C165">
        <v>0.17372501517136385</v>
      </c>
      <c r="D165">
        <v>-3.5909960067808805E-2</v>
      </c>
      <c r="E165">
        <v>-0.86682847109047645</v>
      </c>
      <c r="F165">
        <v>0.30785300181811004</v>
      </c>
      <c r="G165">
        <v>0.58953963148442834</v>
      </c>
      <c r="H165">
        <v>0.12497703243450804</v>
      </c>
      <c r="I165">
        <v>0.73937650126136523</v>
      </c>
      <c r="J165">
        <v>0.93356967027287452</v>
      </c>
      <c r="L165">
        <v>0.84118814749777171</v>
      </c>
      <c r="M165">
        <v>4.4538213732680418</v>
      </c>
      <c r="N165">
        <v>3.7173656572120799</v>
      </c>
      <c r="P165">
        <v>5.1401807777839334E-12</v>
      </c>
      <c r="R165">
        <v>4.7080601680628069</v>
      </c>
      <c r="S165">
        <v>4.7098691394570427</v>
      </c>
      <c r="T165">
        <v>1</v>
      </c>
      <c r="U165">
        <v>2.5021295704526123</v>
      </c>
    </row>
    <row r="166" spans="1:21">
      <c r="A166">
        <v>-0.90345260402729455</v>
      </c>
      <c r="B166">
        <v>1.2015377467727821</v>
      </c>
      <c r="C166">
        <v>0.1917017818744971</v>
      </c>
      <c r="D166">
        <v>-0.41160306961337806</v>
      </c>
      <c r="E166">
        <v>0.39056961930849959</v>
      </c>
      <c r="F166">
        <v>0.32184324151435856</v>
      </c>
      <c r="G166">
        <v>0.63954061830461373</v>
      </c>
      <c r="H166">
        <v>0.33808371016893179</v>
      </c>
      <c r="I166">
        <v>0.63444705030902782</v>
      </c>
      <c r="J166">
        <v>0.75899663962518471</v>
      </c>
      <c r="L166">
        <v>0.84118855099730039</v>
      </c>
      <c r="M166">
        <v>4.4538196640356249</v>
      </c>
      <c r="N166">
        <v>3.7173674955177298</v>
      </c>
      <c r="P166">
        <v>1.0867166019206299E-12</v>
      </c>
      <c r="R166">
        <v>4.7080601680628069</v>
      </c>
      <c r="S166">
        <v>4.7098691394570427</v>
      </c>
      <c r="T166">
        <v>1</v>
      </c>
      <c r="U166">
        <v>2.5021295704526123</v>
      </c>
    </row>
    <row r="167" spans="1:21">
      <c r="A167">
        <v>-0.90463200830490187</v>
      </c>
      <c r="B167">
        <v>1.1967372772333467</v>
      </c>
      <c r="C167">
        <v>0.17538099647887381</v>
      </c>
      <c r="D167">
        <v>-2.2461648465880086E-3</v>
      </c>
      <c r="E167">
        <v>-0.15558680110986103</v>
      </c>
      <c r="F167">
        <v>-0.48831866936522089</v>
      </c>
      <c r="G167">
        <v>0.75532092544151019</v>
      </c>
      <c r="H167">
        <v>0.11536146906007406</v>
      </c>
      <c r="I167">
        <v>0.8367361971952908</v>
      </c>
      <c r="J167">
        <v>0.23436807665742163</v>
      </c>
      <c r="L167">
        <v>0.84118977086457802</v>
      </c>
      <c r="M167">
        <v>4.4538195373038016</v>
      </c>
      <c r="N167">
        <v>3.7173673008695953</v>
      </c>
      <c r="P167">
        <v>4.3203769767944582E-12</v>
      </c>
      <c r="R167">
        <v>4.7080601680628069</v>
      </c>
      <c r="S167">
        <v>4.7098691394570427</v>
      </c>
      <c r="T167">
        <v>1</v>
      </c>
      <c r="U167">
        <v>2.5021295704526123</v>
      </c>
    </row>
    <row r="168" spans="1:21">
      <c r="A168">
        <v>-0.88825885909690749</v>
      </c>
      <c r="B168">
        <v>1.2049633514044193</v>
      </c>
      <c r="C168">
        <v>0.19231194272582688</v>
      </c>
      <c r="D168">
        <v>8.5544747954921826E-2</v>
      </c>
      <c r="E168">
        <v>-0.14837177801274137</v>
      </c>
      <c r="F168">
        <v>0.71647980781171638</v>
      </c>
      <c r="G168">
        <v>0.10055832308402618</v>
      </c>
      <c r="H168">
        <v>0.85596985259250769</v>
      </c>
      <c r="I168">
        <v>0.87054937717064118</v>
      </c>
      <c r="J168">
        <v>0.85597993217774571</v>
      </c>
      <c r="L168">
        <v>0.84118982811997034</v>
      </c>
      <c r="M168">
        <v>4.4538195237240519</v>
      </c>
      <c r="N168">
        <v>3.717367206698059</v>
      </c>
      <c r="P168">
        <v>4.6470251724351891E-12</v>
      </c>
      <c r="R168">
        <v>4.7080601680628069</v>
      </c>
      <c r="S168">
        <v>4.7098691394570427</v>
      </c>
      <c r="T168">
        <v>1</v>
      </c>
      <c r="U168">
        <v>2.5021295704526123</v>
      </c>
    </row>
    <row r="169" spans="1:21">
      <c r="A169">
        <v>-0.90801725727796245</v>
      </c>
      <c r="B169">
        <v>1.1910312807255441</v>
      </c>
      <c r="C169">
        <v>0.18897534379909181</v>
      </c>
      <c r="D169">
        <v>0.89618528300318745</v>
      </c>
      <c r="E169">
        <v>0.10521142005165203</v>
      </c>
      <c r="F169">
        <v>3.3787708761216034E-2</v>
      </c>
      <c r="G169">
        <v>0.14897242659855836</v>
      </c>
      <c r="H169">
        <v>0.42760956217261203</v>
      </c>
      <c r="I169">
        <v>0.49087377405809451</v>
      </c>
      <c r="J169">
        <v>0.90284918467912612</v>
      </c>
      <c r="L169">
        <v>0.84118905276048528</v>
      </c>
      <c r="M169">
        <v>4.4538195656233954</v>
      </c>
      <c r="N169">
        <v>3.7173674909868186</v>
      </c>
      <c r="P169">
        <v>2.0840699036890805E-12</v>
      </c>
      <c r="R169">
        <v>4.7080601680628069</v>
      </c>
      <c r="S169">
        <v>4.7098691394570427</v>
      </c>
      <c r="T169">
        <v>1</v>
      </c>
      <c r="U169">
        <v>2.5021295704526123</v>
      </c>
    </row>
    <row r="170" spans="1:21">
      <c r="A170">
        <v>-0.91445382163427802</v>
      </c>
      <c r="B170">
        <v>1.1953154360421241</v>
      </c>
      <c r="C170">
        <v>0.18607837662769885</v>
      </c>
      <c r="D170">
        <v>0.18174110828071258</v>
      </c>
      <c r="E170">
        <v>3.3816136376280483E-2</v>
      </c>
      <c r="F170">
        <v>-0.41685175660329521</v>
      </c>
      <c r="G170">
        <v>0.90904573664939958</v>
      </c>
      <c r="H170">
        <v>0.31543443912027025</v>
      </c>
      <c r="I170">
        <v>0.11027433125146555</v>
      </c>
      <c r="J170">
        <v>0.48334888437890794</v>
      </c>
      <c r="L170">
        <v>0.8411885008257961</v>
      </c>
      <c r="M170">
        <v>4.4538196822433695</v>
      </c>
      <c r="N170">
        <v>3.7173674980194304</v>
      </c>
      <c r="P170">
        <v>1.0009307790332021E-12</v>
      </c>
      <c r="R170">
        <v>4.7080601680628069</v>
      </c>
      <c r="S170">
        <v>4.7098691394570427</v>
      </c>
      <c r="T170">
        <v>1</v>
      </c>
      <c r="U170">
        <v>2.5021295704526123</v>
      </c>
    </row>
    <row r="171" spans="1:21">
      <c r="A171">
        <v>-1.0694432484052971</v>
      </c>
      <c r="B171">
        <v>1.0058061946366645</v>
      </c>
      <c r="C171">
        <v>1.6482126767774381</v>
      </c>
      <c r="D171">
        <v>0.18132725790593679</v>
      </c>
      <c r="E171">
        <v>0.16400032348533558</v>
      </c>
      <c r="F171">
        <v>0.36836191093672049</v>
      </c>
      <c r="G171">
        <v>1.2984024283708546</v>
      </c>
      <c r="H171">
        <v>0</v>
      </c>
      <c r="I171">
        <v>0.33858079503347932</v>
      </c>
      <c r="J171">
        <v>1.0857211546362371</v>
      </c>
      <c r="L171">
        <v>3.3553824034400686</v>
      </c>
      <c r="M171">
        <v>0.66341792205349259</v>
      </c>
      <c r="N171">
        <v>4.4538216975577534</v>
      </c>
      <c r="P171">
        <v>2.8567131278350117E-11</v>
      </c>
      <c r="R171">
        <v>67.653017609703767</v>
      </c>
      <c r="S171">
        <v>77.582923469237784</v>
      </c>
      <c r="T171">
        <v>1</v>
      </c>
      <c r="U171">
        <v>2.7198061315476592</v>
      </c>
    </row>
    <row r="172" spans="1:21">
      <c r="A172">
        <v>-1.061532779438515</v>
      </c>
      <c r="B172">
        <v>1.0149069135916944</v>
      </c>
      <c r="C172">
        <v>1.4660925208080111</v>
      </c>
      <c r="D172">
        <v>5.9202146132859401E-2</v>
      </c>
      <c r="E172">
        <v>0.3459386988535148</v>
      </c>
      <c r="F172">
        <v>-0.47182551898135994</v>
      </c>
      <c r="G172">
        <v>1.5150875047633976</v>
      </c>
      <c r="H172">
        <v>0.22533076935951582</v>
      </c>
      <c r="I172">
        <v>0.19830136166444406</v>
      </c>
      <c r="J172">
        <v>1.0602645496937664</v>
      </c>
      <c r="L172">
        <v>3.3553811828813074</v>
      </c>
      <c r="M172">
        <v>0.66342083419410181</v>
      </c>
      <c r="N172">
        <v>4.4538227224256595</v>
      </c>
      <c r="P172">
        <v>1.3386622421553802E-11</v>
      </c>
      <c r="R172">
        <v>67.653017609703767</v>
      </c>
      <c r="S172">
        <v>77.582923469237784</v>
      </c>
      <c r="T172">
        <v>1</v>
      </c>
      <c r="U172">
        <v>2.7198061315476592</v>
      </c>
    </row>
    <row r="173" spans="1:21">
      <c r="A173">
        <v>-1.0683938090331933</v>
      </c>
      <c r="B173">
        <v>1.001429455021029</v>
      </c>
      <c r="C173">
        <v>1.7867201369595103</v>
      </c>
      <c r="D173">
        <v>0.84917619672983413</v>
      </c>
      <c r="E173">
        <v>0.90901204302435534</v>
      </c>
      <c r="F173">
        <v>0.11972608136566121</v>
      </c>
      <c r="G173">
        <v>0.8385836711261403</v>
      </c>
      <c r="H173">
        <v>0.58650584586460808</v>
      </c>
      <c r="I173">
        <v>0.50153825849881128</v>
      </c>
      <c r="J173">
        <v>0.42674000413759755</v>
      </c>
      <c r="L173">
        <v>3.355381033737951</v>
      </c>
      <c r="M173">
        <v>0.66342076479425016</v>
      </c>
      <c r="N173">
        <v>4.4538225163760305</v>
      </c>
      <c r="P173">
        <v>1.3400993886922587E-11</v>
      </c>
      <c r="R173">
        <v>67.653017609703767</v>
      </c>
      <c r="S173">
        <v>77.582923469237784</v>
      </c>
      <c r="T173">
        <v>1</v>
      </c>
      <c r="U173">
        <v>2.7198061315476592</v>
      </c>
    </row>
    <row r="174" spans="1:21">
      <c r="A174">
        <v>-1.0642666214093748</v>
      </c>
      <c r="B174">
        <v>1.0133619104516514</v>
      </c>
      <c r="C174">
        <v>1.5398261171255945</v>
      </c>
      <c r="D174">
        <v>-4.6518248410753332E-2</v>
      </c>
      <c r="E174">
        <v>0.37369298525971434</v>
      </c>
      <c r="F174">
        <v>-0.1719361780355709</v>
      </c>
      <c r="G174">
        <v>1.427677589009128</v>
      </c>
      <c r="H174">
        <v>0</v>
      </c>
      <c r="I174">
        <v>0.1949589560375703</v>
      </c>
      <c r="J174">
        <v>0.80682155119100851</v>
      </c>
      <c r="L174">
        <v>3.3553826043499844</v>
      </c>
      <c r="M174">
        <v>0.6634226232076128</v>
      </c>
      <c r="N174">
        <v>4.4538211122641318</v>
      </c>
      <c r="P174">
        <v>7.6076214958306655E-13</v>
      </c>
      <c r="R174">
        <v>67.653017609703767</v>
      </c>
      <c r="S174">
        <v>77.582923469237784</v>
      </c>
      <c r="T174">
        <v>1</v>
      </c>
      <c r="U174">
        <v>2.7198061315476592</v>
      </c>
    </row>
    <row r="175" spans="1:21">
      <c r="A175">
        <v>-1.0719834610944163</v>
      </c>
      <c r="B175">
        <v>0.99200193714882001</v>
      </c>
      <c r="C175">
        <v>1.8649650142295155</v>
      </c>
      <c r="D175">
        <v>0.64312196871019034</v>
      </c>
      <c r="E175">
        <v>0.25758204725353601</v>
      </c>
      <c r="F175">
        <v>-8.5577670784586057E-2</v>
      </c>
      <c r="G175">
        <v>0.58881163701825412</v>
      </c>
      <c r="H175">
        <v>0.34646190019417483</v>
      </c>
      <c r="I175">
        <v>0.18498236876483651</v>
      </c>
      <c r="J175">
        <v>0.39784767323456366</v>
      </c>
      <c r="L175">
        <v>3.3553809575645577</v>
      </c>
      <c r="M175">
        <v>0.66342077488605167</v>
      </c>
      <c r="N175">
        <v>4.453822378845417</v>
      </c>
      <c r="P175">
        <v>1.3126306435636024E-11</v>
      </c>
      <c r="R175">
        <v>67.653017609703767</v>
      </c>
      <c r="S175">
        <v>77.582923469237784</v>
      </c>
      <c r="T175">
        <v>1</v>
      </c>
      <c r="U175">
        <v>2.7198061315476592</v>
      </c>
    </row>
    <row r="176" spans="1:21">
      <c r="A176">
        <v>-1.0712328361356256</v>
      </c>
      <c r="B176">
        <v>0.98877122169767584</v>
      </c>
      <c r="C176">
        <v>1.8011101593525427</v>
      </c>
      <c r="D176">
        <v>0.11769290944791154</v>
      </c>
      <c r="E176">
        <v>-0.45611218397859293</v>
      </c>
      <c r="F176">
        <v>-0.40053696533370725</v>
      </c>
      <c r="G176">
        <v>0.73828542642866168</v>
      </c>
      <c r="H176">
        <v>0.20187951477211397</v>
      </c>
      <c r="I176">
        <v>0</v>
      </c>
      <c r="J176">
        <v>1.0742608343968845</v>
      </c>
      <c r="L176">
        <v>3.3553808128382241</v>
      </c>
      <c r="M176">
        <v>0.6634201269058142</v>
      </c>
      <c r="N176">
        <v>4.4538225545653853</v>
      </c>
      <c r="P176">
        <v>1.7859969792433616E-11</v>
      </c>
      <c r="R176">
        <v>67.653017609703767</v>
      </c>
      <c r="S176">
        <v>77.582923469237784</v>
      </c>
      <c r="T176">
        <v>1</v>
      </c>
      <c r="U176">
        <v>2.7198061315476592</v>
      </c>
    </row>
    <row r="177" spans="1:21">
      <c r="A177">
        <v>-1.074203851008904</v>
      </c>
      <c r="B177">
        <v>0.98695142951553605</v>
      </c>
      <c r="C177">
        <v>1.8291490814656284</v>
      </c>
      <c r="D177">
        <v>1.3254037319329948E-2</v>
      </c>
      <c r="E177">
        <v>-0.15989324265384683</v>
      </c>
      <c r="F177">
        <v>-0.65392041795382871</v>
      </c>
      <c r="G177">
        <v>0.7938015698673252</v>
      </c>
      <c r="H177">
        <v>0</v>
      </c>
      <c r="I177">
        <v>0.51735016722854077</v>
      </c>
      <c r="J177">
        <v>0.67440851148869974</v>
      </c>
      <c r="L177">
        <v>3.3553808317797564</v>
      </c>
      <c r="M177">
        <v>0.66342032792404326</v>
      </c>
      <c r="N177">
        <v>4.4538221040405208</v>
      </c>
      <c r="P177">
        <v>1.4978147962764297E-11</v>
      </c>
      <c r="R177">
        <v>67.653017609703767</v>
      </c>
      <c r="S177">
        <v>77.582923469237784</v>
      </c>
      <c r="T177">
        <v>1</v>
      </c>
      <c r="U177">
        <v>2.7198061315476592</v>
      </c>
    </row>
    <row r="178" spans="1:21">
      <c r="A178">
        <v>-1.0684198636090696</v>
      </c>
      <c r="B178">
        <v>0.99836879940247059</v>
      </c>
      <c r="C178">
        <v>1.6762261104306555</v>
      </c>
      <c r="D178">
        <v>0.22813479171216142</v>
      </c>
      <c r="E178">
        <v>0.24925906349506144</v>
      </c>
      <c r="F178">
        <v>-0.56020057664272038</v>
      </c>
      <c r="G178">
        <v>0.81544073648333237</v>
      </c>
      <c r="H178">
        <v>0</v>
      </c>
      <c r="I178">
        <v>0.17934910190908182</v>
      </c>
      <c r="J178">
        <v>0.55491618582016311</v>
      </c>
      <c r="L178">
        <v>3.3553807579938253</v>
      </c>
      <c r="M178">
        <v>0.66341997242545458</v>
      </c>
      <c r="N178">
        <v>4.453821851300896</v>
      </c>
      <c r="P178">
        <v>1.6654383107082303E-11</v>
      </c>
      <c r="R178">
        <v>67.653017609703767</v>
      </c>
      <c r="S178">
        <v>77.582923469237784</v>
      </c>
      <c r="T178">
        <v>1</v>
      </c>
      <c r="U178">
        <v>2.7198061315476592</v>
      </c>
    </row>
    <row r="179" spans="1:21">
      <c r="A179">
        <v>-1.0722545748043459</v>
      </c>
      <c r="B179">
        <v>1.0024693549579913</v>
      </c>
      <c r="C179">
        <v>1.6647526980191338</v>
      </c>
      <c r="D179">
        <v>0.52521089260955034</v>
      </c>
      <c r="E179">
        <v>-0.11234315972182332</v>
      </c>
      <c r="F179">
        <v>-6.5992496114703342E-2</v>
      </c>
      <c r="G179">
        <v>1.2103011232989449</v>
      </c>
      <c r="H179">
        <v>0</v>
      </c>
      <c r="I179">
        <v>0.23440809884949035</v>
      </c>
      <c r="J179">
        <v>0.57553418724921246</v>
      </c>
      <c r="L179">
        <v>3.3553859635625098</v>
      </c>
      <c r="M179">
        <v>0.66342044897907004</v>
      </c>
      <c r="N179">
        <v>4.4538202800383742</v>
      </c>
      <c r="P179">
        <v>1.5769673512753506E-11</v>
      </c>
      <c r="R179">
        <v>67.653017609703767</v>
      </c>
      <c r="S179">
        <v>77.582923469237784</v>
      </c>
      <c r="T179">
        <v>1</v>
      </c>
      <c r="U179">
        <v>2.7198061315476592</v>
      </c>
    </row>
    <row r="180" spans="1:21">
      <c r="A180">
        <v>-1.0639016903099603</v>
      </c>
      <c r="B180">
        <v>1.0115615785030474</v>
      </c>
      <c r="C180">
        <v>1.6606918665110977</v>
      </c>
      <c r="D180">
        <v>-0.11355422451330044</v>
      </c>
      <c r="E180">
        <v>0.89437926063944595</v>
      </c>
      <c r="F180">
        <v>7.7439931205292384E-2</v>
      </c>
      <c r="G180">
        <v>1.0858154769833688</v>
      </c>
      <c r="H180">
        <v>0</v>
      </c>
      <c r="I180">
        <v>0.17981295616466333</v>
      </c>
      <c r="J180">
        <v>0.41183412823918381</v>
      </c>
      <c r="L180">
        <v>3.3553808909666727</v>
      </c>
      <c r="M180">
        <v>0.6634203629815969</v>
      </c>
      <c r="N180">
        <v>4.4538222750829677</v>
      </c>
      <c r="P180">
        <v>1.5107685761474272E-11</v>
      </c>
      <c r="R180">
        <v>67.653017609703767</v>
      </c>
      <c r="S180">
        <v>77.582923469237784</v>
      </c>
      <c r="T180">
        <v>1</v>
      </c>
      <c r="U180">
        <v>2.7198061315476592</v>
      </c>
    </row>
    <row r="181" spans="1:21">
      <c r="A181">
        <v>-1.0200819807249377</v>
      </c>
      <c r="B181">
        <v>1.0031268002401921</v>
      </c>
      <c r="C181">
        <v>-0.28251347931098564</v>
      </c>
      <c r="D181">
        <v>0.11425103551133063</v>
      </c>
      <c r="E181">
        <v>5.9213481583548763E-2</v>
      </c>
      <c r="F181">
        <v>-0.70330391821224703</v>
      </c>
      <c r="G181">
        <v>0.55839937139023421</v>
      </c>
      <c r="H181">
        <v>0.13001242935735224</v>
      </c>
      <c r="I181">
        <v>0.16427620551572372</v>
      </c>
      <c r="J181">
        <v>0.75204750237970419</v>
      </c>
      <c r="L181">
        <v>3.3553841188684568</v>
      </c>
      <c r="M181">
        <v>0.66341908121059889</v>
      </c>
      <c r="N181">
        <v>3.7173674485971659</v>
      </c>
      <c r="P181">
        <v>1.7431964815360694E-11</v>
      </c>
      <c r="R181">
        <v>10.48013551028591</v>
      </c>
      <c r="S181">
        <v>10.517949300669882</v>
      </c>
      <c r="T181">
        <v>1</v>
      </c>
      <c r="U181">
        <v>2.477966228472761</v>
      </c>
    </row>
    <row r="182" spans="1:21">
      <c r="A182">
        <v>-1.0222642381537037</v>
      </c>
      <c r="B182">
        <v>0.98652027097984674</v>
      </c>
      <c r="C182">
        <v>-0.35453255659626609</v>
      </c>
      <c r="D182">
        <v>0.32338220454187444</v>
      </c>
      <c r="E182">
        <v>-0.1489915079653768</v>
      </c>
      <c r="F182">
        <v>0.15182206669295328</v>
      </c>
      <c r="G182">
        <v>0.22990170797008408</v>
      </c>
      <c r="H182">
        <v>0.1604709495999265</v>
      </c>
      <c r="I182">
        <v>0.74652704900006506</v>
      </c>
      <c r="J182">
        <v>0.35792325864925539</v>
      </c>
      <c r="L182">
        <v>3.3553824468373596</v>
      </c>
      <c r="M182">
        <v>0.66341951762001183</v>
      </c>
      <c r="N182">
        <v>3.717368727246527</v>
      </c>
      <c r="P182">
        <v>1.4090253254577966E-11</v>
      </c>
      <c r="R182">
        <v>10.48013551028591</v>
      </c>
      <c r="S182">
        <v>10.517949300669882</v>
      </c>
      <c r="T182">
        <v>1</v>
      </c>
      <c r="U182">
        <v>2.477966228472761</v>
      </c>
    </row>
    <row r="183" spans="1:21">
      <c r="A183">
        <v>-1.0167914087400785</v>
      </c>
      <c r="B183">
        <v>0.99407531543610594</v>
      </c>
      <c r="C183">
        <v>-0.3213382712877686</v>
      </c>
      <c r="D183">
        <v>0.56584711295517642</v>
      </c>
      <c r="E183">
        <v>0.17457554608574946</v>
      </c>
      <c r="F183">
        <v>-6.4515910183542552E-2</v>
      </c>
      <c r="G183">
        <v>0.4150836840411235</v>
      </c>
      <c r="H183">
        <v>0.8994501570331902</v>
      </c>
      <c r="I183">
        <v>0.6324049918793031</v>
      </c>
      <c r="J183">
        <v>0.95109196521088613</v>
      </c>
      <c r="L183">
        <v>3.3553825804667126</v>
      </c>
      <c r="M183">
        <v>0.66341954948754533</v>
      </c>
      <c r="N183">
        <v>3.7173688797894888</v>
      </c>
      <c r="P183">
        <v>1.4053200114081315E-11</v>
      </c>
      <c r="R183">
        <v>10.48013551028591</v>
      </c>
      <c r="S183">
        <v>10.517949300669882</v>
      </c>
      <c r="T183">
        <v>1</v>
      </c>
      <c r="U183">
        <v>2.477966228472761</v>
      </c>
    </row>
    <row r="184" spans="1:21">
      <c r="A184">
        <v>-1.0140913952685606</v>
      </c>
      <c r="B184">
        <v>1.001135299659768</v>
      </c>
      <c r="C184">
        <v>-0.31242881737456235</v>
      </c>
      <c r="D184">
        <v>-8.7920199440245581E-2</v>
      </c>
      <c r="E184">
        <v>0.25901136406981862</v>
      </c>
      <c r="F184">
        <v>-0.54594605646011807</v>
      </c>
      <c r="G184">
        <v>0.85267979186921106</v>
      </c>
      <c r="H184">
        <v>0.95487508969850066</v>
      </c>
      <c r="I184">
        <v>0.77967176546742845</v>
      </c>
      <c r="J184">
        <v>0.70703060751360469</v>
      </c>
      <c r="L184">
        <v>3.3553824283120193</v>
      </c>
      <c r="M184">
        <v>0.66341978058034279</v>
      </c>
      <c r="N184">
        <v>3.7173690404534465</v>
      </c>
      <c r="P184">
        <v>1.3012495801765134E-11</v>
      </c>
      <c r="R184">
        <v>10.48013551028591</v>
      </c>
      <c r="S184">
        <v>10.517949300669882</v>
      </c>
      <c r="T184">
        <v>1</v>
      </c>
      <c r="U184">
        <v>2.477966228472761</v>
      </c>
    </row>
    <row r="185" spans="1:21">
      <c r="A185">
        <v>-1.0145139608590505</v>
      </c>
      <c r="B185">
        <v>0.99896895024685917</v>
      </c>
      <c r="C185">
        <v>-0.30834793322906334</v>
      </c>
      <c r="D185">
        <v>-0.41029650449855137</v>
      </c>
      <c r="E185">
        <v>0.67247989705629507</v>
      </c>
      <c r="F185">
        <v>0.20964056398554856</v>
      </c>
      <c r="G185">
        <v>0.1578804838370145</v>
      </c>
      <c r="H185">
        <v>7.5392760631324149E-2</v>
      </c>
      <c r="I185">
        <v>0.33345543461764982</v>
      </c>
      <c r="J185">
        <v>0.85770038116062008</v>
      </c>
      <c r="L185">
        <v>3.3553824634941711</v>
      </c>
      <c r="M185">
        <v>0.66341952942089322</v>
      </c>
      <c r="N185">
        <v>3.7173687615711311</v>
      </c>
      <c r="P185">
        <v>1.4056044444711079E-11</v>
      </c>
      <c r="R185">
        <v>10.48013551028591</v>
      </c>
      <c r="S185">
        <v>10.517949300669882</v>
      </c>
      <c r="T185">
        <v>1</v>
      </c>
      <c r="U185">
        <v>2.477966228472761</v>
      </c>
    </row>
    <row r="186" spans="1:21">
      <c r="A186">
        <v>-1.0183705759836927</v>
      </c>
      <c r="B186">
        <v>0.98827658626304482</v>
      </c>
      <c r="C186">
        <v>-0.34977934446757558</v>
      </c>
      <c r="D186">
        <v>0.23651389916182222</v>
      </c>
      <c r="E186">
        <v>-0.32583091084312249</v>
      </c>
      <c r="F186">
        <v>0.70604842095782205</v>
      </c>
      <c r="G186">
        <v>4.0710648612638067E-2</v>
      </c>
      <c r="H186">
        <v>0.27834030433758261</v>
      </c>
      <c r="I186">
        <v>9.858578090053699E-2</v>
      </c>
      <c r="J186">
        <v>0.71254829506094197</v>
      </c>
      <c r="L186">
        <v>3.3553824552676006</v>
      </c>
      <c r="M186">
        <v>0.66341951489144091</v>
      </c>
      <c r="N186">
        <v>3.7173687309566543</v>
      </c>
      <c r="P186">
        <v>1.4107641493876344E-11</v>
      </c>
      <c r="R186">
        <v>10.48013551028591</v>
      </c>
      <c r="S186">
        <v>10.517949300669882</v>
      </c>
      <c r="T186">
        <v>1</v>
      </c>
      <c r="U186">
        <v>2.477966228472761</v>
      </c>
    </row>
    <row r="187" spans="1:21">
      <c r="A187">
        <v>-1.0131870921099979</v>
      </c>
      <c r="B187">
        <v>1.0022306228997917</v>
      </c>
      <c r="C187">
        <v>-0.3169462407627508</v>
      </c>
      <c r="D187">
        <v>-0.50230737806411629</v>
      </c>
      <c r="E187">
        <v>0.44406865553828856</v>
      </c>
      <c r="F187">
        <v>-0.30505744400763068</v>
      </c>
      <c r="G187">
        <v>0.80474929824449815</v>
      </c>
      <c r="H187">
        <v>0.6746423653293051</v>
      </c>
      <c r="I187">
        <v>0.79225991327339851</v>
      </c>
      <c r="J187">
        <v>0.59206434580659073</v>
      </c>
      <c r="L187">
        <v>3.3553825024702078</v>
      </c>
      <c r="M187">
        <v>0.66341948755980718</v>
      </c>
      <c r="N187">
        <v>3.7173687627061205</v>
      </c>
      <c r="P187">
        <v>1.431749137749078E-11</v>
      </c>
      <c r="R187">
        <v>10.48013551028591</v>
      </c>
      <c r="S187">
        <v>10.517949300669882</v>
      </c>
      <c r="T187">
        <v>1</v>
      </c>
      <c r="U187">
        <v>2.477966228472761</v>
      </c>
    </row>
    <row r="188" spans="1:21">
      <c r="A188">
        <v>-1.0144834804198943</v>
      </c>
      <c r="B188">
        <v>0.98809424297183412</v>
      </c>
      <c r="C188">
        <v>-0.36737314767421125</v>
      </c>
      <c r="D188">
        <v>-0.12973601965646497</v>
      </c>
      <c r="E188">
        <v>0.19158497488841439</v>
      </c>
      <c r="F188">
        <v>4.4804466228881873E-2</v>
      </c>
      <c r="G188">
        <v>0.39632937633702742</v>
      </c>
      <c r="H188">
        <v>0.78632968439369699</v>
      </c>
      <c r="I188">
        <v>1.0118723871364199</v>
      </c>
      <c r="J188">
        <v>0.24177323768881237</v>
      </c>
      <c r="L188">
        <v>3.355382428050909</v>
      </c>
      <c r="M188">
        <v>0.66341953587501179</v>
      </c>
      <c r="N188">
        <v>3.7173687534085311</v>
      </c>
      <c r="P188">
        <v>1.4033630031708184E-11</v>
      </c>
      <c r="R188">
        <v>10.48013551028591</v>
      </c>
      <c r="S188">
        <v>10.517949300669882</v>
      </c>
      <c r="T188">
        <v>1</v>
      </c>
      <c r="U188">
        <v>2.477966228472761</v>
      </c>
    </row>
    <row r="189" spans="1:21">
      <c r="A189">
        <v>-1.0170566453170304</v>
      </c>
      <c r="B189">
        <v>1.0036524864293142</v>
      </c>
      <c r="C189">
        <v>-0.30709240870658716</v>
      </c>
      <c r="D189">
        <v>-0.58962033184425022</v>
      </c>
      <c r="E189">
        <v>-0.157871945688705</v>
      </c>
      <c r="F189">
        <v>-9.4176643659883395E-3</v>
      </c>
      <c r="G189">
        <v>0.81111526234112652</v>
      </c>
      <c r="H189">
        <v>0.16903714493598018</v>
      </c>
      <c r="I189">
        <v>0.23571320381701966</v>
      </c>
      <c r="J189">
        <v>0.78739853124777237</v>
      </c>
      <c r="L189">
        <v>3.3553826180076824</v>
      </c>
      <c r="M189">
        <v>0.66341967665192436</v>
      </c>
      <c r="N189">
        <v>3.7173690756229423</v>
      </c>
      <c r="P189">
        <v>1.3619462463258153E-11</v>
      </c>
      <c r="R189">
        <v>10.48013551028591</v>
      </c>
      <c r="S189">
        <v>10.517949300669882</v>
      </c>
      <c r="T189">
        <v>1</v>
      </c>
      <c r="U189">
        <v>2.477966228472761</v>
      </c>
    </row>
    <row r="190" spans="1:21">
      <c r="A190">
        <v>-1.0158790293150821</v>
      </c>
      <c r="B190">
        <v>0.99856930808001165</v>
      </c>
      <c r="C190">
        <v>-0.31522045441943397</v>
      </c>
      <c r="D190">
        <v>0.19180103794949258</v>
      </c>
      <c r="E190">
        <v>-0.20907836288013726</v>
      </c>
      <c r="F190">
        <v>-0.45907490030597897</v>
      </c>
      <c r="G190">
        <v>0.48066346424146505</v>
      </c>
      <c r="H190">
        <v>0.65833375303310371</v>
      </c>
      <c r="I190">
        <v>4.1704823388241247E-2</v>
      </c>
      <c r="J190">
        <v>0.46750029948500155</v>
      </c>
      <c r="L190">
        <v>3.3553825511840047</v>
      </c>
      <c r="M190">
        <v>0.66341960957624135</v>
      </c>
      <c r="N190">
        <v>3.7173689450498646</v>
      </c>
      <c r="P190">
        <v>1.38091670961014E-11</v>
      </c>
      <c r="R190">
        <v>10.48013551028591</v>
      </c>
      <c r="S190">
        <v>10.517949300669882</v>
      </c>
      <c r="T190">
        <v>1</v>
      </c>
      <c r="U190">
        <v>2.477966228472761</v>
      </c>
    </row>
    <row r="191" spans="1:21">
      <c r="A191">
        <v>-0.97168325907041908</v>
      </c>
      <c r="B191">
        <v>1.1342918398884387</v>
      </c>
      <c r="C191">
        <v>6.5844333929881552E-2</v>
      </c>
      <c r="D191">
        <v>-8.6424552029795612E-2</v>
      </c>
      <c r="E191">
        <v>0.42813494802698743</v>
      </c>
      <c r="F191">
        <v>-0.13506031497256124</v>
      </c>
      <c r="G191">
        <v>0.28427603396621803</v>
      </c>
      <c r="H191">
        <v>0.81203424297674798</v>
      </c>
      <c r="I191">
        <v>0.76322573036880992</v>
      </c>
      <c r="J191">
        <v>2.2733523957993079E-2</v>
      </c>
      <c r="L191">
        <v>3.3553891770333655</v>
      </c>
      <c r="M191">
        <v>4.4538154185066414</v>
      </c>
      <c r="N191">
        <v>3.7173678362938216</v>
      </c>
      <c r="P191">
        <v>6.3870954258066706E-11</v>
      </c>
      <c r="R191">
        <v>10.920859846395361</v>
      </c>
      <c r="S191">
        <v>10.938849692911305</v>
      </c>
      <c r="T191">
        <v>1</v>
      </c>
      <c r="U191">
        <v>2.4999683018236136</v>
      </c>
    </row>
    <row r="192" spans="1:21">
      <c r="A192">
        <v>-0.98432188545769905</v>
      </c>
      <c r="B192">
        <v>1.1224101695864099</v>
      </c>
      <c r="C192">
        <v>3.5244494900828448E-2</v>
      </c>
      <c r="D192">
        <v>0.11545669969400826</v>
      </c>
      <c r="E192">
        <v>-0.10629382180359644</v>
      </c>
      <c r="F192">
        <v>0.77276648807038639</v>
      </c>
      <c r="G192">
        <v>0.43417501477064457</v>
      </c>
      <c r="H192">
        <v>0.10186868399565632</v>
      </c>
      <c r="I192">
        <v>0.53658199144993324</v>
      </c>
      <c r="J192">
        <v>0.53264055526523213</v>
      </c>
      <c r="L192">
        <v>3.355389136689324</v>
      </c>
      <c r="M192">
        <v>4.453815395981036</v>
      </c>
      <c r="N192">
        <v>3.7173678460194903</v>
      </c>
      <c r="P192">
        <v>6.3606571639636206E-11</v>
      </c>
      <c r="R192">
        <v>10.920859846395361</v>
      </c>
      <c r="S192">
        <v>10.938849692911305</v>
      </c>
      <c r="T192">
        <v>1</v>
      </c>
      <c r="U192">
        <v>2.4999683018236136</v>
      </c>
    </row>
    <row r="193" spans="1:21">
      <c r="A193">
        <v>-0.97431390055730882</v>
      </c>
      <c r="B193">
        <v>1.124962027851701</v>
      </c>
      <c r="C193">
        <v>4.2418788418261501E-2</v>
      </c>
      <c r="D193">
        <v>-0.19767420610242362</v>
      </c>
      <c r="E193">
        <v>-0.64061995433152308</v>
      </c>
      <c r="F193">
        <v>0.20801278495254258</v>
      </c>
      <c r="G193">
        <v>5.7459279118100878E-2</v>
      </c>
      <c r="H193">
        <v>0.51968767620124068</v>
      </c>
      <c r="I193">
        <v>0.42901715545845753</v>
      </c>
      <c r="J193">
        <v>0.16918656477647565</v>
      </c>
      <c r="L193">
        <v>3.3553891165330407</v>
      </c>
      <c r="M193">
        <v>4.4538153984692892</v>
      </c>
      <c r="N193">
        <v>3.7173678139983886</v>
      </c>
      <c r="P193">
        <v>6.3329173782590573E-11</v>
      </c>
      <c r="R193">
        <v>10.920859846395361</v>
      </c>
      <c r="S193">
        <v>10.938849692911305</v>
      </c>
      <c r="T193">
        <v>1</v>
      </c>
      <c r="U193">
        <v>2.4999683018236136</v>
      </c>
    </row>
    <row r="194" spans="1:21">
      <c r="A194">
        <v>-0.97342500652588937</v>
      </c>
      <c r="B194">
        <v>1.1350005316576173</v>
      </c>
      <c r="C194">
        <v>7.8401621661890658E-2</v>
      </c>
      <c r="D194">
        <v>-0.16883810214215478</v>
      </c>
      <c r="E194">
        <v>0.20589752470316378</v>
      </c>
      <c r="F194">
        <v>-0.14233948845806549</v>
      </c>
      <c r="G194">
        <v>0.60848452133751196</v>
      </c>
      <c r="H194">
        <v>0.90048517785345117</v>
      </c>
      <c r="I194">
        <v>0.65272492901510615</v>
      </c>
      <c r="J194">
        <v>0.63870167586506277</v>
      </c>
      <c r="L194">
        <v>3.3553895155735169</v>
      </c>
      <c r="M194">
        <v>4.4538157630378761</v>
      </c>
      <c r="N194">
        <v>3.7173670951048829</v>
      </c>
      <c r="P194">
        <v>6.5188208021238466E-11</v>
      </c>
      <c r="R194">
        <v>10.920859846395361</v>
      </c>
      <c r="S194">
        <v>10.938849692911305</v>
      </c>
      <c r="T194">
        <v>1</v>
      </c>
      <c r="U194">
        <v>2.4999683018236136</v>
      </c>
    </row>
    <row r="195" spans="1:21">
      <c r="A195">
        <v>-0.98697864282636627</v>
      </c>
      <c r="B195">
        <v>1.1183414323714334</v>
      </c>
      <c r="C195">
        <v>2.041077670922457E-2</v>
      </c>
      <c r="D195">
        <v>0.20869791118724726</v>
      </c>
      <c r="E195">
        <v>-0.8349908749727214</v>
      </c>
      <c r="F195">
        <v>0.59670065370890379</v>
      </c>
      <c r="G195">
        <v>0.76959681941944458</v>
      </c>
      <c r="H195">
        <v>0.33725269899072874</v>
      </c>
      <c r="I195">
        <v>0.58669794569482314</v>
      </c>
      <c r="J195">
        <v>0.6044949606191935</v>
      </c>
      <c r="L195">
        <v>3.3553879330153205</v>
      </c>
      <c r="M195">
        <v>4.4538197547429048</v>
      </c>
      <c r="N195">
        <v>3.7173639928135009</v>
      </c>
      <c r="P195">
        <v>3.8852711662501258E-11</v>
      </c>
      <c r="R195">
        <v>10.920859846395361</v>
      </c>
      <c r="S195">
        <v>10.938849692911305</v>
      </c>
      <c r="T195">
        <v>1</v>
      </c>
      <c r="U195">
        <v>2.4999683018236136</v>
      </c>
    </row>
    <row r="196" spans="1:21">
      <c r="A196">
        <v>-0.98075389869223728</v>
      </c>
      <c r="B196">
        <v>1.1342155602669586</v>
      </c>
      <c r="C196">
        <v>0.10522792821865672</v>
      </c>
      <c r="D196">
        <v>-7.0225722259688095E-2</v>
      </c>
      <c r="E196">
        <v>0.9147462865128384</v>
      </c>
      <c r="F196">
        <v>-0.44095281978889511</v>
      </c>
      <c r="G196">
        <v>0.55336369120045026</v>
      </c>
      <c r="H196">
        <v>0.20320730915366289</v>
      </c>
      <c r="I196">
        <v>0.29622322920058619</v>
      </c>
      <c r="J196">
        <v>0.99658038678273753</v>
      </c>
      <c r="L196">
        <v>3.3553896363692242</v>
      </c>
      <c r="M196">
        <v>4.4538159487305995</v>
      </c>
      <c r="N196">
        <v>3.7173667689626804</v>
      </c>
      <c r="P196">
        <v>6.557806704004487E-11</v>
      </c>
      <c r="R196">
        <v>10.920859846395361</v>
      </c>
      <c r="S196">
        <v>10.938849692911305</v>
      </c>
      <c r="T196">
        <v>1</v>
      </c>
      <c r="U196">
        <v>2.4999683018236136</v>
      </c>
    </row>
    <row r="197" spans="1:21">
      <c r="A197">
        <v>-0.97876822301880828</v>
      </c>
      <c r="B197">
        <v>1.127685092176371</v>
      </c>
      <c r="C197">
        <v>4.2657159885753616E-2</v>
      </c>
      <c r="D197">
        <v>6.5152323605119885E-3</v>
      </c>
      <c r="E197">
        <v>0.16466675307506162</v>
      </c>
      <c r="F197">
        <v>0.98277239023650675</v>
      </c>
      <c r="G197">
        <v>0.12617104619834765</v>
      </c>
      <c r="H197">
        <v>0.13665428484280512</v>
      </c>
      <c r="I197">
        <v>0.33746000310877233</v>
      </c>
      <c r="J197">
        <v>0.26882015702783479</v>
      </c>
      <c r="L197">
        <v>3.355388763613278</v>
      </c>
      <c r="M197">
        <v>4.4538151655394582</v>
      </c>
      <c r="N197">
        <v>3.7173683019468511</v>
      </c>
      <c r="P197">
        <v>6.1883037862341707E-11</v>
      </c>
      <c r="R197">
        <v>10.920859846395361</v>
      </c>
      <c r="S197">
        <v>10.938849692911305</v>
      </c>
      <c r="T197">
        <v>1</v>
      </c>
      <c r="U197">
        <v>2.4999683018236136</v>
      </c>
    </row>
    <row r="198" spans="1:21">
      <c r="A198">
        <v>-0.97637434417027991</v>
      </c>
      <c r="B198">
        <v>1.1284245289656596</v>
      </c>
      <c r="C198">
        <v>5.7256178073837767E-2</v>
      </c>
      <c r="D198">
        <v>0.21795156000630089</v>
      </c>
      <c r="E198">
        <v>-0.22874087131050194</v>
      </c>
      <c r="F198">
        <v>0.44841981214975446</v>
      </c>
      <c r="G198">
        <v>0.13509338275074795</v>
      </c>
      <c r="H198">
        <v>0.55504052885792632</v>
      </c>
      <c r="I198">
        <v>0.14123721500449218</v>
      </c>
      <c r="J198">
        <v>0.43041721260465543</v>
      </c>
      <c r="L198">
        <v>3.3553889778504491</v>
      </c>
      <c r="M198">
        <v>4.4538152793427752</v>
      </c>
      <c r="N198">
        <v>3.7173680274385523</v>
      </c>
      <c r="P198">
        <v>6.2960798418294408E-11</v>
      </c>
      <c r="R198">
        <v>10.920859846395361</v>
      </c>
      <c r="S198">
        <v>10.938849692911305</v>
      </c>
      <c r="T198">
        <v>1</v>
      </c>
      <c r="U198">
        <v>2.4999683018236136</v>
      </c>
    </row>
    <row r="199" spans="1:21">
      <c r="A199">
        <v>-0.98784325051019217</v>
      </c>
      <c r="B199">
        <v>1.1221040035493426</v>
      </c>
      <c r="C199">
        <v>2.1739018595567875E-2</v>
      </c>
      <c r="D199">
        <v>0.79780747648966466</v>
      </c>
      <c r="E199">
        <v>6.3510822241472864E-2</v>
      </c>
      <c r="F199">
        <v>0.89277303845673517</v>
      </c>
      <c r="G199">
        <v>0.42842021956835064</v>
      </c>
      <c r="H199">
        <v>0.14808970764683874</v>
      </c>
      <c r="I199">
        <v>0.31903241946624289</v>
      </c>
      <c r="J199">
        <v>0</v>
      </c>
      <c r="L199">
        <v>3.3553880345509297</v>
      </c>
      <c r="M199">
        <v>4.4538195732080093</v>
      </c>
      <c r="N199">
        <v>3.7173639520102277</v>
      </c>
      <c r="P199">
        <v>4.0474825545949108E-11</v>
      </c>
      <c r="R199">
        <v>10.920859846395361</v>
      </c>
      <c r="S199">
        <v>10.938849692911305</v>
      </c>
      <c r="T199">
        <v>1</v>
      </c>
      <c r="U199">
        <v>2.4999683018236136</v>
      </c>
    </row>
    <row r="200" spans="1:21">
      <c r="A200">
        <v>-0.98138147120950803</v>
      </c>
      <c r="B200">
        <v>1.118901576956931</v>
      </c>
      <c r="C200">
        <v>4.8433508291963613E-2</v>
      </c>
      <c r="D200">
        <v>-5.8482589691820318E-2</v>
      </c>
      <c r="E200">
        <v>-0.64139726418399368</v>
      </c>
      <c r="F200">
        <v>2.0293056232151642E-2</v>
      </c>
      <c r="G200">
        <v>0.39557874966091305</v>
      </c>
      <c r="H200">
        <v>0.43231628992832216</v>
      </c>
      <c r="I200">
        <v>0.78580804519429426</v>
      </c>
      <c r="J200">
        <v>0.96007341215802566</v>
      </c>
      <c r="L200">
        <v>3.3553889112471795</v>
      </c>
      <c r="M200">
        <v>4.4538152844407</v>
      </c>
      <c r="N200">
        <v>3.7173681458197891</v>
      </c>
      <c r="P200">
        <v>6.2198313441298328E-11</v>
      </c>
      <c r="R200">
        <v>10.920859846395361</v>
      </c>
      <c r="S200">
        <v>10.938849692911305</v>
      </c>
      <c r="T200">
        <v>1</v>
      </c>
      <c r="U200">
        <v>2.4999683018236136</v>
      </c>
    </row>
    <row r="201" spans="1:21">
      <c r="A201">
        <v>-1.0927335631604429</v>
      </c>
      <c r="B201">
        <v>1.0245773144623493</v>
      </c>
      <c r="C201">
        <v>-0.1291356116356962</v>
      </c>
      <c r="D201">
        <v>0.47475586205611237</v>
      </c>
      <c r="E201">
        <v>-0.18048228697659238</v>
      </c>
      <c r="F201">
        <v>0.5502648928679299</v>
      </c>
      <c r="G201">
        <v>0.64205849702653661</v>
      </c>
      <c r="H201">
        <v>0.86515897124485763</v>
      </c>
      <c r="I201">
        <v>0.38568985518564719</v>
      </c>
      <c r="J201">
        <v>0.76326850587222872</v>
      </c>
      <c r="L201">
        <v>0.66341722656596214</v>
      </c>
      <c r="M201">
        <v>4.4538202693609206</v>
      </c>
      <c r="N201">
        <v>3.717368512414903</v>
      </c>
      <c r="P201">
        <v>3.5095154132350534E-11</v>
      </c>
      <c r="R201">
        <v>8.1021923474921262</v>
      </c>
      <c r="S201">
        <v>8.1126859890305525</v>
      </c>
      <c r="T201">
        <v>1</v>
      </c>
      <c r="U201">
        <v>2.6974713164084303</v>
      </c>
    </row>
    <row r="202" spans="1:21">
      <c r="A202">
        <v>-1.0942713653457372</v>
      </c>
      <c r="B202">
        <v>1.0229596308769282</v>
      </c>
      <c r="C202">
        <v>-0.14292531227581814</v>
      </c>
      <c r="D202">
        <v>-0.29461100292007281</v>
      </c>
      <c r="E202">
        <v>-0.14427551709421033</v>
      </c>
      <c r="F202">
        <v>0.18808213646579655</v>
      </c>
      <c r="G202">
        <v>0.96301848406755197</v>
      </c>
      <c r="H202">
        <v>0.76716706584914429</v>
      </c>
      <c r="I202">
        <v>0.94553253358628409</v>
      </c>
      <c r="J202">
        <v>0.48988352978687411</v>
      </c>
      <c r="L202">
        <v>0.66341715565031145</v>
      </c>
      <c r="M202">
        <v>4.4538211641686907</v>
      </c>
      <c r="N202">
        <v>3.7173672851190402</v>
      </c>
      <c r="P202">
        <v>3.5936241443576892E-11</v>
      </c>
      <c r="R202">
        <v>8.1021923474921262</v>
      </c>
      <c r="S202">
        <v>8.1126859890305525</v>
      </c>
      <c r="T202">
        <v>1</v>
      </c>
      <c r="U202">
        <v>2.6974713164084303</v>
      </c>
    </row>
    <row r="203" spans="1:21">
      <c r="A203">
        <v>-1.0912344069649531</v>
      </c>
      <c r="B203">
        <v>1.0207733756098771</v>
      </c>
      <c r="C203">
        <v>-0.13461459147123547</v>
      </c>
      <c r="D203">
        <v>0.75903603120587526</v>
      </c>
      <c r="E203">
        <v>0.24565272132526586</v>
      </c>
      <c r="F203">
        <v>0.16005827786592974</v>
      </c>
      <c r="G203">
        <v>7.8419746794143083E-2</v>
      </c>
      <c r="H203">
        <v>0.55633223177964641</v>
      </c>
      <c r="I203">
        <v>0.70367380016648429</v>
      </c>
      <c r="J203">
        <v>0.18505486271165494</v>
      </c>
      <c r="L203">
        <v>0.66341727326496069</v>
      </c>
      <c r="M203">
        <v>4.4538202243633025</v>
      </c>
      <c r="N203">
        <v>3.7173685939680179</v>
      </c>
      <c r="P203">
        <v>3.4704112554627666E-11</v>
      </c>
      <c r="R203">
        <v>8.1021923474921262</v>
      </c>
      <c r="S203">
        <v>8.1126859890305525</v>
      </c>
      <c r="T203">
        <v>1</v>
      </c>
      <c r="U203">
        <v>2.6974713164084303</v>
      </c>
    </row>
    <row r="204" spans="1:21">
      <c r="A204">
        <v>-1.0949903249332178</v>
      </c>
      <c r="B204">
        <v>1.018262851370441</v>
      </c>
      <c r="C204">
        <v>-0.14176307723166898</v>
      </c>
      <c r="D204">
        <v>0.3933850280590751</v>
      </c>
      <c r="E204">
        <v>0.19405056070000767</v>
      </c>
      <c r="F204">
        <v>0.12896272923316246</v>
      </c>
      <c r="G204">
        <v>0.32920714884396579</v>
      </c>
      <c r="H204">
        <v>0.83964598827664183</v>
      </c>
      <c r="I204">
        <v>0.8883676797336435</v>
      </c>
      <c r="J204">
        <v>0.29415581657693091</v>
      </c>
      <c r="L204">
        <v>0.66341763856587666</v>
      </c>
      <c r="M204">
        <v>4.4538197478968131</v>
      </c>
      <c r="N204">
        <v>3.7173691421751167</v>
      </c>
      <c r="P204">
        <v>3.2308011346742744E-11</v>
      </c>
      <c r="R204">
        <v>8.1021923474921262</v>
      </c>
      <c r="S204">
        <v>8.1126859890305525</v>
      </c>
      <c r="T204">
        <v>1</v>
      </c>
      <c r="U204">
        <v>2.6974713164084303</v>
      </c>
    </row>
    <row r="205" spans="1:21">
      <c r="A205">
        <v>-1.1003811997719468</v>
      </c>
      <c r="B205">
        <v>1.0234785567834459</v>
      </c>
      <c r="C205">
        <v>-0.13635367727007761</v>
      </c>
      <c r="D205">
        <v>-0.72003022313778109</v>
      </c>
      <c r="E205">
        <v>3.3053192991030607E-2</v>
      </c>
      <c r="F205">
        <v>0.31523602255049954</v>
      </c>
      <c r="G205">
        <v>0.95502507702668238</v>
      </c>
      <c r="H205">
        <v>0.47227585507070124</v>
      </c>
      <c r="I205">
        <v>0.21284012944197531</v>
      </c>
      <c r="J205">
        <v>0.42224392721871423</v>
      </c>
      <c r="L205">
        <v>0.66341736238508608</v>
      </c>
      <c r="M205">
        <v>4.4538199546038397</v>
      </c>
      <c r="N205">
        <v>3.7173687671812647</v>
      </c>
      <c r="P205">
        <v>3.422162822018527E-11</v>
      </c>
      <c r="R205">
        <v>8.1021923474921262</v>
      </c>
      <c r="S205">
        <v>8.1126859890305525</v>
      </c>
      <c r="T205">
        <v>1</v>
      </c>
      <c r="U205">
        <v>2.6974713164084303</v>
      </c>
    </row>
    <row r="206" spans="1:21">
      <c r="A206">
        <v>-1.0970119181422961</v>
      </c>
      <c r="B206">
        <v>1.0133547342262419</v>
      </c>
      <c r="C206">
        <v>-0.14773083049317384</v>
      </c>
      <c r="D206">
        <v>-0.33482470958997568</v>
      </c>
      <c r="E206">
        <v>-0.52257020734224968</v>
      </c>
      <c r="F206">
        <v>0.33363493572442493</v>
      </c>
      <c r="G206">
        <v>0.41318754945496883</v>
      </c>
      <c r="H206">
        <v>0.66928895892165896</v>
      </c>
      <c r="I206">
        <v>0.75336775840169323</v>
      </c>
      <c r="J206">
        <v>0.80175619060223158</v>
      </c>
      <c r="L206">
        <v>0.66341713833758442</v>
      </c>
      <c r="M206">
        <v>4.4538205606026615</v>
      </c>
      <c r="N206">
        <v>3.7173680616448608</v>
      </c>
      <c r="P206">
        <v>3.5598150506558922E-11</v>
      </c>
      <c r="R206">
        <v>8.1021923474921262</v>
      </c>
      <c r="S206">
        <v>8.1126859890305525</v>
      </c>
      <c r="T206">
        <v>1</v>
      </c>
      <c r="U206">
        <v>2.6974713164084303</v>
      </c>
    </row>
    <row r="207" spans="1:21">
      <c r="A207">
        <v>-1.1015409963897302</v>
      </c>
      <c r="B207">
        <v>1.0157760141382002</v>
      </c>
      <c r="C207">
        <v>-0.12140912513140095</v>
      </c>
      <c r="D207">
        <v>-0.48851943229092298</v>
      </c>
      <c r="E207">
        <v>0.509266421071354</v>
      </c>
      <c r="F207">
        <v>-0.43565560734441228</v>
      </c>
      <c r="G207">
        <v>0.13873005982833572</v>
      </c>
      <c r="H207">
        <v>6.3460851469144347E-2</v>
      </c>
      <c r="I207">
        <v>0.32123810017612875</v>
      </c>
      <c r="J207">
        <v>0.32346498413023317</v>
      </c>
      <c r="L207">
        <v>0.6634175235086518</v>
      </c>
      <c r="M207">
        <v>4.4538198674015126</v>
      </c>
      <c r="N207">
        <v>3.7173689952595454</v>
      </c>
      <c r="P207">
        <v>3.3021763362725396E-11</v>
      </c>
      <c r="R207">
        <v>8.1021923474921262</v>
      </c>
      <c r="S207">
        <v>8.1126859890305525</v>
      </c>
      <c r="T207">
        <v>1</v>
      </c>
      <c r="U207">
        <v>2.6974713164084303</v>
      </c>
    </row>
    <row r="208" spans="1:21">
      <c r="A208">
        <v>-1.0892048014362574</v>
      </c>
      <c r="B208">
        <v>1.0266820952525095</v>
      </c>
      <c r="C208">
        <v>-0.11442586472110965</v>
      </c>
      <c r="D208">
        <v>3.3995078767304461E-2</v>
      </c>
      <c r="E208">
        <v>-0.42491406237372759</v>
      </c>
      <c r="F208">
        <v>-0.10775578186623741</v>
      </c>
      <c r="G208">
        <v>0.51107450576838653</v>
      </c>
      <c r="H208">
        <v>3.0940648087264874E-2</v>
      </c>
      <c r="I208">
        <v>9.2803384624936036E-2</v>
      </c>
      <c r="J208">
        <v>0.58126950100627361</v>
      </c>
      <c r="L208">
        <v>0.66341714164721888</v>
      </c>
      <c r="M208">
        <v>4.4538204415388272</v>
      </c>
      <c r="N208">
        <v>3.7173682019929895</v>
      </c>
      <c r="P208">
        <v>3.5667939836541768E-11</v>
      </c>
      <c r="R208">
        <v>8.1021923474921262</v>
      </c>
      <c r="S208">
        <v>8.1126859890305525</v>
      </c>
      <c r="T208">
        <v>1</v>
      </c>
      <c r="U208">
        <v>2.6974713164084303</v>
      </c>
    </row>
    <row r="209" spans="1:21">
      <c r="A209">
        <v>-1.0841278818964986</v>
      </c>
      <c r="B209">
        <v>1.02695161989021</v>
      </c>
      <c r="C209">
        <v>-0.13075225603445056</v>
      </c>
      <c r="D209">
        <v>0.72881762389703753</v>
      </c>
      <c r="E209">
        <v>-0.71476810309247663</v>
      </c>
      <c r="F209">
        <v>-9.7530278690198341E-2</v>
      </c>
      <c r="G209">
        <v>0.61027753460922551</v>
      </c>
      <c r="H209">
        <v>0.68601769129472334</v>
      </c>
      <c r="I209">
        <v>0.6447839749819767</v>
      </c>
      <c r="J209">
        <v>0.36787982732361474</v>
      </c>
      <c r="L209">
        <v>0.66341744705672356</v>
      </c>
      <c r="M209">
        <v>4.4538199193110373</v>
      </c>
      <c r="N209">
        <v>3.7173688971990777</v>
      </c>
      <c r="P209">
        <v>3.3580667560470137E-11</v>
      </c>
      <c r="R209">
        <v>8.1021923474921262</v>
      </c>
      <c r="S209">
        <v>8.1126859890305525</v>
      </c>
      <c r="T209">
        <v>1</v>
      </c>
      <c r="U209">
        <v>2.6974713164084303</v>
      </c>
    </row>
    <row r="210" spans="1:21">
      <c r="A210">
        <v>-1.090851858919246</v>
      </c>
      <c r="B210">
        <v>1.0277528319808609</v>
      </c>
      <c r="C210">
        <v>-0.12281240090291444</v>
      </c>
      <c r="D210">
        <v>-0.29642514639832518</v>
      </c>
      <c r="E210">
        <v>-0.26327902923387037</v>
      </c>
      <c r="F210">
        <v>-9.0443287434508773E-2</v>
      </c>
      <c r="G210">
        <v>0.89099079852472785</v>
      </c>
      <c r="H210">
        <v>0.23886496144804745</v>
      </c>
      <c r="I210">
        <v>0.46039708842504701</v>
      </c>
      <c r="J210">
        <v>0.51637301756049536</v>
      </c>
      <c r="L210">
        <v>0.66341708546971212</v>
      </c>
      <c r="M210">
        <v>4.4538208468291787</v>
      </c>
      <c r="N210">
        <v>3.7173676927587866</v>
      </c>
      <c r="P210">
        <v>3.6247790480537815E-11</v>
      </c>
      <c r="R210">
        <v>8.1021923474921262</v>
      </c>
      <c r="S210">
        <v>8.1126859890305525</v>
      </c>
      <c r="T210">
        <v>1</v>
      </c>
      <c r="U210">
        <v>2.6974713164084303</v>
      </c>
    </row>
    <row r="211" spans="1:21">
      <c r="A211">
        <v>1.4094603603493985</v>
      </c>
      <c r="B211">
        <v>0.13080290411198056</v>
      </c>
      <c r="C211">
        <v>0.42198599995447161</v>
      </c>
      <c r="D211">
        <v>-7.3891014387191437E-2</v>
      </c>
      <c r="E211">
        <v>0.25762590044236794</v>
      </c>
      <c r="F211">
        <v>-0.28775149154712182</v>
      </c>
      <c r="G211">
        <v>0.16991534315885487</v>
      </c>
      <c r="H211">
        <v>0.45663278167100607</v>
      </c>
      <c r="I211">
        <v>0.33097987586184291</v>
      </c>
      <c r="J211">
        <v>0.10924945165812534</v>
      </c>
      <c r="L211">
        <v>1.5742981950638033</v>
      </c>
      <c r="M211">
        <v>3.3561181060191423</v>
      </c>
      <c r="N211">
        <v>4.0714470623211252</v>
      </c>
      <c r="P211">
        <v>9.3713375532977952E-12</v>
      </c>
      <c r="R211">
        <v>8.2412886610281166</v>
      </c>
      <c r="S211">
        <v>8.2529665998791568</v>
      </c>
      <c r="T211">
        <v>1</v>
      </c>
      <c r="U211">
        <v>2.407184029204092</v>
      </c>
    </row>
    <row r="212" spans="1:21">
      <c r="A212">
        <v>1.4154835156527521</v>
      </c>
      <c r="B212">
        <v>0.12172222031273684</v>
      </c>
      <c r="C212">
        <v>0.42176608304588664</v>
      </c>
      <c r="D212">
        <v>0.34126734648345036</v>
      </c>
      <c r="E212">
        <v>0.38015672622267566</v>
      </c>
      <c r="F212">
        <v>0.28280571155179463</v>
      </c>
      <c r="G212">
        <v>0.80329943937212067</v>
      </c>
      <c r="H212">
        <v>0.65829719359878069</v>
      </c>
      <c r="I212">
        <v>4.8253066108332715E-2</v>
      </c>
      <c r="J212">
        <v>0.58278364098207291</v>
      </c>
      <c r="L212">
        <v>1.5742970384792108</v>
      </c>
      <c r="M212">
        <v>3.3561178008498986</v>
      </c>
      <c r="N212">
        <v>4.0714488303486309</v>
      </c>
      <c r="P212">
        <v>3.8565271742172637E-12</v>
      </c>
      <c r="R212">
        <v>8.2412886610281166</v>
      </c>
      <c r="S212">
        <v>8.2529665998791568</v>
      </c>
      <c r="T212">
        <v>1</v>
      </c>
      <c r="U212">
        <v>2.407184029204092</v>
      </c>
    </row>
    <row r="213" spans="1:21">
      <c r="A213">
        <v>1.4099658224849962</v>
      </c>
      <c r="B213">
        <v>0.13505669107304766</v>
      </c>
      <c r="C213">
        <v>0.41680487582261211</v>
      </c>
      <c r="D213">
        <v>-0.88822546293663651</v>
      </c>
      <c r="E213">
        <v>-0.55493739272364084</v>
      </c>
      <c r="F213">
        <v>-0.35433475928465036</v>
      </c>
      <c r="G213">
        <v>0.31405845492589118</v>
      </c>
      <c r="H213">
        <v>0</v>
      </c>
      <c r="I213">
        <v>5.6569833321221792E-2</v>
      </c>
      <c r="J213">
        <v>0.12043209261283368</v>
      </c>
      <c r="L213">
        <v>1.5742975888472017</v>
      </c>
      <c r="M213">
        <v>3.3561183691740943</v>
      </c>
      <c r="N213">
        <v>4.0714487564176762</v>
      </c>
      <c r="P213">
        <v>3.6596847762116507E-12</v>
      </c>
      <c r="R213">
        <v>8.2412886610281166</v>
      </c>
      <c r="S213">
        <v>8.2529665998791568</v>
      </c>
      <c r="T213">
        <v>1</v>
      </c>
      <c r="U213">
        <v>2.407184029204092</v>
      </c>
    </row>
    <row r="214" spans="1:21">
      <c r="A214">
        <v>1.4091555702869332</v>
      </c>
      <c r="B214">
        <v>0.1377642038468519</v>
      </c>
      <c r="C214">
        <v>0.41349649054453447</v>
      </c>
      <c r="D214">
        <v>-5.0666370271544033E-2</v>
      </c>
      <c r="E214">
        <v>-0.25156465126332894</v>
      </c>
      <c r="F214">
        <v>-8.7719072676993165E-2</v>
      </c>
      <c r="G214">
        <v>0.63189757707180239</v>
      </c>
      <c r="H214">
        <v>0.94655330078846356</v>
      </c>
      <c r="I214">
        <v>0.7619932402022026</v>
      </c>
      <c r="J214">
        <v>0.92286509029441022</v>
      </c>
      <c r="L214">
        <v>1.5742970342467919</v>
      </c>
      <c r="M214">
        <v>3.3561179433095178</v>
      </c>
      <c r="N214">
        <v>4.0714484279364287</v>
      </c>
      <c r="P214">
        <v>5.13627751522901E-12</v>
      </c>
      <c r="R214">
        <v>8.2412886610281166</v>
      </c>
      <c r="S214">
        <v>8.2529665998791568</v>
      </c>
      <c r="T214">
        <v>1</v>
      </c>
      <c r="U214">
        <v>2.407184029204092</v>
      </c>
    </row>
    <row r="215" spans="1:21">
      <c r="A215">
        <v>1.4113342010687266</v>
      </c>
      <c r="B215">
        <v>0.14458553149627076</v>
      </c>
      <c r="C215">
        <v>0.38217666187622318</v>
      </c>
      <c r="D215">
        <v>0.20628818338294849</v>
      </c>
      <c r="E215">
        <v>-6.8885731817011395E-2</v>
      </c>
      <c r="F215">
        <v>-0.26290559050598444</v>
      </c>
      <c r="G215">
        <v>0.6046870015521939</v>
      </c>
      <c r="H215">
        <v>0.17608269753571923</v>
      </c>
      <c r="I215">
        <v>0.94978455261993289</v>
      </c>
      <c r="J215">
        <v>0.38041711201558681</v>
      </c>
      <c r="L215">
        <v>1.574297129460045</v>
      </c>
      <c r="M215">
        <v>3.3561177822055561</v>
      </c>
      <c r="N215">
        <v>4.0714490703719299</v>
      </c>
      <c r="P215">
        <v>3.0794968394284449E-12</v>
      </c>
      <c r="R215">
        <v>8.2412886610281166</v>
      </c>
      <c r="S215">
        <v>8.2529665998791568</v>
      </c>
      <c r="T215">
        <v>1</v>
      </c>
      <c r="U215">
        <v>2.407184029204092</v>
      </c>
    </row>
    <row r="216" spans="1:21">
      <c r="A216">
        <v>1.4121109591257752</v>
      </c>
      <c r="B216">
        <v>0.12832895716898948</v>
      </c>
      <c r="C216">
        <v>0.41147376730681257</v>
      </c>
      <c r="D216">
        <v>7.5786932542801638E-2</v>
      </c>
      <c r="E216">
        <v>3.6474583687771019E-2</v>
      </c>
      <c r="F216">
        <v>-7.0260821002016263E-2</v>
      </c>
      <c r="G216">
        <v>0.420299035957859</v>
      </c>
      <c r="H216">
        <v>0.20656214317033691</v>
      </c>
      <c r="I216">
        <v>7.9544040010767966E-2</v>
      </c>
      <c r="J216">
        <v>0.27089617490412904</v>
      </c>
      <c r="L216">
        <v>1.5742969702238738</v>
      </c>
      <c r="M216">
        <v>3.3561177909889888</v>
      </c>
      <c r="N216">
        <v>4.071448636342855</v>
      </c>
      <c r="P216">
        <v>4.5366162136377263E-12</v>
      </c>
      <c r="R216">
        <v>8.2412886610281166</v>
      </c>
      <c r="S216">
        <v>8.2529665998791568</v>
      </c>
      <c r="T216">
        <v>1</v>
      </c>
      <c r="U216">
        <v>2.407184029204092</v>
      </c>
    </row>
    <row r="217" spans="1:21">
      <c r="A217">
        <v>1.4118919779109664</v>
      </c>
      <c r="B217">
        <v>0.13211827260229994</v>
      </c>
      <c r="C217">
        <v>0.43234027470978309</v>
      </c>
      <c r="D217">
        <v>-3.9485340287857551E-2</v>
      </c>
      <c r="E217">
        <v>0.42412696360806151</v>
      </c>
      <c r="F217">
        <v>0.31993164992379736</v>
      </c>
      <c r="G217">
        <v>5.3937376664058699E-2</v>
      </c>
      <c r="H217">
        <v>0.59562356219935619</v>
      </c>
      <c r="I217">
        <v>9.1920329133039977E-2</v>
      </c>
      <c r="J217">
        <v>2.1451995595071317E-2</v>
      </c>
      <c r="L217">
        <v>1.5742970406650278</v>
      </c>
      <c r="M217">
        <v>3.3561177977189627</v>
      </c>
      <c r="N217">
        <v>4.0714488339295363</v>
      </c>
      <c r="P217">
        <v>3.8382830608688865E-12</v>
      </c>
      <c r="R217">
        <v>8.2412886610281166</v>
      </c>
      <c r="S217">
        <v>8.2529665998791568</v>
      </c>
      <c r="T217">
        <v>1</v>
      </c>
      <c r="U217">
        <v>2.407184029204092</v>
      </c>
    </row>
    <row r="218" spans="1:21">
      <c r="A218">
        <v>1.4113785654986808</v>
      </c>
      <c r="B218">
        <v>0.14008324246049636</v>
      </c>
      <c r="C218">
        <v>0.40537996165025386</v>
      </c>
      <c r="D218">
        <v>-0.47730856699348961</v>
      </c>
      <c r="E218">
        <v>-1.8947182527991675E-2</v>
      </c>
      <c r="F218">
        <v>0.13946540323008066</v>
      </c>
      <c r="G218">
        <v>0.49860546857557392</v>
      </c>
      <c r="H218">
        <v>0.19188082950106325</v>
      </c>
      <c r="I218">
        <v>0.65188641210511455</v>
      </c>
      <c r="J218">
        <v>0.56155650594924178</v>
      </c>
      <c r="L218">
        <v>1.5742969723438165</v>
      </c>
      <c r="M218">
        <v>3.3561178275396006</v>
      </c>
      <c r="N218">
        <v>4.0714485723462923</v>
      </c>
      <c r="P218">
        <v>4.7477841474221193E-12</v>
      </c>
      <c r="R218">
        <v>8.2412886610281166</v>
      </c>
      <c r="S218">
        <v>8.2529665998791568</v>
      </c>
      <c r="T218">
        <v>1</v>
      </c>
      <c r="U218">
        <v>2.407184029204092</v>
      </c>
    </row>
    <row r="219" spans="1:21">
      <c r="A219">
        <v>1.4112928270810854</v>
      </c>
      <c r="B219">
        <v>0.129036165397901</v>
      </c>
      <c r="C219">
        <v>0.39902198866639188</v>
      </c>
      <c r="D219">
        <v>0.23919360248512661</v>
      </c>
      <c r="E219">
        <v>0.32490543304145225</v>
      </c>
      <c r="F219">
        <v>-0.51672761468240391</v>
      </c>
      <c r="G219">
        <v>0.46263078070765756</v>
      </c>
      <c r="H219">
        <v>3.0432647012166216E-2</v>
      </c>
      <c r="I219">
        <v>0.45271803110158582</v>
      </c>
      <c r="J219">
        <v>0.1039351520318459</v>
      </c>
      <c r="L219">
        <v>1.5742970385338746</v>
      </c>
      <c r="M219">
        <v>3.3561178999613621</v>
      </c>
      <c r="N219">
        <v>4.071448644339374</v>
      </c>
      <c r="P219">
        <v>4.4398317928438645E-12</v>
      </c>
      <c r="R219">
        <v>8.2412886610281166</v>
      </c>
      <c r="S219">
        <v>8.2529665998791568</v>
      </c>
      <c r="T219">
        <v>1</v>
      </c>
      <c r="U219">
        <v>2.407184029204092</v>
      </c>
    </row>
    <row r="220" spans="1:21">
      <c r="A220">
        <v>1.4143721381886594</v>
      </c>
      <c r="B220">
        <v>0.1500732021432907</v>
      </c>
      <c r="C220">
        <v>0.36923293956538572</v>
      </c>
      <c r="D220">
        <v>0.84810963815877682</v>
      </c>
      <c r="E220">
        <v>0.18217308948247199</v>
      </c>
      <c r="F220">
        <v>8.1373278522087686E-2</v>
      </c>
      <c r="G220">
        <v>0.58536864321149151</v>
      </c>
      <c r="H220">
        <v>0.17998549602807895</v>
      </c>
      <c r="I220">
        <v>1.0058629379563977</v>
      </c>
      <c r="J220">
        <v>0.11753859892887915</v>
      </c>
      <c r="L220">
        <v>1.574298703584595</v>
      </c>
      <c r="M220">
        <v>3.3561171011601352</v>
      </c>
      <c r="N220">
        <v>4.0714465907435127</v>
      </c>
      <c r="P220">
        <v>1.1525148450329288E-11</v>
      </c>
      <c r="R220">
        <v>8.2412886610281166</v>
      </c>
      <c r="S220">
        <v>8.2529665998791568</v>
      </c>
      <c r="T220">
        <v>1</v>
      </c>
      <c r="U220">
        <v>2.407184029204092</v>
      </c>
    </row>
    <row r="221" spans="1:21">
      <c r="A221">
        <v>1.4626015394021543</v>
      </c>
      <c r="B221">
        <v>0.26283476771652903</v>
      </c>
      <c r="C221">
        <v>0.34741076269739163</v>
      </c>
      <c r="D221">
        <v>0.26563458867712575</v>
      </c>
      <c r="E221">
        <v>-3.4787686712727174E-2</v>
      </c>
      <c r="F221">
        <v>0.62089279575146228</v>
      </c>
      <c r="G221">
        <v>0.77745949273083115</v>
      </c>
      <c r="H221">
        <v>0.36674781382591293</v>
      </c>
      <c r="I221">
        <v>0.16454073918026618</v>
      </c>
      <c r="J221">
        <v>0.7771452888581718</v>
      </c>
      <c r="L221">
        <v>1.5742994618634465</v>
      </c>
      <c r="M221">
        <v>3.3561157899720673</v>
      </c>
      <c r="N221">
        <v>0.900355542812451</v>
      </c>
      <c r="P221">
        <v>3.0195880469216362E-12</v>
      </c>
      <c r="R221">
        <v>5.1379725144449369</v>
      </c>
      <c r="S221">
        <v>5.1437331426071831</v>
      </c>
      <c r="T221">
        <v>1</v>
      </c>
      <c r="U221">
        <v>2.4285193280740889</v>
      </c>
    </row>
    <row r="222" spans="1:21">
      <c r="A222">
        <v>1.4651670759921507</v>
      </c>
      <c r="B222">
        <v>0.25819185886824952</v>
      </c>
      <c r="C222">
        <v>0.33780762759435351</v>
      </c>
      <c r="D222">
        <v>0.40662901205636803</v>
      </c>
      <c r="E222">
        <v>0.27968148009022192</v>
      </c>
      <c r="F222">
        <v>-0.57642472146490176</v>
      </c>
      <c r="G222">
        <v>0.96442122574672418</v>
      </c>
      <c r="H222">
        <v>0</v>
      </c>
      <c r="I222">
        <v>0.12802458748392967</v>
      </c>
      <c r="J222">
        <v>0.29693502363425889</v>
      </c>
      <c r="L222">
        <v>1.5742984652991454</v>
      </c>
      <c r="M222">
        <v>3.3561173103902875</v>
      </c>
      <c r="N222">
        <v>0.90035562957767412</v>
      </c>
      <c r="P222">
        <v>3.2450181990812593E-14</v>
      </c>
      <c r="R222">
        <v>5.1379725144449369</v>
      </c>
      <c r="S222">
        <v>5.1437331426071831</v>
      </c>
      <c r="T222">
        <v>1</v>
      </c>
      <c r="U222">
        <v>2.4285193280740889</v>
      </c>
    </row>
    <row r="223" spans="1:21">
      <c r="A223">
        <v>1.4494383004845983</v>
      </c>
      <c r="B223">
        <v>0.25054946229819236</v>
      </c>
      <c r="C223">
        <v>0.35533586744535828</v>
      </c>
      <c r="D223">
        <v>0.41471812791715817</v>
      </c>
      <c r="E223">
        <v>9.6955037310351502E-2</v>
      </c>
      <c r="F223">
        <v>5.0293804735295808E-2</v>
      </c>
      <c r="G223">
        <v>0.28896541435856499</v>
      </c>
      <c r="H223">
        <v>0.61720800804833242</v>
      </c>
      <c r="I223">
        <v>0.70194741738707889</v>
      </c>
      <c r="J223">
        <v>0.79719258590475084</v>
      </c>
      <c r="L223">
        <v>1.5742987908627721</v>
      </c>
      <c r="M223">
        <v>3.356116025140806</v>
      </c>
      <c r="N223">
        <v>0.90035614124317431</v>
      </c>
      <c r="P223">
        <v>1.6650351273770971E-12</v>
      </c>
      <c r="R223">
        <v>5.1379725144449369</v>
      </c>
      <c r="S223">
        <v>5.1437331426071831</v>
      </c>
      <c r="T223">
        <v>1</v>
      </c>
      <c r="U223">
        <v>2.4285193280740889</v>
      </c>
    </row>
    <row r="224" spans="1:21">
      <c r="A224">
        <v>1.4611541050167549</v>
      </c>
      <c r="B224">
        <v>0.26768859427180958</v>
      </c>
      <c r="C224">
        <v>0.33423177904640011</v>
      </c>
      <c r="D224">
        <v>0.39710606991053943</v>
      </c>
      <c r="E224">
        <v>0.60659584589291715</v>
      </c>
      <c r="F224">
        <v>0.34387644945282453</v>
      </c>
      <c r="G224">
        <v>0.6945762061308377</v>
      </c>
      <c r="H224">
        <v>0.21150246760399874</v>
      </c>
      <c r="I224">
        <v>0.87054848574019028</v>
      </c>
      <c r="J224">
        <v>0.13293202217353001</v>
      </c>
      <c r="L224">
        <v>1.5742988752506293</v>
      </c>
      <c r="M224">
        <v>3.3561162838795751</v>
      </c>
      <c r="N224">
        <v>0.90035612769045925</v>
      </c>
      <c r="P224">
        <v>1.1472009978745471E-12</v>
      </c>
      <c r="R224">
        <v>5.1379725144449369</v>
      </c>
      <c r="S224">
        <v>5.1437331426071831</v>
      </c>
      <c r="T224">
        <v>1</v>
      </c>
      <c r="U224">
        <v>2.4285193280740889</v>
      </c>
    </row>
    <row r="225" spans="1:21">
      <c r="A225">
        <v>1.4449109046624045</v>
      </c>
      <c r="B225">
        <v>0.25291343954414197</v>
      </c>
      <c r="C225">
        <v>0.33919717180172682</v>
      </c>
      <c r="D225">
        <v>0.15748015118527384</v>
      </c>
      <c r="E225">
        <v>-0.74670485043663914</v>
      </c>
      <c r="F225">
        <v>-0.2095847467432054</v>
      </c>
      <c r="G225">
        <v>0.35266405989528843</v>
      </c>
      <c r="H225">
        <v>0.35264567192800134</v>
      </c>
      <c r="I225">
        <v>0.82102840911069519</v>
      </c>
      <c r="J225">
        <v>0.66667875293965284</v>
      </c>
      <c r="L225">
        <v>1.5742984969835681</v>
      </c>
      <c r="M225">
        <v>3.3561161806031077</v>
      </c>
      <c r="N225">
        <v>0.90035621413249212</v>
      </c>
      <c r="P225">
        <v>1.3025416115281544E-12</v>
      </c>
      <c r="R225">
        <v>5.1379725144449369</v>
      </c>
      <c r="S225">
        <v>5.1437331426071831</v>
      </c>
      <c r="T225">
        <v>1</v>
      </c>
      <c r="U225">
        <v>2.4285193280740889</v>
      </c>
    </row>
    <row r="226" spans="1:21">
      <c r="A226">
        <v>1.4566838418190311</v>
      </c>
      <c r="B226">
        <v>0.25121242257527859</v>
      </c>
      <c r="C226">
        <v>0.34076417266752057</v>
      </c>
      <c r="D226">
        <v>0.41221341831994723</v>
      </c>
      <c r="E226">
        <v>0.18214454537042235</v>
      </c>
      <c r="F226">
        <v>-9.7214152403071782E-2</v>
      </c>
      <c r="G226">
        <v>0.61119899300328373</v>
      </c>
      <c r="H226">
        <v>2.3809741127402199E-2</v>
      </c>
      <c r="I226">
        <v>0.35721327615350318</v>
      </c>
      <c r="J226">
        <v>0.99004290588647825</v>
      </c>
      <c r="L226">
        <v>1.5742986510295118</v>
      </c>
      <c r="M226">
        <v>3.356116376285756</v>
      </c>
      <c r="N226">
        <v>0.90035619265124101</v>
      </c>
      <c r="P226">
        <v>9.2369390779274345E-13</v>
      </c>
      <c r="R226">
        <v>5.1379725144449369</v>
      </c>
      <c r="S226">
        <v>5.1437331426071831</v>
      </c>
      <c r="T226">
        <v>1</v>
      </c>
      <c r="U226">
        <v>2.4285193280740889</v>
      </c>
    </row>
    <row r="227" spans="1:21">
      <c r="A227">
        <v>1.4425301609401309</v>
      </c>
      <c r="B227">
        <v>0.24611353484576265</v>
      </c>
      <c r="C227">
        <v>0.336344741356708</v>
      </c>
      <c r="D227">
        <v>0.55075087592412053</v>
      </c>
      <c r="E227">
        <v>-0.26532478016990518</v>
      </c>
      <c r="F227">
        <v>-0.46578560959512871</v>
      </c>
      <c r="G227">
        <v>0.11351754950539629</v>
      </c>
      <c r="H227">
        <v>0.18241810786088819</v>
      </c>
      <c r="I227">
        <v>0.90922645563542903</v>
      </c>
      <c r="J227">
        <v>0.71421851906952682</v>
      </c>
      <c r="L227">
        <v>1.5742986799313285</v>
      </c>
      <c r="M227">
        <v>3.3561168050712489</v>
      </c>
      <c r="N227">
        <v>0.90035606798481238</v>
      </c>
      <c r="P227">
        <v>2.910688126532748E-13</v>
      </c>
      <c r="R227">
        <v>5.1379725144449369</v>
      </c>
      <c r="S227">
        <v>5.1437331426071831</v>
      </c>
      <c r="T227">
        <v>1</v>
      </c>
      <c r="U227">
        <v>2.4285193280740889</v>
      </c>
    </row>
    <row r="228" spans="1:21">
      <c r="A228">
        <v>1.4590907198590497</v>
      </c>
      <c r="B228">
        <v>0.26862728821902648</v>
      </c>
      <c r="C228">
        <v>0.33667938450560397</v>
      </c>
      <c r="D228">
        <v>-0.17544561416726878</v>
      </c>
      <c r="E228">
        <v>-0.52946204231902283</v>
      </c>
      <c r="F228">
        <v>0.50954854856790566</v>
      </c>
      <c r="G228">
        <v>0.91827123227217988</v>
      </c>
      <c r="H228">
        <v>0.29616351052235457</v>
      </c>
      <c r="I228">
        <v>0.59490932184952128</v>
      </c>
      <c r="J228">
        <v>0.55693889305068245</v>
      </c>
      <c r="L228">
        <v>1.5742988359943446</v>
      </c>
      <c r="M228">
        <v>3.3561162744567783</v>
      </c>
      <c r="N228">
        <v>0.90035614212210591</v>
      </c>
      <c r="P228">
        <v>1.1497472087533359E-12</v>
      </c>
      <c r="R228">
        <v>5.1379725144449369</v>
      </c>
      <c r="S228">
        <v>5.1437331426071831</v>
      </c>
      <c r="T228">
        <v>1</v>
      </c>
      <c r="U228">
        <v>2.4285193280740889</v>
      </c>
    </row>
    <row r="229" spans="1:21">
      <c r="A229">
        <v>1.4476891722324616</v>
      </c>
      <c r="B229">
        <v>0.25713642064774944</v>
      </c>
      <c r="C229">
        <v>0.35410607693439844</v>
      </c>
      <c r="D229">
        <v>0.18769983218808053</v>
      </c>
      <c r="E229">
        <v>-6.4453900473818271E-2</v>
      </c>
      <c r="F229">
        <v>-4.0847249830308262E-2</v>
      </c>
      <c r="G229">
        <v>0.27591211486236561</v>
      </c>
      <c r="H229">
        <v>0.76583470379832996</v>
      </c>
      <c r="I229">
        <v>1.0195699689686293</v>
      </c>
      <c r="J229">
        <v>0.21038384229044779</v>
      </c>
      <c r="L229">
        <v>1.5742987026142246</v>
      </c>
      <c r="M229">
        <v>3.3561162422302471</v>
      </c>
      <c r="N229">
        <v>0.90035618406888984</v>
      </c>
      <c r="P229">
        <v>1.1805205078915652E-12</v>
      </c>
      <c r="R229">
        <v>5.1379725144449369</v>
      </c>
      <c r="S229">
        <v>5.1437331426071831</v>
      </c>
      <c r="T229">
        <v>1</v>
      </c>
      <c r="U229">
        <v>2.4285193280740889</v>
      </c>
    </row>
    <row r="230" spans="1:21">
      <c r="A230">
        <v>1.4586745754987822</v>
      </c>
      <c r="B230">
        <v>0.25179032051049482</v>
      </c>
      <c r="C230">
        <v>0.36718564630660933</v>
      </c>
      <c r="D230">
        <v>-0.22867302255505859</v>
      </c>
      <c r="E230">
        <v>0.86332277464937313</v>
      </c>
      <c r="F230">
        <v>-0.28677464261771263</v>
      </c>
      <c r="G230">
        <v>0.49770431996915504</v>
      </c>
      <c r="H230">
        <v>0.23222553651624861</v>
      </c>
      <c r="I230">
        <v>0.44031165784483034</v>
      </c>
      <c r="J230">
        <v>0.37931248687578722</v>
      </c>
      <c r="L230">
        <v>1.5742986657842668</v>
      </c>
      <c r="M230">
        <v>3.3561165661255199</v>
      </c>
      <c r="N230">
        <v>0.90035615957180903</v>
      </c>
      <c r="P230">
        <v>6.1098994368882455E-13</v>
      </c>
      <c r="R230">
        <v>5.1379725144449369</v>
      </c>
      <c r="S230">
        <v>5.1437331426071831</v>
      </c>
      <c r="T230">
        <v>1</v>
      </c>
      <c r="U230">
        <v>2.4285193280740889</v>
      </c>
    </row>
    <row r="231" spans="1:21">
      <c r="A231">
        <v>1.4878602925338471</v>
      </c>
      <c r="B231">
        <v>0.33869469589700457</v>
      </c>
      <c r="C231">
        <v>0.30052708292481051</v>
      </c>
      <c r="D231">
        <v>0.68661808818497549</v>
      </c>
      <c r="E231">
        <v>0.31826172074286996</v>
      </c>
      <c r="F231">
        <v>-0.24796340330006381</v>
      </c>
      <c r="G231">
        <v>0.77886841883246449</v>
      </c>
      <c r="H231">
        <v>0.31948829813169183</v>
      </c>
      <c r="I231">
        <v>0.64325051262241939</v>
      </c>
      <c r="J231">
        <v>0.12966216609794196</v>
      </c>
      <c r="L231">
        <v>1.5742976640279214</v>
      </c>
      <c r="M231">
        <v>3.3561155840290029</v>
      </c>
      <c r="N231">
        <v>2.3668768018312512</v>
      </c>
      <c r="P231">
        <v>5.9238024647879756E-12</v>
      </c>
      <c r="R231">
        <v>4.710506893207592</v>
      </c>
      <c r="S231">
        <v>4.7138939593144054</v>
      </c>
      <c r="T231">
        <v>1</v>
      </c>
      <c r="U231">
        <v>2.1127882017193658</v>
      </c>
    </row>
    <row r="232" spans="1:21">
      <c r="A232">
        <v>1.4842854717719067</v>
      </c>
      <c r="B232">
        <v>0.34622021316515478</v>
      </c>
      <c r="C232">
        <v>0.32244607201231296</v>
      </c>
      <c r="D232">
        <v>-0.18392508988973308</v>
      </c>
      <c r="E232">
        <v>-0.19423446620065349</v>
      </c>
      <c r="F232">
        <v>-0.35378762609882963</v>
      </c>
      <c r="G232">
        <v>0.74846330419587492</v>
      </c>
      <c r="H232">
        <v>0.92452221385568878</v>
      </c>
      <c r="I232">
        <v>0.89049152634752593</v>
      </c>
      <c r="J232">
        <v>0.39052768838805102</v>
      </c>
      <c r="L232">
        <v>1.5742975927348914</v>
      </c>
      <c r="M232">
        <v>3.3561156348222889</v>
      </c>
      <c r="N232">
        <v>2.3668769320751575</v>
      </c>
      <c r="P232">
        <v>5.4963103785825231E-12</v>
      </c>
      <c r="R232">
        <v>4.710506893207592</v>
      </c>
      <c r="S232">
        <v>4.7138939593144054</v>
      </c>
      <c r="T232">
        <v>1</v>
      </c>
      <c r="U232">
        <v>2.1127882017193658</v>
      </c>
    </row>
    <row r="233" spans="1:21">
      <c r="A233">
        <v>1.4867220152974352</v>
      </c>
      <c r="B233">
        <v>0.34396082428009706</v>
      </c>
      <c r="C233">
        <v>0.31095315066197549</v>
      </c>
      <c r="D233">
        <v>0.14413466982876671</v>
      </c>
      <c r="E233">
        <v>-0.19795167666990288</v>
      </c>
      <c r="F233">
        <v>0.5664316925834727</v>
      </c>
      <c r="G233">
        <v>0.50254539437653822</v>
      </c>
      <c r="H233">
        <v>0.27689519851474886</v>
      </c>
      <c r="I233">
        <v>0.32899767772362826</v>
      </c>
      <c r="J233">
        <v>0.43447031707025163</v>
      </c>
      <c r="L233">
        <v>1.5742976925948684</v>
      </c>
      <c r="M233">
        <v>3.3561156079921495</v>
      </c>
      <c r="N233">
        <v>2.3668767511431996</v>
      </c>
      <c r="P233">
        <v>5.9578051793398508E-12</v>
      </c>
      <c r="R233">
        <v>4.710506893207592</v>
      </c>
      <c r="S233">
        <v>4.7138939593144054</v>
      </c>
      <c r="T233">
        <v>1</v>
      </c>
      <c r="U233">
        <v>2.1127882017193658</v>
      </c>
    </row>
    <row r="234" spans="1:21">
      <c r="A234">
        <v>1.4868491208592709</v>
      </c>
      <c r="B234">
        <v>0.33914629877477809</v>
      </c>
      <c r="C234">
        <v>0.30586667952063468</v>
      </c>
      <c r="D234">
        <v>0.31852204999878153</v>
      </c>
      <c r="E234">
        <v>0.34584807520784744</v>
      </c>
      <c r="F234">
        <v>7.6940886038107156E-2</v>
      </c>
      <c r="G234">
        <v>0.61304918644575457</v>
      </c>
      <c r="H234">
        <v>0.15427856623388667</v>
      </c>
      <c r="I234">
        <v>0.61166785520851652</v>
      </c>
      <c r="J234">
        <v>0.39048815814466759</v>
      </c>
      <c r="L234">
        <v>1.5742978733785664</v>
      </c>
      <c r="M234">
        <v>3.356115735860107</v>
      </c>
      <c r="N234">
        <v>2.3668768330182517</v>
      </c>
      <c r="P234">
        <v>5.0305359631446255E-12</v>
      </c>
      <c r="R234">
        <v>4.710506893207592</v>
      </c>
      <c r="S234">
        <v>4.7138939593144054</v>
      </c>
      <c r="T234">
        <v>1</v>
      </c>
      <c r="U234">
        <v>2.1127882017193658</v>
      </c>
    </row>
    <row r="235" spans="1:21">
      <c r="A235">
        <v>1.4862297044034274</v>
      </c>
      <c r="B235">
        <v>0.33828240011521948</v>
      </c>
      <c r="C235">
        <v>0.30818244215318291</v>
      </c>
      <c r="D235">
        <v>0.72474431827756647</v>
      </c>
      <c r="E235">
        <v>-2.9751180618463088E-2</v>
      </c>
      <c r="F235">
        <v>0.39078185794784526</v>
      </c>
      <c r="G235">
        <v>0.32219591789301122</v>
      </c>
      <c r="H235">
        <v>0.21895799964383003</v>
      </c>
      <c r="I235">
        <v>0.10936366759036935</v>
      </c>
      <c r="J235">
        <v>0.4833932034636732</v>
      </c>
      <c r="L235">
        <v>1.5742976451795476</v>
      </c>
      <c r="M235">
        <v>3.3561156481870627</v>
      </c>
      <c r="N235">
        <v>2.3668768266365681</v>
      </c>
      <c r="P235">
        <v>5.6718694463972898E-12</v>
      </c>
      <c r="R235">
        <v>4.710506893207592</v>
      </c>
      <c r="S235">
        <v>4.7138939593144054</v>
      </c>
      <c r="T235">
        <v>1</v>
      </c>
      <c r="U235">
        <v>2.1127882017193658</v>
      </c>
    </row>
    <row r="236" spans="1:21">
      <c r="A236">
        <v>1.4814078808428413</v>
      </c>
      <c r="B236">
        <v>0.34429971025103473</v>
      </c>
      <c r="C236">
        <v>0.33784401146335635</v>
      </c>
      <c r="D236">
        <v>-0.46746178849089959</v>
      </c>
      <c r="E236">
        <v>-0.29224597794645418</v>
      </c>
      <c r="F236">
        <v>-0.20063243589777088</v>
      </c>
      <c r="G236">
        <v>0.12827077314806298</v>
      </c>
      <c r="H236">
        <v>0.71433410638718708</v>
      </c>
      <c r="I236">
        <v>0.41938146727133313</v>
      </c>
      <c r="J236">
        <v>0.65639492917215259</v>
      </c>
      <c r="L236">
        <v>1.5742977022105247</v>
      </c>
      <c r="M236">
        <v>3.3561156080846821</v>
      </c>
      <c r="N236">
        <v>2.3668767470376153</v>
      </c>
      <c r="P236">
        <v>5.9548038733577099E-12</v>
      </c>
      <c r="R236">
        <v>4.710506893207592</v>
      </c>
      <c r="S236">
        <v>4.7138939593144054</v>
      </c>
      <c r="T236">
        <v>1</v>
      </c>
      <c r="U236">
        <v>2.1127882017193658</v>
      </c>
    </row>
    <row r="237" spans="1:21">
      <c r="A237">
        <v>1.4872641219179745</v>
      </c>
      <c r="B237">
        <v>0.33727666316074684</v>
      </c>
      <c r="C237">
        <v>0.31723545771346728</v>
      </c>
      <c r="D237">
        <v>-0.32467152381150144</v>
      </c>
      <c r="E237">
        <v>-0.20492298837641976</v>
      </c>
      <c r="F237">
        <v>-0.37760092414161889</v>
      </c>
      <c r="G237">
        <v>0.91488534412500799</v>
      </c>
      <c r="H237">
        <v>0.30065159209042586</v>
      </c>
      <c r="I237">
        <v>0.40552188380623438</v>
      </c>
      <c r="J237">
        <v>0.86461790430436669</v>
      </c>
      <c r="L237">
        <v>1.5742977340110949</v>
      </c>
      <c r="M237">
        <v>3.3561156104055097</v>
      </c>
      <c r="N237">
        <v>2.3668766897595144</v>
      </c>
      <c r="P237">
        <v>6.0845006715056362E-12</v>
      </c>
      <c r="R237">
        <v>4.710506893207592</v>
      </c>
      <c r="S237">
        <v>4.7138939593144054</v>
      </c>
      <c r="T237">
        <v>1</v>
      </c>
      <c r="U237">
        <v>2.1127882017193658</v>
      </c>
    </row>
    <row r="238" spans="1:21">
      <c r="A238">
        <v>1.4958748297206668</v>
      </c>
      <c r="B238">
        <v>0.34666408352208855</v>
      </c>
      <c r="C238">
        <v>0.34004829397526648</v>
      </c>
      <c r="D238">
        <v>-0.36816380854434544</v>
      </c>
      <c r="E238">
        <v>0.57293513237372318</v>
      </c>
      <c r="F238">
        <v>-0.13417433385308555</v>
      </c>
      <c r="G238">
        <v>0.83627970449889677</v>
      </c>
      <c r="H238">
        <v>0.73981874757577937</v>
      </c>
      <c r="I238">
        <v>0.21637302998130167</v>
      </c>
      <c r="J238">
        <v>0.3978835301059328</v>
      </c>
      <c r="L238">
        <v>1.5742978176527416</v>
      </c>
      <c r="M238">
        <v>3.3561155884971274</v>
      </c>
      <c r="N238">
        <v>2.3668765626466879</v>
      </c>
      <c r="P238">
        <v>6.4727141681970293E-12</v>
      </c>
      <c r="R238">
        <v>4.710506893207592</v>
      </c>
      <c r="S238">
        <v>4.7138939593144054</v>
      </c>
      <c r="T238">
        <v>1</v>
      </c>
      <c r="U238">
        <v>2.1127882017193658</v>
      </c>
    </row>
    <row r="239" spans="1:21">
      <c r="A239">
        <v>1.4889748967053968</v>
      </c>
      <c r="B239">
        <v>0.35081720592225335</v>
      </c>
      <c r="C239">
        <v>0.34649102004470378</v>
      </c>
      <c r="D239">
        <v>-0.37995549858067784</v>
      </c>
      <c r="E239">
        <v>0.18136747544719481</v>
      </c>
      <c r="F239">
        <v>5.2916837653787692E-2</v>
      </c>
      <c r="G239">
        <v>8.997737401615663E-2</v>
      </c>
      <c r="H239">
        <v>0.77723740327031554</v>
      </c>
      <c r="I239">
        <v>0.1072614089908278</v>
      </c>
      <c r="J239">
        <v>7.5379991747771949E-2</v>
      </c>
      <c r="L239">
        <v>1.5742977633231092</v>
      </c>
      <c r="M239">
        <v>3.3561156109318437</v>
      </c>
      <c r="N239">
        <v>2.3668766402009975</v>
      </c>
      <c r="P239">
        <v>6.2057139238330877E-12</v>
      </c>
      <c r="R239">
        <v>4.710506893207592</v>
      </c>
      <c r="S239">
        <v>4.7138939593144054</v>
      </c>
      <c r="T239">
        <v>1</v>
      </c>
      <c r="U239">
        <v>2.1127882017193658</v>
      </c>
    </row>
    <row r="240" spans="1:21">
      <c r="A240">
        <v>1.4846626336950546</v>
      </c>
      <c r="B240">
        <v>0.34094690100576969</v>
      </c>
      <c r="C240">
        <v>0.31956055948401751</v>
      </c>
      <c r="D240">
        <v>0.67153074691115655</v>
      </c>
      <c r="E240">
        <v>-0.16218596182388439</v>
      </c>
      <c r="F240">
        <v>-0.36669376571195067</v>
      </c>
      <c r="G240">
        <v>0.44542214117062251</v>
      </c>
      <c r="H240">
        <v>0.88499822611131973</v>
      </c>
      <c r="I240">
        <v>0.3840182025594468</v>
      </c>
      <c r="J240">
        <v>0.33181492325497042</v>
      </c>
      <c r="L240">
        <v>1.5742976862650095</v>
      </c>
      <c r="M240">
        <v>3.3561156239585004</v>
      </c>
      <c r="N240">
        <v>2.3668767639017907</v>
      </c>
      <c r="P240">
        <v>5.8756390530670109E-12</v>
      </c>
      <c r="R240">
        <v>4.710506893207592</v>
      </c>
      <c r="S240">
        <v>4.7138939593144054</v>
      </c>
      <c r="T240">
        <v>1</v>
      </c>
      <c r="U240">
        <v>2.1127882017193658</v>
      </c>
    </row>
    <row r="241" spans="1:21">
      <c r="A241">
        <v>1.3992725962469936</v>
      </c>
      <c r="B241">
        <v>0.2644798951720666</v>
      </c>
      <c r="C241">
        <v>0.270438564084584</v>
      </c>
      <c r="D241">
        <v>-0.39690109919110689</v>
      </c>
      <c r="E241">
        <v>-0.33502223677081894</v>
      </c>
      <c r="F241">
        <v>-0.3226744056655097</v>
      </c>
      <c r="G241">
        <v>7.6250941908063169E-2</v>
      </c>
      <c r="H241">
        <v>0.78717235782427752</v>
      </c>
      <c r="I241">
        <v>0.49111701562112736</v>
      </c>
      <c r="J241">
        <v>0.76188551797341009</v>
      </c>
      <c r="L241">
        <v>1.5742993918313217</v>
      </c>
      <c r="M241">
        <v>4.0714485846699846</v>
      </c>
      <c r="N241">
        <v>0.90035664474217492</v>
      </c>
      <c r="P241">
        <v>3.4340451714108273E-12</v>
      </c>
      <c r="R241">
        <v>6.8145757617665703</v>
      </c>
      <c r="S241">
        <v>6.8287657968734292</v>
      </c>
      <c r="T241">
        <v>1</v>
      </c>
      <c r="U241">
        <v>2.6652763055647486</v>
      </c>
    </row>
    <row r="242" spans="1:21">
      <c r="A242">
        <v>1.4016230605988216</v>
      </c>
      <c r="B242">
        <v>0.29448490367805147</v>
      </c>
      <c r="C242">
        <v>0.22928213168739284</v>
      </c>
      <c r="D242">
        <v>-0.74487197221406742</v>
      </c>
      <c r="E242">
        <v>-0.2097331053881118</v>
      </c>
      <c r="F242">
        <v>0.3326145690685014</v>
      </c>
      <c r="G242">
        <v>0.68099110196521029</v>
      </c>
      <c r="H242">
        <v>0.7804008271514109</v>
      </c>
      <c r="I242">
        <v>0.78319760044754072</v>
      </c>
      <c r="J242">
        <v>3.0940220962071913E-2</v>
      </c>
      <c r="L242">
        <v>1.574299351805742</v>
      </c>
      <c r="M242">
        <v>4.0714487541117945</v>
      </c>
      <c r="N242">
        <v>0.90035666296571548</v>
      </c>
      <c r="P242">
        <v>2.9547274703950173E-12</v>
      </c>
      <c r="R242">
        <v>6.8145757617665703</v>
      </c>
      <c r="S242">
        <v>6.8287657968734292</v>
      </c>
      <c r="T242">
        <v>1</v>
      </c>
      <c r="U242">
        <v>2.6652763055647486</v>
      </c>
    </row>
    <row r="243" spans="1:21">
      <c r="A243">
        <v>1.4070760490691814</v>
      </c>
      <c r="B243">
        <v>0.28737801559884668</v>
      </c>
      <c r="C243">
        <v>0.23224953690982422</v>
      </c>
      <c r="D243">
        <v>-0.29546557127166051</v>
      </c>
      <c r="E243">
        <v>0.57269815861880158</v>
      </c>
      <c r="F243">
        <v>-4.2640686066808146E-2</v>
      </c>
      <c r="G243">
        <v>0.79004599648852103</v>
      </c>
      <c r="H243">
        <v>0.68286026760602481</v>
      </c>
      <c r="I243">
        <v>0.78774859337327185</v>
      </c>
      <c r="J243">
        <v>0.25931871811264762</v>
      </c>
      <c r="L243">
        <v>1.5742993074170439</v>
      </c>
      <c r="M243">
        <v>4.0714486413265707</v>
      </c>
      <c r="N243">
        <v>0.90035671521775518</v>
      </c>
      <c r="P243">
        <v>3.2673605434077989E-12</v>
      </c>
      <c r="R243">
        <v>6.8145757617665703</v>
      </c>
      <c r="S243">
        <v>6.8287657968734292</v>
      </c>
      <c r="T243">
        <v>1</v>
      </c>
      <c r="U243">
        <v>2.6652763055647486</v>
      </c>
    </row>
    <row r="244" spans="1:21">
      <c r="A244">
        <v>1.4007571736605282</v>
      </c>
      <c r="B244">
        <v>0.27520349600158472</v>
      </c>
      <c r="C244">
        <v>0.23311729476701568</v>
      </c>
      <c r="D244">
        <v>-2.9166213823903532E-3</v>
      </c>
      <c r="E244">
        <v>-0.5925088439916758</v>
      </c>
      <c r="F244">
        <v>-0.62227265591893444</v>
      </c>
      <c r="G244">
        <v>0.67680182072140049</v>
      </c>
      <c r="H244">
        <v>0.74807110884895511</v>
      </c>
      <c r="I244">
        <v>0.83063093505187657</v>
      </c>
      <c r="J244">
        <v>0.67869315314739154</v>
      </c>
      <c r="L244">
        <v>1.5742996145889976</v>
      </c>
      <c r="M244">
        <v>4.0714485041296493</v>
      </c>
      <c r="N244">
        <v>0.90035618011973229</v>
      </c>
      <c r="P244">
        <v>3.512719774420393E-12</v>
      </c>
      <c r="R244">
        <v>6.8145757617665703</v>
      </c>
      <c r="S244">
        <v>6.8287657968734292</v>
      </c>
      <c r="T244">
        <v>1</v>
      </c>
      <c r="U244">
        <v>2.6652763055647486</v>
      </c>
    </row>
    <row r="245" spans="1:21">
      <c r="A245">
        <v>1.3993114438296204</v>
      </c>
      <c r="B245">
        <v>0.27458827222659565</v>
      </c>
      <c r="C245">
        <v>0.24627880585405804</v>
      </c>
      <c r="D245">
        <v>0.30767591947927542</v>
      </c>
      <c r="E245">
        <v>5.8931967976921882E-3</v>
      </c>
      <c r="F245">
        <v>0.39186060550589907</v>
      </c>
      <c r="G245">
        <v>0.15682048946894059</v>
      </c>
      <c r="H245">
        <v>0.93219592938541551</v>
      </c>
      <c r="I245">
        <v>0.87164963943260909</v>
      </c>
      <c r="J245">
        <v>0.89442399734833167</v>
      </c>
      <c r="L245">
        <v>1.5742994317875869</v>
      </c>
      <c r="M245">
        <v>4.0714486130744545</v>
      </c>
      <c r="N245">
        <v>0.90035657927102253</v>
      </c>
      <c r="P245">
        <v>3.3174796056254024E-12</v>
      </c>
      <c r="R245">
        <v>6.8145757617665703</v>
      </c>
      <c r="S245">
        <v>6.8287657968734292</v>
      </c>
      <c r="T245">
        <v>1</v>
      </c>
      <c r="U245">
        <v>2.6652763055647486</v>
      </c>
    </row>
    <row r="246" spans="1:21">
      <c r="A246">
        <v>1.4074490294998281</v>
      </c>
      <c r="B246">
        <v>0.27565911999792714</v>
      </c>
      <c r="C246">
        <v>0.25428402422801505</v>
      </c>
      <c r="D246">
        <v>-7.7047937967421001E-2</v>
      </c>
      <c r="E246">
        <v>0.60427449125933286</v>
      </c>
      <c r="F246">
        <v>-0.33315010016405644</v>
      </c>
      <c r="G246">
        <v>0.63964233031755668</v>
      </c>
      <c r="H246">
        <v>0.94403733054055095</v>
      </c>
      <c r="I246">
        <v>0.61447660401623405</v>
      </c>
      <c r="J246">
        <v>0.56198711576960636</v>
      </c>
      <c r="L246">
        <v>1.574299302358491</v>
      </c>
      <c r="M246">
        <v>4.0714486104406999</v>
      </c>
      <c r="N246">
        <v>0.90035673622463563</v>
      </c>
      <c r="P246">
        <v>3.3827377687877162E-12</v>
      </c>
      <c r="R246">
        <v>6.8145757617665703</v>
      </c>
      <c r="S246">
        <v>6.8287657968734292</v>
      </c>
      <c r="T246">
        <v>1</v>
      </c>
      <c r="U246">
        <v>2.6652763055647486</v>
      </c>
    </row>
    <row r="247" spans="1:21">
      <c r="A247">
        <v>1.4017107615176652</v>
      </c>
      <c r="B247">
        <v>0.27170267301159845</v>
      </c>
      <c r="C247">
        <v>0.23614311318799158</v>
      </c>
      <c r="D247">
        <v>-0.36820661826601597</v>
      </c>
      <c r="E247">
        <v>-0.35111938259922693</v>
      </c>
      <c r="F247">
        <v>-0.77136431761605773</v>
      </c>
      <c r="G247">
        <v>0.50496286005324365</v>
      </c>
      <c r="H247">
        <v>0.22802327216192345</v>
      </c>
      <c r="I247">
        <v>0.68576799850984815</v>
      </c>
      <c r="J247">
        <v>0.53777711919872373</v>
      </c>
      <c r="L247">
        <v>1.5742993570133554</v>
      </c>
      <c r="M247">
        <v>4.0714485752329095</v>
      </c>
      <c r="N247">
        <v>0.90035666068873288</v>
      </c>
      <c r="P247">
        <v>3.4293171313681943E-12</v>
      </c>
      <c r="R247">
        <v>6.8145757617665703</v>
      </c>
      <c r="S247">
        <v>6.8287657968734292</v>
      </c>
      <c r="T247">
        <v>1</v>
      </c>
      <c r="U247">
        <v>2.6652763055647486</v>
      </c>
    </row>
    <row r="248" spans="1:21">
      <c r="A248">
        <v>1.4022674949853695</v>
      </c>
      <c r="B248">
        <v>0.27995946401978022</v>
      </c>
      <c r="C248">
        <v>0.2227264585876525</v>
      </c>
      <c r="D248">
        <v>-0.30438039228481306</v>
      </c>
      <c r="E248">
        <v>-0.74045644826658874</v>
      </c>
      <c r="F248">
        <v>-0.57647669600286622</v>
      </c>
      <c r="G248">
        <v>0.63230885949287419</v>
      </c>
      <c r="H248">
        <v>0.23255454209668561</v>
      </c>
      <c r="I248">
        <v>0.34574809682220442</v>
      </c>
      <c r="J248">
        <v>0.31194967485176123</v>
      </c>
      <c r="L248">
        <v>1.5742995243813611</v>
      </c>
      <c r="M248">
        <v>4.071448593269734</v>
      </c>
      <c r="N248">
        <v>0.90035641959042445</v>
      </c>
      <c r="P248">
        <v>3.3184360093787562E-12</v>
      </c>
      <c r="R248">
        <v>6.8145757617665703</v>
      </c>
      <c r="S248">
        <v>6.8287657968734292</v>
      </c>
      <c r="T248">
        <v>1</v>
      </c>
      <c r="U248">
        <v>2.6652763055647486</v>
      </c>
    </row>
    <row r="249" spans="1:21">
      <c r="A249">
        <v>1.3956067011266269</v>
      </c>
      <c r="B249">
        <v>0.28770720427915469</v>
      </c>
      <c r="C249">
        <v>0.23369591543013471</v>
      </c>
      <c r="D249">
        <v>-0.85068945651886652</v>
      </c>
      <c r="E249">
        <v>-0.41419379552287799</v>
      </c>
      <c r="F249">
        <v>0.95935620954645151</v>
      </c>
      <c r="G249">
        <v>0.15641673212109825</v>
      </c>
      <c r="H249">
        <v>0.44847923848150312</v>
      </c>
      <c r="I249">
        <v>1.0017924316344411</v>
      </c>
      <c r="J249">
        <v>0.53923533794443734</v>
      </c>
      <c r="L249">
        <v>1.5742993124463418</v>
      </c>
      <c r="M249">
        <v>4.0714486860317791</v>
      </c>
      <c r="N249">
        <v>0.90035669960583231</v>
      </c>
      <c r="P249">
        <v>3.1287501709627371E-12</v>
      </c>
      <c r="R249">
        <v>6.8145757617665703</v>
      </c>
      <c r="S249">
        <v>6.8287657968734292</v>
      </c>
      <c r="T249">
        <v>1</v>
      </c>
      <c r="U249">
        <v>2.6652763055647486</v>
      </c>
    </row>
    <row r="250" spans="1:21">
      <c r="A250">
        <v>1.4040423070022365</v>
      </c>
      <c r="B250">
        <v>0.2837285257057115</v>
      </c>
      <c r="C250">
        <v>0.23213635865639629</v>
      </c>
      <c r="D250">
        <v>-0.2358073695484677</v>
      </c>
      <c r="E250">
        <v>0.23480783302459474</v>
      </c>
      <c r="F250">
        <v>-0.22218758390224277</v>
      </c>
      <c r="G250">
        <v>0.5029695682791836</v>
      </c>
      <c r="H250">
        <v>0.48416699811426772</v>
      </c>
      <c r="I250">
        <v>0.66340627137939023</v>
      </c>
      <c r="J250">
        <v>5.3591017569708729E-2</v>
      </c>
      <c r="L250">
        <v>1.5742992888188128</v>
      </c>
      <c r="M250">
        <v>4.0714486571036659</v>
      </c>
      <c r="N250">
        <v>0.90035673284921636</v>
      </c>
      <c r="P250">
        <v>3.2300348474134661E-12</v>
      </c>
      <c r="R250">
        <v>6.8145757617665703</v>
      </c>
      <c r="S250">
        <v>6.8287657968734292</v>
      </c>
      <c r="T250">
        <v>1</v>
      </c>
      <c r="U250">
        <v>2.6652763055647486</v>
      </c>
    </row>
    <row r="251" spans="1:21">
      <c r="A251">
        <v>1.4000281693029364</v>
      </c>
      <c r="B251">
        <v>0.33992951880598998</v>
      </c>
      <c r="C251">
        <v>0.16182274020630635</v>
      </c>
      <c r="D251">
        <v>-0.169437628004484</v>
      </c>
      <c r="E251">
        <v>-0.24352253817210834</v>
      </c>
      <c r="F251">
        <v>-0.65193897686033098</v>
      </c>
      <c r="G251">
        <v>0.32910441291076947</v>
      </c>
      <c r="H251">
        <v>0.38877197494769872</v>
      </c>
      <c r="I251">
        <v>0.19640915247582882</v>
      </c>
      <c r="J251">
        <v>0.71257864594080533</v>
      </c>
      <c r="L251">
        <v>1.5742977531423474</v>
      </c>
      <c r="M251">
        <v>4.0714485450575602</v>
      </c>
      <c r="N251">
        <v>2.3668775573987646</v>
      </c>
      <c r="P251">
        <v>3.3096433362801214E-12</v>
      </c>
      <c r="R251">
        <v>4.2900638844026995</v>
      </c>
      <c r="S251">
        <v>4.292123906712999</v>
      </c>
      <c r="T251">
        <v>1</v>
      </c>
      <c r="U251">
        <v>2.4385313946363869</v>
      </c>
    </row>
    <row r="252" spans="1:21">
      <c r="A252">
        <v>1.4030420008621589</v>
      </c>
      <c r="B252">
        <v>0.34518389337097499</v>
      </c>
      <c r="C252">
        <v>0.12944879373468093</v>
      </c>
      <c r="D252">
        <v>0.25435581365440979</v>
      </c>
      <c r="E252">
        <v>-0.10018376787324339</v>
      </c>
      <c r="F252">
        <v>0.12888193191105385</v>
      </c>
      <c r="G252">
        <v>0.80583862067609324</v>
      </c>
      <c r="H252">
        <v>0.10348682715671222</v>
      </c>
      <c r="I252">
        <v>0.52305545285421517</v>
      </c>
      <c r="J252">
        <v>0.16858636571268906</v>
      </c>
      <c r="L252">
        <v>1.5742977518834422</v>
      </c>
      <c r="M252">
        <v>4.071448531390959</v>
      </c>
      <c r="N252">
        <v>2.366877561988872</v>
      </c>
      <c r="P252">
        <v>3.3435564569050738E-12</v>
      </c>
      <c r="R252">
        <v>4.2900638844026995</v>
      </c>
      <c r="S252">
        <v>4.292123906712999</v>
      </c>
      <c r="T252">
        <v>1</v>
      </c>
      <c r="U252">
        <v>2.4385313946363869</v>
      </c>
    </row>
    <row r="253" spans="1:21">
      <c r="A253">
        <v>1.405613119345525</v>
      </c>
      <c r="B253">
        <v>0.34517159786874202</v>
      </c>
      <c r="C253">
        <v>0.14382423378626269</v>
      </c>
      <c r="D253">
        <v>0.40017660657024134</v>
      </c>
      <c r="E253">
        <v>0.53831854119384426</v>
      </c>
      <c r="F253">
        <v>-3.6020803387681592E-2</v>
      </c>
      <c r="G253">
        <v>0.69202598244034252</v>
      </c>
      <c r="H253">
        <v>0.39552491363345854</v>
      </c>
      <c r="I253">
        <v>0.44355747773763687</v>
      </c>
      <c r="J253">
        <v>0.21180818164862908</v>
      </c>
      <c r="L253">
        <v>1.5742975968610302</v>
      </c>
      <c r="M253">
        <v>4.0714484855024864</v>
      </c>
      <c r="N253">
        <v>2.3668777773090239</v>
      </c>
      <c r="P253">
        <v>3.4432149919811632E-12</v>
      </c>
      <c r="R253">
        <v>4.2900638844026995</v>
      </c>
      <c r="S253">
        <v>4.292123906712999</v>
      </c>
      <c r="T253">
        <v>1</v>
      </c>
      <c r="U253">
        <v>2.4385313946363869</v>
      </c>
    </row>
    <row r="254" spans="1:21">
      <c r="A254">
        <v>1.4001415574491027</v>
      </c>
      <c r="B254">
        <v>0.34811657043706717</v>
      </c>
      <c r="C254">
        <v>0.14853882261893772</v>
      </c>
      <c r="D254">
        <v>0.14290351812252755</v>
      </c>
      <c r="E254">
        <v>6.4686368127671564E-3</v>
      </c>
      <c r="F254">
        <v>0.36522460221086273</v>
      </c>
      <c r="G254">
        <v>0.72644267859385092</v>
      </c>
      <c r="H254">
        <v>0.87180296300167504</v>
      </c>
      <c r="I254">
        <v>0.89700147523990248</v>
      </c>
      <c r="J254">
        <v>0.83764539566183061</v>
      </c>
      <c r="L254">
        <v>1.5742975876053864</v>
      </c>
      <c r="M254">
        <v>4.0714484855001771</v>
      </c>
      <c r="N254">
        <v>2.3668778345464427</v>
      </c>
      <c r="P254">
        <v>3.3964017322853978E-12</v>
      </c>
      <c r="R254">
        <v>4.2900638844026995</v>
      </c>
      <c r="S254">
        <v>4.292123906712999</v>
      </c>
      <c r="T254">
        <v>1</v>
      </c>
      <c r="U254">
        <v>2.4385313946363869</v>
      </c>
    </row>
    <row r="255" spans="1:21">
      <c r="A255">
        <v>1.404798905034699</v>
      </c>
      <c r="B255">
        <v>0.33641529193574693</v>
      </c>
      <c r="C255">
        <v>0.13609915349948878</v>
      </c>
      <c r="D255">
        <v>0.26067585272329663</v>
      </c>
      <c r="E255">
        <v>0.16762908349882133</v>
      </c>
      <c r="F255">
        <v>-0.568367363328241</v>
      </c>
      <c r="G255">
        <v>0.97010856304085924</v>
      </c>
      <c r="H255">
        <v>5.5291451500412363E-2</v>
      </c>
      <c r="I255">
        <v>0.7838116261540804</v>
      </c>
      <c r="J255">
        <v>0.59627677599759932</v>
      </c>
      <c r="L255">
        <v>1.5742978154753524</v>
      </c>
      <c r="M255">
        <v>4.0714485469288162</v>
      </c>
      <c r="N255">
        <v>2.3668775147673471</v>
      </c>
      <c r="P255">
        <v>3.2823189467667116E-12</v>
      </c>
      <c r="R255">
        <v>4.2900638844026995</v>
      </c>
      <c r="S255">
        <v>4.292123906712999</v>
      </c>
      <c r="T255">
        <v>1</v>
      </c>
      <c r="U255">
        <v>2.4385313946363869</v>
      </c>
    </row>
    <row r="256" spans="1:21">
      <c r="A256">
        <v>1.3981793683890755</v>
      </c>
      <c r="B256">
        <v>0.34996453997938204</v>
      </c>
      <c r="C256">
        <v>0.14047915021408197</v>
      </c>
      <c r="D256">
        <v>0.59300593842724703</v>
      </c>
      <c r="E256">
        <v>-0.36547104455719898</v>
      </c>
      <c r="F256">
        <v>0.46402437103995531</v>
      </c>
      <c r="G256">
        <v>0.50366524585976036</v>
      </c>
      <c r="H256">
        <v>0.88184036609414151</v>
      </c>
      <c r="I256">
        <v>0.59887472441214351</v>
      </c>
      <c r="J256">
        <v>0.40112820983532504</v>
      </c>
      <c r="L256">
        <v>1.5742976811281741</v>
      </c>
      <c r="M256">
        <v>4.0714485390559227</v>
      </c>
      <c r="N256">
        <v>2.3668776498964572</v>
      </c>
      <c r="P256">
        <v>3.3026280119399625E-12</v>
      </c>
      <c r="R256">
        <v>4.2900638844026995</v>
      </c>
      <c r="S256">
        <v>4.292123906712999</v>
      </c>
      <c r="T256">
        <v>1</v>
      </c>
      <c r="U256">
        <v>2.4385313946363869</v>
      </c>
    </row>
    <row r="257" spans="1:21">
      <c r="A257">
        <v>1.400282256747037</v>
      </c>
      <c r="B257">
        <v>0.34716648208456263</v>
      </c>
      <c r="C257">
        <v>0.13734986467377996</v>
      </c>
      <c r="D257">
        <v>0.59463382529599618</v>
      </c>
      <c r="E257">
        <v>0.15277120621940354</v>
      </c>
      <c r="F257">
        <v>0.31523695028694709</v>
      </c>
      <c r="G257">
        <v>0.48655399446123865</v>
      </c>
      <c r="H257">
        <v>0.52214911157406207</v>
      </c>
      <c r="I257">
        <v>0.73810579396689113</v>
      </c>
      <c r="J257">
        <v>0.24424923697250908</v>
      </c>
      <c r="L257">
        <v>1.5742975650197826</v>
      </c>
      <c r="M257">
        <v>4.0714484450287136</v>
      </c>
      <c r="N257">
        <v>2.3668778071611434</v>
      </c>
      <c r="P257">
        <v>3.5917556264116858E-12</v>
      </c>
      <c r="R257">
        <v>4.2900638844026995</v>
      </c>
      <c r="S257">
        <v>4.292123906712999</v>
      </c>
      <c r="T257">
        <v>1</v>
      </c>
      <c r="U257">
        <v>2.4385313946363869</v>
      </c>
    </row>
    <row r="258" spans="1:21">
      <c r="A258">
        <v>1.3944166420899464</v>
      </c>
      <c r="B258">
        <v>0.34678891944281742</v>
      </c>
      <c r="C258">
        <v>0.15530965971417604</v>
      </c>
      <c r="D258">
        <v>-0.21688477921704327</v>
      </c>
      <c r="E258">
        <v>-9.4118431343150843E-2</v>
      </c>
      <c r="F258">
        <v>-7.1223641624156689E-2</v>
      </c>
      <c r="G258">
        <v>3.1874033540196162E-2</v>
      </c>
      <c r="H258">
        <v>0.45339402901763293</v>
      </c>
      <c r="I258">
        <v>0.83921998209008664</v>
      </c>
      <c r="J258">
        <v>0.46223545420924894</v>
      </c>
      <c r="L258">
        <v>1.5742978189033257</v>
      </c>
      <c r="M258">
        <v>4.0714483956112675</v>
      </c>
      <c r="N258">
        <v>2.3668777908158471</v>
      </c>
      <c r="P258">
        <v>3.3396314211498503E-12</v>
      </c>
      <c r="R258">
        <v>4.2900638844026995</v>
      </c>
      <c r="S258">
        <v>4.292123906712999</v>
      </c>
      <c r="T258">
        <v>1</v>
      </c>
      <c r="U258">
        <v>2.4385313946363869</v>
      </c>
    </row>
    <row r="259" spans="1:21">
      <c r="A259">
        <v>1.3977907028975092</v>
      </c>
      <c r="B259">
        <v>0.34363772870953446</v>
      </c>
      <c r="C259">
        <v>0.14109541518810981</v>
      </c>
      <c r="D259">
        <v>5.0741792521569372E-2</v>
      </c>
      <c r="E259">
        <v>-0.41911077030299498</v>
      </c>
      <c r="F259">
        <v>8.3537646186957942E-2</v>
      </c>
      <c r="G259">
        <v>0.50916422308800013</v>
      </c>
      <c r="H259">
        <v>0.3234435207221027</v>
      </c>
      <c r="I259">
        <v>0.71142316482532442</v>
      </c>
      <c r="J259">
        <v>0.65349765737058041</v>
      </c>
      <c r="L259">
        <v>1.5742977521918957</v>
      </c>
      <c r="M259">
        <v>4.0714483314870034</v>
      </c>
      <c r="N259">
        <v>2.3668779042953405</v>
      </c>
      <c r="P259">
        <v>3.5281007159129786E-12</v>
      </c>
      <c r="R259">
        <v>4.2900638844026995</v>
      </c>
      <c r="S259">
        <v>4.292123906712999</v>
      </c>
      <c r="T259">
        <v>1</v>
      </c>
      <c r="U259">
        <v>2.4385313946363869</v>
      </c>
    </row>
    <row r="260" spans="1:21">
      <c r="A260">
        <v>1.4010766628508862</v>
      </c>
      <c r="B260">
        <v>0.3476078274819977</v>
      </c>
      <c r="C260">
        <v>0.14646066312365014</v>
      </c>
      <c r="D260">
        <v>-0.23434514130703563</v>
      </c>
      <c r="E260">
        <v>1.1374552291289941E-2</v>
      </c>
      <c r="F260">
        <v>0.45714459339857444</v>
      </c>
      <c r="G260">
        <v>0.39346131612689883</v>
      </c>
      <c r="H260">
        <v>0.12256327013553855</v>
      </c>
      <c r="I260">
        <v>0.2946686025937898</v>
      </c>
      <c r="J260">
        <v>0.45085381602277119</v>
      </c>
      <c r="L260">
        <v>1.574297578980157</v>
      </c>
      <c r="M260">
        <v>4.0714484656331722</v>
      </c>
      <c r="N260">
        <v>2.3668778066351912</v>
      </c>
      <c r="P260">
        <v>3.502879568555506E-12</v>
      </c>
      <c r="R260">
        <v>4.2900638844026995</v>
      </c>
      <c r="S260">
        <v>4.292123906712999</v>
      </c>
      <c r="T260">
        <v>1</v>
      </c>
      <c r="U260">
        <v>2.4385313946363869</v>
      </c>
    </row>
    <row r="261" spans="1:21">
      <c r="A261">
        <v>1.2278908256188379</v>
      </c>
      <c r="B261">
        <v>0.36407171207988059</v>
      </c>
      <c r="C261">
        <v>-0.1738064712149926</v>
      </c>
      <c r="D261">
        <v>-0.8146975253558123</v>
      </c>
      <c r="E261">
        <v>-5.9176104265490123E-2</v>
      </c>
      <c r="F261">
        <v>-0.38836585642420896</v>
      </c>
      <c r="G261">
        <v>0.49666318020846822</v>
      </c>
      <c r="H261">
        <v>1.017871767682367</v>
      </c>
      <c r="I261">
        <v>0.55251218982038064</v>
      </c>
      <c r="J261">
        <v>8.8422207114595572E-2</v>
      </c>
      <c r="L261">
        <v>1.5742961360833672</v>
      </c>
      <c r="M261">
        <v>0.90035122244881671</v>
      </c>
      <c r="N261">
        <v>2.366877876528485</v>
      </c>
      <c r="P261">
        <v>2.6743906222512359E-11</v>
      </c>
      <c r="R261">
        <v>13.028459479036709</v>
      </c>
      <c r="S261">
        <v>13.161138632442416</v>
      </c>
      <c r="T261">
        <v>1</v>
      </c>
      <c r="U261">
        <v>2.4605285418846496</v>
      </c>
    </row>
    <row r="262" spans="1:21">
      <c r="A262">
        <v>1.2090031793233356</v>
      </c>
      <c r="B262">
        <v>0.36529567858278816</v>
      </c>
      <c r="C262">
        <v>-0.23082016561023114</v>
      </c>
      <c r="D262">
        <v>-0.15270676033404809</v>
      </c>
      <c r="E262">
        <v>-0.89899297802783407</v>
      </c>
      <c r="F262">
        <v>0.39954935759493243</v>
      </c>
      <c r="G262">
        <v>0.49371703712958381</v>
      </c>
      <c r="H262">
        <v>0.84922420914323926</v>
      </c>
      <c r="I262">
        <v>0.48725742603899497</v>
      </c>
      <c r="J262">
        <v>1.3692216734568614E-2</v>
      </c>
      <c r="L262">
        <v>1.5742952694281456</v>
      </c>
      <c r="M262">
        <v>0.90035148250344132</v>
      </c>
      <c r="N262">
        <v>2.3668785082015793</v>
      </c>
      <c r="P262">
        <v>2.9118337933865394E-11</v>
      </c>
      <c r="R262">
        <v>13.028459479036709</v>
      </c>
      <c r="S262">
        <v>13.161138632442416</v>
      </c>
      <c r="T262">
        <v>1</v>
      </c>
      <c r="U262">
        <v>2.4605285418846496</v>
      </c>
    </row>
    <row r="263" spans="1:21">
      <c r="A263">
        <v>1.253894429123122</v>
      </c>
      <c r="B263">
        <v>0.35533470269860606</v>
      </c>
      <c r="C263">
        <v>-0.12473239849123437</v>
      </c>
      <c r="D263">
        <v>-7.0181419679591281E-2</v>
      </c>
      <c r="E263">
        <v>0.67020686336048796</v>
      </c>
      <c r="F263">
        <v>0.40055460646525748</v>
      </c>
      <c r="G263">
        <v>1.8350644710259375E-2</v>
      </c>
      <c r="H263">
        <v>0.65858552958400185</v>
      </c>
      <c r="I263">
        <v>0.33661187062297093</v>
      </c>
      <c r="J263">
        <v>0.62691728432493132</v>
      </c>
      <c r="L263">
        <v>1.5742954126975528</v>
      </c>
      <c r="M263">
        <v>0.90035138062701481</v>
      </c>
      <c r="N263">
        <v>2.3668784037860564</v>
      </c>
      <c r="P263">
        <v>2.9072571702346506E-11</v>
      </c>
      <c r="R263">
        <v>13.028459479036709</v>
      </c>
      <c r="S263">
        <v>13.161138632442416</v>
      </c>
      <c r="T263">
        <v>1</v>
      </c>
      <c r="U263">
        <v>2.4605285418846496</v>
      </c>
    </row>
    <row r="264" spans="1:21">
      <c r="A264">
        <v>1.2538607686683665</v>
      </c>
      <c r="B264">
        <v>0.35720238641332036</v>
      </c>
      <c r="C264">
        <v>-0.15926224861090957</v>
      </c>
      <c r="D264">
        <v>6.5154283419666878E-2</v>
      </c>
      <c r="E264">
        <v>-0.2610414963930513</v>
      </c>
      <c r="F264">
        <v>0.88279182725661676</v>
      </c>
      <c r="G264">
        <v>0.79560007674240252</v>
      </c>
      <c r="H264">
        <v>0.48193641563052997</v>
      </c>
      <c r="I264">
        <v>0.63886466352878113</v>
      </c>
      <c r="J264">
        <v>0.58439994772507509</v>
      </c>
      <c r="L264">
        <v>1.5742953600157243</v>
      </c>
      <c r="M264">
        <v>0.90035148345541705</v>
      </c>
      <c r="N264">
        <v>2.3668781691159895</v>
      </c>
      <c r="P264">
        <v>2.8546676488589585E-11</v>
      </c>
      <c r="R264">
        <v>13.028459479036709</v>
      </c>
      <c r="S264">
        <v>13.161138632442416</v>
      </c>
      <c r="T264">
        <v>1</v>
      </c>
      <c r="U264">
        <v>2.4605285418846496</v>
      </c>
    </row>
    <row r="265" spans="1:21">
      <c r="A265">
        <v>1.2415615953929402</v>
      </c>
      <c r="B265">
        <v>0.35390057546466003</v>
      </c>
      <c r="C265">
        <v>-0.18881356131319887</v>
      </c>
      <c r="D265">
        <v>0.17021194138999166</v>
      </c>
      <c r="E265">
        <v>-0.75751587114660968</v>
      </c>
      <c r="F265">
        <v>0.19778182832018212</v>
      </c>
      <c r="G265">
        <v>0.64593684880201585</v>
      </c>
      <c r="H265">
        <v>9.3073266841614682E-2</v>
      </c>
      <c r="I265">
        <v>0.71544608723320824</v>
      </c>
      <c r="J265">
        <v>5.1475187942886864E-2</v>
      </c>
      <c r="L265">
        <v>1.5742956725437707</v>
      </c>
      <c r="M265">
        <v>0.90035137926161157</v>
      </c>
      <c r="N265">
        <v>2.3668779209299915</v>
      </c>
      <c r="P265">
        <v>2.7729901843498697E-11</v>
      </c>
      <c r="R265">
        <v>13.028459479036709</v>
      </c>
      <c r="S265">
        <v>13.161138632442416</v>
      </c>
      <c r="T265">
        <v>1</v>
      </c>
      <c r="U265">
        <v>2.4605285418846496</v>
      </c>
    </row>
    <row r="266" spans="1:21">
      <c r="A266">
        <v>1.2308060482092267</v>
      </c>
      <c r="B266">
        <v>0.35134740331223502</v>
      </c>
      <c r="C266">
        <v>-0.19107481252686623</v>
      </c>
      <c r="D266">
        <v>0.35004990601429053</v>
      </c>
      <c r="E266">
        <v>-0.84431023541140671</v>
      </c>
      <c r="F266">
        <v>4.2268142135521471E-2</v>
      </c>
      <c r="G266">
        <v>0.12285417164048766</v>
      </c>
      <c r="H266">
        <v>0.20169462159469137</v>
      </c>
      <c r="I266">
        <v>0.37000794831267952</v>
      </c>
      <c r="J266">
        <v>0.20998660371878802</v>
      </c>
      <c r="L266">
        <v>1.5742958215504357</v>
      </c>
      <c r="M266">
        <v>0.90035164135561951</v>
      </c>
      <c r="N266">
        <v>2.3668775581657489</v>
      </c>
      <c r="P266">
        <v>2.5117074166473779E-11</v>
      </c>
      <c r="R266">
        <v>13.028459479036709</v>
      </c>
      <c r="S266">
        <v>13.161138632442416</v>
      </c>
      <c r="T266">
        <v>1</v>
      </c>
      <c r="U266">
        <v>2.4605285418846496</v>
      </c>
    </row>
    <row r="267" spans="1:21">
      <c r="A267">
        <v>1.2396890102649223</v>
      </c>
      <c r="B267">
        <v>0.36181057033561592</v>
      </c>
      <c r="C267">
        <v>-0.15855568685302188</v>
      </c>
      <c r="D267">
        <v>0.15361953261867259</v>
      </c>
      <c r="E267">
        <v>0.55657645236425668</v>
      </c>
      <c r="F267">
        <v>0.50716479055845454</v>
      </c>
      <c r="G267">
        <v>2.2535789222877835E-2</v>
      </c>
      <c r="H267">
        <v>0.856488800514142</v>
      </c>
      <c r="I267">
        <v>0.2721713514704493</v>
      </c>
      <c r="J267">
        <v>9.1977318640944147E-2</v>
      </c>
      <c r="L267">
        <v>1.5742955710930844</v>
      </c>
      <c r="M267">
        <v>0.90035131996983875</v>
      </c>
      <c r="N267">
        <v>2.3668782703085665</v>
      </c>
      <c r="P267">
        <v>2.8655995743861229E-11</v>
      </c>
      <c r="R267">
        <v>13.028459479036709</v>
      </c>
      <c r="S267">
        <v>13.161138632442416</v>
      </c>
      <c r="T267">
        <v>1</v>
      </c>
      <c r="U267">
        <v>2.4605285418846496</v>
      </c>
    </row>
    <row r="268" spans="1:21">
      <c r="A268">
        <v>1.2163764922272569</v>
      </c>
      <c r="B268">
        <v>0.3589045311350007</v>
      </c>
      <c r="C268">
        <v>-0.19711552508117994</v>
      </c>
      <c r="D268">
        <v>-0.36064222716431338</v>
      </c>
      <c r="E268">
        <v>-0.23194643657816841</v>
      </c>
      <c r="F268">
        <v>-2.0708088823803705E-2</v>
      </c>
      <c r="G268">
        <v>0.32593243371463654</v>
      </c>
      <c r="H268">
        <v>0.93319228532571441</v>
      </c>
      <c r="I268">
        <v>0.99309325436266604</v>
      </c>
      <c r="J268">
        <v>0.5894219075668663</v>
      </c>
      <c r="L268">
        <v>1.5742954118785255</v>
      </c>
      <c r="M268">
        <v>0.90035133144537871</v>
      </c>
      <c r="N268">
        <v>2.3668786173200695</v>
      </c>
      <c r="P268">
        <v>2.9574548654433302E-11</v>
      </c>
      <c r="R268">
        <v>13.028459479036709</v>
      </c>
      <c r="S268">
        <v>13.161138632442416</v>
      </c>
      <c r="T268">
        <v>1</v>
      </c>
      <c r="U268">
        <v>2.4605285418846496</v>
      </c>
    </row>
    <row r="269" spans="1:21">
      <c r="A269">
        <v>1.2936247481495819</v>
      </c>
      <c r="B269">
        <v>0.34308225048265539</v>
      </c>
      <c r="C269">
        <v>-8.5167719321740457E-2</v>
      </c>
      <c r="D269">
        <v>0.29248689816297746</v>
      </c>
      <c r="E269">
        <v>0.2108938577059393</v>
      </c>
      <c r="F269">
        <v>-0.6594290058414769</v>
      </c>
      <c r="G269">
        <v>0.91725961724358296</v>
      </c>
      <c r="H269">
        <v>0.12237629591526343</v>
      </c>
      <c r="I269">
        <v>0.96834304866459364</v>
      </c>
      <c r="J269">
        <v>0.35777124110966985</v>
      </c>
      <c r="L269">
        <v>1.5742953589643311</v>
      </c>
      <c r="M269">
        <v>0.90035126148445632</v>
      </c>
      <c r="N269">
        <v>2.3668783763129486</v>
      </c>
      <c r="P269">
        <v>3.0471739581350342E-11</v>
      </c>
      <c r="R269">
        <v>13.028459479036709</v>
      </c>
      <c r="S269">
        <v>13.161138632442416</v>
      </c>
      <c r="T269">
        <v>1</v>
      </c>
      <c r="U269">
        <v>2.4605285418846496</v>
      </c>
    </row>
    <row r="270" spans="1:21">
      <c r="A270">
        <v>1.2423197459281554</v>
      </c>
      <c r="B270">
        <v>0.34463541709397916</v>
      </c>
      <c r="C270">
        <v>-0.14304359584872212</v>
      </c>
      <c r="D270">
        <v>0.3406192173175876</v>
      </c>
      <c r="E270">
        <v>-0.81306240864448232</v>
      </c>
      <c r="F270">
        <v>-0.86343325935609838</v>
      </c>
      <c r="G270">
        <v>0.11139908034556047</v>
      </c>
      <c r="H270">
        <v>0.77720552998770343</v>
      </c>
      <c r="I270">
        <v>0.33048533008712094</v>
      </c>
      <c r="J270">
        <v>0.8059696859784008</v>
      </c>
      <c r="L270">
        <v>1.5742951772501286</v>
      </c>
      <c r="M270">
        <v>0.90035143779299776</v>
      </c>
      <c r="N270">
        <v>2.3668788874409361</v>
      </c>
      <c r="P270">
        <v>3.0365466594737872E-11</v>
      </c>
      <c r="R270">
        <v>13.028459479036709</v>
      </c>
      <c r="S270">
        <v>13.161138632442416</v>
      </c>
      <c r="T270">
        <v>1</v>
      </c>
      <c r="U270">
        <v>2.4605285418846496</v>
      </c>
    </row>
    <row r="271" spans="1:21">
      <c r="A271">
        <v>1.3808839110094395</v>
      </c>
      <c r="B271">
        <v>0.14245041805209907</v>
      </c>
      <c r="C271">
        <v>1.846169375569171</v>
      </c>
      <c r="D271">
        <v>9.1575847099246141E-2</v>
      </c>
      <c r="E271">
        <v>0.46121384699106516</v>
      </c>
      <c r="F271">
        <v>-0.73652653045742911</v>
      </c>
      <c r="G271">
        <v>0.51304473508701864</v>
      </c>
      <c r="H271">
        <v>0.75450055223585555</v>
      </c>
      <c r="I271">
        <v>0</v>
      </c>
      <c r="J271">
        <v>0.45015895905091979</v>
      </c>
      <c r="L271">
        <v>3.3561205583690978</v>
      </c>
      <c r="M271">
        <v>4.0714462752406506</v>
      </c>
      <c r="N271">
        <v>0.90035807540084933</v>
      </c>
      <c r="P271">
        <v>3.0014722020700609E-11</v>
      </c>
      <c r="R271">
        <v>69.431742912131241</v>
      </c>
      <c r="S271">
        <v>79.914011691529879</v>
      </c>
      <c r="T271">
        <v>1</v>
      </c>
      <c r="U271">
        <v>2.6794261389633549</v>
      </c>
    </row>
    <row r="272" spans="1:21">
      <c r="A272">
        <v>1.3734720940443421</v>
      </c>
      <c r="B272">
        <v>0.15364927021207714</v>
      </c>
      <c r="C272">
        <v>1.7706681836220188</v>
      </c>
      <c r="D272">
        <v>-0.86013974321730968</v>
      </c>
      <c r="E272">
        <v>-0.30299231088767381</v>
      </c>
      <c r="F272">
        <v>0.30922838652524326</v>
      </c>
      <c r="G272">
        <v>0.3869329331666061</v>
      </c>
      <c r="H272">
        <v>1.3930110506023599</v>
      </c>
      <c r="I272">
        <v>0.58596621687698325</v>
      </c>
      <c r="J272">
        <v>1.0396117063493178</v>
      </c>
      <c r="L272">
        <v>3.3561201501978033</v>
      </c>
      <c r="M272">
        <v>4.071446915328063</v>
      </c>
      <c r="N272">
        <v>0.90035852057248567</v>
      </c>
      <c r="P272">
        <v>2.5379114643745324E-11</v>
      </c>
      <c r="R272">
        <v>69.431742912131241</v>
      </c>
      <c r="S272">
        <v>79.914011691529879</v>
      </c>
      <c r="T272">
        <v>1</v>
      </c>
      <c r="U272">
        <v>2.6794261389633549</v>
      </c>
    </row>
    <row r="273" spans="1:21">
      <c r="A273">
        <v>1.3770838630534901</v>
      </c>
      <c r="B273">
        <v>0.15643629492925554</v>
      </c>
      <c r="C273">
        <v>1.7327621370486144</v>
      </c>
      <c r="D273">
        <v>-0.37368920844682774</v>
      </c>
      <c r="E273">
        <v>0.46697655343734568</v>
      </c>
      <c r="F273">
        <v>0.2447813342235422</v>
      </c>
      <c r="G273">
        <v>0</v>
      </c>
      <c r="H273">
        <v>1.138868050290925</v>
      </c>
      <c r="I273">
        <v>0.2541980894311438</v>
      </c>
      <c r="J273">
        <v>0.3884850287734567</v>
      </c>
      <c r="L273">
        <v>3.3561176101306245</v>
      </c>
      <c r="M273">
        <v>4.0714485472347857</v>
      </c>
      <c r="N273">
        <v>0.9003556862086477</v>
      </c>
      <c r="P273">
        <v>2.1971467379397902E-12</v>
      </c>
      <c r="R273">
        <v>69.431742912131241</v>
      </c>
      <c r="S273">
        <v>79.914011691529879</v>
      </c>
      <c r="T273">
        <v>1</v>
      </c>
      <c r="U273">
        <v>2.6794261389633549</v>
      </c>
    </row>
    <row r="274" spans="1:21">
      <c r="A274">
        <v>1.3800455336781217</v>
      </c>
      <c r="B274">
        <v>0.15007737119679926</v>
      </c>
      <c r="C274">
        <v>1.7399793112499271</v>
      </c>
      <c r="D274">
        <v>-0.27939589203934062</v>
      </c>
      <c r="E274">
        <v>0.69048709413863119</v>
      </c>
      <c r="F274">
        <v>0.68971772778999652</v>
      </c>
      <c r="G274">
        <v>0</v>
      </c>
      <c r="H274">
        <v>0.62969460605181282</v>
      </c>
      <c r="I274">
        <v>0</v>
      </c>
      <c r="J274">
        <v>1.2018458082517292</v>
      </c>
      <c r="L274">
        <v>3.3561205385897095</v>
      </c>
      <c r="M274">
        <v>4.0714467061300619</v>
      </c>
      <c r="N274">
        <v>0.900358154564319</v>
      </c>
      <c r="P274">
        <v>2.7247564754853444E-11</v>
      </c>
      <c r="R274">
        <v>69.431742912131241</v>
      </c>
      <c r="S274">
        <v>79.914011691529879</v>
      </c>
      <c r="T274">
        <v>1</v>
      </c>
      <c r="U274">
        <v>2.6794261389633549</v>
      </c>
    </row>
    <row r="275" spans="1:21">
      <c r="A275">
        <v>1.3841687990100604</v>
      </c>
      <c r="B275">
        <v>0.15969331300572989</v>
      </c>
      <c r="C275">
        <v>1.5099174091879095</v>
      </c>
      <c r="D275">
        <v>-0.90147883850569444</v>
      </c>
      <c r="E275">
        <v>0.44138799779789178</v>
      </c>
      <c r="F275">
        <v>-0.2389763934777171</v>
      </c>
      <c r="G275">
        <v>7.2309130947193934E-2</v>
      </c>
      <c r="H275">
        <v>0.74375640204348725</v>
      </c>
      <c r="I275">
        <v>0</v>
      </c>
      <c r="J275">
        <v>1.1385102374860616</v>
      </c>
      <c r="L275">
        <v>3.3561206130772798</v>
      </c>
      <c r="M275">
        <v>4.0714462011367551</v>
      </c>
      <c r="N275">
        <v>0.90035809665389321</v>
      </c>
      <c r="P275">
        <v>3.1033528459996033E-11</v>
      </c>
      <c r="R275">
        <v>69.431742912131241</v>
      </c>
      <c r="S275">
        <v>79.914011691529879</v>
      </c>
      <c r="T275">
        <v>1</v>
      </c>
      <c r="U275">
        <v>2.6794261389633549</v>
      </c>
    </row>
    <row r="276" spans="1:21">
      <c r="A276">
        <v>1.3760126018823624</v>
      </c>
      <c r="B276">
        <v>0.14519764770883453</v>
      </c>
      <c r="C276">
        <v>1.7938371682572569</v>
      </c>
      <c r="D276">
        <v>7.0649540879643882E-2</v>
      </c>
      <c r="E276">
        <v>0.46328073524337504</v>
      </c>
      <c r="F276">
        <v>-0.26065391945484534</v>
      </c>
      <c r="G276">
        <v>0</v>
      </c>
      <c r="H276">
        <v>0.98292532636851693</v>
      </c>
      <c r="I276">
        <v>0.33430805666424668</v>
      </c>
      <c r="J276">
        <v>0.42694563169502209</v>
      </c>
      <c r="L276">
        <v>3.3561161788212082</v>
      </c>
      <c r="M276">
        <v>4.0714478794393667</v>
      </c>
      <c r="N276">
        <v>0.900356018616429</v>
      </c>
      <c r="P276">
        <v>5.5798609948479425E-12</v>
      </c>
      <c r="R276">
        <v>69.431742912131241</v>
      </c>
      <c r="S276">
        <v>79.914011691529879</v>
      </c>
      <c r="T276">
        <v>1</v>
      </c>
      <c r="U276">
        <v>2.6794261389633549</v>
      </c>
    </row>
    <row r="277" spans="1:21">
      <c r="A277">
        <v>1.3749331966822262</v>
      </c>
      <c r="B277">
        <v>0.14003831008383891</v>
      </c>
      <c r="C277">
        <v>1.8805889545440515</v>
      </c>
      <c r="D277">
        <v>0.35177840827108492</v>
      </c>
      <c r="E277">
        <v>-0.10640156960125551</v>
      </c>
      <c r="F277">
        <v>0.23948828854326745</v>
      </c>
      <c r="G277">
        <v>0.21936514760742148</v>
      </c>
      <c r="H277">
        <v>1.1037016811842479</v>
      </c>
      <c r="I277">
        <v>0</v>
      </c>
      <c r="J277">
        <v>1.0501312476184093</v>
      </c>
      <c r="L277">
        <v>3.3561173600446206</v>
      </c>
      <c r="M277">
        <v>4.0714490216268491</v>
      </c>
      <c r="N277">
        <v>0.90035654087249506</v>
      </c>
      <c r="P277">
        <v>1.5080240526671716E-12</v>
      </c>
      <c r="R277">
        <v>69.431742912131241</v>
      </c>
      <c r="S277">
        <v>79.914011691529879</v>
      </c>
      <c r="T277">
        <v>1</v>
      </c>
      <c r="U277">
        <v>2.6794261389633549</v>
      </c>
    </row>
    <row r="278" spans="1:21">
      <c r="A278">
        <v>1.3847352717196737</v>
      </c>
      <c r="B278">
        <v>0.15718774985781248</v>
      </c>
      <c r="C278">
        <v>1.69338645562636</v>
      </c>
      <c r="D278">
        <v>-0.17057991923032589</v>
      </c>
      <c r="E278">
        <v>0.7920666269557296</v>
      </c>
      <c r="F278">
        <v>-0.27901930098556876</v>
      </c>
      <c r="G278">
        <v>0.45552191946772236</v>
      </c>
      <c r="H278">
        <v>1.0191988338717648</v>
      </c>
      <c r="I278">
        <v>0</v>
      </c>
      <c r="J278">
        <v>0.56867384354353068</v>
      </c>
      <c r="L278">
        <v>3.3561187044417715</v>
      </c>
      <c r="M278">
        <v>4.0714444093009439</v>
      </c>
      <c r="N278">
        <v>0.90035660642705462</v>
      </c>
      <c r="P278">
        <v>3.3852078421718276E-11</v>
      </c>
      <c r="R278">
        <v>69.431742912131241</v>
      </c>
      <c r="S278">
        <v>79.914011691529879</v>
      </c>
      <c r="T278">
        <v>1</v>
      </c>
      <c r="U278">
        <v>2.6794261389633549</v>
      </c>
    </row>
    <row r="279" spans="1:21">
      <c r="A279">
        <v>1.3809932653496568</v>
      </c>
      <c r="B279">
        <v>0.15977691349038253</v>
      </c>
      <c r="C279">
        <v>1.5539262190585748</v>
      </c>
      <c r="D279">
        <v>-0.90218724850493281</v>
      </c>
      <c r="E279">
        <v>0.15269496366054799</v>
      </c>
      <c r="F279">
        <v>-0.21776309496120311</v>
      </c>
      <c r="G279">
        <v>0</v>
      </c>
      <c r="H279">
        <v>0.91328378512862407</v>
      </c>
      <c r="I279">
        <v>0</v>
      </c>
      <c r="J279">
        <v>0.82156913689112099</v>
      </c>
      <c r="L279">
        <v>3.3561203657956042</v>
      </c>
      <c r="M279">
        <v>4.071446483154463</v>
      </c>
      <c r="N279">
        <v>0.9003583885394113</v>
      </c>
      <c r="P279">
        <v>2.8810512253244986E-11</v>
      </c>
      <c r="R279">
        <v>69.431742912131241</v>
      </c>
      <c r="S279">
        <v>79.914011691529879</v>
      </c>
      <c r="T279">
        <v>1</v>
      </c>
      <c r="U279">
        <v>2.6794261389633549</v>
      </c>
    </row>
    <row r="280" spans="1:21">
      <c r="A280">
        <v>1.3779833957739327</v>
      </c>
      <c r="B280">
        <v>0.15816067598033737</v>
      </c>
      <c r="C280">
        <v>1.5980347146702034</v>
      </c>
      <c r="D280">
        <v>-0.26697098774890676</v>
      </c>
      <c r="E280">
        <v>-3.206953452691335E-2</v>
      </c>
      <c r="F280">
        <v>-0.54647800298359717</v>
      </c>
      <c r="G280">
        <v>0</v>
      </c>
      <c r="H280">
        <v>1.4888627631187439</v>
      </c>
      <c r="I280">
        <v>0.19009491896799938</v>
      </c>
      <c r="J280">
        <v>0.41018376440484344</v>
      </c>
      <c r="L280">
        <v>3.3561202898790525</v>
      </c>
      <c r="M280">
        <v>4.0714463788753701</v>
      </c>
      <c r="N280">
        <v>0.90035785834195114</v>
      </c>
      <c r="P280">
        <v>2.6597119498845422E-11</v>
      </c>
      <c r="R280">
        <v>69.431742912131241</v>
      </c>
      <c r="S280">
        <v>79.914011691529879</v>
      </c>
      <c r="T280">
        <v>1</v>
      </c>
      <c r="U280">
        <v>2.6794261389633549</v>
      </c>
    </row>
    <row r="281" spans="1:21">
      <c r="A281">
        <v>1.4241681359402671</v>
      </c>
      <c r="B281">
        <v>0.14540027835656377</v>
      </c>
      <c r="C281">
        <v>-0.28068314784851289</v>
      </c>
      <c r="D281">
        <v>-4.376268027034208E-2</v>
      </c>
      <c r="E281">
        <v>0.17691085416215313</v>
      </c>
      <c r="F281">
        <v>0.33497076423357952</v>
      </c>
      <c r="G281">
        <v>0.14028100652766859</v>
      </c>
      <c r="H281">
        <v>0.70341403160504679</v>
      </c>
      <c r="I281">
        <v>0.73298864363464411</v>
      </c>
      <c r="J281">
        <v>0.17687701636188785</v>
      </c>
      <c r="L281">
        <v>3.3561181208936266</v>
      </c>
      <c r="M281">
        <v>4.0714487457112618</v>
      </c>
      <c r="N281">
        <v>2.3668788461117583</v>
      </c>
      <c r="P281">
        <v>2.5326261068075313E-12</v>
      </c>
      <c r="R281">
        <v>14.252081848226494</v>
      </c>
      <c r="S281">
        <v>14.309656637068336</v>
      </c>
      <c r="T281">
        <v>1</v>
      </c>
      <c r="U281">
        <v>2.4370168518435267</v>
      </c>
    </row>
    <row r="282" spans="1:21">
      <c r="A282">
        <v>1.4259395118248723</v>
      </c>
      <c r="B282">
        <v>0.15758588170962132</v>
      </c>
      <c r="C282">
        <v>-0.2664015668917446</v>
      </c>
      <c r="D282">
        <v>-0.45840332109182874</v>
      </c>
      <c r="E282">
        <v>-0.18967790365234383</v>
      </c>
      <c r="F282">
        <v>0.84199408599695691</v>
      </c>
      <c r="G282">
        <v>0.40900749354495192</v>
      </c>
      <c r="H282">
        <v>0.92807546527596374</v>
      </c>
      <c r="I282">
        <v>0.22180509477344687</v>
      </c>
      <c r="J282">
        <v>0.25633228082195514</v>
      </c>
      <c r="L282">
        <v>3.3561180408969569</v>
      </c>
      <c r="M282">
        <v>4.071448763350376</v>
      </c>
      <c r="N282">
        <v>2.3668790078226212</v>
      </c>
      <c r="P282">
        <v>2.5356205756567446E-12</v>
      </c>
      <c r="R282">
        <v>14.252081848226494</v>
      </c>
      <c r="S282">
        <v>14.309656637068336</v>
      </c>
      <c r="T282">
        <v>1</v>
      </c>
      <c r="U282">
        <v>2.4370168518435267</v>
      </c>
    </row>
    <row r="283" spans="1:21">
      <c r="A283">
        <v>1.4288751665630701</v>
      </c>
      <c r="B283">
        <v>0.13152245012231614</v>
      </c>
      <c r="C283">
        <v>-0.29940501859623575</v>
      </c>
      <c r="D283">
        <v>-0.22262472072523828</v>
      </c>
      <c r="E283">
        <v>-0.53678568078024691</v>
      </c>
      <c r="F283">
        <v>0.15101161118403866</v>
      </c>
      <c r="G283">
        <v>0.67551603463527354</v>
      </c>
      <c r="H283">
        <v>0.13113819056656401</v>
      </c>
      <c r="I283">
        <v>0.26298163323018464</v>
      </c>
      <c r="J283">
        <v>0.76166783407559935</v>
      </c>
      <c r="L283">
        <v>3.3561179934064138</v>
      </c>
      <c r="M283">
        <v>4.0714487646604489</v>
      </c>
      <c r="N283">
        <v>2.3668790664131656</v>
      </c>
      <c r="P283">
        <v>2.5368603265276822E-12</v>
      </c>
      <c r="R283">
        <v>14.252081848226494</v>
      </c>
      <c r="S283">
        <v>14.309656637068336</v>
      </c>
      <c r="T283">
        <v>1</v>
      </c>
      <c r="U283">
        <v>2.4370168518435267</v>
      </c>
    </row>
    <row r="284" spans="1:21">
      <c r="A284">
        <v>1.4232615380411691</v>
      </c>
      <c r="B284">
        <v>0.15027738481186872</v>
      </c>
      <c r="C284">
        <v>-0.24260477688293308</v>
      </c>
      <c r="D284">
        <v>-0.32095596205502641</v>
      </c>
      <c r="E284">
        <v>-0.25499851058889411</v>
      </c>
      <c r="F284">
        <v>0.39828071497290068</v>
      </c>
      <c r="G284">
        <v>3.357828138167504E-2</v>
      </c>
      <c r="H284">
        <v>0.60855957487833856</v>
      </c>
      <c r="I284">
        <v>0.1137671304750997</v>
      </c>
      <c r="J284">
        <v>1.0157557517916349</v>
      </c>
      <c r="L284">
        <v>3.3561180249952547</v>
      </c>
      <c r="M284">
        <v>4.0714487893433056</v>
      </c>
      <c r="N284">
        <v>2.3668789938076622</v>
      </c>
      <c r="P284">
        <v>2.4300024624579694E-12</v>
      </c>
      <c r="R284">
        <v>14.252081848226494</v>
      </c>
      <c r="S284">
        <v>14.309656637068336</v>
      </c>
      <c r="T284">
        <v>1</v>
      </c>
      <c r="U284">
        <v>2.4370168518435267</v>
      </c>
    </row>
    <row r="285" spans="1:21">
      <c r="A285">
        <v>1.4296404869899704</v>
      </c>
      <c r="B285">
        <v>0.16097282659904824</v>
      </c>
      <c r="C285">
        <v>-0.23326997862050547</v>
      </c>
      <c r="D285">
        <v>-0.21312061236621099</v>
      </c>
      <c r="E285">
        <v>0.25457802017006143</v>
      </c>
      <c r="F285">
        <v>-3.2506768867754783E-2</v>
      </c>
      <c r="G285">
        <v>0.61652927469845864</v>
      </c>
      <c r="H285">
        <v>0.94640764887999329</v>
      </c>
      <c r="I285">
        <v>7.9630743221298261E-2</v>
      </c>
      <c r="J285">
        <v>0.39828078755724905</v>
      </c>
      <c r="L285">
        <v>3.3561179301043338</v>
      </c>
      <c r="M285">
        <v>4.0714487655011675</v>
      </c>
      <c r="N285">
        <v>2.366879155320722</v>
      </c>
      <c r="P285">
        <v>2.5753440759383073E-12</v>
      </c>
      <c r="R285">
        <v>14.252081848226494</v>
      </c>
      <c r="S285">
        <v>14.309656637068336</v>
      </c>
      <c r="T285">
        <v>1</v>
      </c>
      <c r="U285">
        <v>2.4370168518435267</v>
      </c>
    </row>
    <row r="286" spans="1:21">
      <c r="A286">
        <v>1.4258474205439868</v>
      </c>
      <c r="B286">
        <v>0.15220731015377809</v>
      </c>
      <c r="C286">
        <v>-0.26344760764073055</v>
      </c>
      <c r="D286">
        <v>-0.68039561057944009</v>
      </c>
      <c r="E286">
        <v>-0.56528702350888438</v>
      </c>
      <c r="F286">
        <v>8.5848419106700519E-2</v>
      </c>
      <c r="G286">
        <v>0.60040861885108021</v>
      </c>
      <c r="H286">
        <v>0.77175136233577013</v>
      </c>
      <c r="I286">
        <v>0.21806222817601562</v>
      </c>
      <c r="J286">
        <v>0.42016050266099519</v>
      </c>
      <c r="L286">
        <v>3.3561180723090995</v>
      </c>
      <c r="M286">
        <v>4.0714487655420601</v>
      </c>
      <c r="N286">
        <v>2.3668789394139127</v>
      </c>
      <c r="P286">
        <v>2.4987550830490334E-12</v>
      </c>
      <c r="R286">
        <v>14.252081848226494</v>
      </c>
      <c r="S286">
        <v>14.309656637068336</v>
      </c>
      <c r="T286">
        <v>1</v>
      </c>
      <c r="U286">
        <v>2.4370168518435267</v>
      </c>
    </row>
    <row r="287" spans="1:21">
      <c r="A287">
        <v>1.4291957718462376</v>
      </c>
      <c r="B287">
        <v>0.1333054889844873</v>
      </c>
      <c r="C287">
        <v>-0.29508261365276955</v>
      </c>
      <c r="D287">
        <v>0.29758036649320896</v>
      </c>
      <c r="E287">
        <v>0.18519711690432059</v>
      </c>
      <c r="F287">
        <v>0.80497551716460958</v>
      </c>
      <c r="G287">
        <v>0.21595249080782292</v>
      </c>
      <c r="H287">
        <v>4.4716630555253427E-2</v>
      </c>
      <c r="I287">
        <v>0.19610426932009964</v>
      </c>
      <c r="J287">
        <v>0.71983345906326723</v>
      </c>
      <c r="L287">
        <v>3.3561180293794113</v>
      </c>
      <c r="M287">
        <v>4.0714487638710706</v>
      </c>
      <c r="N287">
        <v>2.3668790091050176</v>
      </c>
      <c r="P287">
        <v>2.5175963613819245E-12</v>
      </c>
      <c r="R287">
        <v>14.252081848226494</v>
      </c>
      <c r="S287">
        <v>14.309656637068336</v>
      </c>
      <c r="T287">
        <v>1</v>
      </c>
      <c r="U287">
        <v>2.4370168518435267</v>
      </c>
    </row>
    <row r="288" spans="1:21">
      <c r="A288">
        <v>1.4291001555567335</v>
      </c>
      <c r="B288">
        <v>0.14176112461382387</v>
      </c>
      <c r="C288">
        <v>-0.26831511381411272</v>
      </c>
      <c r="D288">
        <v>-0.2497371414049549</v>
      </c>
      <c r="E288">
        <v>0.40577189056239676</v>
      </c>
      <c r="F288">
        <v>-0.13813523194505928</v>
      </c>
      <c r="G288">
        <v>0.47913444781223791</v>
      </c>
      <c r="H288">
        <v>0.20816732860248827</v>
      </c>
      <c r="I288">
        <v>0.54539086892053301</v>
      </c>
      <c r="J288">
        <v>0.54043748501308786</v>
      </c>
      <c r="L288">
        <v>3.3561179899700475</v>
      </c>
      <c r="M288">
        <v>4.0714487890033899</v>
      </c>
      <c r="N288">
        <v>2.3668790588717616</v>
      </c>
      <c r="P288">
        <v>2.4626650058476831E-12</v>
      </c>
      <c r="R288">
        <v>14.252081848226494</v>
      </c>
      <c r="S288">
        <v>14.309656637068336</v>
      </c>
      <c r="T288">
        <v>1</v>
      </c>
      <c r="U288">
        <v>2.4370168518435267</v>
      </c>
    </row>
    <row r="289" spans="1:21">
      <c r="A289">
        <v>1.4312271555550546</v>
      </c>
      <c r="B289">
        <v>0.15807821028744268</v>
      </c>
      <c r="C289">
        <v>-0.23025859731588402</v>
      </c>
      <c r="D289">
        <v>-0.14395315586545457</v>
      </c>
      <c r="E289">
        <v>0.56710965717112938</v>
      </c>
      <c r="F289">
        <v>0.33086880801789981</v>
      </c>
      <c r="G289">
        <v>0.6584301284225974</v>
      </c>
      <c r="H289">
        <v>0.74792418315243858</v>
      </c>
      <c r="I289">
        <v>0.17574129450474607</v>
      </c>
      <c r="J289">
        <v>0.91809852300442207</v>
      </c>
      <c r="L289">
        <v>3.3561179679405004</v>
      </c>
      <c r="M289">
        <v>4.0714487678381719</v>
      </c>
      <c r="N289">
        <v>2.366879098573841</v>
      </c>
      <c r="P289">
        <v>2.5373004143624936E-12</v>
      </c>
      <c r="R289">
        <v>14.252081848226494</v>
      </c>
      <c r="S289">
        <v>14.309656637068336</v>
      </c>
      <c r="T289">
        <v>1</v>
      </c>
      <c r="U289">
        <v>2.4370168518435267</v>
      </c>
    </row>
    <row r="290" spans="1:21">
      <c r="A290">
        <v>1.4303252319892132</v>
      </c>
      <c r="B290">
        <v>0.1587320681821717</v>
      </c>
      <c r="C290">
        <v>-0.22690612601947599</v>
      </c>
      <c r="D290">
        <v>-0.30853899084730757</v>
      </c>
      <c r="E290">
        <v>0.84337141054352671</v>
      </c>
      <c r="F290">
        <v>-0.15298648127156964</v>
      </c>
      <c r="G290">
        <v>0.58623487085262649</v>
      </c>
      <c r="H290">
        <v>0.68250179379675735</v>
      </c>
      <c r="I290">
        <v>0.46570064628270952</v>
      </c>
      <c r="J290">
        <v>0.60413454400118094</v>
      </c>
      <c r="L290">
        <v>3.3561179860405068</v>
      </c>
      <c r="M290">
        <v>4.0714487921971125</v>
      </c>
      <c r="N290">
        <v>2.3668790627450678</v>
      </c>
      <c r="P290">
        <v>2.4545487591062391E-12</v>
      </c>
      <c r="R290">
        <v>14.252081848226494</v>
      </c>
      <c r="S290">
        <v>14.309656637068336</v>
      </c>
      <c r="T290">
        <v>1</v>
      </c>
      <c r="U290">
        <v>2.4370168518435267</v>
      </c>
    </row>
    <row r="291" spans="1:21">
      <c r="A291">
        <v>1.4653956510500541</v>
      </c>
      <c r="B291">
        <v>0.27682515744757208</v>
      </c>
      <c r="C291">
        <v>0.12804115475162986</v>
      </c>
      <c r="D291">
        <v>3.3879058851729683E-2</v>
      </c>
      <c r="E291">
        <v>0.22884251727755509</v>
      </c>
      <c r="F291">
        <v>-8.4119742273591078E-2</v>
      </c>
      <c r="G291">
        <v>0.77567342607748146</v>
      </c>
      <c r="H291">
        <v>0.93977464490900442</v>
      </c>
      <c r="I291">
        <v>0.71774058141997665</v>
      </c>
      <c r="J291">
        <v>0.92018153541096048</v>
      </c>
      <c r="L291">
        <v>3.3561160997075228</v>
      </c>
      <c r="M291">
        <v>0.9003540172883594</v>
      </c>
      <c r="N291">
        <v>2.3668787925687873</v>
      </c>
      <c r="P291">
        <v>4.5841270152132728E-12</v>
      </c>
      <c r="R291">
        <v>6.2549154864123224</v>
      </c>
      <c r="S291">
        <v>6.2639720915040158</v>
      </c>
      <c r="T291">
        <v>1</v>
      </c>
      <c r="U291">
        <v>2.4584552230293419</v>
      </c>
    </row>
    <row r="292" spans="1:21">
      <c r="A292">
        <v>1.4680630606776883</v>
      </c>
      <c r="B292">
        <v>0.28108463687131946</v>
      </c>
      <c r="C292">
        <v>0.12017441895006901</v>
      </c>
      <c r="D292">
        <v>0.10824173074992258</v>
      </c>
      <c r="E292">
        <v>0.76406710101421949</v>
      </c>
      <c r="F292">
        <v>0.29494333394716926</v>
      </c>
      <c r="G292">
        <v>0.66642671929680308</v>
      </c>
      <c r="H292">
        <v>0.7739803263467151</v>
      </c>
      <c r="I292">
        <v>0.71573522672729251</v>
      </c>
      <c r="J292">
        <v>0.32529134458822362</v>
      </c>
      <c r="L292">
        <v>3.3561160216525643</v>
      </c>
      <c r="M292">
        <v>0.90035406677582264</v>
      </c>
      <c r="N292">
        <v>2.366878857369624</v>
      </c>
      <c r="P292">
        <v>4.6549402398755097E-12</v>
      </c>
      <c r="R292">
        <v>6.2549154864123224</v>
      </c>
      <c r="S292">
        <v>6.2639720915040158</v>
      </c>
      <c r="T292">
        <v>1</v>
      </c>
      <c r="U292">
        <v>2.4584552230293419</v>
      </c>
    </row>
    <row r="293" spans="1:21">
      <c r="A293">
        <v>1.4683713832626948</v>
      </c>
      <c r="B293">
        <v>0.27028249088545853</v>
      </c>
      <c r="C293">
        <v>0.11860265273037941</v>
      </c>
      <c r="D293">
        <v>-1.825744210265896E-2</v>
      </c>
      <c r="E293">
        <v>0.34840412886848032</v>
      </c>
      <c r="F293">
        <v>-0.30896367887451431</v>
      </c>
      <c r="G293">
        <v>0.44077558171013559</v>
      </c>
      <c r="H293">
        <v>3.6858032246478975E-2</v>
      </c>
      <c r="I293">
        <v>0.8848744644844535</v>
      </c>
      <c r="J293">
        <v>0.38406139469801431</v>
      </c>
      <c r="L293">
        <v>3.3561158800002127</v>
      </c>
      <c r="M293">
        <v>0.90035407605349327</v>
      </c>
      <c r="N293">
        <v>2.3668787914882299</v>
      </c>
      <c r="P293">
        <v>4.9269720647092911E-12</v>
      </c>
      <c r="R293">
        <v>6.2549154864123224</v>
      </c>
      <c r="S293">
        <v>6.2639720915040158</v>
      </c>
      <c r="T293">
        <v>1</v>
      </c>
      <c r="U293">
        <v>2.4584552230293419</v>
      </c>
    </row>
    <row r="294" spans="1:21">
      <c r="A294">
        <v>1.4606913797308485</v>
      </c>
      <c r="B294">
        <v>0.27210685029352022</v>
      </c>
      <c r="C294">
        <v>0.11592236796838809</v>
      </c>
      <c r="D294">
        <v>-0.48697310244891134</v>
      </c>
      <c r="E294">
        <v>-0.52371811115569122</v>
      </c>
      <c r="F294">
        <v>-0.47766304821032468</v>
      </c>
      <c r="G294">
        <v>0.43657143933758791</v>
      </c>
      <c r="H294">
        <v>0.62089237642266082</v>
      </c>
      <c r="I294">
        <v>0.10832266244820793</v>
      </c>
      <c r="J294">
        <v>0.54807163117505475</v>
      </c>
      <c r="L294">
        <v>3.3561161183151142</v>
      </c>
      <c r="M294">
        <v>0.90035404198359226</v>
      </c>
      <c r="N294">
        <v>2.3668788124327693</v>
      </c>
      <c r="P294">
        <v>4.4730062746045313E-12</v>
      </c>
      <c r="R294">
        <v>6.2549154864123224</v>
      </c>
      <c r="S294">
        <v>6.2639720915040158</v>
      </c>
      <c r="T294">
        <v>1</v>
      </c>
      <c r="U294">
        <v>2.4584552230293419</v>
      </c>
    </row>
    <row r="295" spans="1:21">
      <c r="A295">
        <v>1.4654900385825713</v>
      </c>
      <c r="B295">
        <v>0.26697398079684986</v>
      </c>
      <c r="C295">
        <v>0.1243268408478979</v>
      </c>
      <c r="D295">
        <v>0.24906655471036121</v>
      </c>
      <c r="E295">
        <v>5.0012256593366694E-2</v>
      </c>
      <c r="F295">
        <v>0.107529379756359</v>
      </c>
      <c r="G295">
        <v>7.2240261058761399E-2</v>
      </c>
      <c r="H295">
        <v>2.2365364148056247E-2</v>
      </c>
      <c r="I295">
        <v>0.38234146228401927</v>
      </c>
      <c r="J295">
        <v>0.91286242506048831</v>
      </c>
      <c r="L295">
        <v>3.3561160409343671</v>
      </c>
      <c r="M295">
        <v>0.9003540866738694</v>
      </c>
      <c r="N295">
        <v>2.3668788709316151</v>
      </c>
      <c r="P295">
        <v>4.5541551052378999E-12</v>
      </c>
      <c r="R295">
        <v>6.2549154864123224</v>
      </c>
      <c r="S295">
        <v>6.2639720915040158</v>
      </c>
      <c r="T295">
        <v>1</v>
      </c>
      <c r="U295">
        <v>2.4584552230293419</v>
      </c>
    </row>
    <row r="296" spans="1:21">
      <c r="A296">
        <v>1.4629440951486918</v>
      </c>
      <c r="B296">
        <v>0.27241554071490759</v>
      </c>
      <c r="C296">
        <v>0.13337415497040667</v>
      </c>
      <c r="D296">
        <v>4.3118017074190267E-3</v>
      </c>
      <c r="E296">
        <v>0.50682450470950946</v>
      </c>
      <c r="F296">
        <v>-0.24831560337264325</v>
      </c>
      <c r="G296">
        <v>0.27577026758798473</v>
      </c>
      <c r="H296">
        <v>0.51589347953658415</v>
      </c>
      <c r="I296">
        <v>0.65374008724191024</v>
      </c>
      <c r="J296">
        <v>0.92343262793574454</v>
      </c>
      <c r="L296">
        <v>3.356116045950043</v>
      </c>
      <c r="M296">
        <v>0.9003540484786694</v>
      </c>
      <c r="N296">
        <v>2.366878822156572</v>
      </c>
      <c r="P296">
        <v>4.6262400961617999E-12</v>
      </c>
      <c r="R296">
        <v>6.2549154864123224</v>
      </c>
      <c r="S296">
        <v>6.2639720915040158</v>
      </c>
      <c r="T296">
        <v>1</v>
      </c>
      <c r="U296">
        <v>2.4584552230293419</v>
      </c>
    </row>
    <row r="297" spans="1:21">
      <c r="A297">
        <v>1.4594604953047088</v>
      </c>
      <c r="B297">
        <v>0.26132950835703189</v>
      </c>
      <c r="C297">
        <v>8.216438343107671E-2</v>
      </c>
      <c r="D297">
        <v>0.81840983023199643</v>
      </c>
      <c r="E297">
        <v>-0.44021917650505038</v>
      </c>
      <c r="F297">
        <v>-9.0712665936649922E-2</v>
      </c>
      <c r="G297">
        <v>0.11734506342832071</v>
      </c>
      <c r="H297">
        <v>0.97054218386457047</v>
      </c>
      <c r="I297">
        <v>0.86905357301938091</v>
      </c>
      <c r="J297">
        <v>0.3012883895060896</v>
      </c>
      <c r="L297">
        <v>3.3561160844709073</v>
      </c>
      <c r="M297">
        <v>0.90035421151968287</v>
      </c>
      <c r="N297">
        <v>2.3668790065916983</v>
      </c>
      <c r="P297">
        <v>4.1998075487926437E-12</v>
      </c>
      <c r="R297">
        <v>6.2549154864123224</v>
      </c>
      <c r="S297">
        <v>6.2639720915040158</v>
      </c>
      <c r="T297">
        <v>1</v>
      </c>
      <c r="U297">
        <v>2.4584552230293419</v>
      </c>
    </row>
    <row r="298" spans="1:21">
      <c r="A298">
        <v>1.4700994085760624</v>
      </c>
      <c r="B298">
        <v>0.28230048663441115</v>
      </c>
      <c r="C298">
        <v>0.11884663329669681</v>
      </c>
      <c r="D298">
        <v>0.25692505905496948</v>
      </c>
      <c r="E298">
        <v>-0.18135545952203169</v>
      </c>
      <c r="F298">
        <v>-6.8203419635320631E-2</v>
      </c>
      <c r="G298">
        <v>0.96809592048771087</v>
      </c>
      <c r="H298">
        <v>0.99757490044571884</v>
      </c>
      <c r="I298">
        <v>0.11526435954775933</v>
      </c>
      <c r="J298">
        <v>0.11802435539733271</v>
      </c>
      <c r="L298">
        <v>3.3561161295895561</v>
      </c>
      <c r="M298">
        <v>0.90035405086173492</v>
      </c>
      <c r="N298">
        <v>2.3668788646647565</v>
      </c>
      <c r="P298">
        <v>4.4664608892272061E-12</v>
      </c>
      <c r="R298">
        <v>6.2549154864123224</v>
      </c>
      <c r="S298">
        <v>6.2639720915040158</v>
      </c>
      <c r="T298">
        <v>1</v>
      </c>
      <c r="U298">
        <v>2.4584552230293419</v>
      </c>
    </row>
    <row r="299" spans="1:21">
      <c r="A299">
        <v>1.4599959988220008</v>
      </c>
      <c r="B299">
        <v>0.26639327903947613</v>
      </c>
      <c r="C299">
        <v>0.10603383713444409</v>
      </c>
      <c r="D299">
        <v>-0.41259047393729797</v>
      </c>
      <c r="E299">
        <v>-0.40544024755807989</v>
      </c>
      <c r="F299">
        <v>0.18860984706026282</v>
      </c>
      <c r="G299">
        <v>1.4822837068001537E-2</v>
      </c>
      <c r="H299">
        <v>0.14035021690557564</v>
      </c>
      <c r="I299">
        <v>0.17319364588962816</v>
      </c>
      <c r="J299">
        <v>0.73745200572527381</v>
      </c>
      <c r="L299">
        <v>3.3561160574083782</v>
      </c>
      <c r="M299">
        <v>0.90035402127142206</v>
      </c>
      <c r="N299">
        <v>2.3668787404039411</v>
      </c>
      <c r="P299">
        <v>4.6262652751842298E-12</v>
      </c>
      <c r="R299">
        <v>6.2549154864123224</v>
      </c>
      <c r="S299">
        <v>6.2639720915040158</v>
      </c>
      <c r="T299">
        <v>1</v>
      </c>
      <c r="U299">
        <v>2.4584552230293419</v>
      </c>
    </row>
    <row r="300" spans="1:21">
      <c r="A300">
        <v>1.456194297351157</v>
      </c>
      <c r="B300">
        <v>0.26520469854235745</v>
      </c>
      <c r="C300">
        <v>6.2562220448235631E-2</v>
      </c>
      <c r="D300">
        <v>-0.73471135655012532</v>
      </c>
      <c r="E300">
        <v>-0.59352885065206251</v>
      </c>
      <c r="F300">
        <v>0.5435176296474713</v>
      </c>
      <c r="G300">
        <v>0.15056875960924823</v>
      </c>
      <c r="H300">
        <v>0.5245304088124475</v>
      </c>
      <c r="I300">
        <v>0.66857973606395593</v>
      </c>
      <c r="J300">
        <v>0.10042757463361016</v>
      </c>
      <c r="L300">
        <v>3.3561160887128185</v>
      </c>
      <c r="M300">
        <v>0.90035404872403602</v>
      </c>
      <c r="N300">
        <v>2.3668787847477573</v>
      </c>
      <c r="P300">
        <v>4.4927241653974366E-12</v>
      </c>
      <c r="R300">
        <v>6.2549154864123224</v>
      </c>
      <c r="S300">
        <v>6.2639720915040158</v>
      </c>
      <c r="T300">
        <v>1</v>
      </c>
      <c r="U300">
        <v>2.4584552230293419</v>
      </c>
    </row>
    <row r="301" spans="1:21">
      <c r="A301">
        <v>1.4033762141747586</v>
      </c>
      <c r="B301">
        <v>0.29039394272694491</v>
      </c>
      <c r="C301">
        <v>3.1268008534385411E-2</v>
      </c>
      <c r="D301">
        <v>0.22851431544693937</v>
      </c>
      <c r="E301">
        <v>1.5499114024827673E-2</v>
      </c>
      <c r="F301">
        <v>0.41288813692357096</v>
      </c>
      <c r="G301">
        <v>0</v>
      </c>
      <c r="H301">
        <v>0.84985510805178721</v>
      </c>
      <c r="I301">
        <v>0.42677945998606553</v>
      </c>
      <c r="J301">
        <v>0.48048906220348875</v>
      </c>
      <c r="L301">
        <v>4.071449881128764</v>
      </c>
      <c r="M301">
        <v>0.90035538386707603</v>
      </c>
      <c r="N301">
        <v>2.3668782650140701</v>
      </c>
      <c r="P301">
        <v>1.77518591560868E-13</v>
      </c>
      <c r="R301">
        <v>6.749149426448394</v>
      </c>
      <c r="S301">
        <v>6.7566483524299317</v>
      </c>
      <c r="T301">
        <v>1</v>
      </c>
      <c r="U301">
        <v>2.649985869323181</v>
      </c>
    </row>
    <row r="302" spans="1:21">
      <c r="A302">
        <v>1.4083812867792724</v>
      </c>
      <c r="B302">
        <v>0.30872776725804402</v>
      </c>
      <c r="C302">
        <v>5.9533809811388283E-2</v>
      </c>
      <c r="D302">
        <v>-0.23116783070434155</v>
      </c>
      <c r="E302">
        <v>0.26169168184962271</v>
      </c>
      <c r="F302">
        <v>0.38357046252700289</v>
      </c>
      <c r="G302">
        <v>0.82475495157858736</v>
      </c>
      <c r="H302">
        <v>0.30612896101807335</v>
      </c>
      <c r="I302">
        <v>2.4960224333118976E-2</v>
      </c>
      <c r="J302">
        <v>0.53961760618037757</v>
      </c>
      <c r="L302">
        <v>4.0714497818831337</v>
      </c>
      <c r="M302">
        <v>0.90035525408570105</v>
      </c>
      <c r="N302">
        <v>2.3668785493201527</v>
      </c>
      <c r="P302">
        <v>3.4986840687169009E-13</v>
      </c>
      <c r="R302">
        <v>6.749149426448394</v>
      </c>
      <c r="S302">
        <v>6.7566483524299317</v>
      </c>
      <c r="T302">
        <v>1</v>
      </c>
      <c r="U302">
        <v>2.649985869323181</v>
      </c>
    </row>
    <row r="303" spans="1:21">
      <c r="A303">
        <v>1.4050522152747411</v>
      </c>
      <c r="B303">
        <v>0.29434757556807867</v>
      </c>
      <c r="C303">
        <v>2.5103910680577227E-2</v>
      </c>
      <c r="D303">
        <v>5.4167794166669461E-2</v>
      </c>
      <c r="E303">
        <v>-8.4759870049914907E-2</v>
      </c>
      <c r="F303">
        <v>0.66564815075170236</v>
      </c>
      <c r="G303">
        <v>0.18687250465167082</v>
      </c>
      <c r="H303">
        <v>0.62369181870060664</v>
      </c>
      <c r="I303">
        <v>0.27917812989772106</v>
      </c>
      <c r="J303">
        <v>0.26044868771956753</v>
      </c>
      <c r="L303">
        <v>4.071449810943041</v>
      </c>
      <c r="M303">
        <v>0.90035525045963583</v>
      </c>
      <c r="N303">
        <v>2.3668783334800425</v>
      </c>
      <c r="P303">
        <v>3.1070479614469355E-13</v>
      </c>
      <c r="R303">
        <v>6.749149426448394</v>
      </c>
      <c r="S303">
        <v>6.7566483524299317</v>
      </c>
      <c r="T303">
        <v>1</v>
      </c>
      <c r="U303">
        <v>2.649985869323181</v>
      </c>
    </row>
    <row r="304" spans="1:21">
      <c r="A304">
        <v>1.4091529957100444</v>
      </c>
      <c r="B304">
        <v>0.29758852464367702</v>
      </c>
      <c r="C304">
        <v>6.0389371430277256E-2</v>
      </c>
      <c r="D304">
        <v>7.8466773457916708E-2</v>
      </c>
      <c r="E304">
        <v>0.72352014488694749</v>
      </c>
      <c r="F304">
        <v>0.18148347955077668</v>
      </c>
      <c r="G304">
        <v>0.5347558525880366</v>
      </c>
      <c r="H304">
        <v>0.21005940419452285</v>
      </c>
      <c r="I304">
        <v>0.92743999309420933</v>
      </c>
      <c r="J304">
        <v>0.89368459970143233</v>
      </c>
      <c r="L304">
        <v>4.071449837649296</v>
      </c>
      <c r="M304">
        <v>0.90035532156144849</v>
      </c>
      <c r="N304">
        <v>2.3668784528324927</v>
      </c>
      <c r="P304">
        <v>2.3848138309121009E-13</v>
      </c>
      <c r="R304">
        <v>6.749149426448394</v>
      </c>
      <c r="S304">
        <v>6.7566483524299317</v>
      </c>
      <c r="T304">
        <v>1</v>
      </c>
      <c r="U304">
        <v>2.649985869323181</v>
      </c>
    </row>
    <row r="305" spans="1:21">
      <c r="A305">
        <v>1.4066234596162275</v>
      </c>
      <c r="B305">
        <v>0.28746623478315475</v>
      </c>
      <c r="C305">
        <v>2.9196467499563467E-2</v>
      </c>
      <c r="D305">
        <v>-0.22753468923544157</v>
      </c>
      <c r="E305">
        <v>-0.18619871717259157</v>
      </c>
      <c r="F305">
        <v>-0.31182095693909595</v>
      </c>
      <c r="G305">
        <v>0.37323772467737287</v>
      </c>
      <c r="H305">
        <v>0.42452070326936719</v>
      </c>
      <c r="I305">
        <v>0.93638659960305182</v>
      </c>
      <c r="J305">
        <v>0.29552181973385855</v>
      </c>
      <c r="L305">
        <v>4.071449882891149</v>
      </c>
      <c r="M305">
        <v>0.90035539001090881</v>
      </c>
      <c r="N305">
        <v>2.3668782743153471</v>
      </c>
      <c r="P305">
        <v>1.7053788423417809E-13</v>
      </c>
      <c r="R305">
        <v>6.749149426448394</v>
      </c>
      <c r="S305">
        <v>6.7566483524299317</v>
      </c>
      <c r="T305">
        <v>1</v>
      </c>
      <c r="U305">
        <v>2.649985869323181</v>
      </c>
    </row>
    <row r="306" spans="1:21">
      <c r="A306">
        <v>1.4067985687561291</v>
      </c>
      <c r="B306">
        <v>0.29662055770613865</v>
      </c>
      <c r="C306">
        <v>6.3235014604718073E-2</v>
      </c>
      <c r="D306">
        <v>-0.44204720025594602</v>
      </c>
      <c r="E306">
        <v>0.31765388536425343</v>
      </c>
      <c r="F306">
        <v>-0.23990902668663369</v>
      </c>
      <c r="G306">
        <v>0.56538279982331541</v>
      </c>
      <c r="H306">
        <v>0.18565533707990201</v>
      </c>
      <c r="I306">
        <v>0.70222316189756084</v>
      </c>
      <c r="J306">
        <v>0.94146990374467454</v>
      </c>
      <c r="L306">
        <v>4.0714497843086832</v>
      </c>
      <c r="M306">
        <v>0.9003552696750291</v>
      </c>
      <c r="N306">
        <v>2.3668785602861551</v>
      </c>
      <c r="P306">
        <v>3.3686657084112829E-13</v>
      </c>
      <c r="R306">
        <v>6.749149426448394</v>
      </c>
      <c r="S306">
        <v>6.7566483524299317</v>
      </c>
      <c r="T306">
        <v>1</v>
      </c>
      <c r="U306">
        <v>2.649985869323181</v>
      </c>
    </row>
    <row r="307" spans="1:21">
      <c r="A307">
        <v>1.4060444385732742</v>
      </c>
      <c r="B307">
        <v>0.29687539573752519</v>
      </c>
      <c r="C307">
        <v>2.7691895671742781E-2</v>
      </c>
      <c r="D307">
        <v>-0.26185937687882854</v>
      </c>
      <c r="E307">
        <v>0.10403649354344194</v>
      </c>
      <c r="F307">
        <v>0.71492229737993662</v>
      </c>
      <c r="G307">
        <v>0.6910290775810336</v>
      </c>
      <c r="H307">
        <v>0.80646883212237108</v>
      </c>
      <c r="I307">
        <v>0.91843382610682045</v>
      </c>
      <c r="J307">
        <v>0.67132313073079297</v>
      </c>
      <c r="L307">
        <v>4.0714498331007976</v>
      </c>
      <c r="M307">
        <v>0.90035528839123002</v>
      </c>
      <c r="N307">
        <v>2.3668781982133513</v>
      </c>
      <c r="P307">
        <v>2.9213145428860989E-13</v>
      </c>
      <c r="R307">
        <v>6.749149426448394</v>
      </c>
      <c r="S307">
        <v>6.7566483524299317</v>
      </c>
      <c r="T307">
        <v>1</v>
      </c>
      <c r="U307">
        <v>2.649985869323181</v>
      </c>
    </row>
    <row r="308" spans="1:21">
      <c r="A308">
        <v>1.4069763227381873</v>
      </c>
      <c r="B308">
        <v>0.28149160647918298</v>
      </c>
      <c r="C308">
        <v>2.252101220854006E-2</v>
      </c>
      <c r="D308">
        <v>-6.3927220784240138E-2</v>
      </c>
      <c r="E308">
        <v>-0.16890561239386248</v>
      </c>
      <c r="F308">
        <v>5.0939947688832046E-2</v>
      </c>
      <c r="G308">
        <v>1.6611977037828685E-2</v>
      </c>
      <c r="H308">
        <v>0.13480064408449136</v>
      </c>
      <c r="I308">
        <v>0.97264242297019732</v>
      </c>
      <c r="J308">
        <v>0.38634011472330981</v>
      </c>
      <c r="L308">
        <v>4.0714497167355681</v>
      </c>
      <c r="M308">
        <v>0.90035524549841439</v>
      </c>
      <c r="N308">
        <v>2.3668786926325613</v>
      </c>
      <c r="P308">
        <v>4.6184113132369574E-13</v>
      </c>
      <c r="R308">
        <v>6.749149426448394</v>
      </c>
      <c r="S308">
        <v>6.7566483524299317</v>
      </c>
      <c r="T308">
        <v>1</v>
      </c>
      <c r="U308">
        <v>2.649985869323181</v>
      </c>
    </row>
    <row r="309" spans="1:21">
      <c r="A309">
        <v>1.4090206917269319</v>
      </c>
      <c r="B309">
        <v>0.30376642545568644</v>
      </c>
      <c r="C309">
        <v>5.6664359368978234E-2</v>
      </c>
      <c r="D309">
        <v>0.42085501759857241</v>
      </c>
      <c r="E309">
        <v>7.1241543487244929E-2</v>
      </c>
      <c r="F309">
        <v>0.2884393916325394</v>
      </c>
      <c r="G309">
        <v>0.68405074342833694</v>
      </c>
      <c r="H309">
        <v>0.68410807256737938</v>
      </c>
      <c r="I309">
        <v>5.4453111621876951E-2</v>
      </c>
      <c r="J309">
        <v>0.55725080971548124</v>
      </c>
      <c r="L309">
        <v>4.0714476143250655</v>
      </c>
      <c r="M309">
        <v>0.9003561969323769</v>
      </c>
      <c r="N309">
        <v>2.3668785558327308</v>
      </c>
      <c r="P309">
        <v>5.7976860204082476E-12</v>
      </c>
      <c r="R309">
        <v>6.749149426448394</v>
      </c>
      <c r="S309">
        <v>6.7566483524299317</v>
      </c>
      <c r="T309">
        <v>1</v>
      </c>
      <c r="U309">
        <v>2.649985869323181</v>
      </c>
    </row>
    <row r="310" spans="1:21">
      <c r="A310">
        <v>1.4062853912576405</v>
      </c>
      <c r="B310">
        <v>0.30816818081846664</v>
      </c>
      <c r="C310">
        <v>7.5617042511660751E-2</v>
      </c>
      <c r="D310">
        <v>4.2066429331846879E-2</v>
      </c>
      <c r="E310">
        <v>0.84695836644456468</v>
      </c>
      <c r="F310">
        <v>-0.21151267533480367</v>
      </c>
      <c r="G310">
        <v>0.79782888515239259</v>
      </c>
      <c r="H310">
        <v>0.82727018152117948</v>
      </c>
      <c r="I310">
        <v>0.51975672423353714</v>
      </c>
      <c r="J310">
        <v>0.77262160055617835</v>
      </c>
      <c r="L310">
        <v>4.0714490732935991</v>
      </c>
      <c r="M310">
        <v>0.90035668042457306</v>
      </c>
      <c r="N310">
        <v>2.3668791273392333</v>
      </c>
      <c r="P310">
        <v>2.207179895316048E-12</v>
      </c>
      <c r="R310">
        <v>6.749149426448394</v>
      </c>
      <c r="S310">
        <v>6.7566483524299317</v>
      </c>
      <c r="T310">
        <v>1</v>
      </c>
      <c r="U310">
        <v>2.649985869323181</v>
      </c>
    </row>
    <row r="311" spans="1:21">
      <c r="A311">
        <v>-1.432489309515399</v>
      </c>
      <c r="B311">
        <v>-8.9342248255867326E-2</v>
      </c>
      <c r="C311">
        <v>0.34395806670830498</v>
      </c>
      <c r="D311">
        <v>-8.9404977193719135E-2</v>
      </c>
      <c r="E311">
        <v>-0.54461068182041605</v>
      </c>
      <c r="F311">
        <v>0.1988539016548565</v>
      </c>
      <c r="G311">
        <v>0.10876215857013442</v>
      </c>
      <c r="H311">
        <v>0.5467101747025731</v>
      </c>
      <c r="I311">
        <v>5.9517785349388036E-2</v>
      </c>
      <c r="J311">
        <v>0.55092574013248641</v>
      </c>
      <c r="L311">
        <v>1.8989935929332673</v>
      </c>
      <c r="M311">
        <v>0.67208270523010594</v>
      </c>
      <c r="N311">
        <v>4.0793762995739513</v>
      </c>
      <c r="P311">
        <v>3.7015995438448724E-12</v>
      </c>
      <c r="R311">
        <v>6.5861271662945571</v>
      </c>
      <c r="S311">
        <v>6.5952649754803758</v>
      </c>
      <c r="T311">
        <v>1</v>
      </c>
      <c r="U311">
        <v>1.6305514477076017</v>
      </c>
    </row>
    <row r="312" spans="1:21">
      <c r="A312">
        <v>-1.4299543375981294</v>
      </c>
      <c r="B312">
        <v>-9.3645924522459401E-2</v>
      </c>
      <c r="C312">
        <v>0.34708760252213061</v>
      </c>
      <c r="D312">
        <v>-0.35993515682331834</v>
      </c>
      <c r="E312">
        <v>-0.49558019559076388</v>
      </c>
      <c r="F312">
        <v>-0.3051992602443887</v>
      </c>
      <c r="G312">
        <v>0.6901440798478955</v>
      </c>
      <c r="H312">
        <v>0.86885283802684843</v>
      </c>
      <c r="I312">
        <v>0.34706832699071438</v>
      </c>
      <c r="J312">
        <v>0.92300032386487363</v>
      </c>
      <c r="L312">
        <v>1.8989947120362642</v>
      </c>
      <c r="M312">
        <v>0.6720830953258552</v>
      </c>
      <c r="N312">
        <v>4.0793753722053392</v>
      </c>
      <c r="P312">
        <v>9.4464551608607418E-13</v>
      </c>
      <c r="R312">
        <v>6.5861271662945571</v>
      </c>
      <c r="S312">
        <v>6.5952649754803758</v>
      </c>
      <c r="T312">
        <v>1</v>
      </c>
      <c r="U312">
        <v>1.6305514477076017</v>
      </c>
    </row>
    <row r="313" spans="1:21">
      <c r="A313">
        <v>-1.4327423593545603</v>
      </c>
      <c r="B313">
        <v>-8.6521570753165439E-2</v>
      </c>
      <c r="C313">
        <v>0.34171329294257807</v>
      </c>
      <c r="D313">
        <v>-3.5036407703204535E-2</v>
      </c>
      <c r="E313">
        <v>-0.90696788563408415</v>
      </c>
      <c r="F313">
        <v>-0.38993120940866355</v>
      </c>
      <c r="G313">
        <v>0.46481781324748417</v>
      </c>
      <c r="H313">
        <v>0.88634771701540782</v>
      </c>
      <c r="I313">
        <v>0.20235054759210219</v>
      </c>
      <c r="J313">
        <v>0.40459717125219125</v>
      </c>
      <c r="L313">
        <v>1.8989947732765533</v>
      </c>
      <c r="M313">
        <v>0.67208189493189285</v>
      </c>
      <c r="N313">
        <v>4.0793776133254953</v>
      </c>
      <c r="P313">
        <v>7.4450899759879664E-12</v>
      </c>
      <c r="R313">
        <v>6.5861271662945571</v>
      </c>
      <c r="S313">
        <v>6.5952649754803758</v>
      </c>
      <c r="T313">
        <v>1</v>
      </c>
      <c r="U313">
        <v>1.6305514477076017</v>
      </c>
    </row>
    <row r="314" spans="1:21">
      <c r="A314">
        <v>-1.4320001045710578</v>
      </c>
      <c r="B314">
        <v>-0.10642726097110815</v>
      </c>
      <c r="C314">
        <v>0.35493121100848929</v>
      </c>
      <c r="D314">
        <v>0.21269779607313238</v>
      </c>
      <c r="E314">
        <v>0.58453470782584938</v>
      </c>
      <c r="F314">
        <v>-0.1531830080619922</v>
      </c>
      <c r="G314">
        <v>0.58944308770514398</v>
      </c>
      <c r="H314">
        <v>0.72463485676035488</v>
      </c>
      <c r="I314">
        <v>0.34771772112376592</v>
      </c>
      <c r="J314">
        <v>0.58573106273229136</v>
      </c>
      <c r="L314">
        <v>1.898994585029653</v>
      </c>
      <c r="M314">
        <v>0.6720831421502087</v>
      </c>
      <c r="N314">
        <v>4.0793754509083238</v>
      </c>
      <c r="P314">
        <v>1.1542955977872373E-12</v>
      </c>
      <c r="R314">
        <v>6.5861271662945571</v>
      </c>
      <c r="S314">
        <v>6.5952649754803758</v>
      </c>
      <c r="T314">
        <v>1</v>
      </c>
      <c r="U314">
        <v>1.6305514477076017</v>
      </c>
    </row>
    <row r="315" spans="1:21">
      <c r="A315">
        <v>-1.4295189053527777</v>
      </c>
      <c r="B315">
        <v>-9.3733377580128188E-2</v>
      </c>
      <c r="C315">
        <v>0.34783164943331635</v>
      </c>
      <c r="D315">
        <v>-0.20922581902811732</v>
      </c>
      <c r="E315">
        <v>-0.25445560400194506</v>
      </c>
      <c r="F315">
        <v>0.19961792417481711</v>
      </c>
      <c r="G315">
        <v>0.10700121401721913</v>
      </c>
      <c r="H315">
        <v>0.58968812962472295</v>
      </c>
      <c r="I315">
        <v>9.5124866231742045E-2</v>
      </c>
      <c r="J315">
        <v>0.8948377411458861</v>
      </c>
      <c r="L315">
        <v>1.8989947681180634</v>
      </c>
      <c r="M315">
        <v>0.67208218245210394</v>
      </c>
      <c r="N315">
        <v>4.0793749007777684</v>
      </c>
      <c r="P315">
        <v>1.0285310958603705E-14</v>
      </c>
      <c r="R315">
        <v>6.5861271662945571</v>
      </c>
      <c r="S315">
        <v>6.5952649754803758</v>
      </c>
      <c r="T315">
        <v>1</v>
      </c>
      <c r="U315">
        <v>1.6305514477076017</v>
      </c>
    </row>
    <row r="316" spans="1:21">
      <c r="A316">
        <v>-1.4327929668480399</v>
      </c>
      <c r="B316">
        <v>-9.5981863038336585E-2</v>
      </c>
      <c r="C316">
        <v>0.3390788773435498</v>
      </c>
      <c r="D316">
        <v>0.11052318184753372</v>
      </c>
      <c r="E316">
        <v>4.5406625457095583E-2</v>
      </c>
      <c r="F316">
        <v>0.10118549082004931</v>
      </c>
      <c r="G316">
        <v>0.94412110468473931</v>
      </c>
      <c r="H316">
        <v>0.79196603677514987</v>
      </c>
      <c r="I316">
        <v>0.71565415660692633</v>
      </c>
      <c r="J316">
        <v>0.96979496620745886</v>
      </c>
      <c r="L316">
        <v>1.8989946543118379</v>
      </c>
      <c r="M316">
        <v>0.67208311898277584</v>
      </c>
      <c r="N316">
        <v>4.0793754047369584</v>
      </c>
      <c r="P316">
        <v>1.0347489911599745E-12</v>
      </c>
      <c r="R316">
        <v>6.5861271662945571</v>
      </c>
      <c r="S316">
        <v>6.5952649754803758</v>
      </c>
      <c r="T316">
        <v>1</v>
      </c>
      <c r="U316">
        <v>1.6305514477076017</v>
      </c>
    </row>
    <row r="317" spans="1:21">
      <c r="A317">
        <v>-1.4369335242928611</v>
      </c>
      <c r="B317">
        <v>-8.976063577093224E-2</v>
      </c>
      <c r="C317">
        <v>0.3414720033741353</v>
      </c>
      <c r="D317">
        <v>-0.343563679640845</v>
      </c>
      <c r="E317">
        <v>-0.18900359139090506</v>
      </c>
      <c r="F317">
        <v>0.32585596254502774</v>
      </c>
      <c r="G317">
        <v>0.42346319557613321</v>
      </c>
      <c r="H317">
        <v>0.2022834269171005</v>
      </c>
      <c r="I317">
        <v>0.4165853495727348</v>
      </c>
      <c r="J317">
        <v>0.28737438674245613</v>
      </c>
      <c r="L317">
        <v>1.8989943840122956</v>
      </c>
      <c r="M317">
        <v>0.67208317974577714</v>
      </c>
      <c r="N317">
        <v>4.0793755864096752</v>
      </c>
      <c r="P317">
        <v>1.531868130500461E-12</v>
      </c>
      <c r="R317">
        <v>6.5861271662945571</v>
      </c>
      <c r="S317">
        <v>6.5952649754803758</v>
      </c>
      <c r="T317">
        <v>1</v>
      </c>
      <c r="U317">
        <v>1.6305514477076017</v>
      </c>
    </row>
    <row r="318" spans="1:21">
      <c r="A318">
        <v>-1.4333751914816026</v>
      </c>
      <c r="B318">
        <v>-8.4383285967663743E-2</v>
      </c>
      <c r="C318">
        <v>0.34309166942249658</v>
      </c>
      <c r="D318">
        <v>-0.57861447569647217</v>
      </c>
      <c r="E318">
        <v>9.9016058456894041E-2</v>
      </c>
      <c r="F318">
        <v>0.33042992665829873</v>
      </c>
      <c r="G318">
        <v>0.45957417516800358</v>
      </c>
      <c r="H318">
        <v>0.61898280758899782</v>
      </c>
      <c r="I318">
        <v>0.94929704750669663</v>
      </c>
      <c r="J318">
        <v>0.8287789843454143</v>
      </c>
      <c r="L318">
        <v>1.8989947537859302</v>
      </c>
      <c r="M318">
        <v>0.67208316783055666</v>
      </c>
      <c r="N318">
        <v>4.0793754582046429</v>
      </c>
      <c r="P318">
        <v>1.1502732940552343E-12</v>
      </c>
      <c r="R318">
        <v>6.5861271662945571</v>
      </c>
      <c r="S318">
        <v>6.5952649754803758</v>
      </c>
      <c r="T318">
        <v>1</v>
      </c>
      <c r="U318">
        <v>1.6305514477076017</v>
      </c>
    </row>
    <row r="319" spans="1:21">
      <c r="A319">
        <v>-1.4308210673929112</v>
      </c>
      <c r="B319">
        <v>-8.6466216195595025E-2</v>
      </c>
      <c r="C319">
        <v>0.3331123726913941</v>
      </c>
      <c r="D319">
        <v>1.2622805049764971E-2</v>
      </c>
      <c r="E319">
        <v>-0.12337487297191078</v>
      </c>
      <c r="F319">
        <v>-0.25991811776928841</v>
      </c>
      <c r="G319">
        <v>0.52896958372407654</v>
      </c>
      <c r="H319">
        <v>0.78520418188518559</v>
      </c>
      <c r="I319">
        <v>0.7914140994234089</v>
      </c>
      <c r="J319">
        <v>0.75602255600907298</v>
      </c>
      <c r="L319">
        <v>1.8989946232598418</v>
      </c>
      <c r="M319">
        <v>0.67208290994216346</v>
      </c>
      <c r="N319">
        <v>4.0793752016491194</v>
      </c>
      <c r="P319">
        <v>5.6804749337621913E-13</v>
      </c>
      <c r="R319">
        <v>6.5861271662945571</v>
      </c>
      <c r="S319">
        <v>6.5952649754803758</v>
      </c>
      <c r="T319">
        <v>1</v>
      </c>
      <c r="U319">
        <v>1.6305514477076017</v>
      </c>
    </row>
    <row r="320" spans="1:21">
      <c r="A320">
        <v>-1.4324017240468863</v>
      </c>
      <c r="B320">
        <v>-7.7365877792836976E-2</v>
      </c>
      <c r="C320">
        <v>0.31696404520010235</v>
      </c>
      <c r="D320">
        <v>0.53749780640918376</v>
      </c>
      <c r="E320">
        <v>-0.62808902577259185</v>
      </c>
      <c r="F320">
        <v>0.19393657048614621</v>
      </c>
      <c r="G320">
        <v>0.51059622671509064</v>
      </c>
      <c r="H320">
        <v>0.87868375384651554</v>
      </c>
      <c r="I320">
        <v>0.83934371633837779</v>
      </c>
      <c r="J320">
        <v>0.8883360997743921</v>
      </c>
      <c r="L320">
        <v>1.8989947115462571</v>
      </c>
      <c r="M320">
        <v>0.67208308846243436</v>
      </c>
      <c r="N320">
        <v>4.0793753560683523</v>
      </c>
      <c r="P320">
        <v>9.1853931643243465E-13</v>
      </c>
      <c r="R320">
        <v>6.5861271662945571</v>
      </c>
      <c r="S320">
        <v>6.5952649754803758</v>
      </c>
      <c r="T320">
        <v>1</v>
      </c>
      <c r="U320">
        <v>1.6305514477076017</v>
      </c>
    </row>
    <row r="321" spans="1:21">
      <c r="A321">
        <v>-1.4878614439942146</v>
      </c>
      <c r="B321">
        <v>-6.5166209896697871E-2</v>
      </c>
      <c r="C321">
        <v>0.39310757075136954</v>
      </c>
      <c r="D321">
        <v>-3.76100186890208E-3</v>
      </c>
      <c r="E321">
        <v>-0.450541955802018</v>
      </c>
      <c r="F321">
        <v>0.19118991241752284</v>
      </c>
      <c r="G321">
        <v>0.34407463762527474</v>
      </c>
      <c r="H321">
        <v>5.4346094962140309E-2</v>
      </c>
      <c r="I321">
        <v>0.50144419014649066</v>
      </c>
      <c r="J321">
        <v>0.47253307887597773</v>
      </c>
      <c r="L321">
        <v>1.8989944809720998</v>
      </c>
      <c r="M321">
        <v>0.67208443074221447</v>
      </c>
      <c r="N321">
        <v>3.6314535228884242</v>
      </c>
      <c r="P321">
        <v>7.6231460621379793E-12</v>
      </c>
      <c r="R321">
        <v>6.7013902944805617</v>
      </c>
      <c r="S321">
        <v>6.7148325139077363</v>
      </c>
      <c r="T321">
        <v>1</v>
      </c>
      <c r="U321">
        <v>1.9535081127730956</v>
      </c>
    </row>
    <row r="322" spans="1:21">
      <c r="A322">
        <v>-1.4872616331585216</v>
      </c>
      <c r="B322">
        <v>-7.6286848870250029E-2</v>
      </c>
      <c r="C322">
        <v>0.43490383466884225</v>
      </c>
      <c r="D322">
        <v>-0.28293965781711744</v>
      </c>
      <c r="E322">
        <v>-0.24581565773673919</v>
      </c>
      <c r="F322">
        <v>-0.37095067018800376</v>
      </c>
      <c r="G322">
        <v>0.32849871783719453</v>
      </c>
      <c r="H322">
        <v>0.87176564695964676</v>
      </c>
      <c r="I322">
        <v>0.13877928786838656</v>
      </c>
      <c r="J322">
        <v>0.65639060904228053</v>
      </c>
      <c r="L322">
        <v>1.8989945463408426</v>
      </c>
      <c r="M322">
        <v>0.67208440384080703</v>
      </c>
      <c r="N322">
        <v>3.6314535659624614</v>
      </c>
      <c r="P322">
        <v>7.6080741493986703E-12</v>
      </c>
      <c r="R322">
        <v>6.7013902944805617</v>
      </c>
      <c r="S322">
        <v>6.7148325139077363</v>
      </c>
      <c r="T322">
        <v>1</v>
      </c>
      <c r="U322">
        <v>1.9535081127730956</v>
      </c>
    </row>
    <row r="323" spans="1:21">
      <c r="A323">
        <v>-1.4815471022209536</v>
      </c>
      <c r="B323">
        <v>-7.4467265668952426E-2</v>
      </c>
      <c r="C323">
        <v>0.40423938743728188</v>
      </c>
      <c r="D323">
        <v>0.32376865459705778</v>
      </c>
      <c r="E323">
        <v>0.31828129893032198</v>
      </c>
      <c r="F323">
        <v>-0.84041620483518886</v>
      </c>
      <c r="G323">
        <v>0.12554381034574821</v>
      </c>
      <c r="H323">
        <v>0.49256200132602534</v>
      </c>
      <c r="I323">
        <v>0.52806544151808676</v>
      </c>
      <c r="J323">
        <v>0.8514192803795636</v>
      </c>
      <c r="L323">
        <v>1.898994641571093</v>
      </c>
      <c r="M323">
        <v>0.67208440583124918</v>
      </c>
      <c r="N323">
        <v>3.6314536228796044</v>
      </c>
      <c r="P323">
        <v>7.7659118362393786E-12</v>
      </c>
      <c r="R323">
        <v>6.7013902944805617</v>
      </c>
      <c r="S323">
        <v>6.7148325139077363</v>
      </c>
      <c r="T323">
        <v>1</v>
      </c>
      <c r="U323">
        <v>1.9535081127730956</v>
      </c>
    </row>
    <row r="324" spans="1:21">
      <c r="A324">
        <v>-1.4810245102161586</v>
      </c>
      <c r="B324">
        <v>-6.7604645958161888E-2</v>
      </c>
      <c r="C324">
        <v>0.40818885138420985</v>
      </c>
      <c r="D324">
        <v>-0.10645413017851936</v>
      </c>
      <c r="E324">
        <v>0.2703004343520693</v>
      </c>
      <c r="F324">
        <v>-0.54551376012498753</v>
      </c>
      <c r="G324">
        <v>0.15569190876645655</v>
      </c>
      <c r="H324">
        <v>0.72517160981492101</v>
      </c>
      <c r="I324">
        <v>0.85532116328804286</v>
      </c>
      <c r="J324">
        <v>0.77435661729030991</v>
      </c>
      <c r="L324">
        <v>1.8989944809304109</v>
      </c>
      <c r="M324">
        <v>0.67208442008198255</v>
      </c>
      <c r="N324">
        <v>3.6314534950854815</v>
      </c>
      <c r="P324">
        <v>7.4855304331278918E-12</v>
      </c>
      <c r="R324">
        <v>6.7013902944805617</v>
      </c>
      <c r="S324">
        <v>6.7148325139077363</v>
      </c>
      <c r="T324">
        <v>1</v>
      </c>
      <c r="U324">
        <v>1.9535081127730956</v>
      </c>
    </row>
    <row r="325" spans="1:21">
      <c r="A325">
        <v>-1.4856859417300559</v>
      </c>
      <c r="B325">
        <v>-7.2689336910060562E-2</v>
      </c>
      <c r="C325">
        <v>0.41339169896507993</v>
      </c>
      <c r="D325">
        <v>0.1551275164851971</v>
      </c>
      <c r="E325">
        <v>-3.9891939443168385E-3</v>
      </c>
      <c r="F325">
        <v>-0.26777273914876232</v>
      </c>
      <c r="G325">
        <v>0.50604663789600102</v>
      </c>
      <c r="H325">
        <v>0.8027062849050185</v>
      </c>
      <c r="I325">
        <v>0.60554240209669208</v>
      </c>
      <c r="J325">
        <v>0.99288232853029967</v>
      </c>
      <c r="L325">
        <v>1.8989945575126563</v>
      </c>
      <c r="M325">
        <v>0.67208438617663102</v>
      </c>
      <c r="N325">
        <v>3.6314536193622282</v>
      </c>
      <c r="P325">
        <v>7.710096600096172E-12</v>
      </c>
      <c r="R325">
        <v>6.7013902944805617</v>
      </c>
      <c r="S325">
        <v>6.7148325139077363</v>
      </c>
      <c r="T325">
        <v>1</v>
      </c>
      <c r="U325">
        <v>1.9535081127730956</v>
      </c>
    </row>
    <row r="326" spans="1:21">
      <c r="A326">
        <v>-1.4918448923579557</v>
      </c>
      <c r="B326">
        <v>-6.7767763685722487E-2</v>
      </c>
      <c r="C326">
        <v>0.39755450180574459</v>
      </c>
      <c r="D326">
        <v>0.58950741767217896</v>
      </c>
      <c r="E326">
        <v>-6.2816136768593545E-2</v>
      </c>
      <c r="F326">
        <v>0.4818040898919736</v>
      </c>
      <c r="G326">
        <v>0.35832447013502505</v>
      </c>
      <c r="H326">
        <v>0.24595636381379993</v>
      </c>
      <c r="I326">
        <v>0.5759556255170859</v>
      </c>
      <c r="J326">
        <v>0.30359033025045895</v>
      </c>
      <c r="L326">
        <v>1.8989945595548814</v>
      </c>
      <c r="M326">
        <v>0.67208443615593294</v>
      </c>
      <c r="N326">
        <v>3.6314535769043279</v>
      </c>
      <c r="P326">
        <v>7.7779022197704328E-12</v>
      </c>
      <c r="R326">
        <v>6.7013902944805617</v>
      </c>
      <c r="S326">
        <v>6.7148325139077363</v>
      </c>
      <c r="T326">
        <v>1</v>
      </c>
      <c r="U326">
        <v>1.9535081127730956</v>
      </c>
    </row>
    <row r="327" spans="1:21">
      <c r="A327">
        <v>-1.4891242927864616</v>
      </c>
      <c r="B327">
        <v>-7.7318225129427195E-2</v>
      </c>
      <c r="C327">
        <v>0.40595589050832148</v>
      </c>
      <c r="D327">
        <v>0.76408076911679035</v>
      </c>
      <c r="E327">
        <v>-0.24931008545827038</v>
      </c>
      <c r="F327">
        <v>-0.31250632308932408</v>
      </c>
      <c r="G327">
        <v>0.712964557555965</v>
      </c>
      <c r="H327">
        <v>0.65733958222139466</v>
      </c>
      <c r="I327">
        <v>0.30662684802308027</v>
      </c>
      <c r="J327">
        <v>0.95383959214681513</v>
      </c>
      <c r="L327">
        <v>1.8989944458097925</v>
      </c>
      <c r="M327">
        <v>0.67208441281211639</v>
      </c>
      <c r="N327">
        <v>3.6314535189641122</v>
      </c>
      <c r="P327">
        <v>7.558980293161821E-12</v>
      </c>
      <c r="R327">
        <v>6.7013902944805617</v>
      </c>
      <c r="S327">
        <v>6.7148325139077363</v>
      </c>
      <c r="T327">
        <v>1</v>
      </c>
      <c r="U327">
        <v>1.9535081127730956</v>
      </c>
    </row>
    <row r="328" spans="1:21">
      <c r="A328">
        <v>-1.4883031914882903</v>
      </c>
      <c r="B328">
        <v>-6.8696414984583107E-2</v>
      </c>
      <c r="C328">
        <v>0.3981582077454856</v>
      </c>
      <c r="D328">
        <v>0.29968841982016797</v>
      </c>
      <c r="E328">
        <v>-0.25664849877830509</v>
      </c>
      <c r="F328">
        <v>8.726629816991012E-2</v>
      </c>
      <c r="G328">
        <v>0.23116184249098476</v>
      </c>
      <c r="H328">
        <v>0.16365478968921174</v>
      </c>
      <c r="I328">
        <v>0.37704726732828492</v>
      </c>
      <c r="J328">
        <v>0.4135168334820819</v>
      </c>
      <c r="L328">
        <v>1.8989945985527787</v>
      </c>
      <c r="M328">
        <v>0.67208443729837986</v>
      </c>
      <c r="N328">
        <v>3.6314535816281874</v>
      </c>
      <c r="P328">
        <v>7.7785231881220662E-12</v>
      </c>
      <c r="R328">
        <v>6.7013902944805617</v>
      </c>
      <c r="S328">
        <v>6.7148325139077363</v>
      </c>
      <c r="T328">
        <v>1</v>
      </c>
      <c r="U328">
        <v>1.9535081127730956</v>
      </c>
    </row>
    <row r="329" spans="1:21">
      <c r="A329">
        <v>-1.4828619131988945</v>
      </c>
      <c r="B329">
        <v>-6.2233880116472483E-2</v>
      </c>
      <c r="C329">
        <v>0.39209110182655232</v>
      </c>
      <c r="D329">
        <v>0.49972302344081659</v>
      </c>
      <c r="E329">
        <v>-0.21861840973474306</v>
      </c>
      <c r="F329">
        <v>-0.2749901022474649</v>
      </c>
      <c r="G329">
        <v>0.28793321231051866</v>
      </c>
      <c r="H329">
        <v>0.79310328931713747</v>
      </c>
      <c r="I329">
        <v>0.83929754462757022</v>
      </c>
      <c r="J329">
        <v>0.56119073847067324</v>
      </c>
      <c r="L329">
        <v>1.8989944888378667</v>
      </c>
      <c r="M329">
        <v>0.67208441347441794</v>
      </c>
      <c r="N329">
        <v>3.6314535413277236</v>
      </c>
      <c r="P329">
        <v>7.6039309388534771E-12</v>
      </c>
      <c r="R329">
        <v>6.7013902944805617</v>
      </c>
      <c r="S329">
        <v>6.7148325139077363</v>
      </c>
      <c r="T329">
        <v>1</v>
      </c>
      <c r="U329">
        <v>1.9535081127730956</v>
      </c>
    </row>
    <row r="330" spans="1:21">
      <c r="A330">
        <v>-1.4793873016631378</v>
      </c>
      <c r="B330">
        <v>-6.0538317695582607E-2</v>
      </c>
      <c r="C330">
        <v>0.37810520942487402</v>
      </c>
      <c r="D330">
        <v>8.8526137258727516E-2</v>
      </c>
      <c r="E330">
        <v>-0.51732521799136388</v>
      </c>
      <c r="F330">
        <v>-0.42968143504615536</v>
      </c>
      <c r="G330">
        <v>0.21433570751539008</v>
      </c>
      <c r="H330">
        <v>0.26005116738932832</v>
      </c>
      <c r="I330">
        <v>0.72213463916420473</v>
      </c>
      <c r="J330">
        <v>0.80240466116920306</v>
      </c>
      <c r="L330">
        <v>1.8989946100796649</v>
      </c>
      <c r="M330">
        <v>0.6720844029855233</v>
      </c>
      <c r="N330">
        <v>3.6314536316887662</v>
      </c>
      <c r="P330">
        <v>7.7983086018702918E-12</v>
      </c>
      <c r="R330">
        <v>6.7013902944805617</v>
      </c>
      <c r="S330">
        <v>6.7148325139077363</v>
      </c>
      <c r="T330">
        <v>1</v>
      </c>
      <c r="U330">
        <v>1.9535081127730956</v>
      </c>
    </row>
    <row r="331" spans="1:21">
      <c r="A331">
        <v>-1.9363662739518712</v>
      </c>
      <c r="B331">
        <v>8.9941175663049253E-2</v>
      </c>
      <c r="C331">
        <v>1.0107407333085856</v>
      </c>
      <c r="D331">
        <v>0.61100444377618557</v>
      </c>
      <c r="E331">
        <v>0.20103944733323961</v>
      </c>
      <c r="F331">
        <v>0.28044439519268588</v>
      </c>
      <c r="G331">
        <v>0.52302905529550647</v>
      </c>
      <c r="H331">
        <v>0.72646018633097886</v>
      </c>
      <c r="I331">
        <v>1.0142544737820813</v>
      </c>
      <c r="J331">
        <v>0.19768702654859927</v>
      </c>
      <c r="L331">
        <v>1.8989940757246131</v>
      </c>
      <c r="M331">
        <v>0.67208896982480326</v>
      </c>
      <c r="N331">
        <v>2.2187055005227956</v>
      </c>
      <c r="P331">
        <v>6.4716317545630392E-11</v>
      </c>
      <c r="R331">
        <v>13.883112073102259</v>
      </c>
      <c r="S331">
        <v>14.088858695576636</v>
      </c>
      <c r="T331">
        <v>1</v>
      </c>
      <c r="U331">
        <v>1.6915968764140183</v>
      </c>
    </row>
    <row r="332" spans="1:21">
      <c r="A332">
        <v>-1.9331536746738589</v>
      </c>
      <c r="B332">
        <v>8.2835440244795847E-2</v>
      </c>
      <c r="C332">
        <v>1.0235125589814129</v>
      </c>
      <c r="D332">
        <v>5.6709783162226857E-2</v>
      </c>
      <c r="E332">
        <v>7.5753925848719372E-2</v>
      </c>
      <c r="F332">
        <v>-8.8787177535768799E-2</v>
      </c>
      <c r="G332">
        <v>0.40975919726286669</v>
      </c>
      <c r="H332">
        <v>0.59586217837868782</v>
      </c>
      <c r="I332">
        <v>0.58058148793909192</v>
      </c>
      <c r="J332">
        <v>0.97798454252169909</v>
      </c>
      <c r="L332">
        <v>1.8989943354148431</v>
      </c>
      <c r="M332">
        <v>0.6720890763557098</v>
      </c>
      <c r="N332">
        <v>2.2187052030909955</v>
      </c>
      <c r="P332">
        <v>6.3324970984365861E-11</v>
      </c>
      <c r="R332">
        <v>13.883112073102259</v>
      </c>
      <c r="S332">
        <v>14.088858695576636</v>
      </c>
      <c r="T332">
        <v>1</v>
      </c>
      <c r="U332">
        <v>1.6915968764140183</v>
      </c>
    </row>
    <row r="333" spans="1:21">
      <c r="A333">
        <v>-1.9421751783711643</v>
      </c>
      <c r="B333">
        <v>8.6873083012141306E-2</v>
      </c>
      <c r="C333">
        <v>1.0319844933239675</v>
      </c>
      <c r="D333">
        <v>4.3609691193782323E-2</v>
      </c>
      <c r="E333">
        <v>0.40177776654373232</v>
      </c>
      <c r="F333">
        <v>0.37372148919318487</v>
      </c>
      <c r="G333">
        <v>0.64191467740526664</v>
      </c>
      <c r="H333">
        <v>0.66295922505207006</v>
      </c>
      <c r="I333">
        <v>0.99880459174749969</v>
      </c>
      <c r="J333">
        <v>0.89351842462539521</v>
      </c>
      <c r="L333">
        <v>1.898994650548345</v>
      </c>
      <c r="M333">
        <v>0.67208889827897711</v>
      </c>
      <c r="N333">
        <v>2.2187053653991256</v>
      </c>
      <c r="P333">
        <v>6.2049681390882258E-11</v>
      </c>
      <c r="R333">
        <v>13.883112073102259</v>
      </c>
      <c r="S333">
        <v>14.088858695576636</v>
      </c>
      <c r="T333">
        <v>1</v>
      </c>
      <c r="U333">
        <v>1.6915968764140183</v>
      </c>
    </row>
    <row r="334" spans="1:21">
      <c r="A334">
        <v>-1.8712933068658466</v>
      </c>
      <c r="B334">
        <v>8.1643411143303507E-2</v>
      </c>
      <c r="C334">
        <v>0.89964263449448301</v>
      </c>
      <c r="D334">
        <v>0.77485059344649354</v>
      </c>
      <c r="E334">
        <v>-0.66408516746328794</v>
      </c>
      <c r="F334">
        <v>-0.1967285904291885</v>
      </c>
      <c r="G334">
        <v>0.14809002598882973</v>
      </c>
      <c r="H334">
        <v>0.44486440170958869</v>
      </c>
      <c r="I334">
        <v>0.84458786161646293</v>
      </c>
      <c r="J334">
        <v>0.81280143248358139</v>
      </c>
      <c r="L334">
        <v>1.8989944054543779</v>
      </c>
      <c r="M334">
        <v>0.67208886937790524</v>
      </c>
      <c r="N334">
        <v>2.2187054250672462</v>
      </c>
      <c r="P334">
        <v>6.2327843040584345E-11</v>
      </c>
      <c r="R334">
        <v>13.883112073102259</v>
      </c>
      <c r="S334">
        <v>14.088858695576636</v>
      </c>
      <c r="T334">
        <v>1</v>
      </c>
      <c r="U334">
        <v>1.6915968764140183</v>
      </c>
    </row>
    <row r="335" spans="1:21">
      <c r="A335">
        <v>-1.9118725367321485</v>
      </c>
      <c r="B335">
        <v>8.9182779384053945E-2</v>
      </c>
      <c r="C335">
        <v>0.95365938823755347</v>
      </c>
      <c r="D335">
        <v>-0.12290584486286511</v>
      </c>
      <c r="E335">
        <v>-0.95046237881323414</v>
      </c>
      <c r="F335">
        <v>0.13395687439299969</v>
      </c>
      <c r="G335">
        <v>0.87351359704741016</v>
      </c>
      <c r="H335">
        <v>0</v>
      </c>
      <c r="I335">
        <v>0.85878464132886734</v>
      </c>
      <c r="J335">
        <v>0.14994377670942186</v>
      </c>
      <c r="L335">
        <v>1.8989951233035443</v>
      </c>
      <c r="M335">
        <v>0.67208528794015499</v>
      </c>
      <c r="N335">
        <v>2.2187017248980276</v>
      </c>
      <c r="P335">
        <v>9.640542044921143E-12</v>
      </c>
      <c r="R335">
        <v>13.883112073102259</v>
      </c>
      <c r="S335">
        <v>14.088858695576636</v>
      </c>
      <c r="T335">
        <v>1</v>
      </c>
      <c r="U335">
        <v>1.6915968764140183</v>
      </c>
    </row>
    <row r="336" spans="1:21">
      <c r="A336">
        <v>-1.8691827920724513</v>
      </c>
      <c r="B336">
        <v>8.3146246178826308E-2</v>
      </c>
      <c r="C336">
        <v>0.88743472104362686</v>
      </c>
      <c r="D336">
        <v>0.62373690641249846</v>
      </c>
      <c r="E336">
        <v>-0.17672054010404353</v>
      </c>
      <c r="F336">
        <v>-0.14008404734766972</v>
      </c>
      <c r="G336">
        <v>0</v>
      </c>
      <c r="H336">
        <v>0</v>
      </c>
      <c r="I336">
        <v>1.1577430104615316</v>
      </c>
      <c r="J336">
        <v>0.35926051898657785</v>
      </c>
      <c r="L336">
        <v>1.8989922485450366</v>
      </c>
      <c r="M336">
        <v>0.67208187799544428</v>
      </c>
      <c r="N336">
        <v>2.2187036518937968</v>
      </c>
      <c r="P336">
        <v>1.3160218935296349E-11</v>
      </c>
      <c r="R336">
        <v>13.883112073102259</v>
      </c>
      <c r="S336">
        <v>14.088858695576636</v>
      </c>
      <c r="T336">
        <v>1</v>
      </c>
      <c r="U336">
        <v>1.6915968764140183</v>
      </c>
    </row>
    <row r="337" spans="1:21">
      <c r="A337">
        <v>-1.9357564355991046</v>
      </c>
      <c r="B337">
        <v>9.2461882134197107E-2</v>
      </c>
      <c r="C337">
        <v>1.0373103398611656</v>
      </c>
      <c r="D337">
        <v>-0.67837733821926238</v>
      </c>
      <c r="E337">
        <v>2.3474062716859461E-2</v>
      </c>
      <c r="F337">
        <v>0.43394402275004645</v>
      </c>
      <c r="G337">
        <v>0.41659311315510605</v>
      </c>
      <c r="H337">
        <v>0.88356651372465955</v>
      </c>
      <c r="I337">
        <v>0.97201274204877608</v>
      </c>
      <c r="J337">
        <v>1.0461339457031191</v>
      </c>
      <c r="L337">
        <v>1.8989940456810612</v>
      </c>
      <c r="M337">
        <v>0.67208878570948594</v>
      </c>
      <c r="N337">
        <v>2.2187056133274061</v>
      </c>
      <c r="P337">
        <v>6.3318816454918443E-11</v>
      </c>
      <c r="R337">
        <v>13.883112073102259</v>
      </c>
      <c r="S337">
        <v>14.088858695576636</v>
      </c>
      <c r="T337">
        <v>1</v>
      </c>
      <c r="U337">
        <v>1.6915968764140183</v>
      </c>
    </row>
    <row r="338" spans="1:21">
      <c r="A338">
        <v>-1.884171979113364</v>
      </c>
      <c r="B338">
        <v>8.5190388053275404E-2</v>
      </c>
      <c r="C338">
        <v>0.92319130672058392</v>
      </c>
      <c r="D338">
        <v>0.41506053228181283</v>
      </c>
      <c r="E338">
        <v>-0.38885480149444707</v>
      </c>
      <c r="F338">
        <v>-0.23654739887326887</v>
      </c>
      <c r="G338">
        <v>0.28167259252708116</v>
      </c>
      <c r="H338">
        <v>0.46740587812624507</v>
      </c>
      <c r="I338">
        <v>1.0799008131915817</v>
      </c>
      <c r="J338">
        <v>0.57232385209419023</v>
      </c>
      <c r="L338">
        <v>1.8989949397357253</v>
      </c>
      <c r="M338">
        <v>0.67208862759411403</v>
      </c>
      <c r="N338">
        <v>2.2187054832296949</v>
      </c>
      <c r="P338">
        <v>5.9505730574464192E-11</v>
      </c>
      <c r="R338">
        <v>13.883112073102259</v>
      </c>
      <c r="S338">
        <v>14.088858695576636</v>
      </c>
      <c r="T338">
        <v>1</v>
      </c>
      <c r="U338">
        <v>1.6915968764140183</v>
      </c>
    </row>
    <row r="339" spans="1:21">
      <c r="A339">
        <v>-1.9261510935874731</v>
      </c>
      <c r="B339">
        <v>8.5694463862361472E-2</v>
      </c>
      <c r="C339">
        <v>0.98982936460491477</v>
      </c>
      <c r="D339">
        <v>6.9314466569176197E-2</v>
      </c>
      <c r="E339">
        <v>-0.65183577840942863</v>
      </c>
      <c r="F339">
        <v>0.51574918356620825</v>
      </c>
      <c r="G339">
        <v>0.42993306406736514</v>
      </c>
      <c r="H339">
        <v>0</v>
      </c>
      <c r="I339">
        <v>0.35116867418825143</v>
      </c>
      <c r="J339">
        <v>0.56063203012273355</v>
      </c>
      <c r="L339">
        <v>1.8989960525126175</v>
      </c>
      <c r="M339">
        <v>0.67208699879817346</v>
      </c>
      <c r="N339">
        <v>2.2186998448493318</v>
      </c>
      <c r="P339">
        <v>2.5692773290631128E-11</v>
      </c>
      <c r="R339">
        <v>13.883112073102259</v>
      </c>
      <c r="S339">
        <v>14.088858695576636</v>
      </c>
      <c r="T339">
        <v>1</v>
      </c>
      <c r="U339">
        <v>1.6915968764140183</v>
      </c>
    </row>
    <row r="340" spans="1:21">
      <c r="A340">
        <v>-1.9154290623539671</v>
      </c>
      <c r="B340">
        <v>7.6785246187310946E-2</v>
      </c>
      <c r="C340">
        <v>0.9667541096336465</v>
      </c>
      <c r="D340">
        <v>0.68222051952546781</v>
      </c>
      <c r="E340">
        <v>0.53586627146382493</v>
      </c>
      <c r="F340">
        <v>-0.58222380435987209</v>
      </c>
      <c r="G340">
        <v>0.60595735217105584</v>
      </c>
      <c r="H340">
        <v>0</v>
      </c>
      <c r="I340">
        <v>1.0028469032889831</v>
      </c>
      <c r="J340">
        <v>0.42330391500387704</v>
      </c>
      <c r="L340">
        <v>1.8989958551215795</v>
      </c>
      <c r="M340">
        <v>0.67208537244534128</v>
      </c>
      <c r="N340">
        <v>2.2186998723017246</v>
      </c>
      <c r="P340">
        <v>1.2385049467185973E-11</v>
      </c>
      <c r="R340">
        <v>13.883112073102259</v>
      </c>
      <c r="S340">
        <v>14.088858695576636</v>
      </c>
      <c r="T340">
        <v>1</v>
      </c>
      <c r="U340">
        <v>1.6915968764140183</v>
      </c>
    </row>
    <row r="341" spans="1:21">
      <c r="A341">
        <v>-1.4457874318213491</v>
      </c>
      <c r="B341">
        <v>4.7267233117070317E-2</v>
      </c>
      <c r="C341">
        <v>0.18736074918706716</v>
      </c>
      <c r="D341">
        <v>-0.60564085974634041</v>
      </c>
      <c r="E341">
        <v>8.9856407962910029E-2</v>
      </c>
      <c r="F341">
        <v>-0.36414014203063039</v>
      </c>
      <c r="G341">
        <v>0.88982483335492368</v>
      </c>
      <c r="H341">
        <v>0.76092017485703656</v>
      </c>
      <c r="I341">
        <v>0.26121891610025766</v>
      </c>
      <c r="J341">
        <v>7.8773621967135582E-2</v>
      </c>
      <c r="L341">
        <v>1.8989936669344609</v>
      </c>
      <c r="M341">
        <v>4.0793780898614527</v>
      </c>
      <c r="N341">
        <v>3.6314510945296767</v>
      </c>
      <c r="P341">
        <v>1.2097308044477914E-11</v>
      </c>
      <c r="R341">
        <v>10.942110783080427</v>
      </c>
      <c r="S341">
        <v>10.969037156132696</v>
      </c>
      <c r="T341">
        <v>1</v>
      </c>
      <c r="U341">
        <v>1.9522209609600414</v>
      </c>
    </row>
    <row r="342" spans="1:21">
      <c r="A342">
        <v>-1.4401998445958835</v>
      </c>
      <c r="B342">
        <v>5.9089912214032057E-2</v>
      </c>
      <c r="C342">
        <v>0.14405577029637892</v>
      </c>
      <c r="D342">
        <v>0.4737746819083879</v>
      </c>
      <c r="E342">
        <v>0.24724981749025368</v>
      </c>
      <c r="F342">
        <v>0.36311213193029013</v>
      </c>
      <c r="G342">
        <v>0.55343688149007064</v>
      </c>
      <c r="H342">
        <v>0.62001503521973955</v>
      </c>
      <c r="I342">
        <v>0.81853069469444906</v>
      </c>
      <c r="J342">
        <v>0.60897235075172096</v>
      </c>
      <c r="L342">
        <v>1.8989936573816255</v>
      </c>
      <c r="M342">
        <v>4.0793781388099051</v>
      </c>
      <c r="N342">
        <v>3.6314511376351937</v>
      </c>
      <c r="P342">
        <v>1.2368887262163092E-11</v>
      </c>
      <c r="R342">
        <v>10.942110783080427</v>
      </c>
      <c r="S342">
        <v>10.969037156132696</v>
      </c>
      <c r="T342">
        <v>1</v>
      </c>
      <c r="U342">
        <v>1.9522209609600414</v>
      </c>
    </row>
    <row r="343" spans="1:21">
      <c r="A343">
        <v>-1.4392198460336589</v>
      </c>
      <c r="B343">
        <v>7.1583523771208038E-2</v>
      </c>
      <c r="C343">
        <v>0.11947566855666004</v>
      </c>
      <c r="D343">
        <v>-0.32100293516211609</v>
      </c>
      <c r="E343">
        <v>-0.1561898845429732</v>
      </c>
      <c r="F343">
        <v>9.6374767467509267E-2</v>
      </c>
      <c r="G343">
        <v>0.91780548301676101</v>
      </c>
      <c r="H343">
        <v>0.11749119220474562</v>
      </c>
      <c r="I343">
        <v>0.98815809622723039</v>
      </c>
      <c r="J343">
        <v>0.112662770713576</v>
      </c>
      <c r="L343">
        <v>1.8989936455043275</v>
      </c>
      <c r="M343">
        <v>4.0793781729093315</v>
      </c>
      <c r="N343">
        <v>3.6314511704892656</v>
      </c>
      <c r="P343">
        <v>1.2571745678836312E-11</v>
      </c>
      <c r="R343">
        <v>10.942110783080427</v>
      </c>
      <c r="S343">
        <v>10.969037156132696</v>
      </c>
      <c r="T343">
        <v>1</v>
      </c>
      <c r="U343">
        <v>1.9522209609600414</v>
      </c>
    </row>
    <row r="344" spans="1:21">
      <c r="A344">
        <v>-1.4428684987354012</v>
      </c>
      <c r="B344">
        <v>4.054581675377824E-2</v>
      </c>
      <c r="C344">
        <v>0.17868951165868857</v>
      </c>
      <c r="D344">
        <v>-0.30581025107078819</v>
      </c>
      <c r="E344">
        <v>-2.1454565392614863E-2</v>
      </c>
      <c r="F344">
        <v>-0.60184420981808862</v>
      </c>
      <c r="G344">
        <v>0.63823148572740274</v>
      </c>
      <c r="H344">
        <v>0.33713652123990256</v>
      </c>
      <c r="I344">
        <v>0.27953205540409065</v>
      </c>
      <c r="J344">
        <v>0.52061000192984463</v>
      </c>
      <c r="L344">
        <v>1.8989936630245152</v>
      </c>
      <c r="M344">
        <v>4.0793781024002396</v>
      </c>
      <c r="N344">
        <v>3.6314511159834728</v>
      </c>
      <c r="P344">
        <v>1.2153742724936339E-11</v>
      </c>
      <c r="R344">
        <v>10.942110783080427</v>
      </c>
      <c r="S344">
        <v>10.969037156132696</v>
      </c>
      <c r="T344">
        <v>1</v>
      </c>
      <c r="U344">
        <v>1.9522209609600414</v>
      </c>
    </row>
    <row r="345" spans="1:21">
      <c r="A345">
        <v>-1.436830962490607</v>
      </c>
      <c r="B345">
        <v>6.4627916865671653E-2</v>
      </c>
      <c r="C345">
        <v>0.12676699632518887</v>
      </c>
      <c r="D345">
        <v>0.39386433565632789</v>
      </c>
      <c r="E345">
        <v>-0.59673765124692102</v>
      </c>
      <c r="F345">
        <v>-0.31356209118456169</v>
      </c>
      <c r="G345">
        <v>0.87584689058838971</v>
      </c>
      <c r="H345">
        <v>0.66707912525230562</v>
      </c>
      <c r="I345">
        <v>0.91801967655111405</v>
      </c>
      <c r="J345">
        <v>0.49949898442447455</v>
      </c>
      <c r="L345">
        <v>1.8989936217541947</v>
      </c>
      <c r="M345">
        <v>4.0793781368829158</v>
      </c>
      <c r="N345">
        <v>3.6314511677101238</v>
      </c>
      <c r="P345">
        <v>1.2399169388622783E-11</v>
      </c>
      <c r="R345">
        <v>10.942110783080427</v>
      </c>
      <c r="S345">
        <v>10.969037156132696</v>
      </c>
      <c r="T345">
        <v>1</v>
      </c>
      <c r="U345">
        <v>1.9522209609600414</v>
      </c>
    </row>
    <row r="346" spans="1:21">
      <c r="A346">
        <v>-1.4428826610868151</v>
      </c>
      <c r="B346">
        <v>4.6218947028045715E-2</v>
      </c>
      <c r="C346">
        <v>0.1610988244354884</v>
      </c>
      <c r="D346">
        <v>0.57428187391616248</v>
      </c>
      <c r="E346">
        <v>4.6310579964931476E-3</v>
      </c>
      <c r="F346">
        <v>-0.60561542902155752</v>
      </c>
      <c r="G346">
        <v>0.97728314092305735</v>
      </c>
      <c r="H346">
        <v>0.82853628786190237</v>
      </c>
      <c r="I346">
        <v>0.54422805281916187</v>
      </c>
      <c r="J346">
        <v>0.52669150572159185</v>
      </c>
      <c r="L346">
        <v>1.8989935738759554</v>
      </c>
      <c r="M346">
        <v>4.0793781283643726</v>
      </c>
      <c r="N346">
        <v>3.6314512334585074</v>
      </c>
      <c r="P346">
        <v>1.2375755367896294E-11</v>
      </c>
      <c r="R346">
        <v>10.942110783080427</v>
      </c>
      <c r="S346">
        <v>10.969037156132696</v>
      </c>
      <c r="T346">
        <v>1</v>
      </c>
      <c r="U346">
        <v>1.9522209609600414</v>
      </c>
    </row>
    <row r="347" spans="1:21">
      <c r="A347">
        <v>-1.4403338146854596</v>
      </c>
      <c r="B347">
        <v>5.8957901074574132E-2</v>
      </c>
      <c r="C347">
        <v>0.12993128541909787</v>
      </c>
      <c r="D347">
        <v>0.21386574121639271</v>
      </c>
      <c r="E347">
        <v>5.1377326193138735E-2</v>
      </c>
      <c r="F347">
        <v>0.25543086602094106</v>
      </c>
      <c r="G347">
        <v>0.68851923643741364</v>
      </c>
      <c r="H347">
        <v>1.5215732335125551E-2</v>
      </c>
      <c r="I347">
        <v>0.72296658063725572</v>
      </c>
      <c r="J347">
        <v>0.66842344121177444</v>
      </c>
      <c r="L347">
        <v>1.8989936812872992</v>
      </c>
      <c r="M347">
        <v>4.0793781398229427</v>
      </c>
      <c r="N347">
        <v>3.6314510951798473</v>
      </c>
      <c r="P347">
        <v>1.2383105377561499E-11</v>
      </c>
      <c r="R347">
        <v>10.942110783080427</v>
      </c>
      <c r="S347">
        <v>10.969037156132696</v>
      </c>
      <c r="T347">
        <v>1</v>
      </c>
      <c r="U347">
        <v>1.9522209609600414</v>
      </c>
    </row>
    <row r="348" spans="1:21">
      <c r="A348">
        <v>-1.4387566100600044</v>
      </c>
      <c r="B348">
        <v>6.0889104350665371E-2</v>
      </c>
      <c r="C348">
        <v>0.13485294967313174</v>
      </c>
      <c r="D348">
        <v>0.12018148588672495</v>
      </c>
      <c r="E348">
        <v>0.10015653571519709</v>
      </c>
      <c r="F348">
        <v>7.5085104369815664E-2</v>
      </c>
      <c r="G348">
        <v>0.44707235044130067</v>
      </c>
      <c r="H348">
        <v>0.14593626440953408</v>
      </c>
      <c r="I348">
        <v>0.81599831160036318</v>
      </c>
      <c r="J348">
        <v>0.35781220861198804</v>
      </c>
      <c r="L348">
        <v>1.8989936636326605</v>
      </c>
      <c r="M348">
        <v>4.0793781216263367</v>
      </c>
      <c r="N348">
        <v>3.6314511028144039</v>
      </c>
      <c r="P348">
        <v>1.2295435965328664E-11</v>
      </c>
      <c r="R348">
        <v>10.942110783080427</v>
      </c>
      <c r="S348">
        <v>10.969037156132696</v>
      </c>
      <c r="T348">
        <v>1</v>
      </c>
      <c r="U348">
        <v>1.9522209609600414</v>
      </c>
    </row>
    <row r="349" spans="1:21">
      <c r="A349">
        <v>-1.4401185045322522</v>
      </c>
      <c r="B349">
        <v>5.455088935113394E-2</v>
      </c>
      <c r="C349">
        <v>0.16577107061352486</v>
      </c>
      <c r="D349">
        <v>0.12214322301183118</v>
      </c>
      <c r="E349">
        <v>0.4117182952580889</v>
      </c>
      <c r="F349">
        <v>0.72293687103713544</v>
      </c>
      <c r="G349">
        <v>1.4497797710450832E-2</v>
      </c>
      <c r="H349">
        <v>0.55124771240151549</v>
      </c>
      <c r="I349">
        <v>0.56942279272040952</v>
      </c>
      <c r="J349">
        <v>0.65871084550525372</v>
      </c>
      <c r="L349">
        <v>1.8989936526031734</v>
      </c>
      <c r="M349">
        <v>4.0793780851655468</v>
      </c>
      <c r="N349">
        <v>3.6314511007657986</v>
      </c>
      <c r="P349">
        <v>1.2091755613347865E-11</v>
      </c>
      <c r="R349">
        <v>10.942110783080427</v>
      </c>
      <c r="S349">
        <v>10.969037156132696</v>
      </c>
      <c r="T349">
        <v>1</v>
      </c>
      <c r="U349">
        <v>1.9522209609600414</v>
      </c>
    </row>
    <row r="350" spans="1:21">
      <c r="A350">
        <v>-1.4403608831881325</v>
      </c>
      <c r="B350">
        <v>6.504179355259615E-2</v>
      </c>
      <c r="C350">
        <v>0.13879129992384667</v>
      </c>
      <c r="D350">
        <v>0.26240719711407751</v>
      </c>
      <c r="E350">
        <v>0.153659697876844</v>
      </c>
      <c r="F350">
        <v>0.22335300474304778</v>
      </c>
      <c r="G350">
        <v>0.72529761996008713</v>
      </c>
      <c r="H350">
        <v>0.6862251018839628</v>
      </c>
      <c r="I350">
        <v>0.90440158560694373</v>
      </c>
      <c r="J350">
        <v>0.24541226437478889</v>
      </c>
      <c r="L350">
        <v>1.8989936068224464</v>
      </c>
      <c r="M350">
        <v>4.079378141591306</v>
      </c>
      <c r="N350">
        <v>3.6314511920738552</v>
      </c>
      <c r="P350">
        <v>1.2432768327887744E-11</v>
      </c>
      <c r="R350">
        <v>10.942110783080427</v>
      </c>
      <c r="S350">
        <v>10.969037156132696</v>
      </c>
      <c r="T350">
        <v>1</v>
      </c>
      <c r="U350">
        <v>1.9522209609600414</v>
      </c>
    </row>
    <row r="351" spans="1:21">
      <c r="A351">
        <v>-1.4513923814181078</v>
      </c>
      <c r="B351">
        <v>0.12309373635568462</v>
      </c>
      <c r="C351">
        <v>9.6834017849490639E-2</v>
      </c>
      <c r="D351">
        <v>4.2767440807298052E-2</v>
      </c>
      <c r="E351">
        <v>0.78050086765984106</v>
      </c>
      <c r="F351">
        <v>0.4848723789464951</v>
      </c>
      <c r="G351">
        <v>0.56969014508991711</v>
      </c>
      <c r="H351">
        <v>0.94846182694638259</v>
      </c>
      <c r="I351">
        <v>0.27117652881796239</v>
      </c>
      <c r="J351">
        <v>0.61184907883803274</v>
      </c>
      <c r="L351">
        <v>1.8989958906009987</v>
      </c>
      <c r="M351">
        <v>4.0793765451453119</v>
      </c>
      <c r="N351">
        <v>2.2187015922411715</v>
      </c>
      <c r="P351">
        <v>3.977093272027681E-12</v>
      </c>
      <c r="R351">
        <v>4.4447880023870185</v>
      </c>
      <c r="S351">
        <v>4.4471433415054369</v>
      </c>
      <c r="T351">
        <v>1</v>
      </c>
      <c r="U351">
        <v>1.6886687167142138</v>
      </c>
    </row>
    <row r="352" spans="1:21">
      <c r="A352">
        <v>-1.4465093286344766</v>
      </c>
      <c r="B352">
        <v>0.11646568251352354</v>
      </c>
      <c r="C352">
        <v>7.1027943655214962E-2</v>
      </c>
      <c r="D352">
        <v>-8.2696718803100221E-3</v>
      </c>
      <c r="E352">
        <v>0.29792047444359138</v>
      </c>
      <c r="F352">
        <v>-2.2938980758220259E-2</v>
      </c>
      <c r="G352">
        <v>0.61986931003223489</v>
      </c>
      <c r="H352">
        <v>2.2069349970369984E-2</v>
      </c>
      <c r="I352">
        <v>0.45693026960631772</v>
      </c>
      <c r="J352">
        <v>0.14481807726838594</v>
      </c>
      <c r="L352">
        <v>1.8989957728337234</v>
      </c>
      <c r="M352">
        <v>4.0793764690465153</v>
      </c>
      <c r="N352">
        <v>2.218701927144096</v>
      </c>
      <c r="P352">
        <v>3.9136676793706254E-12</v>
      </c>
      <c r="R352">
        <v>4.4447880023870185</v>
      </c>
      <c r="S352">
        <v>4.4471433415054369</v>
      </c>
      <c r="T352">
        <v>1</v>
      </c>
      <c r="U352">
        <v>1.6886687167142138</v>
      </c>
    </row>
    <row r="353" spans="1:21">
      <c r="A353">
        <v>-1.4466756375482765</v>
      </c>
      <c r="B353">
        <v>0.11540279706621666</v>
      </c>
      <c r="C353">
        <v>7.6310112669641036E-2</v>
      </c>
      <c r="D353">
        <v>-0.30860844946349142</v>
      </c>
      <c r="E353">
        <v>-2.017353441888552E-2</v>
      </c>
      <c r="F353">
        <v>-0.74517920180798791</v>
      </c>
      <c r="G353">
        <v>0.91193980165480404</v>
      </c>
      <c r="H353">
        <v>0.16248663479940764</v>
      </c>
      <c r="I353">
        <v>0.4402277710322301</v>
      </c>
      <c r="J353">
        <v>9.1759977348314314E-2</v>
      </c>
      <c r="L353">
        <v>1.8989957463029248</v>
      </c>
      <c r="M353">
        <v>4.0793764648750486</v>
      </c>
      <c r="N353">
        <v>2.2187019715881928</v>
      </c>
      <c r="P353">
        <v>3.9236496358399381E-12</v>
      </c>
      <c r="R353">
        <v>4.4447880023870185</v>
      </c>
      <c r="S353">
        <v>4.4471433415054369</v>
      </c>
      <c r="T353">
        <v>1</v>
      </c>
      <c r="U353">
        <v>1.6886687167142138</v>
      </c>
    </row>
    <row r="354" spans="1:21">
      <c r="A354">
        <v>-1.4420778181735043</v>
      </c>
      <c r="B354">
        <v>0.11154502845382945</v>
      </c>
      <c r="C354">
        <v>9.030101882725397E-2</v>
      </c>
      <c r="D354">
        <v>-0.5664700745223995</v>
      </c>
      <c r="E354">
        <v>0.22970679116217144</v>
      </c>
      <c r="F354">
        <v>-0.31584899958913593</v>
      </c>
      <c r="G354">
        <v>0.23521850593996765</v>
      </c>
      <c r="H354">
        <v>0.10727547920742445</v>
      </c>
      <c r="I354">
        <v>0.70526099994447966</v>
      </c>
      <c r="J354">
        <v>0.94228634250261101</v>
      </c>
      <c r="L354">
        <v>1.8989957965118889</v>
      </c>
      <c r="M354">
        <v>4.0793764722618056</v>
      </c>
      <c r="N354">
        <v>2.2187018807626888</v>
      </c>
      <c r="P354">
        <v>3.897776483877207E-12</v>
      </c>
      <c r="R354">
        <v>4.4447880023870185</v>
      </c>
      <c r="S354">
        <v>4.4471433415054369</v>
      </c>
      <c r="T354">
        <v>1</v>
      </c>
      <c r="U354">
        <v>1.6886687167142138</v>
      </c>
    </row>
    <row r="355" spans="1:21">
      <c r="A355">
        <v>-1.4400524763033533</v>
      </c>
      <c r="B355">
        <v>0.10848895073384938</v>
      </c>
      <c r="C355">
        <v>7.4867126606450313E-2</v>
      </c>
      <c r="D355">
        <v>0.2709247640433084</v>
      </c>
      <c r="E355">
        <v>0.13216142595165609</v>
      </c>
      <c r="F355">
        <v>-0.26899731874116634</v>
      </c>
      <c r="G355">
        <v>0.20400205858539217</v>
      </c>
      <c r="H355">
        <v>8.8758338644200671E-2</v>
      </c>
      <c r="I355">
        <v>0.79541485223310127</v>
      </c>
      <c r="J355">
        <v>0.74802619152856586</v>
      </c>
      <c r="L355">
        <v>1.898995704645281</v>
      </c>
      <c r="M355">
        <v>4.079376445467382</v>
      </c>
      <c r="N355">
        <v>2.2187020162903139</v>
      </c>
      <c r="P355">
        <v>3.8661098422603241E-12</v>
      </c>
      <c r="R355">
        <v>4.4447880023870185</v>
      </c>
      <c r="S355">
        <v>4.4471433415054369</v>
      </c>
      <c r="T355">
        <v>1</v>
      </c>
      <c r="U355">
        <v>1.6886687167142138</v>
      </c>
    </row>
    <row r="356" spans="1:21">
      <c r="A356">
        <v>-1.4464776567075919</v>
      </c>
      <c r="B356">
        <v>0.11912529474250863</v>
      </c>
      <c r="C356">
        <v>6.3201704456072871E-2</v>
      </c>
      <c r="D356">
        <v>0.48774801942143275</v>
      </c>
      <c r="E356">
        <v>-0.22570056860781326</v>
      </c>
      <c r="F356">
        <v>0.39587818625958943</v>
      </c>
      <c r="G356">
        <v>0.86915443951669158</v>
      </c>
      <c r="H356">
        <v>0.39487173114394397</v>
      </c>
      <c r="I356">
        <v>0.2938936903091281</v>
      </c>
      <c r="J356">
        <v>0.20196835715298495</v>
      </c>
      <c r="L356">
        <v>1.8989958643610858</v>
      </c>
      <c r="M356">
        <v>4.0793765063230634</v>
      </c>
      <c r="N356">
        <v>2.2187017342466042</v>
      </c>
      <c r="P356">
        <v>3.9448880195848111E-12</v>
      </c>
      <c r="R356">
        <v>4.4447880023870185</v>
      </c>
      <c r="S356">
        <v>4.4471433415054369</v>
      </c>
      <c r="T356">
        <v>1</v>
      </c>
      <c r="U356">
        <v>1.6886687167142138</v>
      </c>
    </row>
    <row r="357" spans="1:21">
      <c r="A357">
        <v>-1.4424659873640966</v>
      </c>
      <c r="B357">
        <v>0.12435400694862447</v>
      </c>
      <c r="C357">
        <v>9.608032627247523E-2</v>
      </c>
      <c r="D357">
        <v>-0.96282554831889777</v>
      </c>
      <c r="E357">
        <v>-6.6435768663347841E-2</v>
      </c>
      <c r="F357">
        <v>-0.56893124989464328</v>
      </c>
      <c r="G357">
        <v>0.25902672703879254</v>
      </c>
      <c r="H357">
        <v>0.64905977419924954</v>
      </c>
      <c r="I357">
        <v>0.62364990266281228</v>
      </c>
      <c r="J357">
        <v>0.12671836507498169</v>
      </c>
      <c r="L357">
        <v>1.8989957636592225</v>
      </c>
      <c r="M357">
        <v>4.0793764585736758</v>
      </c>
      <c r="N357">
        <v>2.2187019253505165</v>
      </c>
      <c r="P357">
        <v>3.861305440556205E-12</v>
      </c>
      <c r="R357">
        <v>4.4447880023870185</v>
      </c>
      <c r="S357">
        <v>4.4471433415054369</v>
      </c>
      <c r="T357">
        <v>1</v>
      </c>
      <c r="U357">
        <v>1.6886687167142138</v>
      </c>
    </row>
    <row r="358" spans="1:21">
      <c r="A358">
        <v>-1.4453072050242475</v>
      </c>
      <c r="B358">
        <v>0.1148732942603142</v>
      </c>
      <c r="C358">
        <v>9.7772493781153158E-2</v>
      </c>
      <c r="D358">
        <v>-9.4732017593733966E-2</v>
      </c>
      <c r="E358">
        <v>-0.29880908381195981</v>
      </c>
      <c r="F358">
        <v>-0.24227356261197486</v>
      </c>
      <c r="G358">
        <v>0.37766570884655737</v>
      </c>
      <c r="H358">
        <v>0.75400550464741134</v>
      </c>
      <c r="I358">
        <v>0.10149763101644196</v>
      </c>
      <c r="J358">
        <v>0.92732752015740216</v>
      </c>
      <c r="L358">
        <v>1.8989956144087394</v>
      </c>
      <c r="M358">
        <v>4.0793764132379771</v>
      </c>
      <c r="N358">
        <v>2.2187020775580972</v>
      </c>
      <c r="P358">
        <v>3.7313695496012402E-12</v>
      </c>
      <c r="R358">
        <v>4.4447880023870185</v>
      </c>
      <c r="S358">
        <v>4.4471433415054369</v>
      </c>
      <c r="T358">
        <v>1</v>
      </c>
      <c r="U358">
        <v>1.6886687167142138</v>
      </c>
    </row>
    <row r="359" spans="1:21">
      <c r="A359">
        <v>-1.4416305318092713</v>
      </c>
      <c r="B359">
        <v>0.12173641757755486</v>
      </c>
      <c r="C359">
        <v>7.9674718973317737E-2</v>
      </c>
      <c r="D359">
        <v>0.20871589472609936</v>
      </c>
      <c r="E359">
        <v>8.9185690384908908E-2</v>
      </c>
      <c r="F359">
        <v>0.37297542804754164</v>
      </c>
      <c r="G359">
        <v>0.45074363565486808</v>
      </c>
      <c r="H359">
        <v>0.93349685842685071</v>
      </c>
      <c r="I359">
        <v>0.8952647516039598</v>
      </c>
      <c r="J359">
        <v>0.61489382382761559</v>
      </c>
      <c r="L359">
        <v>1.8989959137322709</v>
      </c>
      <c r="M359">
        <v>4.0793765925409433</v>
      </c>
      <c r="N359">
        <v>2.2187015827274892</v>
      </c>
      <c r="P359">
        <v>4.1750087201430786E-12</v>
      </c>
      <c r="R359">
        <v>4.4447880023870185</v>
      </c>
      <c r="S359">
        <v>4.4471433415054369</v>
      </c>
      <c r="T359">
        <v>1</v>
      </c>
      <c r="U359">
        <v>1.6886687167142138</v>
      </c>
    </row>
    <row r="360" spans="1:21">
      <c r="A360">
        <v>-1.4442489311694373</v>
      </c>
      <c r="B360">
        <v>0.11227097068699375</v>
      </c>
      <c r="C360">
        <v>6.3998460007256092E-2</v>
      </c>
      <c r="D360">
        <v>0.57019342842526943</v>
      </c>
      <c r="E360">
        <v>-0.39397361368333444</v>
      </c>
      <c r="F360">
        <v>0.51777176501682121</v>
      </c>
      <c r="G360">
        <v>0.66028642958319217</v>
      </c>
      <c r="H360">
        <v>0.14425052928527382</v>
      </c>
      <c r="I360">
        <v>0.24547604521458524</v>
      </c>
      <c r="J360">
        <v>0.75538225793902736</v>
      </c>
      <c r="L360">
        <v>1.8989959162795627</v>
      </c>
      <c r="M360">
        <v>4.0793765842682941</v>
      </c>
      <c r="N360">
        <v>2.2187015851503329</v>
      </c>
      <c r="P360">
        <v>4.154820632371125E-12</v>
      </c>
      <c r="R360">
        <v>4.4447880023870185</v>
      </c>
      <c r="S360">
        <v>4.4471433415054369</v>
      </c>
      <c r="T360">
        <v>1</v>
      </c>
      <c r="U360">
        <v>1.6886687167142138</v>
      </c>
    </row>
    <row r="361" spans="1:21">
      <c r="A361">
        <v>-1.4154491556875224</v>
      </c>
      <c r="B361">
        <v>0.11605282683613129</v>
      </c>
      <c r="C361">
        <v>2.9909485288019462E-2</v>
      </c>
      <c r="D361">
        <v>-0.33238407772460049</v>
      </c>
      <c r="E361">
        <v>-0.18260698104091777</v>
      </c>
      <c r="F361">
        <v>0.19231450399510053</v>
      </c>
      <c r="G361">
        <v>0.49874802483630232</v>
      </c>
      <c r="H361">
        <v>0.25517692261580582</v>
      </c>
      <c r="I361">
        <v>0.38226013007123827</v>
      </c>
      <c r="J361">
        <v>1.0001040712313527</v>
      </c>
      <c r="L361">
        <v>1.8989964836754671</v>
      </c>
      <c r="M361">
        <v>3.6314530182688527</v>
      </c>
      <c r="N361">
        <v>2.218701772333425</v>
      </c>
      <c r="P361">
        <v>4.4136584991833299E-12</v>
      </c>
      <c r="R361">
        <v>4.5839562477202325</v>
      </c>
      <c r="S361">
        <v>4.5861496106463111</v>
      </c>
      <c r="T361">
        <v>1</v>
      </c>
      <c r="U361">
        <v>1.9595875542164909</v>
      </c>
    </row>
    <row r="362" spans="1:21">
      <c r="A362">
        <v>-1.4227611353131084</v>
      </c>
      <c r="B362">
        <v>0.10776586448301879</v>
      </c>
      <c r="C362">
        <v>2.8389334718844896E-2</v>
      </c>
      <c r="D362">
        <v>0.4159619665180172</v>
      </c>
      <c r="E362">
        <v>0.28025130037350876</v>
      </c>
      <c r="F362">
        <v>-0.87773162995029375</v>
      </c>
      <c r="G362">
        <v>0.94521700957101873</v>
      </c>
      <c r="H362">
        <v>0.16699393976452709</v>
      </c>
      <c r="I362">
        <v>0.69053105016400262</v>
      </c>
      <c r="J362">
        <v>0.52951231868641235</v>
      </c>
      <c r="L362">
        <v>1.8989966295780507</v>
      </c>
      <c r="M362">
        <v>3.6314531214409258</v>
      </c>
      <c r="N362">
        <v>2.2187013244436251</v>
      </c>
      <c r="P362">
        <v>4.7991913715273955E-12</v>
      </c>
      <c r="R362">
        <v>4.5839562477202325</v>
      </c>
      <c r="S362">
        <v>4.5861496106463111</v>
      </c>
      <c r="T362">
        <v>1</v>
      </c>
      <c r="U362">
        <v>1.9595875542164909</v>
      </c>
    </row>
    <row r="363" spans="1:21">
      <c r="A363">
        <v>-1.4055826934214508</v>
      </c>
      <c r="B363">
        <v>0.12289445301338683</v>
      </c>
      <c r="C363">
        <v>4.1913695619049856E-3</v>
      </c>
      <c r="D363">
        <v>-0.30676135907375979</v>
      </c>
      <c r="E363">
        <v>-0.4603247537193228</v>
      </c>
      <c r="F363">
        <v>0.3556698190258385</v>
      </c>
      <c r="G363">
        <v>0.19131591658354805</v>
      </c>
      <c r="H363">
        <v>9.2685469516136848E-2</v>
      </c>
      <c r="I363">
        <v>0.94924265373886585</v>
      </c>
      <c r="J363">
        <v>0.23112212210558056</v>
      </c>
      <c r="L363">
        <v>1.8989965819508929</v>
      </c>
      <c r="M363">
        <v>3.6314529987587987</v>
      </c>
      <c r="N363">
        <v>2.2187016174407495</v>
      </c>
      <c r="P363">
        <v>4.5305186812609575E-12</v>
      </c>
      <c r="R363">
        <v>4.5839562477202325</v>
      </c>
      <c r="S363">
        <v>4.5861496106463111</v>
      </c>
      <c r="T363">
        <v>1</v>
      </c>
      <c r="U363">
        <v>1.9595875542164909</v>
      </c>
    </row>
    <row r="364" spans="1:21">
      <c r="A364">
        <v>-1.4207958546110759</v>
      </c>
      <c r="B364">
        <v>0.1140078694688933</v>
      </c>
      <c r="C364">
        <v>3.7179317828250381E-2</v>
      </c>
      <c r="D364">
        <v>-0.26497434931485192</v>
      </c>
      <c r="E364">
        <v>0.43023741115362002</v>
      </c>
      <c r="F364">
        <v>-0.45429094379630391</v>
      </c>
      <c r="G364">
        <v>0.76946615447847688</v>
      </c>
      <c r="H364">
        <v>0.31480590187407992</v>
      </c>
      <c r="I364">
        <v>0.52104982547078738</v>
      </c>
      <c r="J364">
        <v>0.74857336028017796</v>
      </c>
      <c r="L364">
        <v>1.8989957147396685</v>
      </c>
      <c r="M364">
        <v>3.6314530400837333</v>
      </c>
      <c r="N364">
        <v>2.2187020514166784</v>
      </c>
      <c r="P364">
        <v>2.9606236422160516E-12</v>
      </c>
      <c r="R364">
        <v>4.5839562477202325</v>
      </c>
      <c r="S364">
        <v>4.5861496106463111</v>
      </c>
      <c r="T364">
        <v>1</v>
      </c>
      <c r="U364">
        <v>1.9595875542164909</v>
      </c>
    </row>
    <row r="365" spans="1:21">
      <c r="A365">
        <v>-1.4179977437541456</v>
      </c>
      <c r="B365">
        <v>0.114752244195842</v>
      </c>
      <c r="C365">
        <v>3.8889401864277681E-2</v>
      </c>
      <c r="D365">
        <v>0.16300977506807038</v>
      </c>
      <c r="E365">
        <v>0.23467973585648111</v>
      </c>
      <c r="F365">
        <v>-3.771546110271934E-4</v>
      </c>
      <c r="G365">
        <v>0.28200586367806368</v>
      </c>
      <c r="H365">
        <v>0.52874876410506477</v>
      </c>
      <c r="I365">
        <v>0.22224862773862883</v>
      </c>
      <c r="J365">
        <v>0.90702365352563274</v>
      </c>
      <c r="L365">
        <v>1.8989963463706312</v>
      </c>
      <c r="M365">
        <v>3.631452997375257</v>
      </c>
      <c r="N365">
        <v>2.218701851916661</v>
      </c>
      <c r="P365">
        <v>4.04060946706314E-12</v>
      </c>
      <c r="R365">
        <v>4.5839562477202325</v>
      </c>
      <c r="S365">
        <v>4.5861496106463111</v>
      </c>
      <c r="T365">
        <v>1</v>
      </c>
      <c r="U365">
        <v>1.9595875542164909</v>
      </c>
    </row>
    <row r="366" spans="1:21">
      <c r="A366">
        <v>-1.4262832240572199</v>
      </c>
      <c r="B366">
        <v>0.10739544045429801</v>
      </c>
      <c r="C366">
        <v>3.2547080032048689E-2</v>
      </c>
      <c r="D366">
        <v>0.48027839339935069</v>
      </c>
      <c r="E366">
        <v>0.28495646427680682</v>
      </c>
      <c r="F366">
        <v>-0.32640069166589125</v>
      </c>
      <c r="G366">
        <v>0.80504760964602873</v>
      </c>
      <c r="H366">
        <v>6.5467721814939945E-3</v>
      </c>
      <c r="I366">
        <v>2.0373549554408239E-2</v>
      </c>
      <c r="J366">
        <v>0.74040473215123503</v>
      </c>
      <c r="L366">
        <v>1.898994949117504</v>
      </c>
      <c r="M366">
        <v>3.6314534395626334</v>
      </c>
      <c r="N366">
        <v>2.2187018793321851</v>
      </c>
      <c r="P366">
        <v>3.0248194140716481E-12</v>
      </c>
      <c r="R366">
        <v>4.5839562477202325</v>
      </c>
      <c r="S366">
        <v>4.5861496106463111</v>
      </c>
      <c r="T366">
        <v>1</v>
      </c>
      <c r="U366">
        <v>1.9595875542164909</v>
      </c>
    </row>
    <row r="367" spans="1:21">
      <c r="A367">
        <v>-1.4136061686284416</v>
      </c>
      <c r="B367">
        <v>0.11735097560822849</v>
      </c>
      <c r="C367">
        <v>3.6131015497053082E-2</v>
      </c>
      <c r="D367">
        <v>5.6321542337237879E-2</v>
      </c>
      <c r="E367">
        <v>-0.49865846508795647</v>
      </c>
      <c r="F367">
        <v>-0.76358390063394066</v>
      </c>
      <c r="G367">
        <v>0.49832419591033172</v>
      </c>
      <c r="H367">
        <v>0.93156274202889466</v>
      </c>
      <c r="I367">
        <v>0.26933265653780813</v>
      </c>
      <c r="J367">
        <v>0.56956757242304779</v>
      </c>
      <c r="L367">
        <v>1.8989966276854768</v>
      </c>
      <c r="M367">
        <v>3.6314530544990213</v>
      </c>
      <c r="N367">
        <v>2.2187016186315041</v>
      </c>
      <c r="P367">
        <v>4.8220840456532163E-12</v>
      </c>
      <c r="R367">
        <v>4.5839562477202325</v>
      </c>
      <c r="S367">
        <v>4.5861496106463111</v>
      </c>
      <c r="T367">
        <v>1</v>
      </c>
      <c r="U367">
        <v>1.9595875542164909</v>
      </c>
    </row>
    <row r="368" spans="1:21">
      <c r="A368">
        <v>-1.4171454878700085</v>
      </c>
      <c r="B368">
        <v>0.11487499332904601</v>
      </c>
      <c r="C368">
        <v>2.8791515181805557E-2</v>
      </c>
      <c r="D368">
        <v>-8.9381971747468217E-2</v>
      </c>
      <c r="E368">
        <v>-0.48378909481155014</v>
      </c>
      <c r="F368">
        <v>-0.59119538065871013</v>
      </c>
      <c r="G368">
        <v>0.92633224601336039</v>
      </c>
      <c r="H368">
        <v>0.53167204782582878</v>
      </c>
      <c r="I368">
        <v>0.35217063200406495</v>
      </c>
      <c r="J368">
        <v>0.68119067323801474</v>
      </c>
      <c r="L368">
        <v>1.8989954361610382</v>
      </c>
      <c r="M368">
        <v>3.6314535158845338</v>
      </c>
      <c r="N368">
        <v>2.2187016700852595</v>
      </c>
      <c r="P368">
        <v>3.3475034263865821E-12</v>
      </c>
      <c r="R368">
        <v>4.5839562477202325</v>
      </c>
      <c r="S368">
        <v>4.5861496106463111</v>
      </c>
      <c r="T368">
        <v>1</v>
      </c>
      <c r="U368">
        <v>1.9595875542164909</v>
      </c>
    </row>
    <row r="369" spans="1:21">
      <c r="A369">
        <v>-1.4089821984493396</v>
      </c>
      <c r="B369">
        <v>0.12966515567191039</v>
      </c>
      <c r="C369">
        <v>1.6682176876588087E-2</v>
      </c>
      <c r="D369">
        <v>-0.21418758598841689</v>
      </c>
      <c r="E369">
        <v>0.15197071878077548</v>
      </c>
      <c r="F369">
        <v>0.48190907299295366</v>
      </c>
      <c r="G369">
        <v>0.32181714537690359</v>
      </c>
      <c r="H369">
        <v>0.80502097819744189</v>
      </c>
      <c r="I369">
        <v>0.64856694251253766</v>
      </c>
      <c r="J369">
        <v>0.18846745933246761</v>
      </c>
      <c r="L369">
        <v>1.8989965470533026</v>
      </c>
      <c r="M369">
        <v>3.6314530139627048</v>
      </c>
      <c r="N369">
        <v>2.2187017129202373</v>
      </c>
      <c r="P369">
        <v>4.5446059606128016E-12</v>
      </c>
      <c r="R369">
        <v>4.5839562477202325</v>
      </c>
      <c r="S369">
        <v>4.5861496106463111</v>
      </c>
      <c r="T369">
        <v>1</v>
      </c>
      <c r="U369">
        <v>1.9595875542164909</v>
      </c>
    </row>
    <row r="370" spans="1:21">
      <c r="A370">
        <v>-1.4152816017561347</v>
      </c>
      <c r="B370">
        <v>0.11765452653963594</v>
      </c>
      <c r="C370">
        <v>1.6714584045839444E-2</v>
      </c>
      <c r="D370">
        <v>0.15247231427752392</v>
      </c>
      <c r="E370">
        <v>-6.3468474216643325E-2</v>
      </c>
      <c r="F370">
        <v>-0.20970587706365629</v>
      </c>
      <c r="G370">
        <v>0.87496133779090735</v>
      </c>
      <c r="H370">
        <v>0.47878886258784481</v>
      </c>
      <c r="I370">
        <v>0.82908027316660038</v>
      </c>
      <c r="J370">
        <v>0.44620555805535822</v>
      </c>
      <c r="L370">
        <v>1.8989964418732419</v>
      </c>
      <c r="M370">
        <v>3.6314529985996078</v>
      </c>
      <c r="N370">
        <v>2.2187017876692527</v>
      </c>
      <c r="P370">
        <v>4.2528332262801884E-12</v>
      </c>
      <c r="R370">
        <v>4.5839562477202325</v>
      </c>
      <c r="S370">
        <v>4.5861496106463111</v>
      </c>
      <c r="T370">
        <v>1</v>
      </c>
      <c r="U370">
        <v>1.9595875542164909</v>
      </c>
    </row>
    <row r="371" spans="1:21">
      <c r="A371">
        <v>-1.4711279929587586</v>
      </c>
      <c r="B371">
        <v>-8.6373759787748902E-2</v>
      </c>
      <c r="C371">
        <v>1.5985817076388262</v>
      </c>
      <c r="D371">
        <v>4.3552906936185701E-2</v>
      </c>
      <c r="E371">
        <v>0.96501064507379986</v>
      </c>
      <c r="F371">
        <v>-0.25215193463601099</v>
      </c>
      <c r="G371">
        <v>0</v>
      </c>
      <c r="H371">
        <v>0.77097117446556385</v>
      </c>
      <c r="I371">
        <v>0</v>
      </c>
      <c r="J371">
        <v>0.72336754403806036</v>
      </c>
      <c r="L371">
        <v>0.67242062399905556</v>
      </c>
      <c r="M371">
        <v>4.0790770109612042</v>
      </c>
      <c r="N371">
        <v>3.6317401439639725</v>
      </c>
      <c r="P371">
        <v>2.8634296864599293E-7</v>
      </c>
      <c r="R371">
        <v>67.763996770762134</v>
      </c>
      <c r="S371">
        <v>77.784722012998088</v>
      </c>
      <c r="T371">
        <v>1</v>
      </c>
      <c r="U371">
        <v>1.9509759135692184</v>
      </c>
    </row>
    <row r="372" spans="1:21">
      <c r="A372">
        <v>-1.4699589663412831</v>
      </c>
      <c r="B372">
        <v>-9.3540797570582451E-2</v>
      </c>
      <c r="C372">
        <v>1.8813599177160745</v>
      </c>
      <c r="D372">
        <v>0.44698331158696464</v>
      </c>
      <c r="E372">
        <v>-9.2818308360506543E-2</v>
      </c>
      <c r="F372">
        <v>-0.3357233757436649</v>
      </c>
      <c r="G372">
        <v>0</v>
      </c>
      <c r="H372">
        <v>0.90966698948233882</v>
      </c>
      <c r="I372">
        <v>0.26123390314106637</v>
      </c>
      <c r="J372">
        <v>0.57932417321506147</v>
      </c>
      <c r="L372">
        <v>0.67208440963524818</v>
      </c>
      <c r="M372">
        <v>4.079374221204267</v>
      </c>
      <c r="N372">
        <v>3.6314535861025128</v>
      </c>
      <c r="P372">
        <v>8.0871901329165438E-12</v>
      </c>
      <c r="R372">
        <v>67.763996770762134</v>
      </c>
      <c r="S372">
        <v>77.784722012998088</v>
      </c>
      <c r="T372">
        <v>1</v>
      </c>
      <c r="U372">
        <v>1.9509759135692184</v>
      </c>
    </row>
    <row r="373" spans="1:21">
      <c r="A373">
        <v>-1.4652592900452812</v>
      </c>
      <c r="B373">
        <v>-7.0390431725128932E-2</v>
      </c>
      <c r="C373">
        <v>1.3927367577223955</v>
      </c>
      <c r="D373">
        <v>-0.30033055110828216</v>
      </c>
      <c r="E373">
        <v>9.8409795527603691E-2</v>
      </c>
      <c r="F373">
        <v>-1.459466060676087E-2</v>
      </c>
      <c r="G373">
        <v>0</v>
      </c>
      <c r="H373">
        <v>0.90726849138462484</v>
      </c>
      <c r="I373">
        <v>0</v>
      </c>
      <c r="J373">
        <v>0.89087775528674717</v>
      </c>
      <c r="L373">
        <v>0.66448492717148477</v>
      </c>
      <c r="M373">
        <v>4.0860741365575031</v>
      </c>
      <c r="N373">
        <v>3.625071959601827</v>
      </c>
      <c r="P373">
        <v>1.4330220132370133E-4</v>
      </c>
      <c r="R373">
        <v>67.763996770762134</v>
      </c>
      <c r="S373">
        <v>77.784722012998088</v>
      </c>
      <c r="T373">
        <v>1</v>
      </c>
      <c r="U373">
        <v>1.9509759135692184</v>
      </c>
    </row>
    <row r="374" spans="1:21">
      <c r="A374">
        <v>-1.4678875215574632</v>
      </c>
      <c r="B374">
        <v>-7.1836607500622027E-2</v>
      </c>
      <c r="C374">
        <v>1.4327065552849794</v>
      </c>
      <c r="D374">
        <v>-0.30070944708292752</v>
      </c>
      <c r="E374">
        <v>0.95956242272003267</v>
      </c>
      <c r="F374">
        <v>-0.92547647364565999</v>
      </c>
      <c r="G374">
        <v>0.30589468769845157</v>
      </c>
      <c r="H374">
        <v>1.3712781206177949</v>
      </c>
      <c r="I374">
        <v>0.27496158293036538</v>
      </c>
      <c r="J374">
        <v>0.33514970655305304</v>
      </c>
      <c r="L374">
        <v>0.67208319901249425</v>
      </c>
      <c r="M374">
        <v>4.079373940961271</v>
      </c>
      <c r="N374">
        <v>3.6314529970300859</v>
      </c>
      <c r="P374">
        <v>3.1120877431542337E-12</v>
      </c>
      <c r="R374">
        <v>67.763996770762134</v>
      </c>
      <c r="S374">
        <v>77.784722012998088</v>
      </c>
      <c r="T374">
        <v>1</v>
      </c>
      <c r="U374">
        <v>1.9509759135692184</v>
      </c>
    </row>
    <row r="375" spans="1:21">
      <c r="A375">
        <v>-1.4723055590833554</v>
      </c>
      <c r="B375">
        <v>-9.9455504269658837E-2</v>
      </c>
      <c r="C375">
        <v>1.8990214731393329</v>
      </c>
      <c r="D375">
        <v>-7.2777509141289956E-2</v>
      </c>
      <c r="E375">
        <v>0.13563694928236472</v>
      </c>
      <c r="F375">
        <v>-0.31873722501811363</v>
      </c>
      <c r="G375">
        <v>0.30045337881940776</v>
      </c>
      <c r="H375">
        <v>0.47386640974356453</v>
      </c>
      <c r="I375">
        <v>0.32854207722726458</v>
      </c>
      <c r="J375">
        <v>0.88544436077364841</v>
      </c>
      <c r="L375">
        <v>0.67208318068301853</v>
      </c>
      <c r="M375">
        <v>4.0793739510585594</v>
      </c>
      <c r="N375">
        <v>3.6314529870935051</v>
      </c>
      <c r="P375">
        <v>3.0358694490555812E-12</v>
      </c>
      <c r="R375">
        <v>67.763996770762134</v>
      </c>
      <c r="S375">
        <v>77.784722012998088</v>
      </c>
      <c r="T375">
        <v>1</v>
      </c>
      <c r="U375">
        <v>1.9509759135692184</v>
      </c>
    </row>
    <row r="376" spans="1:21">
      <c r="A376">
        <v>-1.473778592210061</v>
      </c>
      <c r="B376">
        <v>-0.10128883677594105</v>
      </c>
      <c r="C376">
        <v>2.0582701255632569</v>
      </c>
      <c r="D376">
        <v>-5.311871432992378E-2</v>
      </c>
      <c r="E376">
        <v>0.19634777197565981</v>
      </c>
      <c r="F376">
        <v>0.29422762521174006</v>
      </c>
      <c r="G376">
        <v>1.1010108898170572E-3</v>
      </c>
      <c r="H376">
        <v>0.63376117528104392</v>
      </c>
      <c r="I376">
        <v>0.21369422026307255</v>
      </c>
      <c r="J376">
        <v>1.1469662690573657</v>
      </c>
      <c r="L376">
        <v>0.68020102052936693</v>
      </c>
      <c r="M376">
        <v>4.0742574051222062</v>
      </c>
      <c r="N376">
        <v>3.6393462300213906</v>
      </c>
      <c r="P376">
        <v>1.5442422756698794E-4</v>
      </c>
      <c r="R376">
        <v>67.763996770762134</v>
      </c>
      <c r="S376">
        <v>77.784722012998088</v>
      </c>
      <c r="T376">
        <v>1</v>
      </c>
      <c r="U376">
        <v>1.9509759135692184</v>
      </c>
    </row>
    <row r="377" spans="1:21">
      <c r="A377">
        <v>-1.4694349588894011</v>
      </c>
      <c r="B377">
        <v>-7.6149789150877306E-2</v>
      </c>
      <c r="C377">
        <v>1.491134783560869</v>
      </c>
      <c r="D377">
        <v>-0.61092006293339318</v>
      </c>
      <c r="E377">
        <v>0.26012593181742305</v>
      </c>
      <c r="F377">
        <v>-0.23458834359402386</v>
      </c>
      <c r="G377">
        <v>0.65332039979108558</v>
      </c>
      <c r="H377">
        <v>1.2260835189121617</v>
      </c>
      <c r="I377">
        <v>0</v>
      </c>
      <c r="J377">
        <v>1.2375901479233142</v>
      </c>
      <c r="L377">
        <v>0.6720824008898163</v>
      </c>
      <c r="M377">
        <v>4.0793760807492214</v>
      </c>
      <c r="N377">
        <v>3.63145299943415</v>
      </c>
      <c r="P377">
        <v>2.6771811043786878E-12</v>
      </c>
      <c r="R377">
        <v>67.763996770762134</v>
      </c>
      <c r="S377">
        <v>77.784722012998088</v>
      </c>
      <c r="T377">
        <v>1</v>
      </c>
      <c r="U377">
        <v>1.9509759135692184</v>
      </c>
    </row>
    <row r="378" spans="1:21">
      <c r="A378">
        <v>-1.468867456284392</v>
      </c>
      <c r="B378">
        <v>-8.6428181341861157E-2</v>
      </c>
      <c r="C378">
        <v>1.5019037378632545</v>
      </c>
      <c r="D378">
        <v>-1.3830464195297858E-2</v>
      </c>
      <c r="E378">
        <v>0.66582647738481249</v>
      </c>
      <c r="F378">
        <v>-0.80586350011192187</v>
      </c>
      <c r="G378">
        <v>0.27773057185407712</v>
      </c>
      <c r="H378">
        <v>0.88161203359054141</v>
      </c>
      <c r="I378">
        <v>0</v>
      </c>
      <c r="J378">
        <v>1.0633290693595028</v>
      </c>
      <c r="L378">
        <v>0.67208453369255106</v>
      </c>
      <c r="M378">
        <v>4.0793759677272883</v>
      </c>
      <c r="N378">
        <v>3.6314539431524393</v>
      </c>
      <c r="P378">
        <v>1.0641003390580855E-11</v>
      </c>
      <c r="R378">
        <v>67.763996770762134</v>
      </c>
      <c r="S378">
        <v>77.784722012998088</v>
      </c>
      <c r="T378">
        <v>1</v>
      </c>
      <c r="U378">
        <v>1.9509759135692184</v>
      </c>
    </row>
    <row r="379" spans="1:21">
      <c r="A379">
        <v>-1.4719453850425315</v>
      </c>
      <c r="B379">
        <v>-7.8573034238619166E-2</v>
      </c>
      <c r="C379">
        <v>1.7612435098678232</v>
      </c>
      <c r="D379">
        <v>2.3887014800521342E-2</v>
      </c>
      <c r="E379">
        <v>0.30957552499501195</v>
      </c>
      <c r="F379">
        <v>0.31934513344066406</v>
      </c>
      <c r="G379">
        <v>0.18649225996517196</v>
      </c>
      <c r="H379">
        <v>1.5893025538938013</v>
      </c>
      <c r="I379">
        <v>8.7036052456702215E-5</v>
      </c>
      <c r="J379">
        <v>0.66048400089902992</v>
      </c>
      <c r="L379">
        <v>0.6775361852105859</v>
      </c>
      <c r="M379">
        <v>4.0750755383752999</v>
      </c>
      <c r="N379">
        <v>3.635914873760127</v>
      </c>
      <c r="P379">
        <v>6.8148412953202733E-5</v>
      </c>
      <c r="R379">
        <v>67.763996770762134</v>
      </c>
      <c r="S379">
        <v>77.784722012998088</v>
      </c>
      <c r="T379">
        <v>1</v>
      </c>
      <c r="U379">
        <v>1.9509759135692184</v>
      </c>
    </row>
    <row r="380" spans="1:21">
      <c r="A380">
        <v>-1.4656049710268406</v>
      </c>
      <c r="B380">
        <v>-8.1299692953441319E-2</v>
      </c>
      <c r="C380">
        <v>1.4458126373790043</v>
      </c>
      <c r="D380">
        <v>-0.45822343253429948</v>
      </c>
      <c r="E380">
        <v>0.42456308409894628</v>
      </c>
      <c r="F380">
        <v>-1.0735686732522938</v>
      </c>
      <c r="G380">
        <v>9.7664442309596991E-2</v>
      </c>
      <c r="H380">
        <v>0.72134856110756007</v>
      </c>
      <c r="I380">
        <v>0</v>
      </c>
      <c r="J380">
        <v>0.9342085901735433</v>
      </c>
      <c r="L380">
        <v>0.67208394955546935</v>
      </c>
      <c r="M380">
        <v>4.0793743062649197</v>
      </c>
      <c r="N380">
        <v>3.6314523664774452</v>
      </c>
      <c r="P380">
        <v>3.4977557211499854E-12</v>
      </c>
      <c r="R380">
        <v>67.763996770762134</v>
      </c>
      <c r="S380">
        <v>77.784722012998088</v>
      </c>
      <c r="T380">
        <v>1</v>
      </c>
      <c r="U380">
        <v>1.9509759135692184</v>
      </c>
    </row>
    <row r="381" spans="1:21">
      <c r="A381">
        <v>-1.4170489337205741</v>
      </c>
      <c r="B381">
        <v>-8.3040019489505373E-2</v>
      </c>
      <c r="C381">
        <v>-0.34184982954065141</v>
      </c>
      <c r="D381">
        <v>0.21141062357906751</v>
      </c>
      <c r="E381">
        <v>-8.8762555803814883E-2</v>
      </c>
      <c r="F381">
        <v>-1.047682945456955E-3</v>
      </c>
      <c r="G381">
        <v>0.47534189861968762</v>
      </c>
      <c r="H381">
        <v>0.87907651135436149</v>
      </c>
      <c r="I381">
        <v>0.51436035141993708</v>
      </c>
      <c r="J381">
        <v>0.42136059843759049</v>
      </c>
      <c r="L381">
        <v>0.67208125806813457</v>
      </c>
      <c r="M381">
        <v>4.0793763463070443</v>
      </c>
      <c r="N381">
        <v>2.2186998699523528</v>
      </c>
      <c r="P381">
        <v>4.6733416926901429E-12</v>
      </c>
      <c r="R381">
        <v>8.9570652746343455</v>
      </c>
      <c r="S381">
        <v>8.9880513431210201</v>
      </c>
      <c r="T381">
        <v>1</v>
      </c>
      <c r="U381">
        <v>1.685708238758526</v>
      </c>
    </row>
    <row r="382" spans="1:21">
      <c r="A382">
        <v>-1.4143068364367013</v>
      </c>
      <c r="B382">
        <v>-9.3834997076648247E-2</v>
      </c>
      <c r="C382">
        <v>-0.37478821121220746</v>
      </c>
      <c r="D382">
        <v>3.1805259983583439E-2</v>
      </c>
      <c r="E382">
        <v>0.18656431812073931</v>
      </c>
      <c r="F382">
        <v>-0.20807693240717196</v>
      </c>
      <c r="G382">
        <v>0.52217829202565635</v>
      </c>
      <c r="H382">
        <v>0.30669248533513199</v>
      </c>
      <c r="I382">
        <v>0.8683684631242905</v>
      </c>
      <c r="J382">
        <v>3.4861003308768276E-2</v>
      </c>
      <c r="L382">
        <v>0.67208072482696724</v>
      </c>
      <c r="M382">
        <v>4.0793761796860126</v>
      </c>
      <c r="N382">
        <v>2.2187004659455232</v>
      </c>
      <c r="P382">
        <v>4.4026059714039382E-12</v>
      </c>
      <c r="R382">
        <v>8.9570652746343455</v>
      </c>
      <c r="S382">
        <v>8.9880513431210201</v>
      </c>
      <c r="T382">
        <v>1</v>
      </c>
      <c r="U382">
        <v>1.685708238758526</v>
      </c>
    </row>
    <row r="383" spans="1:21">
      <c r="A383">
        <v>-1.4102996904109832</v>
      </c>
      <c r="B383">
        <v>-9.993068103281541E-2</v>
      </c>
      <c r="C383">
        <v>-0.38555792287011087</v>
      </c>
      <c r="D383">
        <v>9.4772691774340972E-2</v>
      </c>
      <c r="E383">
        <v>-0.23825101827551876</v>
      </c>
      <c r="F383">
        <v>-0.13756034605820752</v>
      </c>
      <c r="G383">
        <v>0.45911044946729818</v>
      </c>
      <c r="H383">
        <v>7.647736032492447E-2</v>
      </c>
      <c r="I383">
        <v>0.95163048245110771</v>
      </c>
      <c r="J383">
        <v>0.33536507757013928</v>
      </c>
      <c r="L383">
        <v>0.67208080933150194</v>
      </c>
      <c r="M383">
        <v>4.0793761878564156</v>
      </c>
      <c r="N383">
        <v>2.2187003388338646</v>
      </c>
      <c r="P383">
        <v>4.3610355490195099E-12</v>
      </c>
      <c r="R383">
        <v>8.9570652746343455</v>
      </c>
      <c r="S383">
        <v>8.9880513431210201</v>
      </c>
      <c r="T383">
        <v>1</v>
      </c>
      <c r="U383">
        <v>1.685708238758526</v>
      </c>
    </row>
    <row r="384" spans="1:21">
      <c r="A384">
        <v>-1.4190501924643411</v>
      </c>
      <c r="B384">
        <v>-9.1683013615047826E-2</v>
      </c>
      <c r="C384">
        <v>-0.34350177835964762</v>
      </c>
      <c r="D384">
        <v>7.6117856772302331E-2</v>
      </c>
      <c r="E384">
        <v>0.14647311618689154</v>
      </c>
      <c r="F384">
        <v>-0.17642866749037225</v>
      </c>
      <c r="G384">
        <v>0.52517557014628413</v>
      </c>
      <c r="H384">
        <v>0.37989807444386053</v>
      </c>
      <c r="I384">
        <v>0.36031315539563646</v>
      </c>
      <c r="J384">
        <v>0.68861573122783681</v>
      </c>
      <c r="L384">
        <v>0.67208075769980202</v>
      </c>
      <c r="M384">
        <v>4.0793762398952262</v>
      </c>
      <c r="N384">
        <v>2.218700355137412</v>
      </c>
      <c r="P384">
        <v>4.6224077704455401E-12</v>
      </c>
      <c r="R384">
        <v>8.9570652746343455</v>
      </c>
      <c r="S384">
        <v>8.9880513431210201</v>
      </c>
      <c r="T384">
        <v>1</v>
      </c>
      <c r="U384">
        <v>1.685708238758526</v>
      </c>
    </row>
    <row r="385" spans="1:21">
      <c r="A385">
        <v>-1.4185582719095919</v>
      </c>
      <c r="B385">
        <v>-9.1446569969749203E-2</v>
      </c>
      <c r="C385">
        <v>-0.35693760448623646</v>
      </c>
      <c r="D385">
        <v>0.1094601029762014</v>
      </c>
      <c r="E385">
        <v>0.48925583396032923</v>
      </c>
      <c r="F385">
        <v>0.26626202426410128</v>
      </c>
      <c r="G385">
        <v>0.68537253923598429</v>
      </c>
      <c r="H385">
        <v>0.52539522711996967</v>
      </c>
      <c r="I385">
        <v>0.72912174862608647</v>
      </c>
      <c r="J385">
        <v>0.6835705782506224</v>
      </c>
      <c r="L385">
        <v>0.67208084329218476</v>
      </c>
      <c r="M385">
        <v>4.0793762935972939</v>
      </c>
      <c r="N385">
        <v>2.2187002416315997</v>
      </c>
      <c r="P385">
        <v>4.7117760840149723E-12</v>
      </c>
      <c r="R385">
        <v>8.9570652746343455</v>
      </c>
      <c r="S385">
        <v>8.9880513431210201</v>
      </c>
      <c r="T385">
        <v>1</v>
      </c>
      <c r="U385">
        <v>1.685708238758526</v>
      </c>
    </row>
    <row r="386" spans="1:21">
      <c r="A386">
        <v>-1.4158073751962412</v>
      </c>
      <c r="B386">
        <v>-8.5243502898584761E-2</v>
      </c>
      <c r="C386">
        <v>-0.35145080948865126</v>
      </c>
      <c r="D386">
        <v>0.54568460563683296</v>
      </c>
      <c r="E386">
        <v>3.2257619806397214E-2</v>
      </c>
      <c r="F386">
        <v>0.71283013908585313</v>
      </c>
      <c r="G386">
        <v>0.47662697369798535</v>
      </c>
      <c r="H386">
        <v>1.0092793537088605</v>
      </c>
      <c r="I386">
        <v>0.70171410528341815</v>
      </c>
      <c r="J386">
        <v>0.83527657784055886</v>
      </c>
      <c r="L386">
        <v>0.67208088023249857</v>
      </c>
      <c r="M386">
        <v>4.0793763250307169</v>
      </c>
      <c r="N386">
        <v>2.2187001974968643</v>
      </c>
      <c r="P386">
        <v>4.778726027254076E-12</v>
      </c>
      <c r="R386">
        <v>8.9570652746343455</v>
      </c>
      <c r="S386">
        <v>8.9880513431210201</v>
      </c>
      <c r="T386">
        <v>1</v>
      </c>
      <c r="U386">
        <v>1.685708238758526</v>
      </c>
    </row>
    <row r="387" spans="1:21">
      <c r="A387">
        <v>-1.4208015871261837</v>
      </c>
      <c r="B387">
        <v>-6.7662421286904376E-2</v>
      </c>
      <c r="C387">
        <v>-0.29507198972725346</v>
      </c>
      <c r="D387">
        <v>-0.78717994280050974</v>
      </c>
      <c r="E387">
        <v>0.8612621053028926</v>
      </c>
      <c r="F387">
        <v>-0.46644042932543833</v>
      </c>
      <c r="G387">
        <v>0.42703778181071139</v>
      </c>
      <c r="H387">
        <v>0.88787235678520715</v>
      </c>
      <c r="I387">
        <v>0.94128535332838625</v>
      </c>
      <c r="J387">
        <v>0.43709680395403522</v>
      </c>
      <c r="L387">
        <v>0.67208070941792608</v>
      </c>
      <c r="M387">
        <v>4.0793761986955897</v>
      </c>
      <c r="N387">
        <v>2.2187003884966754</v>
      </c>
      <c r="P387">
        <v>4.609480518323161E-12</v>
      </c>
      <c r="R387">
        <v>8.9570652746343455</v>
      </c>
      <c r="S387">
        <v>8.9880513431210201</v>
      </c>
      <c r="T387">
        <v>1</v>
      </c>
      <c r="U387">
        <v>1.685708238758526</v>
      </c>
    </row>
    <row r="388" spans="1:21">
      <c r="A388">
        <v>-1.4221845091979171</v>
      </c>
      <c r="B388">
        <v>-9.6033003214277712E-2</v>
      </c>
      <c r="C388">
        <v>-0.3634979530122347</v>
      </c>
      <c r="D388">
        <v>0.66409757334858333</v>
      </c>
      <c r="E388">
        <v>0.27930796307483519</v>
      </c>
      <c r="F388">
        <v>0.17925669274972295</v>
      </c>
      <c r="G388">
        <v>0.83959426877511556</v>
      </c>
      <c r="H388">
        <v>0.71274208180882825</v>
      </c>
      <c r="I388">
        <v>0.17229010063238276</v>
      </c>
      <c r="J388">
        <v>0.5465436772289296</v>
      </c>
      <c r="L388">
        <v>0.67208093942268499</v>
      </c>
      <c r="M388">
        <v>4.079376412354967</v>
      </c>
      <c r="N388">
        <v>2.2187001343402164</v>
      </c>
      <c r="P388">
        <v>4.9983751171623954E-12</v>
      </c>
      <c r="R388">
        <v>8.9570652746343455</v>
      </c>
      <c r="S388">
        <v>8.9880513431210201</v>
      </c>
      <c r="T388">
        <v>1</v>
      </c>
      <c r="U388">
        <v>1.685708238758526</v>
      </c>
    </row>
    <row r="389" spans="1:21">
      <c r="A389">
        <v>-1.4171136239579984</v>
      </c>
      <c r="B389">
        <v>-7.2175175277356812E-2</v>
      </c>
      <c r="C389">
        <v>-0.32057965871892097</v>
      </c>
      <c r="D389">
        <v>-0.14762940437457628</v>
      </c>
      <c r="E389">
        <v>0.29396516509247184</v>
      </c>
      <c r="F389">
        <v>-6.1549789728652222E-2</v>
      </c>
      <c r="G389">
        <v>0.21549892476699056</v>
      </c>
      <c r="H389">
        <v>0.98873979409403878</v>
      </c>
      <c r="I389">
        <v>0.75113555958394007</v>
      </c>
      <c r="J389">
        <v>0.21834407652120855</v>
      </c>
      <c r="L389">
        <v>0.67208071978617201</v>
      </c>
      <c r="M389">
        <v>4.0793762529674362</v>
      </c>
      <c r="N389">
        <v>2.2187004020108581</v>
      </c>
      <c r="P389">
        <v>4.7003397050558769E-12</v>
      </c>
      <c r="R389">
        <v>8.9570652746343455</v>
      </c>
      <c r="S389">
        <v>8.9880513431210201</v>
      </c>
      <c r="T389">
        <v>1</v>
      </c>
      <c r="U389">
        <v>1.685708238758526</v>
      </c>
    </row>
    <row r="390" spans="1:21">
      <c r="A390">
        <v>-1.4151596894552203</v>
      </c>
      <c r="B390">
        <v>-8.7822242650383089E-2</v>
      </c>
      <c r="C390">
        <v>-0.35758169035137322</v>
      </c>
      <c r="D390">
        <v>0.17655346462209431</v>
      </c>
      <c r="E390">
        <v>-0.65194994676908591</v>
      </c>
      <c r="F390">
        <v>0.45040107632025972</v>
      </c>
      <c r="G390">
        <v>0.46525257704617567</v>
      </c>
      <c r="H390">
        <v>0.64386969548881479</v>
      </c>
      <c r="I390">
        <v>0.27217437499758729</v>
      </c>
      <c r="J390">
        <v>0.63044102777417221</v>
      </c>
      <c r="L390">
        <v>0.67208076284942397</v>
      </c>
      <c r="M390">
        <v>4.079376216618245</v>
      </c>
      <c r="N390">
        <v>2.2187003720551921</v>
      </c>
      <c r="P390">
        <v>4.5192522188832569E-12</v>
      </c>
      <c r="R390">
        <v>8.9570652746343455</v>
      </c>
      <c r="S390">
        <v>8.9880513431210201</v>
      </c>
      <c r="T390">
        <v>1</v>
      </c>
      <c r="U390">
        <v>1.685708238758526</v>
      </c>
    </row>
    <row r="391" spans="1:21">
      <c r="A391">
        <v>-1.4942800036862869</v>
      </c>
      <c r="B391">
        <v>-6.4544576064522644E-2</v>
      </c>
      <c r="C391">
        <v>-0.14874405143368838</v>
      </c>
      <c r="D391">
        <v>-0.18232065769012026</v>
      </c>
      <c r="E391">
        <v>1.4059133695639865E-4</v>
      </c>
      <c r="F391">
        <v>0.26964587039471993</v>
      </c>
      <c r="G391">
        <v>0.51616399743604879</v>
      </c>
      <c r="H391">
        <v>0.3175223792987561</v>
      </c>
      <c r="I391">
        <v>0.78195442830441142</v>
      </c>
      <c r="J391">
        <v>0.76377862209389669</v>
      </c>
      <c r="L391">
        <v>0.67208271624972149</v>
      </c>
      <c r="M391">
        <v>3.6314521440539895</v>
      </c>
      <c r="N391">
        <v>2.2187023804795056</v>
      </c>
      <c r="P391">
        <v>1.823492003163786E-12</v>
      </c>
      <c r="R391">
        <v>5.9589381025828034</v>
      </c>
      <c r="S391">
        <v>5.9659507309582951</v>
      </c>
      <c r="T391">
        <v>1</v>
      </c>
      <c r="U391">
        <v>1.9665041601073316</v>
      </c>
    </row>
    <row r="392" spans="1:21">
      <c r="A392">
        <v>-1.4961517257727583</v>
      </c>
      <c r="B392">
        <v>-6.4607308506798175E-2</v>
      </c>
      <c r="C392">
        <v>-0.16641498403562524</v>
      </c>
      <c r="D392">
        <v>0.22639662769832106</v>
      </c>
      <c r="E392">
        <v>-0.18598152866925435</v>
      </c>
      <c r="F392">
        <v>0.53934748547859801</v>
      </c>
      <c r="G392">
        <v>0.45364290474112889</v>
      </c>
      <c r="H392">
        <v>0.49225503876850302</v>
      </c>
      <c r="I392">
        <v>0.30158752861005922</v>
      </c>
      <c r="J392">
        <v>0.15664811713076493</v>
      </c>
      <c r="L392">
        <v>0.67208208504389422</v>
      </c>
      <c r="M392">
        <v>3.6314522767992701</v>
      </c>
      <c r="N392">
        <v>2.2187017238687776</v>
      </c>
      <c r="P392">
        <v>5.3211352378705096E-13</v>
      </c>
      <c r="R392">
        <v>5.9589381025828034</v>
      </c>
      <c r="S392">
        <v>5.9659507309582951</v>
      </c>
      <c r="T392">
        <v>1</v>
      </c>
      <c r="U392">
        <v>1.9665041601073316</v>
      </c>
    </row>
    <row r="393" spans="1:21">
      <c r="A393">
        <v>-1.500418994489594</v>
      </c>
      <c r="B393">
        <v>-6.6697876199537626E-2</v>
      </c>
      <c r="C393">
        <v>-0.14652475820596594</v>
      </c>
      <c r="D393">
        <v>0.32492261737288031</v>
      </c>
      <c r="E393">
        <v>0.14781935804244398</v>
      </c>
      <c r="F393">
        <v>-5.2745979490516612E-2</v>
      </c>
      <c r="G393">
        <v>0.60653673391006069</v>
      </c>
      <c r="H393">
        <v>0.50626097331217423</v>
      </c>
      <c r="I393">
        <v>0.19767494783228567</v>
      </c>
      <c r="J393">
        <v>0.37806102437133937</v>
      </c>
      <c r="L393">
        <v>0.67208197851788898</v>
      </c>
      <c r="M393">
        <v>3.6314522984821607</v>
      </c>
      <c r="N393">
        <v>2.2187011474132765</v>
      </c>
      <c r="P393">
        <v>2.6008647334421255E-13</v>
      </c>
      <c r="R393">
        <v>5.9589381025828034</v>
      </c>
      <c r="S393">
        <v>5.9659507309582951</v>
      </c>
      <c r="T393">
        <v>1</v>
      </c>
      <c r="U393">
        <v>1.9665041601073316</v>
      </c>
    </row>
    <row r="394" spans="1:21">
      <c r="A394">
        <v>-1.4925060611411791</v>
      </c>
      <c r="B394">
        <v>-6.1463681190709211E-2</v>
      </c>
      <c r="C394">
        <v>-0.1644176814790308</v>
      </c>
      <c r="D394">
        <v>0.11802191867651021</v>
      </c>
      <c r="E394">
        <v>6.6058133721720591E-2</v>
      </c>
      <c r="F394">
        <v>0.50009552429397308</v>
      </c>
      <c r="G394">
        <v>0.37757227025371903</v>
      </c>
      <c r="H394">
        <v>0.58146894985349573</v>
      </c>
      <c r="I394">
        <v>0.81258240687067518</v>
      </c>
      <c r="J394">
        <v>0.19633452320850367</v>
      </c>
      <c r="L394">
        <v>0.67208199156066639</v>
      </c>
      <c r="M394">
        <v>3.631452317809821</v>
      </c>
      <c r="N394">
        <v>2.2187009573860039</v>
      </c>
      <c r="P394">
        <v>3.0477120272209565E-13</v>
      </c>
      <c r="R394">
        <v>5.9589381025828034</v>
      </c>
      <c r="S394">
        <v>5.9659507309582951</v>
      </c>
      <c r="T394">
        <v>1</v>
      </c>
      <c r="U394">
        <v>1.9665041601073316</v>
      </c>
    </row>
    <row r="395" spans="1:21">
      <c r="A395">
        <v>-1.4929940512065583</v>
      </c>
      <c r="B395">
        <v>-5.8645761504514018E-2</v>
      </c>
      <c r="C395">
        <v>-0.14076293700138329</v>
      </c>
      <c r="D395">
        <v>0.11700505449600591</v>
      </c>
      <c r="E395">
        <v>0.23537481716930028</v>
      </c>
      <c r="F395">
        <v>-4.0032268527908456E-2</v>
      </c>
      <c r="G395">
        <v>0.24317003590475941</v>
      </c>
      <c r="H395">
        <v>0.62783136090341507</v>
      </c>
      <c r="I395">
        <v>0.51307118010876918</v>
      </c>
      <c r="J395">
        <v>0.31526914692116043</v>
      </c>
      <c r="L395">
        <v>0.67208213416081342</v>
      </c>
      <c r="M395">
        <v>3.6314522149288653</v>
      </c>
      <c r="N395">
        <v>2.2187017644100857</v>
      </c>
      <c r="P395">
        <v>5.201052892395786E-13</v>
      </c>
      <c r="R395">
        <v>5.9589381025828034</v>
      </c>
      <c r="S395">
        <v>5.9659507309582951</v>
      </c>
      <c r="T395">
        <v>1</v>
      </c>
      <c r="U395">
        <v>1.9665041601073316</v>
      </c>
    </row>
    <row r="396" spans="1:21">
      <c r="A396">
        <v>-1.4848172205241377</v>
      </c>
      <c r="B396">
        <v>-4.4539893260585356E-2</v>
      </c>
      <c r="C396">
        <v>-0.10984606699879208</v>
      </c>
      <c r="D396">
        <v>-0.41157915487316582</v>
      </c>
      <c r="E396">
        <v>-0.26216576467041891</v>
      </c>
      <c r="F396">
        <v>-0.64010795738071502</v>
      </c>
      <c r="G396">
        <v>4.5066933321131444E-2</v>
      </c>
      <c r="H396">
        <v>0.97513068784653822</v>
      </c>
      <c r="I396">
        <v>9.9218045943084254E-2</v>
      </c>
      <c r="J396">
        <v>0.48831771727189799</v>
      </c>
      <c r="L396">
        <v>0.67208202997827671</v>
      </c>
      <c r="M396">
        <v>3.6314524290205452</v>
      </c>
      <c r="N396">
        <v>2.2187006497467952</v>
      </c>
      <c r="P396">
        <v>6.0796457669566531E-13</v>
      </c>
      <c r="R396">
        <v>5.9589381025828034</v>
      </c>
      <c r="S396">
        <v>5.9659507309582951</v>
      </c>
      <c r="T396">
        <v>1</v>
      </c>
      <c r="U396">
        <v>1.9665041601073316</v>
      </c>
    </row>
    <row r="397" spans="1:21">
      <c r="A397">
        <v>-1.4895569650225982</v>
      </c>
      <c r="B397">
        <v>-5.5168620606982938E-2</v>
      </c>
      <c r="C397">
        <v>-0.14942485823386384</v>
      </c>
      <c r="D397">
        <v>-0.27816085386075273</v>
      </c>
      <c r="E397">
        <v>-0.44414202133104796</v>
      </c>
      <c r="F397">
        <v>0.41154824466706708</v>
      </c>
      <c r="G397">
        <v>0.44837680484646869</v>
      </c>
      <c r="H397">
        <v>0.7330752266213546</v>
      </c>
      <c r="I397">
        <v>0.40768943086646486</v>
      </c>
      <c r="J397">
        <v>0.52274604025267823</v>
      </c>
      <c r="L397">
        <v>0.67208234768984587</v>
      </c>
      <c r="M397">
        <v>3.6314519937437031</v>
      </c>
      <c r="N397">
        <v>2.2187018856603005</v>
      </c>
      <c r="P397">
        <v>5.7630551425892619E-13</v>
      </c>
      <c r="R397">
        <v>5.9589381025828034</v>
      </c>
      <c r="S397">
        <v>5.9659507309582951</v>
      </c>
      <c r="T397">
        <v>1</v>
      </c>
      <c r="U397">
        <v>1.9665041601073316</v>
      </c>
    </row>
    <row r="398" spans="1:21">
      <c r="A398">
        <v>-1.5030608043412133</v>
      </c>
      <c r="B398">
        <v>-7.3061413892862442E-2</v>
      </c>
      <c r="C398">
        <v>-0.17382156259018169</v>
      </c>
      <c r="D398">
        <v>-9.7566007329892387E-2</v>
      </c>
      <c r="E398">
        <v>-0.36988189044424918</v>
      </c>
      <c r="F398">
        <v>0.75410151568520956</v>
      </c>
      <c r="G398">
        <v>0.82433750132581884</v>
      </c>
      <c r="H398">
        <v>1.609761464653249E-2</v>
      </c>
      <c r="I398">
        <v>1.4095368722006202E-2</v>
      </c>
      <c r="J398">
        <v>0.39612838107989917</v>
      </c>
      <c r="L398">
        <v>0.67208297809210471</v>
      </c>
      <c r="M398">
        <v>3.6314535377888619</v>
      </c>
      <c r="N398">
        <v>2.2187025966492802</v>
      </c>
      <c r="P398">
        <v>5.431104515845275E-12</v>
      </c>
      <c r="R398">
        <v>5.9589381025828034</v>
      </c>
      <c r="S398">
        <v>5.9659507309582951</v>
      </c>
      <c r="T398">
        <v>1</v>
      </c>
      <c r="U398">
        <v>1.9665041601073316</v>
      </c>
    </row>
    <row r="399" spans="1:21">
      <c r="A399">
        <v>-1.4990840738216342</v>
      </c>
      <c r="B399">
        <v>-6.1581771174920988E-2</v>
      </c>
      <c r="C399">
        <v>-0.14171107424043672</v>
      </c>
      <c r="D399">
        <v>-1.595362681374966E-2</v>
      </c>
      <c r="E399">
        <v>0.89433653366296773</v>
      </c>
      <c r="F399">
        <v>-0.51477621969331566</v>
      </c>
      <c r="G399">
        <v>0.82882296330098482</v>
      </c>
      <c r="H399">
        <v>0.71002017161923126</v>
      </c>
      <c r="I399">
        <v>0.97969345254132456</v>
      </c>
      <c r="J399">
        <v>0.15211678458856906</v>
      </c>
      <c r="L399">
        <v>0.67208198753767445</v>
      </c>
      <c r="M399">
        <v>3.6314524039633262</v>
      </c>
      <c r="N399">
        <v>2.2187008114826208</v>
      </c>
      <c r="P399">
        <v>4.674781889117062E-13</v>
      </c>
      <c r="R399">
        <v>5.9589381025828034</v>
      </c>
      <c r="S399">
        <v>5.9659507309582951</v>
      </c>
      <c r="T399">
        <v>1</v>
      </c>
      <c r="U399">
        <v>1.9665041601073316</v>
      </c>
    </row>
    <row r="400" spans="1:21">
      <c r="A400">
        <v>-1.4976812873354213</v>
      </c>
      <c r="B400">
        <v>-7.4891156090653083E-2</v>
      </c>
      <c r="C400">
        <v>-0.1497972490012961</v>
      </c>
      <c r="D400">
        <v>0.50858150231120558</v>
      </c>
      <c r="E400">
        <v>-0.65720634512354648</v>
      </c>
      <c r="F400">
        <v>-8.0968345885302911E-3</v>
      </c>
      <c r="G400">
        <v>0.51290524913251523</v>
      </c>
      <c r="H400">
        <v>0.2173563121944988</v>
      </c>
      <c r="I400">
        <v>0.32376592733750431</v>
      </c>
      <c r="J400">
        <v>0.94514607911150594</v>
      </c>
      <c r="L400">
        <v>0.67208229353491722</v>
      </c>
      <c r="M400">
        <v>3.6314522864163812</v>
      </c>
      <c r="N400">
        <v>2.2187020985697954</v>
      </c>
      <c r="P400">
        <v>1.0897984551021494E-12</v>
      </c>
      <c r="R400">
        <v>5.9589381025828034</v>
      </c>
      <c r="S400">
        <v>5.9659507309582951</v>
      </c>
      <c r="T400">
        <v>1</v>
      </c>
      <c r="U400">
        <v>1.9665041601073316</v>
      </c>
    </row>
    <row r="401" spans="1:21">
      <c r="A401">
        <v>-1.439134854901726</v>
      </c>
      <c r="B401">
        <v>6.7868934795131827E-2</v>
      </c>
      <c r="C401">
        <v>-1.3048981859080936E-2</v>
      </c>
      <c r="D401">
        <v>0.30124656220811119</v>
      </c>
      <c r="E401">
        <v>0.55445269607907033</v>
      </c>
      <c r="F401">
        <v>-0.44215101974222376</v>
      </c>
      <c r="G401">
        <v>7.8128585572007966E-3</v>
      </c>
      <c r="H401">
        <v>0.1943741777792666</v>
      </c>
      <c r="I401">
        <v>0.20774204349374448</v>
      </c>
      <c r="J401">
        <v>4.3111040377788006E-2</v>
      </c>
      <c r="L401">
        <v>4.0793753560307637</v>
      </c>
      <c r="M401">
        <v>3.6314515616645999</v>
      </c>
      <c r="N401">
        <v>2.2187020155634647</v>
      </c>
      <c r="P401">
        <v>1.0540026098817468E-12</v>
      </c>
      <c r="R401">
        <v>8.7365387211630789</v>
      </c>
      <c r="S401">
        <v>8.7470632700269135</v>
      </c>
      <c r="T401">
        <v>1</v>
      </c>
      <c r="U401">
        <v>1.9627527407921372</v>
      </c>
    </row>
    <row r="402" spans="1:21">
      <c r="A402">
        <v>-1.4408493430882128</v>
      </c>
      <c r="B402">
        <v>7.027429126437261E-2</v>
      </c>
      <c r="C402">
        <v>-2.8710180858709498E-2</v>
      </c>
      <c r="D402">
        <v>-0.17826886873427181</v>
      </c>
      <c r="E402">
        <v>0.59071241515407025</v>
      </c>
      <c r="F402">
        <v>0.74416229754202579</v>
      </c>
      <c r="G402">
        <v>0.7780135088631237</v>
      </c>
      <c r="H402">
        <v>0.1898085851791986</v>
      </c>
      <c r="I402">
        <v>0.6381534138672218</v>
      </c>
      <c r="J402">
        <v>0.68740635726178612</v>
      </c>
      <c r="L402">
        <v>4.0793761879875667</v>
      </c>
      <c r="M402">
        <v>3.6314513962881776</v>
      </c>
      <c r="N402">
        <v>2.2186995471351443</v>
      </c>
      <c r="P402">
        <v>4.4058362977007703E-12</v>
      </c>
      <c r="R402">
        <v>8.7365387211630789</v>
      </c>
      <c r="S402">
        <v>8.7470632700269135</v>
      </c>
      <c r="T402">
        <v>1</v>
      </c>
      <c r="U402">
        <v>1.9627527407921372</v>
      </c>
    </row>
    <row r="403" spans="1:21">
      <c r="A403">
        <v>-1.4457145535052405</v>
      </c>
      <c r="B403">
        <v>6.5275506061496666E-2</v>
      </c>
      <c r="C403">
        <v>-1.4267332922771388E-2</v>
      </c>
      <c r="D403">
        <v>0.85395442904439256</v>
      </c>
      <c r="E403">
        <v>0.97309211491381997</v>
      </c>
      <c r="F403">
        <v>-0.13304070958088035</v>
      </c>
      <c r="G403">
        <v>0.59274495870006672</v>
      </c>
      <c r="H403">
        <v>0.12226941933978652</v>
      </c>
      <c r="I403">
        <v>0.35002323479664804</v>
      </c>
      <c r="J403">
        <v>0.38534388890483046</v>
      </c>
      <c r="L403">
        <v>4.0793752040084987</v>
      </c>
      <c r="M403">
        <v>3.631451719836519</v>
      </c>
      <c r="N403">
        <v>2.2187019125354781</v>
      </c>
      <c r="P403">
        <v>7.0039835853201166E-13</v>
      </c>
      <c r="R403">
        <v>8.7365387211630789</v>
      </c>
      <c r="S403">
        <v>8.7470632700269135</v>
      </c>
      <c r="T403">
        <v>1</v>
      </c>
      <c r="U403">
        <v>1.9627527407921372</v>
      </c>
    </row>
    <row r="404" spans="1:21">
      <c r="A404">
        <v>-1.4382323646111013</v>
      </c>
      <c r="B404">
        <v>8.1084842246348002E-2</v>
      </c>
      <c r="C404">
        <v>-5.901505740660464E-3</v>
      </c>
      <c r="D404">
        <v>-0.748056096441434</v>
      </c>
      <c r="E404">
        <v>0.40664849887567517</v>
      </c>
      <c r="F404">
        <v>0.47833217390794464</v>
      </c>
      <c r="G404">
        <v>0.81168525908678357</v>
      </c>
      <c r="H404">
        <v>0.34663886711327219</v>
      </c>
      <c r="I404">
        <v>0.13081240576592887</v>
      </c>
      <c r="J404">
        <v>0.81640547172152411</v>
      </c>
      <c r="L404">
        <v>4.0793754342528983</v>
      </c>
      <c r="M404">
        <v>3.6314517178637935</v>
      </c>
      <c r="N404">
        <v>2.2187022033533941</v>
      </c>
      <c r="P404">
        <v>1.4217996500624738E-12</v>
      </c>
      <c r="R404">
        <v>8.7365387211630789</v>
      </c>
      <c r="S404">
        <v>8.7470632700269135</v>
      </c>
      <c r="T404">
        <v>1</v>
      </c>
      <c r="U404">
        <v>1.9627527407921372</v>
      </c>
    </row>
    <row r="405" spans="1:21">
      <c r="A405">
        <v>-1.4390997671212</v>
      </c>
      <c r="B405">
        <v>6.0328919475704852E-2</v>
      </c>
      <c r="C405">
        <v>-1.6405316346492671E-2</v>
      </c>
      <c r="D405">
        <v>1.6959784000603668E-2</v>
      </c>
      <c r="E405">
        <v>-0.420290651958874</v>
      </c>
      <c r="F405">
        <v>-0.12801887200902692</v>
      </c>
      <c r="G405">
        <v>0.28398654102067306</v>
      </c>
      <c r="H405">
        <v>0.12134337340625985</v>
      </c>
      <c r="I405">
        <v>8.8104156585920593E-2</v>
      </c>
      <c r="J405">
        <v>0.86121115710077334</v>
      </c>
      <c r="L405">
        <v>4.0793753410900893</v>
      </c>
      <c r="M405">
        <v>3.631451556592705</v>
      </c>
      <c r="N405">
        <v>2.218701991924354</v>
      </c>
      <c r="P405">
        <v>1.0033174098884732E-12</v>
      </c>
      <c r="R405">
        <v>8.7365387211630789</v>
      </c>
      <c r="S405">
        <v>8.7470632700269135</v>
      </c>
      <c r="T405">
        <v>1</v>
      </c>
      <c r="U405">
        <v>1.9627527407921372</v>
      </c>
    </row>
    <row r="406" spans="1:21">
      <c r="A406">
        <v>-1.4394356483693471</v>
      </c>
      <c r="B406">
        <v>4.3899131612070735E-2</v>
      </c>
      <c r="C406">
        <v>-4.7479375882191394E-2</v>
      </c>
      <c r="D406">
        <v>0.38441789931842107</v>
      </c>
      <c r="E406">
        <v>-0.85772090918204846</v>
      </c>
      <c r="F406">
        <v>-0.30945953923358038</v>
      </c>
      <c r="G406">
        <v>0.33010063340941692</v>
      </c>
      <c r="H406">
        <v>9.3648029037317698E-2</v>
      </c>
      <c r="I406">
        <v>0.84081554260437297</v>
      </c>
      <c r="J406">
        <v>0.70203912298558757</v>
      </c>
      <c r="L406">
        <v>4.07937539776671</v>
      </c>
      <c r="M406">
        <v>3.6314515633693425</v>
      </c>
      <c r="N406">
        <v>2.2187020686540158</v>
      </c>
      <c r="P406">
        <v>1.18744972053295E-12</v>
      </c>
      <c r="R406">
        <v>8.7365387211630789</v>
      </c>
      <c r="S406">
        <v>8.7470632700269135</v>
      </c>
      <c r="T406">
        <v>1</v>
      </c>
      <c r="U406">
        <v>1.9627527407921372</v>
      </c>
    </row>
    <row r="407" spans="1:21">
      <c r="A407">
        <v>-1.4394875917344063</v>
      </c>
      <c r="B407">
        <v>7.757058328050763E-2</v>
      </c>
      <c r="C407">
        <v>-1.8058082718877856E-2</v>
      </c>
      <c r="D407">
        <v>-0.30923678746913441</v>
      </c>
      <c r="E407">
        <v>0.47027753756495883</v>
      </c>
      <c r="F407">
        <v>-0.23879063434576853</v>
      </c>
      <c r="G407">
        <v>0.95467129774371051</v>
      </c>
      <c r="H407">
        <v>0.51093213328578146</v>
      </c>
      <c r="I407">
        <v>0.40486164942437225</v>
      </c>
      <c r="J407">
        <v>0.11273397209481562</v>
      </c>
      <c r="L407">
        <v>4.0793754911225388</v>
      </c>
      <c r="M407">
        <v>3.6314515009914641</v>
      </c>
      <c r="N407">
        <v>2.2187021265772171</v>
      </c>
      <c r="P407">
        <v>1.4397888810454011E-12</v>
      </c>
      <c r="R407">
        <v>8.7365387211630789</v>
      </c>
      <c r="S407">
        <v>8.7470632700269135</v>
      </c>
      <c r="T407">
        <v>1</v>
      </c>
      <c r="U407">
        <v>1.9627527407921372</v>
      </c>
    </row>
    <row r="408" spans="1:21">
      <c r="A408">
        <v>-1.4400004101494828</v>
      </c>
      <c r="B408">
        <v>6.4291683397871918E-2</v>
      </c>
      <c r="C408">
        <v>-6.9338759235684595E-3</v>
      </c>
      <c r="D408">
        <v>-0.19425354079195462</v>
      </c>
      <c r="E408">
        <v>0.24600473213429111</v>
      </c>
      <c r="F408">
        <v>-0.49968481890976746</v>
      </c>
      <c r="G408">
        <v>0.54332872238935692</v>
      </c>
      <c r="H408">
        <v>0.12351641980014179</v>
      </c>
      <c r="I408">
        <v>0.5506835353949876</v>
      </c>
      <c r="J408">
        <v>0.80982377558161434</v>
      </c>
      <c r="L408">
        <v>4.079375598434174</v>
      </c>
      <c r="M408">
        <v>3.6314512753441126</v>
      </c>
      <c r="N408">
        <v>2.2187020384408682</v>
      </c>
      <c r="P408">
        <v>1.6269628969752839E-12</v>
      </c>
      <c r="R408">
        <v>8.7365387211630789</v>
      </c>
      <c r="S408">
        <v>8.7470632700269135</v>
      </c>
      <c r="T408">
        <v>1</v>
      </c>
      <c r="U408">
        <v>1.9627527407921372</v>
      </c>
    </row>
    <row r="409" spans="1:21">
      <c r="A409">
        <v>-1.4381870897108535</v>
      </c>
      <c r="B409">
        <v>7.5589973347466519E-2</v>
      </c>
      <c r="C409">
        <v>-1.7283614918816873E-2</v>
      </c>
      <c r="D409">
        <v>0.39340831825209716</v>
      </c>
      <c r="E409">
        <v>0.16088378834525502</v>
      </c>
      <c r="F409">
        <v>0.11636185535720416</v>
      </c>
      <c r="G409">
        <v>0.68125544529188398</v>
      </c>
      <c r="H409">
        <v>0.93059917616511811</v>
      </c>
      <c r="I409">
        <v>0.16781699852078838</v>
      </c>
      <c r="J409">
        <v>0.40394785716172371</v>
      </c>
      <c r="L409">
        <v>4.0793751225124648</v>
      </c>
      <c r="M409">
        <v>3.6314516171593909</v>
      </c>
      <c r="N409">
        <v>2.2187016658447378</v>
      </c>
      <c r="P409">
        <v>3.8115997250317991E-13</v>
      </c>
      <c r="R409">
        <v>8.7365387211630789</v>
      </c>
      <c r="S409">
        <v>8.7470632700269135</v>
      </c>
      <c r="T409">
        <v>1</v>
      </c>
      <c r="U409">
        <v>1.9627527407921372</v>
      </c>
    </row>
    <row r="410" spans="1:21">
      <c r="A410">
        <v>-1.4394591028108041</v>
      </c>
      <c r="B410">
        <v>5.8516455013632764E-2</v>
      </c>
      <c r="C410">
        <v>-2.7662245476672287E-2</v>
      </c>
      <c r="D410">
        <v>0.62770712663978279</v>
      </c>
      <c r="E410">
        <v>-0.27724929300386686</v>
      </c>
      <c r="F410">
        <v>3.1663478907198631E-2</v>
      </c>
      <c r="G410">
        <v>2.0543885338448486E-2</v>
      </c>
      <c r="H410">
        <v>0.24002127268969639</v>
      </c>
      <c r="I410">
        <v>4.7217564174357796E-2</v>
      </c>
      <c r="J410">
        <v>0.46258868855524177</v>
      </c>
      <c r="L410">
        <v>4.07937549500096</v>
      </c>
      <c r="M410">
        <v>3.6314514427590132</v>
      </c>
      <c r="N410">
        <v>2.2187020848032506</v>
      </c>
      <c r="P410">
        <v>1.4099808580190389E-12</v>
      </c>
      <c r="R410">
        <v>8.7365387211630789</v>
      </c>
      <c r="S410">
        <v>8.7470632700269135</v>
      </c>
      <c r="T410">
        <v>1</v>
      </c>
      <c r="U410">
        <v>1.9627527407921372</v>
      </c>
    </row>
    <row r="411" spans="1:21">
      <c r="A411">
        <v>1.0908074666642058</v>
      </c>
      <c r="B411">
        <v>-1.0248540145300662</v>
      </c>
      <c r="C411">
        <v>0.23227855027138103</v>
      </c>
      <c r="D411">
        <v>-6.072764201396208E-2</v>
      </c>
      <c r="E411">
        <v>0.23110212275781911</v>
      </c>
      <c r="F411">
        <v>2.0880293287473314E-2</v>
      </c>
      <c r="G411">
        <v>1.2138087180344665E-2</v>
      </c>
      <c r="H411">
        <v>0.12555995183660634</v>
      </c>
      <c r="I411">
        <v>0.70100962604847916</v>
      </c>
      <c r="J411">
        <v>0.64701622065073683</v>
      </c>
      <c r="L411">
        <v>3.0960526629939187</v>
      </c>
      <c r="M411">
        <v>4.4627650257859406</v>
      </c>
      <c r="N411">
        <v>0.90857188726224236</v>
      </c>
      <c r="P411">
        <v>3.0856426898505517E-11</v>
      </c>
      <c r="R411">
        <v>7.3872884282208222</v>
      </c>
      <c r="S411">
        <v>7.3967963927114955</v>
      </c>
      <c r="T411">
        <v>1</v>
      </c>
      <c r="U411">
        <v>1.6142787710661215</v>
      </c>
    </row>
    <row r="412" spans="1:21">
      <c r="A412">
        <v>1.0973740984529103</v>
      </c>
      <c r="B412">
        <v>-1.0228163068563687</v>
      </c>
      <c r="C412">
        <v>0.25414273565634737</v>
      </c>
      <c r="D412">
        <v>1.6461823184361728E-2</v>
      </c>
      <c r="E412">
        <v>0.73005761598123553</v>
      </c>
      <c r="F412">
        <v>-0.67921209480573508</v>
      </c>
      <c r="G412">
        <v>0.13740262224158986</v>
      </c>
      <c r="H412">
        <v>0.98692162750713219</v>
      </c>
      <c r="I412">
        <v>0.7643983340611058</v>
      </c>
      <c r="J412">
        <v>0.59976198710719197</v>
      </c>
      <c r="L412">
        <v>3.0960521000945316</v>
      </c>
      <c r="M412">
        <v>4.4627654015569123</v>
      </c>
      <c r="N412">
        <v>0.90857179749249151</v>
      </c>
      <c r="P412">
        <v>3.0623477898267588E-11</v>
      </c>
      <c r="R412">
        <v>7.3872884282208222</v>
      </c>
      <c r="S412">
        <v>7.3967963927114955</v>
      </c>
      <c r="T412">
        <v>1</v>
      </c>
      <c r="U412">
        <v>1.6142787710661215</v>
      </c>
    </row>
    <row r="413" spans="1:21">
      <c r="A413">
        <v>1.1051236596075755</v>
      </c>
      <c r="B413">
        <v>-1.0194578698460202</v>
      </c>
      <c r="C413">
        <v>0.22960843595979571</v>
      </c>
      <c r="D413">
        <v>0.79078246586646073</v>
      </c>
      <c r="E413">
        <v>0.63610656174401048</v>
      </c>
      <c r="F413">
        <v>-0.68573136640696652</v>
      </c>
      <c r="G413">
        <v>0.38061284982879012</v>
      </c>
      <c r="H413">
        <v>0.72050128687739956</v>
      </c>
      <c r="I413">
        <v>0.42300787216800623</v>
      </c>
      <c r="J413">
        <v>0.96952821923467936</v>
      </c>
      <c r="L413">
        <v>3.096052377062902</v>
      </c>
      <c r="M413">
        <v>4.4627652084832521</v>
      </c>
      <c r="N413">
        <v>0.90857187317156562</v>
      </c>
      <c r="P413">
        <v>3.0969688544242371E-11</v>
      </c>
      <c r="R413">
        <v>7.3872884282208222</v>
      </c>
      <c r="S413">
        <v>7.3967963927114955</v>
      </c>
      <c r="T413">
        <v>1</v>
      </c>
      <c r="U413">
        <v>1.6142787710661215</v>
      </c>
    </row>
    <row r="414" spans="1:21">
      <c r="A414">
        <v>1.0838853702997937</v>
      </c>
      <c r="B414">
        <v>-1.0400870843314947</v>
      </c>
      <c r="C414">
        <v>0.2432241141535372</v>
      </c>
      <c r="D414">
        <v>0.63325677496128485</v>
      </c>
      <c r="E414">
        <v>0.73855609102200193</v>
      </c>
      <c r="F414">
        <v>0.52145410017277671</v>
      </c>
      <c r="G414">
        <v>0.68285789978374123</v>
      </c>
      <c r="H414">
        <v>0.36918375163681411</v>
      </c>
      <c r="I414">
        <v>0.72933152232135734</v>
      </c>
      <c r="J414">
        <v>0.52340118279564507</v>
      </c>
      <c r="L414">
        <v>3.0960535381990555</v>
      </c>
      <c r="M414">
        <v>4.4627645280750237</v>
      </c>
      <c r="N414">
        <v>0.9085717436135633</v>
      </c>
      <c r="P414">
        <v>2.9797190996883446E-11</v>
      </c>
      <c r="R414">
        <v>7.3872884282208222</v>
      </c>
      <c r="S414">
        <v>7.3967963927114955</v>
      </c>
      <c r="T414">
        <v>1</v>
      </c>
      <c r="U414">
        <v>1.6142787710661215</v>
      </c>
    </row>
    <row r="415" spans="1:21">
      <c r="A415">
        <v>1.0843655938237644</v>
      </c>
      <c r="B415">
        <v>-1.0339322238340596</v>
      </c>
      <c r="C415">
        <v>0.23104237555647605</v>
      </c>
      <c r="D415">
        <v>0.66459480382261371</v>
      </c>
      <c r="E415">
        <v>-0.28933904409335121</v>
      </c>
      <c r="F415">
        <v>0.41692418220095556</v>
      </c>
      <c r="G415">
        <v>0.61816462141726858</v>
      </c>
      <c r="H415">
        <v>0.451136207469156</v>
      </c>
      <c r="I415">
        <v>0.51381557671471867</v>
      </c>
      <c r="J415">
        <v>0.70995499776267823</v>
      </c>
      <c r="L415">
        <v>3.0960524249943386</v>
      </c>
      <c r="M415">
        <v>4.4627651988178627</v>
      </c>
      <c r="N415">
        <v>0.90857189279378936</v>
      </c>
      <c r="P415">
        <v>3.1120567293621028E-11</v>
      </c>
      <c r="R415">
        <v>7.3872884282208222</v>
      </c>
      <c r="S415">
        <v>7.3967963927114955</v>
      </c>
      <c r="T415">
        <v>1</v>
      </c>
      <c r="U415">
        <v>1.6142787710661215</v>
      </c>
    </row>
    <row r="416" spans="1:21">
      <c r="A416">
        <v>1.0816677343034176</v>
      </c>
      <c r="B416">
        <v>-1.0343250259385359</v>
      </c>
      <c r="C416">
        <v>0.24200970062861174</v>
      </c>
      <c r="D416">
        <v>0.15801521657386869</v>
      </c>
      <c r="E416">
        <v>-0.76368267802108203</v>
      </c>
      <c r="F416">
        <v>8.9887318376904266E-2</v>
      </c>
      <c r="G416">
        <v>0.12275952577975346</v>
      </c>
      <c r="H416">
        <v>0.24712422747335616</v>
      </c>
      <c r="I416">
        <v>9.2369547246378567E-2</v>
      </c>
      <c r="J416">
        <v>0.12425091502856672</v>
      </c>
      <c r="L416">
        <v>3.0960516663631106</v>
      </c>
      <c r="M416">
        <v>4.4627658177352858</v>
      </c>
      <c r="N416">
        <v>0.90857159969391355</v>
      </c>
      <c r="P416">
        <v>2.9828901986601653E-11</v>
      </c>
      <c r="R416">
        <v>7.3872884282208222</v>
      </c>
      <c r="S416">
        <v>7.3967963927114955</v>
      </c>
      <c r="T416">
        <v>1</v>
      </c>
      <c r="U416">
        <v>1.6142787710661215</v>
      </c>
    </row>
    <row r="417" spans="1:21">
      <c r="A417">
        <v>1.081479343218495</v>
      </c>
      <c r="B417">
        <v>-1.0333768397835961</v>
      </c>
      <c r="C417">
        <v>0.23977364385002845</v>
      </c>
      <c r="D417">
        <v>0.3780606702735404</v>
      </c>
      <c r="E417">
        <v>-2.6773683766691436E-2</v>
      </c>
      <c r="F417">
        <v>0.34649039936472043</v>
      </c>
      <c r="G417">
        <v>0.17630838325108936</v>
      </c>
      <c r="H417">
        <v>0.45316397538418746</v>
      </c>
      <c r="I417">
        <v>0.7132338212917928</v>
      </c>
      <c r="J417">
        <v>0.37462916001637014</v>
      </c>
      <c r="L417">
        <v>3.096053085598621</v>
      </c>
      <c r="M417">
        <v>4.4627663613340651</v>
      </c>
      <c r="N417">
        <v>0.90856666186727564</v>
      </c>
      <c r="P417">
        <v>1.212207215672761E-12</v>
      </c>
      <c r="R417">
        <v>7.3872884282208222</v>
      </c>
      <c r="S417">
        <v>7.3967963927114955</v>
      </c>
      <c r="T417">
        <v>1</v>
      </c>
      <c r="U417">
        <v>1.6142787710661215</v>
      </c>
    </row>
    <row r="418" spans="1:21">
      <c r="A418">
        <v>1.0908463980429788</v>
      </c>
      <c r="B418">
        <v>-1.0282353626877898</v>
      </c>
      <c r="C418">
        <v>0.23752357618601008</v>
      </c>
      <c r="D418">
        <v>0.33226657478606653</v>
      </c>
      <c r="E418">
        <v>0.15289058027235297</v>
      </c>
      <c r="F418">
        <v>-0.66103093449782302</v>
      </c>
      <c r="G418">
        <v>0.58836645444232216</v>
      </c>
      <c r="H418">
        <v>0.6894421990764773</v>
      </c>
      <c r="I418">
        <v>0.74447061412283799</v>
      </c>
      <c r="J418">
        <v>0.43302835869246747</v>
      </c>
      <c r="L418">
        <v>3.0960544796054976</v>
      </c>
      <c r="M418">
        <v>4.4627640337213208</v>
      </c>
      <c r="N418">
        <v>0.90857100173774996</v>
      </c>
      <c r="P418">
        <v>2.5060444952547708E-11</v>
      </c>
      <c r="R418">
        <v>7.3872884282208222</v>
      </c>
      <c r="S418">
        <v>7.3967963927114955</v>
      </c>
      <c r="T418">
        <v>1</v>
      </c>
      <c r="U418">
        <v>1.6142787710661215</v>
      </c>
    </row>
    <row r="419" spans="1:21">
      <c r="A419">
        <v>1.0719701699216244</v>
      </c>
      <c r="B419">
        <v>-1.042384386877409</v>
      </c>
      <c r="C419">
        <v>0.26328897994210876</v>
      </c>
      <c r="D419">
        <v>-0.46023047241086107</v>
      </c>
      <c r="E419">
        <v>-0.35692635055065908</v>
      </c>
      <c r="F419">
        <v>0.83072844951942737</v>
      </c>
      <c r="G419">
        <v>0.58554076686764422</v>
      </c>
      <c r="H419">
        <v>0.65325567370129023</v>
      </c>
      <c r="I419">
        <v>0.85973111803079072</v>
      </c>
      <c r="J419">
        <v>0.43126363018793934</v>
      </c>
      <c r="L419">
        <v>3.0960538020784281</v>
      </c>
      <c r="M419">
        <v>4.4627643537599644</v>
      </c>
      <c r="N419">
        <v>0.90857157818106704</v>
      </c>
      <c r="P419">
        <v>2.863912311765762E-11</v>
      </c>
      <c r="R419">
        <v>7.3872884282208222</v>
      </c>
      <c r="S419">
        <v>7.3967963927114955</v>
      </c>
      <c r="T419">
        <v>1</v>
      </c>
      <c r="U419">
        <v>1.6142787710661215</v>
      </c>
    </row>
    <row r="420" spans="1:21">
      <c r="A420">
        <v>1.0895894456867388</v>
      </c>
      <c r="B420">
        <v>-1.0372969592058554</v>
      </c>
      <c r="C420">
        <v>0.25739722160941225</v>
      </c>
      <c r="D420">
        <v>-0.61533772622329397</v>
      </c>
      <c r="E420">
        <v>0.40665476441403803</v>
      </c>
      <c r="F420">
        <v>0.18638797888547254</v>
      </c>
      <c r="G420">
        <v>0.75174156224701394</v>
      </c>
      <c r="H420">
        <v>9.8411120670901617E-2</v>
      </c>
      <c r="I420">
        <v>0.33865918040114062</v>
      </c>
      <c r="J420">
        <v>0.67188925286617296</v>
      </c>
      <c r="L420">
        <v>3.0960520246314922</v>
      </c>
      <c r="M420">
        <v>4.4627655126475894</v>
      </c>
      <c r="N420">
        <v>0.90857180458564901</v>
      </c>
      <c r="P420">
        <v>3.089284013763541E-11</v>
      </c>
      <c r="R420">
        <v>7.3872884282208222</v>
      </c>
      <c r="S420">
        <v>7.3967963927114955</v>
      </c>
      <c r="T420">
        <v>1</v>
      </c>
      <c r="U420">
        <v>1.6142787710661215</v>
      </c>
    </row>
    <row r="421" spans="1:21">
      <c r="A421">
        <v>0.98439288158342919</v>
      </c>
      <c r="B421">
        <v>-1.1479923082327628</v>
      </c>
      <c r="C421">
        <v>0.39670781393906784</v>
      </c>
      <c r="D421">
        <v>0.4150140183844509</v>
      </c>
      <c r="E421">
        <v>0.73264266043675952</v>
      </c>
      <c r="F421">
        <v>-0.24356758737920778</v>
      </c>
      <c r="G421">
        <v>0.88791585083561975</v>
      </c>
      <c r="H421">
        <v>0.51828521110937809</v>
      </c>
      <c r="I421">
        <v>0.16664372372854894</v>
      </c>
      <c r="J421">
        <v>0.1196711661969912</v>
      </c>
      <c r="L421">
        <v>3.0960556908893673</v>
      </c>
      <c r="M421">
        <v>4.462769747299963</v>
      </c>
      <c r="N421">
        <v>3.6317294944244516</v>
      </c>
      <c r="P421">
        <v>9.0709147301409243E-11</v>
      </c>
      <c r="R421">
        <v>11.407017699081383</v>
      </c>
      <c r="S421">
        <v>11.431778758175978</v>
      </c>
      <c r="T421">
        <v>1</v>
      </c>
      <c r="U421">
        <v>1.9162336953380594</v>
      </c>
    </row>
    <row r="422" spans="1:21">
      <c r="A422">
        <v>0.98565339210389213</v>
      </c>
      <c r="B422">
        <v>-1.1408434001975483</v>
      </c>
      <c r="C422">
        <v>0.39753973118423713</v>
      </c>
      <c r="D422">
        <v>0.48805652232202901</v>
      </c>
      <c r="E422">
        <v>0.4895910012258381</v>
      </c>
      <c r="F422">
        <v>0.15797377891293521</v>
      </c>
      <c r="G422">
        <v>0.42942508878862368</v>
      </c>
      <c r="H422">
        <v>0.8942882944356908</v>
      </c>
      <c r="I422">
        <v>0.24515786778794688</v>
      </c>
      <c r="J422">
        <v>0.31610283789071042</v>
      </c>
      <c r="L422">
        <v>3.0960542960158057</v>
      </c>
      <c r="M422">
        <v>4.4627711126675917</v>
      </c>
      <c r="N422">
        <v>3.6317295491352852</v>
      </c>
      <c r="P422">
        <v>9.8577535641089146E-11</v>
      </c>
      <c r="R422">
        <v>11.407017699081383</v>
      </c>
      <c r="S422">
        <v>11.431778758175978</v>
      </c>
      <c r="T422">
        <v>1</v>
      </c>
      <c r="U422">
        <v>1.9162336953380594</v>
      </c>
    </row>
    <row r="423" spans="1:21">
      <c r="A423">
        <v>0.98429981739971273</v>
      </c>
      <c r="B423">
        <v>-1.1323986478836727</v>
      </c>
      <c r="C423">
        <v>0.37588689624223615</v>
      </c>
      <c r="D423">
        <v>-0.40521101254786179</v>
      </c>
      <c r="E423">
        <v>0.18450918812235886</v>
      </c>
      <c r="F423">
        <v>-1.7285742467138994E-2</v>
      </c>
      <c r="G423">
        <v>0.25657837122919708</v>
      </c>
      <c r="H423">
        <v>0.20899471244706461</v>
      </c>
      <c r="I423">
        <v>0.78559860225827505</v>
      </c>
      <c r="J423">
        <v>0.68930934056528592</v>
      </c>
      <c r="L423">
        <v>3.0960545817067331</v>
      </c>
      <c r="M423">
        <v>4.4627708404517179</v>
      </c>
      <c r="N423">
        <v>3.6317295195477248</v>
      </c>
      <c r="P423">
        <v>9.6720759083455734E-11</v>
      </c>
      <c r="R423">
        <v>11.407017699081383</v>
      </c>
      <c r="S423">
        <v>11.431778758175978</v>
      </c>
      <c r="T423">
        <v>1</v>
      </c>
      <c r="U423">
        <v>1.9162336953380594</v>
      </c>
    </row>
    <row r="424" spans="1:21">
      <c r="A424">
        <v>0.98966943634931859</v>
      </c>
      <c r="B424">
        <v>-1.1151129338442254</v>
      </c>
      <c r="C424">
        <v>0.33898869824832328</v>
      </c>
      <c r="D424">
        <v>-0.1240826304780632</v>
      </c>
      <c r="E424">
        <v>-0.81042484820577698</v>
      </c>
      <c r="F424">
        <v>-0.2229726647120151</v>
      </c>
      <c r="G424">
        <v>2.7062580895514271E-3</v>
      </c>
      <c r="H424">
        <v>0.22603349938097675</v>
      </c>
      <c r="I424">
        <v>0.99801480824686939</v>
      </c>
      <c r="J424">
        <v>0.46905882849021052</v>
      </c>
      <c r="L424">
        <v>3.0960535289538593</v>
      </c>
      <c r="M424">
        <v>4.4627714692344131</v>
      </c>
      <c r="N424">
        <v>3.6317297601020071</v>
      </c>
      <c r="P424">
        <v>9.8299541970100413E-11</v>
      </c>
      <c r="R424">
        <v>11.407017699081383</v>
      </c>
      <c r="S424">
        <v>11.431778758175978</v>
      </c>
      <c r="T424">
        <v>1</v>
      </c>
      <c r="U424">
        <v>1.9162336953380594</v>
      </c>
    </row>
    <row r="425" spans="1:21">
      <c r="A425">
        <v>0.99667933516700546</v>
      </c>
      <c r="B425">
        <v>-1.1267788389092905</v>
      </c>
      <c r="C425">
        <v>0.35909281393019205</v>
      </c>
      <c r="D425">
        <v>0.37463711356994045</v>
      </c>
      <c r="E425">
        <v>0.13472358239566903</v>
      </c>
      <c r="F425">
        <v>0.80565507519544488</v>
      </c>
      <c r="G425">
        <v>0.7319789302562687</v>
      </c>
      <c r="H425">
        <v>0.40932625710342502</v>
      </c>
      <c r="I425">
        <v>0.4460204449581554</v>
      </c>
      <c r="J425">
        <v>0.35382169626906201</v>
      </c>
      <c r="L425">
        <v>3.0960551082678296</v>
      </c>
      <c r="M425">
        <v>4.4627704068612966</v>
      </c>
      <c r="N425">
        <v>3.6317294727681033</v>
      </c>
      <c r="P425">
        <v>9.4685139665068208E-11</v>
      </c>
      <c r="R425">
        <v>11.407017699081383</v>
      </c>
      <c r="S425">
        <v>11.431778758175978</v>
      </c>
      <c r="T425">
        <v>1</v>
      </c>
      <c r="U425">
        <v>1.9162336953380594</v>
      </c>
    </row>
    <row r="426" spans="1:21">
      <c r="A426">
        <v>0.99054732719990524</v>
      </c>
      <c r="B426">
        <v>-1.1270076895510637</v>
      </c>
      <c r="C426">
        <v>0.34558587320259787</v>
      </c>
      <c r="D426">
        <v>0.70478257417441836</v>
      </c>
      <c r="E426">
        <v>-0.1131479559271356</v>
      </c>
      <c r="F426">
        <v>-5.6618096208254712E-2</v>
      </c>
      <c r="G426">
        <v>0.89884043283323789</v>
      </c>
      <c r="H426">
        <v>0.51391499200161928</v>
      </c>
      <c r="I426">
        <v>0.90206599921794151</v>
      </c>
      <c r="J426">
        <v>0.60937383037613368</v>
      </c>
      <c r="L426">
        <v>3.0960538163625935</v>
      </c>
      <c r="M426">
        <v>4.4627713500786728</v>
      </c>
      <c r="N426">
        <v>3.6317296314657868</v>
      </c>
      <c r="P426">
        <v>9.917933859994653E-11</v>
      </c>
      <c r="R426">
        <v>11.407017699081383</v>
      </c>
      <c r="S426">
        <v>11.431778758175978</v>
      </c>
      <c r="T426">
        <v>1</v>
      </c>
      <c r="U426">
        <v>1.9162336953380594</v>
      </c>
    </row>
    <row r="427" spans="1:21">
      <c r="A427">
        <v>0.98051751077408722</v>
      </c>
      <c r="B427">
        <v>-1.1445928430929513</v>
      </c>
      <c r="C427">
        <v>0.39813762478532438</v>
      </c>
      <c r="D427">
        <v>0.85066336142158527</v>
      </c>
      <c r="E427">
        <v>0.56485957332915859</v>
      </c>
      <c r="F427">
        <v>-0.15230964133394231</v>
      </c>
      <c r="G427">
        <v>0.24751134734441549</v>
      </c>
      <c r="H427">
        <v>0.9151214101055013</v>
      </c>
      <c r="I427">
        <v>0.28380599861831418</v>
      </c>
      <c r="J427">
        <v>0.39085981367819911</v>
      </c>
      <c r="L427">
        <v>3.0960536766646389</v>
      </c>
      <c r="M427">
        <v>4.4627714847957263</v>
      </c>
      <c r="N427">
        <v>3.6317296836086475</v>
      </c>
      <c r="P427">
        <v>9.9829396151534441E-11</v>
      </c>
      <c r="R427">
        <v>11.407017699081383</v>
      </c>
      <c r="S427">
        <v>11.431778758175978</v>
      </c>
      <c r="T427">
        <v>1</v>
      </c>
      <c r="U427">
        <v>1.9162336953380594</v>
      </c>
    </row>
    <row r="428" spans="1:21">
      <c r="A428">
        <v>0.98999471378444559</v>
      </c>
      <c r="B428">
        <v>-1.1266064213818772</v>
      </c>
      <c r="C428">
        <v>0.36090911109534562</v>
      </c>
      <c r="D428">
        <v>0.23050660058162425</v>
      </c>
      <c r="E428">
        <v>-0.1291285300527224</v>
      </c>
      <c r="F428">
        <v>-0.31874117035538241</v>
      </c>
      <c r="G428">
        <v>0.73037640984605368</v>
      </c>
      <c r="H428">
        <v>0.71230579589914389</v>
      </c>
      <c r="I428">
        <v>0.8994607282677517</v>
      </c>
      <c r="J428">
        <v>0.349954005152534</v>
      </c>
      <c r="L428">
        <v>3.0960569111460985</v>
      </c>
      <c r="M428">
        <v>4.4627653140880197</v>
      </c>
      <c r="N428">
        <v>3.6317328257110653</v>
      </c>
      <c r="P428">
        <v>3.6424571925435372E-11</v>
      </c>
      <c r="R428">
        <v>11.407017699081383</v>
      </c>
      <c r="S428">
        <v>11.431778758175978</v>
      </c>
      <c r="T428">
        <v>1</v>
      </c>
      <c r="U428">
        <v>1.9162336953380594</v>
      </c>
    </row>
    <row r="429" spans="1:21">
      <c r="A429">
        <v>0.97971497854080614</v>
      </c>
      <c r="B429">
        <v>-1.1503325628031422</v>
      </c>
      <c r="C429">
        <v>0.423861908185866</v>
      </c>
      <c r="D429">
        <v>-0.55611992174102587</v>
      </c>
      <c r="E429">
        <v>0.2685878996174495</v>
      </c>
      <c r="F429">
        <v>-7.0093838748912271E-2</v>
      </c>
      <c r="G429">
        <v>0.88265198461009775</v>
      </c>
      <c r="H429">
        <v>0.87564881372090164</v>
      </c>
      <c r="I429">
        <v>0.13154800672034228</v>
      </c>
      <c r="J429">
        <v>0.90212111360720837</v>
      </c>
      <c r="L429">
        <v>3.0960533544425708</v>
      </c>
      <c r="M429">
        <v>4.4627716446910206</v>
      </c>
      <c r="N429">
        <v>3.6317297640483153</v>
      </c>
      <c r="P429">
        <v>1.003167798342253E-10</v>
      </c>
      <c r="R429">
        <v>11.407017699081383</v>
      </c>
      <c r="S429">
        <v>11.431778758175978</v>
      </c>
      <c r="T429">
        <v>1</v>
      </c>
      <c r="U429">
        <v>1.9162336953380594</v>
      </c>
    </row>
    <row r="430" spans="1:21">
      <c r="A430">
        <v>0.97115693123978264</v>
      </c>
      <c r="B430">
        <v>-1.151529161252884</v>
      </c>
      <c r="C430">
        <v>0.40633717885525156</v>
      </c>
      <c r="D430">
        <v>1.9772775262589932E-2</v>
      </c>
      <c r="E430">
        <v>0.15866860892335671</v>
      </c>
      <c r="F430">
        <v>-0.47472812468349052</v>
      </c>
      <c r="G430">
        <v>9.8668327872741157E-2</v>
      </c>
      <c r="H430">
        <v>0.32164434163699129</v>
      </c>
      <c r="I430">
        <v>0.13362558684838693</v>
      </c>
      <c r="J430">
        <v>0.94197795940121476</v>
      </c>
      <c r="L430">
        <v>3.0960544505514709</v>
      </c>
      <c r="M430">
        <v>4.4627709225239025</v>
      </c>
      <c r="N430">
        <v>3.6317294918018059</v>
      </c>
      <c r="P430">
        <v>9.7711679638866895E-11</v>
      </c>
      <c r="R430">
        <v>11.407017699081383</v>
      </c>
      <c r="S430">
        <v>11.431778758175978</v>
      </c>
      <c r="T430">
        <v>1</v>
      </c>
      <c r="U430">
        <v>1.9162336953380594</v>
      </c>
    </row>
    <row r="431" spans="1:21">
      <c r="A431">
        <v>1.1729602719954375</v>
      </c>
      <c r="B431">
        <v>-0.9513779541600107</v>
      </c>
      <c r="C431">
        <v>0.12277229137122611</v>
      </c>
      <c r="D431">
        <v>0.65977834855250794</v>
      </c>
      <c r="E431">
        <v>0.16016022456531698</v>
      </c>
      <c r="F431">
        <v>0.17531883730778872</v>
      </c>
      <c r="G431">
        <v>0.83500251512702439</v>
      </c>
      <c r="H431">
        <v>0.24861736796229178</v>
      </c>
      <c r="I431">
        <v>0.38669043292341138</v>
      </c>
      <c r="J431">
        <v>0.77483191608643209</v>
      </c>
      <c r="L431">
        <v>3.0960545039695773</v>
      </c>
      <c r="M431">
        <v>4.4627647273745117</v>
      </c>
      <c r="N431">
        <v>0.84006744623707341</v>
      </c>
      <c r="P431">
        <v>2.2816545508539322E-12</v>
      </c>
      <c r="R431">
        <v>4.6357090519507596</v>
      </c>
      <c r="S431">
        <v>4.638002539904412</v>
      </c>
      <c r="T431">
        <v>1</v>
      </c>
      <c r="U431">
        <v>1.6744756138270898</v>
      </c>
    </row>
    <row r="432" spans="1:21">
      <c r="A432">
        <v>1.1659350312270058</v>
      </c>
      <c r="B432">
        <v>-0.94881029470960421</v>
      </c>
      <c r="C432">
        <v>0.12938628563682128</v>
      </c>
      <c r="D432">
        <v>3.2567917904239088E-2</v>
      </c>
      <c r="E432">
        <v>-4.9037681330650194E-2</v>
      </c>
      <c r="F432">
        <v>0.15101415135350957</v>
      </c>
      <c r="G432">
        <v>8.5150498298203731E-2</v>
      </c>
      <c r="H432">
        <v>0.1008819114828753</v>
      </c>
      <c r="I432">
        <v>0.6210969469379708</v>
      </c>
      <c r="J432">
        <v>0.7329662007703589</v>
      </c>
      <c r="L432">
        <v>3.0960542942680469</v>
      </c>
      <c r="M432">
        <v>4.4627645112920877</v>
      </c>
      <c r="N432">
        <v>0.8400674544353921</v>
      </c>
      <c r="P432">
        <v>2.0353591037505328E-12</v>
      </c>
      <c r="R432">
        <v>4.6357090519507596</v>
      </c>
      <c r="S432">
        <v>4.638002539904412</v>
      </c>
      <c r="T432">
        <v>1</v>
      </c>
      <c r="U432">
        <v>1.6744756138270898</v>
      </c>
    </row>
    <row r="433" spans="1:21">
      <c r="A433">
        <v>1.184625248666364</v>
      </c>
      <c r="B433">
        <v>-0.93435012185830524</v>
      </c>
      <c r="C433">
        <v>0.14850539555502829</v>
      </c>
      <c r="D433">
        <v>-0.72428082095326585</v>
      </c>
      <c r="E433">
        <v>-0.47253070715461309</v>
      </c>
      <c r="F433">
        <v>0.16629017457186385</v>
      </c>
      <c r="G433">
        <v>0.23054696850370165</v>
      </c>
      <c r="H433">
        <v>0.92218344508410022</v>
      </c>
      <c r="I433">
        <v>0.15098548916474547</v>
      </c>
      <c r="J433">
        <v>0.46535083563696789</v>
      </c>
      <c r="L433">
        <v>3.0960538761808079</v>
      </c>
      <c r="M433">
        <v>4.4627653830305327</v>
      </c>
      <c r="N433">
        <v>0.84006453613485843</v>
      </c>
      <c r="P433">
        <v>9.4690433626704127E-12</v>
      </c>
      <c r="R433">
        <v>4.6357090519507596</v>
      </c>
      <c r="S433">
        <v>4.638002539904412</v>
      </c>
      <c r="T433">
        <v>1</v>
      </c>
      <c r="U433">
        <v>1.6744756138270898</v>
      </c>
    </row>
    <row r="434" spans="1:21">
      <c r="A434">
        <v>1.1756628167096015</v>
      </c>
      <c r="B434">
        <v>-0.94073662367044775</v>
      </c>
      <c r="C434">
        <v>0.13234338324329264</v>
      </c>
      <c r="D434">
        <v>-0.11511504258493632</v>
      </c>
      <c r="E434">
        <v>-0.71388926903650374</v>
      </c>
      <c r="F434">
        <v>4.0197060902829006E-2</v>
      </c>
      <c r="G434">
        <v>0.19495672056395269</v>
      </c>
      <c r="H434">
        <v>0.50949004050381164</v>
      </c>
      <c r="I434">
        <v>0.1430028370069038</v>
      </c>
      <c r="J434">
        <v>0.26553491671372492</v>
      </c>
      <c r="L434">
        <v>3.096053779796359</v>
      </c>
      <c r="M434">
        <v>4.4627655707734935</v>
      </c>
      <c r="N434">
        <v>0.84006466252755663</v>
      </c>
      <c r="P434">
        <v>8.6585217330150662E-12</v>
      </c>
      <c r="R434">
        <v>4.6357090519507596</v>
      </c>
      <c r="S434">
        <v>4.638002539904412</v>
      </c>
      <c r="T434">
        <v>1</v>
      </c>
      <c r="U434">
        <v>1.6744756138270898</v>
      </c>
    </row>
    <row r="435" spans="1:21">
      <c r="A435">
        <v>1.174093031794667</v>
      </c>
      <c r="B435">
        <v>-0.95646100613524199</v>
      </c>
      <c r="C435">
        <v>0.13608235747361114</v>
      </c>
      <c r="D435">
        <v>0.36582432341464538</v>
      </c>
      <c r="E435">
        <v>0.78706034559343285</v>
      </c>
      <c r="F435">
        <v>-0.51908996342722447</v>
      </c>
      <c r="G435">
        <v>0.98046555212633979</v>
      </c>
      <c r="H435">
        <v>0.1149621095493009</v>
      </c>
      <c r="I435">
        <v>0.35261694494337131</v>
      </c>
      <c r="J435">
        <v>0.88662996699564578</v>
      </c>
      <c r="L435">
        <v>3.0960548218102404</v>
      </c>
      <c r="M435">
        <v>4.4627644033961165</v>
      </c>
      <c r="N435">
        <v>0.84006672794672743</v>
      </c>
      <c r="P435">
        <v>4.36248594279164E-12</v>
      </c>
      <c r="R435">
        <v>4.6357090519507596</v>
      </c>
      <c r="S435">
        <v>4.638002539904412</v>
      </c>
      <c r="T435">
        <v>1</v>
      </c>
      <c r="U435">
        <v>1.6744756138270898</v>
      </c>
    </row>
    <row r="436" spans="1:21">
      <c r="A436">
        <v>1.1881396465717333</v>
      </c>
      <c r="B436">
        <v>-0.93698835012193527</v>
      </c>
      <c r="C436">
        <v>0.13525553390546033</v>
      </c>
      <c r="D436">
        <v>-0.40778673293503137</v>
      </c>
      <c r="E436">
        <v>0.83240530752793906</v>
      </c>
      <c r="F436">
        <v>0.14287883206941332</v>
      </c>
      <c r="G436">
        <v>0.82707323501689989</v>
      </c>
      <c r="H436">
        <v>0.65135456077397036</v>
      </c>
      <c r="I436">
        <v>0.82342642280339085</v>
      </c>
      <c r="J436">
        <v>0.27932758680210995</v>
      </c>
      <c r="L436">
        <v>3.0960535012941213</v>
      </c>
      <c r="M436">
        <v>4.462765128473122</v>
      </c>
      <c r="N436">
        <v>0.84006781865204083</v>
      </c>
      <c r="P436">
        <v>2.7635497628322862E-13</v>
      </c>
      <c r="R436">
        <v>4.6357090519507596</v>
      </c>
      <c r="S436">
        <v>4.638002539904412</v>
      </c>
      <c r="T436">
        <v>1</v>
      </c>
      <c r="U436">
        <v>1.6744756138270898</v>
      </c>
    </row>
    <row r="437" spans="1:21">
      <c r="A437">
        <v>1.1871700291277416</v>
      </c>
      <c r="B437">
        <v>-0.93621165262988504</v>
      </c>
      <c r="C437">
        <v>0.13072526945850613</v>
      </c>
      <c r="D437">
        <v>0.26936395935662788</v>
      </c>
      <c r="E437">
        <v>0.10896364617424303</v>
      </c>
      <c r="F437">
        <v>0.37916625814282823</v>
      </c>
      <c r="G437">
        <v>0.705460836744499</v>
      </c>
      <c r="H437">
        <v>0.97668756463515816</v>
      </c>
      <c r="I437">
        <v>0.41398592656304473</v>
      </c>
      <c r="J437">
        <v>0.22602587129376867</v>
      </c>
      <c r="L437">
        <v>3.0960545860962165</v>
      </c>
      <c r="M437">
        <v>4.4627643653260574</v>
      </c>
      <c r="N437">
        <v>0.84006709168148819</v>
      </c>
      <c r="P437">
        <v>3.2403530132017038E-12</v>
      </c>
      <c r="R437">
        <v>4.6357090519507596</v>
      </c>
      <c r="S437">
        <v>4.638002539904412</v>
      </c>
      <c r="T437">
        <v>1</v>
      </c>
      <c r="U437">
        <v>1.6744756138270898</v>
      </c>
    </row>
    <row r="438" spans="1:21">
      <c r="A438">
        <v>1.1793394255297336</v>
      </c>
      <c r="B438">
        <v>-0.9440557470623</v>
      </c>
      <c r="C438">
        <v>0.13148801827514467</v>
      </c>
      <c r="D438">
        <v>0.27088709587854043</v>
      </c>
      <c r="E438">
        <v>0.41690241397117678</v>
      </c>
      <c r="F438">
        <v>0.22594124728031451</v>
      </c>
      <c r="G438">
        <v>0.82288324027127457</v>
      </c>
      <c r="H438">
        <v>0.70759950326200083</v>
      </c>
      <c r="I438">
        <v>0.67532743046761134</v>
      </c>
      <c r="J438">
        <v>0.71963799211086132</v>
      </c>
      <c r="L438">
        <v>3.0960548629059135</v>
      </c>
      <c r="M438">
        <v>4.4627645548051715</v>
      </c>
      <c r="N438">
        <v>0.84006491797880001</v>
      </c>
      <c r="P438">
        <v>1.0380988294043438E-11</v>
      </c>
      <c r="R438">
        <v>4.6357090519507596</v>
      </c>
      <c r="S438">
        <v>4.638002539904412</v>
      </c>
      <c r="T438">
        <v>1</v>
      </c>
      <c r="U438">
        <v>1.6744756138270898</v>
      </c>
    </row>
    <row r="439" spans="1:21">
      <c r="A439">
        <v>1.1754463697760094</v>
      </c>
      <c r="B439">
        <v>-0.94459238279868174</v>
      </c>
      <c r="C439">
        <v>0.14489909178508492</v>
      </c>
      <c r="D439">
        <v>-0.40413150279542059</v>
      </c>
      <c r="E439">
        <v>0.25730755225891305</v>
      </c>
      <c r="F439">
        <v>-0.84559915914232309</v>
      </c>
      <c r="G439">
        <v>0.94644838493037742</v>
      </c>
      <c r="H439">
        <v>0.97714449770102263</v>
      </c>
      <c r="I439">
        <v>0.99343647702469817</v>
      </c>
      <c r="J439">
        <v>0.73178702811269447</v>
      </c>
      <c r="L439">
        <v>3.0960549128910824</v>
      </c>
      <c r="M439">
        <v>4.4627642927795073</v>
      </c>
      <c r="N439">
        <v>0.84006626393790307</v>
      </c>
      <c r="P439">
        <v>5.8399757175240845E-12</v>
      </c>
      <c r="R439">
        <v>4.6357090519507596</v>
      </c>
      <c r="S439">
        <v>4.638002539904412</v>
      </c>
      <c r="T439">
        <v>1</v>
      </c>
      <c r="U439">
        <v>1.6744756138270898</v>
      </c>
    </row>
    <row r="440" spans="1:21">
      <c r="A440">
        <v>1.1786964093128887</v>
      </c>
      <c r="B440">
        <v>-0.94839549448342664</v>
      </c>
      <c r="C440">
        <v>0.13261687780370848</v>
      </c>
      <c r="D440">
        <v>0.45927722144633232</v>
      </c>
      <c r="E440">
        <v>0.396489969933839</v>
      </c>
      <c r="F440">
        <v>0.27657000056438014</v>
      </c>
      <c r="G440">
        <v>0.88784486126875983</v>
      </c>
      <c r="H440">
        <v>0.53937576986043334</v>
      </c>
      <c r="I440">
        <v>0.36160986403929074</v>
      </c>
      <c r="J440">
        <v>0.93651953588318881</v>
      </c>
      <c r="L440">
        <v>3.0960547258514821</v>
      </c>
      <c r="M440">
        <v>4.4627650174153262</v>
      </c>
      <c r="N440">
        <v>0.84006449343424516</v>
      </c>
      <c r="P440">
        <v>1.1825859582708753E-11</v>
      </c>
      <c r="R440">
        <v>4.6357090519507596</v>
      </c>
      <c r="S440">
        <v>4.638002539904412</v>
      </c>
      <c r="T440">
        <v>1</v>
      </c>
      <c r="U440">
        <v>1.6744756138270898</v>
      </c>
    </row>
    <row r="441" spans="1:21">
      <c r="A441">
        <v>1.041411549181837</v>
      </c>
      <c r="B441">
        <v>-1.0001958203357213</v>
      </c>
      <c r="C441">
        <v>0.10417720355601746</v>
      </c>
      <c r="D441">
        <v>8.2147317853512744E-2</v>
      </c>
      <c r="E441">
        <v>-4.4204759031269567E-2</v>
      </c>
      <c r="F441">
        <v>0.19132407444451735</v>
      </c>
      <c r="G441">
        <v>0.15323114929932072</v>
      </c>
      <c r="H441">
        <v>0.18005785000322674</v>
      </c>
      <c r="I441">
        <v>0.68572839448425849</v>
      </c>
      <c r="J441">
        <v>3.615755879147798E-2</v>
      </c>
      <c r="L441">
        <v>3.0960518395056558</v>
      </c>
      <c r="M441">
        <v>0.90857024189601954</v>
      </c>
      <c r="N441">
        <v>3.6317375372670746</v>
      </c>
      <c r="P441">
        <v>1.6702896065913489E-11</v>
      </c>
      <c r="R441">
        <v>8.6702125209460892</v>
      </c>
      <c r="S441">
        <v>8.6904484429411184</v>
      </c>
      <c r="T441">
        <v>1</v>
      </c>
      <c r="U441">
        <v>1.9146710972319407</v>
      </c>
    </row>
    <row r="442" spans="1:21">
      <c r="A442">
        <v>1.0386082464084259</v>
      </c>
      <c r="B442">
        <v>-1.005577543665146</v>
      </c>
      <c r="C442">
        <v>0.10528513991421276</v>
      </c>
      <c r="D442">
        <v>-0.29746367455684408</v>
      </c>
      <c r="E442">
        <v>-0.10486085551796233</v>
      </c>
      <c r="F442">
        <v>0.1394459525418659</v>
      </c>
      <c r="G442">
        <v>0.87601586756080962</v>
      </c>
      <c r="H442">
        <v>0.10443206611880264</v>
      </c>
      <c r="I442">
        <v>0.81023737344588542</v>
      </c>
      <c r="J442">
        <v>0.77811871836153701</v>
      </c>
      <c r="L442">
        <v>3.0960520059277719</v>
      </c>
      <c r="M442">
        <v>0.90857030177844678</v>
      </c>
      <c r="N442">
        <v>3.6317376947111271</v>
      </c>
      <c r="P442">
        <v>1.680916805809785E-11</v>
      </c>
      <c r="R442">
        <v>8.6702125209460892</v>
      </c>
      <c r="S442">
        <v>8.6904484429411184</v>
      </c>
      <c r="T442">
        <v>1</v>
      </c>
      <c r="U442">
        <v>1.9146710972319407</v>
      </c>
    </row>
    <row r="443" spans="1:21">
      <c r="A443">
        <v>1.0334743142240173</v>
      </c>
      <c r="B443">
        <v>-1.002378060436107</v>
      </c>
      <c r="C443">
        <v>0.10926888649598443</v>
      </c>
      <c r="D443">
        <v>-5.4079847907989843E-2</v>
      </c>
      <c r="E443">
        <v>-2.9059981743986961E-2</v>
      </c>
      <c r="F443">
        <v>-0.37917560250893412</v>
      </c>
      <c r="G443">
        <v>0.23380163249627045</v>
      </c>
      <c r="H443">
        <v>0.50542151301020566</v>
      </c>
      <c r="I443">
        <v>0.52223572151730291</v>
      </c>
      <c r="J443">
        <v>0.66965610229363581</v>
      </c>
      <c r="L443">
        <v>3.0960519181889263</v>
      </c>
      <c r="M443">
        <v>0.90857024750772764</v>
      </c>
      <c r="N443">
        <v>3.631737661020261</v>
      </c>
      <c r="P443">
        <v>1.6574197964518431E-11</v>
      </c>
      <c r="R443">
        <v>8.6702125209460892</v>
      </c>
      <c r="S443">
        <v>8.6904484429411184</v>
      </c>
      <c r="T443">
        <v>1</v>
      </c>
      <c r="U443">
        <v>1.9146710972319407</v>
      </c>
    </row>
    <row r="444" spans="1:21">
      <c r="A444">
        <v>1.0372221678858569</v>
      </c>
      <c r="B444">
        <v>-1.0193700592244015</v>
      </c>
      <c r="C444">
        <v>0.15458477119641553</v>
      </c>
      <c r="D444">
        <v>4.9062579691049484E-2</v>
      </c>
      <c r="E444">
        <v>-0.10012188838897458</v>
      </c>
      <c r="F444">
        <v>0.79920221554589532</v>
      </c>
      <c r="G444">
        <v>0.85494033870572128</v>
      </c>
      <c r="H444">
        <v>0.93726941996429214</v>
      </c>
      <c r="I444">
        <v>0.2226352482282507</v>
      </c>
      <c r="J444">
        <v>0.79794340811949971</v>
      </c>
      <c r="L444">
        <v>3.0960520388259485</v>
      </c>
      <c r="M444">
        <v>0.90857038345813146</v>
      </c>
      <c r="N444">
        <v>3.6317374014083046</v>
      </c>
      <c r="P444">
        <v>1.7368129495992924E-11</v>
      </c>
      <c r="R444">
        <v>8.6702125209460892</v>
      </c>
      <c r="S444">
        <v>8.6904484429411184</v>
      </c>
      <c r="T444">
        <v>1</v>
      </c>
      <c r="U444">
        <v>1.9146710972319407</v>
      </c>
    </row>
    <row r="445" spans="1:21">
      <c r="A445">
        <v>1.0363634027008404</v>
      </c>
      <c r="B445">
        <v>-1.012227396147485</v>
      </c>
      <c r="C445">
        <v>0.13704511018538199</v>
      </c>
      <c r="D445">
        <v>0.20621593626974555</v>
      </c>
      <c r="E445">
        <v>-0.18741304652494403</v>
      </c>
      <c r="F445">
        <v>0.55231545208719912</v>
      </c>
      <c r="G445">
        <v>0.31414489562221526</v>
      </c>
      <c r="H445">
        <v>0.71208468442789119</v>
      </c>
      <c r="I445">
        <v>8.9736975565361199E-2</v>
      </c>
      <c r="J445">
        <v>0.5926313374003096</v>
      </c>
      <c r="L445">
        <v>3.0960522497417822</v>
      </c>
      <c r="M445">
        <v>0.90857045623621946</v>
      </c>
      <c r="N445">
        <v>3.6317373633107293</v>
      </c>
      <c r="P445">
        <v>1.7562306778914975E-11</v>
      </c>
      <c r="R445">
        <v>8.6702125209460892</v>
      </c>
      <c r="S445">
        <v>8.6904484429411184</v>
      </c>
      <c r="T445">
        <v>1</v>
      </c>
      <c r="U445">
        <v>1.9146710972319407</v>
      </c>
    </row>
    <row r="446" spans="1:21">
      <c r="A446">
        <v>1.0382231039531893</v>
      </c>
      <c r="B446">
        <v>-1.0145815575026065</v>
      </c>
      <c r="C446">
        <v>0.14868953338194449</v>
      </c>
      <c r="D446">
        <v>-0.21119615159861072</v>
      </c>
      <c r="E446">
        <v>-8.9294387474628395E-2</v>
      </c>
      <c r="F446">
        <v>-2.128789539885536E-2</v>
      </c>
      <c r="G446">
        <v>0.87359689931953366</v>
      </c>
      <c r="H446">
        <v>0.96232543170319762</v>
      </c>
      <c r="I446">
        <v>0.50652615562841796</v>
      </c>
      <c r="J446">
        <v>0.20438326721443983</v>
      </c>
      <c r="L446">
        <v>3.0960519338732939</v>
      </c>
      <c r="M446">
        <v>0.90857029759598296</v>
      </c>
      <c r="N446">
        <v>3.631737552900892</v>
      </c>
      <c r="P446">
        <v>1.6908978096057219E-11</v>
      </c>
      <c r="R446">
        <v>8.6702125209460892</v>
      </c>
      <c r="S446">
        <v>8.6904484429411184</v>
      </c>
      <c r="T446">
        <v>1</v>
      </c>
      <c r="U446">
        <v>1.9146710972319407</v>
      </c>
    </row>
    <row r="447" spans="1:21">
      <c r="A447">
        <v>1.0361505193400811</v>
      </c>
      <c r="B447">
        <v>-1.0203832060257729</v>
      </c>
      <c r="C447">
        <v>0.15349279831963816</v>
      </c>
      <c r="D447">
        <v>9.8781776444087227E-2</v>
      </c>
      <c r="E447">
        <v>5.3290523220773656E-2</v>
      </c>
      <c r="F447">
        <v>0.18198867899453258</v>
      </c>
      <c r="G447">
        <v>0.73718391945887962</v>
      </c>
      <c r="H447">
        <v>0.79675842898868232</v>
      </c>
      <c r="I447">
        <v>0.16007226536481839</v>
      </c>
      <c r="J447">
        <v>0.20690390529899597</v>
      </c>
      <c r="L447">
        <v>3.0960521607809941</v>
      </c>
      <c r="M447">
        <v>0.90857044740223525</v>
      </c>
      <c r="N447">
        <v>3.6317372684409781</v>
      </c>
      <c r="P447">
        <v>1.7688232309973559E-11</v>
      </c>
      <c r="R447">
        <v>8.6702125209460892</v>
      </c>
      <c r="S447">
        <v>8.6904484429411184</v>
      </c>
      <c r="T447">
        <v>1</v>
      </c>
      <c r="U447">
        <v>1.9146710972319407</v>
      </c>
    </row>
    <row r="448" spans="1:21">
      <c r="A448">
        <v>1.0363471271825702</v>
      </c>
      <c r="B448">
        <v>-1.003733061979688</v>
      </c>
      <c r="C448">
        <v>0.12403729296447269</v>
      </c>
      <c r="D448">
        <v>-0.18232737228474788</v>
      </c>
      <c r="E448">
        <v>-0.29670854043533496</v>
      </c>
      <c r="F448">
        <v>0.20812365891490328</v>
      </c>
      <c r="G448">
        <v>0.23683700049537909</v>
      </c>
      <c r="H448">
        <v>0.71401130498736587</v>
      </c>
      <c r="I448">
        <v>0.38660209400480011</v>
      </c>
      <c r="J448">
        <v>0.72426264161931109</v>
      </c>
      <c r="L448">
        <v>3.0960518620138879</v>
      </c>
      <c r="M448">
        <v>0.90857020925198173</v>
      </c>
      <c r="N448">
        <v>3.6317376727157753</v>
      </c>
      <c r="P448">
        <v>1.6418601882390967E-11</v>
      </c>
      <c r="R448">
        <v>8.6702125209460892</v>
      </c>
      <c r="S448">
        <v>8.6904484429411184</v>
      </c>
      <c r="T448">
        <v>1</v>
      </c>
      <c r="U448">
        <v>1.9146710972319407</v>
      </c>
    </row>
    <row r="449" spans="1:21">
      <c r="A449">
        <v>1.0398363185171744</v>
      </c>
      <c r="B449">
        <v>-1.0045649136189401</v>
      </c>
      <c r="C449">
        <v>0.10331409333281409</v>
      </c>
      <c r="D449">
        <v>5.2509920327042027E-2</v>
      </c>
      <c r="E449">
        <v>-0.22714976622246205</v>
      </c>
      <c r="F449">
        <v>0.19868384334723455</v>
      </c>
      <c r="G449">
        <v>0.92281084213329312</v>
      </c>
      <c r="H449">
        <v>0.34384532764858156</v>
      </c>
      <c r="I449">
        <v>0.830571779707167</v>
      </c>
      <c r="J449">
        <v>0.75276117979920598</v>
      </c>
      <c r="L449">
        <v>3.0960519906223705</v>
      </c>
      <c r="M449">
        <v>0.90857035569593614</v>
      </c>
      <c r="N449">
        <v>3.6317374066160757</v>
      </c>
      <c r="P449">
        <v>1.7249748298908944E-11</v>
      </c>
      <c r="R449">
        <v>8.6702125209460892</v>
      </c>
      <c r="S449">
        <v>8.6904484429411184</v>
      </c>
      <c r="T449">
        <v>1</v>
      </c>
      <c r="U449">
        <v>1.9146710972319407</v>
      </c>
    </row>
    <row r="450" spans="1:21">
      <c r="A450">
        <v>1.0415214644198618</v>
      </c>
      <c r="B450">
        <v>-1.001389475892994</v>
      </c>
      <c r="C450">
        <v>0.11301673188606083</v>
      </c>
      <c r="D450">
        <v>0.52833187309909557</v>
      </c>
      <c r="E450">
        <v>-0.60991700279908956</v>
      </c>
      <c r="F450">
        <v>0.61899023589686086</v>
      </c>
      <c r="G450">
        <v>7.4176050632608889E-2</v>
      </c>
      <c r="H450">
        <v>0.64483242900738214</v>
      </c>
      <c r="I450">
        <v>0.22683937124798859</v>
      </c>
      <c r="J450">
        <v>0.28017006433130431</v>
      </c>
      <c r="L450">
        <v>3.0960521403199879</v>
      </c>
      <c r="M450">
        <v>0.90857041108437064</v>
      </c>
      <c r="N450">
        <v>3.6317373393822896</v>
      </c>
      <c r="P450">
        <v>1.7402033670288613E-11</v>
      </c>
      <c r="R450">
        <v>8.6702125209460892</v>
      </c>
      <c r="S450">
        <v>8.6904484429411184</v>
      </c>
      <c r="T450">
        <v>1</v>
      </c>
      <c r="U450">
        <v>1.9146710972319407</v>
      </c>
    </row>
    <row r="451" spans="1:21">
      <c r="A451">
        <v>0.8824044482147817</v>
      </c>
      <c r="B451">
        <v>-0.93532490729467777</v>
      </c>
      <c r="C451">
        <v>-0.26540530376572019</v>
      </c>
      <c r="D451">
        <v>-1.9345425038421831E-2</v>
      </c>
      <c r="E451">
        <v>0.69612572511135584</v>
      </c>
      <c r="F451">
        <v>-9.4174270459113113E-2</v>
      </c>
      <c r="G451">
        <v>0.68934086688638441</v>
      </c>
      <c r="H451">
        <v>0.25695227280907179</v>
      </c>
      <c r="I451">
        <v>0.87908814704151361</v>
      </c>
      <c r="J451">
        <v>7.5833651953192777E-2</v>
      </c>
      <c r="L451">
        <v>3.0960524525654738</v>
      </c>
      <c r="M451">
        <v>0.90856790049644343</v>
      </c>
      <c r="N451">
        <v>0.84006841045928726</v>
      </c>
      <c r="P451">
        <v>3.6142356157654454E-12</v>
      </c>
      <c r="R451">
        <v>12.491015365653295</v>
      </c>
      <c r="S451">
        <v>12.611025430513319</v>
      </c>
      <c r="T451">
        <v>1</v>
      </c>
      <c r="U451">
        <v>1.6714400023299787</v>
      </c>
    </row>
    <row r="452" spans="1:21">
      <c r="A452">
        <v>0.90261963604995665</v>
      </c>
      <c r="B452">
        <v>-0.94807991573402861</v>
      </c>
      <c r="C452">
        <v>-0.21766640463680623</v>
      </c>
      <c r="D452">
        <v>0.40768075728161568</v>
      </c>
      <c r="E452">
        <v>0.16568893829077327</v>
      </c>
      <c r="F452">
        <v>-0.3369306498539813</v>
      </c>
      <c r="G452">
        <v>0.5427979849882042</v>
      </c>
      <c r="H452">
        <v>6.8109059005979827E-2</v>
      </c>
      <c r="I452">
        <v>0.25050115638470483</v>
      </c>
      <c r="J452">
        <v>0.73396190064812594</v>
      </c>
      <c r="L452">
        <v>3.0960524523805257</v>
      </c>
      <c r="M452">
        <v>0.90856785427031905</v>
      </c>
      <c r="N452">
        <v>0.84006835150193848</v>
      </c>
      <c r="P452">
        <v>3.3718568493634853E-12</v>
      </c>
      <c r="R452">
        <v>12.491015365653295</v>
      </c>
      <c r="S452">
        <v>12.611025430513319</v>
      </c>
      <c r="T452">
        <v>1</v>
      </c>
      <c r="U452">
        <v>1.6714400023299787</v>
      </c>
    </row>
    <row r="453" spans="1:21">
      <c r="A453">
        <v>0.886819933420817</v>
      </c>
      <c r="B453">
        <v>-0.93558310964002189</v>
      </c>
      <c r="C453">
        <v>-0.25113772476472762</v>
      </c>
      <c r="D453">
        <v>-0.22318050641447723</v>
      </c>
      <c r="E453">
        <v>-0.8314665223645793</v>
      </c>
      <c r="F453">
        <v>0.20785428229775182</v>
      </c>
      <c r="G453">
        <v>1.0053344859262696</v>
      </c>
      <c r="H453">
        <v>0.65640891642590427</v>
      </c>
      <c r="I453">
        <v>0.20906136095170022</v>
      </c>
      <c r="J453">
        <v>0.86060499395255019</v>
      </c>
      <c r="L453">
        <v>3.0960524092811235</v>
      </c>
      <c r="M453">
        <v>0.90856786068915818</v>
      </c>
      <c r="N453">
        <v>0.84006837200669526</v>
      </c>
      <c r="P453">
        <v>3.4843214969961436E-12</v>
      </c>
      <c r="R453">
        <v>12.491015365653295</v>
      </c>
      <c r="S453">
        <v>12.611025430513319</v>
      </c>
      <c r="T453">
        <v>1</v>
      </c>
      <c r="U453">
        <v>1.6714400023299787</v>
      </c>
    </row>
    <row r="454" spans="1:21">
      <c r="A454">
        <v>0.84513570786384196</v>
      </c>
      <c r="B454">
        <v>-0.92672601357086426</v>
      </c>
      <c r="C454">
        <v>-0.31731169910655099</v>
      </c>
      <c r="D454">
        <v>-0.15307243432110243</v>
      </c>
      <c r="E454">
        <v>0.33782448117219016</v>
      </c>
      <c r="F454">
        <v>6.7696291154128674E-2</v>
      </c>
      <c r="G454">
        <v>0.90682429182049518</v>
      </c>
      <c r="H454">
        <v>0.9497282464303598</v>
      </c>
      <c r="I454">
        <v>0.42332185278063555</v>
      </c>
      <c r="J454">
        <v>0.15071158291507322</v>
      </c>
      <c r="L454">
        <v>3.096052539568773</v>
      </c>
      <c r="M454">
        <v>0.90856792494454008</v>
      </c>
      <c r="N454">
        <v>0.84006848734402495</v>
      </c>
      <c r="P454">
        <v>3.7271475470775751E-12</v>
      </c>
      <c r="R454">
        <v>12.491015365653295</v>
      </c>
      <c r="S454">
        <v>12.611025430513319</v>
      </c>
      <c r="T454">
        <v>1</v>
      </c>
      <c r="U454">
        <v>1.6714400023299787</v>
      </c>
    </row>
    <row r="455" spans="1:21">
      <c r="A455">
        <v>0.91740392596083753</v>
      </c>
      <c r="B455">
        <v>-0.93816577916028598</v>
      </c>
      <c r="C455">
        <v>-0.20227180311515813</v>
      </c>
      <c r="D455">
        <v>0.2138453481330285</v>
      </c>
      <c r="E455">
        <v>0.30981410778006907</v>
      </c>
      <c r="F455">
        <v>0.41626656613656826</v>
      </c>
      <c r="G455">
        <v>4.2742807153753191E-2</v>
      </c>
      <c r="H455">
        <v>0.40876338092927023</v>
      </c>
      <c r="I455">
        <v>0.87932639514918054</v>
      </c>
      <c r="J455">
        <v>0.61473355134378205</v>
      </c>
      <c r="L455">
        <v>3.0960524769066278</v>
      </c>
      <c r="M455">
        <v>0.90856772162536681</v>
      </c>
      <c r="N455">
        <v>0.84006842384050795</v>
      </c>
      <c r="P455">
        <v>3.0869356540032893E-12</v>
      </c>
      <c r="R455">
        <v>12.491015365653295</v>
      </c>
      <c r="S455">
        <v>12.611025430513319</v>
      </c>
      <c r="T455">
        <v>1</v>
      </c>
      <c r="U455">
        <v>1.6714400023299787</v>
      </c>
    </row>
    <row r="456" spans="1:21">
      <c r="A456">
        <v>0.88561749420365599</v>
      </c>
      <c r="B456">
        <v>-0.93122208936158501</v>
      </c>
      <c r="C456">
        <v>-0.25454055628532746</v>
      </c>
      <c r="D456">
        <v>0.64706607521944071</v>
      </c>
      <c r="E456">
        <v>0.67457832770725035</v>
      </c>
      <c r="F456">
        <v>0.54503440833317274</v>
      </c>
      <c r="G456">
        <v>0.20111591993002773</v>
      </c>
      <c r="H456">
        <v>1.0142336232728235</v>
      </c>
      <c r="I456">
        <v>0.8585555840578134</v>
      </c>
      <c r="J456">
        <v>0.35738094459434683</v>
      </c>
      <c r="L456">
        <v>3.0960524064111223</v>
      </c>
      <c r="M456">
        <v>0.90856801045460034</v>
      </c>
      <c r="N456">
        <v>0.8400683082072663</v>
      </c>
      <c r="P456">
        <v>3.8558175126062618E-12</v>
      </c>
      <c r="R456">
        <v>12.491015365653295</v>
      </c>
      <c r="S456">
        <v>12.611025430513319</v>
      </c>
      <c r="T456">
        <v>1</v>
      </c>
      <c r="U456">
        <v>1.6714400023299787</v>
      </c>
    </row>
    <row r="457" spans="1:21">
      <c r="A457">
        <v>0.90855473897096894</v>
      </c>
      <c r="B457">
        <v>-0.94302826764805459</v>
      </c>
      <c r="C457">
        <v>-0.21980640951813427</v>
      </c>
      <c r="D457">
        <v>0.18659548422100014</v>
      </c>
      <c r="E457">
        <v>-0.66488576920143605</v>
      </c>
      <c r="F457">
        <v>0.50876741469429254</v>
      </c>
      <c r="G457">
        <v>0.59879764842217853</v>
      </c>
      <c r="H457">
        <v>8.138601800880442E-2</v>
      </c>
      <c r="I457">
        <v>0.11217634980412905</v>
      </c>
      <c r="J457">
        <v>0.95871596607690701</v>
      </c>
      <c r="L457">
        <v>3.0960524315406062</v>
      </c>
      <c r="M457">
        <v>0.90856791832835915</v>
      </c>
      <c r="N457">
        <v>0.84006833873003117</v>
      </c>
      <c r="P457">
        <v>3.5743585844256424E-12</v>
      </c>
      <c r="R457">
        <v>12.491015365653295</v>
      </c>
      <c r="S457">
        <v>12.611025430513319</v>
      </c>
      <c r="T457">
        <v>1</v>
      </c>
      <c r="U457">
        <v>1.6714400023299787</v>
      </c>
    </row>
    <row r="458" spans="1:21">
      <c r="A458">
        <v>0.88060707432328855</v>
      </c>
      <c r="B458">
        <v>-0.93451562153390921</v>
      </c>
      <c r="C458">
        <v>-0.25036827728889544</v>
      </c>
      <c r="D458">
        <v>0.10018712153878094</v>
      </c>
      <c r="E458">
        <v>-0.47642217161922323</v>
      </c>
      <c r="F458">
        <v>-0.80342572617041486</v>
      </c>
      <c r="G458">
        <v>0.60498791914379102</v>
      </c>
      <c r="H458">
        <v>1.0128300909845127</v>
      </c>
      <c r="I458">
        <v>0.1243875016751462</v>
      </c>
      <c r="J458">
        <v>0.13103832284444963</v>
      </c>
      <c r="L458">
        <v>3.0960525255069782</v>
      </c>
      <c r="M458">
        <v>0.90856785622725844</v>
      </c>
      <c r="N458">
        <v>0.84006843312015256</v>
      </c>
      <c r="P458">
        <v>3.4301605785545937E-12</v>
      </c>
      <c r="R458">
        <v>12.491015365653295</v>
      </c>
      <c r="S458">
        <v>12.611025430513319</v>
      </c>
      <c r="T458">
        <v>1</v>
      </c>
      <c r="U458">
        <v>1.6714400023299787</v>
      </c>
    </row>
    <row r="459" spans="1:21">
      <c r="A459">
        <v>0.94274191004069374</v>
      </c>
      <c r="B459">
        <v>-0.94494673220650005</v>
      </c>
      <c r="C459">
        <v>-0.16382084709440897</v>
      </c>
      <c r="D459">
        <v>0.66544804654954892</v>
      </c>
      <c r="E459">
        <v>-0.80942406505425635</v>
      </c>
      <c r="F459">
        <v>-0.44060996457604523</v>
      </c>
      <c r="G459">
        <v>0.85241755467461755</v>
      </c>
      <c r="H459">
        <v>0.91745539614911675</v>
      </c>
      <c r="I459">
        <v>0.92135004121308639</v>
      </c>
      <c r="J459">
        <v>0.89337076062933196</v>
      </c>
      <c r="L459">
        <v>3.0960526519658886</v>
      </c>
      <c r="M459">
        <v>0.90856784651499978</v>
      </c>
      <c r="N459">
        <v>0.84006845214703074</v>
      </c>
      <c r="P459">
        <v>3.3047566126567255E-12</v>
      </c>
      <c r="R459">
        <v>12.491015365653295</v>
      </c>
      <c r="S459">
        <v>12.611025430513319</v>
      </c>
      <c r="T459">
        <v>1</v>
      </c>
      <c r="U459">
        <v>1.6714400023299787</v>
      </c>
    </row>
    <row r="460" spans="1:21">
      <c r="A460">
        <v>0.91594410770268664</v>
      </c>
      <c r="B460">
        <v>-0.93118308584902698</v>
      </c>
      <c r="C460">
        <v>-0.23202750109533571</v>
      </c>
      <c r="D460">
        <v>0.31397093776354779</v>
      </c>
      <c r="E460">
        <v>-0.63174352209425666</v>
      </c>
      <c r="F460">
        <v>0.59581928877304768</v>
      </c>
      <c r="G460">
        <v>0.62140951457820026</v>
      </c>
      <c r="H460">
        <v>0.51299800574021059</v>
      </c>
      <c r="I460">
        <v>0.89416420496562943</v>
      </c>
      <c r="J460">
        <v>6.8680707367671914E-2</v>
      </c>
      <c r="L460">
        <v>3.0960524705385182</v>
      </c>
      <c r="M460">
        <v>0.90856791698901751</v>
      </c>
      <c r="N460">
        <v>0.8400684338305251</v>
      </c>
      <c r="P460">
        <v>3.6845161999906215E-12</v>
      </c>
      <c r="R460">
        <v>12.491015365653295</v>
      </c>
      <c r="S460">
        <v>12.611025430513319</v>
      </c>
      <c r="T460">
        <v>1</v>
      </c>
      <c r="U460">
        <v>1.6714400023299787</v>
      </c>
    </row>
    <row r="461" spans="1:21">
      <c r="A461">
        <v>1.0674804412153556</v>
      </c>
      <c r="B461">
        <v>-0.92853318715288691</v>
      </c>
      <c r="C461">
        <v>-3.681487781782164E-2</v>
      </c>
      <c r="D461">
        <v>0.12299751382278737</v>
      </c>
      <c r="E461">
        <v>-0.25304262092845586</v>
      </c>
      <c r="F461">
        <v>0.91058945908542566</v>
      </c>
      <c r="G461">
        <v>0.75569600238684786</v>
      </c>
      <c r="H461">
        <v>0.96494112102849616</v>
      </c>
      <c r="I461">
        <v>0.57628055913131682</v>
      </c>
      <c r="J461">
        <v>0.19464311940562962</v>
      </c>
      <c r="L461">
        <v>3.0960528845425985</v>
      </c>
      <c r="M461">
        <v>3.6317371523831055</v>
      </c>
      <c r="N461">
        <v>0.84006747769095813</v>
      </c>
      <c r="P461">
        <v>1.8201373840641507E-13</v>
      </c>
      <c r="R461">
        <v>4.0498565184144342</v>
      </c>
      <c r="S461">
        <v>4.0515953972785423</v>
      </c>
      <c r="T461">
        <v>1</v>
      </c>
      <c r="U461">
        <v>1.9210899607510143</v>
      </c>
    </row>
    <row r="462" spans="1:21">
      <c r="A462">
        <v>1.0609171883251376</v>
      </c>
      <c r="B462">
        <v>-0.94287725857713767</v>
      </c>
      <c r="C462">
        <v>-2.2971335047966671E-2</v>
      </c>
      <c r="D462">
        <v>-0.28237552354112166</v>
      </c>
      <c r="E462">
        <v>-0.16800004513795133</v>
      </c>
      <c r="F462">
        <v>0.41778445856698848</v>
      </c>
      <c r="G462">
        <v>0.7066804004782421</v>
      </c>
      <c r="H462">
        <v>0.10412601760665202</v>
      </c>
      <c r="I462">
        <v>0.70494928319201433</v>
      </c>
      <c r="J462">
        <v>0.81958418666672384</v>
      </c>
      <c r="L462">
        <v>3.096053612295901</v>
      </c>
      <c r="M462">
        <v>3.6317369114782587</v>
      </c>
      <c r="N462">
        <v>0.84006627867529038</v>
      </c>
      <c r="P462">
        <v>2.1437470324837719E-12</v>
      </c>
      <c r="R462">
        <v>4.0498565184144342</v>
      </c>
      <c r="S462">
        <v>4.0515953972785423</v>
      </c>
      <c r="T462">
        <v>1</v>
      </c>
      <c r="U462">
        <v>1.9210899607510143</v>
      </c>
    </row>
    <row r="463" spans="1:21">
      <c r="A463">
        <v>1.0667075469332024</v>
      </c>
      <c r="B463">
        <v>-0.94531649079735902</v>
      </c>
      <c r="C463">
        <v>-9.5078243705967319E-3</v>
      </c>
      <c r="D463">
        <v>0.1440274782234808</v>
      </c>
      <c r="E463">
        <v>0.5549016749552339</v>
      </c>
      <c r="F463">
        <v>-0.47778486349870081</v>
      </c>
      <c r="G463">
        <v>0.57838187957520626</v>
      </c>
      <c r="H463">
        <v>0.3051047585900678</v>
      </c>
      <c r="I463">
        <v>0.23640519092039378</v>
      </c>
      <c r="J463">
        <v>0.3141025215902265</v>
      </c>
      <c r="L463">
        <v>3.096053645269905</v>
      </c>
      <c r="M463">
        <v>3.6317369406046613</v>
      </c>
      <c r="N463">
        <v>0.84006623898736132</v>
      </c>
      <c r="P463">
        <v>2.2435320171916499E-12</v>
      </c>
      <c r="R463">
        <v>4.0498565184144342</v>
      </c>
      <c r="S463">
        <v>4.0515953972785423</v>
      </c>
      <c r="T463">
        <v>1</v>
      </c>
      <c r="U463">
        <v>1.9210899607510143</v>
      </c>
    </row>
    <row r="464" spans="1:21">
      <c r="A464">
        <v>1.0639686187152528</v>
      </c>
      <c r="B464">
        <v>-0.93575497087989212</v>
      </c>
      <c r="C464">
        <v>-9.3773606926364269E-3</v>
      </c>
      <c r="D464">
        <v>-0.61276994708006549</v>
      </c>
      <c r="E464">
        <v>-0.12428315200870317</v>
      </c>
      <c r="F464">
        <v>5.7949281541377407E-2</v>
      </c>
      <c r="G464">
        <v>6.6489494021989864E-2</v>
      </c>
      <c r="H464">
        <v>0.46743833839019644</v>
      </c>
      <c r="I464">
        <v>0.14856519246146085</v>
      </c>
      <c r="J464">
        <v>0.32421040290143832</v>
      </c>
      <c r="L464">
        <v>3.0960535792314374</v>
      </c>
      <c r="M464">
        <v>3.631736510319179</v>
      </c>
      <c r="N464">
        <v>0.84006747293799422</v>
      </c>
      <c r="P464">
        <v>1.2279798250891526E-12</v>
      </c>
      <c r="R464">
        <v>4.0498565184144342</v>
      </c>
      <c r="S464">
        <v>4.0515953972785423</v>
      </c>
      <c r="T464">
        <v>1</v>
      </c>
      <c r="U464">
        <v>1.9210899607510143</v>
      </c>
    </row>
    <row r="465" spans="1:21">
      <c r="A465">
        <v>1.0558504042070962</v>
      </c>
      <c r="B465">
        <v>-0.95040958050031243</v>
      </c>
      <c r="C465">
        <v>-2.4228182237274157E-3</v>
      </c>
      <c r="D465">
        <v>-1.9096058370385149E-2</v>
      </c>
      <c r="E465">
        <v>-0.39421131551802524</v>
      </c>
      <c r="F465">
        <v>-0.37147443554222764</v>
      </c>
      <c r="G465">
        <v>5.6253501072287063E-2</v>
      </c>
      <c r="H465">
        <v>0.10395289668696829</v>
      </c>
      <c r="I465">
        <v>0.18771201184250275</v>
      </c>
      <c r="J465">
        <v>0.84916830395427756</v>
      </c>
      <c r="L465">
        <v>3.0960544597205693</v>
      </c>
      <c r="M465">
        <v>3.631736186829261</v>
      </c>
      <c r="N465">
        <v>0.84006647452528804</v>
      </c>
      <c r="P465">
        <v>4.6652236406772575E-12</v>
      </c>
      <c r="R465">
        <v>4.0498565184144342</v>
      </c>
      <c r="S465">
        <v>4.0515953972785423</v>
      </c>
      <c r="T465">
        <v>1</v>
      </c>
      <c r="U465">
        <v>1.9210899607510143</v>
      </c>
    </row>
    <row r="466" spans="1:21">
      <c r="A466">
        <v>1.0642741143405221</v>
      </c>
      <c r="B466">
        <v>-0.93434715280170988</v>
      </c>
      <c r="C466">
        <v>-1.7622462562541276E-2</v>
      </c>
      <c r="D466">
        <v>-0.21710644493781797</v>
      </c>
      <c r="E466">
        <v>0.29461791386531172</v>
      </c>
      <c r="F466">
        <v>0.66209652397250807</v>
      </c>
      <c r="G466">
        <v>0.10051769542940045</v>
      </c>
      <c r="H466">
        <v>0.57221396219767395</v>
      </c>
      <c r="I466">
        <v>0.59392416504381951</v>
      </c>
      <c r="J466">
        <v>0.45139001031546483</v>
      </c>
      <c r="L466">
        <v>3.0960535536311293</v>
      </c>
      <c r="M466">
        <v>3.6317365146631424</v>
      </c>
      <c r="N466">
        <v>0.84006747214953825</v>
      </c>
      <c r="P466">
        <v>1.1959524027486236E-12</v>
      </c>
      <c r="R466">
        <v>4.0498565184144342</v>
      </c>
      <c r="S466">
        <v>4.0515953972785423</v>
      </c>
      <c r="T466">
        <v>1</v>
      </c>
      <c r="U466">
        <v>1.9210899607510143</v>
      </c>
    </row>
    <row r="467" spans="1:21">
      <c r="A467">
        <v>1.0605288970126869</v>
      </c>
      <c r="B467">
        <v>-0.93438715770208824</v>
      </c>
      <c r="C467">
        <v>-3.3239540917075823E-2</v>
      </c>
      <c r="D467">
        <v>0.33327816676395611</v>
      </c>
      <c r="E467">
        <v>-0.37357836667183114</v>
      </c>
      <c r="F467">
        <v>0.1233162496789241</v>
      </c>
      <c r="G467">
        <v>0.59030029611660273</v>
      </c>
      <c r="H467">
        <v>0.88958069360669567</v>
      </c>
      <c r="I467">
        <v>0.98926277344716984</v>
      </c>
      <c r="J467">
        <v>4.1206817065012266E-2</v>
      </c>
      <c r="L467">
        <v>3.096054394564316</v>
      </c>
      <c r="M467">
        <v>3.6317361830963661</v>
      </c>
      <c r="N467">
        <v>0.84006634662468238</v>
      </c>
      <c r="P467">
        <v>4.7859754789033138E-12</v>
      </c>
      <c r="R467">
        <v>4.0498565184144342</v>
      </c>
      <c r="S467">
        <v>4.0515953972785423</v>
      </c>
      <c r="T467">
        <v>1</v>
      </c>
      <c r="U467">
        <v>1.9210899607510143</v>
      </c>
    </row>
    <row r="468" spans="1:21">
      <c r="A468">
        <v>1.0552488855327917</v>
      </c>
      <c r="B468">
        <v>-0.94462745011340399</v>
      </c>
      <c r="C468">
        <v>-8.7952337819432059E-3</v>
      </c>
      <c r="D468">
        <v>0.17703502999869394</v>
      </c>
      <c r="E468">
        <v>-0.6802874157902572</v>
      </c>
      <c r="F468">
        <v>-0.16654371380297964</v>
      </c>
      <c r="G468">
        <v>0.13401429390017683</v>
      </c>
      <c r="H468">
        <v>0.64003669031952926</v>
      </c>
      <c r="I468">
        <v>0.45393536099936238</v>
      </c>
      <c r="J468">
        <v>0.77716170994689937</v>
      </c>
      <c r="L468">
        <v>3.096054118160477</v>
      </c>
      <c r="M468">
        <v>3.6317365375024595</v>
      </c>
      <c r="N468">
        <v>0.84006612184616458</v>
      </c>
      <c r="P468">
        <v>3.9106982220793441E-12</v>
      </c>
      <c r="R468">
        <v>4.0498565184144342</v>
      </c>
      <c r="S468">
        <v>4.0515953972785423</v>
      </c>
      <c r="T468">
        <v>1</v>
      </c>
      <c r="U468">
        <v>1.9210899607510143</v>
      </c>
    </row>
    <row r="469" spans="1:21">
      <c r="A469">
        <v>1.0560224108713991</v>
      </c>
      <c r="B469">
        <v>-0.94737372375259699</v>
      </c>
      <c r="C469">
        <v>-2.219748231432458E-3</v>
      </c>
      <c r="D469">
        <v>-0.18632693985524162</v>
      </c>
      <c r="E469">
        <v>0.12324962413866507</v>
      </c>
      <c r="F469">
        <v>-0.59659705497171311</v>
      </c>
      <c r="G469">
        <v>0.22879208709676627</v>
      </c>
      <c r="H469">
        <v>0.4078875668026295</v>
      </c>
      <c r="I469">
        <v>1.0077623292667204</v>
      </c>
      <c r="J469">
        <v>0.77924882805101492</v>
      </c>
      <c r="L469">
        <v>3.0960535713725337</v>
      </c>
      <c r="M469">
        <v>3.6317366084091254</v>
      </c>
      <c r="N469">
        <v>0.84006749697528249</v>
      </c>
      <c r="P469">
        <v>1.0321140158837225E-12</v>
      </c>
      <c r="R469">
        <v>4.0498565184144342</v>
      </c>
      <c r="S469">
        <v>4.0515953972785423</v>
      </c>
      <c r="T469">
        <v>1</v>
      </c>
      <c r="U469">
        <v>1.9210899607510143</v>
      </c>
    </row>
    <row r="470" spans="1:21">
      <c r="A470">
        <v>1.067781933221114</v>
      </c>
      <c r="B470">
        <v>-0.93877617303487793</v>
      </c>
      <c r="C470">
        <v>-1.3461725288347094E-2</v>
      </c>
      <c r="D470">
        <v>0.26214753389155004</v>
      </c>
      <c r="E470">
        <v>0.32918800583243685</v>
      </c>
      <c r="F470">
        <v>1.0880387457704872E-2</v>
      </c>
      <c r="G470">
        <v>0.69463967543312688</v>
      </c>
      <c r="H470">
        <v>0.90136769080163581</v>
      </c>
      <c r="I470">
        <v>0.39593638127542374</v>
      </c>
      <c r="J470">
        <v>0.47736076637274349</v>
      </c>
      <c r="L470">
        <v>3.0960541289506409</v>
      </c>
      <c r="M470">
        <v>3.6317365791504059</v>
      </c>
      <c r="N470">
        <v>0.84006610778331969</v>
      </c>
      <c r="P470">
        <v>3.8924485362772712E-12</v>
      </c>
      <c r="R470">
        <v>4.0498565184144342</v>
      </c>
      <c r="S470">
        <v>4.0515953972785423</v>
      </c>
      <c r="T470">
        <v>1</v>
      </c>
      <c r="U470">
        <v>1.9210899607510143</v>
      </c>
    </row>
    <row r="471" spans="1:21">
      <c r="A471">
        <v>1.0075415494677593</v>
      </c>
      <c r="B471">
        <v>-1.1393356875216221</v>
      </c>
      <c r="C471">
        <v>1.5335849848580787</v>
      </c>
      <c r="D471">
        <v>-0.92684623274614519</v>
      </c>
      <c r="E471">
        <v>0.27559523773044275</v>
      </c>
      <c r="F471">
        <v>-8.6807826379671785E-2</v>
      </c>
      <c r="G471">
        <v>1.0975622979691744</v>
      </c>
      <c r="H471">
        <v>0.75081284834252915</v>
      </c>
      <c r="I471">
        <v>0</v>
      </c>
      <c r="J471">
        <v>0.29199903325851723</v>
      </c>
      <c r="L471">
        <v>4.4627683797855884</v>
      </c>
      <c r="M471">
        <v>0.90856870216119989</v>
      </c>
      <c r="N471">
        <v>3.6317317226507089</v>
      </c>
      <c r="P471">
        <v>4.8489847773937259E-11</v>
      </c>
      <c r="R471">
        <v>73.679012294102208</v>
      </c>
      <c r="S471">
        <v>84.872649675684883</v>
      </c>
      <c r="T471">
        <v>1</v>
      </c>
      <c r="U471">
        <v>1.9140030096297485</v>
      </c>
    </row>
    <row r="472" spans="1:21">
      <c r="A472">
        <v>1.0062854154295979</v>
      </c>
      <c r="B472">
        <v>-1.1534927764353222</v>
      </c>
      <c r="C472">
        <v>1.7513828026367058</v>
      </c>
      <c r="D472">
        <v>0.20122225518314832</v>
      </c>
      <c r="E472">
        <v>9.3078876734107779E-2</v>
      </c>
      <c r="F472">
        <v>0.15394382597653206</v>
      </c>
      <c r="G472">
        <v>1.2535856185773051</v>
      </c>
      <c r="H472">
        <v>0.92526702315091469</v>
      </c>
      <c r="I472">
        <v>0.21882927245866798</v>
      </c>
      <c r="J472">
        <v>0.46886709805090704</v>
      </c>
      <c r="L472">
        <v>4.4627691579831827</v>
      </c>
      <c r="M472">
        <v>0.90856338599058339</v>
      </c>
      <c r="N472">
        <v>3.6317341637609317</v>
      </c>
      <c r="P472">
        <v>3.4903151748394871E-11</v>
      </c>
      <c r="R472">
        <v>73.679012294102208</v>
      </c>
      <c r="S472">
        <v>84.872649675684883</v>
      </c>
      <c r="T472">
        <v>1</v>
      </c>
      <c r="U472">
        <v>1.9140030096297485</v>
      </c>
    </row>
    <row r="473" spans="1:21">
      <c r="A473">
        <v>1.008322347805598</v>
      </c>
      <c r="B473">
        <v>-1.1301204534104605</v>
      </c>
      <c r="C473">
        <v>1.37931600973159</v>
      </c>
      <c r="D473">
        <v>-0.92243034444862981</v>
      </c>
      <c r="E473">
        <v>0.6161012566937667</v>
      </c>
      <c r="F473">
        <v>0.10290213884062686</v>
      </c>
      <c r="G473">
        <v>1.0746288708667213</v>
      </c>
      <c r="H473">
        <v>1.1487963614312877</v>
      </c>
      <c r="I473">
        <v>0</v>
      </c>
      <c r="J473">
        <v>0.54922338087166167</v>
      </c>
      <c r="L473">
        <v>4.4627701046245818</v>
      </c>
      <c r="M473">
        <v>0.90856448213036001</v>
      </c>
      <c r="N473">
        <v>3.6317333428039889</v>
      </c>
      <c r="P473">
        <v>4.3957479017894664E-11</v>
      </c>
      <c r="R473">
        <v>73.679012294102208</v>
      </c>
      <c r="S473">
        <v>84.872649675684883</v>
      </c>
      <c r="T473">
        <v>1</v>
      </c>
      <c r="U473">
        <v>1.9140030096297485</v>
      </c>
    </row>
    <row r="474" spans="1:21">
      <c r="A474">
        <v>1.0025547785048265</v>
      </c>
      <c r="B474">
        <v>-1.1526773538789865</v>
      </c>
      <c r="C474">
        <v>1.731120484420285</v>
      </c>
      <c r="D474">
        <v>-0.1044651031725639</v>
      </c>
      <c r="E474">
        <v>0.18922813460395471</v>
      </c>
      <c r="F474">
        <v>5.7741442565443155E-2</v>
      </c>
      <c r="G474">
        <v>1.0155336922882339</v>
      </c>
      <c r="H474">
        <v>0.92359780682943149</v>
      </c>
      <c r="I474">
        <v>0</v>
      </c>
      <c r="J474">
        <v>0.71884715440258995</v>
      </c>
      <c r="L474">
        <v>4.4627656189851175</v>
      </c>
      <c r="M474">
        <v>0.9085654998151329</v>
      </c>
      <c r="N474">
        <v>3.631737017435769</v>
      </c>
      <c r="P474">
        <v>1.0804594992865724E-12</v>
      </c>
      <c r="R474">
        <v>73.679012294102208</v>
      </c>
      <c r="S474">
        <v>84.872649675684883</v>
      </c>
      <c r="T474">
        <v>1</v>
      </c>
      <c r="U474">
        <v>1.9140030096297485</v>
      </c>
    </row>
    <row r="475" spans="1:21">
      <c r="A475">
        <v>1.010193235033551</v>
      </c>
      <c r="B475">
        <v>-1.1392462828562817</v>
      </c>
      <c r="C475">
        <v>1.5839962351230921</v>
      </c>
      <c r="D475">
        <v>0.10598534389714614</v>
      </c>
      <c r="E475">
        <v>8.2196200942523848E-2</v>
      </c>
      <c r="F475">
        <v>0.14197888084553503</v>
      </c>
      <c r="G475">
        <v>0.86531825063601364</v>
      </c>
      <c r="H475">
        <v>1.1579406613439787</v>
      </c>
      <c r="I475">
        <v>0</v>
      </c>
      <c r="J475">
        <v>0</v>
      </c>
      <c r="L475">
        <v>4.4627666835874944</v>
      </c>
      <c r="M475">
        <v>0.90856413595544383</v>
      </c>
      <c r="N475">
        <v>3.6317372480092822</v>
      </c>
      <c r="P475">
        <v>6.9092907421505394E-12</v>
      </c>
      <c r="R475">
        <v>73.679012294102208</v>
      </c>
      <c r="S475">
        <v>84.872649675684883</v>
      </c>
      <c r="T475">
        <v>1</v>
      </c>
      <c r="U475">
        <v>1.9140030096297485</v>
      </c>
    </row>
    <row r="476" spans="1:21">
      <c r="A476">
        <v>1.0069752428353893</v>
      </c>
      <c r="B476">
        <v>-1.1568843880302426</v>
      </c>
      <c r="C476">
        <v>1.8804739238738675</v>
      </c>
      <c r="D476">
        <v>7.1741383588933769E-2</v>
      </c>
      <c r="E476">
        <v>0.30094006120639361</v>
      </c>
      <c r="F476">
        <v>0.52180900799004715</v>
      </c>
      <c r="G476">
        <v>0.78902305886482726</v>
      </c>
      <c r="H476">
        <v>0.45510938917691174</v>
      </c>
      <c r="I476">
        <v>0.47434870654544836</v>
      </c>
      <c r="J476">
        <v>0.34128757637730739</v>
      </c>
      <c r="L476">
        <v>4.4627689114921587</v>
      </c>
      <c r="M476">
        <v>0.90856330446294709</v>
      </c>
      <c r="N476">
        <v>3.6317339950213618</v>
      </c>
      <c r="P476">
        <v>3.4713664632047909E-11</v>
      </c>
      <c r="R476">
        <v>73.679012294102208</v>
      </c>
      <c r="S476">
        <v>84.872649675684883</v>
      </c>
      <c r="T476">
        <v>1</v>
      </c>
      <c r="U476">
        <v>1.9140030096297485</v>
      </c>
    </row>
    <row r="477" spans="1:21">
      <c r="A477">
        <v>1.01012392770501</v>
      </c>
      <c r="B477">
        <v>-1.151496334312387</v>
      </c>
      <c r="C477">
        <v>1.8397454983039492</v>
      </c>
      <c r="D477">
        <v>0.3679918634683354</v>
      </c>
      <c r="E477">
        <v>0.14234066660138611</v>
      </c>
      <c r="F477">
        <v>0.68892015737639045</v>
      </c>
      <c r="G477">
        <v>0.66539110171802807</v>
      </c>
      <c r="H477">
        <v>0.6813194486304206</v>
      </c>
      <c r="I477">
        <v>0.44261398967765225</v>
      </c>
      <c r="J477">
        <v>0.1456261760486369</v>
      </c>
      <c r="L477">
        <v>4.4627687473037874</v>
      </c>
      <c r="M477">
        <v>0.90856328192177149</v>
      </c>
      <c r="N477">
        <v>3.6317338360867892</v>
      </c>
      <c r="P477">
        <v>3.4837522601734647E-11</v>
      </c>
      <c r="R477">
        <v>73.679012294102208</v>
      </c>
      <c r="S477">
        <v>84.872649675684883</v>
      </c>
      <c r="T477">
        <v>1</v>
      </c>
      <c r="U477">
        <v>1.9140030096297485</v>
      </c>
    </row>
    <row r="478" spans="1:21">
      <c r="A478">
        <v>1.0118780569194916</v>
      </c>
      <c r="B478">
        <v>-1.1313624727758496</v>
      </c>
      <c r="C478">
        <v>1.7289073243468736</v>
      </c>
      <c r="D478">
        <v>-0.67718726398833529</v>
      </c>
      <c r="E478">
        <v>-0.33949803991955785</v>
      </c>
      <c r="F478">
        <v>8.0380271471392373E-2</v>
      </c>
      <c r="G478">
        <v>0.29988110348754166</v>
      </c>
      <c r="H478">
        <v>1.1950814540828425</v>
      </c>
      <c r="I478">
        <v>0.50498754900467258</v>
      </c>
      <c r="J478">
        <v>0</v>
      </c>
      <c r="L478">
        <v>4.4627691783537413</v>
      </c>
      <c r="M478">
        <v>0.9085631672769765</v>
      </c>
      <c r="N478">
        <v>3.6317342133335044</v>
      </c>
      <c r="P478">
        <v>3.6078579948195902E-11</v>
      </c>
      <c r="R478">
        <v>73.679012294102208</v>
      </c>
      <c r="S478">
        <v>84.872649675684883</v>
      </c>
      <c r="T478">
        <v>1</v>
      </c>
      <c r="U478">
        <v>1.9140030096297485</v>
      </c>
    </row>
    <row r="479" spans="1:21">
      <c r="A479">
        <v>1.0146729066207316</v>
      </c>
      <c r="B479">
        <v>-1.1283798782414649</v>
      </c>
      <c r="C479">
        <v>1.6587716107677177</v>
      </c>
      <c r="D479">
        <v>-0.57605616363252476</v>
      </c>
      <c r="E479">
        <v>-0.22006312361119837</v>
      </c>
      <c r="F479">
        <v>0.70033742820139178</v>
      </c>
      <c r="G479">
        <v>0.2908390650474969</v>
      </c>
      <c r="H479">
        <v>1.1071652057222998</v>
      </c>
      <c r="I479">
        <v>0.45295695512025302</v>
      </c>
      <c r="J479">
        <v>0.15990065425200506</v>
      </c>
      <c r="L479">
        <v>4.4627688980861064</v>
      </c>
      <c r="M479">
        <v>0.90856335172181635</v>
      </c>
      <c r="N479">
        <v>3.6317340003480765</v>
      </c>
      <c r="P479">
        <v>3.429333965850644E-11</v>
      </c>
      <c r="R479">
        <v>73.679012294102208</v>
      </c>
      <c r="S479">
        <v>84.872649675684883</v>
      </c>
      <c r="T479">
        <v>1</v>
      </c>
      <c r="U479">
        <v>1.9140030096297485</v>
      </c>
    </row>
    <row r="480" spans="1:21">
      <c r="A480">
        <v>1.0052058117812435</v>
      </c>
      <c r="B480">
        <v>-1.1420735684574268</v>
      </c>
      <c r="C480">
        <v>1.8148894563133522</v>
      </c>
      <c r="D480">
        <v>-0.29403118693714281</v>
      </c>
      <c r="E480">
        <v>-3.3880210522751066E-2</v>
      </c>
      <c r="F480">
        <v>9.6191695566857804E-2</v>
      </c>
      <c r="G480">
        <v>0.22182178367740291</v>
      </c>
      <c r="H480">
        <v>1.2062688071632108</v>
      </c>
      <c r="I480">
        <v>0.34834541612583531</v>
      </c>
      <c r="J480">
        <v>0.46699725147191246</v>
      </c>
      <c r="L480">
        <v>4.4627687389446198</v>
      </c>
      <c r="M480">
        <v>0.90856331177112071</v>
      </c>
      <c r="N480">
        <v>3.631733847020516</v>
      </c>
      <c r="P480">
        <v>3.4517025353980598E-11</v>
      </c>
      <c r="R480">
        <v>73.679012294102208</v>
      </c>
      <c r="S480">
        <v>84.872649675684883</v>
      </c>
      <c r="T480">
        <v>1</v>
      </c>
      <c r="U480">
        <v>1.9140030096297485</v>
      </c>
    </row>
    <row r="481" spans="1:21">
      <c r="A481">
        <v>1.1007293851376958</v>
      </c>
      <c r="B481">
        <v>-1.0199518385382642</v>
      </c>
      <c r="C481">
        <v>-1.2257076051286779E-2</v>
      </c>
      <c r="D481">
        <v>4.4793591812854923E-2</v>
      </c>
      <c r="E481">
        <v>0.34342859317204799</v>
      </c>
      <c r="F481">
        <v>0.245591912918105</v>
      </c>
      <c r="G481">
        <v>0.75908537138126031</v>
      </c>
      <c r="H481">
        <v>5.3373460834076049E-2</v>
      </c>
      <c r="I481">
        <v>0.64434869458697441</v>
      </c>
      <c r="J481">
        <v>0.16322711759057945</v>
      </c>
      <c r="L481">
        <v>4.4627651378835127</v>
      </c>
      <c r="M481">
        <v>0.90856919525135849</v>
      </c>
      <c r="N481">
        <v>0.84006592400517222</v>
      </c>
      <c r="P481">
        <v>1.0613022055754528E-11</v>
      </c>
      <c r="R481">
        <v>5.148520595378665</v>
      </c>
      <c r="S481">
        <v>5.155149298810846</v>
      </c>
      <c r="T481">
        <v>1</v>
      </c>
      <c r="U481">
        <v>1.6688221802061765</v>
      </c>
    </row>
    <row r="482" spans="1:21">
      <c r="A482">
        <v>1.0980332112079252</v>
      </c>
      <c r="B482">
        <v>-1.0240138919613726</v>
      </c>
      <c r="C482">
        <v>1.0762347296024414E-2</v>
      </c>
      <c r="D482">
        <v>0.87987966141380114</v>
      </c>
      <c r="E482">
        <v>0.35895441652680227</v>
      </c>
      <c r="F482">
        <v>-0.1174244429123293</v>
      </c>
      <c r="G482">
        <v>0.81349737916244946</v>
      </c>
      <c r="H482">
        <v>0.5596711701500009</v>
      </c>
      <c r="I482">
        <v>0.528035277671422</v>
      </c>
      <c r="J482">
        <v>0.98375212164758086</v>
      </c>
      <c r="L482">
        <v>4.4627649256888189</v>
      </c>
      <c r="M482">
        <v>0.9085695733402227</v>
      </c>
      <c r="N482">
        <v>0.84006632580086882</v>
      </c>
      <c r="P482">
        <v>1.190005567689434E-11</v>
      </c>
      <c r="R482">
        <v>5.148520595378665</v>
      </c>
      <c r="S482">
        <v>5.155149298810846</v>
      </c>
      <c r="T482">
        <v>1</v>
      </c>
      <c r="U482">
        <v>1.6688221802061765</v>
      </c>
    </row>
    <row r="483" spans="1:21">
      <c r="A483">
        <v>1.0863067214275448</v>
      </c>
      <c r="B483">
        <v>-1.0308853649725394</v>
      </c>
      <c r="C483">
        <v>-1.3977043210692345E-2</v>
      </c>
      <c r="D483">
        <v>0.30037327491706439</v>
      </c>
      <c r="E483">
        <v>0.91737680943072553</v>
      </c>
      <c r="F483">
        <v>-0.66934506875813493</v>
      </c>
      <c r="G483">
        <v>0.6767568758552831</v>
      </c>
      <c r="H483">
        <v>0.44372390980764714</v>
      </c>
      <c r="I483">
        <v>9.5052823656381388E-2</v>
      </c>
      <c r="J483">
        <v>0.21642813975474548</v>
      </c>
      <c r="L483">
        <v>4.4627650186868157</v>
      </c>
      <c r="M483">
        <v>0.90856943011358704</v>
      </c>
      <c r="N483">
        <v>0.84006614762156528</v>
      </c>
      <c r="P483">
        <v>1.1393297909767794E-11</v>
      </c>
      <c r="R483">
        <v>5.148520595378665</v>
      </c>
      <c r="S483">
        <v>5.155149298810846</v>
      </c>
      <c r="T483">
        <v>1</v>
      </c>
      <c r="U483">
        <v>1.6688221802061765</v>
      </c>
    </row>
    <row r="484" spans="1:21">
      <c r="A484">
        <v>1.1025239380799789</v>
      </c>
      <c r="B484">
        <v>-1.0115462177078614</v>
      </c>
      <c r="C484">
        <v>2.0130666231525474E-2</v>
      </c>
      <c r="D484">
        <v>0.6410286084827892</v>
      </c>
      <c r="E484">
        <v>0.12837106270528401</v>
      </c>
      <c r="F484">
        <v>0.41643188388190805</v>
      </c>
      <c r="G484">
        <v>0.31653255665571378</v>
      </c>
      <c r="H484">
        <v>0.84054659881058336</v>
      </c>
      <c r="I484">
        <v>0.85649088472197199</v>
      </c>
      <c r="J484">
        <v>0.95570733860194668</v>
      </c>
      <c r="L484">
        <v>4.4627655421843908</v>
      </c>
      <c r="M484">
        <v>0.90856641073995192</v>
      </c>
      <c r="N484">
        <v>0.84006737321247882</v>
      </c>
      <c r="P484">
        <v>7.9952831644548286E-14</v>
      </c>
      <c r="R484">
        <v>5.148520595378665</v>
      </c>
      <c r="S484">
        <v>5.155149298810846</v>
      </c>
      <c r="T484">
        <v>1</v>
      </c>
      <c r="U484">
        <v>1.6688221802061765</v>
      </c>
    </row>
    <row r="485" spans="1:21">
      <c r="A485">
        <v>1.1011245608413645</v>
      </c>
      <c r="B485">
        <v>-1.0146185806107568</v>
      </c>
      <c r="C485">
        <v>1.6805992093077666E-2</v>
      </c>
      <c r="D485">
        <v>0.72337117719930977</v>
      </c>
      <c r="E485">
        <v>0.51585867493846349</v>
      </c>
      <c r="F485">
        <v>0.19581774603735563</v>
      </c>
      <c r="G485">
        <v>0.42922402178835539</v>
      </c>
      <c r="H485">
        <v>0.80394441813315898</v>
      </c>
      <c r="I485">
        <v>0.98032806637528458</v>
      </c>
      <c r="J485">
        <v>0.8664198743901661</v>
      </c>
      <c r="L485">
        <v>4.462764893669946</v>
      </c>
      <c r="M485">
        <v>0.90856950190679719</v>
      </c>
      <c r="N485">
        <v>0.84006624414821407</v>
      </c>
      <c r="P485">
        <v>1.1671820713227787E-11</v>
      </c>
      <c r="R485">
        <v>5.148520595378665</v>
      </c>
      <c r="S485">
        <v>5.155149298810846</v>
      </c>
      <c r="T485">
        <v>1</v>
      </c>
      <c r="U485">
        <v>1.6688221802061765</v>
      </c>
    </row>
    <row r="486" spans="1:21">
      <c r="A486">
        <v>1.1023364377140854</v>
      </c>
      <c r="B486">
        <v>-1.0090790230937881</v>
      </c>
      <c r="C486">
        <v>2.9594065424139497E-2</v>
      </c>
      <c r="D486">
        <v>0.24163618975691797</v>
      </c>
      <c r="E486">
        <v>-0.28791361264011084</v>
      </c>
      <c r="F486">
        <v>-0.30350150466265574</v>
      </c>
      <c r="G486">
        <v>5.1501874084109105E-2</v>
      </c>
      <c r="H486">
        <v>0.66551131961696353</v>
      </c>
      <c r="I486">
        <v>0.57404621093783892</v>
      </c>
      <c r="J486">
        <v>0.55406258015002297</v>
      </c>
      <c r="L486">
        <v>4.4627652719160755</v>
      </c>
      <c r="M486">
        <v>0.90856846851369466</v>
      </c>
      <c r="N486">
        <v>0.84006560688402498</v>
      </c>
      <c r="P486">
        <v>8.0996496916449131E-12</v>
      </c>
      <c r="R486">
        <v>5.148520595378665</v>
      </c>
      <c r="S486">
        <v>5.155149298810846</v>
      </c>
      <c r="T486">
        <v>1</v>
      </c>
      <c r="U486">
        <v>1.6688221802061765</v>
      </c>
    </row>
    <row r="487" spans="1:21">
      <c r="A487">
        <v>1.0932528758866953</v>
      </c>
      <c r="B487">
        <v>-1.024705615678607</v>
      </c>
      <c r="C487">
        <v>1.3115364076555934E-2</v>
      </c>
      <c r="D487">
        <v>0.46128139831291565</v>
      </c>
      <c r="E487">
        <v>0.67566647179553718</v>
      </c>
      <c r="F487">
        <v>-0.14147241142413419</v>
      </c>
      <c r="G487">
        <v>0.23313535465323471</v>
      </c>
      <c r="H487">
        <v>0.2551642730288492</v>
      </c>
      <c r="I487">
        <v>0.2192326703707613</v>
      </c>
      <c r="J487">
        <v>0.84635284560017043</v>
      </c>
      <c r="L487">
        <v>4.462764980530344</v>
      </c>
      <c r="M487">
        <v>0.90856938069971482</v>
      </c>
      <c r="N487">
        <v>0.84006609127530507</v>
      </c>
      <c r="P487">
        <v>1.1272547859169314E-11</v>
      </c>
      <c r="R487">
        <v>5.148520595378665</v>
      </c>
      <c r="S487">
        <v>5.155149298810846</v>
      </c>
      <c r="T487">
        <v>1</v>
      </c>
      <c r="U487">
        <v>1.6688221802061765</v>
      </c>
    </row>
    <row r="488" spans="1:21">
      <c r="A488">
        <v>1.0934223128110094</v>
      </c>
      <c r="B488">
        <v>-1.0215220486679017</v>
      </c>
      <c r="C488">
        <v>-1.2634014703701953E-2</v>
      </c>
      <c r="D488">
        <v>-0.71661665322583734</v>
      </c>
      <c r="E488">
        <v>0.29847873898659255</v>
      </c>
      <c r="F488">
        <v>-0.42653083590982155</v>
      </c>
      <c r="G488">
        <v>0.86146877930818533</v>
      </c>
      <c r="H488">
        <v>0.14123520655843538</v>
      </c>
      <c r="I488">
        <v>0.47501435760362976</v>
      </c>
      <c r="J488">
        <v>0.11752994530691376</v>
      </c>
      <c r="L488">
        <v>4.4627649929075277</v>
      </c>
      <c r="M488">
        <v>0.90856934225011299</v>
      </c>
      <c r="N488">
        <v>0.84006605804929413</v>
      </c>
      <c r="P488">
        <v>1.112941482493739E-11</v>
      </c>
      <c r="R488">
        <v>5.148520595378665</v>
      </c>
      <c r="S488">
        <v>5.155149298810846</v>
      </c>
      <c r="T488">
        <v>1</v>
      </c>
      <c r="U488">
        <v>1.6688221802061765</v>
      </c>
    </row>
    <row r="489" spans="1:21">
      <c r="A489">
        <v>1.0942084301319392</v>
      </c>
      <c r="B489">
        <v>-1.0242116329427935</v>
      </c>
      <c r="C489">
        <v>-2.5790667102969591E-2</v>
      </c>
      <c r="D489">
        <v>-0.18760415908940681</v>
      </c>
      <c r="E489">
        <v>0.39232089803331266</v>
      </c>
      <c r="F489">
        <v>0.46765240739043745</v>
      </c>
      <c r="G489">
        <v>0.84180617478115538</v>
      </c>
      <c r="H489">
        <v>0.11806384690327025</v>
      </c>
      <c r="I489">
        <v>0.31747745535491156</v>
      </c>
      <c r="J489">
        <v>0.26045858363418123</v>
      </c>
      <c r="L489">
        <v>4.4627650402626191</v>
      </c>
      <c r="M489">
        <v>0.90856937028618012</v>
      </c>
      <c r="N489">
        <v>0.84006608026247764</v>
      </c>
      <c r="P489">
        <v>1.1206150850968823E-11</v>
      </c>
      <c r="R489">
        <v>5.148520595378665</v>
      </c>
      <c r="S489">
        <v>5.155149298810846</v>
      </c>
      <c r="T489">
        <v>1</v>
      </c>
      <c r="U489">
        <v>1.6688221802061765</v>
      </c>
    </row>
    <row r="490" spans="1:21">
      <c r="A490">
        <v>1.0919013094127703</v>
      </c>
      <c r="B490">
        <v>-1.0190449684743148</v>
      </c>
      <c r="C490">
        <v>-3.9424595050259253E-3</v>
      </c>
      <c r="D490">
        <v>-0.80379190804367806</v>
      </c>
      <c r="E490">
        <v>-6.9542505009186031E-2</v>
      </c>
      <c r="F490">
        <v>-2.3468145101608828E-2</v>
      </c>
      <c r="G490">
        <v>0.36264125289902277</v>
      </c>
      <c r="H490">
        <v>0.12773148343492863</v>
      </c>
      <c r="I490">
        <v>3.28013041230545E-2</v>
      </c>
      <c r="J490">
        <v>0.39102201521581592</v>
      </c>
      <c r="L490">
        <v>4.4627656074248456</v>
      </c>
      <c r="M490">
        <v>0.90856734548990004</v>
      </c>
      <c r="N490">
        <v>0.84006582833367904</v>
      </c>
      <c r="P490">
        <v>3.9142334336005187E-12</v>
      </c>
      <c r="R490">
        <v>5.148520595378665</v>
      </c>
      <c r="S490">
        <v>5.155149298810846</v>
      </c>
      <c r="T490">
        <v>1</v>
      </c>
      <c r="U490">
        <v>1.6688221802061765</v>
      </c>
    </row>
    <row r="491" spans="1:21">
      <c r="A491">
        <v>0.98948518494797966</v>
      </c>
      <c r="B491">
        <v>-1.1168198025355658</v>
      </c>
      <c r="C491">
        <v>-0.17323409198684719</v>
      </c>
      <c r="D491">
        <v>-0.45863353008092772</v>
      </c>
      <c r="E491">
        <v>0.47185311373670763</v>
      </c>
      <c r="F491">
        <v>4.7662911371032658E-2</v>
      </c>
      <c r="G491">
        <v>0.43649969844162484</v>
      </c>
      <c r="H491">
        <v>0.11933564550819058</v>
      </c>
      <c r="I491">
        <v>0.19800582993713731</v>
      </c>
      <c r="J491">
        <v>0.47811901871583218</v>
      </c>
      <c r="L491">
        <v>4.4627696120056131</v>
      </c>
      <c r="M491">
        <v>3.6317318652981689</v>
      </c>
      <c r="N491">
        <v>0.84006565402687638</v>
      </c>
      <c r="P491">
        <v>5.3923510820413923E-11</v>
      </c>
      <c r="R491">
        <v>8.4915819675423769</v>
      </c>
      <c r="S491">
        <v>8.5031850746050246</v>
      </c>
      <c r="T491">
        <v>1</v>
      </c>
      <c r="U491">
        <v>1.9286664612553339</v>
      </c>
    </row>
    <row r="492" spans="1:21">
      <c r="A492">
        <v>0.98378822799432064</v>
      </c>
      <c r="B492">
        <v>-1.1270593472578403</v>
      </c>
      <c r="C492">
        <v>-0.17600154046075375</v>
      </c>
      <c r="D492">
        <v>0.26030414002459984</v>
      </c>
      <c r="E492">
        <v>-0.11611509447855692</v>
      </c>
      <c r="F492">
        <v>4.568198709961209E-2</v>
      </c>
      <c r="G492">
        <v>0.67432110062642736</v>
      </c>
      <c r="H492">
        <v>0.30699642652010156</v>
      </c>
      <c r="I492">
        <v>8.2663062979756036E-2</v>
      </c>
      <c r="J492">
        <v>0.97005918885568732</v>
      </c>
      <c r="L492">
        <v>4.4627695700107353</v>
      </c>
      <c r="M492">
        <v>3.6317318717475211</v>
      </c>
      <c r="N492">
        <v>0.84006559104709955</v>
      </c>
      <c r="P492">
        <v>5.3728998186053278E-11</v>
      </c>
      <c r="R492">
        <v>8.4915819675423769</v>
      </c>
      <c r="S492">
        <v>8.5031850746050246</v>
      </c>
      <c r="T492">
        <v>1</v>
      </c>
      <c r="U492">
        <v>1.9286664612553339</v>
      </c>
    </row>
    <row r="493" spans="1:21">
      <c r="A493">
        <v>0.97104097370319831</v>
      </c>
      <c r="B493">
        <v>-1.1292999582195475</v>
      </c>
      <c r="C493">
        <v>-0.18484994066724936</v>
      </c>
      <c r="D493">
        <v>-1.4354068079402425E-2</v>
      </c>
      <c r="E493">
        <v>-0.80147574352235984</v>
      </c>
      <c r="F493">
        <v>-1.7491566476340655E-3</v>
      </c>
      <c r="G493">
        <v>0.30082771225883342</v>
      </c>
      <c r="H493">
        <v>0.79178808028891845</v>
      </c>
      <c r="I493">
        <v>0.85939746712943466</v>
      </c>
      <c r="J493">
        <v>0.97058177426089542</v>
      </c>
      <c r="L493">
        <v>4.4627694122689583</v>
      </c>
      <c r="M493">
        <v>3.631732337746886</v>
      </c>
      <c r="N493">
        <v>0.84006503088795548</v>
      </c>
      <c r="P493">
        <v>4.9836795109427462E-11</v>
      </c>
      <c r="R493">
        <v>8.4915819675423769</v>
      </c>
      <c r="S493">
        <v>8.5031850746050246</v>
      </c>
      <c r="T493">
        <v>1</v>
      </c>
      <c r="U493">
        <v>1.9286664612553339</v>
      </c>
    </row>
    <row r="494" spans="1:21">
      <c r="A494">
        <v>0.99280780074520092</v>
      </c>
      <c r="B494">
        <v>-1.1107861712442251</v>
      </c>
      <c r="C494">
        <v>-0.1737506126174875</v>
      </c>
      <c r="D494">
        <v>0.25856751834386116</v>
      </c>
      <c r="E494">
        <v>0.91499035451591737</v>
      </c>
      <c r="F494">
        <v>0.24244464493642195</v>
      </c>
      <c r="G494">
        <v>0.62026530081227038</v>
      </c>
      <c r="H494">
        <v>0.98042703542472354</v>
      </c>
      <c r="I494">
        <v>0.67379514663364493</v>
      </c>
      <c r="J494">
        <v>0.50334060162616123</v>
      </c>
      <c r="L494">
        <v>4.4627695804976257</v>
      </c>
      <c r="M494">
        <v>3.6317318021266694</v>
      </c>
      <c r="N494">
        <v>0.84006571419943221</v>
      </c>
      <c r="P494">
        <v>5.4150183423967698E-11</v>
      </c>
      <c r="R494">
        <v>8.4915819675423769</v>
      </c>
      <c r="S494">
        <v>8.5031850746050246</v>
      </c>
      <c r="T494">
        <v>1</v>
      </c>
      <c r="U494">
        <v>1.9286664612553339</v>
      </c>
    </row>
    <row r="495" spans="1:21">
      <c r="A495">
        <v>0.99277094591254877</v>
      </c>
      <c r="B495">
        <v>-1.106431799641705</v>
      </c>
      <c r="C495">
        <v>-0.16240471628662531</v>
      </c>
      <c r="D495">
        <v>-0.60290338966094847</v>
      </c>
      <c r="E495">
        <v>0.31058135124139424</v>
      </c>
      <c r="F495">
        <v>0.15587719909891909</v>
      </c>
      <c r="G495">
        <v>0.48853810862820141</v>
      </c>
      <c r="H495">
        <v>0.76348521055631735</v>
      </c>
      <c r="I495">
        <v>0.30421227535485978</v>
      </c>
      <c r="J495">
        <v>0.70669867508294815</v>
      </c>
      <c r="L495">
        <v>4.4627677625807287</v>
      </c>
      <c r="M495">
        <v>3.6317342064590896</v>
      </c>
      <c r="N495">
        <v>0.84006375709221426</v>
      </c>
      <c r="P495">
        <v>3.1103449489682407E-11</v>
      </c>
      <c r="R495">
        <v>8.4915819675423769</v>
      </c>
      <c r="S495">
        <v>8.5031850746050246</v>
      </c>
      <c r="T495">
        <v>1</v>
      </c>
      <c r="U495">
        <v>1.9286664612553339</v>
      </c>
    </row>
    <row r="496" spans="1:21">
      <c r="A496">
        <v>0.99130657791705412</v>
      </c>
      <c r="B496">
        <v>-1.1121349346822418</v>
      </c>
      <c r="C496">
        <v>-0.18536923050824208</v>
      </c>
      <c r="D496">
        <v>-0.75262486554910235</v>
      </c>
      <c r="E496">
        <v>-1.6007569726829533E-2</v>
      </c>
      <c r="F496">
        <v>0.46176303214624176</v>
      </c>
      <c r="G496">
        <v>0.73783773081945625</v>
      </c>
      <c r="H496">
        <v>0.38086076848206024</v>
      </c>
      <c r="I496">
        <v>4.2355678691572418E-2</v>
      </c>
      <c r="J496">
        <v>0.41280240100966481</v>
      </c>
      <c r="L496">
        <v>4.4627694378102998</v>
      </c>
      <c r="M496">
        <v>3.6317320395897621</v>
      </c>
      <c r="N496">
        <v>0.84006528163185368</v>
      </c>
      <c r="P496">
        <v>5.2039351637665685E-11</v>
      </c>
      <c r="R496">
        <v>8.4915819675423769</v>
      </c>
      <c r="S496">
        <v>8.5031850746050246</v>
      </c>
      <c r="T496">
        <v>1</v>
      </c>
      <c r="U496">
        <v>1.9286664612553339</v>
      </c>
    </row>
    <row r="497" spans="1:21">
      <c r="A497">
        <v>0.98494259294182296</v>
      </c>
      <c r="B497">
        <v>-1.1276860770582133</v>
      </c>
      <c r="C497">
        <v>-0.18756359986552365</v>
      </c>
      <c r="D497">
        <v>0.18875285204757125</v>
      </c>
      <c r="E497">
        <v>-9.6527970961116667E-3</v>
      </c>
      <c r="F497">
        <v>0.31840149672289614</v>
      </c>
      <c r="G497">
        <v>0.84697256878142346</v>
      </c>
      <c r="H497">
        <v>0.18822364804164834</v>
      </c>
      <c r="I497">
        <v>0.10557552822394262</v>
      </c>
      <c r="J497">
        <v>0.82374935835951779</v>
      </c>
      <c r="L497">
        <v>4.4627650229492355</v>
      </c>
      <c r="M497">
        <v>3.6317352818435649</v>
      </c>
      <c r="N497">
        <v>0.84006843879969673</v>
      </c>
      <c r="P497">
        <v>5.9099817267765719E-12</v>
      </c>
      <c r="R497">
        <v>8.4915819675423769</v>
      </c>
      <c r="S497">
        <v>8.5031850746050246</v>
      </c>
      <c r="T497">
        <v>1</v>
      </c>
      <c r="U497">
        <v>1.9286664612553339</v>
      </c>
    </row>
    <row r="498" spans="1:21">
      <c r="A498">
        <v>0.98777395483734143</v>
      </c>
      <c r="B498">
        <v>-1.12318354418749</v>
      </c>
      <c r="C498">
        <v>-0.17720885809765557</v>
      </c>
      <c r="D498">
        <v>7.2480242987504315E-2</v>
      </c>
      <c r="E498">
        <v>0.23429515819638846</v>
      </c>
      <c r="F498">
        <v>0.15255670679297467</v>
      </c>
      <c r="G498">
        <v>0.95734150724075884</v>
      </c>
      <c r="H498">
        <v>0.37996908898423282</v>
      </c>
      <c r="I498">
        <v>0.32668780334188863</v>
      </c>
      <c r="J498">
        <v>0.97753605005774946</v>
      </c>
      <c r="L498">
        <v>4.4627693153576358</v>
      </c>
      <c r="M498">
        <v>3.6317323621469688</v>
      </c>
      <c r="N498">
        <v>0.84006487600134272</v>
      </c>
      <c r="P498">
        <v>4.9591422628923101E-11</v>
      </c>
      <c r="R498">
        <v>8.4915819675423769</v>
      </c>
      <c r="S498">
        <v>8.5031850746050246</v>
      </c>
      <c r="T498">
        <v>1</v>
      </c>
      <c r="U498">
        <v>1.9286664612553339</v>
      </c>
    </row>
    <row r="499" spans="1:21">
      <c r="A499">
        <v>0.98312833283026457</v>
      </c>
      <c r="B499">
        <v>-1.1190098606904999</v>
      </c>
      <c r="C499">
        <v>-0.15276206319394889</v>
      </c>
      <c r="D499">
        <v>0.4565004136593801</v>
      </c>
      <c r="E499">
        <v>0.18197687193941356</v>
      </c>
      <c r="F499">
        <v>-0.81617343015716948</v>
      </c>
      <c r="G499">
        <v>0.1183953079897115</v>
      </c>
      <c r="H499">
        <v>0.91964870037866553</v>
      </c>
      <c r="I499">
        <v>0.494506967675924</v>
      </c>
      <c r="J499">
        <v>0.70400861002555115</v>
      </c>
      <c r="L499">
        <v>4.4627697045553782</v>
      </c>
      <c r="M499">
        <v>3.6317317282641381</v>
      </c>
      <c r="N499">
        <v>0.8400660456644492</v>
      </c>
      <c r="P499">
        <v>5.4991793166618348E-11</v>
      </c>
      <c r="R499">
        <v>8.4915819675423769</v>
      </c>
      <c r="S499">
        <v>8.5031850746050246</v>
      </c>
      <c r="T499">
        <v>1</v>
      </c>
      <c r="U499">
        <v>1.9286664612553339</v>
      </c>
    </row>
    <row r="500" spans="1:21">
      <c r="A500">
        <v>0.98723807540383346</v>
      </c>
      <c r="B500">
        <v>-1.1105760820222208</v>
      </c>
      <c r="C500">
        <v>-0.16749159984936779</v>
      </c>
      <c r="D500">
        <v>-0.31047188047851337</v>
      </c>
      <c r="E500">
        <v>7.3038084663422542E-2</v>
      </c>
      <c r="F500">
        <v>-0.30580752304172421</v>
      </c>
      <c r="G500">
        <v>0.15113400345262618</v>
      </c>
      <c r="H500">
        <v>0.82088488913549851</v>
      </c>
      <c r="I500">
        <v>0.31390506155162989</v>
      </c>
      <c r="J500">
        <v>0.24252752715712711</v>
      </c>
      <c r="L500">
        <v>4.4627691523090238</v>
      </c>
      <c r="M500">
        <v>3.6317324224796965</v>
      </c>
      <c r="N500">
        <v>0.8400647784647497</v>
      </c>
      <c r="P500">
        <v>4.8216221863315596E-11</v>
      </c>
      <c r="R500">
        <v>8.4915819675423769</v>
      </c>
      <c r="S500">
        <v>8.5031850746050246</v>
      </c>
      <c r="T500">
        <v>1</v>
      </c>
      <c r="U500">
        <v>1.9286664612553339</v>
      </c>
    </row>
    <row r="501" spans="1:21">
      <c r="A501">
        <v>1.0363998451795744</v>
      </c>
      <c r="B501">
        <v>-0.99883508718773029</v>
      </c>
      <c r="C501">
        <v>-9.3213574299805133E-2</v>
      </c>
      <c r="D501">
        <v>4.8834489807699361E-2</v>
      </c>
      <c r="E501">
        <v>-0.40009204290051409</v>
      </c>
      <c r="F501">
        <v>0.4927055856083456</v>
      </c>
      <c r="G501">
        <v>0.51614549517442732</v>
      </c>
      <c r="H501">
        <v>3.6903674321954946E-2</v>
      </c>
      <c r="I501">
        <v>0.216569979739269</v>
      </c>
      <c r="J501">
        <v>2.9515355611518933E-2</v>
      </c>
      <c r="L501">
        <v>0.90856784827398351</v>
      </c>
      <c r="M501">
        <v>3.6317366834651033</v>
      </c>
      <c r="N501">
        <v>0.84006639499013191</v>
      </c>
      <c r="P501">
        <v>4.1658805103810144E-12</v>
      </c>
      <c r="R501">
        <v>4.1592918598828774</v>
      </c>
      <c r="S501">
        <v>4.1630934361703984</v>
      </c>
      <c r="T501">
        <v>1</v>
      </c>
      <c r="U501">
        <v>1.9246196453951878</v>
      </c>
    </row>
    <row r="502" spans="1:21">
      <c r="A502">
        <v>1.0411693913868296</v>
      </c>
      <c r="B502">
        <v>-0.9848682367002547</v>
      </c>
      <c r="C502">
        <v>-4.6913782428635427E-2</v>
      </c>
      <c r="D502">
        <v>-3.4130814199896928E-2</v>
      </c>
      <c r="E502">
        <v>-0.26809486685345474</v>
      </c>
      <c r="F502">
        <v>0.21224327212954661</v>
      </c>
      <c r="G502">
        <v>0.24206103739647142</v>
      </c>
      <c r="H502">
        <v>0.89500539026924841</v>
      </c>
      <c r="I502">
        <v>0.36696690742119809</v>
      </c>
      <c r="J502">
        <v>0.92463652648663408</v>
      </c>
      <c r="L502">
        <v>0.90856797258672839</v>
      </c>
      <c r="M502">
        <v>3.6317366137931102</v>
      </c>
      <c r="N502">
        <v>0.84006648846355136</v>
      </c>
      <c r="P502">
        <v>4.4717875772803953E-12</v>
      </c>
      <c r="R502">
        <v>4.1592918598828774</v>
      </c>
      <c r="S502">
        <v>4.1630934361703984</v>
      </c>
      <c r="T502">
        <v>1</v>
      </c>
      <c r="U502">
        <v>1.9246196453951878</v>
      </c>
    </row>
    <row r="503" spans="1:21">
      <c r="A503">
        <v>1.0397281299333156</v>
      </c>
      <c r="B503">
        <v>-0.99465368750485406</v>
      </c>
      <c r="C503">
        <v>-6.3418004274433393E-2</v>
      </c>
      <c r="D503">
        <v>-0.59675740073424455</v>
      </c>
      <c r="E503">
        <v>0.33766663097514543</v>
      </c>
      <c r="F503">
        <v>-0.14258038236014298</v>
      </c>
      <c r="G503">
        <v>0.49613700579446446</v>
      </c>
      <c r="H503">
        <v>3.1586073754451327E-2</v>
      </c>
      <c r="I503">
        <v>0.71640702634475673</v>
      </c>
      <c r="J503">
        <v>0.44391052924665048</v>
      </c>
      <c r="L503">
        <v>0.90856808262336541</v>
      </c>
      <c r="M503">
        <v>3.6317365663776764</v>
      </c>
      <c r="N503">
        <v>0.8400665840934336</v>
      </c>
      <c r="P503">
        <v>4.7396664784750335E-12</v>
      </c>
      <c r="R503">
        <v>4.1592918598828774</v>
      </c>
      <c r="S503">
        <v>4.1630934361703984</v>
      </c>
      <c r="T503">
        <v>1</v>
      </c>
      <c r="U503">
        <v>1.9246196453951878</v>
      </c>
    </row>
    <row r="504" spans="1:21">
      <c r="A504">
        <v>1.0390077738376593</v>
      </c>
      <c r="B504">
        <v>-1.0042789169619906</v>
      </c>
      <c r="C504">
        <v>-7.4719673646116078E-2</v>
      </c>
      <c r="D504">
        <v>-8.6219041267086474E-2</v>
      </c>
      <c r="E504">
        <v>-0.2149932016915807</v>
      </c>
      <c r="F504">
        <v>-0.16907574557716681</v>
      </c>
      <c r="G504">
        <v>0.90726491362921557</v>
      </c>
      <c r="H504">
        <v>4.5367867660207561E-2</v>
      </c>
      <c r="I504">
        <v>6.4029496839022246E-2</v>
      </c>
      <c r="J504">
        <v>0.481764699226643</v>
      </c>
      <c r="L504">
        <v>0.90856806648131272</v>
      </c>
      <c r="M504">
        <v>3.6317365707287195</v>
      </c>
      <c r="N504">
        <v>0.84006656130921376</v>
      </c>
      <c r="P504">
        <v>4.7189563259262212E-12</v>
      </c>
      <c r="R504">
        <v>4.1592918598828774</v>
      </c>
      <c r="S504">
        <v>4.1630934361703984</v>
      </c>
      <c r="T504">
        <v>1</v>
      </c>
      <c r="U504">
        <v>1.9246196453951878</v>
      </c>
    </row>
    <row r="505" spans="1:21">
      <c r="A505">
        <v>1.0491050169605769</v>
      </c>
      <c r="B505">
        <v>-0.9827321741430548</v>
      </c>
      <c r="C505">
        <v>-5.8579287201724874E-2</v>
      </c>
      <c r="D505">
        <v>-0.17530274027009216</v>
      </c>
      <c r="E505">
        <v>0.57528254029918913</v>
      </c>
      <c r="F505">
        <v>0.68598886627530364</v>
      </c>
      <c r="G505">
        <v>0.21697370193384832</v>
      </c>
      <c r="H505">
        <v>0.97879180770108332</v>
      </c>
      <c r="I505">
        <v>2.1104047261947957E-2</v>
      </c>
      <c r="J505">
        <v>0.39822555410287525</v>
      </c>
      <c r="L505">
        <v>0.90856706525911224</v>
      </c>
      <c r="M505">
        <v>3.6317366847602401</v>
      </c>
      <c r="N505">
        <v>0.84006641326950204</v>
      </c>
      <c r="P505">
        <v>2.4013819347835206E-12</v>
      </c>
      <c r="R505">
        <v>4.1592918598828774</v>
      </c>
      <c r="S505">
        <v>4.1630934361703984</v>
      </c>
      <c r="T505">
        <v>1</v>
      </c>
      <c r="U505">
        <v>1.9246196453951878</v>
      </c>
    </row>
    <row r="506" spans="1:21">
      <c r="A506">
        <v>1.0371969397088114</v>
      </c>
      <c r="B506">
        <v>-0.99567681807947717</v>
      </c>
      <c r="C506">
        <v>-6.7055367423390175E-2</v>
      </c>
      <c r="D506">
        <v>0.65539767499500345</v>
      </c>
      <c r="E506">
        <v>-0.27265877003922318</v>
      </c>
      <c r="F506">
        <v>-0.42036272794548996</v>
      </c>
      <c r="G506">
        <v>0.32290688027404379</v>
      </c>
      <c r="H506">
        <v>0.62818876743738061</v>
      </c>
      <c r="I506">
        <v>0.29297188921965989</v>
      </c>
      <c r="J506">
        <v>0.10815496080827454</v>
      </c>
      <c r="L506">
        <v>0.90856775681165636</v>
      </c>
      <c r="M506">
        <v>3.6317366730906468</v>
      </c>
      <c r="N506">
        <v>0.84006635998104939</v>
      </c>
      <c r="P506">
        <v>3.9984970009669554E-12</v>
      </c>
      <c r="R506">
        <v>4.1592918598828774</v>
      </c>
      <c r="S506">
        <v>4.1630934361703984</v>
      </c>
      <c r="T506">
        <v>1</v>
      </c>
      <c r="U506">
        <v>1.9246196453951878</v>
      </c>
    </row>
    <row r="507" spans="1:21">
      <c r="A507">
        <v>1.0439866198041301</v>
      </c>
      <c r="B507">
        <v>-0.98712675208971334</v>
      </c>
      <c r="C507">
        <v>-6.5854095620457118E-2</v>
      </c>
      <c r="D507">
        <v>-0.59188904596016423</v>
      </c>
      <c r="E507">
        <v>0.23549334591677021</v>
      </c>
      <c r="F507">
        <v>-3.5031777388775713E-2</v>
      </c>
      <c r="G507">
        <v>0.47030299567883943</v>
      </c>
      <c r="H507">
        <v>0.50786197622062057</v>
      </c>
      <c r="I507">
        <v>0.43261406287816395</v>
      </c>
      <c r="J507">
        <v>0.10549730085653355</v>
      </c>
      <c r="L507">
        <v>0.90856780304882401</v>
      </c>
      <c r="M507">
        <v>3.6317366430749027</v>
      </c>
      <c r="N507">
        <v>0.84006638300686809</v>
      </c>
      <c r="P507">
        <v>4.1287047935129846E-12</v>
      </c>
      <c r="R507">
        <v>4.1592918598828774</v>
      </c>
      <c r="S507">
        <v>4.1630934361703984</v>
      </c>
      <c r="T507">
        <v>1</v>
      </c>
      <c r="U507">
        <v>1.9246196453951878</v>
      </c>
    </row>
    <row r="508" spans="1:21">
      <c r="A508">
        <v>1.0392685454194064</v>
      </c>
      <c r="B508">
        <v>-1.0049263997226141</v>
      </c>
      <c r="C508">
        <v>-6.7882559397760472E-2</v>
      </c>
      <c r="D508">
        <v>0.93355620611325019</v>
      </c>
      <c r="E508">
        <v>1.1159506868188557E-2</v>
      </c>
      <c r="F508">
        <v>0.27429069420916591</v>
      </c>
      <c r="G508">
        <v>0.81210001097496842</v>
      </c>
      <c r="H508">
        <v>0.66080576998254081</v>
      </c>
      <c r="I508">
        <v>0.11391092198329052</v>
      </c>
      <c r="J508">
        <v>0.98205228047721027</v>
      </c>
      <c r="L508">
        <v>0.9085678406323604</v>
      </c>
      <c r="M508">
        <v>3.6317366449821518</v>
      </c>
      <c r="N508">
        <v>0.84006639384091708</v>
      </c>
      <c r="P508">
        <v>4.2110574418601823E-12</v>
      </c>
      <c r="R508">
        <v>4.1592918598828774</v>
      </c>
      <c r="S508">
        <v>4.1630934361703984</v>
      </c>
      <c r="T508">
        <v>1</v>
      </c>
      <c r="U508">
        <v>1.9246196453951878</v>
      </c>
    </row>
    <row r="509" spans="1:21">
      <c r="A509">
        <v>1.0424032819053457</v>
      </c>
      <c r="B509">
        <v>-0.98812022765409013</v>
      </c>
      <c r="C509">
        <v>-7.9736365370116261E-2</v>
      </c>
      <c r="D509">
        <v>-0.20894333479276214</v>
      </c>
      <c r="E509">
        <v>0.50176137600068771</v>
      </c>
      <c r="F509">
        <v>0.60598240317823637</v>
      </c>
      <c r="G509">
        <v>0.58633047803846794</v>
      </c>
      <c r="H509">
        <v>0.69593193938722553</v>
      </c>
      <c r="I509">
        <v>0.9352188247472264</v>
      </c>
      <c r="J509">
        <v>0.23687281139443886</v>
      </c>
      <c r="L509">
        <v>0.90856798141153672</v>
      </c>
      <c r="M509">
        <v>3.6317365903351138</v>
      </c>
      <c r="N509">
        <v>0.84006649822233803</v>
      </c>
      <c r="P509">
        <v>4.5231687818201055E-12</v>
      </c>
      <c r="R509">
        <v>4.1592918598828774</v>
      </c>
      <c r="S509">
        <v>4.1630934361703984</v>
      </c>
      <c r="T509">
        <v>1</v>
      </c>
      <c r="U509">
        <v>1.9246196453951878</v>
      </c>
    </row>
    <row r="510" spans="1:21">
      <c r="A510">
        <v>1.0404148381149463</v>
      </c>
      <c r="B510">
        <v>-0.9831963895350172</v>
      </c>
      <c r="C510">
        <v>-5.0744014180222008E-2</v>
      </c>
      <c r="D510">
        <v>6.9111217957032265E-3</v>
      </c>
      <c r="E510">
        <v>5.4987082594559381E-2</v>
      </c>
      <c r="F510">
        <v>-0.41793907378693695</v>
      </c>
      <c r="G510">
        <v>0.21224233885651397</v>
      </c>
      <c r="H510">
        <v>0.96635329599448538</v>
      </c>
      <c r="I510">
        <v>0.85086339812329814</v>
      </c>
      <c r="J510">
        <v>0.31393630295907554</v>
      </c>
      <c r="L510">
        <v>0.90856803877951786</v>
      </c>
      <c r="M510">
        <v>3.6317365739862097</v>
      </c>
      <c r="N510">
        <v>0.84006655375000605</v>
      </c>
      <c r="P510">
        <v>4.6333809616443422E-12</v>
      </c>
      <c r="R510">
        <v>4.1592918598828774</v>
      </c>
      <c r="S510">
        <v>4.1630934361703984</v>
      </c>
      <c r="T510">
        <v>1</v>
      </c>
      <c r="U510">
        <v>1.9246196453951878</v>
      </c>
    </row>
    <row r="511" spans="1:21">
      <c r="A511">
        <v>0.11471998208486232</v>
      </c>
      <c r="B511">
        <v>-1.2132854389527534</v>
      </c>
      <c r="C511">
        <v>0.97699918713572742</v>
      </c>
      <c r="D511">
        <v>0.58006299408908979</v>
      </c>
      <c r="E511">
        <v>0.78927941186025719</v>
      </c>
      <c r="F511">
        <v>-0.27202725532713773</v>
      </c>
      <c r="G511">
        <v>0.6892068728507883</v>
      </c>
      <c r="H511">
        <v>0.67072624380451118</v>
      </c>
      <c r="I511">
        <v>0.46849345354815075</v>
      </c>
      <c r="J511">
        <v>0.61068736644765542</v>
      </c>
      <c r="L511">
        <v>2.8040440232449151</v>
      </c>
      <c r="M511">
        <v>3.720772367712446</v>
      </c>
      <c r="N511">
        <v>2.3695482223771491</v>
      </c>
      <c r="P511">
        <v>6.1733567119581579E-12</v>
      </c>
      <c r="R511">
        <v>5.8408590968447793</v>
      </c>
      <c r="S511">
        <v>5.8454524208722907</v>
      </c>
      <c r="T511">
        <v>1</v>
      </c>
      <c r="U511">
        <v>1.905430587968947</v>
      </c>
    </row>
    <row r="512" spans="1:21">
      <c r="A512">
        <v>0.10795502594251355</v>
      </c>
      <c r="B512">
        <v>-1.2062051014449975</v>
      </c>
      <c r="C512">
        <v>0.99549399784527037</v>
      </c>
      <c r="D512">
        <v>0.13162883029695754</v>
      </c>
      <c r="E512">
        <v>0.14493383054826961</v>
      </c>
      <c r="F512">
        <v>0.23962244434197305</v>
      </c>
      <c r="G512">
        <v>0.18833755781089201</v>
      </c>
      <c r="H512">
        <v>0.72150563480048702</v>
      </c>
      <c r="I512">
        <v>8.4634040204374303E-2</v>
      </c>
      <c r="J512">
        <v>2.6911840126000782E-2</v>
      </c>
      <c r="L512">
        <v>2.8040442660826193</v>
      </c>
      <c r="M512">
        <v>3.7207723772946362</v>
      </c>
      <c r="N512">
        <v>2.3695480924840249</v>
      </c>
      <c r="P512">
        <v>6.8652154525578601E-12</v>
      </c>
      <c r="R512">
        <v>5.8408590968447793</v>
      </c>
      <c r="S512">
        <v>5.8454524208722907</v>
      </c>
      <c r="T512">
        <v>1</v>
      </c>
      <c r="U512">
        <v>1.905430587968947</v>
      </c>
    </row>
    <row r="513" spans="1:21">
      <c r="A513">
        <v>0.11668377111037678</v>
      </c>
      <c r="B513">
        <v>-1.2055927264092876</v>
      </c>
      <c r="C513">
        <v>0.98410962373949884</v>
      </c>
      <c r="D513">
        <v>-0.16442891841840018</v>
      </c>
      <c r="E513">
        <v>0.40337057730779607</v>
      </c>
      <c r="F513">
        <v>0.39511248675314209</v>
      </c>
      <c r="G513">
        <v>0.10407235774380463</v>
      </c>
      <c r="H513">
        <v>0.46158453019271939</v>
      </c>
      <c r="I513">
        <v>0.1883328543189067</v>
      </c>
      <c r="J513">
        <v>0.96686136126665012</v>
      </c>
      <c r="L513">
        <v>2.8040440524055956</v>
      </c>
      <c r="M513">
        <v>3.7207725732240648</v>
      </c>
      <c r="N513">
        <v>2.3695476977350673</v>
      </c>
      <c r="P513">
        <v>6.2001567387761731E-12</v>
      </c>
      <c r="R513">
        <v>5.8408590968447793</v>
      </c>
      <c r="S513">
        <v>5.8454524208722907</v>
      </c>
      <c r="T513">
        <v>1</v>
      </c>
      <c r="U513">
        <v>1.905430587968947</v>
      </c>
    </row>
    <row r="514" spans="1:21">
      <c r="A514">
        <v>0.11309505153817312</v>
      </c>
      <c r="B514">
        <v>-1.2081565968421706</v>
      </c>
      <c r="C514">
        <v>0.97323175241599635</v>
      </c>
      <c r="D514">
        <v>0.50154799994188792</v>
      </c>
      <c r="E514">
        <v>0.36533418318138172</v>
      </c>
      <c r="F514">
        <v>-0.56542923683579371</v>
      </c>
      <c r="G514">
        <v>0.10799869619351857</v>
      </c>
      <c r="H514">
        <v>0.61732334415670287</v>
      </c>
      <c r="I514">
        <v>0.40159428775867451</v>
      </c>
      <c r="J514">
        <v>0.24743378503465444</v>
      </c>
      <c r="L514">
        <v>2.804044195129042</v>
      </c>
      <c r="M514">
        <v>3.7207719289874288</v>
      </c>
      <c r="N514">
        <v>2.3695487343133093</v>
      </c>
      <c r="P514">
        <v>6.9149760637951312E-12</v>
      </c>
      <c r="R514">
        <v>5.8408590968447793</v>
      </c>
      <c r="S514">
        <v>5.8454524208722907</v>
      </c>
      <c r="T514">
        <v>1</v>
      </c>
      <c r="U514">
        <v>1.905430587968947</v>
      </c>
    </row>
    <row r="515" spans="1:21">
      <c r="A515">
        <v>9.9364182910928606E-2</v>
      </c>
      <c r="B515">
        <v>-1.2087251727021182</v>
      </c>
      <c r="C515">
        <v>0.97795813838078838</v>
      </c>
      <c r="D515">
        <v>0.21876683457516433</v>
      </c>
      <c r="E515">
        <v>-4.4410916085397358E-2</v>
      </c>
      <c r="F515">
        <v>3.7631480955197839E-2</v>
      </c>
      <c r="G515">
        <v>0.58767217099195379</v>
      </c>
      <c r="H515">
        <v>0.84256116824196026</v>
      </c>
      <c r="I515">
        <v>0.99790952795576726</v>
      </c>
      <c r="J515">
        <v>6.8207943454410905E-2</v>
      </c>
      <c r="L515">
        <v>2.8040440585366819</v>
      </c>
      <c r="M515">
        <v>3.7207724924457568</v>
      </c>
      <c r="N515">
        <v>2.3695479657428011</v>
      </c>
      <c r="P515">
        <v>6.2588813276401029E-12</v>
      </c>
      <c r="R515">
        <v>5.8408590968447793</v>
      </c>
      <c r="S515">
        <v>5.8454524208722907</v>
      </c>
      <c r="T515">
        <v>1</v>
      </c>
      <c r="U515">
        <v>1.905430587968947</v>
      </c>
    </row>
    <row r="516" spans="1:21">
      <c r="A516">
        <v>0.10807801952414957</v>
      </c>
      <c r="B516">
        <v>-1.2069393389899206</v>
      </c>
      <c r="C516">
        <v>0.97016547052915647</v>
      </c>
      <c r="D516">
        <v>0.12432824286759091</v>
      </c>
      <c r="E516">
        <v>0.39735205153705733</v>
      </c>
      <c r="F516">
        <v>-6.3728457346667863E-2</v>
      </c>
      <c r="G516">
        <v>0.25192951819050347</v>
      </c>
      <c r="H516">
        <v>0.62248146363728118</v>
      </c>
      <c r="I516">
        <v>1.0090016322091448</v>
      </c>
      <c r="J516">
        <v>0.58088462320442402</v>
      </c>
      <c r="L516">
        <v>2.8040442188588566</v>
      </c>
      <c r="M516">
        <v>3.7207718670927865</v>
      </c>
      <c r="N516">
        <v>2.3695487788762497</v>
      </c>
      <c r="P516">
        <v>7.0106617985665374E-12</v>
      </c>
      <c r="R516">
        <v>5.8408590968447793</v>
      </c>
      <c r="S516">
        <v>5.8454524208722907</v>
      </c>
      <c r="T516">
        <v>1</v>
      </c>
      <c r="U516">
        <v>1.905430587968947</v>
      </c>
    </row>
    <row r="517" spans="1:21">
      <c r="A517">
        <v>0.11304642033395952</v>
      </c>
      <c r="B517">
        <v>-1.2123057829768731</v>
      </c>
      <c r="C517">
        <v>0.97900799992087906</v>
      </c>
      <c r="D517">
        <v>-0.31013962217699481</v>
      </c>
      <c r="E517">
        <v>0.16279506876822675</v>
      </c>
      <c r="F517">
        <v>0.20468473009730914</v>
      </c>
      <c r="G517">
        <v>0.63293328921649894</v>
      </c>
      <c r="H517">
        <v>0.11971670724275199</v>
      </c>
      <c r="I517">
        <v>0.12637817387569841</v>
      </c>
      <c r="J517">
        <v>0.78439879072694385</v>
      </c>
      <c r="L517">
        <v>2.804044130573645</v>
      </c>
      <c r="M517">
        <v>3.7207725634432229</v>
      </c>
      <c r="N517">
        <v>2.3695477881475133</v>
      </c>
      <c r="P517">
        <v>6.5346158534330575E-12</v>
      </c>
      <c r="R517">
        <v>5.8408590968447793</v>
      </c>
      <c r="S517">
        <v>5.8454524208722907</v>
      </c>
      <c r="T517">
        <v>1</v>
      </c>
      <c r="U517">
        <v>1.905430587968947</v>
      </c>
    </row>
    <row r="518" spans="1:21">
      <c r="A518">
        <v>0.10719354005703854</v>
      </c>
      <c r="B518">
        <v>-1.211865156347852</v>
      </c>
      <c r="C518">
        <v>0.96805121995574184</v>
      </c>
      <c r="D518">
        <v>5.6975731967760533E-2</v>
      </c>
      <c r="E518">
        <v>-3.8853772445053211E-2</v>
      </c>
      <c r="F518">
        <v>-0.42510091173946196</v>
      </c>
      <c r="G518">
        <v>0.5599682823407125</v>
      </c>
      <c r="H518">
        <v>0.32617307814314861</v>
      </c>
      <c r="I518">
        <v>0.58779204416286324</v>
      </c>
      <c r="J518">
        <v>0.28727509974964532</v>
      </c>
      <c r="L518">
        <v>2.8040442240871486</v>
      </c>
      <c r="M518">
        <v>3.7207720551577914</v>
      </c>
      <c r="N518">
        <v>2.3695486281197304</v>
      </c>
      <c r="P518">
        <v>7.0089160511081229E-12</v>
      </c>
      <c r="R518">
        <v>5.8408590968447793</v>
      </c>
      <c r="S518">
        <v>5.8454524208722907</v>
      </c>
      <c r="T518">
        <v>1</v>
      </c>
      <c r="U518">
        <v>1.905430587968947</v>
      </c>
    </row>
    <row r="519" spans="1:21">
      <c r="A519">
        <v>0.10862927598297727</v>
      </c>
      <c r="B519">
        <v>-1.2135460776023963</v>
      </c>
      <c r="C519">
        <v>0.97825221404955376</v>
      </c>
      <c r="D519">
        <v>-4.8793174547556155E-2</v>
      </c>
      <c r="E519">
        <v>0.17076369305165659</v>
      </c>
      <c r="F519">
        <v>0.40058709551933319</v>
      </c>
      <c r="G519">
        <v>0.45484674582800166</v>
      </c>
      <c r="H519">
        <v>0</v>
      </c>
      <c r="I519">
        <v>7.0713714805654096E-2</v>
      </c>
      <c r="J519">
        <v>0.41667965107869831</v>
      </c>
      <c r="L519">
        <v>2.8040428018093229</v>
      </c>
      <c r="M519">
        <v>3.7207702786655994</v>
      </c>
      <c r="N519">
        <v>2.3695475049399004</v>
      </c>
      <c r="P519">
        <v>6.5257872375590724E-13</v>
      </c>
      <c r="R519">
        <v>5.8408590968447793</v>
      </c>
      <c r="S519">
        <v>5.8454524208722907</v>
      </c>
      <c r="T519">
        <v>1</v>
      </c>
      <c r="U519">
        <v>1.905430587968947</v>
      </c>
    </row>
    <row r="520" spans="1:21">
      <c r="A520">
        <v>0.10597113200585424</v>
      </c>
      <c r="B520">
        <v>-1.2139727139951209</v>
      </c>
      <c r="C520">
        <v>0.94896707364327892</v>
      </c>
      <c r="D520">
        <v>0.47396531312777851</v>
      </c>
      <c r="E520">
        <v>0.349846924830647</v>
      </c>
      <c r="F520">
        <v>-0.33448987708501277</v>
      </c>
      <c r="G520">
        <v>0.28754072157277538</v>
      </c>
      <c r="H520">
        <v>7.3286619174917286E-2</v>
      </c>
      <c r="I520">
        <v>1.0247314383599933</v>
      </c>
      <c r="J520">
        <v>0.43602863239526979</v>
      </c>
      <c r="L520">
        <v>2.8040442778704024</v>
      </c>
      <c r="M520">
        <v>3.7207721629532542</v>
      </c>
      <c r="N520">
        <v>2.369548516307149</v>
      </c>
      <c r="P520">
        <v>7.1942061881644338E-12</v>
      </c>
      <c r="R520">
        <v>5.8408590968447793</v>
      </c>
      <c r="S520">
        <v>5.8454524208722907</v>
      </c>
      <c r="T520">
        <v>1</v>
      </c>
      <c r="U520">
        <v>1.905430587968947</v>
      </c>
    </row>
    <row r="521" spans="1:21">
      <c r="A521">
        <v>-0.48579521338101239</v>
      </c>
      <c r="B521">
        <v>-1.2309516610926501</v>
      </c>
      <c r="C521">
        <v>1.803834599602264</v>
      </c>
      <c r="D521">
        <v>-0.40834364387839628</v>
      </c>
      <c r="E521">
        <v>0.10315569840447113</v>
      </c>
      <c r="F521">
        <v>0.69779861582391967</v>
      </c>
      <c r="G521">
        <v>0.35272050574564123</v>
      </c>
      <c r="H521">
        <v>0.87304959351518241</v>
      </c>
      <c r="I521">
        <v>0.25795668399018068</v>
      </c>
      <c r="J521">
        <v>0.36239736872440015</v>
      </c>
      <c r="L521">
        <v>2.8040436025661899</v>
      </c>
      <c r="M521">
        <v>3.7207690550394772</v>
      </c>
      <c r="N521">
        <v>2.2134467746914495</v>
      </c>
      <c r="P521">
        <v>7.7483878285527906E-12</v>
      </c>
      <c r="R521">
        <v>26.830345051733651</v>
      </c>
      <c r="S521">
        <v>27.264608409535779</v>
      </c>
      <c r="T521">
        <v>1</v>
      </c>
      <c r="U521">
        <v>2.2581884973955049</v>
      </c>
    </row>
    <row r="522" spans="1:21">
      <c r="A522">
        <v>-0.48741259379405993</v>
      </c>
      <c r="B522">
        <v>-1.2413763328915921</v>
      </c>
      <c r="C522">
        <v>1.7709389875742456</v>
      </c>
      <c r="D522">
        <v>0.17277227629711628</v>
      </c>
      <c r="E522">
        <v>-1.0846836561223799E-2</v>
      </c>
      <c r="F522">
        <v>-0.21726652582140002</v>
      </c>
      <c r="G522">
        <v>0.54822416024035392</v>
      </c>
      <c r="H522">
        <v>0.23060012627563276</v>
      </c>
      <c r="I522">
        <v>0.35622524697821056</v>
      </c>
      <c r="J522">
        <v>0.53120288581151565</v>
      </c>
      <c r="L522">
        <v>2.8040435579492566</v>
      </c>
      <c r="M522">
        <v>3.7207690804136599</v>
      </c>
      <c r="N522">
        <v>2.213446677056595</v>
      </c>
      <c r="P522">
        <v>7.2265331108332816E-12</v>
      </c>
      <c r="R522">
        <v>26.830345051733651</v>
      </c>
      <c r="S522">
        <v>27.264608409535779</v>
      </c>
      <c r="T522">
        <v>1</v>
      </c>
      <c r="U522">
        <v>2.2581884973955049</v>
      </c>
    </row>
    <row r="523" spans="1:21">
      <c r="A523">
        <v>-0.45519384519447309</v>
      </c>
      <c r="B523">
        <v>-1.2366847897506632</v>
      </c>
      <c r="C523">
        <v>1.7287204212747735</v>
      </c>
      <c r="D523">
        <v>0.51312746887033833</v>
      </c>
      <c r="E523">
        <v>-0.29547686273741874</v>
      </c>
      <c r="F523">
        <v>0.20220831189014996</v>
      </c>
      <c r="G523">
        <v>0.46498377596474944</v>
      </c>
      <c r="H523">
        <v>0.73475113781849277</v>
      </c>
      <c r="I523">
        <v>0.3936329518644695</v>
      </c>
      <c r="J523">
        <v>0.1704213358790872</v>
      </c>
      <c r="L523">
        <v>2.8040436001743596</v>
      </c>
      <c r="M523">
        <v>3.7207692069749312</v>
      </c>
      <c r="N523">
        <v>2.2134468375720178</v>
      </c>
      <c r="P523">
        <v>7.4304652484252008E-12</v>
      </c>
      <c r="R523">
        <v>26.830345051733651</v>
      </c>
      <c r="S523">
        <v>27.264608409535779</v>
      </c>
      <c r="T523">
        <v>1</v>
      </c>
      <c r="U523">
        <v>2.2581884973955049</v>
      </c>
    </row>
    <row r="524" spans="1:21">
      <c r="A524">
        <v>-0.51290372026209596</v>
      </c>
      <c r="B524">
        <v>-1.2359496951797198</v>
      </c>
      <c r="C524">
        <v>1.8354020453501716</v>
      </c>
      <c r="D524">
        <v>-0.19577400144388715</v>
      </c>
      <c r="E524">
        <v>0.28687140269024575</v>
      </c>
      <c r="F524">
        <v>-0.36053669669990396</v>
      </c>
      <c r="G524">
        <v>0.35448078483809869</v>
      </c>
      <c r="H524">
        <v>0.60208693570123728</v>
      </c>
      <c r="I524">
        <v>0.140640527767428</v>
      </c>
      <c r="J524">
        <v>1.9496785091487469E-2</v>
      </c>
      <c r="L524">
        <v>2.8040435707259497</v>
      </c>
      <c r="M524">
        <v>3.7207690399064806</v>
      </c>
      <c r="N524">
        <v>2.2134466996250706</v>
      </c>
      <c r="P524">
        <v>7.4762171180318267E-12</v>
      </c>
      <c r="R524">
        <v>26.830345051733651</v>
      </c>
      <c r="S524">
        <v>27.264608409535779</v>
      </c>
      <c r="T524">
        <v>1</v>
      </c>
      <c r="U524">
        <v>2.2581884973955049</v>
      </c>
    </row>
    <row r="525" spans="1:21">
      <c r="A525">
        <v>-0.44043500505154282</v>
      </c>
      <c r="B525">
        <v>-1.2321757814020733</v>
      </c>
      <c r="C525">
        <v>1.7059245313125078</v>
      </c>
      <c r="D525">
        <v>-0.16489365030879763</v>
      </c>
      <c r="E525">
        <v>-6.3848213197996218E-2</v>
      </c>
      <c r="F525">
        <v>0.14084565823929424</v>
      </c>
      <c r="G525">
        <v>0.61910738500150331</v>
      </c>
      <c r="H525">
        <v>0.81934226579113767</v>
      </c>
      <c r="I525">
        <v>1.1760109817707669</v>
      </c>
      <c r="J525">
        <v>0.36087401400611141</v>
      </c>
      <c r="L525">
        <v>2.8040441062320269</v>
      </c>
      <c r="M525">
        <v>3.720768320172537</v>
      </c>
      <c r="N525">
        <v>2.2134459254741476</v>
      </c>
      <c r="P525">
        <v>1.0394526383775732E-11</v>
      </c>
      <c r="R525">
        <v>26.830345051733651</v>
      </c>
      <c r="S525">
        <v>27.264608409535779</v>
      </c>
      <c r="T525">
        <v>1</v>
      </c>
      <c r="U525">
        <v>2.2581884973955049</v>
      </c>
    </row>
    <row r="526" spans="1:21">
      <c r="A526">
        <v>-0.48749210962156558</v>
      </c>
      <c r="B526">
        <v>-1.2405876631645212</v>
      </c>
      <c r="C526">
        <v>1.7543176549128174</v>
      </c>
      <c r="D526">
        <v>4.8994183083391422E-2</v>
      </c>
      <c r="E526">
        <v>0.32408782903337707</v>
      </c>
      <c r="F526">
        <v>-0.46200872128812243</v>
      </c>
      <c r="G526">
        <v>0.35414938081028641</v>
      </c>
      <c r="H526">
        <v>0</v>
      </c>
      <c r="I526">
        <v>1.0035079420259496</v>
      </c>
      <c r="J526">
        <v>0.87404827850278211</v>
      </c>
      <c r="L526">
        <v>2.8040453912453684</v>
      </c>
      <c r="M526">
        <v>3.7207708423685126</v>
      </c>
      <c r="N526">
        <v>2.2134431442918592</v>
      </c>
      <c r="P526">
        <v>1.3407080551106902E-11</v>
      </c>
      <c r="R526">
        <v>26.830345051733651</v>
      </c>
      <c r="S526">
        <v>27.264608409535779</v>
      </c>
      <c r="T526">
        <v>1</v>
      </c>
      <c r="U526">
        <v>2.2581884973955049</v>
      </c>
    </row>
    <row r="527" spans="1:21">
      <c r="A527">
        <v>-0.43508080627218298</v>
      </c>
      <c r="B527">
        <v>-1.2365788750564797</v>
      </c>
      <c r="C527">
        <v>1.6662495513903031</v>
      </c>
      <c r="D527">
        <v>7.6192410704889413E-2</v>
      </c>
      <c r="E527">
        <v>-0.7697685423359022</v>
      </c>
      <c r="F527">
        <v>-0.68312433593805899</v>
      </c>
      <c r="G527">
        <v>0.21037434873304209</v>
      </c>
      <c r="H527">
        <v>0</v>
      </c>
      <c r="I527">
        <v>0.86288178529659632</v>
      </c>
      <c r="J527">
        <v>1.3776193430691122E-2</v>
      </c>
      <c r="L527">
        <v>2.8040431578383016</v>
      </c>
      <c r="M527">
        <v>3.7207705492693628</v>
      </c>
      <c r="N527">
        <v>2.2134456572111527</v>
      </c>
      <c r="P527">
        <v>1.1398250648734497E-12</v>
      </c>
      <c r="R527">
        <v>26.830345051733651</v>
      </c>
      <c r="S527">
        <v>27.264608409535779</v>
      </c>
      <c r="T527">
        <v>1</v>
      </c>
      <c r="U527">
        <v>2.2581884973955049</v>
      </c>
    </row>
    <row r="528" spans="1:21">
      <c r="A528">
        <v>-0.5235131652300461</v>
      </c>
      <c r="B528">
        <v>-1.2347173956952999</v>
      </c>
      <c r="C528">
        <v>1.8430442414165429</v>
      </c>
      <c r="D528">
        <v>-0.26152913448711534</v>
      </c>
      <c r="E528">
        <v>0.37501876249187804</v>
      </c>
      <c r="F528">
        <v>-0.19545076836036807</v>
      </c>
      <c r="G528">
        <v>0.21362421826489608</v>
      </c>
      <c r="H528">
        <v>0.59276811073667135</v>
      </c>
      <c r="I528">
        <v>0.46002813452715136</v>
      </c>
      <c r="J528">
        <v>0.71174250211895762</v>
      </c>
      <c r="L528">
        <v>2.8040434318483825</v>
      </c>
      <c r="M528">
        <v>3.7207690645065976</v>
      </c>
      <c r="N528">
        <v>2.2134466003199407</v>
      </c>
      <c r="P528">
        <v>6.7464064946410887E-12</v>
      </c>
      <c r="R528">
        <v>26.830345051733651</v>
      </c>
      <c r="S528">
        <v>27.264608409535779</v>
      </c>
      <c r="T528">
        <v>1</v>
      </c>
      <c r="U528">
        <v>2.2581884973955049</v>
      </c>
    </row>
    <row r="529" spans="1:21">
      <c r="A529">
        <v>-0.49889593907010821</v>
      </c>
      <c r="B529">
        <v>-1.2377943280004964</v>
      </c>
      <c r="C529">
        <v>1.7997540654759876</v>
      </c>
      <c r="D529">
        <v>5.3337721315931334E-2</v>
      </c>
      <c r="E529">
        <v>0.37168945574069862</v>
      </c>
      <c r="F529">
        <v>9.2655345523790317E-2</v>
      </c>
      <c r="G529">
        <v>0.1122393564358771</v>
      </c>
      <c r="H529">
        <v>0.2245269704645638</v>
      </c>
      <c r="I529">
        <v>0.23573646995641837</v>
      </c>
      <c r="J529">
        <v>0.30843134117756288</v>
      </c>
      <c r="L529">
        <v>2.8040435632022267</v>
      </c>
      <c r="M529">
        <v>3.7207691579908113</v>
      </c>
      <c r="N529">
        <v>2.2134467629478389</v>
      </c>
      <c r="P529">
        <v>7.2470097229062072E-12</v>
      </c>
      <c r="R529">
        <v>26.830345051733651</v>
      </c>
      <c r="S529">
        <v>27.264608409535779</v>
      </c>
      <c r="T529">
        <v>1</v>
      </c>
      <c r="U529">
        <v>2.2581884973955049</v>
      </c>
    </row>
    <row r="530" spans="1:21">
      <c r="A530">
        <v>-0.45076949372582376</v>
      </c>
      <c r="B530">
        <v>-1.2377533691136235</v>
      </c>
      <c r="C530">
        <v>1.7196852250208814</v>
      </c>
      <c r="D530">
        <v>-0.21125386158061407</v>
      </c>
      <c r="E530">
        <v>0.27414309518466412</v>
      </c>
      <c r="F530">
        <v>0.39053003615847598</v>
      </c>
      <c r="G530">
        <v>0.85450380342994969</v>
      </c>
      <c r="H530">
        <v>0.45569721399219876</v>
      </c>
      <c r="I530">
        <v>1.0774996998827577</v>
      </c>
      <c r="J530">
        <v>0.75340105606122432</v>
      </c>
      <c r="L530">
        <v>2.8040434859804391</v>
      </c>
      <c r="M530">
        <v>3.720769113269907</v>
      </c>
      <c r="N530">
        <v>2.2134466977647516</v>
      </c>
      <c r="P530">
        <v>7.0001138882699452E-12</v>
      </c>
      <c r="R530">
        <v>26.830345051733651</v>
      </c>
      <c r="S530">
        <v>27.264608409535779</v>
      </c>
      <c r="T530">
        <v>1</v>
      </c>
      <c r="U530">
        <v>2.2581884973955049</v>
      </c>
    </row>
    <row r="531" spans="1:21">
      <c r="A531">
        <v>0.1785902933226767</v>
      </c>
      <c r="B531">
        <v>-1.2007686587629396</v>
      </c>
      <c r="C531">
        <v>0.90162629864780353</v>
      </c>
      <c r="D531">
        <v>-0.13679550301607998</v>
      </c>
      <c r="E531">
        <v>0.15918580456187625</v>
      </c>
      <c r="F531">
        <v>-0.53555432858615315</v>
      </c>
      <c r="G531">
        <v>0.3282836337469528</v>
      </c>
      <c r="H531">
        <v>0.90216855470510915</v>
      </c>
      <c r="I531">
        <v>0.40438391475853558</v>
      </c>
      <c r="J531">
        <v>0.47449283069036979</v>
      </c>
      <c r="L531">
        <v>2.8040433259610289</v>
      </c>
      <c r="M531">
        <v>3.7207720446730832</v>
      </c>
      <c r="N531">
        <v>0.83452601451135011</v>
      </c>
      <c r="P531">
        <v>2.4900450625545251E-12</v>
      </c>
      <c r="R531">
        <v>4.3628626309739627</v>
      </c>
      <c r="S531">
        <v>4.3649803826438793</v>
      </c>
      <c r="T531">
        <v>1</v>
      </c>
      <c r="U531">
        <v>2.2784918105433563</v>
      </c>
    </row>
    <row r="532" spans="1:21">
      <c r="A532">
        <v>0.15564921471835511</v>
      </c>
      <c r="B532">
        <v>-1.2041145275683443</v>
      </c>
      <c r="C532">
        <v>0.89460832259264211</v>
      </c>
      <c r="D532">
        <v>-0.14105081601593966</v>
      </c>
      <c r="E532">
        <v>-0.55365248660888011</v>
      </c>
      <c r="F532">
        <v>0.34295310591286582</v>
      </c>
      <c r="G532">
        <v>0.45160015060054837</v>
      </c>
      <c r="H532">
        <v>0.65834863066271676</v>
      </c>
      <c r="I532">
        <v>0.98369026115751779</v>
      </c>
      <c r="J532">
        <v>0.28845405586442041</v>
      </c>
      <c r="L532">
        <v>2.8040437762110892</v>
      </c>
      <c r="M532">
        <v>3.7207716334617178</v>
      </c>
      <c r="N532">
        <v>0.83452664488231088</v>
      </c>
      <c r="P532">
        <v>3.4417393246370194E-12</v>
      </c>
      <c r="R532">
        <v>4.3628626309739627</v>
      </c>
      <c r="S532">
        <v>4.3649803826438793</v>
      </c>
      <c r="T532">
        <v>1</v>
      </c>
      <c r="U532">
        <v>2.2784918105433563</v>
      </c>
    </row>
    <row r="533" spans="1:21">
      <c r="A533">
        <v>0.16898157399047645</v>
      </c>
      <c r="B533">
        <v>-1.2083506886890192</v>
      </c>
      <c r="C533">
        <v>0.89409278799921343</v>
      </c>
      <c r="D533">
        <v>0.22565348068053739</v>
      </c>
      <c r="E533">
        <v>0.28315488827370494</v>
      </c>
      <c r="F533">
        <v>-0.27993087101763381</v>
      </c>
      <c r="G533">
        <v>0.73049096557226589</v>
      </c>
      <c r="H533">
        <v>0.69605286611583028</v>
      </c>
      <c r="I533">
        <v>0.73026921545199264</v>
      </c>
      <c r="J533">
        <v>0.85999560874233705</v>
      </c>
      <c r="L533">
        <v>2.8040434359898621</v>
      </c>
      <c r="M533">
        <v>3.7207719321708672</v>
      </c>
      <c r="N533">
        <v>0.83452640787052113</v>
      </c>
      <c r="P533">
        <v>2.7734978125403398E-12</v>
      </c>
      <c r="R533">
        <v>4.3628626309739627</v>
      </c>
      <c r="S533">
        <v>4.3649803826438793</v>
      </c>
      <c r="T533">
        <v>1</v>
      </c>
      <c r="U533">
        <v>2.2784918105433563</v>
      </c>
    </row>
    <row r="534" spans="1:21">
      <c r="A534">
        <v>0.1571367302279309</v>
      </c>
      <c r="B534">
        <v>-1.2105080975279818</v>
      </c>
      <c r="C534">
        <v>0.89335441547418348</v>
      </c>
      <c r="D534">
        <v>0.13429560194800758</v>
      </c>
      <c r="E534">
        <v>0.11283190236347904</v>
      </c>
      <c r="F534">
        <v>0.240968076637017</v>
      </c>
      <c r="G534">
        <v>0.3157601328478376</v>
      </c>
      <c r="H534">
        <v>2.0168641666287648E-2</v>
      </c>
      <c r="I534">
        <v>0.59508157985899757</v>
      </c>
      <c r="J534">
        <v>6.6950856171072604E-2</v>
      </c>
      <c r="L534">
        <v>2.8040434764113518</v>
      </c>
      <c r="M534">
        <v>3.7207720903714678</v>
      </c>
      <c r="N534">
        <v>0.83452548390093928</v>
      </c>
      <c r="P534">
        <v>3.0188820419086515E-12</v>
      </c>
      <c r="R534">
        <v>4.3628626309739627</v>
      </c>
      <c r="S534">
        <v>4.3649803826438793</v>
      </c>
      <c r="T534">
        <v>1</v>
      </c>
      <c r="U534">
        <v>2.2784918105433563</v>
      </c>
    </row>
    <row r="535" spans="1:21">
      <c r="A535">
        <v>0.16315997346701097</v>
      </c>
      <c r="B535">
        <v>-1.211081349961022</v>
      </c>
      <c r="C535">
        <v>0.87680616597855954</v>
      </c>
      <c r="D535">
        <v>0.69502478230483378</v>
      </c>
      <c r="E535">
        <v>-0.58897551869904885</v>
      </c>
      <c r="F535">
        <v>-0.1751225004385889</v>
      </c>
      <c r="G535">
        <v>0.31329417037374591</v>
      </c>
      <c r="H535">
        <v>0.28586058589685365</v>
      </c>
      <c r="I535">
        <v>0.3042841728902736</v>
      </c>
      <c r="J535">
        <v>0.83772616698425284</v>
      </c>
      <c r="L535">
        <v>2.8040436166873688</v>
      </c>
      <c r="M535">
        <v>3.7207717992546714</v>
      </c>
      <c r="N535">
        <v>0.83452542907502425</v>
      </c>
      <c r="P535">
        <v>2.7788392147082215E-12</v>
      </c>
      <c r="R535">
        <v>4.3628626309739627</v>
      </c>
      <c r="S535">
        <v>4.3649803826438793</v>
      </c>
      <c r="T535">
        <v>1</v>
      </c>
      <c r="U535">
        <v>2.2784918105433563</v>
      </c>
    </row>
    <row r="536" spans="1:21">
      <c r="A536">
        <v>0.17332374329955322</v>
      </c>
      <c r="B536">
        <v>-1.2044916550130818</v>
      </c>
      <c r="C536">
        <v>0.90743819692748984</v>
      </c>
      <c r="D536">
        <v>-0.57825370040049318</v>
      </c>
      <c r="E536">
        <v>0.32507472794026948</v>
      </c>
      <c r="F536">
        <v>0.33217280654423958</v>
      </c>
      <c r="G536">
        <v>0.24834042662938849</v>
      </c>
      <c r="H536">
        <v>0.14216615055889184</v>
      </c>
      <c r="I536">
        <v>0.11515103167555446</v>
      </c>
      <c r="J536">
        <v>0.51338737310983418</v>
      </c>
      <c r="L536">
        <v>2.8040433276812577</v>
      </c>
      <c r="M536">
        <v>3.7207720378119382</v>
      </c>
      <c r="N536">
        <v>0.83452567766454222</v>
      </c>
      <c r="P536">
        <v>2.467261602051514E-12</v>
      </c>
      <c r="R536">
        <v>4.3628626309739627</v>
      </c>
      <c r="S536">
        <v>4.3649803826438793</v>
      </c>
      <c r="T536">
        <v>1</v>
      </c>
      <c r="U536">
        <v>2.2784918105433563</v>
      </c>
    </row>
    <row r="537" spans="1:21">
      <c r="A537">
        <v>0.16161386923725637</v>
      </c>
      <c r="B537">
        <v>-1.2040636022213731</v>
      </c>
      <c r="C537">
        <v>0.88804558951769119</v>
      </c>
      <c r="D537">
        <v>0.45190444061200735</v>
      </c>
      <c r="E537">
        <v>-0.14724744956082655</v>
      </c>
      <c r="F537">
        <v>6.8387901855576042E-2</v>
      </c>
      <c r="G537">
        <v>0.1586208348999672</v>
      </c>
      <c r="H537">
        <v>0.76967620128263559</v>
      </c>
      <c r="I537">
        <v>0.91757944892518606</v>
      </c>
      <c r="J537">
        <v>0.34668321587567902</v>
      </c>
      <c r="L537">
        <v>2.8040433490931229</v>
      </c>
      <c r="M537">
        <v>3.7207719918266267</v>
      </c>
      <c r="N537">
        <v>0.83452554676497082</v>
      </c>
      <c r="P537">
        <v>2.4629353400723154E-12</v>
      </c>
      <c r="R537">
        <v>4.3628626309739627</v>
      </c>
      <c r="S537">
        <v>4.3649803826438793</v>
      </c>
      <c r="T537">
        <v>1</v>
      </c>
      <c r="U537">
        <v>2.2784918105433563</v>
      </c>
    </row>
    <row r="538" spans="1:21">
      <c r="A538">
        <v>0.16440957050050561</v>
      </c>
      <c r="B538">
        <v>-1.2057925698191181</v>
      </c>
      <c r="C538">
        <v>0.90226270127701147</v>
      </c>
      <c r="D538">
        <v>-0.46669441713570292</v>
      </c>
      <c r="E538">
        <v>0.5565628520564565</v>
      </c>
      <c r="F538">
        <v>0.5200631581739209</v>
      </c>
      <c r="G538">
        <v>0.40259412295481917</v>
      </c>
      <c r="H538">
        <v>0.21815211903402526</v>
      </c>
      <c r="I538">
        <v>0.84471737097913957</v>
      </c>
      <c r="J538">
        <v>0.55103498267258189</v>
      </c>
      <c r="L538">
        <v>2.804043304779448</v>
      </c>
      <c r="M538">
        <v>3.7207720131514423</v>
      </c>
      <c r="N538">
        <v>0.83452601987420005</v>
      </c>
      <c r="P538">
        <v>2.3753393464435183E-12</v>
      </c>
      <c r="R538">
        <v>4.3628626309739627</v>
      </c>
      <c r="S538">
        <v>4.3649803826438793</v>
      </c>
      <c r="T538">
        <v>1</v>
      </c>
      <c r="U538">
        <v>2.2784918105433563</v>
      </c>
    </row>
    <row r="539" spans="1:21">
      <c r="A539">
        <v>0.16803814152450317</v>
      </c>
      <c r="B539">
        <v>-1.1997616008489267</v>
      </c>
      <c r="C539">
        <v>0.90874786406830321</v>
      </c>
      <c r="D539">
        <v>-0.19821458044359844</v>
      </c>
      <c r="E539">
        <v>-6.9836580745351595E-2</v>
      </c>
      <c r="F539">
        <v>0.49845567452117384</v>
      </c>
      <c r="G539">
        <v>0.25580057049867733</v>
      </c>
      <c r="H539">
        <v>0.93419869326900296</v>
      </c>
      <c r="I539">
        <v>0.56696823551963815</v>
      </c>
      <c r="J539">
        <v>0.36004808827042095</v>
      </c>
      <c r="L539">
        <v>2.8040440218535356</v>
      </c>
      <c r="M539">
        <v>3.7207714633912201</v>
      </c>
      <c r="N539">
        <v>0.83452626088850812</v>
      </c>
      <c r="P539">
        <v>3.5164196032298429E-12</v>
      </c>
      <c r="R539">
        <v>4.3628626309739627</v>
      </c>
      <c r="S539">
        <v>4.3649803826438793</v>
      </c>
      <c r="T539">
        <v>1</v>
      </c>
      <c r="U539">
        <v>2.2784918105433563</v>
      </c>
    </row>
    <row r="540" spans="1:21">
      <c r="A540">
        <v>0.1822091738864437</v>
      </c>
      <c r="B540">
        <v>-1.1989446179552468</v>
      </c>
      <c r="C540">
        <v>0.89617090004365918</v>
      </c>
      <c r="D540">
        <v>-0.50062188192705948</v>
      </c>
      <c r="E540">
        <v>0.46211914007916738</v>
      </c>
      <c r="F540">
        <v>-0.77321410907531118</v>
      </c>
      <c r="G540">
        <v>3.2855313231236173E-2</v>
      </c>
      <c r="H540">
        <v>0.55169735257456409</v>
      </c>
      <c r="I540">
        <v>0.53004110791434922</v>
      </c>
      <c r="J540">
        <v>0.39211505841848643</v>
      </c>
      <c r="L540">
        <v>2.8040433469382595</v>
      </c>
      <c r="M540">
        <v>3.7207720338657215</v>
      </c>
      <c r="N540">
        <v>0.83452614464548647</v>
      </c>
      <c r="P540">
        <v>2.5727830977103132E-12</v>
      </c>
      <c r="R540">
        <v>4.3628626309739627</v>
      </c>
      <c r="S540">
        <v>4.3649803826438793</v>
      </c>
      <c r="T540">
        <v>1</v>
      </c>
      <c r="U540">
        <v>2.2784918105433563</v>
      </c>
    </row>
    <row r="541" spans="1:21">
      <c r="A541">
        <v>2.0887502049763203E-2</v>
      </c>
      <c r="B541">
        <v>-1.2035035402492917</v>
      </c>
      <c r="C541">
        <v>0.8170310944687027</v>
      </c>
      <c r="D541">
        <v>0.16732849949961603</v>
      </c>
      <c r="E541">
        <v>-0.26522874060491819</v>
      </c>
      <c r="F541">
        <v>-0.32831835132163839</v>
      </c>
      <c r="G541">
        <v>0.56212056014821965</v>
      </c>
      <c r="H541">
        <v>0.9715555278583683</v>
      </c>
      <c r="I541">
        <v>9.0534099136990148E-2</v>
      </c>
      <c r="J541">
        <v>0.22201358144720204</v>
      </c>
      <c r="L541">
        <v>2.804043446251113</v>
      </c>
      <c r="M541">
        <v>2.369548078124061</v>
      </c>
      <c r="N541">
        <v>2.2134458157123635</v>
      </c>
      <c r="P541">
        <v>2.4935308701130366E-12</v>
      </c>
      <c r="R541">
        <v>4.1529536305295807</v>
      </c>
      <c r="S541">
        <v>4.155062022143496</v>
      </c>
      <c r="T541">
        <v>1</v>
      </c>
      <c r="U541">
        <v>2.2602480115697396</v>
      </c>
    </row>
    <row r="542" spans="1:21">
      <c r="A542">
        <v>2.395609332119018E-2</v>
      </c>
      <c r="B542">
        <v>-1.2059225897458556</v>
      </c>
      <c r="C542">
        <v>0.83913520595624969</v>
      </c>
      <c r="D542">
        <v>-0.78079708428611916</v>
      </c>
      <c r="E542">
        <v>0.47155061880826771</v>
      </c>
      <c r="F542">
        <v>0.78982396992166259</v>
      </c>
      <c r="G542">
        <v>0.95889087960396802</v>
      </c>
      <c r="H542">
        <v>0.49138409909086289</v>
      </c>
      <c r="I542">
        <v>0.3210706625601929</v>
      </c>
      <c r="J542">
        <v>0.29341459840120526</v>
      </c>
      <c r="L542">
        <v>2.8040435427114785</v>
      </c>
      <c r="M542">
        <v>2.3695478357085138</v>
      </c>
      <c r="N542">
        <v>2.2134459334552563</v>
      </c>
      <c r="P542">
        <v>2.5667650474573017E-12</v>
      </c>
      <c r="R542">
        <v>4.1529536305295807</v>
      </c>
      <c r="S542">
        <v>4.155062022143496</v>
      </c>
      <c r="T542">
        <v>1</v>
      </c>
      <c r="U542">
        <v>2.2602480115697396</v>
      </c>
    </row>
    <row r="543" spans="1:21">
      <c r="A543">
        <v>2.2262432576548547E-2</v>
      </c>
      <c r="B543">
        <v>-1.2041901067995775</v>
      </c>
      <c r="C543">
        <v>0.82591407689911733</v>
      </c>
      <c r="D543">
        <v>-0.52586590766575936</v>
      </c>
      <c r="E543">
        <v>0.3538851739849303</v>
      </c>
      <c r="F543">
        <v>0.56410847212315529</v>
      </c>
      <c r="G543">
        <v>0.65016077284852203</v>
      </c>
      <c r="H543">
        <v>0.52750999286952571</v>
      </c>
      <c r="I543">
        <v>0.36254151708945914</v>
      </c>
      <c r="J543">
        <v>0.57999420997380025</v>
      </c>
      <c r="L543">
        <v>2.8040435766518881</v>
      </c>
      <c r="M543">
        <v>2.3695478094872273</v>
      </c>
      <c r="N543">
        <v>2.2134458137756723</v>
      </c>
      <c r="P543">
        <v>2.4387717195223861E-12</v>
      </c>
      <c r="R543">
        <v>4.1529536305295807</v>
      </c>
      <c r="S543">
        <v>4.155062022143496</v>
      </c>
      <c r="T543">
        <v>1</v>
      </c>
      <c r="U543">
        <v>2.2602480115697396</v>
      </c>
    </row>
    <row r="544" spans="1:21">
      <c r="A544">
        <v>1.8362229513200344E-2</v>
      </c>
      <c r="B544">
        <v>-1.2087884113327831</v>
      </c>
      <c r="C544">
        <v>0.81992348417375371</v>
      </c>
      <c r="D544">
        <v>0.40667334925902587</v>
      </c>
      <c r="E544">
        <v>0.2218860059112589</v>
      </c>
      <c r="F544">
        <v>0.25394940933637983</v>
      </c>
      <c r="G544">
        <v>0.89100348464881962</v>
      </c>
      <c r="H544">
        <v>0.88335866786561457</v>
      </c>
      <c r="I544">
        <v>0.11167149538022568</v>
      </c>
      <c r="J544">
        <v>0.84346108150962551</v>
      </c>
      <c r="L544">
        <v>2.8040434592493044</v>
      </c>
      <c r="M544">
        <v>2.3695479653238931</v>
      </c>
      <c r="N544">
        <v>2.2134459108963696</v>
      </c>
      <c r="P544">
        <v>2.4956906907184215E-12</v>
      </c>
      <c r="R544">
        <v>4.1529536305295807</v>
      </c>
      <c r="S544">
        <v>4.155062022143496</v>
      </c>
      <c r="T544">
        <v>1</v>
      </c>
      <c r="U544">
        <v>2.2602480115697396</v>
      </c>
    </row>
    <row r="545" spans="1:21">
      <c r="A545">
        <v>2.0525925843500933E-2</v>
      </c>
      <c r="B545">
        <v>-1.2091434849515772</v>
      </c>
      <c r="C545">
        <v>0.80599797674074836</v>
      </c>
      <c r="D545">
        <v>-0.35130764709567563</v>
      </c>
      <c r="E545">
        <v>0.43846945779848634</v>
      </c>
      <c r="F545">
        <v>8.038362096527818E-2</v>
      </c>
      <c r="G545">
        <v>0.63437462120904131</v>
      </c>
      <c r="H545">
        <v>3.8678702678301966E-2</v>
      </c>
      <c r="I545">
        <v>0.5379702156693591</v>
      </c>
      <c r="J545">
        <v>0.75669454934840696</v>
      </c>
      <c r="L545">
        <v>2.8040435464074926</v>
      </c>
      <c r="M545">
        <v>2.3695478916817043</v>
      </c>
      <c r="N545">
        <v>2.2134458658367469</v>
      </c>
      <c r="P545">
        <v>2.5362591722231093E-12</v>
      </c>
      <c r="R545">
        <v>4.1529536305295807</v>
      </c>
      <c r="S545">
        <v>4.155062022143496</v>
      </c>
      <c r="T545">
        <v>1</v>
      </c>
      <c r="U545">
        <v>2.2602480115697396</v>
      </c>
    </row>
    <row r="546" spans="1:21">
      <c r="A546">
        <v>1.384165268681572E-2</v>
      </c>
      <c r="B546">
        <v>-1.2057929009018331</v>
      </c>
      <c r="C546">
        <v>0.80821256936516273</v>
      </c>
      <c r="D546">
        <v>-0.12994723154761945</v>
      </c>
      <c r="E546">
        <v>0.39564290801269336</v>
      </c>
      <c r="F546">
        <v>-0.87237946837567482</v>
      </c>
      <c r="G546">
        <v>0.4491951559880672</v>
      </c>
      <c r="H546">
        <v>0.39466328384829197</v>
      </c>
      <c r="I546">
        <v>9.5690845954150075E-2</v>
      </c>
      <c r="J546">
        <v>0.42130166463894947</v>
      </c>
      <c r="L546">
        <v>2.8040434720827681</v>
      </c>
      <c r="M546">
        <v>2.3695482346880721</v>
      </c>
      <c r="N546">
        <v>2.2134455784737406</v>
      </c>
      <c r="P546">
        <v>2.5536999892886487E-12</v>
      </c>
      <c r="R546">
        <v>4.1529536305295807</v>
      </c>
      <c r="S546">
        <v>4.155062022143496</v>
      </c>
      <c r="T546">
        <v>1</v>
      </c>
      <c r="U546">
        <v>2.2602480115697396</v>
      </c>
    </row>
    <row r="547" spans="1:21">
      <c r="A547">
        <v>2.6953714570639272E-2</v>
      </c>
      <c r="B547">
        <v>-1.2090007827316245</v>
      </c>
      <c r="C547">
        <v>0.80161911394656093</v>
      </c>
      <c r="D547">
        <v>0.98929034035214536</v>
      </c>
      <c r="E547">
        <v>8.0265700836667425E-2</v>
      </c>
      <c r="F547">
        <v>0.70368476666553281</v>
      </c>
      <c r="G547">
        <v>0.59484346574906388</v>
      </c>
      <c r="H547">
        <v>0.91864604908811665</v>
      </c>
      <c r="I547">
        <v>0.7955611524064935</v>
      </c>
      <c r="J547">
        <v>0.90855014924291344</v>
      </c>
      <c r="L547">
        <v>2.8040436517268761</v>
      </c>
      <c r="M547">
        <v>2.3695480362661101</v>
      </c>
      <c r="N547">
        <v>2.2134459059495795</v>
      </c>
      <c r="P547">
        <v>3.0768032780486031E-12</v>
      </c>
      <c r="R547">
        <v>4.1529536305295807</v>
      </c>
      <c r="S547">
        <v>4.155062022143496</v>
      </c>
      <c r="T547">
        <v>1</v>
      </c>
      <c r="U547">
        <v>2.2602480115697396</v>
      </c>
    </row>
    <row r="548" spans="1:21">
      <c r="A548">
        <v>1.8160100699843085E-2</v>
      </c>
      <c r="B548">
        <v>-1.2049814768627305</v>
      </c>
      <c r="C548">
        <v>0.79134695992824777</v>
      </c>
      <c r="D548">
        <v>0.23658435129215927</v>
      </c>
      <c r="E548">
        <v>0.7653389349801244</v>
      </c>
      <c r="F548">
        <v>-0.56355894606397849</v>
      </c>
      <c r="G548">
        <v>4.9753384127953201E-2</v>
      </c>
      <c r="H548">
        <v>0.30445337252107746</v>
      </c>
      <c r="I548">
        <v>0.79320773313437642</v>
      </c>
      <c r="J548">
        <v>0.63113384989642896</v>
      </c>
      <c r="L548">
        <v>2.8040435029392379</v>
      </c>
      <c r="M548">
        <v>2.3695482791348557</v>
      </c>
      <c r="N548">
        <v>2.2134455946947349</v>
      </c>
      <c r="P548">
        <v>2.7314381720998212E-12</v>
      </c>
      <c r="R548">
        <v>4.1529536305295807</v>
      </c>
      <c r="S548">
        <v>4.155062022143496</v>
      </c>
      <c r="T548">
        <v>1</v>
      </c>
      <c r="U548">
        <v>2.2602480115697396</v>
      </c>
    </row>
    <row r="549" spans="1:21">
      <c r="A549">
        <v>2.8791186578378317E-2</v>
      </c>
      <c r="B549">
        <v>-1.2078550192389503</v>
      </c>
      <c r="C549">
        <v>0.80389062923726462</v>
      </c>
      <c r="D549">
        <v>-0.25247219543749577</v>
      </c>
      <c r="E549">
        <v>-0.19304388918949525</v>
      </c>
      <c r="F549">
        <v>6.8136113237389273E-2</v>
      </c>
      <c r="G549">
        <v>0.80688358785225267</v>
      </c>
      <c r="H549">
        <v>0.39316378480175029</v>
      </c>
      <c r="I549">
        <v>0.93287618585666732</v>
      </c>
      <c r="J549">
        <v>0.41555181801494667</v>
      </c>
      <c r="L549">
        <v>2.8040434833557897</v>
      </c>
      <c r="M549">
        <v>2.3695482128886947</v>
      </c>
      <c r="N549">
        <v>2.2134455633282859</v>
      </c>
      <c r="P549">
        <v>2.5240741203284019E-12</v>
      </c>
      <c r="R549">
        <v>4.1529536305295807</v>
      </c>
      <c r="S549">
        <v>4.155062022143496</v>
      </c>
      <c r="T549">
        <v>1</v>
      </c>
      <c r="U549">
        <v>2.2602480115697396</v>
      </c>
    </row>
    <row r="550" spans="1:21">
      <c r="A550">
        <v>2.3356323918397866E-2</v>
      </c>
      <c r="B550">
        <v>-1.2044823566077032</v>
      </c>
      <c r="C550">
        <v>0.80846530606128975</v>
      </c>
      <c r="D550">
        <v>0.25374979152142774</v>
      </c>
      <c r="E550">
        <v>-0.78858253483501561</v>
      </c>
      <c r="F550">
        <v>-4.4429943625801979E-2</v>
      </c>
      <c r="G550">
        <v>0.59006251011995325</v>
      </c>
      <c r="H550">
        <v>0.92310369164604578</v>
      </c>
      <c r="I550">
        <v>0.10070833197649115</v>
      </c>
      <c r="J550">
        <v>0.59931225921604969</v>
      </c>
      <c r="L550">
        <v>2.8040434263411069</v>
      </c>
      <c r="M550">
        <v>2.369548129946919</v>
      </c>
      <c r="N550">
        <v>2.2134457346305725</v>
      </c>
      <c r="P550">
        <v>2.4271986526325144E-12</v>
      </c>
      <c r="R550">
        <v>4.1529536305295807</v>
      </c>
      <c r="S550">
        <v>4.155062022143496</v>
      </c>
      <c r="T550">
        <v>1</v>
      </c>
      <c r="U550">
        <v>2.2602480115697396</v>
      </c>
    </row>
    <row r="551" spans="1:21">
      <c r="A551">
        <v>-8.0816000458647452E-2</v>
      </c>
      <c r="B551">
        <v>-1.209095117096803</v>
      </c>
      <c r="C551">
        <v>0.57163217968697533</v>
      </c>
      <c r="D551">
        <v>0.6170297295836572</v>
      </c>
      <c r="E551">
        <v>-2.9771027405151994E-2</v>
      </c>
      <c r="F551">
        <v>7.5721303470891912E-2</v>
      </c>
      <c r="G551">
        <v>0.70974972039013251</v>
      </c>
      <c r="H551">
        <v>0.21440561101526001</v>
      </c>
      <c r="I551">
        <v>0.92824451647773054</v>
      </c>
      <c r="J551">
        <v>0.81719853665351705</v>
      </c>
      <c r="L551">
        <v>2.8040420896834628</v>
      </c>
      <c r="M551">
        <v>2.3695478716028462</v>
      </c>
      <c r="N551">
        <v>0.83452536730886973</v>
      </c>
      <c r="P551">
        <v>6.3484547367852119E-13</v>
      </c>
      <c r="R551">
        <v>17.192251347660161</v>
      </c>
      <c r="S551">
        <v>17.378066776989606</v>
      </c>
      <c r="T551">
        <v>1</v>
      </c>
      <c r="U551">
        <v>2.2806971450886437</v>
      </c>
    </row>
    <row r="552" spans="1:21">
      <c r="A552">
        <v>-0.15019624680418278</v>
      </c>
      <c r="B552">
        <v>-1.1981047887575762</v>
      </c>
      <c r="C552">
        <v>0.47870352738983651</v>
      </c>
      <c r="D552">
        <v>0.56826635288633109</v>
      </c>
      <c r="E552">
        <v>0.82555122689465332</v>
      </c>
      <c r="F552">
        <v>-0.27064582924272684</v>
      </c>
      <c r="G552">
        <v>0.22115555601120693</v>
      </c>
      <c r="H552">
        <v>0.72374557531351769</v>
      </c>
      <c r="I552">
        <v>0.2689618585798248</v>
      </c>
      <c r="J552">
        <v>0.11282326009172762</v>
      </c>
      <c r="L552">
        <v>2.8040420816158487</v>
      </c>
      <c r="M552">
        <v>2.3695476705356024</v>
      </c>
      <c r="N552">
        <v>0.83452521787801504</v>
      </c>
      <c r="P552">
        <v>5.9305695857035023E-13</v>
      </c>
      <c r="R552">
        <v>17.192251347660161</v>
      </c>
      <c r="S552">
        <v>17.378066776989606</v>
      </c>
      <c r="T552">
        <v>1</v>
      </c>
      <c r="U552">
        <v>2.2806971450886437</v>
      </c>
    </row>
    <row r="553" spans="1:21">
      <c r="A553">
        <v>-0.1342165430257915</v>
      </c>
      <c r="B553">
        <v>-1.1914305026209908</v>
      </c>
      <c r="C553">
        <v>0.5003006410452755</v>
      </c>
      <c r="D553">
        <v>-2.9770013311882632E-2</v>
      </c>
      <c r="E553">
        <v>0.36688443080081862</v>
      </c>
      <c r="F553">
        <v>0.19522257663021636</v>
      </c>
      <c r="G553">
        <v>2.9356743989851747E-2</v>
      </c>
      <c r="H553">
        <v>0.90102847652126483</v>
      </c>
      <c r="I553">
        <v>0.59916985631122266</v>
      </c>
      <c r="J553">
        <v>0.38871034735347149</v>
      </c>
      <c r="L553">
        <v>2.8040421179128092</v>
      </c>
      <c r="M553">
        <v>2.3695475423564538</v>
      </c>
      <c r="N553">
        <v>0.83452510810535752</v>
      </c>
      <c r="P553">
        <v>6.3605117268644588E-13</v>
      </c>
      <c r="R553">
        <v>17.192251347660161</v>
      </c>
      <c r="S553">
        <v>17.378066776989606</v>
      </c>
      <c r="T553">
        <v>1</v>
      </c>
      <c r="U553">
        <v>2.2806971450886437</v>
      </c>
    </row>
    <row r="554" spans="1:21">
      <c r="A554">
        <v>-0.1707211837092748</v>
      </c>
      <c r="B554">
        <v>-1.1919776048315303</v>
      </c>
      <c r="C554">
        <v>0.45216539808385592</v>
      </c>
      <c r="D554">
        <v>-0.1732367062947103</v>
      </c>
      <c r="E554">
        <v>0.47048285837495052</v>
      </c>
      <c r="F554">
        <v>7.5938085439624062E-2</v>
      </c>
      <c r="G554">
        <v>0.29335373352232835</v>
      </c>
      <c r="H554">
        <v>0.89350460160029754</v>
      </c>
      <c r="I554">
        <v>3.6879823511082904E-2</v>
      </c>
      <c r="J554">
        <v>0.60612429678660018</v>
      </c>
      <c r="L554">
        <v>2.8040420737314622</v>
      </c>
      <c r="M554">
        <v>2.369547721641394</v>
      </c>
      <c r="N554">
        <v>0.83452519617792797</v>
      </c>
      <c r="P554">
        <v>6.6836444148265274E-13</v>
      </c>
      <c r="R554">
        <v>17.192251347660161</v>
      </c>
      <c r="S554">
        <v>17.378066776989606</v>
      </c>
      <c r="T554">
        <v>1</v>
      </c>
      <c r="U554">
        <v>2.2806971450886437</v>
      </c>
    </row>
    <row r="555" spans="1:21">
      <c r="A555">
        <v>-8.0873742296339562E-2</v>
      </c>
      <c r="B555">
        <v>-1.200246889927729</v>
      </c>
      <c r="C555">
        <v>0.59068222391654113</v>
      </c>
      <c r="D555">
        <v>-0.28614297066689093</v>
      </c>
      <c r="E555">
        <v>-0.56766855994071719</v>
      </c>
      <c r="F555">
        <v>0.12495940812068118</v>
      </c>
      <c r="G555">
        <v>0.90625294473985307</v>
      </c>
      <c r="H555">
        <v>0.79476410761472205</v>
      </c>
      <c r="I555">
        <v>0.79994613568132478</v>
      </c>
      <c r="J555">
        <v>0.34492770218538732</v>
      </c>
      <c r="L555">
        <v>2.8040420653088511</v>
      </c>
      <c r="M555">
        <v>2.3695477468123047</v>
      </c>
      <c r="N555">
        <v>0.83452517906046342</v>
      </c>
      <c r="P555">
        <v>7.1821015465949285E-13</v>
      </c>
      <c r="R555">
        <v>17.192251347660161</v>
      </c>
      <c r="S555">
        <v>17.378066776989606</v>
      </c>
      <c r="T555">
        <v>1</v>
      </c>
      <c r="U555">
        <v>2.2806971450886437</v>
      </c>
    </row>
    <row r="556" spans="1:21">
      <c r="A556">
        <v>-0.16192487864421143</v>
      </c>
      <c r="B556">
        <v>-1.189761440006001</v>
      </c>
      <c r="C556">
        <v>0.44877282964754212</v>
      </c>
      <c r="D556">
        <v>-0.34907044193780251</v>
      </c>
      <c r="E556">
        <v>-0.28217964946489638</v>
      </c>
      <c r="F556">
        <v>-0.19980117646427817</v>
      </c>
      <c r="G556">
        <v>4.2572973816595798E-2</v>
      </c>
      <c r="H556">
        <v>0.75691803397350299</v>
      </c>
      <c r="I556">
        <v>9.7254480675763283E-2</v>
      </c>
      <c r="J556">
        <v>0.78028807639408204</v>
      </c>
      <c r="L556">
        <v>2.8040420843070724</v>
      </c>
      <c r="M556">
        <v>2.3695476775757407</v>
      </c>
      <c r="N556">
        <v>0.83452524106563464</v>
      </c>
      <c r="P556">
        <v>5.69848088702746E-13</v>
      </c>
      <c r="R556">
        <v>17.192251347660161</v>
      </c>
      <c r="S556">
        <v>17.378066776989606</v>
      </c>
      <c r="T556">
        <v>1</v>
      </c>
      <c r="U556">
        <v>2.2806971450886437</v>
      </c>
    </row>
    <row r="557" spans="1:21">
      <c r="A557">
        <v>-0.12383487693291086</v>
      </c>
      <c r="B557">
        <v>-1.2060530376294478</v>
      </c>
      <c r="C557">
        <v>0.52111114184677487</v>
      </c>
      <c r="D557">
        <v>-6.2619209729859141E-4</v>
      </c>
      <c r="E557">
        <v>2.0526455973489989E-2</v>
      </c>
      <c r="F557">
        <v>-0.15706952727888013</v>
      </c>
      <c r="G557">
        <v>0.75369470537207439</v>
      </c>
      <c r="H557">
        <v>6.394775065200288E-2</v>
      </c>
      <c r="I557">
        <v>4.646594819927926E-2</v>
      </c>
      <c r="J557">
        <v>0.40692030784323763</v>
      </c>
      <c r="L557">
        <v>2.8040421002698404</v>
      </c>
      <c r="M557">
        <v>2.3695478949405566</v>
      </c>
      <c r="N557">
        <v>0.83452540496123739</v>
      </c>
      <c r="P557">
        <v>6.2618820090592054E-13</v>
      </c>
      <c r="R557">
        <v>17.192251347660161</v>
      </c>
      <c r="S557">
        <v>17.378066776989606</v>
      </c>
      <c r="T557">
        <v>1</v>
      </c>
      <c r="U557">
        <v>2.2806971450886437</v>
      </c>
    </row>
    <row r="558" spans="1:21">
      <c r="A558">
        <v>-8.235290573628111E-2</v>
      </c>
      <c r="B558">
        <v>-1.2105289091836244</v>
      </c>
      <c r="C558">
        <v>0.5835697306546187</v>
      </c>
      <c r="D558">
        <v>0.3740138881908438</v>
      </c>
      <c r="E558">
        <v>0.40702282471077444</v>
      </c>
      <c r="F558">
        <v>0.18093969556352041</v>
      </c>
      <c r="G558">
        <v>0.86963012185015942</v>
      </c>
      <c r="H558">
        <v>7.8788190052920093E-2</v>
      </c>
      <c r="I558">
        <v>0.82356324814156245</v>
      </c>
      <c r="J558">
        <v>0.42846563923458936</v>
      </c>
      <c r="L558">
        <v>2.8040420801000843</v>
      </c>
      <c r="M558">
        <v>2.369547879132714</v>
      </c>
      <c r="N558">
        <v>0.83452533915171334</v>
      </c>
      <c r="P558">
        <v>6.7514743504304633E-13</v>
      </c>
      <c r="R558">
        <v>17.192251347660161</v>
      </c>
      <c r="S558">
        <v>17.378066776989606</v>
      </c>
      <c r="T558">
        <v>1</v>
      </c>
      <c r="U558">
        <v>2.2806971450886437</v>
      </c>
    </row>
    <row r="559" spans="1:21">
      <c r="A559">
        <v>-9.1713560913339751E-2</v>
      </c>
      <c r="B559">
        <v>-1.2045153551610663</v>
      </c>
      <c r="C559">
        <v>0.56826873080634344</v>
      </c>
      <c r="D559">
        <v>-1.5186668102903514E-2</v>
      </c>
      <c r="E559">
        <v>-0.12370968454841486</v>
      </c>
      <c r="F559">
        <v>0.21625499069319484</v>
      </c>
      <c r="G559">
        <v>0.85783678835660515</v>
      </c>
      <c r="H559">
        <v>0.41921666657149953</v>
      </c>
      <c r="I559">
        <v>0.74665153659838068</v>
      </c>
      <c r="J559">
        <v>0.6870507332184258</v>
      </c>
      <c r="L559">
        <v>2.8040420787705598</v>
      </c>
      <c r="M559">
        <v>2.3695477727057903</v>
      </c>
      <c r="N559">
        <v>0.83452529435505951</v>
      </c>
      <c r="P559">
        <v>6.0101345666723371E-13</v>
      </c>
      <c r="R559">
        <v>17.192251347660161</v>
      </c>
      <c r="S559">
        <v>17.378066776989606</v>
      </c>
      <c r="T559">
        <v>1</v>
      </c>
      <c r="U559">
        <v>2.2806971450886437</v>
      </c>
    </row>
    <row r="560" spans="1:21">
      <c r="A560">
        <v>-0.10622787339589562</v>
      </c>
      <c r="B560">
        <v>-1.1981703860300947</v>
      </c>
      <c r="C560">
        <v>0.54240349879894711</v>
      </c>
      <c r="D560">
        <v>-0.62278439125058083</v>
      </c>
      <c r="E560">
        <v>-9.2574060336385502E-2</v>
      </c>
      <c r="F560">
        <v>-0.12694944726497806</v>
      </c>
      <c r="G560">
        <v>0.67352102715716111</v>
      </c>
      <c r="H560">
        <v>0.45815396793593027</v>
      </c>
      <c r="I560">
        <v>0.90323527374417256</v>
      </c>
      <c r="J560">
        <v>0.55461513495321757</v>
      </c>
      <c r="L560">
        <v>2.8040421151743762</v>
      </c>
      <c r="M560">
        <v>2.3695475295208266</v>
      </c>
      <c r="N560">
        <v>0.8345251528849158</v>
      </c>
      <c r="P560">
        <v>5.6718313313723478E-13</v>
      </c>
      <c r="R560">
        <v>17.192251347660161</v>
      </c>
      <c r="S560">
        <v>17.378066776989606</v>
      </c>
      <c r="T560">
        <v>1</v>
      </c>
      <c r="U560">
        <v>2.2806971450886437</v>
      </c>
    </row>
    <row r="561" spans="1:21">
      <c r="A561">
        <v>5.5017772024089959E-2</v>
      </c>
      <c r="B561">
        <v>-1.2004726973489721</v>
      </c>
      <c r="C561">
        <v>0.75663303870069099</v>
      </c>
      <c r="D561">
        <v>-0.50847027626638097</v>
      </c>
      <c r="E561">
        <v>-7.013380169015275E-2</v>
      </c>
      <c r="F561">
        <v>0.5818008208710973</v>
      </c>
      <c r="G561">
        <v>0.58784595052947397</v>
      </c>
      <c r="H561">
        <v>0.64375710449266188</v>
      </c>
      <c r="I561">
        <v>0.35433929520315449</v>
      </c>
      <c r="J561">
        <v>0.998495499951223</v>
      </c>
      <c r="L561">
        <v>2.8040431692077266</v>
      </c>
      <c r="M561">
        <v>2.2134454829660379</v>
      </c>
      <c r="N561">
        <v>0.83452615960692045</v>
      </c>
      <c r="P561">
        <v>1.0082729224172525E-12</v>
      </c>
      <c r="R561">
        <v>2.924045855301256</v>
      </c>
      <c r="S561">
        <v>2.9250187817951137</v>
      </c>
      <c r="T561">
        <v>1</v>
      </c>
      <c r="U561">
        <v>2.4867277481797307</v>
      </c>
    </row>
    <row r="562" spans="1:21">
      <c r="A562">
        <v>5.1932080384918353E-2</v>
      </c>
      <c r="B562">
        <v>-1.1956914833812142</v>
      </c>
      <c r="C562">
        <v>0.74916645472240528</v>
      </c>
      <c r="D562">
        <v>-0.47400499674888474</v>
      </c>
      <c r="E562">
        <v>-6.3253897917338209E-2</v>
      </c>
      <c r="F562">
        <v>0.38718392139499258</v>
      </c>
      <c r="G562">
        <v>6.0970537268676399E-2</v>
      </c>
      <c r="H562">
        <v>0.67235110651145613</v>
      </c>
      <c r="I562">
        <v>0.697123225607999</v>
      </c>
      <c r="J562">
        <v>0.38032163019807458</v>
      </c>
      <c r="L562">
        <v>2.8040431084824107</v>
      </c>
      <c r="M562">
        <v>2.2134455205725074</v>
      </c>
      <c r="N562">
        <v>0.83452612623627287</v>
      </c>
      <c r="P562">
        <v>9.1529397972229021E-13</v>
      </c>
      <c r="R562">
        <v>2.924045855301256</v>
      </c>
      <c r="S562">
        <v>2.9250187817951137</v>
      </c>
      <c r="T562">
        <v>1</v>
      </c>
      <c r="U562">
        <v>2.4867277481797307</v>
      </c>
    </row>
    <row r="563" spans="1:21">
      <c r="A563">
        <v>5.1007272925105519E-2</v>
      </c>
      <c r="B563">
        <v>-1.2044117662946874</v>
      </c>
      <c r="C563">
        <v>0.74589112139971836</v>
      </c>
      <c r="D563">
        <v>0.25127571271931204</v>
      </c>
      <c r="E563">
        <v>0.13544778797862606</v>
      </c>
      <c r="F563">
        <v>-0.21005305894636489</v>
      </c>
      <c r="G563">
        <v>0.36638093755181494</v>
      </c>
      <c r="H563">
        <v>0.503338873806077</v>
      </c>
      <c r="I563">
        <v>0.78567951694897209</v>
      </c>
      <c r="J563">
        <v>0.16706588738029832</v>
      </c>
      <c r="L563">
        <v>2.8040432303737375</v>
      </c>
      <c r="M563">
        <v>2.2134452107091036</v>
      </c>
      <c r="N563">
        <v>0.83452592754789168</v>
      </c>
      <c r="P563">
        <v>8.8813441694368493E-13</v>
      </c>
      <c r="R563">
        <v>2.924045855301256</v>
      </c>
      <c r="S563">
        <v>2.9250187817951137</v>
      </c>
      <c r="T563">
        <v>1</v>
      </c>
      <c r="U563">
        <v>2.4867277481797307</v>
      </c>
    </row>
    <row r="564" spans="1:21">
      <c r="A564">
        <v>6.4591996606624166E-2</v>
      </c>
      <c r="B564">
        <v>-1.1995694383108235</v>
      </c>
      <c r="C564">
        <v>0.73652136289135373</v>
      </c>
      <c r="D564">
        <v>-3.4510598844009414E-2</v>
      </c>
      <c r="E564">
        <v>0.72781559948396135</v>
      </c>
      <c r="F564">
        <v>-0.77344979773072864</v>
      </c>
      <c r="G564">
        <v>0.24964472618179584</v>
      </c>
      <c r="H564">
        <v>0.67942733306495429</v>
      </c>
      <c r="I564">
        <v>0.77067600824684446</v>
      </c>
      <c r="J564">
        <v>0.87594294210035617</v>
      </c>
      <c r="L564">
        <v>2.8040429739055117</v>
      </c>
      <c r="M564">
        <v>2.2134454708990541</v>
      </c>
      <c r="N564">
        <v>0.83452609544859979</v>
      </c>
      <c r="P564">
        <v>6.5945192303469135E-13</v>
      </c>
      <c r="R564">
        <v>2.924045855301256</v>
      </c>
      <c r="S564">
        <v>2.9250187817951137</v>
      </c>
      <c r="T564">
        <v>1</v>
      </c>
      <c r="U564">
        <v>2.4867277481797307</v>
      </c>
    </row>
    <row r="565" spans="1:21">
      <c r="A565">
        <v>5.4505165589173524E-2</v>
      </c>
      <c r="B565">
        <v>-1.2026235859281984</v>
      </c>
      <c r="C565">
        <v>0.7432532934489765</v>
      </c>
      <c r="D565">
        <v>0.74949736507012321</v>
      </c>
      <c r="E565">
        <v>2.6205938363141418E-2</v>
      </c>
      <c r="F565">
        <v>-0.13085757289146221</v>
      </c>
      <c r="G565">
        <v>0.21384752900868167</v>
      </c>
      <c r="H565">
        <v>0.88474535212646166</v>
      </c>
      <c r="I565">
        <v>0.43954849947047991</v>
      </c>
      <c r="J565">
        <v>0.42243323662600141</v>
      </c>
      <c r="L565">
        <v>2.8040431042140193</v>
      </c>
      <c r="M565">
        <v>2.2134455984329873</v>
      </c>
      <c r="N565">
        <v>0.83452607565354531</v>
      </c>
      <c r="P565">
        <v>9.5188272431782089E-13</v>
      </c>
      <c r="R565">
        <v>2.924045855301256</v>
      </c>
      <c r="S565">
        <v>2.9250187817951137</v>
      </c>
      <c r="T565">
        <v>1</v>
      </c>
      <c r="U565">
        <v>2.4867277481797307</v>
      </c>
    </row>
    <row r="566" spans="1:21">
      <c r="A566">
        <v>5.9930911369182147E-2</v>
      </c>
      <c r="B566">
        <v>-1.2024602941685489</v>
      </c>
      <c r="C566">
        <v>0.74047626193419269</v>
      </c>
      <c r="D566">
        <v>-0.3039552688756309</v>
      </c>
      <c r="E566">
        <v>0.58364444501974266</v>
      </c>
      <c r="F566">
        <v>-0.34121549514970612</v>
      </c>
      <c r="G566">
        <v>0.34305604231202858</v>
      </c>
      <c r="H566">
        <v>0.28517137190234193</v>
      </c>
      <c r="I566">
        <v>0.76452595292940817</v>
      </c>
      <c r="J566">
        <v>0.86983518457315634</v>
      </c>
      <c r="L566">
        <v>2.8040431133033792</v>
      </c>
      <c r="M566">
        <v>2.2134455356360045</v>
      </c>
      <c r="N566">
        <v>0.8345261172610754</v>
      </c>
      <c r="P566">
        <v>9.3065379019903969E-13</v>
      </c>
      <c r="R566">
        <v>2.924045855301256</v>
      </c>
      <c r="S566">
        <v>2.9250187817951137</v>
      </c>
      <c r="T566">
        <v>1</v>
      </c>
      <c r="U566">
        <v>2.4867277481797307</v>
      </c>
    </row>
    <row r="567" spans="1:21">
      <c r="A567">
        <v>5.7877996134938332E-2</v>
      </c>
      <c r="B567">
        <v>-1.1979930076825962</v>
      </c>
      <c r="C567">
        <v>0.7445057456755857</v>
      </c>
      <c r="D567">
        <v>-0.54803153507766367</v>
      </c>
      <c r="E567">
        <v>0.34438512335876947</v>
      </c>
      <c r="F567">
        <v>-8.5524626501458798E-2</v>
      </c>
      <c r="G567">
        <v>0.28639230199445065</v>
      </c>
      <c r="H567">
        <v>0.5632079664003774</v>
      </c>
      <c r="I567">
        <v>0.84163154404107532</v>
      </c>
      <c r="J567">
        <v>0.78765460598730219</v>
      </c>
      <c r="L567">
        <v>2.8040431531853964</v>
      </c>
      <c r="M567">
        <v>2.2134452858223872</v>
      </c>
      <c r="N567">
        <v>0.83452576665705369</v>
      </c>
      <c r="P567">
        <v>7.6666483405041022E-13</v>
      </c>
      <c r="R567">
        <v>2.924045855301256</v>
      </c>
      <c r="S567">
        <v>2.9250187817951137</v>
      </c>
      <c r="T567">
        <v>1</v>
      </c>
      <c r="U567">
        <v>2.4867277481797307</v>
      </c>
    </row>
    <row r="568" spans="1:21">
      <c r="A568">
        <v>4.7850055939845364E-2</v>
      </c>
      <c r="B568">
        <v>-1.2104908721934116</v>
      </c>
      <c r="C568">
        <v>0.75016149804934684</v>
      </c>
      <c r="D568">
        <v>0.28239355530761151</v>
      </c>
      <c r="E568">
        <v>-4.8560058906825437E-2</v>
      </c>
      <c r="F568">
        <v>0.39075189304625779</v>
      </c>
      <c r="G568">
        <v>0.93624410974688754</v>
      </c>
      <c r="H568">
        <v>0.41733058256678185</v>
      </c>
      <c r="I568">
        <v>0.93504226858843575</v>
      </c>
      <c r="J568">
        <v>0.9588588619288213</v>
      </c>
      <c r="L568">
        <v>2.8040429657878136</v>
      </c>
      <c r="M568">
        <v>2.2134456282117831</v>
      </c>
      <c r="N568">
        <v>0.83452590159535467</v>
      </c>
      <c r="P568">
        <v>7.2352043732239475E-13</v>
      </c>
      <c r="R568">
        <v>2.924045855301256</v>
      </c>
      <c r="S568">
        <v>2.9250187817951137</v>
      </c>
      <c r="T568">
        <v>1</v>
      </c>
      <c r="U568">
        <v>2.4867277481797307</v>
      </c>
    </row>
    <row r="569" spans="1:21">
      <c r="A569">
        <v>5.0416441611165909E-2</v>
      </c>
      <c r="B569">
        <v>-1.2060653160276156</v>
      </c>
      <c r="C569">
        <v>0.73746344688618948</v>
      </c>
      <c r="D569">
        <v>0.69725345308279318</v>
      </c>
      <c r="E569">
        <v>-0.69217413159569119</v>
      </c>
      <c r="F569">
        <v>2.5744245591142169E-2</v>
      </c>
      <c r="G569">
        <v>0.51233421365488463</v>
      </c>
      <c r="H569">
        <v>0.74399360156293326</v>
      </c>
      <c r="I569">
        <v>0.50130222621208842</v>
      </c>
      <c r="J569">
        <v>0.91529702641846356</v>
      </c>
      <c r="L569">
        <v>2.80404328228158</v>
      </c>
      <c r="M569">
        <v>2.2134452800852538</v>
      </c>
      <c r="N569">
        <v>0.83452616456428219</v>
      </c>
      <c r="P569">
        <v>1.1089318218602317E-12</v>
      </c>
      <c r="R569">
        <v>2.924045855301256</v>
      </c>
      <c r="S569">
        <v>2.9250187817951137</v>
      </c>
      <c r="T569">
        <v>1</v>
      </c>
      <c r="U569">
        <v>2.4867277481797307</v>
      </c>
    </row>
    <row r="570" spans="1:21">
      <c r="A570">
        <v>5.3067495818900086E-2</v>
      </c>
      <c r="B570">
        <v>-1.2028293835737447</v>
      </c>
      <c r="C570">
        <v>0.74205810648808357</v>
      </c>
      <c r="D570">
        <v>0.27715385112065982</v>
      </c>
      <c r="E570">
        <v>-0.71912443336952581</v>
      </c>
      <c r="F570">
        <v>-0.14863731915726242</v>
      </c>
      <c r="G570">
        <v>0.34925978910695749</v>
      </c>
      <c r="H570">
        <v>0.66323282583033671</v>
      </c>
      <c r="I570">
        <v>8.9137050035193094E-2</v>
      </c>
      <c r="J570">
        <v>0.54275490184439679</v>
      </c>
      <c r="L570">
        <v>2.8040432365685763</v>
      </c>
      <c r="M570">
        <v>2.2134454226985447</v>
      </c>
      <c r="N570">
        <v>0.83452619966660868</v>
      </c>
      <c r="P570">
        <v>1.1160541183196464E-12</v>
      </c>
      <c r="R570">
        <v>2.924045855301256</v>
      </c>
      <c r="S570">
        <v>2.9250187817951137</v>
      </c>
      <c r="T570">
        <v>1</v>
      </c>
      <c r="U570">
        <v>2.4867277481797307</v>
      </c>
    </row>
    <row r="571" spans="1:21">
      <c r="A571">
        <v>4.9523423723293471E-2</v>
      </c>
      <c r="B571">
        <v>-1.4266311206619151</v>
      </c>
      <c r="C571">
        <v>0.35029103687522917</v>
      </c>
      <c r="D571">
        <v>0.18644173323249663</v>
      </c>
      <c r="E571">
        <v>-0.23492467034598966</v>
      </c>
      <c r="F571">
        <v>-4.0563059865897769E-2</v>
      </c>
      <c r="G571">
        <v>0.68099839672418483</v>
      </c>
      <c r="H571">
        <v>7.2891279863021546E-2</v>
      </c>
      <c r="I571">
        <v>0.18695325314726943</v>
      </c>
      <c r="J571">
        <v>0.71983569651665513</v>
      </c>
      <c r="L571">
        <v>3.7207778119302399</v>
      </c>
      <c r="M571">
        <v>2.369550075943279</v>
      </c>
      <c r="N571">
        <v>2.2134419004938968</v>
      </c>
      <c r="P571">
        <v>6.6525122396836723E-11</v>
      </c>
      <c r="R571">
        <v>12.052974511161958</v>
      </c>
      <c r="S571">
        <v>12.100449578887144</v>
      </c>
      <c r="T571">
        <v>1</v>
      </c>
      <c r="U571">
        <v>2.250718198303483</v>
      </c>
    </row>
    <row r="572" spans="1:21">
      <c r="A572">
        <v>4.9947362338607387E-2</v>
      </c>
      <c r="B572">
        <v>-1.3936914604605453</v>
      </c>
      <c r="C572">
        <v>0.4292777887071012</v>
      </c>
      <c r="D572">
        <v>-4.3150503520480721E-3</v>
      </c>
      <c r="E572">
        <v>0.58467859055684257</v>
      </c>
      <c r="F572">
        <v>0.91757933913793854</v>
      </c>
      <c r="G572">
        <v>0.19758659780984417</v>
      </c>
      <c r="H572">
        <v>0.51387199897761249</v>
      </c>
      <c r="I572">
        <v>0.28827615457456301</v>
      </c>
      <c r="J572">
        <v>0.11029176084182737</v>
      </c>
      <c r="L572">
        <v>3.7207772231137626</v>
      </c>
      <c r="M572">
        <v>2.369550510269324</v>
      </c>
      <c r="N572">
        <v>2.213442413551447</v>
      </c>
      <c r="P572">
        <v>5.8297141839144286E-11</v>
      </c>
      <c r="R572">
        <v>12.052974511161958</v>
      </c>
      <c r="S572">
        <v>12.100449578887144</v>
      </c>
      <c r="T572">
        <v>1</v>
      </c>
      <c r="U572">
        <v>2.250718198303483</v>
      </c>
    </row>
    <row r="573" spans="1:21">
      <c r="A573">
        <v>4.8923606047421124E-2</v>
      </c>
      <c r="B573">
        <v>-1.4007632749691319</v>
      </c>
      <c r="C573">
        <v>0.39967070700717128</v>
      </c>
      <c r="D573">
        <v>-0.39394802050156885</v>
      </c>
      <c r="E573">
        <v>5.5716716980691562E-2</v>
      </c>
      <c r="F573">
        <v>0.66406239683250234</v>
      </c>
      <c r="G573">
        <v>0.35006648578172145</v>
      </c>
      <c r="H573">
        <v>0.61620998184282949</v>
      </c>
      <c r="I573">
        <v>0.38801568678065745</v>
      </c>
      <c r="J573">
        <v>0.90819761289207945</v>
      </c>
      <c r="L573">
        <v>3.7207773286412049</v>
      </c>
      <c r="M573">
        <v>2.3695504319708389</v>
      </c>
      <c r="N573">
        <v>2.2134423015030373</v>
      </c>
      <c r="P573">
        <v>5.9763660890867369E-11</v>
      </c>
      <c r="R573">
        <v>12.052974511161958</v>
      </c>
      <c r="S573">
        <v>12.100449578887144</v>
      </c>
      <c r="T573">
        <v>1</v>
      </c>
      <c r="U573">
        <v>2.250718198303483</v>
      </c>
    </row>
    <row r="574" spans="1:21">
      <c r="A574">
        <v>4.7718006119281224E-2</v>
      </c>
      <c r="B574">
        <v>-1.4304253517017878</v>
      </c>
      <c r="C574">
        <v>0.32760259422739507</v>
      </c>
      <c r="D574">
        <v>7.3624588946850034E-2</v>
      </c>
      <c r="E574">
        <v>-0.19120677161291866</v>
      </c>
      <c r="F574">
        <v>-0.47134814407600056</v>
      </c>
      <c r="G574">
        <v>0.41429234608358217</v>
      </c>
      <c r="H574">
        <v>0.14761650215995742</v>
      </c>
      <c r="I574">
        <v>0.26234796458983589</v>
      </c>
      <c r="J574">
        <v>0.85288498027131898</v>
      </c>
      <c r="L574">
        <v>3.7207777184602633</v>
      </c>
      <c r="M574">
        <v>2.369550147793968</v>
      </c>
      <c r="N574">
        <v>2.2134418617476483</v>
      </c>
      <c r="P574">
        <v>6.5894283971287794E-11</v>
      </c>
      <c r="R574">
        <v>12.052974511161958</v>
      </c>
      <c r="S574">
        <v>12.100449578887144</v>
      </c>
      <c r="T574">
        <v>1</v>
      </c>
      <c r="U574">
        <v>2.250718198303483</v>
      </c>
    </row>
    <row r="575" spans="1:21">
      <c r="A575">
        <v>4.7109067766931315E-2</v>
      </c>
      <c r="B575">
        <v>-1.4023856558694827</v>
      </c>
      <c r="C575">
        <v>0.3935294153572465</v>
      </c>
      <c r="D575">
        <v>-0.54102687782959302</v>
      </c>
      <c r="E575">
        <v>-0.19949520265558038</v>
      </c>
      <c r="F575">
        <v>-0.47133382593610496</v>
      </c>
      <c r="G575">
        <v>0.65429327242074564</v>
      </c>
      <c r="H575">
        <v>0.89699247030474705</v>
      </c>
      <c r="I575">
        <v>0.45181702210965125</v>
      </c>
      <c r="J575">
        <v>0.55067301750412334</v>
      </c>
      <c r="L575">
        <v>3.7207772240589465</v>
      </c>
      <c r="M575">
        <v>2.3695505078957271</v>
      </c>
      <c r="N575">
        <v>2.2134423432430919</v>
      </c>
      <c r="P575">
        <v>5.867713624963746E-11</v>
      </c>
      <c r="R575">
        <v>12.052974511161958</v>
      </c>
      <c r="S575">
        <v>12.100449578887144</v>
      </c>
      <c r="T575">
        <v>1</v>
      </c>
      <c r="U575">
        <v>2.250718198303483</v>
      </c>
    </row>
    <row r="576" spans="1:21">
      <c r="A576">
        <v>4.6636279153867255E-2</v>
      </c>
      <c r="B576">
        <v>-1.4213066960852963</v>
      </c>
      <c r="C576">
        <v>0.34635720871539843</v>
      </c>
      <c r="D576">
        <v>-0.32065037475630787</v>
      </c>
      <c r="E576">
        <v>-0.32708935431337</v>
      </c>
      <c r="F576">
        <v>-0.73971408957788798</v>
      </c>
      <c r="G576">
        <v>0.4360029665696244</v>
      </c>
      <c r="H576">
        <v>0.33781302433888433</v>
      </c>
      <c r="I576">
        <v>0.2074332993911929</v>
      </c>
      <c r="J576">
        <v>0.63550405862902382</v>
      </c>
      <c r="L576">
        <v>3.7207774825108517</v>
      </c>
      <c r="M576">
        <v>2.3695503411762227</v>
      </c>
      <c r="N576">
        <v>2.2134421340350361</v>
      </c>
      <c r="P576">
        <v>6.21767220470652E-11</v>
      </c>
      <c r="R576">
        <v>12.052974511161958</v>
      </c>
      <c r="S576">
        <v>12.100449578887144</v>
      </c>
      <c r="T576">
        <v>1</v>
      </c>
      <c r="U576">
        <v>2.250718198303483</v>
      </c>
    </row>
    <row r="577" spans="1:21">
      <c r="A577">
        <v>4.7351443689168424E-2</v>
      </c>
      <c r="B577">
        <v>-1.4032055843884661</v>
      </c>
      <c r="C577">
        <v>0.37064062928501268</v>
      </c>
      <c r="D577">
        <v>-0.70583701567265977</v>
      </c>
      <c r="E577">
        <v>-0.32520120255649887</v>
      </c>
      <c r="F577">
        <v>-0.11311630920717333</v>
      </c>
      <c r="G577">
        <v>0</v>
      </c>
      <c r="H577">
        <v>0.81364597064425515</v>
      </c>
      <c r="I577">
        <v>0.39650251613184351</v>
      </c>
      <c r="J577">
        <v>0.9885905188004378</v>
      </c>
      <c r="L577">
        <v>3.720777934219222</v>
      </c>
      <c r="M577">
        <v>2.369549824795198</v>
      </c>
      <c r="N577">
        <v>2.2134418322466627</v>
      </c>
      <c r="P577">
        <v>6.7330055979850173E-11</v>
      </c>
      <c r="R577">
        <v>12.052974511161958</v>
      </c>
      <c r="S577">
        <v>12.100449578887144</v>
      </c>
      <c r="T577">
        <v>1</v>
      </c>
      <c r="U577">
        <v>2.250718198303483</v>
      </c>
    </row>
    <row r="578" spans="1:21">
      <c r="A578">
        <v>5.7695209366667659E-2</v>
      </c>
      <c r="B578">
        <v>-1.4136338835725162</v>
      </c>
      <c r="C578">
        <v>0.37432922408782077</v>
      </c>
      <c r="D578">
        <v>9.6042426718179183E-2</v>
      </c>
      <c r="E578">
        <v>-0.57037790071845351</v>
      </c>
      <c r="F578">
        <v>-0.23803239163311751</v>
      </c>
      <c r="G578">
        <v>0.88526866266876336</v>
      </c>
      <c r="H578">
        <v>0.43875506227115413</v>
      </c>
      <c r="I578">
        <v>0.84922239629832197</v>
      </c>
      <c r="J578">
        <v>4.2311940936088442E-2</v>
      </c>
      <c r="L578">
        <v>3.7207776637098835</v>
      </c>
      <c r="M578">
        <v>2.3695501635255369</v>
      </c>
      <c r="N578">
        <v>2.21344235547646</v>
      </c>
      <c r="P578">
        <v>6.2278769231893323E-11</v>
      </c>
      <c r="R578">
        <v>12.052974511161958</v>
      </c>
      <c r="S578">
        <v>12.100449578887144</v>
      </c>
      <c r="T578">
        <v>1</v>
      </c>
      <c r="U578">
        <v>2.250718198303483</v>
      </c>
    </row>
    <row r="579" spans="1:21">
      <c r="A579">
        <v>5.0037764441989332E-2</v>
      </c>
      <c r="B579">
        <v>-1.4165310329214054</v>
      </c>
      <c r="C579">
        <v>0.37194710433718536</v>
      </c>
      <c r="D579">
        <v>0.5745007415627339</v>
      </c>
      <c r="E579">
        <v>-0.38104822004678535</v>
      </c>
      <c r="F579">
        <v>0.35118692693053877</v>
      </c>
      <c r="G579">
        <v>0.50977572282038675</v>
      </c>
      <c r="H579">
        <v>0.54161157803863869</v>
      </c>
      <c r="I579">
        <v>2.9570444325491066E-2</v>
      </c>
      <c r="J579">
        <v>0.67416307389359409</v>
      </c>
      <c r="L579">
        <v>3.720776997704041</v>
      </c>
      <c r="M579">
        <v>2.36955065791707</v>
      </c>
      <c r="N579">
        <v>2.2134426775095499</v>
      </c>
      <c r="P579">
        <v>5.5110602385869412E-11</v>
      </c>
      <c r="R579">
        <v>12.052974511161958</v>
      </c>
      <c r="S579">
        <v>12.100449578887144</v>
      </c>
      <c r="T579">
        <v>1</v>
      </c>
      <c r="U579">
        <v>2.250718198303483</v>
      </c>
    </row>
    <row r="580" spans="1:21">
      <c r="A580">
        <v>4.9423735576913347E-2</v>
      </c>
      <c r="B580">
        <v>-1.4174099883720184</v>
      </c>
      <c r="C580">
        <v>0.33848602425293339</v>
      </c>
      <c r="D580">
        <v>-0.28633286175054296</v>
      </c>
      <c r="E580">
        <v>-7.6448090155476295E-2</v>
      </c>
      <c r="F580">
        <v>-0.78792418459503633</v>
      </c>
      <c r="G580">
        <v>4.5645434014212644E-2</v>
      </c>
      <c r="H580">
        <v>0.53407836393684627</v>
      </c>
      <c r="I580">
        <v>0.68973312835831246</v>
      </c>
      <c r="J580">
        <v>0.51509981627682289</v>
      </c>
      <c r="L580">
        <v>3.7207773645763589</v>
      </c>
      <c r="M580">
        <v>2.3695503997098202</v>
      </c>
      <c r="N580">
        <v>2.2134422337457904</v>
      </c>
      <c r="P580">
        <v>6.041057167691501E-11</v>
      </c>
      <c r="R580">
        <v>12.052974511161958</v>
      </c>
      <c r="S580">
        <v>12.100449578887144</v>
      </c>
      <c r="T580">
        <v>1</v>
      </c>
      <c r="U580">
        <v>2.250718198303483</v>
      </c>
    </row>
    <row r="581" spans="1:21">
      <c r="A581">
        <v>8.9142276274923382E-2</v>
      </c>
      <c r="B581">
        <v>-1.2829335345864956</v>
      </c>
      <c r="C581">
        <v>0.7665243063846191</v>
      </c>
      <c r="D581">
        <v>0.31286382152810399</v>
      </c>
      <c r="E581">
        <v>0.40481134635536614</v>
      </c>
      <c r="F581">
        <v>-6.6093483978008252E-2</v>
      </c>
      <c r="G581">
        <v>0.72714228044365325</v>
      </c>
      <c r="H581">
        <v>0.57513727957916072</v>
      </c>
      <c r="I581">
        <v>0.86287178775446549</v>
      </c>
      <c r="J581">
        <v>0.89462423197832897</v>
      </c>
      <c r="L581">
        <v>3.7207730281667364</v>
      </c>
      <c r="M581">
        <v>2.3695491399912427</v>
      </c>
      <c r="N581">
        <v>0.83452562575059086</v>
      </c>
      <c r="P581">
        <v>8.2799528149382143E-12</v>
      </c>
      <c r="R581">
        <v>6.7097872866034241</v>
      </c>
      <c r="S581">
        <v>6.7197741867997447</v>
      </c>
      <c r="T581">
        <v>1</v>
      </c>
      <c r="U581">
        <v>2.2709367053089302</v>
      </c>
    </row>
    <row r="582" spans="1:21">
      <c r="A582">
        <v>9.2176648572708353E-2</v>
      </c>
      <c r="B582">
        <v>-1.2834289362828593</v>
      </c>
      <c r="C582">
        <v>0.75678995119474124</v>
      </c>
      <c r="D582">
        <v>0.10025669185638744</v>
      </c>
      <c r="E582">
        <v>0.66446213136896692</v>
      </c>
      <c r="F582">
        <v>-0.45016832961705283</v>
      </c>
      <c r="G582">
        <v>0.19225432021134078</v>
      </c>
      <c r="H582">
        <v>6.3797412320017358E-2</v>
      </c>
      <c r="I582">
        <v>0.98398004034921904</v>
      </c>
      <c r="J582">
        <v>0.49701192759911295</v>
      </c>
      <c r="L582">
        <v>3.7207733551731828</v>
      </c>
      <c r="M582">
        <v>2.3695493999469148</v>
      </c>
      <c r="N582">
        <v>0.83452514700327418</v>
      </c>
      <c r="P582">
        <v>1.1275985428613759E-11</v>
      </c>
      <c r="R582">
        <v>6.7097872866034241</v>
      </c>
      <c r="S582">
        <v>6.7197741867997447</v>
      </c>
      <c r="T582">
        <v>1</v>
      </c>
      <c r="U582">
        <v>2.2709367053089302</v>
      </c>
    </row>
    <row r="583" spans="1:21">
      <c r="A583">
        <v>7.9521209432633508E-2</v>
      </c>
      <c r="B583">
        <v>-1.2816000752861754</v>
      </c>
      <c r="C583">
        <v>0.74019287357194008</v>
      </c>
      <c r="D583">
        <v>-0.47922724539671591</v>
      </c>
      <c r="E583">
        <v>0.43261162804569209</v>
      </c>
      <c r="F583">
        <v>3.8878653291627194E-2</v>
      </c>
      <c r="G583">
        <v>6.4034454089826262E-3</v>
      </c>
      <c r="H583">
        <v>0.81468539681367591</v>
      </c>
      <c r="I583">
        <v>0.4927881083300007</v>
      </c>
      <c r="J583">
        <v>0.74270879650491217</v>
      </c>
      <c r="L583">
        <v>3.7207733019276148</v>
      </c>
      <c r="M583">
        <v>2.369549994712064</v>
      </c>
      <c r="N583">
        <v>0.83452488300589478</v>
      </c>
      <c r="P583">
        <v>1.4345234937617812E-11</v>
      </c>
      <c r="R583">
        <v>6.7097872866034241</v>
      </c>
      <c r="S583">
        <v>6.7197741867997447</v>
      </c>
      <c r="T583">
        <v>1</v>
      </c>
      <c r="U583">
        <v>2.2709367053089302</v>
      </c>
    </row>
    <row r="584" spans="1:21">
      <c r="A584">
        <v>7.8870297461451008E-2</v>
      </c>
      <c r="B584">
        <v>-1.2817408350032249</v>
      </c>
      <c r="C584">
        <v>0.75166834007246486</v>
      </c>
      <c r="D584">
        <v>-0.82863381201745778</v>
      </c>
      <c r="E584">
        <v>0.47168054326975145</v>
      </c>
      <c r="F584">
        <v>0.11120967986625457</v>
      </c>
      <c r="G584">
        <v>0.33627772000431205</v>
      </c>
      <c r="H584">
        <v>0.5416122963446276</v>
      </c>
      <c r="I584">
        <v>0.43526286472665487</v>
      </c>
      <c r="J584">
        <v>0.64097475793289649</v>
      </c>
      <c r="L584">
        <v>3.7207736712234083</v>
      </c>
      <c r="M584">
        <v>2.3695488065297874</v>
      </c>
      <c r="N584">
        <v>0.83452443316330838</v>
      </c>
      <c r="P584">
        <v>1.2249246783445739E-11</v>
      </c>
      <c r="R584">
        <v>6.7097872866034241</v>
      </c>
      <c r="S584">
        <v>6.7197741867997447</v>
      </c>
      <c r="T584">
        <v>1</v>
      </c>
      <c r="U584">
        <v>2.2709367053089302</v>
      </c>
    </row>
    <row r="585" spans="1:21">
      <c r="A585">
        <v>9.0283223662384393E-2</v>
      </c>
      <c r="B585">
        <v>-1.2840229003541039</v>
      </c>
      <c r="C585">
        <v>0.75299827783094275</v>
      </c>
      <c r="D585">
        <v>0.28349681019503525</v>
      </c>
      <c r="E585">
        <v>-0.49299347907573249</v>
      </c>
      <c r="F585">
        <v>-0.70562764072676154</v>
      </c>
      <c r="G585">
        <v>9.2936642122992311E-2</v>
      </c>
      <c r="H585">
        <v>0.23811827489334192</v>
      </c>
      <c r="I585">
        <v>7.1270616890085139E-2</v>
      </c>
      <c r="J585">
        <v>0.18185893136100328</v>
      </c>
      <c r="L585">
        <v>3.7207732423922155</v>
      </c>
      <c r="M585">
        <v>2.369549523682497</v>
      </c>
      <c r="N585">
        <v>0.83452528168708073</v>
      </c>
      <c r="P585">
        <v>1.1105225431227777E-11</v>
      </c>
      <c r="R585">
        <v>6.7097872866034241</v>
      </c>
      <c r="S585">
        <v>6.7197741867997447</v>
      </c>
      <c r="T585">
        <v>1</v>
      </c>
      <c r="U585">
        <v>2.2709367053089302</v>
      </c>
    </row>
    <row r="586" spans="1:21">
      <c r="A586">
        <v>7.8361371526478568E-2</v>
      </c>
      <c r="B586">
        <v>-1.2886656717564358</v>
      </c>
      <c r="C586">
        <v>0.75010530825525457</v>
      </c>
      <c r="D586">
        <v>0.14103976509220387</v>
      </c>
      <c r="E586">
        <v>0.64813000477630522</v>
      </c>
      <c r="F586">
        <v>-0.23473028084104869</v>
      </c>
      <c r="G586">
        <v>0.80671812301758539</v>
      </c>
      <c r="H586">
        <v>0.94248630278263112</v>
      </c>
      <c r="I586">
        <v>0.51906043174177752</v>
      </c>
      <c r="J586">
        <v>0.84950622879624216</v>
      </c>
      <c r="L586">
        <v>3.7207733720976046</v>
      </c>
      <c r="M586">
        <v>2.3695491968068256</v>
      </c>
      <c r="N586">
        <v>0.83452517372793322</v>
      </c>
      <c r="P586">
        <v>1.0496057253905053E-11</v>
      </c>
      <c r="R586">
        <v>6.7097872866034241</v>
      </c>
      <c r="S586">
        <v>6.7197741867997447</v>
      </c>
      <c r="T586">
        <v>1</v>
      </c>
      <c r="U586">
        <v>2.2709367053089302</v>
      </c>
    </row>
    <row r="587" spans="1:21">
      <c r="A587">
        <v>8.6389522200078062E-2</v>
      </c>
      <c r="B587">
        <v>-1.2858519158635227</v>
      </c>
      <c r="C587">
        <v>0.76000051234018939</v>
      </c>
      <c r="D587">
        <v>0.65867016533240996</v>
      </c>
      <c r="E587">
        <v>-0.21606549951302595</v>
      </c>
      <c r="F587">
        <v>-0.52435736048390968</v>
      </c>
      <c r="G587">
        <v>0.89612757783298591</v>
      </c>
      <c r="H587">
        <v>0.97685782405276267</v>
      </c>
      <c r="I587">
        <v>0.42146091127287788</v>
      </c>
      <c r="J587">
        <v>0.77215520020904882</v>
      </c>
      <c r="L587">
        <v>3.7207735065582042</v>
      </c>
      <c r="M587">
        <v>2.3695494160124477</v>
      </c>
      <c r="N587">
        <v>0.83452486026358419</v>
      </c>
      <c r="P587">
        <v>1.2597704868263696E-11</v>
      </c>
      <c r="R587">
        <v>6.7097872866034241</v>
      </c>
      <c r="S587">
        <v>6.7197741867997447</v>
      </c>
      <c r="T587">
        <v>1</v>
      </c>
      <c r="U587">
        <v>2.2709367053089302</v>
      </c>
    </row>
    <row r="588" spans="1:21">
      <c r="A588">
        <v>9.2945875897169433E-2</v>
      </c>
      <c r="B588">
        <v>-1.2814009072877508</v>
      </c>
      <c r="C588">
        <v>0.76362089187063587</v>
      </c>
      <c r="D588">
        <v>0.45609417992368151</v>
      </c>
      <c r="E588">
        <v>-0.38177322371315853</v>
      </c>
      <c r="F588">
        <v>-7.7152718840066248E-2</v>
      </c>
      <c r="G588">
        <v>0.34769180046340076</v>
      </c>
      <c r="H588">
        <v>0.40237084464121597</v>
      </c>
      <c r="I588">
        <v>0.41367175363602665</v>
      </c>
      <c r="J588">
        <v>0.80149845750663551</v>
      </c>
      <c r="L588">
        <v>3.7207733683384796</v>
      </c>
      <c r="M588">
        <v>2.369549506031043</v>
      </c>
      <c r="N588">
        <v>0.83452508645597367</v>
      </c>
      <c r="P588">
        <v>1.1893958740127908E-11</v>
      </c>
      <c r="R588">
        <v>6.7097872866034241</v>
      </c>
      <c r="S588">
        <v>6.7197741867997447</v>
      </c>
      <c r="T588">
        <v>1</v>
      </c>
      <c r="U588">
        <v>2.2709367053089302</v>
      </c>
    </row>
    <row r="589" spans="1:21">
      <c r="A589">
        <v>8.3604448955707303E-2</v>
      </c>
      <c r="B589">
        <v>-1.2794715381017376</v>
      </c>
      <c r="C589">
        <v>0.76690629800569132</v>
      </c>
      <c r="D589">
        <v>-0.41873930552096766</v>
      </c>
      <c r="E589">
        <v>0.30230098536729721</v>
      </c>
      <c r="F589">
        <v>-0.21662111591277861</v>
      </c>
      <c r="G589">
        <v>0.40325515995645733</v>
      </c>
      <c r="H589">
        <v>0.41607713097680921</v>
      </c>
      <c r="I589">
        <v>0.38541457452807004</v>
      </c>
      <c r="J589">
        <v>2.5676444263750275E-2</v>
      </c>
      <c r="L589">
        <v>3.7207736223581889</v>
      </c>
      <c r="M589">
        <v>2.3695491761035816</v>
      </c>
      <c r="N589">
        <v>0.83452461228339148</v>
      </c>
      <c r="P589">
        <v>1.2789144198630532E-11</v>
      </c>
      <c r="R589">
        <v>6.7097872866034241</v>
      </c>
      <c r="S589">
        <v>6.7197741867997447</v>
      </c>
      <c r="T589">
        <v>1</v>
      </c>
      <c r="U589">
        <v>2.2709367053089302</v>
      </c>
    </row>
    <row r="590" spans="1:21">
      <c r="A590">
        <v>9.0970011714359963E-2</v>
      </c>
      <c r="B590">
        <v>-1.2833542114270338</v>
      </c>
      <c r="C590">
        <v>0.75855270631020466</v>
      </c>
      <c r="D590">
        <v>-2.3849424853130748E-2</v>
      </c>
      <c r="E590">
        <v>-0.47794599011764055</v>
      </c>
      <c r="F590">
        <v>0.15001842254449863</v>
      </c>
      <c r="G590">
        <v>0.21778391648834763</v>
      </c>
      <c r="H590">
        <v>1.4918389246849011E-2</v>
      </c>
      <c r="I590">
        <v>0.12168572694279872</v>
      </c>
      <c r="J590">
        <v>0.93359779663122955</v>
      </c>
      <c r="L590">
        <v>3.7207734980810492</v>
      </c>
      <c r="M590">
        <v>2.3695497761117825</v>
      </c>
      <c r="N590">
        <v>0.83452464729572018</v>
      </c>
      <c r="P590">
        <v>1.469534687617411E-11</v>
      </c>
      <c r="R590">
        <v>6.7097872866034241</v>
      </c>
      <c r="S590">
        <v>6.7197741867997447</v>
      </c>
      <c r="T590">
        <v>1</v>
      </c>
      <c r="U590">
        <v>2.2709367053089302</v>
      </c>
    </row>
    <row r="591" spans="1:21">
      <c r="A591">
        <v>-2.5407435055412632E-2</v>
      </c>
      <c r="B591">
        <v>-1.3830442000454808</v>
      </c>
      <c r="C591">
        <v>0.59392121059579317</v>
      </c>
      <c r="D591">
        <v>-0.53586851657047285</v>
      </c>
      <c r="E591">
        <v>-0.31593418157279279</v>
      </c>
      <c r="F591">
        <v>0.2070041871291888</v>
      </c>
      <c r="G591">
        <v>0.92986620117681573</v>
      </c>
      <c r="H591">
        <v>0.35742728787130229</v>
      </c>
      <c r="I591">
        <v>0.21793884846010669</v>
      </c>
      <c r="J591">
        <v>0.79340461356073744</v>
      </c>
      <c r="L591">
        <v>3.7207731535515656</v>
      </c>
      <c r="M591">
        <v>2.2134452273667224</v>
      </c>
      <c r="N591">
        <v>0.83452756466453637</v>
      </c>
      <c r="P591">
        <v>8.2770436787399175E-12</v>
      </c>
      <c r="R591">
        <v>6.5639415210372487</v>
      </c>
      <c r="S591">
        <v>6.5721137062563466</v>
      </c>
      <c r="T591">
        <v>1</v>
      </c>
      <c r="U591">
        <v>2.502463546853845</v>
      </c>
    </row>
    <row r="592" spans="1:21">
      <c r="A592">
        <v>-2.9376442726612332E-2</v>
      </c>
      <c r="B592">
        <v>-1.3878747793975503</v>
      </c>
      <c r="C592">
        <v>0.58180313758587998</v>
      </c>
      <c r="D592">
        <v>-8.0854102391860166E-2</v>
      </c>
      <c r="E592">
        <v>0.49565085384441693</v>
      </c>
      <c r="F592">
        <v>0.3701381776860645</v>
      </c>
      <c r="G592">
        <v>0.28557581993778242</v>
      </c>
      <c r="H592">
        <v>0.12984015925290582</v>
      </c>
      <c r="I592">
        <v>0.6594388521214184</v>
      </c>
      <c r="J592">
        <v>0.36896560849261301</v>
      </c>
      <c r="L592">
        <v>3.7207731641630755</v>
      </c>
      <c r="M592">
        <v>2.2134450043076708</v>
      </c>
      <c r="N592">
        <v>0.83452777004857703</v>
      </c>
      <c r="P592">
        <v>9.075245921044187E-12</v>
      </c>
      <c r="R592">
        <v>6.5639415210372487</v>
      </c>
      <c r="S592">
        <v>6.5721137062563466</v>
      </c>
      <c r="T592">
        <v>1</v>
      </c>
      <c r="U592">
        <v>2.502463546853845</v>
      </c>
    </row>
    <row r="593" spans="1:21">
      <c r="A593">
        <v>-2.1697732244629522E-2</v>
      </c>
      <c r="B593">
        <v>-1.3814410983665262</v>
      </c>
      <c r="C593">
        <v>0.59226739606703949</v>
      </c>
      <c r="D593">
        <v>0.76435420107762786</v>
      </c>
      <c r="E593">
        <v>0.60039779536865112</v>
      </c>
      <c r="F593">
        <v>0.44063701662487353</v>
      </c>
      <c r="G593">
        <v>0.47862970762843582</v>
      </c>
      <c r="H593">
        <v>0.85160721845905984</v>
      </c>
      <c r="I593">
        <v>0.36290060599801954</v>
      </c>
      <c r="J593">
        <v>0.77308725857563043</v>
      </c>
      <c r="L593">
        <v>3.720773032569423</v>
      </c>
      <c r="M593">
        <v>2.2134450611364769</v>
      </c>
      <c r="N593">
        <v>0.83452771289268635</v>
      </c>
      <c r="P593">
        <v>8.2597577852923845E-12</v>
      </c>
      <c r="R593">
        <v>6.5639415210372487</v>
      </c>
      <c r="S593">
        <v>6.5721137062563466</v>
      </c>
      <c r="T593">
        <v>1</v>
      </c>
      <c r="U593">
        <v>2.502463546853845</v>
      </c>
    </row>
    <row r="594" spans="1:21">
      <c r="A594">
        <v>-1.884357184864191E-2</v>
      </c>
      <c r="B594">
        <v>-1.3872568648053079</v>
      </c>
      <c r="C594">
        <v>0.5600288632296001</v>
      </c>
      <c r="D594">
        <v>0.16040087992555338</v>
      </c>
      <c r="E594">
        <v>0.71891794875130943</v>
      </c>
      <c r="F594">
        <v>-0.55199150795990604</v>
      </c>
      <c r="G594">
        <v>9.005853333694519E-2</v>
      </c>
      <c r="H594">
        <v>0.36081544778942487</v>
      </c>
      <c r="I594">
        <v>0.68993661441762066</v>
      </c>
      <c r="J594">
        <v>0.97189252395723646</v>
      </c>
      <c r="L594">
        <v>3.7207730656696589</v>
      </c>
      <c r="M594">
        <v>2.2134451245615865</v>
      </c>
      <c r="N594">
        <v>0.83452766616198792</v>
      </c>
      <c r="P594">
        <v>8.2293964079982525E-12</v>
      </c>
      <c r="R594">
        <v>6.5639415210372487</v>
      </c>
      <c r="S594">
        <v>6.5721137062563466</v>
      </c>
      <c r="T594">
        <v>1</v>
      </c>
      <c r="U594">
        <v>2.502463546853845</v>
      </c>
    </row>
    <row r="595" spans="1:21">
      <c r="A595">
        <v>-2.4536976207809015E-2</v>
      </c>
      <c r="B595">
        <v>-1.3806507499062963</v>
      </c>
      <c r="C595">
        <v>0.60518570080898793</v>
      </c>
      <c r="D595">
        <v>0.43859430741542482</v>
      </c>
      <c r="E595">
        <v>0.63478681041911389</v>
      </c>
      <c r="F595">
        <v>0.24098545117597051</v>
      </c>
      <c r="G595">
        <v>0.85372523559466718</v>
      </c>
      <c r="H595">
        <v>0.79001161081405813</v>
      </c>
      <c r="I595">
        <v>0.61248411538787539</v>
      </c>
      <c r="J595">
        <v>0.2820007188741116</v>
      </c>
      <c r="L595">
        <v>3.7207730403126575</v>
      </c>
      <c r="M595">
        <v>2.2134454594661159</v>
      </c>
      <c r="N595">
        <v>0.83452730374290496</v>
      </c>
      <c r="P595">
        <v>7.044721601213827E-12</v>
      </c>
      <c r="R595">
        <v>6.5639415210372487</v>
      </c>
      <c r="S595">
        <v>6.5721137062563466</v>
      </c>
      <c r="T595">
        <v>1</v>
      </c>
      <c r="U595">
        <v>2.502463546853845</v>
      </c>
    </row>
    <row r="596" spans="1:21">
      <c r="A596">
        <v>-3.0100548703243465E-2</v>
      </c>
      <c r="B596">
        <v>-1.387051735630624</v>
      </c>
      <c r="C596">
        <v>0.57169917159543571</v>
      </c>
      <c r="D596">
        <v>-0.86837458322324479</v>
      </c>
      <c r="E596">
        <v>-0.75983798397591473</v>
      </c>
      <c r="F596">
        <v>-2.3145591691261441E-2</v>
      </c>
      <c r="G596">
        <v>0.59011316205146203</v>
      </c>
      <c r="H596">
        <v>0.3204831929800101</v>
      </c>
      <c r="I596">
        <v>0.46932126595217932</v>
      </c>
      <c r="J596">
        <v>0.84318074575837842</v>
      </c>
      <c r="L596">
        <v>3.720773146069603</v>
      </c>
      <c r="M596">
        <v>2.2134450962216405</v>
      </c>
      <c r="N596">
        <v>0.83452769174752128</v>
      </c>
      <c r="P596">
        <v>8.6846522381627496E-12</v>
      </c>
      <c r="R596">
        <v>6.5639415210372487</v>
      </c>
      <c r="S596">
        <v>6.5721137062563466</v>
      </c>
      <c r="T596">
        <v>1</v>
      </c>
      <c r="U596">
        <v>2.502463546853845</v>
      </c>
    </row>
    <row r="597" spans="1:21">
      <c r="A597">
        <v>-3.1346309864386759E-2</v>
      </c>
      <c r="B597">
        <v>-1.3837976344548713</v>
      </c>
      <c r="C597">
        <v>0.58660283573111116</v>
      </c>
      <c r="D597">
        <v>-0.2551653809425492</v>
      </c>
      <c r="E597">
        <v>-0.2684873695954873</v>
      </c>
      <c r="F597">
        <v>7.411998656519635E-3</v>
      </c>
      <c r="G597">
        <v>0.71962212795275882</v>
      </c>
      <c r="H597">
        <v>0.7773821347703439</v>
      </c>
      <c r="I597">
        <v>0.79845718052402148</v>
      </c>
      <c r="J597">
        <v>0.29878992530020992</v>
      </c>
      <c r="L597">
        <v>3.7207728064255785</v>
      </c>
      <c r="M597">
        <v>2.2134451316488155</v>
      </c>
      <c r="N597">
        <v>0.83452763311239908</v>
      </c>
      <c r="P597">
        <v>7.0335300089440207E-12</v>
      </c>
      <c r="R597">
        <v>6.5639415210372487</v>
      </c>
      <c r="S597">
        <v>6.5721137062563466</v>
      </c>
      <c r="T597">
        <v>1</v>
      </c>
      <c r="U597">
        <v>2.502463546853845</v>
      </c>
    </row>
    <row r="598" spans="1:21">
      <c r="A598">
        <v>-3.170504821416513E-2</v>
      </c>
      <c r="B598">
        <v>-1.3863541718443346</v>
      </c>
      <c r="C598">
        <v>0.57063457212366153</v>
      </c>
      <c r="D598">
        <v>-0.34120599026992421</v>
      </c>
      <c r="E598">
        <v>-3.3456754078672328E-3</v>
      </c>
      <c r="F598">
        <v>3.4235290277131333E-2</v>
      </c>
      <c r="G598">
        <v>0.23921436330717977</v>
      </c>
      <c r="H598">
        <v>0.53244491243813041</v>
      </c>
      <c r="I598">
        <v>0.9737238023377538</v>
      </c>
      <c r="J598">
        <v>0.4072167271625195</v>
      </c>
      <c r="L598">
        <v>3.7207730535205203</v>
      </c>
      <c r="M598">
        <v>2.2134451164342166</v>
      </c>
      <c r="N598">
        <v>0.83452767181709531</v>
      </c>
      <c r="P598">
        <v>8.1965041123565028E-12</v>
      </c>
      <c r="R598">
        <v>6.5639415210372487</v>
      </c>
      <c r="S598">
        <v>6.5721137062563466</v>
      </c>
      <c r="T598">
        <v>1</v>
      </c>
      <c r="U598">
        <v>2.502463546853845</v>
      </c>
    </row>
    <row r="599" spans="1:21">
      <c r="A599">
        <v>-2.5420857524635496E-2</v>
      </c>
      <c r="B599">
        <v>-1.3855676277265809</v>
      </c>
      <c r="C599">
        <v>0.59335070136693391</v>
      </c>
      <c r="D599">
        <v>0.18206455634219418</v>
      </c>
      <c r="E599">
        <v>0.1917962747653183</v>
      </c>
      <c r="F599">
        <v>0.40550511644474846</v>
      </c>
      <c r="G599">
        <v>0.88831645870731302</v>
      </c>
      <c r="H599">
        <v>0.54336578394466362</v>
      </c>
      <c r="I599">
        <v>0.45518551939288004</v>
      </c>
      <c r="J599">
        <v>0.91128063939828396</v>
      </c>
      <c r="L599">
        <v>3.7207731030329323</v>
      </c>
      <c r="M599">
        <v>2.2134450569979855</v>
      </c>
      <c r="N599">
        <v>0.83452772345478288</v>
      </c>
      <c r="P599">
        <v>8.6110265059858742E-12</v>
      </c>
      <c r="R599">
        <v>6.5639415210372487</v>
      </c>
      <c r="S599">
        <v>6.5721137062563466</v>
      </c>
      <c r="T599">
        <v>1</v>
      </c>
      <c r="U599">
        <v>2.502463546853845</v>
      </c>
    </row>
    <row r="600" spans="1:21">
      <c r="A600">
        <v>-2.3819231583729096E-2</v>
      </c>
      <c r="B600">
        <v>-1.3805751909609403</v>
      </c>
      <c r="C600">
        <v>0.56706475279965218</v>
      </c>
      <c r="D600">
        <v>-0.45705403115871174</v>
      </c>
      <c r="E600">
        <v>-0.41399902042488601</v>
      </c>
      <c r="F600">
        <v>-4.1028872058908074E-2</v>
      </c>
      <c r="G600">
        <v>0.15844100872378697</v>
      </c>
      <c r="H600">
        <v>0.73498126919975493</v>
      </c>
      <c r="I600">
        <v>0.41036826614851468</v>
      </c>
      <c r="J600">
        <v>0.9975983273445056</v>
      </c>
      <c r="L600">
        <v>3.7207731306781775</v>
      </c>
      <c r="M600">
        <v>2.2134453538558607</v>
      </c>
      <c r="N600">
        <v>0.83452742975855621</v>
      </c>
      <c r="P600">
        <v>7.7701044188057395E-12</v>
      </c>
      <c r="R600">
        <v>6.5639415210372487</v>
      </c>
      <c r="S600">
        <v>6.5721137062563466</v>
      </c>
      <c r="T600">
        <v>1</v>
      </c>
      <c r="U600">
        <v>2.502463546853845</v>
      </c>
    </row>
    <row r="601" spans="1:21">
      <c r="A601">
        <v>3.0629846305179103E-2</v>
      </c>
      <c r="B601">
        <v>-1.2602023933629596</v>
      </c>
      <c r="C601">
        <v>0.68998376202668132</v>
      </c>
      <c r="D601">
        <v>0.92110937775924751</v>
      </c>
      <c r="E601">
        <v>7.2220646541757867E-3</v>
      </c>
      <c r="F601">
        <v>-0.28804081359297229</v>
      </c>
      <c r="G601">
        <v>0.21177752394572663</v>
      </c>
      <c r="H601">
        <v>0.95455184593011555</v>
      </c>
      <c r="I601">
        <v>0.26440402452669765</v>
      </c>
      <c r="J601">
        <v>0.36765101188528365</v>
      </c>
      <c r="L601">
        <v>2.3695483066617453</v>
      </c>
      <c r="M601">
        <v>2.2134460135611929</v>
      </c>
      <c r="N601">
        <v>0.83452595372016491</v>
      </c>
      <c r="P601">
        <v>1.939460138281037E-12</v>
      </c>
      <c r="R601">
        <v>4.4257581477671515</v>
      </c>
      <c r="S601">
        <v>4.4300562065933597</v>
      </c>
      <c r="T601">
        <v>1</v>
      </c>
      <c r="U601">
        <v>2.4951763290993858</v>
      </c>
    </row>
    <row r="602" spans="1:21">
      <c r="A602">
        <v>2.7506641587556408E-2</v>
      </c>
      <c r="B602">
        <v>-1.2646905366332575</v>
      </c>
      <c r="C602">
        <v>0.7052292331510075</v>
      </c>
      <c r="D602">
        <v>0.59744821507630974</v>
      </c>
      <c r="E602">
        <v>0.20821417159813177</v>
      </c>
      <c r="F602">
        <v>0.38927854481230101</v>
      </c>
      <c r="G602">
        <v>0.59111262997942937</v>
      </c>
      <c r="H602">
        <v>0.13550717581513744</v>
      </c>
      <c r="I602">
        <v>0.16450592657909793</v>
      </c>
      <c r="J602">
        <v>0.48876330060207201</v>
      </c>
      <c r="L602">
        <v>2.3695479609300665</v>
      </c>
      <c r="M602">
        <v>2.2134460779851111</v>
      </c>
      <c r="N602">
        <v>0.83452586681356478</v>
      </c>
      <c r="P602">
        <v>1.4416208337143992E-12</v>
      </c>
      <c r="R602">
        <v>4.4257581477671515</v>
      </c>
      <c r="S602">
        <v>4.4300562065933597</v>
      </c>
      <c r="T602">
        <v>1</v>
      </c>
      <c r="U602">
        <v>2.4951763290993858</v>
      </c>
    </row>
    <row r="603" spans="1:21">
      <c r="A603">
        <v>2.643590918441379E-2</v>
      </c>
      <c r="B603">
        <v>-1.2579631669659457</v>
      </c>
      <c r="C603">
        <v>0.69140073880395914</v>
      </c>
      <c r="D603">
        <v>0.3121562377078646</v>
      </c>
      <c r="E603">
        <v>-0.66203221425269487</v>
      </c>
      <c r="F603">
        <v>0.19354425721732074</v>
      </c>
      <c r="G603">
        <v>0.1264317193452342</v>
      </c>
      <c r="H603">
        <v>0.32420405047034923</v>
      </c>
      <c r="I603">
        <v>3.6923270332496198E-2</v>
      </c>
      <c r="J603">
        <v>0.41382470741573685</v>
      </c>
      <c r="L603">
        <v>2.369547957598416</v>
      </c>
      <c r="M603">
        <v>2.2134460294734954</v>
      </c>
      <c r="N603">
        <v>0.83452589697671109</v>
      </c>
      <c r="P603">
        <v>1.3479630532080516E-12</v>
      </c>
      <c r="R603">
        <v>4.4257581477671515</v>
      </c>
      <c r="S603">
        <v>4.4300562065933597</v>
      </c>
      <c r="T603">
        <v>1</v>
      </c>
      <c r="U603">
        <v>2.4951763290993858</v>
      </c>
    </row>
    <row r="604" spans="1:21">
      <c r="A604">
        <v>2.8245622181974024E-2</v>
      </c>
      <c r="B604">
        <v>-1.2543439057313193</v>
      </c>
      <c r="C604">
        <v>0.68082937312299519</v>
      </c>
      <c r="D604">
        <v>0.20797087617002158</v>
      </c>
      <c r="E604">
        <v>-0.15241103452224142</v>
      </c>
      <c r="F604">
        <v>0.25080180155452014</v>
      </c>
      <c r="G604">
        <v>1.5559674326684659E-2</v>
      </c>
      <c r="H604">
        <v>0.82484058878591027</v>
      </c>
      <c r="I604">
        <v>0.97122553373590759</v>
      </c>
      <c r="J604">
        <v>1.0057999087820537</v>
      </c>
      <c r="L604">
        <v>2.3695483053657393</v>
      </c>
      <c r="M604">
        <v>2.2134460001863943</v>
      </c>
      <c r="N604">
        <v>0.83452595879041214</v>
      </c>
      <c r="P604">
        <v>1.9138879747771864E-12</v>
      </c>
      <c r="R604">
        <v>4.4257581477671515</v>
      </c>
      <c r="S604">
        <v>4.4300562065933597</v>
      </c>
      <c r="T604">
        <v>1</v>
      </c>
      <c r="U604">
        <v>2.4951763290993858</v>
      </c>
    </row>
    <row r="605" spans="1:21">
      <c r="A605">
        <v>2.8341647304743409E-2</v>
      </c>
      <c r="B605">
        <v>-1.2545076285562475</v>
      </c>
      <c r="C605">
        <v>0.69945524745998522</v>
      </c>
      <c r="D605">
        <v>-2.8588832053511818E-2</v>
      </c>
      <c r="E605">
        <v>0.15510915703343481</v>
      </c>
      <c r="F605">
        <v>0.17555396996326042</v>
      </c>
      <c r="G605">
        <v>0.11439038649760884</v>
      </c>
      <c r="H605">
        <v>0.20586758041863068</v>
      </c>
      <c r="I605">
        <v>0.52560410409882719</v>
      </c>
      <c r="J605">
        <v>0.17281984181238008</v>
      </c>
      <c r="L605">
        <v>2.3695486341580869</v>
      </c>
      <c r="M605">
        <v>2.2134459602707701</v>
      </c>
      <c r="N605">
        <v>0.83452594549180692</v>
      </c>
      <c r="P605">
        <v>2.6373584129389626E-12</v>
      </c>
      <c r="R605">
        <v>4.4257581477671515</v>
      </c>
      <c r="S605">
        <v>4.4300562065933597</v>
      </c>
      <c r="T605">
        <v>1</v>
      </c>
      <c r="U605">
        <v>2.4951763290993858</v>
      </c>
    </row>
    <row r="606" spans="1:21">
      <c r="A606">
        <v>2.7600007221286135E-2</v>
      </c>
      <c r="B606">
        <v>-1.2590723353324771</v>
      </c>
      <c r="C606">
        <v>0.69329366548638338</v>
      </c>
      <c r="D606">
        <v>-5.3186970772000297E-2</v>
      </c>
      <c r="E606">
        <v>-0.15069150819608454</v>
      </c>
      <c r="F606">
        <v>-0.28676688106147868</v>
      </c>
      <c r="G606">
        <v>0.38896607634236924</v>
      </c>
      <c r="H606">
        <v>0.25949272784938471</v>
      </c>
      <c r="I606">
        <v>0.56061368713037041</v>
      </c>
      <c r="J606">
        <v>0.26494564684037225</v>
      </c>
      <c r="L606">
        <v>2.3695480578669641</v>
      </c>
      <c r="M606">
        <v>2.2134459801812225</v>
      </c>
      <c r="N606">
        <v>0.83452595116436901</v>
      </c>
      <c r="P606">
        <v>1.4195948643531592E-12</v>
      </c>
      <c r="R606">
        <v>4.4257581477671515</v>
      </c>
      <c r="S606">
        <v>4.4300562065933597</v>
      </c>
      <c r="T606">
        <v>1</v>
      </c>
      <c r="U606">
        <v>2.4951763290993858</v>
      </c>
    </row>
    <row r="607" spans="1:21">
      <c r="A607">
        <v>2.9576699468166569E-2</v>
      </c>
      <c r="B607">
        <v>-1.2552499305665132</v>
      </c>
      <c r="C607">
        <v>0.68820446813931968</v>
      </c>
      <c r="D607">
        <v>-5.0194800984163172E-2</v>
      </c>
      <c r="E607">
        <v>-3.6017215108672278E-2</v>
      </c>
      <c r="F607">
        <v>-0.58170949470689715</v>
      </c>
      <c r="G607">
        <v>0.18677339007359711</v>
      </c>
      <c r="H607">
        <v>0.61188966744116247</v>
      </c>
      <c r="I607">
        <v>0.77131121857930818</v>
      </c>
      <c r="J607">
        <v>0.160128463361873</v>
      </c>
      <c r="L607">
        <v>2.369547818658611</v>
      </c>
      <c r="M607">
        <v>2.2134460035131802</v>
      </c>
      <c r="N607">
        <v>0.83452586929469563</v>
      </c>
      <c r="P607">
        <v>1.1227662402647705E-12</v>
      </c>
      <c r="R607">
        <v>4.4257581477671515</v>
      </c>
      <c r="S607">
        <v>4.4300562065933597</v>
      </c>
      <c r="T607">
        <v>1</v>
      </c>
      <c r="U607">
        <v>2.4951763290993858</v>
      </c>
    </row>
    <row r="608" spans="1:21">
      <c r="A608">
        <v>3.5051092325433436E-2</v>
      </c>
      <c r="B608">
        <v>-1.2420495481780189</v>
      </c>
      <c r="C608">
        <v>0.70820014526239983</v>
      </c>
      <c r="D608">
        <v>-0.82220055631321254</v>
      </c>
      <c r="E608">
        <v>0.4902542737983499</v>
      </c>
      <c r="F608">
        <v>0.8037994264680911</v>
      </c>
      <c r="G608">
        <v>9.49244979302271E-2</v>
      </c>
      <c r="H608">
        <v>0.67693708640492556</v>
      </c>
      <c r="I608">
        <v>0.82872939933629808</v>
      </c>
      <c r="J608">
        <v>0.94772617488118738</v>
      </c>
      <c r="L608">
        <v>2.3695481611979554</v>
      </c>
      <c r="M608">
        <v>2.2134460149700077</v>
      </c>
      <c r="N608">
        <v>0.83452593612650661</v>
      </c>
      <c r="P608">
        <v>1.6542105099518442E-12</v>
      </c>
      <c r="R608">
        <v>4.4257581477671515</v>
      </c>
      <c r="S608">
        <v>4.4300562065933597</v>
      </c>
      <c r="T608">
        <v>1</v>
      </c>
      <c r="U608">
        <v>2.4951763290993858</v>
      </c>
    </row>
    <row r="609" spans="1:21">
      <c r="A609">
        <v>2.3525870658276514E-2</v>
      </c>
      <c r="B609">
        <v>-1.2512420478194592</v>
      </c>
      <c r="C609">
        <v>0.71854575949574284</v>
      </c>
      <c r="D609">
        <v>0.75976252154647117</v>
      </c>
      <c r="E609">
        <v>-0.75024817758201723</v>
      </c>
      <c r="F609">
        <v>0.18449325150179288</v>
      </c>
      <c r="G609">
        <v>0.93630598688048594</v>
      </c>
      <c r="H609">
        <v>0.85799217262507921</v>
      </c>
      <c r="I609">
        <v>0.57686349223725364</v>
      </c>
      <c r="J609">
        <v>7.1677226963478127E-2</v>
      </c>
      <c r="L609">
        <v>2.36954829896289</v>
      </c>
      <c r="M609">
        <v>2.2134460046375248</v>
      </c>
      <c r="N609">
        <v>0.83452595503812532</v>
      </c>
      <c r="P609">
        <v>1.9075670269980976E-12</v>
      </c>
      <c r="R609">
        <v>4.4257581477671515</v>
      </c>
      <c r="S609">
        <v>4.4300562065933597</v>
      </c>
      <c r="T609">
        <v>1</v>
      </c>
      <c r="U609">
        <v>2.4951763290993858</v>
      </c>
    </row>
    <row r="610" spans="1:21">
      <c r="A610">
        <v>3.7799889294133311E-2</v>
      </c>
      <c r="B610">
        <v>-1.2541433976912102</v>
      </c>
      <c r="C610">
        <v>0.69640211588089429</v>
      </c>
      <c r="D610">
        <v>-0.80064986571874774</v>
      </c>
      <c r="E610">
        <v>0.34751005931905976</v>
      </c>
      <c r="F610">
        <v>-0.31335998429496909</v>
      </c>
      <c r="G610">
        <v>0.42570250252530584</v>
      </c>
      <c r="H610">
        <v>0.6709034974515754</v>
      </c>
      <c r="I610">
        <v>0.40796722752299136</v>
      </c>
      <c r="J610">
        <v>0.86423960188257765</v>
      </c>
      <c r="L610">
        <v>2.369548239074962</v>
      </c>
      <c r="M610">
        <v>2.2134460857551765</v>
      </c>
      <c r="N610">
        <v>0.83452590015254113</v>
      </c>
      <c r="P610">
        <v>1.9284663968948461E-12</v>
      </c>
      <c r="R610">
        <v>4.4257581477671515</v>
      </c>
      <c r="S610">
        <v>4.4300562065933597</v>
      </c>
      <c r="T610">
        <v>1</v>
      </c>
      <c r="U610">
        <v>2.4951763290993858</v>
      </c>
    </row>
    <row r="611" spans="1:21">
      <c r="A611">
        <v>1.4108415716815124</v>
      </c>
      <c r="B611">
        <v>0.13545283752249412</v>
      </c>
      <c r="C611">
        <v>0.41822599089811735</v>
      </c>
      <c r="D611">
        <v>0.35101682976448656</v>
      </c>
      <c r="E611">
        <v>0</v>
      </c>
      <c r="F611">
        <v>0</v>
      </c>
      <c r="G611">
        <v>0.30106541269473308</v>
      </c>
      <c r="H611">
        <v>0.95826102770362354</v>
      </c>
      <c r="I611">
        <v>0.35204271767665363</v>
      </c>
      <c r="J611">
        <v>0.47993537395233066</v>
      </c>
      <c r="L611">
        <v>1.5771391740176566</v>
      </c>
      <c r="M611">
        <v>3.3570078688538163</v>
      </c>
      <c r="N611">
        <v>4.0803820037075784</v>
      </c>
      <c r="P611">
        <v>1.123159360509179E-11</v>
      </c>
      <c r="R611">
        <v>8.2426649636321585</v>
      </c>
      <c r="S611">
        <v>8.2529665998791568</v>
      </c>
      <c r="T611">
        <v>1</v>
      </c>
      <c r="U611">
        <v>1.8350690596498136</v>
      </c>
    </row>
    <row r="612" spans="1:21">
      <c r="A612">
        <v>1.411119149627392</v>
      </c>
      <c r="B612">
        <v>0.12376817480618427</v>
      </c>
      <c r="C612">
        <v>0.4108120364068496</v>
      </c>
      <c r="D612">
        <v>0</v>
      </c>
      <c r="E612">
        <v>0</v>
      </c>
      <c r="F612">
        <v>0</v>
      </c>
      <c r="G612">
        <v>0.79090675963041601</v>
      </c>
      <c r="H612">
        <v>0.34086224914845453</v>
      </c>
      <c r="I612">
        <v>0.22836743172750917</v>
      </c>
      <c r="J612">
        <v>0.91743978653989888</v>
      </c>
      <c r="L612">
        <v>1.5771377334223895</v>
      </c>
      <c r="M612">
        <v>3.3570084353487419</v>
      </c>
      <c r="N612">
        <v>4.0803837735694533</v>
      </c>
      <c r="P612">
        <v>5.2382327466839585E-12</v>
      </c>
      <c r="R612">
        <v>8.2426649636321585</v>
      </c>
      <c r="S612">
        <v>8.2529665998791568</v>
      </c>
      <c r="T612">
        <v>1</v>
      </c>
      <c r="U612">
        <v>1.8350690596498136</v>
      </c>
    </row>
    <row r="613" spans="1:21">
      <c r="A613">
        <v>1.4153187569908547</v>
      </c>
      <c r="B613">
        <v>0.14662352292950831</v>
      </c>
      <c r="C613">
        <v>0.39297923888347669</v>
      </c>
      <c r="D613">
        <v>0.58522993407451041</v>
      </c>
      <c r="E613">
        <v>0.24528507766513361</v>
      </c>
      <c r="F613">
        <v>0.57878482544825005</v>
      </c>
      <c r="G613">
        <v>8.1900039973614419E-2</v>
      </c>
      <c r="H613">
        <v>0.19755610571530885</v>
      </c>
      <c r="I613">
        <v>0.35454357045672569</v>
      </c>
      <c r="J613">
        <v>0.12519183548785931</v>
      </c>
      <c r="L613">
        <v>1.5771376975585707</v>
      </c>
      <c r="M613">
        <v>3.3570083012025522</v>
      </c>
      <c r="N613">
        <v>4.0803841229248761</v>
      </c>
      <c r="P613">
        <v>4.2012859930856626E-12</v>
      </c>
      <c r="R613">
        <v>8.2426649636321585</v>
      </c>
      <c r="S613">
        <v>8.2529665998791568</v>
      </c>
      <c r="T613">
        <v>1</v>
      </c>
      <c r="U613">
        <v>1.8350690596498136</v>
      </c>
    </row>
    <row r="614" spans="1:21">
      <c r="A614">
        <v>1.4076341380686692</v>
      </c>
      <c r="B614">
        <v>0.12609847564218815</v>
      </c>
      <c r="C614">
        <v>0.4355881673848564</v>
      </c>
      <c r="D614">
        <v>0</v>
      </c>
      <c r="E614">
        <v>0</v>
      </c>
      <c r="F614">
        <v>0</v>
      </c>
      <c r="G614">
        <v>5.7259339851446489E-2</v>
      </c>
      <c r="H614">
        <v>0.96466230461355584</v>
      </c>
      <c r="I614">
        <v>7.8442889183234887E-2</v>
      </c>
      <c r="J614">
        <v>0.73558128774668474</v>
      </c>
      <c r="L614">
        <v>1.5771378674752063</v>
      </c>
      <c r="M614">
        <v>3.3570085884044842</v>
      </c>
      <c r="N614">
        <v>4.0803835603779142</v>
      </c>
      <c r="P614">
        <v>5.8028761590778434E-12</v>
      </c>
      <c r="R614">
        <v>8.2426649636321585</v>
      </c>
      <c r="S614">
        <v>8.2529665998791568</v>
      </c>
      <c r="T614">
        <v>1</v>
      </c>
      <c r="U614">
        <v>1.8350690596498136</v>
      </c>
    </row>
    <row r="615" spans="1:21">
      <c r="A615">
        <v>1.41425714721532</v>
      </c>
      <c r="B615">
        <v>0.12806143315855198</v>
      </c>
      <c r="C615">
        <v>0.40899521242350306</v>
      </c>
      <c r="D615">
        <v>0.17222950687808039</v>
      </c>
      <c r="E615">
        <v>0.4989287791445241</v>
      </c>
      <c r="F615">
        <v>0</v>
      </c>
      <c r="G615">
        <v>0.67419819073235354</v>
      </c>
      <c r="H615">
        <v>0.26511228286630556</v>
      </c>
      <c r="I615">
        <v>0.31878044653594972</v>
      </c>
      <c r="J615">
        <v>0.42555270483087487</v>
      </c>
      <c r="L615">
        <v>1.5771377654945813</v>
      </c>
      <c r="M615">
        <v>3.3570084878748365</v>
      </c>
      <c r="N615">
        <v>4.080383789472247</v>
      </c>
      <c r="P615">
        <v>5.1670788484782522E-12</v>
      </c>
      <c r="R615">
        <v>8.2426649636321585</v>
      </c>
      <c r="S615">
        <v>8.2529665998791568</v>
      </c>
      <c r="T615">
        <v>1</v>
      </c>
      <c r="U615">
        <v>1.8350690596498136</v>
      </c>
    </row>
    <row r="616" spans="1:21">
      <c r="A616">
        <v>1.4104513798959264</v>
      </c>
      <c r="B616">
        <v>0.12729766732979256</v>
      </c>
      <c r="C616">
        <v>0.4182767668882218</v>
      </c>
      <c r="D616">
        <v>0</v>
      </c>
      <c r="E616">
        <v>0</v>
      </c>
      <c r="F616">
        <v>0</v>
      </c>
      <c r="G616">
        <v>0.36175626504905001</v>
      </c>
      <c r="H616">
        <v>0.44838279319111124</v>
      </c>
      <c r="I616">
        <v>7.974667778888847E-2</v>
      </c>
      <c r="J616">
        <v>0.6467194805860641</v>
      </c>
      <c r="L616">
        <v>1.5771377395013577</v>
      </c>
      <c r="M616">
        <v>3.3570084306443793</v>
      </c>
      <c r="N616">
        <v>4.0803838509587962</v>
      </c>
      <c r="P616">
        <v>4.9751417067420312E-12</v>
      </c>
      <c r="R616">
        <v>8.2426649636321585</v>
      </c>
      <c r="S616">
        <v>8.2529665998791568</v>
      </c>
      <c r="T616">
        <v>1</v>
      </c>
      <c r="U616">
        <v>1.8350690596498136</v>
      </c>
    </row>
    <row r="617" spans="1:21">
      <c r="A617">
        <v>1.4138291102182283</v>
      </c>
      <c r="B617">
        <v>0.14158509131007782</v>
      </c>
      <c r="C617">
        <v>0.40031208550290021</v>
      </c>
      <c r="D617">
        <v>0</v>
      </c>
      <c r="E617">
        <v>0</v>
      </c>
      <c r="F617">
        <v>0.22925526618329381</v>
      </c>
      <c r="G617">
        <v>0.83639235133461498</v>
      </c>
      <c r="H617">
        <v>0.5333127328925108</v>
      </c>
      <c r="I617">
        <v>0.76464609469535572</v>
      </c>
      <c r="J617">
        <v>0.62829943620901185</v>
      </c>
      <c r="L617">
        <v>1.5771377212059421</v>
      </c>
      <c r="M617">
        <v>3.3570083899151504</v>
      </c>
      <c r="N617">
        <v>4.0803839888299507</v>
      </c>
      <c r="P617">
        <v>4.5818469750856085E-12</v>
      </c>
      <c r="R617">
        <v>8.2426649636321585</v>
      </c>
      <c r="S617">
        <v>8.2529665998791568</v>
      </c>
      <c r="T617">
        <v>1</v>
      </c>
      <c r="U617">
        <v>1.8350690596498136</v>
      </c>
    </row>
    <row r="618" spans="1:21">
      <c r="A618">
        <v>1.414940260557358</v>
      </c>
      <c r="B618">
        <v>0.1217706116513229</v>
      </c>
      <c r="C618">
        <v>0.40929104214002271</v>
      </c>
      <c r="D618">
        <v>3.3284101650714805E-2</v>
      </c>
      <c r="E618">
        <v>0.67037775156541968</v>
      </c>
      <c r="F618">
        <v>0</v>
      </c>
      <c r="G618">
        <v>0.86872100035192867</v>
      </c>
      <c r="H618">
        <v>2.9325444946822786E-2</v>
      </c>
      <c r="I618">
        <v>0.24725833932847635</v>
      </c>
      <c r="J618">
        <v>0.5370383419298459</v>
      </c>
      <c r="L618">
        <v>1.5771377226232715</v>
      </c>
      <c r="M618">
        <v>3.3570083869341327</v>
      </c>
      <c r="N618">
        <v>4.0803839616658486</v>
      </c>
      <c r="P618">
        <v>4.6485515937319264E-12</v>
      </c>
      <c r="R618">
        <v>8.2426649636321585</v>
      </c>
      <c r="S618">
        <v>8.2529665998791568</v>
      </c>
      <c r="T618">
        <v>1</v>
      </c>
      <c r="U618">
        <v>1.8350690596498136</v>
      </c>
    </row>
    <row r="619" spans="1:21">
      <c r="A619">
        <v>1.4085176547074669</v>
      </c>
      <c r="B619">
        <v>0.12813362859945013</v>
      </c>
      <c r="C619">
        <v>0.43305392759647626</v>
      </c>
      <c r="D619">
        <v>0</v>
      </c>
      <c r="E619">
        <v>0</v>
      </c>
      <c r="F619">
        <v>0</v>
      </c>
      <c r="G619">
        <v>2.7407776126836789E-2</v>
      </c>
      <c r="H619">
        <v>0.87127918900473544</v>
      </c>
      <c r="I619">
        <v>3.6665664192370662E-2</v>
      </c>
      <c r="J619">
        <v>0.59717296565193556</v>
      </c>
      <c r="L619">
        <v>1.5771378095781476</v>
      </c>
      <c r="M619">
        <v>3.3570083564419262</v>
      </c>
      <c r="N619">
        <v>4.0803842585678556</v>
      </c>
      <c r="P619">
        <v>3.6163033743112217E-12</v>
      </c>
      <c r="R619">
        <v>8.2426649636321585</v>
      </c>
      <c r="S619">
        <v>8.2529665998791568</v>
      </c>
      <c r="T619">
        <v>1</v>
      </c>
      <c r="U619">
        <v>1.8350690596498136</v>
      </c>
    </row>
    <row r="620" spans="1:21">
      <c r="A620">
        <v>1.4107920379927306</v>
      </c>
      <c r="B620">
        <v>0.12635392201235382</v>
      </c>
      <c r="C620">
        <v>0.42369526782297517</v>
      </c>
      <c r="D620">
        <v>0.12964072030411233</v>
      </c>
      <c r="E620">
        <v>0.2377295881339167</v>
      </c>
      <c r="F620">
        <v>2.4606124485030537E-2</v>
      </c>
      <c r="G620">
        <v>0.30434449279646791</v>
      </c>
      <c r="H620">
        <v>0.62892407716559606</v>
      </c>
      <c r="I620">
        <v>0.11759291982928725</v>
      </c>
      <c r="J620">
        <v>0.57519312880672957</v>
      </c>
      <c r="L620">
        <v>1.5771377264728625</v>
      </c>
      <c r="M620">
        <v>3.3570083481589386</v>
      </c>
      <c r="N620">
        <v>4.0803840493839632</v>
      </c>
      <c r="P620">
        <v>4.3528163256885434E-12</v>
      </c>
      <c r="R620">
        <v>8.2426649636321585</v>
      </c>
      <c r="S620">
        <v>8.2529665998791568</v>
      </c>
      <c r="T620">
        <v>1</v>
      </c>
      <c r="U620">
        <v>1.8350690596498136</v>
      </c>
    </row>
    <row r="621" spans="1:21">
      <c r="A621">
        <v>1.4141955693689836</v>
      </c>
      <c r="B621">
        <v>0.14793226867200834</v>
      </c>
      <c r="C621">
        <v>0.37859265647153079</v>
      </c>
      <c r="D621">
        <v>0.57116354205650499</v>
      </c>
      <c r="E621">
        <v>0</v>
      </c>
      <c r="F621">
        <v>0.18253366287074502</v>
      </c>
      <c r="G621">
        <v>0.61758338800675494</v>
      </c>
      <c r="H621">
        <v>0.23821023308091385</v>
      </c>
      <c r="I621">
        <v>0.87880115561230232</v>
      </c>
      <c r="J621">
        <v>0.40723477761245436</v>
      </c>
      <c r="L621">
        <v>1.5771392893604661</v>
      </c>
      <c r="M621">
        <v>3.3570074914598704</v>
      </c>
      <c r="N621">
        <v>4.0803819445081952</v>
      </c>
      <c r="P621">
        <v>1.1682878030775797E-11</v>
      </c>
      <c r="R621">
        <v>8.2426649636321585</v>
      </c>
      <c r="S621">
        <v>8.2529665998791568</v>
      </c>
      <c r="T621">
        <v>1</v>
      </c>
      <c r="U621">
        <v>1.8350690596498136</v>
      </c>
    </row>
    <row r="622" spans="1:21">
      <c r="A622">
        <v>1.4107402492331753</v>
      </c>
      <c r="B622">
        <v>0.13446694676770107</v>
      </c>
      <c r="C622">
        <v>0.40589941772048665</v>
      </c>
      <c r="D622">
        <v>0.46998734576186169</v>
      </c>
      <c r="E622">
        <v>0</v>
      </c>
      <c r="F622">
        <v>0.48970165054240844</v>
      </c>
      <c r="G622">
        <v>0.3881511441600885</v>
      </c>
      <c r="H622">
        <v>0.64602772504293338</v>
      </c>
      <c r="I622">
        <v>0.43202227777717178</v>
      </c>
      <c r="J622">
        <v>0.9065870207558806</v>
      </c>
      <c r="L622">
        <v>1.577138038673713</v>
      </c>
      <c r="M622">
        <v>3.3570087437338372</v>
      </c>
      <c r="N622">
        <v>4.0803833630728832</v>
      </c>
      <c r="P622">
        <v>6.3914274818245447E-12</v>
      </c>
      <c r="R622">
        <v>8.2426649636321585</v>
      </c>
      <c r="S622">
        <v>8.2529665998791568</v>
      </c>
      <c r="T622">
        <v>1</v>
      </c>
      <c r="U622">
        <v>1.8350690596498136</v>
      </c>
    </row>
    <row r="623" spans="1:21">
      <c r="A623">
        <v>1.4064926854166691</v>
      </c>
      <c r="B623">
        <v>0.12954928880753952</v>
      </c>
      <c r="C623">
        <v>0.41797820012447384</v>
      </c>
      <c r="D623">
        <v>0</v>
      </c>
      <c r="E623">
        <v>0</v>
      </c>
      <c r="F623">
        <v>0</v>
      </c>
      <c r="G623">
        <v>0.15013400974228888</v>
      </c>
      <c r="H623">
        <v>0.63189134504097566</v>
      </c>
      <c r="I623">
        <v>0.52143167872317808</v>
      </c>
      <c r="J623">
        <v>0.95458478874163299</v>
      </c>
      <c r="L623">
        <v>1.5771377709654628</v>
      </c>
      <c r="M623">
        <v>3.357008395340165</v>
      </c>
      <c r="N623">
        <v>4.080384091635791</v>
      </c>
      <c r="P623">
        <v>4.1700739875944518E-12</v>
      </c>
      <c r="R623">
        <v>8.2426649636321585</v>
      </c>
      <c r="S623">
        <v>8.2529665998791568</v>
      </c>
      <c r="T623">
        <v>1</v>
      </c>
      <c r="U623">
        <v>1.8350690596498136</v>
      </c>
    </row>
    <row r="624" spans="1:21">
      <c r="A624">
        <v>1.4132011065612005</v>
      </c>
      <c r="B624">
        <v>0.14297407851385913</v>
      </c>
      <c r="C624">
        <v>0.41427173190504429</v>
      </c>
      <c r="D624">
        <v>0.15079218957793419</v>
      </c>
      <c r="E624">
        <v>7.0424568038043769E-2</v>
      </c>
      <c r="F624">
        <v>0.13670667887547655</v>
      </c>
      <c r="G624">
        <v>0.15520918094512265</v>
      </c>
      <c r="H624">
        <v>0.6912026658313184</v>
      </c>
      <c r="I624">
        <v>0.32772914726769492</v>
      </c>
      <c r="J624">
        <v>0.12279165319907782</v>
      </c>
      <c r="L624">
        <v>1.57713771199145</v>
      </c>
      <c r="M624">
        <v>3.3570084188918359</v>
      </c>
      <c r="N624">
        <v>4.0803837809876375</v>
      </c>
      <c r="P624">
        <v>5.2577830412217618E-12</v>
      </c>
      <c r="R624">
        <v>8.2426649636321585</v>
      </c>
      <c r="S624">
        <v>8.2529665998791568</v>
      </c>
      <c r="T624">
        <v>1</v>
      </c>
      <c r="U624">
        <v>1.8350690596498136</v>
      </c>
    </row>
    <row r="625" spans="1:21">
      <c r="A625">
        <v>1.4124059579447565</v>
      </c>
      <c r="B625">
        <v>0.14146743727312933</v>
      </c>
      <c r="C625">
        <v>0.39872687537217377</v>
      </c>
      <c r="D625">
        <v>0.11736323787889447</v>
      </c>
      <c r="E625">
        <v>0.64233000537208129</v>
      </c>
      <c r="F625">
        <v>0</v>
      </c>
      <c r="G625">
        <v>0.28284057117903993</v>
      </c>
      <c r="H625">
        <v>0.21176559375943393</v>
      </c>
      <c r="I625">
        <v>0.98403456149348834</v>
      </c>
      <c r="J625">
        <v>0.2795523630415343</v>
      </c>
      <c r="L625">
        <v>1.5771377176773984</v>
      </c>
      <c r="M625">
        <v>3.3570084287971209</v>
      </c>
      <c r="N625">
        <v>4.0803838108947366</v>
      </c>
      <c r="P625">
        <v>5.1606334399107645E-12</v>
      </c>
      <c r="R625">
        <v>8.2426649636321585</v>
      </c>
      <c r="S625">
        <v>8.2529665998791568</v>
      </c>
      <c r="T625">
        <v>1</v>
      </c>
      <c r="U625">
        <v>1.8350690596498136</v>
      </c>
    </row>
    <row r="626" spans="1:21">
      <c r="A626">
        <v>1.4122561255532253</v>
      </c>
      <c r="B626">
        <v>0.13816612683287519</v>
      </c>
      <c r="C626">
        <v>0.43059830304112018</v>
      </c>
      <c r="D626">
        <v>0</v>
      </c>
      <c r="E626">
        <v>0.39531244060202603</v>
      </c>
      <c r="F626">
        <v>0</v>
      </c>
      <c r="G626">
        <v>1.3313159692740687E-2</v>
      </c>
      <c r="H626">
        <v>0.91726413692633824</v>
      </c>
      <c r="I626">
        <v>0.32167405166939822</v>
      </c>
      <c r="J626">
        <v>5.0513402719704531E-2</v>
      </c>
      <c r="L626">
        <v>1.5771381509739184</v>
      </c>
      <c r="M626">
        <v>3.3570088221779786</v>
      </c>
      <c r="N626">
        <v>4.0803833292915668</v>
      </c>
      <c r="P626">
        <v>6.4309482774668388E-12</v>
      </c>
      <c r="R626">
        <v>8.2426649636321585</v>
      </c>
      <c r="S626">
        <v>8.2529665998791568</v>
      </c>
      <c r="T626">
        <v>1</v>
      </c>
      <c r="U626">
        <v>1.8350690596498136</v>
      </c>
    </row>
    <row r="627" spans="1:21">
      <c r="A627">
        <v>1.4095688834353017</v>
      </c>
      <c r="B627">
        <v>0.1275310989302634</v>
      </c>
      <c r="C627">
        <v>0.41308438332810959</v>
      </c>
      <c r="D627">
        <v>0.36371359040969814</v>
      </c>
      <c r="E627">
        <v>0.48047378643114469</v>
      </c>
      <c r="F627">
        <v>0.3042150099030923</v>
      </c>
      <c r="G627">
        <v>0.28872009283748906</v>
      </c>
      <c r="H627">
        <v>0.54470371008594476</v>
      </c>
      <c r="I627">
        <v>0.54719838886131233</v>
      </c>
      <c r="J627">
        <v>0.90715675817911767</v>
      </c>
      <c r="L627">
        <v>1.5771377296782314</v>
      </c>
      <c r="M627">
        <v>3.357008381125326</v>
      </c>
      <c r="N627">
        <v>4.0803839852556063</v>
      </c>
      <c r="P627">
        <v>4.5547505078572283E-12</v>
      </c>
      <c r="R627">
        <v>8.2426649636321585</v>
      </c>
      <c r="S627">
        <v>8.2529665998791568</v>
      </c>
      <c r="T627">
        <v>1</v>
      </c>
      <c r="U627">
        <v>1.8350690596498136</v>
      </c>
    </row>
    <row r="628" spans="1:21">
      <c r="A628">
        <v>1.4117383298049244</v>
      </c>
      <c r="B628">
        <v>0.1442037416451756</v>
      </c>
      <c r="C628">
        <v>0.39956035749054492</v>
      </c>
      <c r="D628">
        <v>0.69622996853822117</v>
      </c>
      <c r="E628">
        <v>0</v>
      </c>
      <c r="F628">
        <v>0.2067569685221449</v>
      </c>
      <c r="G628">
        <v>0.21152533848391863</v>
      </c>
      <c r="H628">
        <v>0.7683449450007932</v>
      </c>
      <c r="I628">
        <v>0.61276385331960259</v>
      </c>
      <c r="J628">
        <v>0.412191600243558</v>
      </c>
      <c r="L628">
        <v>1.57713766910738</v>
      </c>
      <c r="M628">
        <v>3.3570083293032624</v>
      </c>
      <c r="N628">
        <v>4.0803839109817073</v>
      </c>
      <c r="P628">
        <v>4.8877422755037595E-12</v>
      </c>
      <c r="R628">
        <v>8.2426649636321585</v>
      </c>
      <c r="S628">
        <v>8.2529665998791568</v>
      </c>
      <c r="T628">
        <v>1</v>
      </c>
      <c r="U628">
        <v>1.8350690596498136</v>
      </c>
    </row>
    <row r="629" spans="1:21">
      <c r="A629">
        <v>1.4141611963961547</v>
      </c>
      <c r="B629">
        <v>0.13234596157989459</v>
      </c>
      <c r="C629">
        <v>0.41098387727944607</v>
      </c>
      <c r="D629">
        <v>0.55185007022620747</v>
      </c>
      <c r="E629">
        <v>0</v>
      </c>
      <c r="F629">
        <v>0.4203270719630231</v>
      </c>
      <c r="G629">
        <v>0.86539768010971208</v>
      </c>
      <c r="H629">
        <v>0.94942953208189251</v>
      </c>
      <c r="I629">
        <v>0.28828395982545568</v>
      </c>
      <c r="J629">
        <v>0.78655152394093131</v>
      </c>
      <c r="L629">
        <v>1.5771376483454551</v>
      </c>
      <c r="M629">
        <v>3.3570082975378219</v>
      </c>
      <c r="N629">
        <v>4.0803838584452636</v>
      </c>
      <c r="P629">
        <v>5.0720259242055906E-12</v>
      </c>
      <c r="R629">
        <v>8.2426649636321585</v>
      </c>
      <c r="S629">
        <v>8.2529665998791568</v>
      </c>
      <c r="T629">
        <v>1</v>
      </c>
      <c r="U629">
        <v>1.8350690596498136</v>
      </c>
    </row>
    <row r="630" spans="1:21">
      <c r="A630">
        <v>1.4097065469747538</v>
      </c>
      <c r="B630">
        <v>0.13624077282860952</v>
      </c>
      <c r="C630">
        <v>0.42000678045232975</v>
      </c>
      <c r="D630">
        <v>0</v>
      </c>
      <c r="E630">
        <v>0.31300491848947515</v>
      </c>
      <c r="F630">
        <v>0.41592414211409884</v>
      </c>
      <c r="G630">
        <v>8.9519380339405888E-2</v>
      </c>
      <c r="H630">
        <v>0.70163180965260485</v>
      </c>
      <c r="I630">
        <v>0.60054125704023364</v>
      </c>
      <c r="J630">
        <v>0.72023952362573851</v>
      </c>
      <c r="L630">
        <v>1.5771379184491512</v>
      </c>
      <c r="M630">
        <v>3.3570082091027245</v>
      </c>
      <c r="N630">
        <v>4.0803846111997819</v>
      </c>
      <c r="P630">
        <v>2.5125151828409819E-12</v>
      </c>
      <c r="R630">
        <v>8.2426649636321585</v>
      </c>
      <c r="S630">
        <v>8.2529665998791568</v>
      </c>
      <c r="T630">
        <v>1</v>
      </c>
      <c r="U630">
        <v>1.8350690596498136</v>
      </c>
    </row>
    <row r="631" spans="1:21">
      <c r="A631">
        <v>1.40846915617808</v>
      </c>
      <c r="B631">
        <v>0.12410882810301238</v>
      </c>
      <c r="C631">
        <v>0.41806721591078316</v>
      </c>
      <c r="D631">
        <v>0.30787501684192453</v>
      </c>
      <c r="E631">
        <v>0</v>
      </c>
      <c r="F631">
        <v>0</v>
      </c>
      <c r="G631">
        <v>0.45317939663553125</v>
      </c>
      <c r="H631">
        <v>0.75135124724526547</v>
      </c>
      <c r="I631">
        <v>0.27561637306550146</v>
      </c>
      <c r="J631">
        <v>0.97818294399067662</v>
      </c>
      <c r="L631">
        <v>1.5771377334657779</v>
      </c>
      <c r="M631">
        <v>3.3570082641957066</v>
      </c>
      <c r="N631">
        <v>4.0803842205888916</v>
      </c>
      <c r="P631">
        <v>3.8216970651528648E-12</v>
      </c>
      <c r="R631">
        <v>8.2426649636321585</v>
      </c>
      <c r="S631">
        <v>8.2529665998791568</v>
      </c>
      <c r="T631">
        <v>1</v>
      </c>
      <c r="U631">
        <v>1.8350690596498136</v>
      </c>
    </row>
    <row r="632" spans="1:21">
      <c r="A632">
        <v>1.4141048837009307</v>
      </c>
      <c r="B632">
        <v>0.14978399167127623</v>
      </c>
      <c r="C632">
        <v>0.4062885606584965</v>
      </c>
      <c r="D632">
        <v>0</v>
      </c>
      <c r="E632">
        <v>0</v>
      </c>
      <c r="F632">
        <v>0</v>
      </c>
      <c r="G632">
        <v>0.48483883044586606</v>
      </c>
      <c r="H632">
        <v>0.7728817305444412</v>
      </c>
      <c r="I632">
        <v>0.78008312675749791</v>
      </c>
      <c r="J632">
        <v>0.1127109163845489</v>
      </c>
      <c r="L632">
        <v>1.5771376537934321</v>
      </c>
      <c r="M632">
        <v>3.3570083118171405</v>
      </c>
      <c r="N632">
        <v>4.0803839045531438</v>
      </c>
      <c r="P632">
        <v>4.9348481588757811E-12</v>
      </c>
      <c r="R632">
        <v>8.2426649636321585</v>
      </c>
      <c r="S632">
        <v>8.2529665998791568</v>
      </c>
      <c r="T632">
        <v>1</v>
      </c>
      <c r="U632">
        <v>1.8350690596498136</v>
      </c>
    </row>
    <row r="633" spans="1:21">
      <c r="A633">
        <v>1.4125802300935584</v>
      </c>
      <c r="B633">
        <v>0.13498943426444629</v>
      </c>
      <c r="C633">
        <v>0.38770003467565717</v>
      </c>
      <c r="D633">
        <v>0.59170698448619197</v>
      </c>
      <c r="E633">
        <v>0</v>
      </c>
      <c r="F633">
        <v>0.3477942225632964</v>
      </c>
      <c r="G633">
        <v>0.83579319276662689</v>
      </c>
      <c r="H633">
        <v>0.3439920338689702</v>
      </c>
      <c r="I633">
        <v>0.66014835601114596</v>
      </c>
      <c r="J633">
        <v>0.95268027982067616</v>
      </c>
      <c r="L633">
        <v>1.5771377081512332</v>
      </c>
      <c r="M633">
        <v>3.3570083537342841</v>
      </c>
      <c r="N633">
        <v>4.0803840277916787</v>
      </c>
      <c r="P633">
        <v>4.4721313803475452E-12</v>
      </c>
      <c r="R633">
        <v>8.2426649636321585</v>
      </c>
      <c r="S633">
        <v>8.2529665998791568</v>
      </c>
      <c r="T633">
        <v>1</v>
      </c>
      <c r="U633">
        <v>1.8350690596498136</v>
      </c>
    </row>
    <row r="634" spans="1:21">
      <c r="A634">
        <v>1.4138006547738879</v>
      </c>
      <c r="B634">
        <v>0.1369898420001763</v>
      </c>
      <c r="C634">
        <v>0.39198816015231364</v>
      </c>
      <c r="D634">
        <v>0.33317472755044863</v>
      </c>
      <c r="E634">
        <v>0.54586882952672922</v>
      </c>
      <c r="F634">
        <v>0.30631819260327431</v>
      </c>
      <c r="G634">
        <v>0.51599889269847676</v>
      </c>
      <c r="H634">
        <v>4.3365638705310149E-2</v>
      </c>
      <c r="I634">
        <v>0.73932785838877879</v>
      </c>
      <c r="J634">
        <v>0.52884606611463814</v>
      </c>
      <c r="L634">
        <v>1.5771376760331408</v>
      </c>
      <c r="M634">
        <v>3.3570083470321448</v>
      </c>
      <c r="N634">
        <v>4.0803839001111699</v>
      </c>
      <c r="P634">
        <v>4.9182470107146557E-12</v>
      </c>
      <c r="R634">
        <v>8.2426649636321585</v>
      </c>
      <c r="S634">
        <v>8.2529665998791568</v>
      </c>
      <c r="T634">
        <v>1</v>
      </c>
      <c r="U634">
        <v>1.8350690596498136</v>
      </c>
    </row>
    <row r="635" spans="1:21">
      <c r="A635">
        <v>1.4102551753722006</v>
      </c>
      <c r="B635">
        <v>0.13082588907236783</v>
      </c>
      <c r="C635">
        <v>0.42459508541907592</v>
      </c>
      <c r="D635">
        <v>3.7880527857508124E-2</v>
      </c>
      <c r="E635">
        <v>0</v>
      </c>
      <c r="F635">
        <v>0.28985894867452683</v>
      </c>
      <c r="G635">
        <v>0.38385377518599972</v>
      </c>
      <c r="H635">
        <v>0.87398214889732284</v>
      </c>
      <c r="I635">
        <v>0.27038029100087041</v>
      </c>
      <c r="J635">
        <v>0.81580064759943116</v>
      </c>
      <c r="L635">
        <v>1.5771377215946514</v>
      </c>
      <c r="M635">
        <v>3.3570083758193783</v>
      </c>
      <c r="N635">
        <v>4.080383956837335</v>
      </c>
      <c r="P635">
        <v>4.6511316460593256E-12</v>
      </c>
      <c r="R635">
        <v>8.2426649636321585</v>
      </c>
      <c r="S635">
        <v>8.2529665998791568</v>
      </c>
      <c r="T635">
        <v>1</v>
      </c>
      <c r="U635">
        <v>1.8350690596498136</v>
      </c>
    </row>
    <row r="636" spans="1:21">
      <c r="A636">
        <v>1.4169371196459133</v>
      </c>
      <c r="B636">
        <v>0.13987670190289156</v>
      </c>
      <c r="C636">
        <v>0.40784632833871343</v>
      </c>
      <c r="D636">
        <v>0</v>
      </c>
      <c r="E636">
        <v>0.26521262801220719</v>
      </c>
      <c r="F636">
        <v>0.35687854923635165</v>
      </c>
      <c r="G636">
        <v>0.79984876042739483</v>
      </c>
      <c r="H636">
        <v>0.48758863689189985</v>
      </c>
      <c r="I636">
        <v>0.4358209354922894</v>
      </c>
      <c r="J636">
        <v>0.30590007886787168</v>
      </c>
      <c r="L636">
        <v>1.5771378986263518</v>
      </c>
      <c r="M636">
        <v>3.3570082686035971</v>
      </c>
      <c r="N636">
        <v>4.0803845481274177</v>
      </c>
      <c r="P636">
        <v>2.7208693672014671E-12</v>
      </c>
      <c r="R636">
        <v>8.2426649636321585</v>
      </c>
      <c r="S636">
        <v>8.2529665998791568</v>
      </c>
      <c r="T636">
        <v>1</v>
      </c>
      <c r="U636">
        <v>1.8350690596498136</v>
      </c>
    </row>
    <row r="637" spans="1:21">
      <c r="A637">
        <v>1.4105195715608665</v>
      </c>
      <c r="B637">
        <v>0.13925263222735304</v>
      </c>
      <c r="C637">
        <v>0.40719085444144215</v>
      </c>
      <c r="D637">
        <v>0.21709669077663851</v>
      </c>
      <c r="E637">
        <v>0</v>
      </c>
      <c r="F637">
        <v>0</v>
      </c>
      <c r="G637">
        <v>0.1513783863067068</v>
      </c>
      <c r="H637">
        <v>0.52175245510063462</v>
      </c>
      <c r="I637">
        <v>0.46989366341214239</v>
      </c>
      <c r="J637">
        <v>0.41158188734305495</v>
      </c>
      <c r="L637">
        <v>1.5771376944207463</v>
      </c>
      <c r="M637">
        <v>3.3570083512335636</v>
      </c>
      <c r="N637">
        <v>4.0803839486833535</v>
      </c>
      <c r="P637">
        <v>4.7272753120968623E-12</v>
      </c>
      <c r="R637">
        <v>8.2426649636321585</v>
      </c>
      <c r="S637">
        <v>8.2529665998791568</v>
      </c>
      <c r="T637">
        <v>1</v>
      </c>
      <c r="U637">
        <v>1.8350690596498136</v>
      </c>
    </row>
    <row r="638" spans="1:21">
      <c r="A638">
        <v>1.418769539811104</v>
      </c>
      <c r="B638">
        <v>0.13741062399840137</v>
      </c>
      <c r="C638">
        <v>0.42115583415902813</v>
      </c>
      <c r="D638">
        <v>0.21329716882007907</v>
      </c>
      <c r="E638">
        <v>0.31587798204027201</v>
      </c>
      <c r="F638">
        <v>0.35461984091695226</v>
      </c>
      <c r="G638">
        <v>0.79601382313647728</v>
      </c>
      <c r="H638">
        <v>0.88889564865625537</v>
      </c>
      <c r="I638">
        <v>7.9016953209498642E-2</v>
      </c>
      <c r="J638">
        <v>6.7059711974451222E-2</v>
      </c>
      <c r="L638">
        <v>1.5771377282944288</v>
      </c>
      <c r="M638">
        <v>3.3570083388251364</v>
      </c>
      <c r="N638">
        <v>4.0803841226044009</v>
      </c>
      <c r="P638">
        <v>4.1508054741200078E-12</v>
      </c>
      <c r="R638">
        <v>8.2426649636321585</v>
      </c>
      <c r="S638">
        <v>8.2529665998791568</v>
      </c>
      <c r="T638">
        <v>1</v>
      </c>
      <c r="U638">
        <v>1.8350690596498136</v>
      </c>
    </row>
    <row r="639" spans="1:21">
      <c r="A639">
        <v>1.4145519077647934</v>
      </c>
      <c r="B639">
        <v>0.13131324901559296</v>
      </c>
      <c r="C639">
        <v>0.42900813639947111</v>
      </c>
      <c r="D639">
        <v>0</v>
      </c>
      <c r="E639">
        <v>0.60147497600697142</v>
      </c>
      <c r="F639">
        <v>5.1201111340016828E-2</v>
      </c>
      <c r="G639">
        <v>0.59943793867270423</v>
      </c>
      <c r="H639">
        <v>0.89845534479176414</v>
      </c>
      <c r="I639">
        <v>0.39014684787049492</v>
      </c>
      <c r="J639">
        <v>0.28119464718156656</v>
      </c>
      <c r="L639">
        <v>1.5771376998272133</v>
      </c>
      <c r="M639">
        <v>3.357008314930312</v>
      </c>
      <c r="N639">
        <v>4.0803840443015007</v>
      </c>
      <c r="P639">
        <v>4.4090573640580842E-12</v>
      </c>
      <c r="R639">
        <v>8.2426649636321585</v>
      </c>
      <c r="S639">
        <v>8.2529665998791568</v>
      </c>
      <c r="T639">
        <v>1</v>
      </c>
      <c r="U639">
        <v>1.8350690596498136</v>
      </c>
    </row>
    <row r="640" spans="1:21">
      <c r="A640">
        <v>1.4105745857124143</v>
      </c>
      <c r="B640">
        <v>0.13057425446680926</v>
      </c>
      <c r="C640">
        <v>0.40608188387815153</v>
      </c>
      <c r="D640">
        <v>0.5062008757741262</v>
      </c>
      <c r="E640">
        <v>0.1009180011225434</v>
      </c>
      <c r="F640">
        <v>6.0394908024937792E-2</v>
      </c>
      <c r="G640">
        <v>0.6764943483603687</v>
      </c>
      <c r="H640">
        <v>0.76663160731375002</v>
      </c>
      <c r="I640">
        <v>0.60966119052034229</v>
      </c>
      <c r="J640">
        <v>0.89053126811075678</v>
      </c>
      <c r="L640">
        <v>1.5771402590187136</v>
      </c>
      <c r="M640">
        <v>3.357008420610061</v>
      </c>
      <c r="N640">
        <v>4.0803828073860604</v>
      </c>
      <c r="P640">
        <v>7.956969093298434E-12</v>
      </c>
      <c r="R640">
        <v>8.2426649636321585</v>
      </c>
      <c r="S640">
        <v>8.2529665998791568</v>
      </c>
      <c r="T640">
        <v>1</v>
      </c>
      <c r="U640">
        <v>1.8350690596498136</v>
      </c>
    </row>
    <row r="641" spans="1:21">
      <c r="A641">
        <v>1.453550982296677</v>
      </c>
      <c r="B641">
        <v>0.25661354481605214</v>
      </c>
      <c r="C641">
        <v>0.3660579323716725</v>
      </c>
      <c r="D641">
        <v>0.27307446301028576</v>
      </c>
      <c r="E641">
        <v>0</v>
      </c>
      <c r="F641">
        <v>0.72516708269442076</v>
      </c>
      <c r="G641">
        <v>0.16668021430821794</v>
      </c>
      <c r="H641">
        <v>0.85414161880973971</v>
      </c>
      <c r="I641">
        <v>0.34131630112864414</v>
      </c>
      <c r="J641">
        <v>0.74465634994216978</v>
      </c>
      <c r="L641">
        <v>1.5771399116543234</v>
      </c>
      <c r="M641">
        <v>3.3570067342013568</v>
      </c>
      <c r="N641">
        <v>0.90970224041978864</v>
      </c>
      <c r="P641">
        <v>1.5117130712592606E-12</v>
      </c>
      <c r="R641">
        <v>5.1388512717937065</v>
      </c>
      <c r="S641">
        <v>5.1437331426071831</v>
      </c>
      <c r="T641">
        <v>1</v>
      </c>
      <c r="U641">
        <v>1.8398605202292559</v>
      </c>
    </row>
    <row r="642" spans="1:21">
      <c r="A642">
        <v>1.4578171138158351</v>
      </c>
      <c r="B642">
        <v>0.25733691382203899</v>
      </c>
      <c r="C642">
        <v>0.37034447379829571</v>
      </c>
      <c r="D642">
        <v>0</v>
      </c>
      <c r="E642">
        <v>0</v>
      </c>
      <c r="F642">
        <v>0</v>
      </c>
      <c r="G642">
        <v>0.54367216053270795</v>
      </c>
      <c r="H642">
        <v>0.84172079593604621</v>
      </c>
      <c r="I642">
        <v>0.13123795558856122</v>
      </c>
      <c r="J642">
        <v>0.42560077281442887</v>
      </c>
      <c r="L642">
        <v>1.5771391874878229</v>
      </c>
      <c r="M642">
        <v>3.3570069641322684</v>
      </c>
      <c r="N642">
        <v>0.9097024965904621</v>
      </c>
      <c r="P642">
        <v>8.0589570951781636E-13</v>
      </c>
      <c r="R642">
        <v>5.1388512717937065</v>
      </c>
      <c r="S642">
        <v>5.1437331426071831</v>
      </c>
      <c r="T642">
        <v>1</v>
      </c>
      <c r="U642">
        <v>1.8398605202292559</v>
      </c>
    </row>
    <row r="643" spans="1:21">
      <c r="A643">
        <v>1.4628771945730796</v>
      </c>
      <c r="B643">
        <v>0.27253941836137968</v>
      </c>
      <c r="C643">
        <v>0.35885790800671824</v>
      </c>
      <c r="D643">
        <v>0</v>
      </c>
      <c r="E643">
        <v>7.0533301114081334E-2</v>
      </c>
      <c r="F643">
        <v>0.43583728707635749</v>
      </c>
      <c r="G643">
        <v>0.89116264289519731</v>
      </c>
      <c r="H643">
        <v>0.97464358228559944</v>
      </c>
      <c r="I643">
        <v>0.56240032719997324</v>
      </c>
      <c r="J643">
        <v>9.3807809691913213E-2</v>
      </c>
      <c r="L643">
        <v>1.5771400872015882</v>
      </c>
      <c r="M643">
        <v>3.3570066216674821</v>
      </c>
      <c r="N643">
        <v>0.90970207003620818</v>
      </c>
      <c r="P643">
        <v>1.9896079543203895E-12</v>
      </c>
      <c r="R643">
        <v>5.1388512717937065</v>
      </c>
      <c r="S643">
        <v>5.1437331426071831</v>
      </c>
      <c r="T643">
        <v>1</v>
      </c>
      <c r="U643">
        <v>1.8398605202292559</v>
      </c>
    </row>
    <row r="644" spans="1:21">
      <c r="A644">
        <v>1.4457962803002724</v>
      </c>
      <c r="B644">
        <v>0.24606057687345625</v>
      </c>
      <c r="C644">
        <v>0.34966745458953874</v>
      </c>
      <c r="D644">
        <v>0</v>
      </c>
      <c r="E644">
        <v>0</v>
      </c>
      <c r="F644">
        <v>0</v>
      </c>
      <c r="G644">
        <v>4.5475598439994491E-2</v>
      </c>
      <c r="H644">
        <v>8.5067362573567687E-2</v>
      </c>
      <c r="I644">
        <v>0.81832153876775793</v>
      </c>
      <c r="J644">
        <v>0.96883923939592198</v>
      </c>
      <c r="L644">
        <v>1.5771395555226866</v>
      </c>
      <c r="M644">
        <v>3.357006447018414</v>
      </c>
      <c r="N644">
        <v>0.90970238896202249</v>
      </c>
      <c r="P644">
        <v>1.9019300585084717E-12</v>
      </c>
      <c r="R644">
        <v>5.1388512717937065</v>
      </c>
      <c r="S644">
        <v>5.1437331426071831</v>
      </c>
      <c r="T644">
        <v>1</v>
      </c>
      <c r="U644">
        <v>1.8398605202292559</v>
      </c>
    </row>
    <row r="645" spans="1:21">
      <c r="A645">
        <v>1.4510465913814892</v>
      </c>
      <c r="B645">
        <v>0.24580005194826926</v>
      </c>
      <c r="C645">
        <v>0.35211718790668278</v>
      </c>
      <c r="D645">
        <v>0.56416838861552043</v>
      </c>
      <c r="E645">
        <v>0.136946049437771</v>
      </c>
      <c r="F645">
        <v>0</v>
      </c>
      <c r="G645">
        <v>0.14250162051198581</v>
      </c>
      <c r="H645">
        <v>0.29359968211417131</v>
      </c>
      <c r="I645">
        <v>0.3017294090081698</v>
      </c>
      <c r="J645">
        <v>0.95724604219070109</v>
      </c>
      <c r="L645">
        <v>1.5771393600665913</v>
      </c>
      <c r="M645">
        <v>3.3570073337068402</v>
      </c>
      <c r="N645">
        <v>0.90970235960000512</v>
      </c>
      <c r="P645">
        <v>2.7277995169689342E-13</v>
      </c>
      <c r="R645">
        <v>5.1388512717937065</v>
      </c>
      <c r="S645">
        <v>5.1437331426071831</v>
      </c>
      <c r="T645">
        <v>1</v>
      </c>
      <c r="U645">
        <v>1.8398605202292559</v>
      </c>
    </row>
    <row r="646" spans="1:21">
      <c r="A646">
        <v>1.4514042035737369</v>
      </c>
      <c r="B646">
        <v>0.25957450057011605</v>
      </c>
      <c r="C646">
        <v>0.33684709899102494</v>
      </c>
      <c r="D646">
        <v>0.72726065898785985</v>
      </c>
      <c r="E646">
        <v>0</v>
      </c>
      <c r="F646">
        <v>0</v>
      </c>
      <c r="G646">
        <v>0.27517611527195124</v>
      </c>
      <c r="H646">
        <v>0.50786690044413862</v>
      </c>
      <c r="I646">
        <v>0.94157251667116315</v>
      </c>
      <c r="J646">
        <v>0.37416436672774872</v>
      </c>
      <c r="L646">
        <v>1.5771392882010926</v>
      </c>
      <c r="M646">
        <v>3.3570067527732639</v>
      </c>
      <c r="N646">
        <v>0.90970249542602588</v>
      </c>
      <c r="P646">
        <v>1.1814237483278711E-12</v>
      </c>
      <c r="R646">
        <v>5.1388512717937065</v>
      </c>
      <c r="S646">
        <v>5.1437331426071831</v>
      </c>
      <c r="T646">
        <v>1</v>
      </c>
      <c r="U646">
        <v>1.8398605202292559</v>
      </c>
    </row>
    <row r="647" spans="1:21">
      <c r="A647">
        <v>1.4563733192190105</v>
      </c>
      <c r="B647">
        <v>0.26249639527719071</v>
      </c>
      <c r="C647">
        <v>0.36546439522100721</v>
      </c>
      <c r="D647">
        <v>0</v>
      </c>
      <c r="E647">
        <v>5.3597137463848116E-2</v>
      </c>
      <c r="F647">
        <v>0</v>
      </c>
      <c r="G647">
        <v>0.40396197076273316</v>
      </c>
      <c r="H647">
        <v>0.86329707924502663</v>
      </c>
      <c r="I647">
        <v>0.49495544973932964</v>
      </c>
      <c r="J647">
        <v>9.9137177270648191E-2</v>
      </c>
      <c r="L647">
        <v>1.5771398057373227</v>
      </c>
      <c r="M647">
        <v>3.3570065914143545</v>
      </c>
      <c r="N647">
        <v>0.9097022992410978</v>
      </c>
      <c r="P647">
        <v>1.7157838901304727E-12</v>
      </c>
      <c r="R647">
        <v>5.1388512717937065</v>
      </c>
      <c r="S647">
        <v>5.1437331426071831</v>
      </c>
      <c r="T647">
        <v>1</v>
      </c>
      <c r="U647">
        <v>1.8398605202292559</v>
      </c>
    </row>
    <row r="648" spans="1:21">
      <c r="A648">
        <v>1.4545318754474583</v>
      </c>
      <c r="B648">
        <v>0.25032012045065477</v>
      </c>
      <c r="C648">
        <v>0.37283312028450183</v>
      </c>
      <c r="D648">
        <v>0.34568180980969143</v>
      </c>
      <c r="E648">
        <v>0.65296342853628464</v>
      </c>
      <c r="F648">
        <v>0</v>
      </c>
      <c r="G648">
        <v>0.10836041195939224</v>
      </c>
      <c r="H648">
        <v>0.78055750342490859</v>
      </c>
      <c r="I648">
        <v>0.37894744654188839</v>
      </c>
      <c r="J648">
        <v>0.54491246598844567</v>
      </c>
      <c r="L648">
        <v>1.5771399891813356</v>
      </c>
      <c r="M648">
        <v>3.357006476514087</v>
      </c>
      <c r="N648">
        <v>0.90970213850930171</v>
      </c>
      <c r="P648">
        <v>2.1875873372171083E-12</v>
      </c>
      <c r="R648">
        <v>5.1388512717937065</v>
      </c>
      <c r="S648">
        <v>5.1437331426071831</v>
      </c>
      <c r="T648">
        <v>1</v>
      </c>
      <c r="U648">
        <v>1.8398605202292559</v>
      </c>
    </row>
    <row r="649" spans="1:21">
      <c r="A649">
        <v>1.4582505187857331</v>
      </c>
      <c r="B649">
        <v>0.2612656363298283</v>
      </c>
      <c r="C649">
        <v>0.34515235682186801</v>
      </c>
      <c r="D649">
        <v>0.22976933376959899</v>
      </c>
      <c r="E649">
        <v>0.19114916518648511</v>
      </c>
      <c r="F649">
        <v>0.35787249989450842</v>
      </c>
      <c r="G649">
        <v>0.80867007100935417</v>
      </c>
      <c r="H649">
        <v>0.45851606758067764</v>
      </c>
      <c r="I649">
        <v>0.71672159667141</v>
      </c>
      <c r="J649">
        <v>0.72550221976624163</v>
      </c>
      <c r="L649">
        <v>1.5771391952507887</v>
      </c>
      <c r="M649">
        <v>3.3570065434757588</v>
      </c>
      <c r="N649">
        <v>0.9097024895588971</v>
      </c>
      <c r="P649">
        <v>1.6385354889232144E-12</v>
      </c>
      <c r="R649">
        <v>5.1388512717937065</v>
      </c>
      <c r="S649">
        <v>5.1437331426071831</v>
      </c>
      <c r="T649">
        <v>1</v>
      </c>
      <c r="U649">
        <v>1.8398605202292559</v>
      </c>
    </row>
    <row r="650" spans="1:21">
      <c r="A650">
        <v>1.450774874854901</v>
      </c>
      <c r="B650">
        <v>0.25407103789168012</v>
      </c>
      <c r="C650">
        <v>0.36013320960175227</v>
      </c>
      <c r="D650">
        <v>0</v>
      </c>
      <c r="E650">
        <v>0</v>
      </c>
      <c r="F650">
        <v>0</v>
      </c>
      <c r="G650">
        <v>0.49641423095790888</v>
      </c>
      <c r="H650">
        <v>0.79729590509655335</v>
      </c>
      <c r="I650">
        <v>0.8988341653646722</v>
      </c>
      <c r="J650">
        <v>0.7221994854688436</v>
      </c>
      <c r="L650">
        <v>1.5771395997113937</v>
      </c>
      <c r="M650">
        <v>3.3570067843085645</v>
      </c>
      <c r="N650">
        <v>0.90970241590678846</v>
      </c>
      <c r="P650">
        <v>1.1832539610984914E-12</v>
      </c>
      <c r="R650">
        <v>5.1388512717937065</v>
      </c>
      <c r="S650">
        <v>5.1437331426071831</v>
      </c>
      <c r="T650">
        <v>1</v>
      </c>
      <c r="U650">
        <v>1.8398605202292559</v>
      </c>
    </row>
    <row r="651" spans="1:21">
      <c r="A651">
        <v>1.4545632872897523</v>
      </c>
      <c r="B651">
        <v>0.25907521418832752</v>
      </c>
      <c r="C651">
        <v>0.35522124625563051</v>
      </c>
      <c r="D651">
        <v>0</v>
      </c>
      <c r="E651">
        <v>0.12797582476254857</v>
      </c>
      <c r="F651">
        <v>0.128214876798151</v>
      </c>
      <c r="G651">
        <v>0.54465803882503183</v>
      </c>
      <c r="H651">
        <v>0.60063167425939956</v>
      </c>
      <c r="I651">
        <v>0.78982998467086485</v>
      </c>
      <c r="J651">
        <v>0.53145011460260538</v>
      </c>
      <c r="L651">
        <v>1.5771392118009222</v>
      </c>
      <c r="M651">
        <v>3.3570065789724866</v>
      </c>
      <c r="N651">
        <v>0.90970249381483426</v>
      </c>
      <c r="P651">
        <v>1.5563292152701243E-12</v>
      </c>
      <c r="R651">
        <v>5.1388512717937065</v>
      </c>
      <c r="S651">
        <v>5.1437331426071831</v>
      </c>
      <c r="T651">
        <v>1</v>
      </c>
      <c r="U651">
        <v>1.8398605202292559</v>
      </c>
    </row>
    <row r="652" spans="1:21">
      <c r="A652">
        <v>1.4581501572016371</v>
      </c>
      <c r="B652">
        <v>0.25687200085814132</v>
      </c>
      <c r="C652">
        <v>0.35190569549016448</v>
      </c>
      <c r="D652">
        <v>0</v>
      </c>
      <c r="E652">
        <v>0</v>
      </c>
      <c r="F652">
        <v>0</v>
      </c>
      <c r="G652">
        <v>0.45442973301980455</v>
      </c>
      <c r="H652">
        <v>7.3338872447981235E-2</v>
      </c>
      <c r="I652">
        <v>3.9702141829365933E-2</v>
      </c>
      <c r="J652">
        <v>0.46868544083413316</v>
      </c>
      <c r="L652">
        <v>1.577139044504507</v>
      </c>
      <c r="M652">
        <v>3.3570078975853561</v>
      </c>
      <c r="N652">
        <v>0.90970045470376404</v>
      </c>
      <c r="P652">
        <v>2.6665942398762305E-12</v>
      </c>
      <c r="R652">
        <v>5.1388512717937065</v>
      </c>
      <c r="S652">
        <v>5.1437331426071831</v>
      </c>
      <c r="T652">
        <v>1</v>
      </c>
      <c r="U652">
        <v>1.8398605202292559</v>
      </c>
    </row>
    <row r="653" spans="1:21">
      <c r="A653">
        <v>1.4519505725242705</v>
      </c>
      <c r="B653">
        <v>0.25765619073832802</v>
      </c>
      <c r="C653">
        <v>0.35191118787653047</v>
      </c>
      <c r="D653">
        <v>0</v>
      </c>
      <c r="E653">
        <v>0</v>
      </c>
      <c r="F653">
        <v>0.84443155353617383</v>
      </c>
      <c r="G653">
        <v>0.32642043571184948</v>
      </c>
      <c r="H653">
        <v>0.4311752613674163</v>
      </c>
      <c r="I653">
        <v>0.78268119402847425</v>
      </c>
      <c r="J653">
        <v>0.96001938153865007</v>
      </c>
      <c r="L653">
        <v>1.577140058994202</v>
      </c>
      <c r="M653">
        <v>3.3570064104813562</v>
      </c>
      <c r="N653">
        <v>0.90970203424320906</v>
      </c>
      <c r="P653">
        <v>2.4657970097411803E-12</v>
      </c>
      <c r="R653">
        <v>5.1388512717937065</v>
      </c>
      <c r="S653">
        <v>5.1437331426071831</v>
      </c>
      <c r="T653">
        <v>1</v>
      </c>
      <c r="U653">
        <v>1.8398605202292559</v>
      </c>
    </row>
    <row r="654" spans="1:21">
      <c r="A654">
        <v>1.4524840774309997</v>
      </c>
      <c r="B654">
        <v>0.25752855205808389</v>
      </c>
      <c r="C654">
        <v>0.36486293209238269</v>
      </c>
      <c r="D654">
        <v>0.1166678574515098</v>
      </c>
      <c r="E654">
        <v>0</v>
      </c>
      <c r="F654">
        <v>0.39882820929041812</v>
      </c>
      <c r="G654">
        <v>0.12770437377020041</v>
      </c>
      <c r="H654">
        <v>0.77523269987381305</v>
      </c>
      <c r="I654">
        <v>0.49375490086995244</v>
      </c>
      <c r="J654">
        <v>0.48799408567466174</v>
      </c>
      <c r="L654">
        <v>1.5771394171225674</v>
      </c>
      <c r="M654">
        <v>3.3570068798254709</v>
      </c>
      <c r="N654">
        <v>0.90970246991818482</v>
      </c>
      <c r="P654">
        <v>9.5099956042497223E-13</v>
      </c>
      <c r="R654">
        <v>5.1388512717937065</v>
      </c>
      <c r="S654">
        <v>5.1437331426071831</v>
      </c>
      <c r="T654">
        <v>1</v>
      </c>
      <c r="U654">
        <v>1.8398605202292559</v>
      </c>
    </row>
    <row r="655" spans="1:21">
      <c r="A655">
        <v>1.4538124461848982</v>
      </c>
      <c r="B655">
        <v>0.25545236043907243</v>
      </c>
      <c r="C655">
        <v>0.35085473465424527</v>
      </c>
      <c r="D655">
        <v>0</v>
      </c>
      <c r="E655">
        <v>0.17333273161154</v>
      </c>
      <c r="F655">
        <v>2.4085820540540172E-2</v>
      </c>
      <c r="G655">
        <v>0.41246987966406579</v>
      </c>
      <c r="H655">
        <v>0.24543875262633433</v>
      </c>
      <c r="I655">
        <v>0.65404216290306816</v>
      </c>
      <c r="J655">
        <v>0.6022529836836229</v>
      </c>
      <c r="L655">
        <v>1.5771391367876264</v>
      </c>
      <c r="M655">
        <v>3.3570065468222863</v>
      </c>
      <c r="N655">
        <v>0.90970249333468312</v>
      </c>
      <c r="P655">
        <v>1.6426291428561457E-12</v>
      </c>
      <c r="R655">
        <v>5.1388512717937065</v>
      </c>
      <c r="S655">
        <v>5.1437331426071831</v>
      </c>
      <c r="T655">
        <v>1</v>
      </c>
      <c r="U655">
        <v>1.8398605202292559</v>
      </c>
    </row>
    <row r="656" spans="1:21">
      <c r="A656">
        <v>1.4650739053913493</v>
      </c>
      <c r="B656">
        <v>0.26478547860324747</v>
      </c>
      <c r="C656">
        <v>0.34670623647860382</v>
      </c>
      <c r="D656">
        <v>0.46173170685927767</v>
      </c>
      <c r="E656">
        <v>0.74098284001059467</v>
      </c>
      <c r="F656">
        <v>0</v>
      </c>
      <c r="G656">
        <v>0.57562613822943742</v>
      </c>
      <c r="H656">
        <v>0.1667710332844885</v>
      </c>
      <c r="I656">
        <v>0.21292083497590669</v>
      </c>
      <c r="J656">
        <v>4.5457621906931804E-2</v>
      </c>
      <c r="L656">
        <v>1.5771401920003985</v>
      </c>
      <c r="M656">
        <v>3.3570064288738397</v>
      </c>
      <c r="N656">
        <v>0.90970187866440333</v>
      </c>
      <c r="P656">
        <v>2.6866312826067006E-12</v>
      </c>
      <c r="R656">
        <v>5.1388512717937065</v>
      </c>
      <c r="S656">
        <v>5.1437331426071831</v>
      </c>
      <c r="T656">
        <v>1</v>
      </c>
      <c r="U656">
        <v>1.8398605202292559</v>
      </c>
    </row>
    <row r="657" spans="1:21">
      <c r="A657">
        <v>1.4647904659620301</v>
      </c>
      <c r="B657">
        <v>0.2653458172640098</v>
      </c>
      <c r="C657">
        <v>0.34071934810286353</v>
      </c>
      <c r="D657">
        <v>0.10496686524320314</v>
      </c>
      <c r="E657">
        <v>0</v>
      </c>
      <c r="F657">
        <v>0</v>
      </c>
      <c r="G657">
        <v>0.99303603388254036</v>
      </c>
      <c r="H657">
        <v>6.8573929552249113E-2</v>
      </c>
      <c r="I657">
        <v>6.1195419182397945E-2</v>
      </c>
      <c r="J657">
        <v>0.32981367763120711</v>
      </c>
      <c r="L657">
        <v>1.5771391660063439</v>
      </c>
      <c r="M657">
        <v>3.3570069120753692</v>
      </c>
      <c r="N657">
        <v>0.90970250228353045</v>
      </c>
      <c r="P657">
        <v>8.9832383728970957E-13</v>
      </c>
      <c r="R657">
        <v>5.1388512717937065</v>
      </c>
      <c r="S657">
        <v>5.1437331426071831</v>
      </c>
      <c r="T657">
        <v>1</v>
      </c>
      <c r="U657">
        <v>1.8398605202292559</v>
      </c>
    </row>
    <row r="658" spans="1:21">
      <c r="A658">
        <v>1.4590852950575441</v>
      </c>
      <c r="B658">
        <v>0.26012151348615958</v>
      </c>
      <c r="C658">
        <v>0.35646863712329974</v>
      </c>
      <c r="D658">
        <v>0</v>
      </c>
      <c r="E658">
        <v>0</v>
      </c>
      <c r="F658">
        <v>0.13094542677060655</v>
      </c>
      <c r="G658">
        <v>0.43603915021289957</v>
      </c>
      <c r="H658">
        <v>0.2864462955951938</v>
      </c>
      <c r="I658">
        <v>3.6998230685444375E-2</v>
      </c>
      <c r="J658">
        <v>0.32882345464349033</v>
      </c>
      <c r="L658">
        <v>1.5771389471377271</v>
      </c>
      <c r="M658">
        <v>3.3570057327882021</v>
      </c>
      <c r="N658">
        <v>0.90970032085066177</v>
      </c>
      <c r="P658">
        <v>7.2187606789887092E-12</v>
      </c>
      <c r="R658">
        <v>5.1388512717937065</v>
      </c>
      <c r="S658">
        <v>5.1437331426071831</v>
      </c>
      <c r="T658">
        <v>1</v>
      </c>
      <c r="U658">
        <v>1.8398605202292559</v>
      </c>
    </row>
    <row r="659" spans="1:21">
      <c r="A659">
        <v>1.4612037791385231</v>
      </c>
      <c r="B659">
        <v>0.26964151164627526</v>
      </c>
      <c r="C659">
        <v>0.33666048509405205</v>
      </c>
      <c r="D659">
        <v>0.64418227686662688</v>
      </c>
      <c r="E659">
        <v>0.32096090602881949</v>
      </c>
      <c r="F659">
        <v>0</v>
      </c>
      <c r="G659">
        <v>0.9582215965768307</v>
      </c>
      <c r="H659">
        <v>0.71631329923026299</v>
      </c>
      <c r="I659">
        <v>0.97534341155216442</v>
      </c>
      <c r="J659">
        <v>0.14957014232898294</v>
      </c>
      <c r="L659">
        <v>1.5771401576551765</v>
      </c>
      <c r="M659">
        <v>3.3570063282134743</v>
      </c>
      <c r="N659">
        <v>0.90970186595942815</v>
      </c>
      <c r="P659">
        <v>2.9040189048841232E-12</v>
      </c>
      <c r="R659">
        <v>5.1388512717937065</v>
      </c>
      <c r="S659">
        <v>5.1437331426071831</v>
      </c>
      <c r="T659">
        <v>1</v>
      </c>
      <c r="U659">
        <v>1.8398605202292559</v>
      </c>
    </row>
    <row r="660" spans="1:21">
      <c r="A660">
        <v>1.4578498251710832</v>
      </c>
      <c r="B660">
        <v>0.25818416922467052</v>
      </c>
      <c r="C660">
        <v>0.34559210008439512</v>
      </c>
      <c r="D660">
        <v>0.19564198336485092</v>
      </c>
      <c r="E660">
        <v>0.50468198254508179</v>
      </c>
      <c r="F660">
        <v>0.25099172188193997</v>
      </c>
      <c r="G660">
        <v>0.55266212294085926</v>
      </c>
      <c r="H660">
        <v>0.14654099245614932</v>
      </c>
      <c r="I660">
        <v>0.65412354795907002</v>
      </c>
      <c r="J660">
        <v>0.65454024236591701</v>
      </c>
      <c r="L660">
        <v>1.5771391831466384</v>
      </c>
      <c r="M660">
        <v>3.3570077004346164</v>
      </c>
      <c r="N660">
        <v>0.9097021292445695</v>
      </c>
      <c r="P660">
        <v>9.7995603663077919E-15</v>
      </c>
      <c r="R660">
        <v>5.1388512717937065</v>
      </c>
      <c r="S660">
        <v>5.1437331426071831</v>
      </c>
      <c r="T660">
        <v>1</v>
      </c>
      <c r="U660">
        <v>1.8398605202292559</v>
      </c>
    </row>
    <row r="661" spans="1:21">
      <c r="A661">
        <v>1.4506609869752196</v>
      </c>
      <c r="B661">
        <v>0.24752584070508785</v>
      </c>
      <c r="C661">
        <v>0.37436786046352677</v>
      </c>
      <c r="D661">
        <v>0</v>
      </c>
      <c r="E661">
        <v>0.32847790975668117</v>
      </c>
      <c r="F661">
        <v>1.900668206181064E-2</v>
      </c>
      <c r="G661">
        <v>0.3858173216127368</v>
      </c>
      <c r="H661">
        <v>0.95842423109975394</v>
      </c>
      <c r="I661">
        <v>0.73899156509176056</v>
      </c>
      <c r="J661">
        <v>0.94629359848005512</v>
      </c>
      <c r="L661">
        <v>1.5771393435900474</v>
      </c>
      <c r="M661">
        <v>3.3570066315857403</v>
      </c>
      <c r="N661">
        <v>0.90970248663041864</v>
      </c>
      <c r="P661">
        <v>1.4388576900494973E-12</v>
      </c>
      <c r="R661">
        <v>5.1388512717937065</v>
      </c>
      <c r="S661">
        <v>5.1437331426071831</v>
      </c>
      <c r="T661">
        <v>1</v>
      </c>
      <c r="U661">
        <v>1.8398605202292559</v>
      </c>
    </row>
    <row r="662" spans="1:21">
      <c r="A662">
        <v>1.4581094560807517</v>
      </c>
      <c r="B662">
        <v>0.26091706757269895</v>
      </c>
      <c r="C662">
        <v>0.36428769751706175</v>
      </c>
      <c r="D662">
        <v>0</v>
      </c>
      <c r="E662">
        <v>0.33966247213340023</v>
      </c>
      <c r="F662">
        <v>6.2709730588417445E-2</v>
      </c>
      <c r="G662">
        <v>0.56020472302788382</v>
      </c>
      <c r="H662">
        <v>0.7636699284856272</v>
      </c>
      <c r="I662">
        <v>0.56555666449904385</v>
      </c>
      <c r="J662">
        <v>0.30735052284496145</v>
      </c>
      <c r="L662">
        <v>1.5771395170135254</v>
      </c>
      <c r="M662">
        <v>3.3570066140113761</v>
      </c>
      <c r="N662">
        <v>0.90970243834644726</v>
      </c>
      <c r="P662">
        <v>1.5055664269501437E-12</v>
      </c>
      <c r="R662">
        <v>5.1388512717937065</v>
      </c>
      <c r="S662">
        <v>5.1437331426071831</v>
      </c>
      <c r="T662">
        <v>1</v>
      </c>
      <c r="U662">
        <v>1.8398605202292559</v>
      </c>
    </row>
    <row r="663" spans="1:21">
      <c r="A663">
        <v>1.4613348682596143</v>
      </c>
      <c r="B663">
        <v>0.25548531717949563</v>
      </c>
      <c r="C663">
        <v>0.34052748207694239</v>
      </c>
      <c r="D663">
        <v>0.46741018964140135</v>
      </c>
      <c r="E663">
        <v>0.27430712027624321</v>
      </c>
      <c r="F663">
        <v>0.10386718285512556</v>
      </c>
      <c r="G663">
        <v>0.81383084708871478</v>
      </c>
      <c r="H663">
        <v>2.8373711910357965E-2</v>
      </c>
      <c r="I663">
        <v>0.12660092109727794</v>
      </c>
      <c r="J663">
        <v>0.85416940380041917</v>
      </c>
      <c r="L663">
        <v>1.5771397721445473</v>
      </c>
      <c r="M663">
        <v>3.35700643329035</v>
      </c>
      <c r="N663">
        <v>0.90970228400242126</v>
      </c>
      <c r="P663">
        <v>2.0641945257281129E-12</v>
      </c>
      <c r="R663">
        <v>5.1388512717937065</v>
      </c>
      <c r="S663">
        <v>5.1437331426071831</v>
      </c>
      <c r="T663">
        <v>1</v>
      </c>
      <c r="U663">
        <v>1.8398605202292559</v>
      </c>
    </row>
    <row r="664" spans="1:21">
      <c r="A664">
        <v>1.4568063705817944</v>
      </c>
      <c r="B664">
        <v>0.26058061726559584</v>
      </c>
      <c r="C664">
        <v>0.35064296998683542</v>
      </c>
      <c r="D664">
        <v>0.19322756090316645</v>
      </c>
      <c r="E664">
        <v>0</v>
      </c>
      <c r="F664">
        <v>0.58501105320036639</v>
      </c>
      <c r="G664">
        <v>0.93243644788475921</v>
      </c>
      <c r="H664">
        <v>0.79859460412114414</v>
      </c>
      <c r="I664">
        <v>0.81458522938961297</v>
      </c>
      <c r="J664">
        <v>0.98437672333552229</v>
      </c>
      <c r="L664">
        <v>1.5771395768308654</v>
      </c>
      <c r="M664">
        <v>3.3570069571387644</v>
      </c>
      <c r="N664">
        <v>0.90970240930095658</v>
      </c>
      <c r="P664">
        <v>8.5844446331083044E-13</v>
      </c>
      <c r="R664">
        <v>5.1388512717937065</v>
      </c>
      <c r="S664">
        <v>5.1437331426071831</v>
      </c>
      <c r="T664">
        <v>1</v>
      </c>
      <c r="U664">
        <v>1.8398605202292559</v>
      </c>
    </row>
    <row r="665" spans="1:21">
      <c r="A665">
        <v>1.45400749549217</v>
      </c>
      <c r="B665">
        <v>0.25395547495061993</v>
      </c>
      <c r="C665">
        <v>0.34374032867062798</v>
      </c>
      <c r="D665">
        <v>0.2612811452675261</v>
      </c>
      <c r="E665">
        <v>5.892024285540658E-3</v>
      </c>
      <c r="F665">
        <v>0</v>
      </c>
      <c r="G665">
        <v>0.554264266453666</v>
      </c>
      <c r="H665">
        <v>0.22662132476956334</v>
      </c>
      <c r="I665">
        <v>0.56883380961717178</v>
      </c>
      <c r="J665">
        <v>0.79275146153562848</v>
      </c>
      <c r="L665">
        <v>1.5771391556652601</v>
      </c>
      <c r="M665">
        <v>3.3570078922932836</v>
      </c>
      <c r="N665">
        <v>0.90970189619754194</v>
      </c>
      <c r="P665">
        <v>5.7265759200597337E-14</v>
      </c>
      <c r="R665">
        <v>5.1388512717937065</v>
      </c>
      <c r="S665">
        <v>5.1437331426071831</v>
      </c>
      <c r="T665">
        <v>1</v>
      </c>
      <c r="U665">
        <v>1.8398605202292559</v>
      </c>
    </row>
    <row r="666" spans="1:21">
      <c r="A666">
        <v>1.4560551308943477</v>
      </c>
      <c r="B666">
        <v>0.26114995603709734</v>
      </c>
      <c r="C666">
        <v>0.35643880452545235</v>
      </c>
      <c r="D666">
        <v>0.39387484212691715</v>
      </c>
      <c r="E666">
        <v>0.35720848172692338</v>
      </c>
      <c r="F666">
        <v>0.61440937049519151</v>
      </c>
      <c r="G666">
        <v>0.38150727149358782</v>
      </c>
      <c r="H666">
        <v>0.78394294256082986</v>
      </c>
      <c r="I666">
        <v>0.726983108806324</v>
      </c>
      <c r="J666">
        <v>0.5840691678394665</v>
      </c>
      <c r="L666">
        <v>1.5771390702249584</v>
      </c>
      <c r="M666">
        <v>3.3570080697012084</v>
      </c>
      <c r="N666">
        <v>0.9097014843399942</v>
      </c>
      <c r="P666">
        <v>4.7283712925293689E-13</v>
      </c>
      <c r="R666">
        <v>5.1388512717937065</v>
      </c>
      <c r="S666">
        <v>5.1437331426071831</v>
      </c>
      <c r="T666">
        <v>1</v>
      </c>
      <c r="U666">
        <v>1.8398605202292559</v>
      </c>
    </row>
    <row r="667" spans="1:21">
      <c r="A667">
        <v>1.4557551232420889</v>
      </c>
      <c r="B667">
        <v>0.25044773388383351</v>
      </c>
      <c r="C667">
        <v>0.37288096299064</v>
      </c>
      <c r="D667">
        <v>0</v>
      </c>
      <c r="E667">
        <v>0</v>
      </c>
      <c r="F667">
        <v>0</v>
      </c>
      <c r="G667">
        <v>0.63039121214055749</v>
      </c>
      <c r="H667">
        <v>0.86743967958567103</v>
      </c>
      <c r="I667">
        <v>0.15441120268450842</v>
      </c>
      <c r="J667">
        <v>0.8728504232305947</v>
      </c>
      <c r="L667">
        <v>1.577139400732301</v>
      </c>
      <c r="M667">
        <v>3.3570066059397776</v>
      </c>
      <c r="N667">
        <v>0.90970247311979213</v>
      </c>
      <c r="P667">
        <v>1.5006409853398721E-12</v>
      </c>
      <c r="R667">
        <v>5.1388512717937065</v>
      </c>
      <c r="S667">
        <v>5.1437331426071831</v>
      </c>
      <c r="T667">
        <v>1</v>
      </c>
      <c r="U667">
        <v>1.8398605202292559</v>
      </c>
    </row>
    <row r="668" spans="1:21">
      <c r="A668">
        <v>1.4595947196043486</v>
      </c>
      <c r="B668">
        <v>0.25835946275484367</v>
      </c>
      <c r="C668">
        <v>0.35308353860625469</v>
      </c>
      <c r="D668">
        <v>0</v>
      </c>
      <c r="E668">
        <v>0.15870822567047552</v>
      </c>
      <c r="F668">
        <v>0</v>
      </c>
      <c r="G668">
        <v>0.85942363531036814</v>
      </c>
      <c r="H668">
        <v>0.401162842260262</v>
      </c>
      <c r="I668">
        <v>0.40027180095265302</v>
      </c>
      <c r="J668">
        <v>0.63604681750906711</v>
      </c>
      <c r="L668">
        <v>1.5771389758481433</v>
      </c>
      <c r="M668">
        <v>3.3570058880381493</v>
      </c>
      <c r="N668">
        <v>0.90970015805787541</v>
      </c>
      <c r="P668">
        <v>7.1955628427280574E-12</v>
      </c>
      <c r="R668">
        <v>5.1388512717937065</v>
      </c>
      <c r="S668">
        <v>5.1437331426071831</v>
      </c>
      <c r="T668">
        <v>1</v>
      </c>
      <c r="U668">
        <v>1.8398605202292559</v>
      </c>
    </row>
    <row r="669" spans="1:21">
      <c r="A669">
        <v>1.4547127721737365</v>
      </c>
      <c r="B669">
        <v>0.25034965977943924</v>
      </c>
      <c r="C669">
        <v>0.36574084186862699</v>
      </c>
      <c r="D669">
        <v>0.38881060349211127</v>
      </c>
      <c r="E669">
        <v>0</v>
      </c>
      <c r="F669">
        <v>0</v>
      </c>
      <c r="G669">
        <v>0.50045178488716802</v>
      </c>
      <c r="H669">
        <v>0.86507337709959242</v>
      </c>
      <c r="I669">
        <v>0.19342698792131802</v>
      </c>
      <c r="J669">
        <v>0.83844238887028544</v>
      </c>
      <c r="L669">
        <v>1.5771394846407243</v>
      </c>
      <c r="M669">
        <v>3.3570067721024066</v>
      </c>
      <c r="N669">
        <v>0.90970245936910765</v>
      </c>
      <c r="P669">
        <v>1.1701607168844474E-12</v>
      </c>
      <c r="R669">
        <v>5.1388512717937065</v>
      </c>
      <c r="S669">
        <v>5.1437331426071831</v>
      </c>
      <c r="T669">
        <v>1</v>
      </c>
      <c r="U669">
        <v>1.8398605202292559</v>
      </c>
    </row>
    <row r="670" spans="1:21">
      <c r="A670">
        <v>1.4589761427071326</v>
      </c>
      <c r="B670">
        <v>0.25959274049780184</v>
      </c>
      <c r="C670">
        <v>0.34594910745009239</v>
      </c>
      <c r="D670">
        <v>0</v>
      </c>
      <c r="E670">
        <v>0</v>
      </c>
      <c r="F670">
        <v>0</v>
      </c>
      <c r="G670">
        <v>0.84927711635018754</v>
      </c>
      <c r="H670">
        <v>0.23206846798301456</v>
      </c>
      <c r="I670">
        <v>0.42194921911337258</v>
      </c>
      <c r="J670">
        <v>0.60516670437367492</v>
      </c>
      <c r="L670">
        <v>1.5771393049834239</v>
      </c>
      <c r="M670">
        <v>3.3570066844234074</v>
      </c>
      <c r="N670">
        <v>0.90970249394898639</v>
      </c>
      <c r="P670">
        <v>1.3231735273833522E-12</v>
      </c>
      <c r="R670">
        <v>5.1388512717937065</v>
      </c>
      <c r="S670">
        <v>5.1437331426071831</v>
      </c>
      <c r="T670">
        <v>1</v>
      </c>
      <c r="U670">
        <v>1.8398605202292559</v>
      </c>
    </row>
    <row r="671" spans="1:21">
      <c r="A671">
        <v>1.4803466064400475</v>
      </c>
      <c r="B671">
        <v>0.34487712686054567</v>
      </c>
      <c r="C671">
        <v>0.32528923317300967</v>
      </c>
      <c r="D671">
        <v>0</v>
      </c>
      <c r="E671">
        <v>6.6253964094768556E-3</v>
      </c>
      <c r="F671">
        <v>0</v>
      </c>
      <c r="G671">
        <v>6.0490468362574462E-2</v>
      </c>
      <c r="H671">
        <v>0.81219433888301495</v>
      </c>
      <c r="I671">
        <v>0.9103952661623238</v>
      </c>
      <c r="J671">
        <v>0.53779228670190105</v>
      </c>
      <c r="L671">
        <v>1.5771381720208857</v>
      </c>
      <c r="M671">
        <v>3.3570060402687858</v>
      </c>
      <c r="N671">
        <v>2.3716192593811591</v>
      </c>
      <c r="P671">
        <v>4.9408424685648818E-12</v>
      </c>
      <c r="R671">
        <v>4.7109570027700878</v>
      </c>
      <c r="S671">
        <v>4.7138939593144054</v>
      </c>
      <c r="T671">
        <v>1</v>
      </c>
      <c r="U671">
        <v>1.8121414309717145</v>
      </c>
    </row>
    <row r="672" spans="1:21">
      <c r="A672">
        <v>1.4877067087878355</v>
      </c>
      <c r="B672">
        <v>0.34458763040698015</v>
      </c>
      <c r="C672">
        <v>0.31388702928972217</v>
      </c>
      <c r="D672">
        <v>0.13937771732631821</v>
      </c>
      <c r="E672">
        <v>0</v>
      </c>
      <c r="F672">
        <v>0.43289572891524564</v>
      </c>
      <c r="G672">
        <v>0.28954172818290147</v>
      </c>
      <c r="H672">
        <v>0.1737680406798976</v>
      </c>
      <c r="I672">
        <v>0.15321320859981041</v>
      </c>
      <c r="J672">
        <v>0.21790512586216379</v>
      </c>
      <c r="L672">
        <v>1.5771384246224838</v>
      </c>
      <c r="M672">
        <v>3.357006144985851</v>
      </c>
      <c r="N672">
        <v>2.3716185416943807</v>
      </c>
      <c r="P672">
        <v>5.9669589162652389E-12</v>
      </c>
      <c r="R672">
        <v>4.7109570027700878</v>
      </c>
      <c r="S672">
        <v>4.7138939593144054</v>
      </c>
      <c r="T672">
        <v>1</v>
      </c>
      <c r="U672">
        <v>1.8121414309717145</v>
      </c>
    </row>
    <row r="673" spans="1:21">
      <c r="A673">
        <v>1.4853784890474804</v>
      </c>
      <c r="B673">
        <v>0.34038968464444824</v>
      </c>
      <c r="C673">
        <v>0.31008278834721748</v>
      </c>
      <c r="D673">
        <v>0</v>
      </c>
      <c r="E673">
        <v>0.16934614047373805</v>
      </c>
      <c r="F673">
        <v>0</v>
      </c>
      <c r="G673">
        <v>0.67054968726310216</v>
      </c>
      <c r="H673">
        <v>0.23488465352989357</v>
      </c>
      <c r="I673">
        <v>0.7514087062947975</v>
      </c>
      <c r="J673">
        <v>0.53859206427393302</v>
      </c>
      <c r="L673">
        <v>1.577138564829472</v>
      </c>
      <c r="M673">
        <v>3.3570060838140949</v>
      </c>
      <c r="N673">
        <v>2.3716188000093763</v>
      </c>
      <c r="P673">
        <v>5.1726999644180993E-12</v>
      </c>
      <c r="R673">
        <v>4.7109570027700878</v>
      </c>
      <c r="S673">
        <v>4.7138939593144054</v>
      </c>
      <c r="T673">
        <v>1</v>
      </c>
      <c r="U673">
        <v>1.8121414309717145</v>
      </c>
    </row>
    <row r="674" spans="1:21">
      <c r="A674">
        <v>1.4888603583232467</v>
      </c>
      <c r="B674">
        <v>0.343571999409718</v>
      </c>
      <c r="C674">
        <v>0.31730332434888892</v>
      </c>
      <c r="D674">
        <v>0.15585295273041788</v>
      </c>
      <c r="E674">
        <v>0.85121278359259478</v>
      </c>
      <c r="F674">
        <v>0.76956410454472945</v>
      </c>
      <c r="G674">
        <v>0.5631407405391452</v>
      </c>
      <c r="H674">
        <v>0.40695041554487627</v>
      </c>
      <c r="I674">
        <v>0.87561864065932915</v>
      </c>
      <c r="J674">
        <v>0.75909271498335051</v>
      </c>
      <c r="L674">
        <v>1.5771384983846097</v>
      </c>
      <c r="M674">
        <v>3.3570059703363735</v>
      </c>
      <c r="N674">
        <v>2.3716186943892548</v>
      </c>
      <c r="P674">
        <v>5.9633397708900095E-12</v>
      </c>
      <c r="R674">
        <v>4.7109570027700878</v>
      </c>
      <c r="S674">
        <v>4.7138939593144054</v>
      </c>
      <c r="T674">
        <v>1</v>
      </c>
      <c r="U674">
        <v>1.8121414309717145</v>
      </c>
    </row>
    <row r="675" spans="1:21">
      <c r="A675">
        <v>1.4879980323030901</v>
      </c>
      <c r="B675">
        <v>0.34589990048454572</v>
      </c>
      <c r="C675">
        <v>0.31211675119854404</v>
      </c>
      <c r="D675">
        <v>0.18816110375326289</v>
      </c>
      <c r="E675">
        <v>0</v>
      </c>
      <c r="F675">
        <v>0</v>
      </c>
      <c r="G675">
        <v>0.66539708197069913</v>
      </c>
      <c r="H675">
        <v>0.482310355271937</v>
      </c>
      <c r="I675">
        <v>0.51230505929897319</v>
      </c>
      <c r="J675">
        <v>3.5679085563163786E-2</v>
      </c>
      <c r="L675">
        <v>1.5771382775778517</v>
      </c>
      <c r="M675">
        <v>3.357006080816197</v>
      </c>
      <c r="N675">
        <v>2.3716188283320183</v>
      </c>
      <c r="P675">
        <v>5.5767909185752468E-12</v>
      </c>
      <c r="R675">
        <v>4.7109570027700878</v>
      </c>
      <c r="S675">
        <v>4.7138939593144054</v>
      </c>
      <c r="T675">
        <v>1</v>
      </c>
      <c r="U675">
        <v>1.8121414309717145</v>
      </c>
    </row>
    <row r="676" spans="1:21">
      <c r="A676">
        <v>1.4843477847935844</v>
      </c>
      <c r="B676">
        <v>0.34254248834104012</v>
      </c>
      <c r="C676">
        <v>0.30829345528296481</v>
      </c>
      <c r="D676">
        <v>0.59260108048392135</v>
      </c>
      <c r="E676">
        <v>5.9443890108000032E-2</v>
      </c>
      <c r="F676">
        <v>0</v>
      </c>
      <c r="G676">
        <v>0.20220299260323304</v>
      </c>
      <c r="H676">
        <v>0.39036646398617075</v>
      </c>
      <c r="I676">
        <v>0.48984164088992549</v>
      </c>
      <c r="J676">
        <v>4.3536777165425602E-2</v>
      </c>
      <c r="L676">
        <v>1.5771383804723564</v>
      </c>
      <c r="M676">
        <v>3.3570061425552034</v>
      </c>
      <c r="N676">
        <v>2.3716186200803699</v>
      </c>
      <c r="P676">
        <v>5.7967228520878479E-12</v>
      </c>
      <c r="R676">
        <v>4.7109570027700878</v>
      </c>
      <c r="S676">
        <v>4.7138939593144054</v>
      </c>
      <c r="T676">
        <v>1</v>
      </c>
      <c r="U676">
        <v>1.8121414309717145</v>
      </c>
    </row>
    <row r="677" spans="1:21">
      <c r="A677">
        <v>1.4895484290606265</v>
      </c>
      <c r="B677">
        <v>0.33556838628737651</v>
      </c>
      <c r="C677">
        <v>0.30422639150813818</v>
      </c>
      <c r="D677">
        <v>0.6607885720698502</v>
      </c>
      <c r="E677">
        <v>0</v>
      </c>
      <c r="F677">
        <v>2.3892341333653602E-2</v>
      </c>
      <c r="G677">
        <v>0.86814075908907284</v>
      </c>
      <c r="H677">
        <v>0.19238176878953503</v>
      </c>
      <c r="I677">
        <v>3.0794608114834782E-2</v>
      </c>
      <c r="J677">
        <v>0.60689079415951952</v>
      </c>
      <c r="L677">
        <v>1.5771382440198316</v>
      </c>
      <c r="M677">
        <v>3.35700608888583</v>
      </c>
      <c r="N677">
        <v>2.3716189087637534</v>
      </c>
      <c r="P677">
        <v>5.4032443532004749E-12</v>
      </c>
      <c r="R677">
        <v>4.7109570027700878</v>
      </c>
      <c r="S677">
        <v>4.7138939593144054</v>
      </c>
      <c r="T677">
        <v>1</v>
      </c>
      <c r="U677">
        <v>1.8121414309717145</v>
      </c>
    </row>
    <row r="678" spans="1:21">
      <c r="A678">
        <v>1.4858450856264771</v>
      </c>
      <c r="B678">
        <v>0.34081498113876496</v>
      </c>
      <c r="C678">
        <v>0.29747701111262836</v>
      </c>
      <c r="D678">
        <v>0</v>
      </c>
      <c r="E678">
        <v>0.18976370359787373</v>
      </c>
      <c r="F678">
        <v>9.3929495627716533E-2</v>
      </c>
      <c r="G678">
        <v>0.95348685219397533</v>
      </c>
      <c r="H678">
        <v>0</v>
      </c>
      <c r="I678">
        <v>1.011881125128004</v>
      </c>
      <c r="J678">
        <v>0.37527763648119972</v>
      </c>
      <c r="L678">
        <v>1.5771395036860176</v>
      </c>
      <c r="M678">
        <v>3.3570074628664877</v>
      </c>
      <c r="N678">
        <v>2.3716204213292804</v>
      </c>
      <c r="P678">
        <v>2.0495302004910763E-13</v>
      </c>
      <c r="R678">
        <v>4.7109570027700878</v>
      </c>
      <c r="S678">
        <v>4.7138939593144054</v>
      </c>
      <c r="T678">
        <v>1</v>
      </c>
      <c r="U678">
        <v>1.8121414309717145</v>
      </c>
    </row>
    <row r="679" spans="1:21">
      <c r="A679">
        <v>1.4825393382666912</v>
      </c>
      <c r="B679">
        <v>0.3354884402755719</v>
      </c>
      <c r="C679">
        <v>0.32250032413565721</v>
      </c>
      <c r="D679">
        <v>0</v>
      </c>
      <c r="E679">
        <v>0</v>
      </c>
      <c r="F679">
        <v>0</v>
      </c>
      <c r="G679">
        <v>5.4867899017421846E-2</v>
      </c>
      <c r="H679">
        <v>0.17941951156156513</v>
      </c>
      <c r="I679">
        <v>0.18365275885755089</v>
      </c>
      <c r="J679">
        <v>0.98168476344377187</v>
      </c>
      <c r="L679">
        <v>1.577138494784972</v>
      </c>
      <c r="M679">
        <v>3.3570062094460082</v>
      </c>
      <c r="N679">
        <v>2.3716184497619577</v>
      </c>
      <c r="P679">
        <v>5.9656061149077138E-12</v>
      </c>
      <c r="R679">
        <v>4.7109570027700878</v>
      </c>
      <c r="S679">
        <v>4.7138939593144054</v>
      </c>
      <c r="T679">
        <v>1</v>
      </c>
      <c r="U679">
        <v>1.8121414309717145</v>
      </c>
    </row>
    <row r="680" spans="1:21">
      <c r="A680">
        <v>1.4909860503549242</v>
      </c>
      <c r="B680">
        <v>0.34213813105432855</v>
      </c>
      <c r="C680">
        <v>0.31234759342875396</v>
      </c>
      <c r="D680">
        <v>0</v>
      </c>
      <c r="E680">
        <v>0.21763557121144897</v>
      </c>
      <c r="F680">
        <v>0</v>
      </c>
      <c r="G680">
        <v>0.77836622084802554</v>
      </c>
      <c r="H680">
        <v>8.4245849372068887E-2</v>
      </c>
      <c r="I680">
        <v>0.21865116677506141</v>
      </c>
      <c r="J680">
        <v>0.20706359881971445</v>
      </c>
      <c r="L680">
        <v>1.5771385055301936</v>
      </c>
      <c r="M680">
        <v>3.357005952229752</v>
      </c>
      <c r="N680">
        <v>2.3716186359224087</v>
      </c>
      <c r="P680">
        <v>6.1958757884432957E-12</v>
      </c>
      <c r="R680">
        <v>4.7109570027700878</v>
      </c>
      <c r="S680">
        <v>4.7138939593144054</v>
      </c>
      <c r="T680">
        <v>1</v>
      </c>
      <c r="U680">
        <v>1.8121414309717145</v>
      </c>
    </row>
    <row r="681" spans="1:21">
      <c r="A681">
        <v>1.4887214645848477</v>
      </c>
      <c r="B681">
        <v>0.352407447912022</v>
      </c>
      <c r="C681">
        <v>0.32776405876012987</v>
      </c>
      <c r="D681">
        <v>0</v>
      </c>
      <c r="E681">
        <v>3.9479104435278647E-2</v>
      </c>
      <c r="F681">
        <v>0.19235620339412324</v>
      </c>
      <c r="G681">
        <v>0.52773172553972614</v>
      </c>
      <c r="H681">
        <v>0.99940222518532573</v>
      </c>
      <c r="I681">
        <v>0.58346497338138525</v>
      </c>
      <c r="J681">
        <v>2.6572288017732922E-2</v>
      </c>
      <c r="L681">
        <v>1.5771384699661646</v>
      </c>
      <c r="M681">
        <v>3.3570061107372595</v>
      </c>
      <c r="N681">
        <v>2.3716184768572504</v>
      </c>
      <c r="P681">
        <v>6.2239657690947792E-12</v>
      </c>
      <c r="R681">
        <v>4.7109570027700878</v>
      </c>
      <c r="S681">
        <v>4.7138939593144054</v>
      </c>
      <c r="T681">
        <v>1</v>
      </c>
      <c r="U681">
        <v>1.8121414309717145</v>
      </c>
    </row>
    <row r="682" spans="1:21">
      <c r="A682">
        <v>1.4860184519511164</v>
      </c>
      <c r="B682">
        <v>0.33672877799927398</v>
      </c>
      <c r="C682">
        <v>0.30690797289782912</v>
      </c>
      <c r="D682">
        <v>0.46243599392718027</v>
      </c>
      <c r="E682">
        <v>0</v>
      </c>
      <c r="F682">
        <v>2.9896763645591309E-2</v>
      </c>
      <c r="G682">
        <v>0.77019981563739481</v>
      </c>
      <c r="H682">
        <v>0.35300638333263706</v>
      </c>
      <c r="I682">
        <v>0.457139780223282</v>
      </c>
      <c r="J682">
        <v>0.75951563074973605</v>
      </c>
      <c r="L682">
        <v>1.5771383237968803</v>
      </c>
      <c r="M682">
        <v>3.357006174311993</v>
      </c>
      <c r="N682">
        <v>2.3716187159508793</v>
      </c>
      <c r="P682">
        <v>5.5046916245826035E-12</v>
      </c>
      <c r="R682">
        <v>4.7109570027700878</v>
      </c>
      <c r="S682">
        <v>4.7138939593144054</v>
      </c>
      <c r="T682">
        <v>1</v>
      </c>
      <c r="U682">
        <v>1.8121414309717145</v>
      </c>
    </row>
    <row r="683" spans="1:21">
      <c r="A683">
        <v>1.4869499220809963</v>
      </c>
      <c r="B683">
        <v>0.34645792978599993</v>
      </c>
      <c r="C683">
        <v>0.31466170293500167</v>
      </c>
      <c r="D683">
        <v>0</v>
      </c>
      <c r="E683">
        <v>0</v>
      </c>
      <c r="F683">
        <v>0</v>
      </c>
      <c r="G683">
        <v>0.8464156717601482</v>
      </c>
      <c r="H683">
        <v>0.67429595534443676</v>
      </c>
      <c r="I683">
        <v>0.82925232136651528</v>
      </c>
      <c r="J683">
        <v>0.27542944406846093</v>
      </c>
      <c r="L683">
        <v>1.577138521369595</v>
      </c>
      <c r="M683">
        <v>3.3570059724779764</v>
      </c>
      <c r="N683">
        <v>2.3716186866235347</v>
      </c>
      <c r="P683">
        <v>5.945310196272447E-12</v>
      </c>
      <c r="R683">
        <v>4.7109570027700878</v>
      </c>
      <c r="S683">
        <v>4.7138939593144054</v>
      </c>
      <c r="T683">
        <v>1</v>
      </c>
      <c r="U683">
        <v>1.8121414309717145</v>
      </c>
    </row>
    <row r="684" spans="1:21">
      <c r="A684">
        <v>1.487463078353733</v>
      </c>
      <c r="B684">
        <v>0.35284686188554698</v>
      </c>
      <c r="C684">
        <v>0.33053272582166443</v>
      </c>
      <c r="D684">
        <v>0</v>
      </c>
      <c r="E684">
        <v>9.2263543942786713E-2</v>
      </c>
      <c r="F684">
        <v>0.75049622231128699</v>
      </c>
      <c r="G684">
        <v>0.1246288696615825</v>
      </c>
      <c r="H684">
        <v>0.8778020789476485</v>
      </c>
      <c r="I684">
        <v>0.44918957202929272</v>
      </c>
      <c r="J684">
        <v>0.24112813081255005</v>
      </c>
      <c r="L684">
        <v>1.5771383048048386</v>
      </c>
      <c r="M684">
        <v>3.3570060860724471</v>
      </c>
      <c r="N684">
        <v>2.3716187655539849</v>
      </c>
      <c r="P684">
        <v>5.6823291287612528E-12</v>
      </c>
      <c r="R684">
        <v>4.7109570027700878</v>
      </c>
      <c r="S684">
        <v>4.7138939593144054</v>
      </c>
      <c r="T684">
        <v>1</v>
      </c>
      <c r="U684">
        <v>1.8121414309717145</v>
      </c>
    </row>
    <row r="685" spans="1:21">
      <c r="A685">
        <v>1.4858620363843089</v>
      </c>
      <c r="B685">
        <v>0.34615223596371469</v>
      </c>
      <c r="C685">
        <v>0.32257106216027059</v>
      </c>
      <c r="D685">
        <v>0</v>
      </c>
      <c r="E685">
        <v>0</v>
      </c>
      <c r="F685">
        <v>0</v>
      </c>
      <c r="G685">
        <v>0.69212892781210933</v>
      </c>
      <c r="H685">
        <v>0.89389417029068841</v>
      </c>
      <c r="I685">
        <v>0.80012776813328912</v>
      </c>
      <c r="J685">
        <v>0.48941103932173452</v>
      </c>
      <c r="L685">
        <v>1.5771383886871215</v>
      </c>
      <c r="M685">
        <v>3.3570061333522938</v>
      </c>
      <c r="N685">
        <v>2.371618603520341</v>
      </c>
      <c r="P685">
        <v>5.8645883345872782E-12</v>
      </c>
      <c r="R685">
        <v>4.7109570027700878</v>
      </c>
      <c r="S685">
        <v>4.7138939593144054</v>
      </c>
      <c r="T685">
        <v>1</v>
      </c>
      <c r="U685">
        <v>1.8121414309717145</v>
      </c>
    </row>
    <row r="686" spans="1:21">
      <c r="A686">
        <v>1.486868352321802</v>
      </c>
      <c r="B686">
        <v>0.34716399947711984</v>
      </c>
      <c r="C686">
        <v>0.3256380210505001</v>
      </c>
      <c r="D686">
        <v>0</v>
      </c>
      <c r="E686">
        <v>0</v>
      </c>
      <c r="F686">
        <v>0.18949640964521608</v>
      </c>
      <c r="G686">
        <v>0.17082509561670661</v>
      </c>
      <c r="H686">
        <v>0.55392107319499084</v>
      </c>
      <c r="I686">
        <v>0.24485373063659366</v>
      </c>
      <c r="J686">
        <v>0.1845836692189185</v>
      </c>
      <c r="L686">
        <v>1.5771383917077149</v>
      </c>
      <c r="M686">
        <v>3.3570061017711001</v>
      </c>
      <c r="N686">
        <v>2.3716186019741898</v>
      </c>
      <c r="P686">
        <v>5.9675510318055491E-12</v>
      </c>
      <c r="R686">
        <v>4.7109570027700878</v>
      </c>
      <c r="S686">
        <v>4.7138939593144054</v>
      </c>
      <c r="T686">
        <v>1</v>
      </c>
      <c r="U686">
        <v>1.8121414309717145</v>
      </c>
    </row>
    <row r="687" spans="1:21">
      <c r="A687">
        <v>1.4848890482417765</v>
      </c>
      <c r="B687">
        <v>0.33992700853712898</v>
      </c>
      <c r="C687">
        <v>0.32000464977509785</v>
      </c>
      <c r="D687">
        <v>0.14438267087675702</v>
      </c>
      <c r="E687">
        <v>0.12914959560826267</v>
      </c>
      <c r="F687">
        <v>0</v>
      </c>
      <c r="G687">
        <v>0.37145063673193651</v>
      </c>
      <c r="H687">
        <v>0.4683685166773659</v>
      </c>
      <c r="I687">
        <v>0.46967591589213975</v>
      </c>
      <c r="J687">
        <v>0.6776969914402059</v>
      </c>
      <c r="L687">
        <v>1.5771383864870512</v>
      </c>
      <c r="M687">
        <v>3.3570061018710087</v>
      </c>
      <c r="N687">
        <v>2.3716186174398071</v>
      </c>
      <c r="P687">
        <v>5.9272581846821124E-12</v>
      </c>
      <c r="R687">
        <v>4.7109570027700878</v>
      </c>
      <c r="S687">
        <v>4.7138939593144054</v>
      </c>
      <c r="T687">
        <v>1</v>
      </c>
      <c r="U687">
        <v>1.8121414309717145</v>
      </c>
    </row>
    <row r="688" spans="1:21">
      <c r="A688">
        <v>1.4879467838445359</v>
      </c>
      <c r="B688">
        <v>0.33653648848776874</v>
      </c>
      <c r="C688">
        <v>0.30292054289465042</v>
      </c>
      <c r="D688">
        <v>0.58476133677115394</v>
      </c>
      <c r="E688">
        <v>0.57698246557205668</v>
      </c>
      <c r="F688">
        <v>0.17580421607065189</v>
      </c>
      <c r="G688">
        <v>0.65507980428390633</v>
      </c>
      <c r="H688">
        <v>6.7964872995730063E-2</v>
      </c>
      <c r="I688">
        <v>0.57085081050780084</v>
      </c>
      <c r="J688">
        <v>0.54448533646602448</v>
      </c>
      <c r="L688">
        <v>1.5771384610664174</v>
      </c>
      <c r="M688">
        <v>3.3570061197820511</v>
      </c>
      <c r="N688">
        <v>2.3716184954342014</v>
      </c>
      <c r="P688">
        <v>6.1449008070794974E-12</v>
      </c>
      <c r="R688">
        <v>4.7109570027700878</v>
      </c>
      <c r="S688">
        <v>4.7138939593144054</v>
      </c>
      <c r="T688">
        <v>1</v>
      </c>
      <c r="U688">
        <v>1.8121414309717145</v>
      </c>
    </row>
    <row r="689" spans="1:21">
      <c r="A689">
        <v>1.4837108429441164</v>
      </c>
      <c r="B689">
        <v>0.34321562157517888</v>
      </c>
      <c r="C689">
        <v>0.31770807129329287</v>
      </c>
      <c r="D689">
        <v>0.35290752097447842</v>
      </c>
      <c r="E689">
        <v>0.19442043630640826</v>
      </c>
      <c r="F689">
        <v>0.3852518652095579</v>
      </c>
      <c r="G689">
        <v>0.3039863571156195</v>
      </c>
      <c r="H689">
        <v>0.70049769186133759</v>
      </c>
      <c r="I689">
        <v>0.77758064296763763</v>
      </c>
      <c r="J689">
        <v>0.66323654197748894</v>
      </c>
      <c r="L689">
        <v>1.5771383395186769</v>
      </c>
      <c r="M689">
        <v>3.3570060992562856</v>
      </c>
      <c r="N689">
        <v>2.3716187036584713</v>
      </c>
      <c r="P689">
        <v>5.7548218143699473E-12</v>
      </c>
      <c r="R689">
        <v>4.7109570027700878</v>
      </c>
      <c r="S689">
        <v>4.7138939593144054</v>
      </c>
      <c r="T689">
        <v>1</v>
      </c>
      <c r="U689">
        <v>1.8121414309717145</v>
      </c>
    </row>
    <row r="690" spans="1:21">
      <c r="A690">
        <v>1.4870190710355187</v>
      </c>
      <c r="B690">
        <v>0.34736274266895756</v>
      </c>
      <c r="C690">
        <v>0.31697718256354335</v>
      </c>
      <c r="D690">
        <v>0</v>
      </c>
      <c r="E690">
        <v>0.16934461960701191</v>
      </c>
      <c r="F690">
        <v>1.9886044715745635E-2</v>
      </c>
      <c r="G690">
        <v>0.6198428342958292</v>
      </c>
      <c r="H690">
        <v>0.60560877979030914</v>
      </c>
      <c r="I690">
        <v>0.79263344794638857</v>
      </c>
      <c r="J690">
        <v>0.11957276939398413</v>
      </c>
      <c r="L690">
        <v>1.5771385137291682</v>
      </c>
      <c r="M690">
        <v>3.3570061067718315</v>
      </c>
      <c r="N690">
        <v>2.3716184251662904</v>
      </c>
      <c r="P690">
        <v>6.3510349797298445E-12</v>
      </c>
      <c r="R690">
        <v>4.7109570027700878</v>
      </c>
      <c r="S690">
        <v>4.7138939593144054</v>
      </c>
      <c r="T690">
        <v>1</v>
      </c>
      <c r="U690">
        <v>1.8121414309717145</v>
      </c>
    </row>
    <row r="691" spans="1:21">
      <c r="A691">
        <v>1.4921958819402212</v>
      </c>
      <c r="B691">
        <v>0.34963247651143103</v>
      </c>
      <c r="C691">
        <v>0.31905257880987409</v>
      </c>
      <c r="D691">
        <v>0</v>
      </c>
      <c r="E691">
        <v>0</v>
      </c>
      <c r="F691">
        <v>0.63545407749810823</v>
      </c>
      <c r="G691">
        <v>0.60173399851133191</v>
      </c>
      <c r="H691">
        <v>0.39759387367603599</v>
      </c>
      <c r="I691">
        <v>5.3878517276229193E-2</v>
      </c>
      <c r="J691">
        <v>0.10298673501016953</v>
      </c>
      <c r="L691">
        <v>1.577138497472361</v>
      </c>
      <c r="M691">
        <v>3.3570063119068467</v>
      </c>
      <c r="N691">
        <v>2.3716185751566439</v>
      </c>
      <c r="P691">
        <v>5.2354023354854842E-12</v>
      </c>
      <c r="R691">
        <v>4.7109570027700878</v>
      </c>
      <c r="S691">
        <v>4.7138939593144054</v>
      </c>
      <c r="T691">
        <v>1</v>
      </c>
      <c r="U691">
        <v>1.8121414309717145</v>
      </c>
    </row>
    <row r="692" spans="1:21">
      <c r="A692">
        <v>1.483556047010899</v>
      </c>
      <c r="B692">
        <v>0.33642952548889077</v>
      </c>
      <c r="C692">
        <v>0.30204053244672618</v>
      </c>
      <c r="D692">
        <v>0.48421555798279675</v>
      </c>
      <c r="E692">
        <v>6.0641578103056502E-2</v>
      </c>
      <c r="F692">
        <v>0</v>
      </c>
      <c r="G692">
        <v>0.951664715480395</v>
      </c>
      <c r="H692">
        <v>0.50088244579745211</v>
      </c>
      <c r="I692">
        <v>0.9922105974544001</v>
      </c>
      <c r="J692">
        <v>0.90596533080392072</v>
      </c>
      <c r="L692">
        <v>1.5771385160920717</v>
      </c>
      <c r="M692">
        <v>3.3570060774313402</v>
      </c>
      <c r="N692">
        <v>2.3716185179763549</v>
      </c>
      <c r="P692">
        <v>6.1260176193886806E-12</v>
      </c>
      <c r="R692">
        <v>4.7109570027700878</v>
      </c>
      <c r="S692">
        <v>4.7138939593144054</v>
      </c>
      <c r="T692">
        <v>1</v>
      </c>
      <c r="U692">
        <v>1.8121414309717145</v>
      </c>
    </row>
    <row r="693" spans="1:21">
      <c r="A693">
        <v>1.4914676340306854</v>
      </c>
      <c r="B693">
        <v>0.34080995287274513</v>
      </c>
      <c r="C693">
        <v>0.32838847893925022</v>
      </c>
      <c r="D693">
        <v>0</v>
      </c>
      <c r="E693">
        <v>0.39710436487845097</v>
      </c>
      <c r="F693">
        <v>0</v>
      </c>
      <c r="G693">
        <v>0.61292436711200127</v>
      </c>
      <c r="H693">
        <v>0.43385134489141219</v>
      </c>
      <c r="I693">
        <v>4.7080954456691693E-2</v>
      </c>
      <c r="J693">
        <v>0.63200429646753675</v>
      </c>
      <c r="L693">
        <v>1.5771383823914467</v>
      </c>
      <c r="M693">
        <v>3.3570061599581837</v>
      </c>
      <c r="N693">
        <v>2.3716186000858466</v>
      </c>
      <c r="P693">
        <v>5.8008925867048143E-12</v>
      </c>
      <c r="R693">
        <v>4.7109570027700878</v>
      </c>
      <c r="S693">
        <v>4.7138939593144054</v>
      </c>
      <c r="T693">
        <v>1</v>
      </c>
      <c r="U693">
        <v>1.8121414309717145</v>
      </c>
    </row>
    <row r="694" spans="1:21">
      <c r="A694">
        <v>1.4926332608596686</v>
      </c>
      <c r="B694">
        <v>0.34742439292056093</v>
      </c>
      <c r="C694">
        <v>0.32134007585256646</v>
      </c>
      <c r="D694">
        <v>0.27814810209213714</v>
      </c>
      <c r="E694">
        <v>0.67649733001041412</v>
      </c>
      <c r="F694">
        <v>0</v>
      </c>
      <c r="G694">
        <v>0.79251332918295447</v>
      </c>
      <c r="H694">
        <v>0.71918516438515823</v>
      </c>
      <c r="I694">
        <v>0.60424651559125087</v>
      </c>
      <c r="J694">
        <v>6.8458154750881302E-3</v>
      </c>
      <c r="L694">
        <v>1.5771382647137828</v>
      </c>
      <c r="M694">
        <v>3.3570057195459597</v>
      </c>
      <c r="N694">
        <v>2.3716195252124725</v>
      </c>
      <c r="P694">
        <v>5.5274223696015851E-12</v>
      </c>
      <c r="R694">
        <v>4.7109570027700878</v>
      </c>
      <c r="S694">
        <v>4.7138939593144054</v>
      </c>
      <c r="T694">
        <v>1</v>
      </c>
      <c r="U694">
        <v>1.8121414309717145</v>
      </c>
    </row>
    <row r="695" spans="1:21">
      <c r="A695">
        <v>1.4917545042374507</v>
      </c>
      <c r="B695">
        <v>0.34534354980730009</v>
      </c>
      <c r="C695">
        <v>0.32562714327095815</v>
      </c>
      <c r="D695">
        <v>3.38694420704286E-2</v>
      </c>
      <c r="E695">
        <v>0.46862957642887254</v>
      </c>
      <c r="F695">
        <v>4.384834599479584E-2</v>
      </c>
      <c r="G695">
        <v>0.60878709535359454</v>
      </c>
      <c r="H695">
        <v>0.51991645500940575</v>
      </c>
      <c r="I695">
        <v>0.2811661020943626</v>
      </c>
      <c r="J695">
        <v>0.23314643549456981</v>
      </c>
      <c r="L695">
        <v>1.5771383719156558</v>
      </c>
      <c r="M695">
        <v>3.3570060864954145</v>
      </c>
      <c r="N695">
        <v>2.3716186286668415</v>
      </c>
      <c r="P695">
        <v>5.9682095146936004E-12</v>
      </c>
      <c r="R695">
        <v>4.7109570027700878</v>
      </c>
      <c r="S695">
        <v>4.7138939593144054</v>
      </c>
      <c r="T695">
        <v>1</v>
      </c>
      <c r="U695">
        <v>1.8121414309717145</v>
      </c>
    </row>
    <row r="696" spans="1:21">
      <c r="A696">
        <v>1.4824993957472947</v>
      </c>
      <c r="B696">
        <v>0.33919304289354091</v>
      </c>
      <c r="C696">
        <v>0.32632206696756261</v>
      </c>
      <c r="D696">
        <v>6.001417055700551E-2</v>
      </c>
      <c r="E696">
        <v>0</v>
      </c>
      <c r="F696">
        <v>0</v>
      </c>
      <c r="G696">
        <v>9.3845533772089207E-2</v>
      </c>
      <c r="H696">
        <v>0.54261660620263119</v>
      </c>
      <c r="I696">
        <v>0.38383267909085</v>
      </c>
      <c r="J696">
        <v>0.86405958961138396</v>
      </c>
      <c r="L696">
        <v>1.5771386153419591</v>
      </c>
      <c r="M696">
        <v>3.3570061926557835</v>
      </c>
      <c r="N696">
        <v>2.3716186061763169</v>
      </c>
      <c r="P696">
        <v>5.3319521351011267E-12</v>
      </c>
      <c r="R696">
        <v>4.7109570027700878</v>
      </c>
      <c r="S696">
        <v>4.7138939593144054</v>
      </c>
      <c r="T696">
        <v>1</v>
      </c>
      <c r="U696">
        <v>1.8121414309717145</v>
      </c>
    </row>
    <row r="697" spans="1:21">
      <c r="A697">
        <v>1.4871614239330042</v>
      </c>
      <c r="B697">
        <v>0.34758076913377112</v>
      </c>
      <c r="C697">
        <v>0.33242135279581986</v>
      </c>
      <c r="D697">
        <v>0</v>
      </c>
      <c r="E697">
        <v>0.16925730417911791</v>
      </c>
      <c r="F697">
        <v>2.8425473853625378E-2</v>
      </c>
      <c r="G697">
        <v>0.26277660889081939</v>
      </c>
      <c r="H697">
        <v>0.86532048275172446</v>
      </c>
      <c r="I697">
        <v>0.42439867555058325</v>
      </c>
      <c r="J697">
        <v>0.29913045690651741</v>
      </c>
      <c r="L697">
        <v>1.5771383556236227</v>
      </c>
      <c r="M697">
        <v>3.3570061549442336</v>
      </c>
      <c r="N697">
        <v>2.3716186540820234</v>
      </c>
      <c r="P697">
        <v>5.6948859005104656E-12</v>
      </c>
      <c r="R697">
        <v>4.7109570027700878</v>
      </c>
      <c r="S697">
        <v>4.7138939593144054</v>
      </c>
      <c r="T697">
        <v>1</v>
      </c>
      <c r="U697">
        <v>1.8121414309717145</v>
      </c>
    </row>
    <row r="698" spans="1:21">
      <c r="A698">
        <v>1.4893907510539024</v>
      </c>
      <c r="B698">
        <v>0.34598432215693931</v>
      </c>
      <c r="C698">
        <v>0.31381760828886851</v>
      </c>
      <c r="D698">
        <v>0.78790844508501701</v>
      </c>
      <c r="E698">
        <v>0</v>
      </c>
      <c r="F698">
        <v>0</v>
      </c>
      <c r="G698">
        <v>0.77358161934567315</v>
      </c>
      <c r="H698">
        <v>0.98048658211917916</v>
      </c>
      <c r="I698">
        <v>0.42269338249056798</v>
      </c>
      <c r="J698">
        <v>7.4021070029367794E-2</v>
      </c>
      <c r="L698">
        <v>1.5771384141443032</v>
      </c>
      <c r="M698">
        <v>3.3570061192667735</v>
      </c>
      <c r="N698">
        <v>2.3716185578552733</v>
      </c>
      <c r="P698">
        <v>6.01450259393802E-12</v>
      </c>
      <c r="R698">
        <v>4.7109570027700878</v>
      </c>
      <c r="S698">
        <v>4.7138939593144054</v>
      </c>
      <c r="T698">
        <v>1</v>
      </c>
      <c r="U698">
        <v>1.8121414309717145</v>
      </c>
    </row>
    <row r="699" spans="1:21">
      <c r="A699">
        <v>1.4871283111160791</v>
      </c>
      <c r="B699">
        <v>0.33600066413800994</v>
      </c>
      <c r="C699">
        <v>0.30756067290128342</v>
      </c>
      <c r="D699">
        <v>0.41279120439730338</v>
      </c>
      <c r="E699">
        <v>0.85343238930866039</v>
      </c>
      <c r="F699">
        <v>0.10314687366127605</v>
      </c>
      <c r="G699">
        <v>0.70884108607558416</v>
      </c>
      <c r="H699">
        <v>0.18393808774194287</v>
      </c>
      <c r="I699">
        <v>0.91262791908711527</v>
      </c>
      <c r="J699">
        <v>0.7653209644957053</v>
      </c>
      <c r="L699">
        <v>1.577138381216139</v>
      </c>
      <c r="M699">
        <v>3.3570060991592463</v>
      </c>
      <c r="N699">
        <v>2.3716186232690419</v>
      </c>
      <c r="P699">
        <v>5.9269690363223521E-12</v>
      </c>
      <c r="R699">
        <v>4.7109570027700878</v>
      </c>
      <c r="S699">
        <v>4.7138939593144054</v>
      </c>
      <c r="T699">
        <v>1</v>
      </c>
      <c r="U699">
        <v>1.8121414309717145</v>
      </c>
    </row>
    <row r="700" spans="1:21">
      <c r="A700">
        <v>1.4844826839955294</v>
      </c>
      <c r="B700">
        <v>0.34053085026746854</v>
      </c>
      <c r="C700">
        <v>0.31168531968471092</v>
      </c>
      <c r="D700">
        <v>0.77406816803984757</v>
      </c>
      <c r="E700">
        <v>0</v>
      </c>
      <c r="F700">
        <v>0</v>
      </c>
      <c r="G700">
        <v>0.5781296840824709</v>
      </c>
      <c r="H700">
        <v>0.85762729938797289</v>
      </c>
      <c r="I700">
        <v>0.65290729359302957</v>
      </c>
      <c r="J700">
        <v>0.56428393551015388</v>
      </c>
      <c r="L700">
        <v>1.577138284525534</v>
      </c>
      <c r="M700">
        <v>3.3570060783297895</v>
      </c>
      <c r="N700">
        <v>2.3716188237110813</v>
      </c>
      <c r="P700">
        <v>5.5843461003333246E-12</v>
      </c>
      <c r="R700">
        <v>4.7109570027700878</v>
      </c>
      <c r="S700">
        <v>4.7138939593144054</v>
      </c>
      <c r="T700">
        <v>1</v>
      </c>
      <c r="U700">
        <v>1.8121414309717145</v>
      </c>
    </row>
    <row r="701" spans="1:21">
      <c r="A701">
        <v>1.4061526837421043</v>
      </c>
      <c r="B701">
        <v>0.26738901846868801</v>
      </c>
      <c r="C701">
        <v>0.25502756972650326</v>
      </c>
      <c r="D701">
        <v>0</v>
      </c>
      <c r="E701">
        <v>0</v>
      </c>
      <c r="F701">
        <v>0</v>
      </c>
      <c r="G701">
        <v>6.7417094438563849E-2</v>
      </c>
      <c r="H701">
        <v>0.3439664739993506</v>
      </c>
      <c r="I701">
        <v>9.0965480155610193E-2</v>
      </c>
      <c r="J701">
        <v>0.87790046945357292</v>
      </c>
      <c r="L701">
        <v>1.577140136352805</v>
      </c>
      <c r="M701">
        <v>4.0803838426237107</v>
      </c>
      <c r="N701">
        <v>0.90970286022770774</v>
      </c>
      <c r="P701">
        <v>3.7036151708703836E-12</v>
      </c>
      <c r="R701">
        <v>6.8149002161158894</v>
      </c>
      <c r="S701">
        <v>6.8287657968734292</v>
      </c>
      <c r="T701">
        <v>1</v>
      </c>
      <c r="U701">
        <v>1.7012278344373197</v>
      </c>
    </row>
    <row r="702" spans="1:21">
      <c r="A702">
        <v>1.400273235517167</v>
      </c>
      <c r="B702">
        <v>0.29513021802384187</v>
      </c>
      <c r="C702">
        <v>0.20449689550658254</v>
      </c>
      <c r="D702">
        <v>0.59886327454440835</v>
      </c>
      <c r="E702">
        <v>2.1045356298284072E-2</v>
      </c>
      <c r="F702">
        <v>0.86543104870078691</v>
      </c>
      <c r="G702">
        <v>0.17529873091971426</v>
      </c>
      <c r="H702">
        <v>0.60178485314864039</v>
      </c>
      <c r="I702">
        <v>0.7638740213332883</v>
      </c>
      <c r="J702">
        <v>0.32471534936801338</v>
      </c>
      <c r="L702">
        <v>1.577140058501789</v>
      </c>
      <c r="M702">
        <v>4.0803840650733001</v>
      </c>
      <c r="N702">
        <v>0.90970293818592962</v>
      </c>
      <c r="P702">
        <v>3.0778199377291051E-12</v>
      </c>
      <c r="R702">
        <v>6.8149002161158894</v>
      </c>
      <c r="S702">
        <v>6.8287657968734292</v>
      </c>
      <c r="T702">
        <v>1</v>
      </c>
      <c r="U702">
        <v>1.7012278344373197</v>
      </c>
    </row>
    <row r="703" spans="1:21">
      <c r="A703">
        <v>1.4105372268653391</v>
      </c>
      <c r="B703">
        <v>0.27822312175021041</v>
      </c>
      <c r="C703">
        <v>0.22962539491489622</v>
      </c>
      <c r="D703">
        <v>0</v>
      </c>
      <c r="E703">
        <v>0</v>
      </c>
      <c r="F703">
        <v>0</v>
      </c>
      <c r="G703">
        <v>0.90839486859499519</v>
      </c>
      <c r="H703">
        <v>0.2513487720814559</v>
      </c>
      <c r="I703">
        <v>0.11406616325673381</v>
      </c>
      <c r="J703">
        <v>0.91655609796731818</v>
      </c>
      <c r="L703">
        <v>1.577140196038088</v>
      </c>
      <c r="M703">
        <v>4.0803840380272636</v>
      </c>
      <c r="N703">
        <v>0.9097028081993962</v>
      </c>
      <c r="P703">
        <v>3.1824040730055696E-12</v>
      </c>
      <c r="R703">
        <v>6.8149002161158894</v>
      </c>
      <c r="S703">
        <v>6.8287657968734292</v>
      </c>
      <c r="T703">
        <v>1</v>
      </c>
      <c r="U703">
        <v>1.7012278344373197</v>
      </c>
    </row>
    <row r="704" spans="1:21">
      <c r="A704">
        <v>1.4066050145738942</v>
      </c>
      <c r="B704">
        <v>0.29311370276916127</v>
      </c>
      <c r="C704">
        <v>0.2064914994529303</v>
      </c>
      <c r="D704">
        <v>0</v>
      </c>
      <c r="E704">
        <v>0.18207459860154002</v>
      </c>
      <c r="F704">
        <v>0.26486241531289884</v>
      </c>
      <c r="G704">
        <v>0.5634780882482322</v>
      </c>
      <c r="H704">
        <v>2.2880089151501963E-2</v>
      </c>
      <c r="I704">
        <v>0.38751640793400727</v>
      </c>
      <c r="J704">
        <v>0.2162335340613401</v>
      </c>
      <c r="L704">
        <v>1.5771399435501525</v>
      </c>
      <c r="M704">
        <v>4.0803840613790703</v>
      </c>
      <c r="N704">
        <v>0.90970305585647004</v>
      </c>
      <c r="P704">
        <v>3.1314283015026563E-12</v>
      </c>
      <c r="R704">
        <v>6.8149002161158894</v>
      </c>
      <c r="S704">
        <v>6.8287657968734292</v>
      </c>
      <c r="T704">
        <v>1</v>
      </c>
      <c r="U704">
        <v>1.7012278344373197</v>
      </c>
    </row>
    <row r="705" spans="1:21">
      <c r="A705">
        <v>1.4062350024699881</v>
      </c>
      <c r="B705">
        <v>0.28651891093796078</v>
      </c>
      <c r="C705">
        <v>0.22131482818388415</v>
      </c>
      <c r="D705">
        <v>0</v>
      </c>
      <c r="E705">
        <v>0.33224995580054817</v>
      </c>
      <c r="F705">
        <v>0</v>
      </c>
      <c r="G705">
        <v>0.25659681364507808</v>
      </c>
      <c r="H705">
        <v>6.2531211407701667E-2</v>
      </c>
      <c r="I705">
        <v>0.33572026808046473</v>
      </c>
      <c r="J705">
        <v>0.13459978736352887</v>
      </c>
      <c r="L705">
        <v>1.577139319845176</v>
      </c>
      <c r="M705">
        <v>4.0803852938287415</v>
      </c>
      <c r="N705">
        <v>0.90970220958270187</v>
      </c>
      <c r="P705">
        <v>2.9119542109848175E-14</v>
      </c>
      <c r="R705">
        <v>6.8149002161158894</v>
      </c>
      <c r="S705">
        <v>6.8287657968734292</v>
      </c>
      <c r="T705">
        <v>1</v>
      </c>
      <c r="U705">
        <v>1.7012278344373197</v>
      </c>
    </row>
    <row r="706" spans="1:21">
      <c r="A706">
        <v>1.401986041054408</v>
      </c>
      <c r="B706">
        <v>0.27468361164975175</v>
      </c>
      <c r="C706">
        <v>0.24276039489033138</v>
      </c>
      <c r="D706">
        <v>0</v>
      </c>
      <c r="E706">
        <v>0.35158129852005021</v>
      </c>
      <c r="F706">
        <v>0.14189764834399152</v>
      </c>
      <c r="G706">
        <v>0.23376749668475502</v>
      </c>
      <c r="H706">
        <v>0.62405623673710264</v>
      </c>
      <c r="I706">
        <v>0.89184569116924517</v>
      </c>
      <c r="J706">
        <v>0.80795402974667085</v>
      </c>
      <c r="L706">
        <v>1.5771403232716545</v>
      </c>
      <c r="M706">
        <v>4.0803840304563739</v>
      </c>
      <c r="N706">
        <v>0.90970255748406503</v>
      </c>
      <c r="P706">
        <v>3.1533168120517024E-12</v>
      </c>
      <c r="R706">
        <v>6.8149002161158894</v>
      </c>
      <c r="S706">
        <v>6.8287657968734292</v>
      </c>
      <c r="T706">
        <v>1</v>
      </c>
      <c r="U706">
        <v>1.7012278344373197</v>
      </c>
    </row>
    <row r="707" spans="1:21">
      <c r="A707">
        <v>1.403598205761885</v>
      </c>
      <c r="B707">
        <v>0.29537510530463501</v>
      </c>
      <c r="C707">
        <v>0.20371437391517846</v>
      </c>
      <c r="D707">
        <v>0.32708817540833168</v>
      </c>
      <c r="E707">
        <v>0</v>
      </c>
      <c r="F707">
        <v>0</v>
      </c>
      <c r="G707">
        <v>0.78596910975378675</v>
      </c>
      <c r="H707">
        <v>0.64449659488443289</v>
      </c>
      <c r="I707">
        <v>0.77193037147455212</v>
      </c>
      <c r="J707">
        <v>0.13969331393843937</v>
      </c>
      <c r="L707">
        <v>1.5771400283650012</v>
      </c>
      <c r="M707">
        <v>4.0803840842006691</v>
      </c>
      <c r="N707">
        <v>0.90970297532017697</v>
      </c>
      <c r="P707">
        <v>3.0466185195336566E-12</v>
      </c>
      <c r="R707">
        <v>6.8149002161158894</v>
      </c>
      <c r="S707">
        <v>6.8287657968734292</v>
      </c>
      <c r="T707">
        <v>1</v>
      </c>
      <c r="U707">
        <v>1.7012278344373197</v>
      </c>
    </row>
    <row r="708" spans="1:21">
      <c r="A708">
        <v>1.4062901928548353</v>
      </c>
      <c r="B708">
        <v>0.28289107987336193</v>
      </c>
      <c r="C708">
        <v>0.24430648269548746</v>
      </c>
      <c r="D708">
        <v>0</v>
      </c>
      <c r="E708">
        <v>0.25208469787713117</v>
      </c>
      <c r="F708">
        <v>0</v>
      </c>
      <c r="G708">
        <v>0.10472738700577572</v>
      </c>
      <c r="H708">
        <v>0.60700643146700251</v>
      </c>
      <c r="I708">
        <v>0.14155073394422826</v>
      </c>
      <c r="J708">
        <v>0.12045372347556496</v>
      </c>
      <c r="L708">
        <v>1.5771402457101189</v>
      </c>
      <c r="M708">
        <v>4.0803839429607551</v>
      </c>
      <c r="N708">
        <v>0.90970270495952243</v>
      </c>
      <c r="P708">
        <v>3.3965228650916592E-12</v>
      </c>
      <c r="R708">
        <v>6.8149002161158894</v>
      </c>
      <c r="S708">
        <v>6.8287657968734292</v>
      </c>
      <c r="T708">
        <v>1</v>
      </c>
      <c r="U708">
        <v>1.7012278344373197</v>
      </c>
    </row>
    <row r="709" spans="1:21">
      <c r="A709">
        <v>1.4081264282520944</v>
      </c>
      <c r="B709">
        <v>0.29476964181517623</v>
      </c>
      <c r="C709">
        <v>0.2243498387002946</v>
      </c>
      <c r="D709">
        <v>0</v>
      </c>
      <c r="E709">
        <v>0.26603271667476291</v>
      </c>
      <c r="F709">
        <v>0.69600886766438552</v>
      </c>
      <c r="G709">
        <v>0.80086692943561011</v>
      </c>
      <c r="H709">
        <v>0.80947497334886442</v>
      </c>
      <c r="I709">
        <v>0.35305272675198346</v>
      </c>
      <c r="J709">
        <v>0.45227689207603478</v>
      </c>
      <c r="L709">
        <v>1.5771399633305683</v>
      </c>
      <c r="M709">
        <v>4.0803840454038669</v>
      </c>
      <c r="N709">
        <v>0.90970304711699701</v>
      </c>
      <c r="P709">
        <v>3.1838696529130806E-12</v>
      </c>
      <c r="R709">
        <v>6.8149002161158894</v>
      </c>
      <c r="S709">
        <v>6.8287657968734292</v>
      </c>
      <c r="T709">
        <v>1</v>
      </c>
      <c r="U709">
        <v>1.7012278344373197</v>
      </c>
    </row>
    <row r="710" spans="1:21">
      <c r="A710">
        <v>1.4037408653366859</v>
      </c>
      <c r="B710">
        <v>0.28908639510761847</v>
      </c>
      <c r="C710">
        <v>0.21397328458199066</v>
      </c>
      <c r="D710">
        <v>0</v>
      </c>
      <c r="E710">
        <v>0</v>
      </c>
      <c r="F710">
        <v>0.36394660593110673</v>
      </c>
      <c r="G710">
        <v>0.80081371694470982</v>
      </c>
      <c r="H710">
        <v>0.51609782904716062</v>
      </c>
      <c r="I710">
        <v>0.79541482770792615</v>
      </c>
      <c r="J710">
        <v>0.66379801608130518</v>
      </c>
      <c r="L710">
        <v>1.5771401242186085</v>
      </c>
      <c r="M710">
        <v>4.0803839302524798</v>
      </c>
      <c r="N710">
        <v>0.90970285586440014</v>
      </c>
      <c r="P710">
        <v>3.4182875724225688E-12</v>
      </c>
      <c r="R710">
        <v>6.8149002161158894</v>
      </c>
      <c r="S710">
        <v>6.8287657968734292</v>
      </c>
      <c r="T710">
        <v>1</v>
      </c>
      <c r="U710">
        <v>1.7012278344373197</v>
      </c>
    </row>
    <row r="711" spans="1:21">
      <c r="A711">
        <v>1.40543617304698</v>
      </c>
      <c r="B711">
        <v>0.27369162934639651</v>
      </c>
      <c r="C711">
        <v>0.24841959156918073</v>
      </c>
      <c r="D711">
        <v>9.9943581814812676E-3</v>
      </c>
      <c r="E711">
        <v>0</v>
      </c>
      <c r="F711">
        <v>0</v>
      </c>
      <c r="G711">
        <v>0.28900672693183099</v>
      </c>
      <c r="H711">
        <v>0.59816670178114306</v>
      </c>
      <c r="I711">
        <v>0.28777388994982606</v>
      </c>
      <c r="J711">
        <v>0.73180219663397017</v>
      </c>
      <c r="L711">
        <v>1.5771400744388653</v>
      </c>
      <c r="M711">
        <v>4.080383979471085</v>
      </c>
      <c r="N711">
        <v>0.90970295902366261</v>
      </c>
      <c r="P711">
        <v>3.3684391062369216E-12</v>
      </c>
      <c r="R711">
        <v>6.8149002161158894</v>
      </c>
      <c r="S711">
        <v>6.8287657968734292</v>
      </c>
      <c r="T711">
        <v>1</v>
      </c>
      <c r="U711">
        <v>1.7012278344373197</v>
      </c>
    </row>
    <row r="712" spans="1:21">
      <c r="A712">
        <v>1.4085720345903159</v>
      </c>
      <c r="B712">
        <v>0.28561095122953928</v>
      </c>
      <c r="C712">
        <v>0.21525160797760884</v>
      </c>
      <c r="D712">
        <v>0</v>
      </c>
      <c r="E712">
        <v>0.38999807921311863</v>
      </c>
      <c r="F712">
        <v>0</v>
      </c>
      <c r="G712">
        <v>1.0025915558812577</v>
      </c>
      <c r="H712">
        <v>0.24985694001336534</v>
      </c>
      <c r="I712">
        <v>0.63128404039078445</v>
      </c>
      <c r="J712">
        <v>0.68045850320627521</v>
      </c>
      <c r="L712">
        <v>1.5771401623153842</v>
      </c>
      <c r="M712">
        <v>4.0803839096687593</v>
      </c>
      <c r="N712">
        <v>0.90970280994702057</v>
      </c>
      <c r="P712">
        <v>3.4757097260031966E-12</v>
      </c>
      <c r="R712">
        <v>6.8149002161158894</v>
      </c>
      <c r="S712">
        <v>6.8287657968734292</v>
      </c>
      <c r="T712">
        <v>1</v>
      </c>
      <c r="U712">
        <v>1.7012278344373197</v>
      </c>
    </row>
    <row r="713" spans="1:21">
      <c r="A713">
        <v>1.4031878986106334</v>
      </c>
      <c r="B713">
        <v>0.2791112900170748</v>
      </c>
      <c r="C713">
        <v>0.22434241405571348</v>
      </c>
      <c r="D713">
        <v>0</v>
      </c>
      <c r="E713">
        <v>0</v>
      </c>
      <c r="F713">
        <v>0.21350322661631319</v>
      </c>
      <c r="G713">
        <v>0.410067913360674</v>
      </c>
      <c r="H713">
        <v>0.20683528154228947</v>
      </c>
      <c r="I713">
        <v>0.65869840142583258</v>
      </c>
      <c r="J713">
        <v>0.8004664546311947</v>
      </c>
      <c r="L713">
        <v>1.577140080296048</v>
      </c>
      <c r="M713">
        <v>4.0803840154930624</v>
      </c>
      <c r="N713">
        <v>0.90970293738037766</v>
      </c>
      <c r="P713">
        <v>3.2425509946589403E-12</v>
      </c>
      <c r="R713">
        <v>6.8149002161158894</v>
      </c>
      <c r="S713">
        <v>6.8287657968734292</v>
      </c>
      <c r="T713">
        <v>1</v>
      </c>
      <c r="U713">
        <v>1.7012278344373197</v>
      </c>
    </row>
    <row r="714" spans="1:21">
      <c r="A714">
        <v>1.4060699201100086</v>
      </c>
      <c r="B714">
        <v>0.29431943158130763</v>
      </c>
      <c r="C714">
        <v>0.2031296553251534</v>
      </c>
      <c r="D714">
        <v>0.80723741277745586</v>
      </c>
      <c r="E714">
        <v>0</v>
      </c>
      <c r="F714">
        <v>0.48825072373340783</v>
      </c>
      <c r="G714">
        <v>0.62105625438992784</v>
      </c>
      <c r="H714">
        <v>0.63254006855178391</v>
      </c>
      <c r="I714">
        <v>0.3745380131276122</v>
      </c>
      <c r="J714">
        <v>0.35315808113236891</v>
      </c>
      <c r="L714">
        <v>1.5771400441717758</v>
      </c>
      <c r="M714">
        <v>4.0803840549773884</v>
      </c>
      <c r="N714">
        <v>0.90970296132556072</v>
      </c>
      <c r="P714">
        <v>3.1215016474398741E-12</v>
      </c>
      <c r="R714">
        <v>6.8149002161158894</v>
      </c>
      <c r="S714">
        <v>6.8287657968734292</v>
      </c>
      <c r="T714">
        <v>1</v>
      </c>
      <c r="U714">
        <v>1.7012278344373197</v>
      </c>
    </row>
    <row r="715" spans="1:21">
      <c r="A715">
        <v>1.4065172073860772</v>
      </c>
      <c r="B715">
        <v>0.29198561770998283</v>
      </c>
      <c r="C715">
        <v>0.21001797089560265</v>
      </c>
      <c r="D715">
        <v>0</v>
      </c>
      <c r="E715">
        <v>0</v>
      </c>
      <c r="F715">
        <v>0.61278538042845232</v>
      </c>
      <c r="G715">
        <v>0.87822665228933428</v>
      </c>
      <c r="H715">
        <v>0.36234839940079017</v>
      </c>
      <c r="I715">
        <v>0.49988397018679837</v>
      </c>
      <c r="J715">
        <v>0.69156906315789102</v>
      </c>
      <c r="L715">
        <v>1.5771399423024259</v>
      </c>
      <c r="M715">
        <v>4.0803840661763742</v>
      </c>
      <c r="N715">
        <v>0.90970306037852744</v>
      </c>
      <c r="P715">
        <v>3.1262639922358351E-12</v>
      </c>
      <c r="R715">
        <v>6.8149002161158894</v>
      </c>
      <c r="S715">
        <v>6.8287657968734292</v>
      </c>
      <c r="T715">
        <v>1</v>
      </c>
      <c r="U715">
        <v>1.7012278344373197</v>
      </c>
    </row>
    <row r="716" spans="1:21">
      <c r="A716">
        <v>1.4074426133913858</v>
      </c>
      <c r="B716">
        <v>0.28694681270934436</v>
      </c>
      <c r="C716">
        <v>0.22825719963878444</v>
      </c>
      <c r="D716">
        <v>0</v>
      </c>
      <c r="E716">
        <v>0.41335127040595526</v>
      </c>
      <c r="F716">
        <v>0</v>
      </c>
      <c r="G716">
        <v>0.24649896646495226</v>
      </c>
      <c r="H716">
        <v>0.2345610485492676</v>
      </c>
      <c r="I716">
        <v>0.21080525317359455</v>
      </c>
      <c r="J716">
        <v>5.4901627102106283E-2</v>
      </c>
      <c r="L716">
        <v>1.577140137661144</v>
      </c>
      <c r="M716">
        <v>4.0803840127519821</v>
      </c>
      <c r="N716">
        <v>0.90970287052433907</v>
      </c>
      <c r="P716">
        <v>3.2376200954660924E-12</v>
      </c>
      <c r="R716">
        <v>6.8149002161158894</v>
      </c>
      <c r="S716">
        <v>6.8287657968734292</v>
      </c>
      <c r="T716">
        <v>1</v>
      </c>
      <c r="U716">
        <v>1.7012278344373197</v>
      </c>
    </row>
    <row r="717" spans="1:21">
      <c r="A717">
        <v>1.4044484492217908</v>
      </c>
      <c r="B717">
        <v>0.27814759230021974</v>
      </c>
      <c r="C717">
        <v>0.24424998730261707</v>
      </c>
      <c r="D717">
        <v>0.42594689477125425</v>
      </c>
      <c r="E717">
        <v>0.19206099859649867</v>
      </c>
      <c r="F717">
        <v>0</v>
      </c>
      <c r="G717">
        <v>0.22604747551380469</v>
      </c>
      <c r="H717">
        <v>0.95460157112960187</v>
      </c>
      <c r="I717">
        <v>0.45335379344934268</v>
      </c>
      <c r="J717">
        <v>0.48478730685022536</v>
      </c>
      <c r="L717">
        <v>1.5771400916319647</v>
      </c>
      <c r="M717">
        <v>4.0803840539555853</v>
      </c>
      <c r="N717">
        <v>0.90970294126722806</v>
      </c>
      <c r="P717">
        <v>3.167077817209068E-12</v>
      </c>
      <c r="R717">
        <v>6.8149002161158894</v>
      </c>
      <c r="S717">
        <v>6.8287657968734292</v>
      </c>
      <c r="T717">
        <v>1</v>
      </c>
      <c r="U717">
        <v>1.7012278344373197</v>
      </c>
    </row>
    <row r="718" spans="1:21">
      <c r="A718">
        <v>1.4076692494604317</v>
      </c>
      <c r="B718">
        <v>0.2864582038658815</v>
      </c>
      <c r="C718">
        <v>0.22751045845714224</v>
      </c>
      <c r="D718">
        <v>0.56294016925826817</v>
      </c>
      <c r="E718">
        <v>0</v>
      </c>
      <c r="F718">
        <v>0</v>
      </c>
      <c r="G718">
        <v>0.59684010284803513</v>
      </c>
      <c r="H718">
        <v>0.87132243654681707</v>
      </c>
      <c r="I718">
        <v>0.17044265095597957</v>
      </c>
      <c r="J718">
        <v>0.31831038310012849</v>
      </c>
      <c r="L718">
        <v>1.5771400889240703</v>
      </c>
      <c r="M718">
        <v>4.0803839898141279</v>
      </c>
      <c r="N718">
        <v>0.90970292680464471</v>
      </c>
      <c r="P718">
        <v>3.3081367036846738E-12</v>
      </c>
      <c r="R718">
        <v>6.8149002161158894</v>
      </c>
      <c r="S718">
        <v>6.8287657968734292</v>
      </c>
      <c r="T718">
        <v>1</v>
      </c>
      <c r="U718">
        <v>1.7012278344373197</v>
      </c>
    </row>
    <row r="719" spans="1:21">
      <c r="A719">
        <v>1.4005287182772155</v>
      </c>
      <c r="B719">
        <v>0.27461148288457665</v>
      </c>
      <c r="C719">
        <v>0.23113553488491315</v>
      </c>
      <c r="D719">
        <v>9.1325531344747038E-2</v>
      </c>
      <c r="E719">
        <v>0</v>
      </c>
      <c r="F719">
        <v>0.16857922069083339</v>
      </c>
      <c r="G719">
        <v>8.1593337149905479E-2</v>
      </c>
      <c r="H719">
        <v>0.25422053383758525</v>
      </c>
      <c r="I719">
        <v>0.77479297302036865</v>
      </c>
      <c r="J719">
        <v>0.80043818206109019</v>
      </c>
      <c r="L719">
        <v>1.5771399953199134</v>
      </c>
      <c r="M719">
        <v>4.080384023456495</v>
      </c>
      <c r="N719">
        <v>0.90970302637127443</v>
      </c>
      <c r="P719">
        <v>3.2486859588341121E-12</v>
      </c>
      <c r="R719">
        <v>6.8149002161158894</v>
      </c>
      <c r="S719">
        <v>6.8287657968734292</v>
      </c>
      <c r="T719">
        <v>1</v>
      </c>
      <c r="U719">
        <v>1.7012278344373197</v>
      </c>
    </row>
    <row r="720" spans="1:21">
      <c r="A720">
        <v>1.409948401184373</v>
      </c>
      <c r="B720">
        <v>0.28171404764663061</v>
      </c>
      <c r="C720">
        <v>0.23494391274491372</v>
      </c>
      <c r="D720">
        <v>0.24962055284460921</v>
      </c>
      <c r="E720">
        <v>0.25781312502098003</v>
      </c>
      <c r="F720">
        <v>0.23335847300592105</v>
      </c>
      <c r="G720">
        <v>0.55479090005696219</v>
      </c>
      <c r="H720">
        <v>0.52113533785163391</v>
      </c>
      <c r="I720">
        <v>5.5123390492222077E-2</v>
      </c>
      <c r="J720">
        <v>0.62024846133021605</v>
      </c>
      <c r="L720">
        <v>1.5771399887211033</v>
      </c>
      <c r="M720">
        <v>4.0803840147980504</v>
      </c>
      <c r="N720">
        <v>0.90970303940333697</v>
      </c>
      <c r="P720">
        <v>3.2870074959717806E-12</v>
      </c>
      <c r="R720">
        <v>6.8149002161158894</v>
      </c>
      <c r="S720">
        <v>6.8287657968734292</v>
      </c>
      <c r="T720">
        <v>1</v>
      </c>
      <c r="U720">
        <v>1.7012278344373197</v>
      </c>
    </row>
    <row r="721" spans="1:21">
      <c r="A721">
        <v>1.4025766274727687</v>
      </c>
      <c r="B721">
        <v>0.29022615937640106</v>
      </c>
      <c r="C721">
        <v>0.21155580800496077</v>
      </c>
      <c r="D721">
        <v>0</v>
      </c>
      <c r="E721">
        <v>0</v>
      </c>
      <c r="F721">
        <v>0.69983598819593351</v>
      </c>
      <c r="G721">
        <v>0.133214511608724</v>
      </c>
      <c r="H721">
        <v>1.8940403912973646E-2</v>
      </c>
      <c r="I721">
        <v>0.47232134065622061</v>
      </c>
      <c r="J721">
        <v>0.38830805510180039</v>
      </c>
      <c r="L721">
        <v>1.5771400224354579</v>
      </c>
      <c r="M721">
        <v>4.0803840445310318</v>
      </c>
      <c r="N721">
        <v>0.90970298449356068</v>
      </c>
      <c r="P721">
        <v>3.1562339551378822E-12</v>
      </c>
      <c r="R721">
        <v>6.8149002161158894</v>
      </c>
      <c r="S721">
        <v>6.8287657968734292</v>
      </c>
      <c r="T721">
        <v>1</v>
      </c>
      <c r="U721">
        <v>1.7012278344373197</v>
      </c>
    </row>
    <row r="722" spans="1:21">
      <c r="A722">
        <v>1.4090962648260097</v>
      </c>
      <c r="B722">
        <v>0.29703025568070807</v>
      </c>
      <c r="C722">
        <v>0.21344714749030944</v>
      </c>
      <c r="D722">
        <v>0.52666057289508506</v>
      </c>
      <c r="E722">
        <v>0.34223652240797453</v>
      </c>
      <c r="F722">
        <v>0.1965104997557392</v>
      </c>
      <c r="G722">
        <v>0.97160399416141152</v>
      </c>
      <c r="H722">
        <v>0.97318382844984808</v>
      </c>
      <c r="I722">
        <v>0.41255807034292519</v>
      </c>
      <c r="J722">
        <v>0.17100216947303926</v>
      </c>
      <c r="L722">
        <v>1.5771400454913098</v>
      </c>
      <c r="M722">
        <v>4.0803840722500411</v>
      </c>
      <c r="N722">
        <v>0.90970296746582446</v>
      </c>
      <c r="P722">
        <v>3.0900960329747526E-12</v>
      </c>
      <c r="R722">
        <v>6.8149002161158894</v>
      </c>
      <c r="S722">
        <v>6.8287657968734292</v>
      </c>
      <c r="T722">
        <v>1</v>
      </c>
      <c r="U722">
        <v>1.7012278344373197</v>
      </c>
    </row>
    <row r="723" spans="1:21">
      <c r="A723">
        <v>1.3997970375593458</v>
      </c>
      <c r="B723">
        <v>0.29608217152362859</v>
      </c>
      <c r="C723">
        <v>0.20161128978779597</v>
      </c>
      <c r="D723">
        <v>0.60317071252086996</v>
      </c>
      <c r="E723">
        <v>0</v>
      </c>
      <c r="F723">
        <v>0.30419965059844623</v>
      </c>
      <c r="G723">
        <v>0.256499941408103</v>
      </c>
      <c r="H723">
        <v>0.63907527908424999</v>
      </c>
      <c r="I723">
        <v>0.86267653124134469</v>
      </c>
      <c r="J723">
        <v>0</v>
      </c>
      <c r="L723">
        <v>1.577138654165205</v>
      </c>
      <c r="M723">
        <v>4.0803831530436181</v>
      </c>
      <c r="N723">
        <v>0.90970262753211051</v>
      </c>
      <c r="P723">
        <v>5.4952011238207144E-12</v>
      </c>
      <c r="R723">
        <v>6.8149002161158894</v>
      </c>
      <c r="S723">
        <v>6.8287657968734292</v>
      </c>
      <c r="T723">
        <v>1</v>
      </c>
      <c r="U723">
        <v>1.7012278344373197</v>
      </c>
    </row>
    <row r="724" spans="1:21">
      <c r="A724">
        <v>1.4079816228500002</v>
      </c>
      <c r="B724">
        <v>0.28733697661656915</v>
      </c>
      <c r="C724">
        <v>0.22465411914418984</v>
      </c>
      <c r="D724">
        <v>0</v>
      </c>
      <c r="E724">
        <v>2.7424130190115498E-2</v>
      </c>
      <c r="F724">
        <v>0</v>
      </c>
      <c r="G724">
        <v>0.52666132006952271</v>
      </c>
      <c r="H724">
        <v>0.31064545323486725</v>
      </c>
      <c r="I724">
        <v>0.10206207962008669</v>
      </c>
      <c r="J724">
        <v>0.23197656536624783</v>
      </c>
      <c r="L724">
        <v>1.5771400574688088</v>
      </c>
      <c r="M724">
        <v>4.0803840282618484</v>
      </c>
      <c r="N724">
        <v>0.90970296301562115</v>
      </c>
      <c r="P724">
        <v>3.216040469390805E-12</v>
      </c>
      <c r="R724">
        <v>6.8149002161158894</v>
      </c>
      <c r="S724">
        <v>6.8287657968734292</v>
      </c>
      <c r="T724">
        <v>1</v>
      </c>
      <c r="U724">
        <v>1.7012278344373197</v>
      </c>
    </row>
    <row r="725" spans="1:21">
      <c r="A725">
        <v>1.4017119323398486</v>
      </c>
      <c r="B725">
        <v>0.29210727796865654</v>
      </c>
      <c r="C725">
        <v>0.21098022906911124</v>
      </c>
      <c r="D725">
        <v>0.26701835247608663</v>
      </c>
      <c r="E725">
        <v>0</v>
      </c>
      <c r="F725">
        <v>0</v>
      </c>
      <c r="G725">
        <v>0.75672319049874404</v>
      </c>
      <c r="H725">
        <v>0.83371796158883549</v>
      </c>
      <c r="I725">
        <v>0.98780695505706606</v>
      </c>
      <c r="J725">
        <v>0.29046086441613628</v>
      </c>
      <c r="L725">
        <v>1.5771400105055084</v>
      </c>
      <c r="M725">
        <v>4.0803840628611772</v>
      </c>
      <c r="N725">
        <v>0.90970299474689442</v>
      </c>
      <c r="P725">
        <v>3.109045873887102E-12</v>
      </c>
      <c r="R725">
        <v>6.8149002161158894</v>
      </c>
      <c r="S725">
        <v>6.8287657968734292</v>
      </c>
      <c r="T725">
        <v>1</v>
      </c>
      <c r="U725">
        <v>1.7012278344373197</v>
      </c>
    </row>
    <row r="726" spans="1:21">
      <c r="A726">
        <v>1.4112778048131214</v>
      </c>
      <c r="B726">
        <v>0.27815671800285729</v>
      </c>
      <c r="C726">
        <v>0.24996538300473392</v>
      </c>
      <c r="D726">
        <v>0.17886815449665319</v>
      </c>
      <c r="E726">
        <v>0.60298583574585574</v>
      </c>
      <c r="F726">
        <v>0.5217850696353683</v>
      </c>
      <c r="G726">
        <v>0.57375004689113507</v>
      </c>
      <c r="H726">
        <v>0.78243904066472947</v>
      </c>
      <c r="I726">
        <v>0.11687182695572758</v>
      </c>
      <c r="J726">
        <v>0.91426378507347283</v>
      </c>
      <c r="L726">
        <v>1.5771401233236477</v>
      </c>
      <c r="M726">
        <v>4.080384038802916</v>
      </c>
      <c r="N726">
        <v>0.90970291657115643</v>
      </c>
      <c r="P726">
        <v>3.2189869749509674E-12</v>
      </c>
      <c r="R726">
        <v>6.8149002161158894</v>
      </c>
      <c r="S726">
        <v>6.8287657968734292</v>
      </c>
      <c r="T726">
        <v>1</v>
      </c>
      <c r="U726">
        <v>1.7012278344373197</v>
      </c>
    </row>
    <row r="727" spans="1:21">
      <c r="A727">
        <v>1.4070263926382924</v>
      </c>
      <c r="B727">
        <v>0.28482522546814254</v>
      </c>
      <c r="C727">
        <v>0.23370318182714361</v>
      </c>
      <c r="D727">
        <v>0</v>
      </c>
      <c r="E727">
        <v>0.53453718278415607</v>
      </c>
      <c r="F727">
        <v>0</v>
      </c>
      <c r="G727">
        <v>0.47105500035082648</v>
      </c>
      <c r="H727">
        <v>0.55234177499356352</v>
      </c>
      <c r="I727">
        <v>0.4957877457066398</v>
      </c>
      <c r="J727">
        <v>0.30211064430890411</v>
      </c>
      <c r="L727">
        <v>1.5771402088689939</v>
      </c>
      <c r="M727">
        <v>4.080383832016186</v>
      </c>
      <c r="N727">
        <v>0.90970271842460293</v>
      </c>
      <c r="P727">
        <v>3.6663181317804271E-12</v>
      </c>
      <c r="R727">
        <v>6.8149002161158894</v>
      </c>
      <c r="S727">
        <v>6.8287657968734292</v>
      </c>
      <c r="T727">
        <v>1</v>
      </c>
      <c r="U727">
        <v>1.7012278344373197</v>
      </c>
    </row>
    <row r="728" spans="1:21">
      <c r="A728">
        <v>1.4055039430054732</v>
      </c>
      <c r="B728">
        <v>0.29740105283743257</v>
      </c>
      <c r="C728">
        <v>0.20486841797529851</v>
      </c>
      <c r="D728">
        <v>0</v>
      </c>
      <c r="E728">
        <v>0.27963888055505276</v>
      </c>
      <c r="F728">
        <v>5.6362827621802723E-3</v>
      </c>
      <c r="G728">
        <v>0.84829871708848559</v>
      </c>
      <c r="H728">
        <v>0.44324023771815435</v>
      </c>
      <c r="I728">
        <v>0.74011507979169744</v>
      </c>
      <c r="J728">
        <v>4.2706791870691964E-2</v>
      </c>
      <c r="L728">
        <v>1.5771400213329432</v>
      </c>
      <c r="M728">
        <v>4.0803840582652073</v>
      </c>
      <c r="N728">
        <v>0.90970298102756419</v>
      </c>
      <c r="P728">
        <v>3.1124481090399684E-12</v>
      </c>
      <c r="R728">
        <v>6.8149002161158894</v>
      </c>
      <c r="S728">
        <v>6.8287657968734292</v>
      </c>
      <c r="T728">
        <v>1</v>
      </c>
      <c r="U728">
        <v>1.7012278344373197</v>
      </c>
    </row>
    <row r="729" spans="1:21">
      <c r="A729">
        <v>1.408091025472928</v>
      </c>
      <c r="B729">
        <v>0.27305427915131147</v>
      </c>
      <c r="C729">
        <v>0.24507852870642785</v>
      </c>
      <c r="D729">
        <v>0</v>
      </c>
      <c r="E729">
        <v>0.45968825969638061</v>
      </c>
      <c r="F729">
        <v>0</v>
      </c>
      <c r="G729">
        <v>6.441728101812913E-3</v>
      </c>
      <c r="H729">
        <v>3.5141725954864519E-2</v>
      </c>
      <c r="I729">
        <v>8.1722018599465207E-2</v>
      </c>
      <c r="J729">
        <v>0.54914918381171118</v>
      </c>
      <c r="L729">
        <v>1.5771402562769035</v>
      </c>
      <c r="M729">
        <v>4.080383834489318</v>
      </c>
      <c r="N729">
        <v>0.90970265458240351</v>
      </c>
      <c r="P729">
        <v>3.6738044781467244E-12</v>
      </c>
      <c r="R729">
        <v>6.8149002161158894</v>
      </c>
      <c r="S729">
        <v>6.8287657968734292</v>
      </c>
      <c r="T729">
        <v>1</v>
      </c>
      <c r="U729">
        <v>1.7012278344373197</v>
      </c>
    </row>
    <row r="730" spans="1:21">
      <c r="A730">
        <v>1.4044714778173493</v>
      </c>
      <c r="B730">
        <v>0.26994344334974119</v>
      </c>
      <c r="C730">
        <v>0.25604099402252617</v>
      </c>
      <c r="D730">
        <v>0.4074984362803668</v>
      </c>
      <c r="E730">
        <v>0</v>
      </c>
      <c r="F730">
        <v>0</v>
      </c>
      <c r="G730">
        <v>7.7132732849336777E-2</v>
      </c>
      <c r="H730">
        <v>0.90828625304628963</v>
      </c>
      <c r="I730">
        <v>0.27141665159793249</v>
      </c>
      <c r="J730">
        <v>0.76887500475788551</v>
      </c>
      <c r="L730">
        <v>1.5771400143468166</v>
      </c>
      <c r="M730">
        <v>4.0803840906206439</v>
      </c>
      <c r="N730">
        <v>0.90970303451937395</v>
      </c>
      <c r="P730">
        <v>3.1193613254253567E-12</v>
      </c>
      <c r="R730">
        <v>6.8149002161158894</v>
      </c>
      <c r="S730">
        <v>6.8287657968734292</v>
      </c>
      <c r="T730">
        <v>1</v>
      </c>
      <c r="U730">
        <v>1.7012278344373197</v>
      </c>
    </row>
    <row r="731" spans="1:21">
      <c r="A731">
        <v>1.3998571432315146</v>
      </c>
      <c r="B731">
        <v>0.35067620448110948</v>
      </c>
      <c r="C731">
        <v>0.13947663052454604</v>
      </c>
      <c r="D731">
        <v>0</v>
      </c>
      <c r="E731">
        <v>0</v>
      </c>
      <c r="F731">
        <v>0.83730071862156341</v>
      </c>
      <c r="G731">
        <v>0.86332816849691874</v>
      </c>
      <c r="H731">
        <v>0.66587382260727035</v>
      </c>
      <c r="I731">
        <v>0.92967581514453523</v>
      </c>
      <c r="J731">
        <v>0.79802433577501986</v>
      </c>
      <c r="L731">
        <v>1.5771383853725534</v>
      </c>
      <c r="M731">
        <v>4.0803839266543447</v>
      </c>
      <c r="N731">
        <v>2.3716195099317416</v>
      </c>
      <c r="P731">
        <v>3.2300048463723907E-12</v>
      </c>
      <c r="R731">
        <v>4.2899404158658268</v>
      </c>
      <c r="S731">
        <v>4.292123906712999</v>
      </c>
      <c r="T731">
        <v>1</v>
      </c>
      <c r="U731">
        <v>1.7183675340631817</v>
      </c>
    </row>
    <row r="732" spans="1:21">
      <c r="A732">
        <v>1.4024546856930256</v>
      </c>
      <c r="B732">
        <v>0.34613829020269354</v>
      </c>
      <c r="C732">
        <v>0.15517835065624241</v>
      </c>
      <c r="D732">
        <v>0</v>
      </c>
      <c r="E732">
        <v>4.0012828521272248E-2</v>
      </c>
      <c r="F732">
        <v>0</v>
      </c>
      <c r="G732">
        <v>9.7086709095151241E-2</v>
      </c>
      <c r="H732">
        <v>0.24400459004089275</v>
      </c>
      <c r="I732">
        <v>0.11504046968964536</v>
      </c>
      <c r="J732">
        <v>0.27742799557458359</v>
      </c>
      <c r="L732">
        <v>1.577138333071797</v>
      </c>
      <c r="M732">
        <v>4.0803838906191068</v>
      </c>
      <c r="N732">
        <v>2.3716195776543949</v>
      </c>
      <c r="P732">
        <v>3.3389635790864146E-12</v>
      </c>
      <c r="R732">
        <v>4.2899404158658268</v>
      </c>
      <c r="S732">
        <v>4.292123906712999</v>
      </c>
      <c r="T732">
        <v>1</v>
      </c>
      <c r="U732">
        <v>1.7183675340631817</v>
      </c>
    </row>
    <row r="733" spans="1:21">
      <c r="A733">
        <v>1.3993060017734542</v>
      </c>
      <c r="B733">
        <v>0.35639707419192884</v>
      </c>
      <c r="C733">
        <v>0.15622830757645401</v>
      </c>
      <c r="D733">
        <v>0</v>
      </c>
      <c r="E733">
        <v>0</v>
      </c>
      <c r="F733">
        <v>0.49768617401190146</v>
      </c>
      <c r="G733">
        <v>2.0163490186725773E-2</v>
      </c>
      <c r="H733">
        <v>0.84971616883919965</v>
      </c>
      <c r="I733">
        <v>0.31222339906873409</v>
      </c>
      <c r="J733">
        <v>6.1149991818773446E-2</v>
      </c>
      <c r="L733">
        <v>1.5771383647980088</v>
      </c>
      <c r="M733">
        <v>4.0803839060539673</v>
      </c>
      <c r="N733">
        <v>2.3716195296188429</v>
      </c>
      <c r="P733">
        <v>3.2984875674432085E-12</v>
      </c>
      <c r="R733">
        <v>4.2899404158658268</v>
      </c>
      <c r="S733">
        <v>4.292123906712999</v>
      </c>
      <c r="T733">
        <v>1</v>
      </c>
      <c r="U733">
        <v>1.7183675340631817</v>
      </c>
    </row>
    <row r="734" spans="1:21">
      <c r="A734">
        <v>1.4067524131281406</v>
      </c>
      <c r="B734">
        <v>0.34875594208693578</v>
      </c>
      <c r="C734">
        <v>0.16053579632935608</v>
      </c>
      <c r="D734">
        <v>0</v>
      </c>
      <c r="E734">
        <v>0.35738512517304671</v>
      </c>
      <c r="F734">
        <v>0</v>
      </c>
      <c r="G734">
        <v>0.78973738685691131</v>
      </c>
      <c r="H734">
        <v>0.79987790756737909</v>
      </c>
      <c r="I734">
        <v>0.23560627657650648</v>
      </c>
      <c r="J734">
        <v>0.50039208131053492</v>
      </c>
      <c r="L734">
        <v>1.5771386017933349</v>
      </c>
      <c r="M734">
        <v>4.0803837195063739</v>
      </c>
      <c r="N734">
        <v>2.371619490713285</v>
      </c>
      <c r="P734">
        <v>3.5657678758817176E-12</v>
      </c>
      <c r="R734">
        <v>4.2899404158658268</v>
      </c>
      <c r="S734">
        <v>4.292123906712999</v>
      </c>
      <c r="T734">
        <v>1</v>
      </c>
      <c r="U734">
        <v>1.7183675340631817</v>
      </c>
    </row>
    <row r="735" spans="1:21">
      <c r="A735">
        <v>1.4032580210036185</v>
      </c>
      <c r="B735">
        <v>0.34364975624575589</v>
      </c>
      <c r="C735">
        <v>0.15567003077404512</v>
      </c>
      <c r="D735">
        <v>0.45458113740687278</v>
      </c>
      <c r="E735">
        <v>0</v>
      </c>
      <c r="F735">
        <v>0.22320803302551931</v>
      </c>
      <c r="G735">
        <v>0.4229521478596911</v>
      </c>
      <c r="H735">
        <v>0.70455097360371244</v>
      </c>
      <c r="I735">
        <v>0.23996333680290879</v>
      </c>
      <c r="J735">
        <v>0.81873045942066625</v>
      </c>
      <c r="L735">
        <v>1.5771383320537524</v>
      </c>
      <c r="M735">
        <v>4.0803838895770612</v>
      </c>
      <c r="N735">
        <v>2.3716195865091616</v>
      </c>
      <c r="P735">
        <v>3.3331002763218485E-12</v>
      </c>
      <c r="R735">
        <v>4.2899404158658268</v>
      </c>
      <c r="S735">
        <v>4.292123906712999</v>
      </c>
      <c r="T735">
        <v>1</v>
      </c>
      <c r="U735">
        <v>1.7183675340631817</v>
      </c>
    </row>
    <row r="736" spans="1:21">
      <c r="A736">
        <v>1.4010289150216813</v>
      </c>
      <c r="B736">
        <v>0.34643716905430605</v>
      </c>
      <c r="C736">
        <v>0.16615442826343019</v>
      </c>
      <c r="D736">
        <v>3.1714321847391126E-2</v>
      </c>
      <c r="E736">
        <v>0</v>
      </c>
      <c r="F736">
        <v>0</v>
      </c>
      <c r="G736">
        <v>0.26975769217194878</v>
      </c>
      <c r="H736">
        <v>0.90701603008419041</v>
      </c>
      <c r="I736">
        <v>0.34405417031940866</v>
      </c>
      <c r="J736">
        <v>0.80832117556586047</v>
      </c>
      <c r="L736">
        <v>1.5771383939401185</v>
      </c>
      <c r="M736">
        <v>4.0803839489034432</v>
      </c>
      <c r="N736">
        <v>2.3716195240729157</v>
      </c>
      <c r="P736">
        <v>3.1334114290717482E-12</v>
      </c>
      <c r="R736">
        <v>4.2899404158658268</v>
      </c>
      <c r="S736">
        <v>4.292123906712999</v>
      </c>
      <c r="T736">
        <v>1</v>
      </c>
      <c r="U736">
        <v>1.7183675340631817</v>
      </c>
    </row>
    <row r="737" spans="1:21">
      <c r="A737">
        <v>1.4031866355317837</v>
      </c>
      <c r="B737">
        <v>0.34474187796092415</v>
      </c>
      <c r="C737">
        <v>0.15644515073273826</v>
      </c>
      <c r="D737">
        <v>0</v>
      </c>
      <c r="E737">
        <v>0.24075545264790746</v>
      </c>
      <c r="F737">
        <v>0</v>
      </c>
      <c r="G737">
        <v>2.363681036821394E-2</v>
      </c>
      <c r="H737">
        <v>0.12301615708863384</v>
      </c>
      <c r="I737">
        <v>0.11330074697871702</v>
      </c>
      <c r="J737">
        <v>0.31390419943814574</v>
      </c>
      <c r="L737">
        <v>1.5771382652288788</v>
      </c>
      <c r="M737">
        <v>4.0803837955675739</v>
      </c>
      <c r="N737">
        <v>2.3716197094162013</v>
      </c>
      <c r="P737">
        <v>3.6099318949471018E-12</v>
      </c>
      <c r="R737">
        <v>4.2899404158658268</v>
      </c>
      <c r="S737">
        <v>4.292123906712999</v>
      </c>
      <c r="T737">
        <v>1</v>
      </c>
      <c r="U737">
        <v>1.7183675340631817</v>
      </c>
    </row>
    <row r="738" spans="1:21">
      <c r="A738">
        <v>1.397080963687654</v>
      </c>
      <c r="B738">
        <v>0.34848184243995528</v>
      </c>
      <c r="C738">
        <v>0.13438428653622389</v>
      </c>
      <c r="D738">
        <v>0</v>
      </c>
      <c r="E738">
        <v>0</v>
      </c>
      <c r="F738">
        <v>0</v>
      </c>
      <c r="G738">
        <v>0.38814672061072697</v>
      </c>
      <c r="H738">
        <v>0.20627753143357694</v>
      </c>
      <c r="I738">
        <v>0.97170327005192003</v>
      </c>
      <c r="J738">
        <v>4.1244017525888736E-2</v>
      </c>
      <c r="L738">
        <v>1.5771384107409816</v>
      </c>
      <c r="M738">
        <v>4.0803839109938984</v>
      </c>
      <c r="N738">
        <v>2.3716194391431484</v>
      </c>
      <c r="P738">
        <v>3.3333206250033044E-12</v>
      </c>
      <c r="R738">
        <v>4.2899404158658268</v>
      </c>
      <c r="S738">
        <v>4.292123906712999</v>
      </c>
      <c r="T738">
        <v>1</v>
      </c>
      <c r="U738">
        <v>1.7183675340631817</v>
      </c>
    </row>
    <row r="739" spans="1:21">
      <c r="A739">
        <v>1.4038635607434853</v>
      </c>
      <c r="B739">
        <v>0.3445780281972361</v>
      </c>
      <c r="C739">
        <v>0.14653365013678771</v>
      </c>
      <c r="D739">
        <v>7.5449417859568269E-2</v>
      </c>
      <c r="E739">
        <v>2.1415982238183494E-2</v>
      </c>
      <c r="F739">
        <v>0.63986153795639622</v>
      </c>
      <c r="G739">
        <v>0.51454548264116817</v>
      </c>
      <c r="H739">
        <v>0.16884603760213293</v>
      </c>
      <c r="I739">
        <v>0.26178087230950181</v>
      </c>
      <c r="J739">
        <v>0.79445215884346221</v>
      </c>
      <c r="L739">
        <v>1.5771384310920311</v>
      </c>
      <c r="M739">
        <v>4.0803839062554763</v>
      </c>
      <c r="N739">
        <v>2.3716194118557277</v>
      </c>
      <c r="P739">
        <v>3.3552661959791182E-12</v>
      </c>
      <c r="R739">
        <v>4.2899404158658268</v>
      </c>
      <c r="S739">
        <v>4.292123906712999</v>
      </c>
      <c r="T739">
        <v>1</v>
      </c>
      <c r="U739">
        <v>1.7183675340631817</v>
      </c>
    </row>
    <row r="740" spans="1:21">
      <c r="A740">
        <v>1.4012427689642937</v>
      </c>
      <c r="B740">
        <v>0.33906986999090932</v>
      </c>
      <c r="C740">
        <v>0.12581179657601441</v>
      </c>
      <c r="D740">
        <v>0.51027946997784357</v>
      </c>
      <c r="E740">
        <v>0</v>
      </c>
      <c r="F740">
        <v>0</v>
      </c>
      <c r="G740">
        <v>0.86871878769677591</v>
      </c>
      <c r="H740">
        <v>0</v>
      </c>
      <c r="I740">
        <v>0.91926091342625393</v>
      </c>
      <c r="J740">
        <v>0.55280043137425794</v>
      </c>
      <c r="L740">
        <v>1.5771394213167036</v>
      </c>
      <c r="M740">
        <v>4.0803852727425847</v>
      </c>
      <c r="N740">
        <v>2.371620194032968</v>
      </c>
      <c r="P740">
        <v>3.821482816550523E-14</v>
      </c>
      <c r="R740">
        <v>4.2899404158658268</v>
      </c>
      <c r="S740">
        <v>4.292123906712999</v>
      </c>
      <c r="T740">
        <v>1</v>
      </c>
      <c r="U740">
        <v>1.7183675340631817</v>
      </c>
    </row>
    <row r="741" spans="1:21">
      <c r="A741">
        <v>1.4077899008314623</v>
      </c>
      <c r="B741">
        <v>0.34189193890894537</v>
      </c>
      <c r="C741">
        <v>0.14351805372884022</v>
      </c>
      <c r="D741">
        <v>0.36461841008793927</v>
      </c>
      <c r="E741">
        <v>0.27012673095332351</v>
      </c>
      <c r="F741">
        <v>0</v>
      </c>
      <c r="G741">
        <v>0.68773096081856488</v>
      </c>
      <c r="H741">
        <v>3.5392956425773288E-2</v>
      </c>
      <c r="I741">
        <v>0.10221363987075234</v>
      </c>
      <c r="J741">
        <v>0.33433995159617547</v>
      </c>
      <c r="L741">
        <v>1.5771387380097084</v>
      </c>
      <c r="M741">
        <v>4.0803837249421564</v>
      </c>
      <c r="N741">
        <v>2.3716194289602184</v>
      </c>
      <c r="P741">
        <v>3.4821356728649922E-12</v>
      </c>
      <c r="R741">
        <v>4.2899404158658268</v>
      </c>
      <c r="S741">
        <v>4.292123906712999</v>
      </c>
      <c r="T741">
        <v>1</v>
      </c>
      <c r="U741">
        <v>1.7183675340631817</v>
      </c>
    </row>
    <row r="742" spans="1:21">
      <c r="A742">
        <v>1.4047140426545583</v>
      </c>
      <c r="B742">
        <v>0.34401173293792092</v>
      </c>
      <c r="C742">
        <v>0.13749087557003425</v>
      </c>
      <c r="D742">
        <v>8.9846267694539586E-2</v>
      </c>
      <c r="E742">
        <v>2.5071028193962529E-2</v>
      </c>
      <c r="F742">
        <v>0.71648684795648965</v>
      </c>
      <c r="G742">
        <v>0.88327376041406547</v>
      </c>
      <c r="H742">
        <v>7.3739297872823933E-2</v>
      </c>
      <c r="I742">
        <v>0.44754828461104268</v>
      </c>
      <c r="J742">
        <v>0.8379556904536023</v>
      </c>
      <c r="L742">
        <v>1.5771382532300817</v>
      </c>
      <c r="M742">
        <v>4.0803837857070944</v>
      </c>
      <c r="N742">
        <v>2.3716196838925341</v>
      </c>
      <c r="P742">
        <v>3.6895111900663674E-12</v>
      </c>
      <c r="R742">
        <v>4.2899404158658268</v>
      </c>
      <c r="S742">
        <v>4.292123906712999</v>
      </c>
      <c r="T742">
        <v>1</v>
      </c>
      <c r="U742">
        <v>1.7183675340631817</v>
      </c>
    </row>
    <row r="743" spans="1:21">
      <c r="A743">
        <v>1.397207927062778</v>
      </c>
      <c r="B743">
        <v>0.34941083137023754</v>
      </c>
      <c r="C743">
        <v>0.1254815323467556</v>
      </c>
      <c r="D743">
        <v>0.56541830599408449</v>
      </c>
      <c r="E743">
        <v>0</v>
      </c>
      <c r="F743">
        <v>0.67770922060872951</v>
      </c>
      <c r="G743">
        <v>0.18206846388427686</v>
      </c>
      <c r="H743">
        <v>0.17096929952881634</v>
      </c>
      <c r="I743">
        <v>0.83211793992008043</v>
      </c>
      <c r="J743">
        <v>1.0803086002842945E-2</v>
      </c>
      <c r="L743">
        <v>1.5771382914788141</v>
      </c>
      <c r="M743">
        <v>4.0803838350339046</v>
      </c>
      <c r="N743">
        <v>2.3716196292601324</v>
      </c>
      <c r="P743">
        <v>3.5214295348308598E-12</v>
      </c>
      <c r="R743">
        <v>4.2899404158658268</v>
      </c>
      <c r="S743">
        <v>4.292123906712999</v>
      </c>
      <c r="T743">
        <v>1</v>
      </c>
      <c r="U743">
        <v>1.7183675340631817</v>
      </c>
    </row>
    <row r="744" spans="1:21">
      <c r="A744">
        <v>1.3998671834710317</v>
      </c>
      <c r="B744">
        <v>0.34032736517807055</v>
      </c>
      <c r="C744">
        <v>0.14313841515762979</v>
      </c>
      <c r="D744">
        <v>0</v>
      </c>
      <c r="E744">
        <v>0</v>
      </c>
      <c r="F744">
        <v>0</v>
      </c>
      <c r="G744">
        <v>0.58205762458160504</v>
      </c>
      <c r="H744">
        <v>0.15262511212344793</v>
      </c>
      <c r="I744">
        <v>0.8240317668141689</v>
      </c>
      <c r="J744">
        <v>0.85829812587552279</v>
      </c>
      <c r="L744">
        <v>1.5771385094769514</v>
      </c>
      <c r="M744">
        <v>4.0803839283266017</v>
      </c>
      <c r="N744">
        <v>2.3716193414667601</v>
      </c>
      <c r="P744">
        <v>3.2852987779449143E-12</v>
      </c>
      <c r="R744">
        <v>4.2899404158658268</v>
      </c>
      <c r="S744">
        <v>4.292123906712999</v>
      </c>
      <c r="T744">
        <v>1</v>
      </c>
      <c r="U744">
        <v>1.7183675340631817</v>
      </c>
    </row>
    <row r="745" spans="1:21">
      <c r="A745">
        <v>1.4036553362254252</v>
      </c>
      <c r="B745">
        <v>0.34630588314887217</v>
      </c>
      <c r="C745">
        <v>0.14977215075347219</v>
      </c>
      <c r="D745">
        <v>9.4426598392232886E-2</v>
      </c>
      <c r="E745">
        <v>0</v>
      </c>
      <c r="F745">
        <v>0</v>
      </c>
      <c r="G745">
        <v>0.73160943823871671</v>
      </c>
      <c r="H745">
        <v>0.55659392540428543</v>
      </c>
      <c r="I745">
        <v>0.39620048738335384</v>
      </c>
      <c r="J745">
        <v>0.5031512264638125</v>
      </c>
      <c r="L745">
        <v>1.577138435147712</v>
      </c>
      <c r="M745">
        <v>4.0803839275591374</v>
      </c>
      <c r="N745">
        <v>2.3716194285965746</v>
      </c>
      <c r="P745">
        <v>3.2617705139923813E-12</v>
      </c>
      <c r="R745">
        <v>4.2899404158658268</v>
      </c>
      <c r="S745">
        <v>4.292123906712999</v>
      </c>
      <c r="T745">
        <v>1</v>
      </c>
      <c r="U745">
        <v>1.7183675340631817</v>
      </c>
    </row>
    <row r="746" spans="1:21">
      <c r="A746">
        <v>1.4013488642260186</v>
      </c>
      <c r="B746">
        <v>0.34917535110095987</v>
      </c>
      <c r="C746">
        <v>0.1340116573043707</v>
      </c>
      <c r="D746">
        <v>0</v>
      </c>
      <c r="E746">
        <v>0</v>
      </c>
      <c r="F746">
        <v>0</v>
      </c>
      <c r="G746">
        <v>0.81522972502190849</v>
      </c>
      <c r="H746">
        <v>0.26947425466741426</v>
      </c>
      <c r="I746">
        <v>0.74848735107600917</v>
      </c>
      <c r="J746">
        <v>3.0720242266396108E-2</v>
      </c>
      <c r="L746">
        <v>1.5771384081832267</v>
      </c>
      <c r="M746">
        <v>4.0803839137703921</v>
      </c>
      <c r="N746">
        <v>2.3716194516731233</v>
      </c>
      <c r="P746">
        <v>3.3109310345519623E-12</v>
      </c>
      <c r="R746">
        <v>4.2899404158658268</v>
      </c>
      <c r="S746">
        <v>4.292123906712999</v>
      </c>
      <c r="T746">
        <v>1</v>
      </c>
      <c r="U746">
        <v>1.7183675340631817</v>
      </c>
    </row>
    <row r="747" spans="1:21">
      <c r="A747">
        <v>1.3970962859815035</v>
      </c>
      <c r="B747">
        <v>0.34379666616120524</v>
      </c>
      <c r="C747">
        <v>0.14657029362933188</v>
      </c>
      <c r="D747">
        <v>0</v>
      </c>
      <c r="E747">
        <v>0.21909978248444298</v>
      </c>
      <c r="F747">
        <v>0.34776443708083171</v>
      </c>
      <c r="G747">
        <v>0.23429291912134362</v>
      </c>
      <c r="H747">
        <v>0.32566038089899874</v>
      </c>
      <c r="I747">
        <v>1.011705987425251</v>
      </c>
      <c r="J747">
        <v>0.86843049629009772</v>
      </c>
      <c r="L747">
        <v>1.5771383968399897</v>
      </c>
      <c r="M747">
        <v>4.0803839345818984</v>
      </c>
      <c r="N747">
        <v>2.3716194839885301</v>
      </c>
      <c r="P747">
        <v>3.2238839933657551E-12</v>
      </c>
      <c r="R747">
        <v>4.2899404158658268</v>
      </c>
      <c r="S747">
        <v>4.292123906712999</v>
      </c>
      <c r="T747">
        <v>1</v>
      </c>
      <c r="U747">
        <v>1.7183675340631817</v>
      </c>
    </row>
    <row r="748" spans="1:21">
      <c r="A748">
        <v>1.4021747865608851</v>
      </c>
      <c r="B748">
        <v>0.34057162214721759</v>
      </c>
      <c r="C748">
        <v>0.14686999533460565</v>
      </c>
      <c r="D748">
        <v>0</v>
      </c>
      <c r="E748">
        <v>0.56162546961431203</v>
      </c>
      <c r="F748">
        <v>0</v>
      </c>
      <c r="G748">
        <v>0.48245425582078738</v>
      </c>
      <c r="H748">
        <v>5.49903746267612E-2</v>
      </c>
      <c r="I748">
        <v>0.82033394829062301</v>
      </c>
      <c r="J748">
        <v>0.73219586413832827</v>
      </c>
      <c r="L748">
        <v>1.5771387671238362</v>
      </c>
      <c r="M748">
        <v>4.0803838498726268</v>
      </c>
      <c r="N748">
        <v>2.3716193904617131</v>
      </c>
      <c r="P748">
        <v>3.1226550651251396E-12</v>
      </c>
      <c r="R748">
        <v>4.2899404158658268</v>
      </c>
      <c r="S748">
        <v>4.292123906712999</v>
      </c>
      <c r="T748">
        <v>1</v>
      </c>
      <c r="U748">
        <v>1.7183675340631817</v>
      </c>
    </row>
    <row r="749" spans="1:21">
      <c r="A749">
        <v>1.4002949549254329</v>
      </c>
      <c r="B749">
        <v>0.3469032863146092</v>
      </c>
      <c r="C749">
        <v>0.16123066428884847</v>
      </c>
      <c r="D749">
        <v>0</v>
      </c>
      <c r="E749">
        <v>0.7385919901615654</v>
      </c>
      <c r="F749">
        <v>0</v>
      </c>
      <c r="G749">
        <v>0.2427802299200969</v>
      </c>
      <c r="H749">
        <v>0.75652996250849336</v>
      </c>
      <c r="I749">
        <v>0.88937626372462664</v>
      </c>
      <c r="J749">
        <v>0.65242164562550442</v>
      </c>
      <c r="L749">
        <v>1.5771382983946418</v>
      </c>
      <c r="M749">
        <v>4.0803838548758087</v>
      </c>
      <c r="N749">
        <v>2.3716196965170337</v>
      </c>
      <c r="P749">
        <v>3.3776126708234162E-12</v>
      </c>
      <c r="R749">
        <v>4.2899404158658268</v>
      </c>
      <c r="S749">
        <v>4.292123906712999</v>
      </c>
      <c r="T749">
        <v>1</v>
      </c>
      <c r="U749">
        <v>1.7183675340631817</v>
      </c>
    </row>
    <row r="750" spans="1:21">
      <c r="A750">
        <v>1.4094596751182451</v>
      </c>
      <c r="B750">
        <v>0.34025939971506092</v>
      </c>
      <c r="C750">
        <v>0.15399560726758635</v>
      </c>
      <c r="D750">
        <v>0.59885304837558218</v>
      </c>
      <c r="E750">
        <v>0.67514145914256962</v>
      </c>
      <c r="F750">
        <v>0</v>
      </c>
      <c r="G750">
        <v>0.50589772739088101</v>
      </c>
      <c r="H750">
        <v>0.25301367177291417</v>
      </c>
      <c r="I750">
        <v>1.7847181736666697E-2</v>
      </c>
      <c r="J750">
        <v>0.5250938956275889</v>
      </c>
      <c r="L750">
        <v>1.577138330879075</v>
      </c>
      <c r="M750">
        <v>4.0803838638553671</v>
      </c>
      <c r="N750">
        <v>2.3716195439295804</v>
      </c>
      <c r="P750">
        <v>3.46434699256376E-12</v>
      </c>
      <c r="R750">
        <v>4.2899404158658268</v>
      </c>
      <c r="S750">
        <v>4.292123906712999</v>
      </c>
      <c r="T750">
        <v>1</v>
      </c>
      <c r="U750">
        <v>1.7183675340631817</v>
      </c>
    </row>
    <row r="751" spans="1:21">
      <c r="A751">
        <v>1.3952723572194128</v>
      </c>
      <c r="B751">
        <v>0.34725069367222883</v>
      </c>
      <c r="C751">
        <v>0.15573294343627198</v>
      </c>
      <c r="D751">
        <v>0.14644831629290939</v>
      </c>
      <c r="E751">
        <v>0</v>
      </c>
      <c r="F751">
        <v>0</v>
      </c>
      <c r="G751">
        <v>0.12775194757946928</v>
      </c>
      <c r="H751">
        <v>0.93865172049272727</v>
      </c>
      <c r="I751">
        <v>0.95855397418264165</v>
      </c>
      <c r="J751">
        <v>0.69369339003495878</v>
      </c>
      <c r="L751">
        <v>1.5771382889211247</v>
      </c>
      <c r="M751">
        <v>4.0803838318569046</v>
      </c>
      <c r="N751">
        <v>2.3716197268624679</v>
      </c>
      <c r="P751">
        <v>3.4360419220486368E-12</v>
      </c>
      <c r="R751">
        <v>4.2899404158658268</v>
      </c>
      <c r="S751">
        <v>4.292123906712999</v>
      </c>
      <c r="T751">
        <v>1</v>
      </c>
      <c r="U751">
        <v>1.7183675340631817</v>
      </c>
    </row>
    <row r="752" spans="1:21">
      <c r="A752">
        <v>1.3991033489771332</v>
      </c>
      <c r="B752">
        <v>0.347775137885174</v>
      </c>
      <c r="C752">
        <v>0.15153726931632838</v>
      </c>
      <c r="D752">
        <v>0.15080158119909406</v>
      </c>
      <c r="E752">
        <v>0</v>
      </c>
      <c r="F752">
        <v>0.4243541634007878</v>
      </c>
      <c r="G752">
        <v>1.1589152001824369E-2</v>
      </c>
      <c r="H752">
        <v>0.4552035644736262</v>
      </c>
      <c r="I752">
        <v>0.42728745138016866</v>
      </c>
      <c r="J752">
        <v>0.49192048278572703</v>
      </c>
      <c r="L752">
        <v>1.577138341733503</v>
      </c>
      <c r="M752">
        <v>4.0803836999394267</v>
      </c>
      <c r="N752">
        <v>2.3716198159169086</v>
      </c>
      <c r="P752">
        <v>3.6820883676213583E-12</v>
      </c>
      <c r="R752">
        <v>4.2899404158658268</v>
      </c>
      <c r="S752">
        <v>4.292123906712999</v>
      </c>
      <c r="T752">
        <v>1</v>
      </c>
      <c r="U752">
        <v>1.7183675340631817</v>
      </c>
    </row>
    <row r="753" spans="1:21">
      <c r="A753">
        <v>1.4057554889707957</v>
      </c>
      <c r="B753">
        <v>0.34657348491723056</v>
      </c>
      <c r="C753">
        <v>0.13995455647485741</v>
      </c>
      <c r="D753">
        <v>0.39249834278590751</v>
      </c>
      <c r="E753">
        <v>0.1675208564043959</v>
      </c>
      <c r="F753">
        <v>0.37340327271374379</v>
      </c>
      <c r="G753">
        <v>0.42087368692478261</v>
      </c>
      <c r="H753">
        <v>4.3551901726578669E-2</v>
      </c>
      <c r="I753">
        <v>6.3181128598487651E-2</v>
      </c>
      <c r="J753">
        <v>7.8090500397201348E-2</v>
      </c>
      <c r="L753">
        <v>1.5771382916565222</v>
      </c>
      <c r="M753">
        <v>4.0803837566266079</v>
      </c>
      <c r="N753">
        <v>2.3716197991707166</v>
      </c>
      <c r="P753">
        <v>3.603524951705354E-12</v>
      </c>
      <c r="R753">
        <v>4.2899404158658268</v>
      </c>
      <c r="S753">
        <v>4.292123906712999</v>
      </c>
      <c r="T753">
        <v>1</v>
      </c>
      <c r="U753">
        <v>1.7183675340631817</v>
      </c>
    </row>
    <row r="754" spans="1:21">
      <c r="A754">
        <v>1.3974350712884389</v>
      </c>
      <c r="B754">
        <v>0.34300472373172802</v>
      </c>
      <c r="C754">
        <v>0.14530530816904849</v>
      </c>
      <c r="D754">
        <v>0</v>
      </c>
      <c r="E754">
        <v>0.45724482061470623</v>
      </c>
      <c r="F754">
        <v>0</v>
      </c>
      <c r="G754">
        <v>4.2789916039902884E-2</v>
      </c>
      <c r="H754">
        <v>7.1207143711519039E-2</v>
      </c>
      <c r="I754">
        <v>1.001161563115734</v>
      </c>
      <c r="J754">
        <v>0.48095077147874915</v>
      </c>
      <c r="L754">
        <v>1.5771384648352551</v>
      </c>
      <c r="M754">
        <v>4.0803839241549031</v>
      </c>
      <c r="N754">
        <v>2.3716193785299007</v>
      </c>
      <c r="P754">
        <v>3.303146798443355E-12</v>
      </c>
      <c r="R754">
        <v>4.2899404158658268</v>
      </c>
      <c r="S754">
        <v>4.292123906712999</v>
      </c>
      <c r="T754">
        <v>1</v>
      </c>
      <c r="U754">
        <v>1.7183675340631817</v>
      </c>
    </row>
    <row r="755" spans="1:21">
      <c r="A755">
        <v>1.3973675600604365</v>
      </c>
      <c r="B755">
        <v>0.35156572780063772</v>
      </c>
      <c r="C755">
        <v>0.15031862331267098</v>
      </c>
      <c r="D755">
        <v>0</v>
      </c>
      <c r="E755">
        <v>0.36513774310010633</v>
      </c>
      <c r="F755">
        <v>0.75422667310075353</v>
      </c>
      <c r="G755">
        <v>1.454455742740939E-2</v>
      </c>
      <c r="H755">
        <v>0.575325495163579</v>
      </c>
      <c r="I755">
        <v>0.83466167220215137</v>
      </c>
      <c r="J755">
        <v>0.5242290105287436</v>
      </c>
      <c r="L755">
        <v>1.5771387489313011</v>
      </c>
      <c r="M755">
        <v>4.0803837275589627</v>
      </c>
      <c r="N755">
        <v>2.3716193726062467</v>
      </c>
      <c r="P755">
        <v>3.5516571612690771E-12</v>
      </c>
      <c r="R755">
        <v>4.2899404158658268</v>
      </c>
      <c r="S755">
        <v>4.292123906712999</v>
      </c>
      <c r="T755">
        <v>1</v>
      </c>
      <c r="U755">
        <v>1.7183675340631817</v>
      </c>
    </row>
    <row r="756" spans="1:21">
      <c r="A756">
        <v>1.4006467885584664</v>
      </c>
      <c r="B756">
        <v>0.34180529375138091</v>
      </c>
      <c r="C756">
        <v>0.14870166996592568</v>
      </c>
      <c r="D756">
        <v>0.39090707028520005</v>
      </c>
      <c r="E756">
        <v>0</v>
      </c>
      <c r="F756">
        <v>0</v>
      </c>
      <c r="G756">
        <v>2.5689072082681352E-2</v>
      </c>
      <c r="H756">
        <v>0.19665204747857815</v>
      </c>
      <c r="I756">
        <v>0.31791128986383138</v>
      </c>
      <c r="J756">
        <v>0.45266412763009906</v>
      </c>
      <c r="L756">
        <v>1.5771385071725308</v>
      </c>
      <c r="M756">
        <v>4.0803838924148055</v>
      </c>
      <c r="N756">
        <v>2.3716193025385075</v>
      </c>
      <c r="P756">
        <v>3.4598193756905833E-12</v>
      </c>
      <c r="R756">
        <v>4.2899404158658268</v>
      </c>
      <c r="S756">
        <v>4.292123906712999</v>
      </c>
      <c r="T756">
        <v>1</v>
      </c>
      <c r="U756">
        <v>1.7183675340631817</v>
      </c>
    </row>
    <row r="757" spans="1:21">
      <c r="A757">
        <v>1.4012640550069284</v>
      </c>
      <c r="B757">
        <v>0.34357663010870998</v>
      </c>
      <c r="C757">
        <v>0.1572517214703856</v>
      </c>
      <c r="D757">
        <v>0</v>
      </c>
      <c r="E757">
        <v>0.69762110268874744</v>
      </c>
      <c r="F757">
        <v>0</v>
      </c>
      <c r="G757">
        <v>9.009491126184814E-2</v>
      </c>
      <c r="H757">
        <v>0.2914591236264617</v>
      </c>
      <c r="I757">
        <v>0.68626545624645863</v>
      </c>
      <c r="J757">
        <v>0.59370163604634485</v>
      </c>
      <c r="L757">
        <v>1.5771387624598412</v>
      </c>
      <c r="M757">
        <v>4.0803838401296026</v>
      </c>
      <c r="N757">
        <v>2.3716193079850232</v>
      </c>
      <c r="P757">
        <v>3.2951561196511469E-12</v>
      </c>
      <c r="R757">
        <v>4.2899404158658268</v>
      </c>
      <c r="S757">
        <v>4.292123906712999</v>
      </c>
      <c r="T757">
        <v>1</v>
      </c>
      <c r="U757">
        <v>1.7183675340631817</v>
      </c>
    </row>
    <row r="758" spans="1:21">
      <c r="A758">
        <v>1.4037844138600757</v>
      </c>
      <c r="B758">
        <v>0.34522419193793102</v>
      </c>
      <c r="C758">
        <v>0.14369895668851498</v>
      </c>
      <c r="D758">
        <v>0.12963640669687471</v>
      </c>
      <c r="E758">
        <v>0.20200570975424961</v>
      </c>
      <c r="F758">
        <v>0</v>
      </c>
      <c r="G758">
        <v>0.37524648937506361</v>
      </c>
      <c r="H758">
        <v>2.7523269915383317E-2</v>
      </c>
      <c r="I758">
        <v>0.29160483569960438</v>
      </c>
      <c r="J758">
        <v>0.12061821973333575</v>
      </c>
      <c r="L758">
        <v>1.577138342198489</v>
      </c>
      <c r="M758">
        <v>4.0803838757722106</v>
      </c>
      <c r="N758">
        <v>2.3716195405445171</v>
      </c>
      <c r="P758">
        <v>3.4128817488365738E-12</v>
      </c>
      <c r="R758">
        <v>4.2899404158658268</v>
      </c>
      <c r="S758">
        <v>4.292123906712999</v>
      </c>
      <c r="T758">
        <v>1</v>
      </c>
      <c r="U758">
        <v>1.7183675340631817</v>
      </c>
    </row>
    <row r="759" spans="1:21">
      <c r="A759">
        <v>1.4062115144635465</v>
      </c>
      <c r="B759">
        <v>0.34234703873721811</v>
      </c>
      <c r="C759">
        <v>0.15253919160481264</v>
      </c>
      <c r="D759">
        <v>0.44620504570433406</v>
      </c>
      <c r="E759">
        <v>0</v>
      </c>
      <c r="F759">
        <v>0</v>
      </c>
      <c r="G759">
        <v>0.96910232327758239</v>
      </c>
      <c r="H759">
        <v>0.77025181164886625</v>
      </c>
      <c r="I759">
        <v>0.28322891341019402</v>
      </c>
      <c r="J759">
        <v>0.88643981656453563</v>
      </c>
      <c r="L759">
        <v>1.5771382852149138</v>
      </c>
      <c r="M759">
        <v>4.0803838362219595</v>
      </c>
      <c r="N759">
        <v>2.3716197007703639</v>
      </c>
      <c r="P759">
        <v>3.4547151301025315E-12</v>
      </c>
      <c r="R759">
        <v>4.2899404158658268</v>
      </c>
      <c r="S759">
        <v>4.292123906712999</v>
      </c>
      <c r="T759">
        <v>1</v>
      </c>
      <c r="U759">
        <v>1.7183675340631817</v>
      </c>
    </row>
    <row r="760" spans="1:21">
      <c r="A760">
        <v>1.4024008398587198</v>
      </c>
      <c r="B760">
        <v>0.34433052580548235</v>
      </c>
      <c r="C760">
        <v>0.14230937149846409</v>
      </c>
      <c r="D760">
        <v>0.35694972383795937</v>
      </c>
      <c r="E760">
        <v>0</v>
      </c>
      <c r="F760">
        <v>0</v>
      </c>
      <c r="G760">
        <v>0.91406255239860856</v>
      </c>
      <c r="H760">
        <v>0.64018048323132215</v>
      </c>
      <c r="I760">
        <v>0.7126635109598618</v>
      </c>
      <c r="J760">
        <v>0.63577326697721059</v>
      </c>
      <c r="L760">
        <v>1.5771383650518211</v>
      </c>
      <c r="M760">
        <v>4.0803839031960649</v>
      </c>
      <c r="N760">
        <v>2.3716195138219169</v>
      </c>
      <c r="P760">
        <v>3.3274266391056284E-12</v>
      </c>
      <c r="R760">
        <v>4.2899404158658268</v>
      </c>
      <c r="S760">
        <v>4.292123906712999</v>
      </c>
      <c r="T760">
        <v>1</v>
      </c>
      <c r="U760">
        <v>1.7183675340631817</v>
      </c>
    </row>
    <row r="761" spans="1:21">
      <c r="A761">
        <v>1.2390258574069877</v>
      </c>
      <c r="B761">
        <v>0.36063695681841135</v>
      </c>
      <c r="C761">
        <v>-0.16371157507392076</v>
      </c>
      <c r="D761">
        <v>4.5120233395518621E-2</v>
      </c>
      <c r="E761">
        <v>0</v>
      </c>
      <c r="F761">
        <v>0</v>
      </c>
      <c r="G761">
        <v>0.13012017540237147</v>
      </c>
      <c r="H761">
        <v>0.8768489053215498</v>
      </c>
      <c r="I761">
        <v>0.38572032853797356</v>
      </c>
      <c r="J761">
        <v>0</v>
      </c>
      <c r="L761">
        <v>1.5771390669624337</v>
      </c>
      <c r="M761">
        <v>0.90970091621165838</v>
      </c>
      <c r="N761">
        <v>2.3716207769393072</v>
      </c>
      <c r="P761">
        <v>1.7044592325954448E-12</v>
      </c>
      <c r="R761">
        <v>13.007607684548848</v>
      </c>
      <c r="S761">
        <v>13.161138632442416</v>
      </c>
      <c r="T761">
        <v>1</v>
      </c>
      <c r="U761">
        <v>1.7220817826437018</v>
      </c>
    </row>
    <row r="762" spans="1:21">
      <c r="A762">
        <v>1.2925907969115946</v>
      </c>
      <c r="B762">
        <v>0.35365444083947323</v>
      </c>
      <c r="C762">
        <v>-8.0287254090286059E-2</v>
      </c>
      <c r="D762">
        <v>7.4035164455514779E-2</v>
      </c>
      <c r="E762">
        <v>0.69142087343274428</v>
      </c>
      <c r="F762">
        <v>0.30917036036282952</v>
      </c>
      <c r="G762">
        <v>0.573840754921079</v>
      </c>
      <c r="H762">
        <v>0.22904994131491005</v>
      </c>
      <c r="I762">
        <v>0.29319977300903516</v>
      </c>
      <c r="J762">
        <v>0.16835230590062614</v>
      </c>
      <c r="L762">
        <v>1.5771362953311043</v>
      </c>
      <c r="M762">
        <v>0.90969760060796212</v>
      </c>
      <c r="N762">
        <v>2.3716198481847277</v>
      </c>
      <c r="P762">
        <v>2.8770841250723347E-11</v>
      </c>
      <c r="R762">
        <v>13.007607684548848</v>
      </c>
      <c r="S762">
        <v>13.161138632442416</v>
      </c>
      <c r="T762">
        <v>1</v>
      </c>
      <c r="U762">
        <v>1.7220817826437018</v>
      </c>
    </row>
    <row r="763" spans="1:21">
      <c r="A763">
        <v>1.288014575640628</v>
      </c>
      <c r="B763">
        <v>0.34574479196485475</v>
      </c>
      <c r="C763">
        <v>-6.9320591955324418E-2</v>
      </c>
      <c r="D763">
        <v>0</v>
      </c>
      <c r="E763">
        <v>0.79110521038375314</v>
      </c>
      <c r="F763">
        <v>0</v>
      </c>
      <c r="G763">
        <v>3.6857233607545288E-2</v>
      </c>
      <c r="H763">
        <v>0.12997820581721595</v>
      </c>
      <c r="I763">
        <v>0.43458929415985637</v>
      </c>
      <c r="J763">
        <v>0.73874565528032166</v>
      </c>
      <c r="L763">
        <v>1.577135854261253</v>
      </c>
      <c r="M763">
        <v>0.9096975426948849</v>
      </c>
      <c r="N763">
        <v>2.3716209823431189</v>
      </c>
      <c r="P763">
        <v>3.2597594188449104E-11</v>
      </c>
      <c r="R763">
        <v>13.007607684548848</v>
      </c>
      <c r="S763">
        <v>13.161138632442416</v>
      </c>
      <c r="T763">
        <v>1</v>
      </c>
      <c r="U763">
        <v>1.7220817826437018</v>
      </c>
    </row>
    <row r="764" spans="1:21">
      <c r="A764">
        <v>1.2697601131643823</v>
      </c>
      <c r="B764">
        <v>0.35640114538301532</v>
      </c>
      <c r="C764">
        <v>-0.11733092928282544</v>
      </c>
      <c r="D764">
        <v>0.23369580195409245</v>
      </c>
      <c r="E764">
        <v>0</v>
      </c>
      <c r="F764">
        <v>0.50570985459206941</v>
      </c>
      <c r="G764">
        <v>0.6067074146224547</v>
      </c>
      <c r="H764">
        <v>0.74916321298051036</v>
      </c>
      <c r="I764">
        <v>0.25517855493461866</v>
      </c>
      <c r="J764">
        <v>0.4619073573939671</v>
      </c>
      <c r="L764">
        <v>1.5771369466348852</v>
      </c>
      <c r="M764">
        <v>0.90969778219088293</v>
      </c>
      <c r="N764">
        <v>2.3716192113529089</v>
      </c>
      <c r="P764">
        <v>2.4606619152309628E-11</v>
      </c>
      <c r="R764">
        <v>13.007607684548848</v>
      </c>
      <c r="S764">
        <v>13.161138632442416</v>
      </c>
      <c r="T764">
        <v>1</v>
      </c>
      <c r="U764">
        <v>1.7220817826437018</v>
      </c>
    </row>
    <row r="765" spans="1:21">
      <c r="A765">
        <v>1.2913843041051778</v>
      </c>
      <c r="B765">
        <v>0.35521623077912418</v>
      </c>
      <c r="C765">
        <v>-8.959493917246053E-2</v>
      </c>
      <c r="D765">
        <v>0.19703466982818943</v>
      </c>
      <c r="E765">
        <v>0.77298256418903111</v>
      </c>
      <c r="F765">
        <v>0.60186652903573157</v>
      </c>
      <c r="G765">
        <v>0.88321112674121605</v>
      </c>
      <c r="H765">
        <v>0.38500192618876727</v>
      </c>
      <c r="I765">
        <v>0.53069496514459047</v>
      </c>
      <c r="J765">
        <v>0.28684011789944269</v>
      </c>
      <c r="L765">
        <v>1.5771359429006215</v>
      </c>
      <c r="M765">
        <v>0.90969769505555909</v>
      </c>
      <c r="N765">
        <v>2.371620234857637</v>
      </c>
      <c r="P765">
        <v>3.0022728192437302E-11</v>
      </c>
      <c r="R765">
        <v>13.007607684548848</v>
      </c>
      <c r="S765">
        <v>13.161138632442416</v>
      </c>
      <c r="T765">
        <v>1</v>
      </c>
      <c r="U765">
        <v>1.7220817826437018</v>
      </c>
    </row>
    <row r="766" spans="1:21">
      <c r="A766">
        <v>1.2566951194288485</v>
      </c>
      <c r="B766">
        <v>0.3523379018573784</v>
      </c>
      <c r="C766">
        <v>-0.15056826030447837</v>
      </c>
      <c r="D766">
        <v>0.45853291021108239</v>
      </c>
      <c r="E766">
        <v>3.0994151654753395E-2</v>
      </c>
      <c r="F766">
        <v>0</v>
      </c>
      <c r="G766">
        <v>0.49060715907270713</v>
      </c>
      <c r="H766">
        <v>0.38277024533926535</v>
      </c>
      <c r="I766">
        <v>0.76368376514074054</v>
      </c>
      <c r="J766">
        <v>0.14049364187178698</v>
      </c>
      <c r="L766">
        <v>1.5771358547022958</v>
      </c>
      <c r="M766">
        <v>0.90969775760752114</v>
      </c>
      <c r="N766">
        <v>2.3716204567327002</v>
      </c>
      <c r="P766">
        <v>3.0138497114158961E-11</v>
      </c>
      <c r="R766">
        <v>13.007607684548848</v>
      </c>
      <c r="S766">
        <v>13.161138632442416</v>
      </c>
      <c r="T766">
        <v>1</v>
      </c>
      <c r="U766">
        <v>1.7220817826437018</v>
      </c>
    </row>
    <row r="767" spans="1:21">
      <c r="A767">
        <v>1.294151688147076</v>
      </c>
      <c r="B767">
        <v>0.35497319185820714</v>
      </c>
      <c r="C767">
        <v>-5.7463298527024254E-2</v>
      </c>
      <c r="D767">
        <v>0</v>
      </c>
      <c r="E767">
        <v>0.66698482543157445</v>
      </c>
      <c r="F767">
        <v>0.38326031675049987</v>
      </c>
      <c r="G767">
        <v>0.64113778747555816</v>
      </c>
      <c r="H767">
        <v>0.98388732416107183</v>
      </c>
      <c r="I767">
        <v>0.12544461052084321</v>
      </c>
      <c r="J767">
        <v>0.76681367462101691</v>
      </c>
      <c r="L767">
        <v>1.5771357807791366</v>
      </c>
      <c r="M767">
        <v>0.9096976677250318</v>
      </c>
      <c r="N767">
        <v>2.3716206613060056</v>
      </c>
      <c r="P767">
        <v>3.1579023383346606E-11</v>
      </c>
      <c r="R767">
        <v>13.007607684548848</v>
      </c>
      <c r="S767">
        <v>13.161138632442416</v>
      </c>
      <c r="T767">
        <v>1</v>
      </c>
      <c r="U767">
        <v>1.7220817826437018</v>
      </c>
    </row>
    <row r="768" spans="1:21">
      <c r="A768">
        <v>1.2520916906882447</v>
      </c>
      <c r="B768">
        <v>0.34699660546395533</v>
      </c>
      <c r="C768">
        <v>-0.14119195403255488</v>
      </c>
      <c r="D768">
        <v>0.69813253018990962</v>
      </c>
      <c r="E768">
        <v>0</v>
      </c>
      <c r="F768">
        <v>0</v>
      </c>
      <c r="G768">
        <v>0</v>
      </c>
      <c r="H768">
        <v>0.60189796726027345</v>
      </c>
      <c r="I768">
        <v>0.72556327739868876</v>
      </c>
      <c r="J768">
        <v>0.72926950760506426</v>
      </c>
      <c r="L768">
        <v>1.5771390051408638</v>
      </c>
      <c r="M768">
        <v>0.90970096633185749</v>
      </c>
      <c r="N768">
        <v>2.371620778991185</v>
      </c>
      <c r="P768">
        <v>1.619392182360179E-12</v>
      </c>
      <c r="R768">
        <v>13.007607684548848</v>
      </c>
      <c r="S768">
        <v>13.161138632442416</v>
      </c>
      <c r="T768">
        <v>1</v>
      </c>
      <c r="U768">
        <v>1.7220817826437018</v>
      </c>
    </row>
    <row r="769" spans="1:21">
      <c r="A769">
        <v>1.2753532156160123</v>
      </c>
      <c r="B769">
        <v>0.3582219945362336</v>
      </c>
      <c r="C769">
        <v>-0.10342599856392687</v>
      </c>
      <c r="D769">
        <v>0</v>
      </c>
      <c r="E769">
        <v>0</v>
      </c>
      <c r="F769">
        <v>0.30342481712111474</v>
      </c>
      <c r="G769">
        <v>0.74751760433076853</v>
      </c>
      <c r="H769">
        <v>0.8695852730517194</v>
      </c>
      <c r="I769">
        <v>0.10471001660280076</v>
      </c>
      <c r="J769">
        <v>0.36316561919676821</v>
      </c>
      <c r="L769">
        <v>1.5771391973614772</v>
      </c>
      <c r="M769">
        <v>0.90970091016183452</v>
      </c>
      <c r="N769">
        <v>2.3716207669439355</v>
      </c>
      <c r="P769">
        <v>1.6779538719797624E-12</v>
      </c>
      <c r="R769">
        <v>13.007607684548848</v>
      </c>
      <c r="S769">
        <v>13.161138632442416</v>
      </c>
      <c r="T769">
        <v>1</v>
      </c>
      <c r="U769">
        <v>1.7220817826437018</v>
      </c>
    </row>
    <row r="770" spans="1:21">
      <c r="A770">
        <v>1.2488786615314296</v>
      </c>
      <c r="B770">
        <v>0.34640864406910393</v>
      </c>
      <c r="C770">
        <v>-0.15119628659095943</v>
      </c>
      <c r="D770">
        <v>0.10769043649278159</v>
      </c>
      <c r="E770">
        <v>0</v>
      </c>
      <c r="F770">
        <v>0</v>
      </c>
      <c r="G770">
        <v>0.21335316933488332</v>
      </c>
      <c r="H770">
        <v>0.18043732125573636</v>
      </c>
      <c r="I770">
        <v>0.99591845035386595</v>
      </c>
      <c r="J770">
        <v>0.8333236549245634</v>
      </c>
      <c r="L770">
        <v>1.5771373895248268</v>
      </c>
      <c r="M770">
        <v>0.90969740864204807</v>
      </c>
      <c r="N770">
        <v>2.3716194563483763</v>
      </c>
      <c r="P770">
        <v>2.569162207123586E-11</v>
      </c>
      <c r="R770">
        <v>13.007607684548848</v>
      </c>
      <c r="S770">
        <v>13.161138632442416</v>
      </c>
      <c r="T770">
        <v>1</v>
      </c>
      <c r="U770">
        <v>1.7220817826437018</v>
      </c>
    </row>
    <row r="771" spans="1:21">
      <c r="A771">
        <v>1.2765279958059728</v>
      </c>
      <c r="B771">
        <v>0.35033824993325563</v>
      </c>
      <c r="C771">
        <v>-9.8585854972854131E-2</v>
      </c>
      <c r="D771">
        <v>0</v>
      </c>
      <c r="E771">
        <v>0.54716814661463287</v>
      </c>
      <c r="F771">
        <v>0</v>
      </c>
      <c r="G771">
        <v>0.45912018782853381</v>
      </c>
      <c r="H771">
        <v>0.41075168192733669</v>
      </c>
      <c r="I771">
        <v>0.63148145600978567</v>
      </c>
      <c r="J771">
        <v>0.57225183915107336</v>
      </c>
      <c r="L771">
        <v>1.57713615070067</v>
      </c>
      <c r="M771">
        <v>0.90969786132980202</v>
      </c>
      <c r="N771">
        <v>2.3716197737226832</v>
      </c>
      <c r="P771">
        <v>2.7438742735249273E-11</v>
      </c>
      <c r="R771">
        <v>13.007607684548848</v>
      </c>
      <c r="S771">
        <v>13.161138632442416</v>
      </c>
      <c r="T771">
        <v>1</v>
      </c>
      <c r="U771">
        <v>1.7220817826437018</v>
      </c>
    </row>
    <row r="772" spans="1:21">
      <c r="A772">
        <v>1.2673536810860151</v>
      </c>
      <c r="B772">
        <v>0.35568369482618933</v>
      </c>
      <c r="C772">
        <v>-0.12531826830897844</v>
      </c>
      <c r="D772">
        <v>0</v>
      </c>
      <c r="E772">
        <v>3.0327302448402073E-2</v>
      </c>
      <c r="F772">
        <v>0.73984818200485691</v>
      </c>
      <c r="G772">
        <v>0.42775837701400166</v>
      </c>
      <c r="H772">
        <v>0.2862234237535406</v>
      </c>
      <c r="I772">
        <v>0.26424232481663551</v>
      </c>
      <c r="J772">
        <v>0.45173518692487818</v>
      </c>
      <c r="L772">
        <v>1.5771359098752633</v>
      </c>
      <c r="M772">
        <v>0.90969775788891138</v>
      </c>
      <c r="N772">
        <v>2.3716203320736597</v>
      </c>
      <c r="P772">
        <v>2.9714263071794054E-11</v>
      </c>
      <c r="R772">
        <v>13.007607684548848</v>
      </c>
      <c r="S772">
        <v>13.161138632442416</v>
      </c>
      <c r="T772">
        <v>1</v>
      </c>
      <c r="U772">
        <v>1.7220817826437018</v>
      </c>
    </row>
    <row r="773" spans="1:21">
      <c r="A773">
        <v>1.3066232945767877</v>
      </c>
      <c r="B773">
        <v>0.35042383642520419</v>
      </c>
      <c r="C773">
        <v>-5.3012353639830333E-2</v>
      </c>
      <c r="D773">
        <v>0.56031745270972289</v>
      </c>
      <c r="E773">
        <v>0.41897555726378349</v>
      </c>
      <c r="F773">
        <v>0</v>
      </c>
      <c r="G773">
        <v>0.90735164292925907</v>
      </c>
      <c r="H773">
        <v>0.72461682554327078</v>
      </c>
      <c r="I773">
        <v>0.18432075539887605</v>
      </c>
      <c r="J773">
        <v>0.37046932166900082</v>
      </c>
      <c r="L773">
        <v>1.5771361371206218</v>
      </c>
      <c r="M773">
        <v>0.90969759515211446</v>
      </c>
      <c r="N773">
        <v>2.3716199214018019</v>
      </c>
      <c r="P773">
        <v>2.9732624142439086E-11</v>
      </c>
      <c r="R773">
        <v>13.007607684548848</v>
      </c>
      <c r="S773">
        <v>13.161138632442416</v>
      </c>
      <c r="T773">
        <v>1</v>
      </c>
      <c r="U773">
        <v>1.7220817826437018</v>
      </c>
    </row>
    <row r="774" spans="1:21">
      <c r="A774">
        <v>1.2690036593407215</v>
      </c>
      <c r="B774">
        <v>0.355829761523073</v>
      </c>
      <c r="C774">
        <v>-0.12192882176816383</v>
      </c>
      <c r="D774">
        <v>0</v>
      </c>
      <c r="E774">
        <v>0.15046105194292242</v>
      </c>
      <c r="F774">
        <v>0</v>
      </c>
      <c r="G774">
        <v>0.69456123029637751</v>
      </c>
      <c r="H774">
        <v>0.51312738045706363</v>
      </c>
      <c r="I774">
        <v>0.47131358561828052</v>
      </c>
      <c r="J774">
        <v>0.12853831045892442</v>
      </c>
      <c r="L774">
        <v>1.5771358535600946</v>
      </c>
      <c r="M774">
        <v>0.90969766231965732</v>
      </c>
      <c r="N774">
        <v>2.3716207360402306</v>
      </c>
      <c r="P774">
        <v>3.1204039107727684E-11</v>
      </c>
      <c r="R774">
        <v>13.007607684548848</v>
      </c>
      <c r="S774">
        <v>13.161138632442416</v>
      </c>
      <c r="T774">
        <v>1</v>
      </c>
      <c r="U774">
        <v>1.7220817826437018</v>
      </c>
    </row>
    <row r="775" spans="1:21">
      <c r="A775">
        <v>1.2738671182342192</v>
      </c>
      <c r="B775">
        <v>0.35212915809171164</v>
      </c>
      <c r="C775">
        <v>-0.10881381511438785</v>
      </c>
      <c r="D775">
        <v>0</v>
      </c>
      <c r="E775">
        <v>0.3597407412040427</v>
      </c>
      <c r="F775">
        <v>0</v>
      </c>
      <c r="G775">
        <v>0.73292403566439357</v>
      </c>
      <c r="H775">
        <v>0.52431287978939589</v>
      </c>
      <c r="I775">
        <v>0.69164061792936304</v>
      </c>
      <c r="J775">
        <v>0.50983916450984601</v>
      </c>
      <c r="L775">
        <v>1.5771364025788519</v>
      </c>
      <c r="M775">
        <v>0.9096976518294525</v>
      </c>
      <c r="N775">
        <v>2.3716197548363773</v>
      </c>
      <c r="P775">
        <v>2.7767501950121323E-11</v>
      </c>
      <c r="R775">
        <v>13.007607684548848</v>
      </c>
      <c r="S775">
        <v>13.161138632442416</v>
      </c>
      <c r="T775">
        <v>1</v>
      </c>
      <c r="U775">
        <v>1.7220817826437018</v>
      </c>
    </row>
    <row r="776" spans="1:21">
      <c r="A776">
        <v>1.2969279374293605</v>
      </c>
      <c r="B776">
        <v>0.34951417256040851</v>
      </c>
      <c r="C776">
        <v>-7.8179723753206407E-2</v>
      </c>
      <c r="D776">
        <v>0.20726838568265837</v>
      </c>
      <c r="E776">
        <v>0.26816935298195765</v>
      </c>
      <c r="F776">
        <v>0.11801339667799658</v>
      </c>
      <c r="G776">
        <v>0.72680999392686318</v>
      </c>
      <c r="H776">
        <v>5.8952126714381839E-2</v>
      </c>
      <c r="I776">
        <v>0.27924417360230219</v>
      </c>
      <c r="J776">
        <v>0.23592762681192539</v>
      </c>
      <c r="L776">
        <v>1.5771359656450512</v>
      </c>
      <c r="M776">
        <v>0.9096977291229924</v>
      </c>
      <c r="N776">
        <v>2.3716200647525061</v>
      </c>
      <c r="P776">
        <v>2.9589916788924454E-11</v>
      </c>
      <c r="R776">
        <v>13.007607684548848</v>
      </c>
      <c r="S776">
        <v>13.161138632442416</v>
      </c>
      <c r="T776">
        <v>1</v>
      </c>
      <c r="U776">
        <v>1.7220817826437018</v>
      </c>
    </row>
    <row r="777" spans="1:21">
      <c r="A777">
        <v>1.283010481807263</v>
      </c>
      <c r="B777">
        <v>0.34798331581532072</v>
      </c>
      <c r="C777">
        <v>-8.9813035738577726E-2</v>
      </c>
      <c r="D777">
        <v>0.2340894404465913</v>
      </c>
      <c r="E777">
        <v>0.25797553571983367</v>
      </c>
      <c r="F777">
        <v>0.45037833299562124</v>
      </c>
      <c r="G777">
        <v>0.28725360935811695</v>
      </c>
      <c r="H777">
        <v>0.21355495510630787</v>
      </c>
      <c r="I777">
        <v>0.32230811624234174</v>
      </c>
      <c r="J777">
        <v>0.7763342602300124</v>
      </c>
      <c r="L777">
        <v>1.5771357841781777</v>
      </c>
      <c r="M777">
        <v>0.90969768583560451</v>
      </c>
      <c r="N777">
        <v>2.371620850274657</v>
      </c>
      <c r="P777">
        <v>3.1610283555734157E-11</v>
      </c>
      <c r="R777">
        <v>13.007607684548848</v>
      </c>
      <c r="S777">
        <v>13.161138632442416</v>
      </c>
      <c r="T777">
        <v>1</v>
      </c>
      <c r="U777">
        <v>1.7220817826437018</v>
      </c>
    </row>
    <row r="778" spans="1:21">
      <c r="A778">
        <v>1.2320504273502153</v>
      </c>
      <c r="B778">
        <v>0.3637510619962987</v>
      </c>
      <c r="C778">
        <v>-0.18221372769176386</v>
      </c>
      <c r="D778">
        <v>0.1655080130655458</v>
      </c>
      <c r="E778">
        <v>0</v>
      </c>
      <c r="F778">
        <v>0.68558263339251058</v>
      </c>
      <c r="G778">
        <v>0</v>
      </c>
      <c r="H778">
        <v>0.81217019202672969</v>
      </c>
      <c r="I778">
        <v>0.32153541576930139</v>
      </c>
      <c r="J778">
        <v>3.6517897738802957E-2</v>
      </c>
      <c r="L778">
        <v>1.5771390701567156</v>
      </c>
      <c r="M778">
        <v>0.90970090125875336</v>
      </c>
      <c r="N778">
        <v>2.3716208004799624</v>
      </c>
      <c r="P778">
        <v>1.7662378428528923E-12</v>
      </c>
      <c r="R778">
        <v>13.007607684548848</v>
      </c>
      <c r="S778">
        <v>13.161138632442416</v>
      </c>
      <c r="T778">
        <v>1</v>
      </c>
      <c r="U778">
        <v>1.7220817826437018</v>
      </c>
    </row>
    <row r="779" spans="1:21">
      <c r="A779">
        <v>1.242439369033103</v>
      </c>
      <c r="B779">
        <v>0.35904210319993185</v>
      </c>
      <c r="C779">
        <v>-0.16640659249647505</v>
      </c>
      <c r="D779">
        <v>0</v>
      </c>
      <c r="E779">
        <v>0</v>
      </c>
      <c r="F779">
        <v>0</v>
      </c>
      <c r="G779">
        <v>0.4589196818003819</v>
      </c>
      <c r="H779">
        <v>0.71208077918892809</v>
      </c>
      <c r="I779">
        <v>0.65380299256281538</v>
      </c>
      <c r="J779">
        <v>6.3222713324002075E-2</v>
      </c>
      <c r="L779">
        <v>1.5771368514235846</v>
      </c>
      <c r="M779">
        <v>0.9096975093148475</v>
      </c>
      <c r="N779">
        <v>2.3716195900441401</v>
      </c>
      <c r="P779">
        <v>2.6869200969156555E-11</v>
      </c>
      <c r="R779">
        <v>13.007607684548848</v>
      </c>
      <c r="S779">
        <v>13.161138632442416</v>
      </c>
      <c r="T779">
        <v>1</v>
      </c>
      <c r="U779">
        <v>1.7220817826437018</v>
      </c>
    </row>
    <row r="780" spans="1:21">
      <c r="A780">
        <v>1.2949228096350753</v>
      </c>
      <c r="B780">
        <v>0.34766325020631123</v>
      </c>
      <c r="C780">
        <v>-7.4292956868302354E-2</v>
      </c>
      <c r="D780">
        <v>0.12183382707152286</v>
      </c>
      <c r="E780">
        <v>0.37162697968926744</v>
      </c>
      <c r="F780">
        <v>0.386741413644342</v>
      </c>
      <c r="G780">
        <v>0.7858729732122528</v>
      </c>
      <c r="H780">
        <v>0.24573597479063483</v>
      </c>
      <c r="I780">
        <v>0.49556788442403371</v>
      </c>
      <c r="J780">
        <v>0.84330238293494386</v>
      </c>
      <c r="L780">
        <v>1.5771358753000546</v>
      </c>
      <c r="M780">
        <v>0.90969764106171147</v>
      </c>
      <c r="N780">
        <v>2.3716204353965478</v>
      </c>
      <c r="P780">
        <v>3.1006946888499575E-11</v>
      </c>
      <c r="R780">
        <v>13.007607684548848</v>
      </c>
      <c r="S780">
        <v>13.161138632442416</v>
      </c>
      <c r="T780">
        <v>1</v>
      </c>
      <c r="U780">
        <v>1.7220817826437018</v>
      </c>
    </row>
    <row r="781" spans="1:21">
      <c r="A781">
        <v>1.2578575205522566</v>
      </c>
      <c r="B781">
        <v>0.35460986748052453</v>
      </c>
      <c r="C781">
        <v>-0.12881754173522236</v>
      </c>
      <c r="D781">
        <v>0</v>
      </c>
      <c r="E781">
        <v>0</v>
      </c>
      <c r="F781">
        <v>0</v>
      </c>
      <c r="G781">
        <v>0.13280803640745723</v>
      </c>
      <c r="H781">
        <v>0.53876141624508533</v>
      </c>
      <c r="I781">
        <v>0.26396966826436241</v>
      </c>
      <c r="J781">
        <v>0.29256358886519795</v>
      </c>
      <c r="L781">
        <v>1.5771390212240546</v>
      </c>
      <c r="M781">
        <v>0.90970089880539839</v>
      </c>
      <c r="N781">
        <v>2.3716207611137405</v>
      </c>
      <c r="P781">
        <v>1.7447404268263295E-12</v>
      </c>
      <c r="R781">
        <v>13.007607684548848</v>
      </c>
      <c r="S781">
        <v>13.161138632442416</v>
      </c>
      <c r="T781">
        <v>1</v>
      </c>
      <c r="U781">
        <v>1.7220817826437018</v>
      </c>
    </row>
    <row r="782" spans="1:21">
      <c r="A782">
        <v>1.28926323553529</v>
      </c>
      <c r="B782">
        <v>0.35076259788705616</v>
      </c>
      <c r="C782">
        <v>-7.4121518878693657E-2</v>
      </c>
      <c r="D782">
        <v>0</v>
      </c>
      <c r="E782">
        <v>0.46253381192786586</v>
      </c>
      <c r="F782">
        <v>0.41272674551040284</v>
      </c>
      <c r="G782">
        <v>0.69604613738982135</v>
      </c>
      <c r="H782">
        <v>0.60572926170903318</v>
      </c>
      <c r="I782">
        <v>0.41104723203930876</v>
      </c>
      <c r="J782">
        <v>0.93645539217094631</v>
      </c>
      <c r="L782">
        <v>1.5771357802071579</v>
      </c>
      <c r="M782">
        <v>0.90969770224302493</v>
      </c>
      <c r="N782">
        <v>2.3716206350900761</v>
      </c>
      <c r="P782">
        <v>3.1256299548665456E-11</v>
      </c>
      <c r="R782">
        <v>13.007607684548848</v>
      </c>
      <c r="S782">
        <v>13.161138632442416</v>
      </c>
      <c r="T782">
        <v>1</v>
      </c>
      <c r="U782">
        <v>1.7220817826437018</v>
      </c>
    </row>
    <row r="783" spans="1:21">
      <c r="A783">
        <v>1.2452736465277148</v>
      </c>
      <c r="B783">
        <v>0.35596196576377864</v>
      </c>
      <c r="C783">
        <v>-0.15863130766513439</v>
      </c>
      <c r="D783">
        <v>0</v>
      </c>
      <c r="E783">
        <v>0.25852568091745659</v>
      </c>
      <c r="F783">
        <v>0.11772515999071081</v>
      </c>
      <c r="G783">
        <v>2.2182590402254249E-2</v>
      </c>
      <c r="H783">
        <v>0.31633257497121642</v>
      </c>
      <c r="I783">
        <v>0.60497830428597743</v>
      </c>
      <c r="J783">
        <v>9.1501018470212428E-2</v>
      </c>
      <c r="L783">
        <v>1.5771360796133544</v>
      </c>
      <c r="M783">
        <v>0.90969764021330457</v>
      </c>
      <c r="N783">
        <v>2.3716203270404224</v>
      </c>
      <c r="P783">
        <v>2.9638690987026442E-11</v>
      </c>
      <c r="R783">
        <v>13.007607684548848</v>
      </c>
      <c r="S783">
        <v>13.161138632442416</v>
      </c>
      <c r="T783">
        <v>1</v>
      </c>
      <c r="U783">
        <v>1.7220817826437018</v>
      </c>
    </row>
    <row r="784" spans="1:21">
      <c r="A784">
        <v>1.2488651302172389</v>
      </c>
      <c r="B784">
        <v>0.35737758946416304</v>
      </c>
      <c r="C784">
        <v>-0.14775406871665955</v>
      </c>
      <c r="D784">
        <v>0.10841511348505958</v>
      </c>
      <c r="E784">
        <v>0</v>
      </c>
      <c r="F784">
        <v>0.34528419674937316</v>
      </c>
      <c r="G784">
        <v>0.41254811727822921</v>
      </c>
      <c r="H784">
        <v>0.90548547941375324</v>
      </c>
      <c r="I784">
        <v>0.52858604067239756</v>
      </c>
      <c r="J784">
        <v>0.54198593122669059</v>
      </c>
      <c r="L784">
        <v>1.5771361134918311</v>
      </c>
      <c r="M784">
        <v>0.90969768471578394</v>
      </c>
      <c r="N784">
        <v>2.3716201476466803</v>
      </c>
      <c r="P784">
        <v>2.9016281811920325E-11</v>
      </c>
      <c r="R784">
        <v>13.007607684548848</v>
      </c>
      <c r="S784">
        <v>13.161138632442416</v>
      </c>
      <c r="T784">
        <v>1</v>
      </c>
      <c r="U784">
        <v>1.7220817826437018</v>
      </c>
    </row>
    <row r="785" spans="1:21">
      <c r="A785">
        <v>1.22634288380819</v>
      </c>
      <c r="B785">
        <v>0.36233486545778737</v>
      </c>
      <c r="C785">
        <v>-0.18640934151573799</v>
      </c>
      <c r="D785">
        <v>0</v>
      </c>
      <c r="E785">
        <v>0</v>
      </c>
      <c r="F785">
        <v>0</v>
      </c>
      <c r="G785">
        <v>0.1657266403933827</v>
      </c>
      <c r="H785">
        <v>1.0122994171356843</v>
      </c>
      <c r="I785">
        <v>0.61560094897172202</v>
      </c>
      <c r="J785">
        <v>2.4280639424107572E-2</v>
      </c>
      <c r="L785">
        <v>1.577136648287268</v>
      </c>
      <c r="M785">
        <v>0.90969750306985253</v>
      </c>
      <c r="N785">
        <v>2.371619816067243</v>
      </c>
      <c r="P785">
        <v>2.7718934539585505E-11</v>
      </c>
      <c r="R785">
        <v>13.007607684548848</v>
      </c>
      <c r="S785">
        <v>13.161138632442416</v>
      </c>
      <c r="T785">
        <v>1</v>
      </c>
      <c r="U785">
        <v>1.7220817826437018</v>
      </c>
    </row>
    <row r="786" spans="1:21">
      <c r="A786">
        <v>1.2521752217724897</v>
      </c>
      <c r="B786">
        <v>0.36127012694890098</v>
      </c>
      <c r="C786">
        <v>-0.15845521816449784</v>
      </c>
      <c r="D786">
        <v>0</v>
      </c>
      <c r="E786">
        <v>0</v>
      </c>
      <c r="F786">
        <v>0.44198308904191358</v>
      </c>
      <c r="G786">
        <v>0.68262023289646945</v>
      </c>
      <c r="H786">
        <v>0.59021586056105713</v>
      </c>
      <c r="I786">
        <v>0.50147859036044773</v>
      </c>
      <c r="J786">
        <v>0</v>
      </c>
      <c r="L786">
        <v>1.577137060829479</v>
      </c>
      <c r="M786">
        <v>0.90969885802992367</v>
      </c>
      <c r="N786">
        <v>2.3716239444630185</v>
      </c>
      <c r="P786">
        <v>2.9168127235408855E-11</v>
      </c>
      <c r="R786">
        <v>13.007607684548848</v>
      </c>
      <c r="S786">
        <v>13.161138632442416</v>
      </c>
      <c r="T786">
        <v>1</v>
      </c>
      <c r="U786">
        <v>1.7220817826437018</v>
      </c>
    </row>
    <row r="787" spans="1:21">
      <c r="A787">
        <v>1.3371815837103396</v>
      </c>
      <c r="B787">
        <v>0.34453678424563489</v>
      </c>
      <c r="C787">
        <v>5.3925604031045101E-3</v>
      </c>
      <c r="D787">
        <v>0</v>
      </c>
      <c r="E787">
        <v>0.74584953938587051</v>
      </c>
      <c r="F787">
        <v>0</v>
      </c>
      <c r="G787">
        <v>0.98189501182362904</v>
      </c>
      <c r="H787">
        <v>9.198231680072734E-2</v>
      </c>
      <c r="I787">
        <v>2.126117143693659E-2</v>
      </c>
      <c r="J787">
        <v>0.67342085496481441</v>
      </c>
      <c r="L787">
        <v>1.5771358375606392</v>
      </c>
      <c r="M787">
        <v>0.90969725444631544</v>
      </c>
      <c r="N787">
        <v>2.371621036423984</v>
      </c>
      <c r="P787">
        <v>3.5492179530678888E-11</v>
      </c>
      <c r="R787">
        <v>13.007607684548848</v>
      </c>
      <c r="S787">
        <v>13.161138632442416</v>
      </c>
      <c r="T787">
        <v>1</v>
      </c>
      <c r="U787">
        <v>1.7220817826437018</v>
      </c>
    </row>
    <row r="788" spans="1:21">
      <c r="A788">
        <v>1.2589845584079533</v>
      </c>
      <c r="B788">
        <v>0.35170673158058402</v>
      </c>
      <c r="C788">
        <v>-0.14445265387720796</v>
      </c>
      <c r="D788">
        <v>0.65235032073083232</v>
      </c>
      <c r="E788">
        <v>0</v>
      </c>
      <c r="F788">
        <v>0.12011710583571264</v>
      </c>
      <c r="G788">
        <v>0.61180154780131102</v>
      </c>
      <c r="H788">
        <v>0.65711406126542071</v>
      </c>
      <c r="I788">
        <v>0.79752391982836179</v>
      </c>
      <c r="J788">
        <v>0.39931591434600477</v>
      </c>
      <c r="L788">
        <v>1.5771369633674288</v>
      </c>
      <c r="M788">
        <v>0.90969769780946608</v>
      </c>
      <c r="N788">
        <v>2.3716192788805057</v>
      </c>
      <c r="P788">
        <v>2.5133034859542744E-11</v>
      </c>
      <c r="R788">
        <v>13.007607684548848</v>
      </c>
      <c r="S788">
        <v>13.161138632442416</v>
      </c>
      <c r="T788">
        <v>1</v>
      </c>
      <c r="U788">
        <v>1.7220817826437018</v>
      </c>
    </row>
    <row r="789" spans="1:21">
      <c r="A789">
        <v>1.2431077081460151</v>
      </c>
      <c r="B789">
        <v>0.35702949871849848</v>
      </c>
      <c r="C789">
        <v>-0.16430397868577151</v>
      </c>
      <c r="D789">
        <v>0</v>
      </c>
      <c r="E789">
        <v>0</v>
      </c>
      <c r="F789">
        <v>0.10234244635437681</v>
      </c>
      <c r="G789">
        <v>0.7984488242273331</v>
      </c>
      <c r="H789">
        <v>0.93300008464902939</v>
      </c>
      <c r="I789">
        <v>0.97172834658582274</v>
      </c>
      <c r="J789">
        <v>0.55456499548871807</v>
      </c>
      <c r="L789">
        <v>1.5771359397685536</v>
      </c>
      <c r="M789">
        <v>0.90969762079288297</v>
      </c>
      <c r="N789">
        <v>2.371620673434915</v>
      </c>
      <c r="P789">
        <v>3.0930358670439034E-11</v>
      </c>
      <c r="R789">
        <v>13.007607684548848</v>
      </c>
      <c r="S789">
        <v>13.161138632442416</v>
      </c>
      <c r="T789">
        <v>1</v>
      </c>
      <c r="U789">
        <v>1.7220817826437018</v>
      </c>
    </row>
    <row r="790" spans="1:21">
      <c r="A790">
        <v>1.25127387895436</v>
      </c>
      <c r="B790">
        <v>0.34898946039023521</v>
      </c>
      <c r="C790">
        <v>-0.14346481126595934</v>
      </c>
      <c r="D790">
        <v>0</v>
      </c>
      <c r="E790">
        <v>0.12164379269521593</v>
      </c>
      <c r="F790">
        <v>0</v>
      </c>
      <c r="G790">
        <v>0.28360543279377404</v>
      </c>
      <c r="H790">
        <v>0.36979081297114835</v>
      </c>
      <c r="I790">
        <v>0.90942519895524121</v>
      </c>
      <c r="J790">
        <v>0.78322982244884343</v>
      </c>
      <c r="L790">
        <v>1.5771363874452899</v>
      </c>
      <c r="M790">
        <v>0.90969772205763266</v>
      </c>
      <c r="N790">
        <v>2.3716197335877389</v>
      </c>
      <c r="P790">
        <v>2.725714923519892E-11</v>
      </c>
      <c r="R790">
        <v>13.007607684548848</v>
      </c>
      <c r="S790">
        <v>13.161138632442416</v>
      </c>
      <c r="T790">
        <v>1</v>
      </c>
      <c r="U790">
        <v>1.7220817826437018</v>
      </c>
    </row>
    <row r="791" spans="1:21">
      <c r="A791">
        <v>1.3878386790221382</v>
      </c>
      <c r="B791">
        <v>0.14882179231933859</v>
      </c>
      <c r="C791">
        <v>1.680525329345125</v>
      </c>
      <c r="D791">
        <v>0</v>
      </c>
      <c r="E791">
        <v>0.2499872622060485</v>
      </c>
      <c r="F791">
        <v>0</v>
      </c>
      <c r="G791">
        <v>0.64153954010697245</v>
      </c>
      <c r="H791">
        <v>0.42012926357003433</v>
      </c>
      <c r="I791">
        <v>0</v>
      </c>
      <c r="J791">
        <v>1.2670283326128928</v>
      </c>
      <c r="L791">
        <v>3.3518072224075461</v>
      </c>
      <c r="M791">
        <v>4.0853165547172026</v>
      </c>
      <c r="N791">
        <v>0.90629439058509598</v>
      </c>
      <c r="P791">
        <v>6.297453257766831E-5</v>
      </c>
      <c r="R791">
        <v>68.770529808690668</v>
      </c>
      <c r="S791">
        <v>79.914011691529879</v>
      </c>
      <c r="T791">
        <v>1</v>
      </c>
      <c r="U791">
        <v>1.796570309367427</v>
      </c>
    </row>
    <row r="792" spans="1:21">
      <c r="A792">
        <v>1.383422821047672</v>
      </c>
      <c r="B792">
        <v>0.1506937348959827</v>
      </c>
      <c r="C792">
        <v>1.7794448006460406</v>
      </c>
      <c r="D792">
        <v>0</v>
      </c>
      <c r="E792">
        <v>0.50052194434756603</v>
      </c>
      <c r="F792">
        <v>0</v>
      </c>
      <c r="G792">
        <v>0.3929502457988957</v>
      </c>
      <c r="H792">
        <v>0.86966591372085766</v>
      </c>
      <c r="I792">
        <v>0</v>
      </c>
      <c r="J792">
        <v>0.75764245293990939</v>
      </c>
      <c r="L792">
        <v>3.3570111975606181</v>
      </c>
      <c r="M792">
        <v>4.0803817471426225</v>
      </c>
      <c r="N792">
        <v>0.9097044006401086</v>
      </c>
      <c r="P792">
        <v>3.0308858519506302E-11</v>
      </c>
      <c r="R792">
        <v>68.770529808690668</v>
      </c>
      <c r="S792">
        <v>79.914011691529879</v>
      </c>
      <c r="T792">
        <v>1</v>
      </c>
      <c r="U792">
        <v>1.796570309367427</v>
      </c>
    </row>
    <row r="793" spans="1:21">
      <c r="A793">
        <v>1.3834734987927506</v>
      </c>
      <c r="B793">
        <v>0.15805611834360331</v>
      </c>
      <c r="C793">
        <v>1.6153002614134744</v>
      </c>
      <c r="D793">
        <v>0</v>
      </c>
      <c r="E793">
        <v>0.28661747677283145</v>
      </c>
      <c r="F793">
        <v>0</v>
      </c>
      <c r="G793">
        <v>0</v>
      </c>
      <c r="H793">
        <v>1.3263395298754437</v>
      </c>
      <c r="I793">
        <v>0</v>
      </c>
      <c r="J793">
        <v>0.84310734905266194</v>
      </c>
      <c r="L793">
        <v>3.3570108602219313</v>
      </c>
      <c r="M793">
        <v>4.0803818667453156</v>
      </c>
      <c r="N793">
        <v>0.90970490566501072</v>
      </c>
      <c r="P793">
        <v>2.9859755950787764E-11</v>
      </c>
      <c r="R793">
        <v>68.770529808690668</v>
      </c>
      <c r="S793">
        <v>79.914011691529879</v>
      </c>
      <c r="T793">
        <v>1</v>
      </c>
      <c r="U793">
        <v>1.796570309367427</v>
      </c>
    </row>
    <row r="794" spans="1:21">
      <c r="A794">
        <v>1.3799022566030337</v>
      </c>
      <c r="B794">
        <v>0.14723174004266429</v>
      </c>
      <c r="C794">
        <v>1.6521169383223</v>
      </c>
      <c r="D794">
        <v>1.757693428654478E-2</v>
      </c>
      <c r="E794">
        <v>0.24335754618860994</v>
      </c>
      <c r="F794">
        <v>0</v>
      </c>
      <c r="G794">
        <v>0</v>
      </c>
      <c r="H794">
        <v>1.2065990518359251</v>
      </c>
      <c r="I794">
        <v>0.39638227832256345</v>
      </c>
      <c r="J794">
        <v>1.3092992575707925</v>
      </c>
      <c r="L794">
        <v>3.3570103510445124</v>
      </c>
      <c r="M794">
        <v>4.0803819244696946</v>
      </c>
      <c r="N794">
        <v>0.90970443258408495</v>
      </c>
      <c r="P794">
        <v>2.4094055674930705E-11</v>
      </c>
      <c r="R794">
        <v>68.770529808690668</v>
      </c>
      <c r="S794">
        <v>79.914011691529879</v>
      </c>
      <c r="T794">
        <v>1</v>
      </c>
      <c r="U794">
        <v>1.796570309367427</v>
      </c>
    </row>
    <row r="795" spans="1:21">
      <c r="A795">
        <v>1.3800117820805136</v>
      </c>
      <c r="B795">
        <v>0.14455399956808376</v>
      </c>
      <c r="C795">
        <v>1.8760878698758834</v>
      </c>
      <c r="D795">
        <v>0</v>
      </c>
      <c r="E795">
        <v>0.25373776922501912</v>
      </c>
      <c r="F795">
        <v>0</v>
      </c>
      <c r="G795">
        <v>0.35199785457455773</v>
      </c>
      <c r="H795">
        <v>0.7239461537988009</v>
      </c>
      <c r="I795">
        <v>0</v>
      </c>
      <c r="J795">
        <v>0.67104942660277911</v>
      </c>
      <c r="L795">
        <v>3.3570109531640404</v>
      </c>
      <c r="M795">
        <v>4.0803819255174458</v>
      </c>
      <c r="N795">
        <v>0.90970481735643338</v>
      </c>
      <c r="P795">
        <v>2.9546791275587389E-11</v>
      </c>
      <c r="R795">
        <v>68.770529808690668</v>
      </c>
      <c r="S795">
        <v>79.914011691529879</v>
      </c>
      <c r="T795">
        <v>1</v>
      </c>
      <c r="U795">
        <v>1.796570309367427</v>
      </c>
    </row>
    <row r="796" spans="1:21">
      <c r="A796">
        <v>1.3810379593368982</v>
      </c>
      <c r="B796">
        <v>0.14917373283361995</v>
      </c>
      <c r="C796">
        <v>1.8690612368806452</v>
      </c>
      <c r="D796">
        <v>0.37275650906352559</v>
      </c>
      <c r="E796">
        <v>0.34137014256180898</v>
      </c>
      <c r="F796">
        <v>0.10405050114887276</v>
      </c>
      <c r="G796">
        <v>0.58062182342166735</v>
      </c>
      <c r="H796">
        <v>1.3262081830361201</v>
      </c>
      <c r="I796">
        <v>6.5685077409750797E-2</v>
      </c>
      <c r="J796">
        <v>0.65977172511575111</v>
      </c>
      <c r="L796">
        <v>3.3570109849206919</v>
      </c>
      <c r="M796">
        <v>4.0803823040518239</v>
      </c>
      <c r="N796">
        <v>0.90970435833942742</v>
      </c>
      <c r="P796">
        <v>2.4987729908316655E-11</v>
      </c>
      <c r="R796">
        <v>68.770529808690668</v>
      </c>
      <c r="S796">
        <v>79.914011691529879</v>
      </c>
      <c r="T796">
        <v>1</v>
      </c>
      <c r="U796">
        <v>1.796570309367427</v>
      </c>
    </row>
    <row r="797" spans="1:21">
      <c r="A797">
        <v>1.3797420337160953</v>
      </c>
      <c r="B797">
        <v>0.14296528041202003</v>
      </c>
      <c r="C797">
        <v>1.9339258234786267</v>
      </c>
      <c r="D797">
        <v>3.3328902870043385E-2</v>
      </c>
      <c r="E797">
        <v>0.30072309677865461</v>
      </c>
      <c r="F797">
        <v>2.8380012263321926E-2</v>
      </c>
      <c r="G797">
        <v>0.56181934047276616</v>
      </c>
      <c r="H797">
        <v>0.73253681607982579</v>
      </c>
      <c r="I797">
        <v>5.1182894954548107E-2</v>
      </c>
      <c r="J797">
        <v>0.65692535281050257</v>
      </c>
      <c r="L797">
        <v>3.3570044464692934</v>
      </c>
      <c r="M797">
        <v>4.0803718271734466</v>
      </c>
      <c r="N797">
        <v>0.90970323642231676</v>
      </c>
      <c r="P797">
        <v>1.9521548453295356E-10</v>
      </c>
      <c r="R797">
        <v>68.770529808690668</v>
      </c>
      <c r="S797">
        <v>79.914011691529879</v>
      </c>
      <c r="T797">
        <v>1</v>
      </c>
      <c r="U797">
        <v>1.796570309367427</v>
      </c>
    </row>
    <row r="798" spans="1:21">
      <c r="A798">
        <v>1.3856343584888826</v>
      </c>
      <c r="B798">
        <v>0.14960351125493532</v>
      </c>
      <c r="C798">
        <v>1.6729379513116898</v>
      </c>
      <c r="D798">
        <v>0</v>
      </c>
      <c r="E798">
        <v>0.64541987968756254</v>
      </c>
      <c r="F798">
        <v>0</v>
      </c>
      <c r="G798">
        <v>0.17504250744100006</v>
      </c>
      <c r="H798">
        <v>0.63911856377476883</v>
      </c>
      <c r="I798">
        <v>0</v>
      </c>
      <c r="J798">
        <v>1.1188493859782762</v>
      </c>
      <c r="L798">
        <v>3.3570111304460162</v>
      </c>
      <c r="M798">
        <v>4.0803815280279183</v>
      </c>
      <c r="N798">
        <v>0.90970440480324677</v>
      </c>
      <c r="P798">
        <v>3.1498135554207175E-11</v>
      </c>
      <c r="R798">
        <v>68.770529808690668</v>
      </c>
      <c r="S798">
        <v>79.914011691529879</v>
      </c>
      <c r="T798">
        <v>1</v>
      </c>
      <c r="U798">
        <v>1.796570309367427</v>
      </c>
    </row>
    <row r="799" spans="1:21">
      <c r="A799">
        <v>1.3775221755430898</v>
      </c>
      <c r="B799">
        <v>0.14253893373044232</v>
      </c>
      <c r="C799">
        <v>1.7745416743474864</v>
      </c>
      <c r="D799">
        <v>0</v>
      </c>
      <c r="E799">
        <v>0.30556253653280302</v>
      </c>
      <c r="F799">
        <v>0</v>
      </c>
      <c r="G799">
        <v>0</v>
      </c>
      <c r="H799">
        <v>0.93961563538194959</v>
      </c>
      <c r="I799">
        <v>0.40637223400194611</v>
      </c>
      <c r="J799">
        <v>1.040044990314535</v>
      </c>
      <c r="L799">
        <v>3.3570096188143785</v>
      </c>
      <c r="M799">
        <v>4.0803807241559902</v>
      </c>
      <c r="N799">
        <v>0.90970385380813934</v>
      </c>
      <c r="P799">
        <v>2.8092047341356054E-11</v>
      </c>
      <c r="R799">
        <v>68.770529808690668</v>
      </c>
      <c r="S799">
        <v>79.914011691529879</v>
      </c>
      <c r="T799">
        <v>1</v>
      </c>
      <c r="U799">
        <v>1.796570309367427</v>
      </c>
    </row>
    <row r="800" spans="1:21">
      <c r="A800">
        <v>1.3839135078121796</v>
      </c>
      <c r="B800">
        <v>0.14699848864144444</v>
      </c>
      <c r="C800">
        <v>1.6998153514998102</v>
      </c>
      <c r="D800">
        <v>0</v>
      </c>
      <c r="E800">
        <v>0.9482293861808555</v>
      </c>
      <c r="F800">
        <v>0</v>
      </c>
      <c r="G800">
        <v>0.15163451459953575</v>
      </c>
      <c r="H800">
        <v>0.64853493924526495</v>
      </c>
      <c r="I800">
        <v>0.3272341905745883</v>
      </c>
      <c r="J800">
        <v>1.1464331406266424</v>
      </c>
      <c r="L800">
        <v>3.3570105092877154</v>
      </c>
      <c r="M800">
        <v>4.0803824440257186</v>
      </c>
      <c r="N800">
        <v>0.90970470518122815</v>
      </c>
      <c r="P800">
        <v>2.3012764865342967E-11</v>
      </c>
      <c r="R800">
        <v>68.770529808690668</v>
      </c>
      <c r="S800">
        <v>79.914011691529879</v>
      </c>
      <c r="T800">
        <v>1</v>
      </c>
      <c r="U800">
        <v>1.796570309367427</v>
      </c>
    </row>
    <row r="801" spans="1:21">
      <c r="A801">
        <v>1.3825871397352207</v>
      </c>
      <c r="B801">
        <v>0.15470705818010419</v>
      </c>
      <c r="C801">
        <v>1.6766618364029882</v>
      </c>
      <c r="D801">
        <v>0</v>
      </c>
      <c r="E801">
        <v>0.22818457224995137</v>
      </c>
      <c r="F801">
        <v>2.6120968555665071E-2</v>
      </c>
      <c r="G801">
        <v>0</v>
      </c>
      <c r="H801">
        <v>1.0084755824190845</v>
      </c>
      <c r="I801">
        <v>0</v>
      </c>
      <c r="J801">
        <v>0.70581031708845665</v>
      </c>
      <c r="L801">
        <v>3.3550781652040458</v>
      </c>
      <c r="M801">
        <v>4.0822500065186986</v>
      </c>
      <c r="N801">
        <v>0.90808421971313735</v>
      </c>
      <c r="P801">
        <v>9.8176750440324258E-6</v>
      </c>
      <c r="R801">
        <v>68.770529808690668</v>
      </c>
      <c r="S801">
        <v>79.914011691529879</v>
      </c>
      <c r="T801">
        <v>1</v>
      </c>
      <c r="U801">
        <v>1.796570309367427</v>
      </c>
    </row>
    <row r="802" spans="1:21">
      <c r="A802">
        <v>1.3814842635831703</v>
      </c>
      <c r="B802">
        <v>0.13879750567553167</v>
      </c>
      <c r="C802">
        <v>1.7849187785811571</v>
      </c>
      <c r="D802">
        <v>0.17675874717846693</v>
      </c>
      <c r="E802">
        <v>0.50735962020308878</v>
      </c>
      <c r="F802">
        <v>0</v>
      </c>
      <c r="G802">
        <v>0.12610303002673343</v>
      </c>
      <c r="H802">
        <v>0.46757056956185722</v>
      </c>
      <c r="I802">
        <v>0.15150254138168109</v>
      </c>
      <c r="J802">
        <v>1.2180273348038146</v>
      </c>
      <c r="L802">
        <v>3.3570104607350797</v>
      </c>
      <c r="M802">
        <v>4.0803825029220731</v>
      </c>
      <c r="N802">
        <v>0.90970463967282555</v>
      </c>
      <c r="P802">
        <v>2.2067131334879941E-11</v>
      </c>
      <c r="R802">
        <v>68.770529808690668</v>
      </c>
      <c r="S802">
        <v>79.914011691529879</v>
      </c>
      <c r="T802">
        <v>1</v>
      </c>
      <c r="U802">
        <v>1.796570309367427</v>
      </c>
    </row>
    <row r="803" spans="1:21">
      <c r="A803">
        <v>1.3839073952985488</v>
      </c>
      <c r="B803">
        <v>0.15979270263520157</v>
      </c>
      <c r="C803">
        <v>1.7128042506872683</v>
      </c>
      <c r="D803">
        <v>0</v>
      </c>
      <c r="E803">
        <v>0.58851685510888041</v>
      </c>
      <c r="F803">
        <v>0</v>
      </c>
      <c r="G803">
        <v>0.23938727770492296</v>
      </c>
      <c r="H803">
        <v>1.2815714774112588</v>
      </c>
      <c r="I803">
        <v>0</v>
      </c>
      <c r="J803">
        <v>0.46238760295890075</v>
      </c>
      <c r="L803">
        <v>3.3570085913446035</v>
      </c>
      <c r="M803">
        <v>4.0803797653741816</v>
      </c>
      <c r="N803">
        <v>0.90970378760689596</v>
      </c>
      <c r="P803">
        <v>3.487269056770937E-11</v>
      </c>
      <c r="R803">
        <v>68.770529808690668</v>
      </c>
      <c r="S803">
        <v>79.914011691529879</v>
      </c>
      <c r="T803">
        <v>1</v>
      </c>
      <c r="U803">
        <v>1.796570309367427</v>
      </c>
    </row>
    <row r="804" spans="1:21">
      <c r="A804">
        <v>1.3783747572970522</v>
      </c>
      <c r="B804">
        <v>0.13306305571934132</v>
      </c>
      <c r="C804">
        <v>1.9956860783891972</v>
      </c>
      <c r="D804">
        <v>0</v>
      </c>
      <c r="E804">
        <v>1.2809362251857774</v>
      </c>
      <c r="F804">
        <v>0</v>
      </c>
      <c r="G804">
        <v>0.36897184536501787</v>
      </c>
      <c r="H804">
        <v>0.62488452681793361</v>
      </c>
      <c r="I804">
        <v>0.21735165665321962</v>
      </c>
      <c r="J804">
        <v>1.1062021746778135</v>
      </c>
      <c r="L804">
        <v>3.3670569824454466</v>
      </c>
      <c r="M804">
        <v>4.0709279677626542</v>
      </c>
      <c r="N804">
        <v>0.91760003826144554</v>
      </c>
      <c r="P804">
        <v>2.5280708280942286E-4</v>
      </c>
      <c r="R804">
        <v>68.770529808690668</v>
      </c>
      <c r="S804">
        <v>79.914011691529879</v>
      </c>
      <c r="T804">
        <v>1</v>
      </c>
      <c r="U804">
        <v>1.796570309367427</v>
      </c>
    </row>
    <row r="805" spans="1:21">
      <c r="A805">
        <v>1.3751908483996205</v>
      </c>
      <c r="B805">
        <v>0.13254553427509994</v>
      </c>
      <c r="C805">
        <v>1.8904873719732425</v>
      </c>
      <c r="D805">
        <v>0</v>
      </c>
      <c r="E805">
        <v>0.30228093848749782</v>
      </c>
      <c r="F805">
        <v>0.50533387758695325</v>
      </c>
      <c r="G805">
        <v>0</v>
      </c>
      <c r="H805">
        <v>0.45379075867711222</v>
      </c>
      <c r="I805">
        <v>0.43933432374716547</v>
      </c>
      <c r="J805">
        <v>1.3975234746774245</v>
      </c>
      <c r="L805">
        <v>3.3570105160743724</v>
      </c>
      <c r="M805">
        <v>4.0803825684905215</v>
      </c>
      <c r="N805">
        <v>0.90970439601440278</v>
      </c>
      <c r="P805">
        <v>2.0807320132254387E-11</v>
      </c>
      <c r="R805">
        <v>68.770529808690668</v>
      </c>
      <c r="S805">
        <v>79.914011691529879</v>
      </c>
      <c r="T805">
        <v>1</v>
      </c>
      <c r="U805">
        <v>1.796570309367427</v>
      </c>
    </row>
    <row r="806" spans="1:21">
      <c r="A806">
        <v>1.3816730858085686</v>
      </c>
      <c r="B806">
        <v>0.14124197265829283</v>
      </c>
      <c r="C806">
        <v>1.9257131318742713</v>
      </c>
      <c r="D806">
        <v>1.421939248354855E-3</v>
      </c>
      <c r="E806">
        <v>0.43189485432240504</v>
      </c>
      <c r="F806">
        <v>0</v>
      </c>
      <c r="G806">
        <v>0.66196756521448463</v>
      </c>
      <c r="H806">
        <v>0.4838757672512784</v>
      </c>
      <c r="I806">
        <v>1.2639652019009993E-2</v>
      </c>
      <c r="J806">
        <v>0.80723167064999646</v>
      </c>
      <c r="L806">
        <v>3.3570116493530686</v>
      </c>
      <c r="M806">
        <v>4.0803822788715225</v>
      </c>
      <c r="N806">
        <v>0.90970446736237387</v>
      </c>
      <c r="P806">
        <v>3.0391149239234032E-11</v>
      </c>
      <c r="R806">
        <v>68.770529808690668</v>
      </c>
      <c r="S806">
        <v>79.914011691529879</v>
      </c>
      <c r="T806">
        <v>1</v>
      </c>
      <c r="U806">
        <v>1.796570309367427</v>
      </c>
    </row>
    <row r="807" spans="1:21">
      <c r="A807">
        <v>1.3843127061520404</v>
      </c>
      <c r="B807">
        <v>0.14832933626809627</v>
      </c>
      <c r="C807">
        <v>1.7571628076656716</v>
      </c>
      <c r="D807">
        <v>0</v>
      </c>
      <c r="E807">
        <v>0.35009087586861415</v>
      </c>
      <c r="F807">
        <v>3.9598834927221112E-2</v>
      </c>
      <c r="G807">
        <v>0.55788934177198324</v>
      </c>
      <c r="H807">
        <v>0.85194558785085361</v>
      </c>
      <c r="I807">
        <v>0</v>
      </c>
      <c r="J807">
        <v>1.1082497246092589</v>
      </c>
      <c r="L807">
        <v>3.3570109920690654</v>
      </c>
      <c r="M807">
        <v>4.0803820537063613</v>
      </c>
      <c r="N807">
        <v>0.90970475056297473</v>
      </c>
      <c r="P807">
        <v>2.8572620694494779E-11</v>
      </c>
      <c r="R807">
        <v>68.770529808690668</v>
      </c>
      <c r="S807">
        <v>79.914011691529879</v>
      </c>
      <c r="T807">
        <v>1</v>
      </c>
      <c r="U807">
        <v>1.796570309367427</v>
      </c>
    </row>
    <row r="808" spans="1:21">
      <c r="A808">
        <v>1.3851263289481088</v>
      </c>
      <c r="B808">
        <v>0.14510797766170644</v>
      </c>
      <c r="C808">
        <v>1.7204035882554696</v>
      </c>
      <c r="D808">
        <v>0</v>
      </c>
      <c r="E808">
        <v>0.70859931885712124</v>
      </c>
      <c r="F808">
        <v>0</v>
      </c>
      <c r="G808">
        <v>0.40257448953122499</v>
      </c>
      <c r="H808">
        <v>0.56315802265788895</v>
      </c>
      <c r="I808">
        <v>0.16103198346547989</v>
      </c>
      <c r="J808">
        <v>1.3053596204985842</v>
      </c>
      <c r="L808">
        <v>3.3570075170120077</v>
      </c>
      <c r="M808">
        <v>4.0803840049204885</v>
      </c>
      <c r="N808">
        <v>0.90970242943425395</v>
      </c>
      <c r="P808">
        <v>2.0003577191292081E-12</v>
      </c>
      <c r="R808">
        <v>68.770529808690668</v>
      </c>
      <c r="S808">
        <v>79.914011691529879</v>
      </c>
      <c r="T808">
        <v>1</v>
      </c>
      <c r="U808">
        <v>1.796570309367427</v>
      </c>
    </row>
    <row r="809" spans="1:21">
      <c r="A809">
        <v>1.3999831602451727</v>
      </c>
      <c r="B809">
        <v>0.18402570324746453</v>
      </c>
      <c r="C809">
        <v>1.2849108160951139</v>
      </c>
      <c r="D809">
        <v>0</v>
      </c>
      <c r="E809">
        <v>0.25476620319295007</v>
      </c>
      <c r="F809">
        <v>0.38325368906561252</v>
      </c>
      <c r="G809">
        <v>0.67988816705792898</v>
      </c>
      <c r="H809">
        <v>0.77933627018217821</v>
      </c>
      <c r="I809">
        <v>0</v>
      </c>
      <c r="J809">
        <v>0.66085024934384407</v>
      </c>
      <c r="L809">
        <v>3.3364695458075904</v>
      </c>
      <c r="M809">
        <v>4.0996252546724978</v>
      </c>
      <c r="N809">
        <v>0.89182398848295508</v>
      </c>
      <c r="P809">
        <v>1.1116175004075956E-3</v>
      </c>
      <c r="R809">
        <v>68.770529808690668</v>
      </c>
      <c r="S809">
        <v>79.914011691529879</v>
      </c>
      <c r="T809">
        <v>1</v>
      </c>
      <c r="U809">
        <v>1.796570309367427</v>
      </c>
    </row>
    <row r="810" spans="1:21">
      <c r="A810">
        <v>1.385355161850266</v>
      </c>
      <c r="B810">
        <v>0.16005446938161166</v>
      </c>
      <c r="C810">
        <v>1.6994082906767818</v>
      </c>
      <c r="D810">
        <v>0</v>
      </c>
      <c r="E810">
        <v>0.463260703071875</v>
      </c>
      <c r="F810">
        <v>0.27455280446489788</v>
      </c>
      <c r="G810">
        <v>0.55303758236370038</v>
      </c>
      <c r="H810">
        <v>1.4173284242209743</v>
      </c>
      <c r="I810">
        <v>0</v>
      </c>
      <c r="J810">
        <v>0.87042043321989704</v>
      </c>
      <c r="L810">
        <v>3.3570058179446876</v>
      </c>
      <c r="M810">
        <v>4.0803823240031152</v>
      </c>
      <c r="N810">
        <v>0.90970231493879516</v>
      </c>
      <c r="P810">
        <v>1.2969856794322263E-11</v>
      </c>
      <c r="R810">
        <v>68.770529808690668</v>
      </c>
      <c r="S810">
        <v>79.914011691529879</v>
      </c>
      <c r="T810">
        <v>1</v>
      </c>
      <c r="U810">
        <v>1.796570309367427</v>
      </c>
    </row>
    <row r="811" spans="1:21">
      <c r="A811">
        <v>1.3810456176782062</v>
      </c>
      <c r="B811">
        <v>0.13693166569169168</v>
      </c>
      <c r="C811">
        <v>1.9415845974990247</v>
      </c>
      <c r="D811">
        <v>0</v>
      </c>
      <c r="E811">
        <v>0.25386886599274217</v>
      </c>
      <c r="F811">
        <v>4.7670494417436711E-2</v>
      </c>
      <c r="G811">
        <v>0.70518849871649658</v>
      </c>
      <c r="H811">
        <v>0.35895545903197096</v>
      </c>
      <c r="I811">
        <v>0</v>
      </c>
      <c r="J811">
        <v>1.0341941238137959</v>
      </c>
      <c r="L811">
        <v>3.3570109114659412</v>
      </c>
      <c r="M811">
        <v>4.0803819162669672</v>
      </c>
      <c r="N811">
        <v>0.90970470714860407</v>
      </c>
      <c r="P811">
        <v>2.875137474021333E-11</v>
      </c>
      <c r="R811">
        <v>68.770529808690668</v>
      </c>
      <c r="S811">
        <v>79.914011691529879</v>
      </c>
      <c r="T811">
        <v>1</v>
      </c>
      <c r="U811">
        <v>1.796570309367427</v>
      </c>
    </row>
    <row r="812" spans="1:21">
      <c r="A812">
        <v>1.3830075989171189</v>
      </c>
      <c r="B812">
        <v>0.14918337254530115</v>
      </c>
      <c r="C812">
        <v>1.7644259372078444</v>
      </c>
      <c r="D812">
        <v>0</v>
      </c>
      <c r="E812">
        <v>0.23326542752680313</v>
      </c>
      <c r="F812">
        <v>0</v>
      </c>
      <c r="G812">
        <v>0.48069357131006407</v>
      </c>
      <c r="H812">
        <v>0.97510940804785595</v>
      </c>
      <c r="I812">
        <v>0</v>
      </c>
      <c r="J812">
        <v>0.97252830698580994</v>
      </c>
      <c r="L812">
        <v>3.3570109692453536</v>
      </c>
      <c r="M812">
        <v>4.0803820635615144</v>
      </c>
      <c r="N812">
        <v>0.9097049076466891</v>
      </c>
      <c r="P812">
        <v>2.9227436364147671E-11</v>
      </c>
      <c r="R812">
        <v>68.770529808690668</v>
      </c>
      <c r="S812">
        <v>79.914011691529879</v>
      </c>
      <c r="T812">
        <v>1</v>
      </c>
      <c r="U812">
        <v>1.796570309367427</v>
      </c>
    </row>
    <row r="813" spans="1:21">
      <c r="A813">
        <v>1.3821840403245984</v>
      </c>
      <c r="B813">
        <v>0.1481714809844091</v>
      </c>
      <c r="C813">
        <v>1.8652632864592031</v>
      </c>
      <c r="D813">
        <v>0</v>
      </c>
      <c r="E813">
        <v>0.38695761658209815</v>
      </c>
      <c r="F813">
        <v>0</v>
      </c>
      <c r="G813">
        <v>0.61266604971130012</v>
      </c>
      <c r="H813">
        <v>0.86521100566774845</v>
      </c>
      <c r="I813">
        <v>0</v>
      </c>
      <c r="J813">
        <v>0.67014199663297069</v>
      </c>
      <c r="L813">
        <v>3.3570112725782195</v>
      </c>
      <c r="M813">
        <v>4.0803819119495808</v>
      </c>
      <c r="N813">
        <v>0.90970431332341928</v>
      </c>
      <c r="P813">
        <v>2.9270803022967191E-11</v>
      </c>
      <c r="R813">
        <v>68.770529808690668</v>
      </c>
      <c r="S813">
        <v>79.914011691529879</v>
      </c>
      <c r="T813">
        <v>1</v>
      </c>
      <c r="U813">
        <v>1.796570309367427</v>
      </c>
    </row>
    <row r="814" spans="1:21">
      <c r="A814">
        <v>1.3736268856465328</v>
      </c>
      <c r="B814">
        <v>0.13446871182121609</v>
      </c>
      <c r="C814">
        <v>2.0438707684875221</v>
      </c>
      <c r="D814">
        <v>0</v>
      </c>
      <c r="E814">
        <v>0.23320347224536073</v>
      </c>
      <c r="F814">
        <v>0.57942315013863599</v>
      </c>
      <c r="G814">
        <v>0.74373735064019375</v>
      </c>
      <c r="H814">
        <v>0.96737640413781067</v>
      </c>
      <c r="I814">
        <v>0.62525322273748907</v>
      </c>
      <c r="J814">
        <v>1.1710314271617941</v>
      </c>
      <c r="L814">
        <v>3.357010747932637</v>
      </c>
      <c r="M814">
        <v>4.0803823438547315</v>
      </c>
      <c r="N814">
        <v>0.90970403856838278</v>
      </c>
      <c r="P814">
        <v>2.1908392662816856E-11</v>
      </c>
      <c r="R814">
        <v>68.770529808690668</v>
      </c>
      <c r="S814">
        <v>79.914011691529879</v>
      </c>
      <c r="T814">
        <v>1</v>
      </c>
      <c r="U814">
        <v>1.796570309367427</v>
      </c>
    </row>
    <row r="815" spans="1:21">
      <c r="A815">
        <v>1.3807854355757676</v>
      </c>
      <c r="B815">
        <v>0.14541601998907777</v>
      </c>
      <c r="C815">
        <v>2.0341044767771539</v>
      </c>
      <c r="D815">
        <v>0</v>
      </c>
      <c r="E815">
        <v>1.0775260747141957</v>
      </c>
      <c r="F815">
        <v>0.304397794070845</v>
      </c>
      <c r="G815">
        <v>0.742954249027307</v>
      </c>
      <c r="H815">
        <v>0.55455821731330668</v>
      </c>
      <c r="I815">
        <v>0.22363377101226162</v>
      </c>
      <c r="J815">
        <v>0.34890127343534322</v>
      </c>
      <c r="L815">
        <v>3.3570104543137855</v>
      </c>
      <c r="M815">
        <v>4.0803825144530883</v>
      </c>
      <c r="N815">
        <v>0.90970460716315216</v>
      </c>
      <c r="P815">
        <v>2.1800713014050441E-11</v>
      </c>
      <c r="R815">
        <v>68.770529808690668</v>
      </c>
      <c r="S815">
        <v>79.914011691529879</v>
      </c>
      <c r="T815">
        <v>1</v>
      </c>
      <c r="U815">
        <v>1.796570309367427</v>
      </c>
    </row>
    <row r="816" spans="1:21">
      <c r="A816">
        <v>1.3810981004978358</v>
      </c>
      <c r="B816">
        <v>0.14744417530503037</v>
      </c>
      <c r="C816">
        <v>1.7498732032080599</v>
      </c>
      <c r="D816">
        <v>0</v>
      </c>
      <c r="E816">
        <v>0.29590922708263895</v>
      </c>
      <c r="F816">
        <v>0</v>
      </c>
      <c r="G816">
        <v>0.34116225506180897</v>
      </c>
      <c r="H816">
        <v>1.0654554273668835</v>
      </c>
      <c r="I816">
        <v>0.23163620229720755</v>
      </c>
      <c r="J816">
        <v>1.0664042372865841</v>
      </c>
      <c r="L816">
        <v>3.3570085742258562</v>
      </c>
      <c r="M816">
        <v>4.0803792276899911</v>
      </c>
      <c r="N816">
        <v>0.9097060195900365</v>
      </c>
      <c r="P816">
        <v>5.3794910007125715E-11</v>
      </c>
      <c r="R816">
        <v>68.770529808690668</v>
      </c>
      <c r="S816">
        <v>79.914011691529879</v>
      </c>
      <c r="T816">
        <v>1</v>
      </c>
      <c r="U816">
        <v>1.796570309367427</v>
      </c>
    </row>
    <row r="817" spans="1:21">
      <c r="A817">
        <v>1.3803442119637939</v>
      </c>
      <c r="B817">
        <v>0.14032473282734334</v>
      </c>
      <c r="C817">
        <v>1.9563504283453614</v>
      </c>
      <c r="D817">
        <v>0.33237885086142294</v>
      </c>
      <c r="E817">
        <v>0.67225383536523853</v>
      </c>
      <c r="F817">
        <v>0</v>
      </c>
      <c r="G817">
        <v>0.30940619632285526</v>
      </c>
      <c r="H817">
        <v>0.4863970964363627</v>
      </c>
      <c r="I817">
        <v>0</v>
      </c>
      <c r="J817">
        <v>0.49841909148327623</v>
      </c>
      <c r="L817">
        <v>3.3570082322630768</v>
      </c>
      <c r="M817">
        <v>4.080379901889585</v>
      </c>
      <c r="N817">
        <v>0.90970362375064351</v>
      </c>
      <c r="P817">
        <v>3.2355379526344452E-11</v>
      </c>
      <c r="R817">
        <v>68.770529808690668</v>
      </c>
      <c r="S817">
        <v>79.914011691529879</v>
      </c>
      <c r="T817">
        <v>1</v>
      </c>
      <c r="U817">
        <v>1.796570309367427</v>
      </c>
    </row>
    <row r="818" spans="1:21">
      <c r="A818">
        <v>1.3855874444322043</v>
      </c>
      <c r="B818">
        <v>0.14544408976562345</v>
      </c>
      <c r="C818">
        <v>1.6726842125251136</v>
      </c>
      <c r="D818">
        <v>0</v>
      </c>
      <c r="E818">
        <v>0.42151267888401278</v>
      </c>
      <c r="F818">
        <v>0</v>
      </c>
      <c r="G818">
        <v>0.41206437400833074</v>
      </c>
      <c r="H818">
        <v>0.75247582100020927</v>
      </c>
      <c r="I818">
        <v>2.5864261941850587E-5</v>
      </c>
      <c r="J818">
        <v>1.564739660997881</v>
      </c>
      <c r="L818">
        <v>3.3586682975518669</v>
      </c>
      <c r="M818">
        <v>4.0787681653857728</v>
      </c>
      <c r="N818">
        <v>0.91117244425638799</v>
      </c>
      <c r="P818">
        <v>7.5347100149421896E-6</v>
      </c>
      <c r="R818">
        <v>68.770529808690668</v>
      </c>
      <c r="S818">
        <v>79.914011691529879</v>
      </c>
      <c r="T818">
        <v>1</v>
      </c>
      <c r="U818">
        <v>1.796570309367427</v>
      </c>
    </row>
    <row r="819" spans="1:21">
      <c r="A819">
        <v>1.3807968734025686</v>
      </c>
      <c r="B819">
        <v>0.14904878484247111</v>
      </c>
      <c r="C819">
        <v>1.778315704520147</v>
      </c>
      <c r="D819">
        <v>0</v>
      </c>
      <c r="E819">
        <v>0.39955351911556997</v>
      </c>
      <c r="F819">
        <v>0.11639238546028294</v>
      </c>
      <c r="G819">
        <v>0</v>
      </c>
      <c r="H819">
        <v>0.79707390060019812</v>
      </c>
      <c r="I819">
        <v>0</v>
      </c>
      <c r="J819">
        <v>0.69708613011974985</v>
      </c>
      <c r="L819">
        <v>3.3570107247737293</v>
      </c>
      <c r="M819">
        <v>4.0803838907673429</v>
      </c>
      <c r="N819">
        <v>0.90970473583931011</v>
      </c>
      <c r="P819">
        <v>1.8088301760133941E-11</v>
      </c>
      <c r="R819">
        <v>68.770529808690668</v>
      </c>
      <c r="S819">
        <v>79.914011691529879</v>
      </c>
      <c r="T819">
        <v>1</v>
      </c>
      <c r="U819">
        <v>1.796570309367427</v>
      </c>
    </row>
    <row r="820" spans="1:21">
      <c r="A820">
        <v>1.3810942235301977</v>
      </c>
      <c r="B820">
        <v>0.14792508497775633</v>
      </c>
      <c r="C820">
        <v>1.9096760715290386</v>
      </c>
      <c r="D820">
        <v>0</v>
      </c>
      <c r="E820">
        <v>1.0054803379044641</v>
      </c>
      <c r="F820">
        <v>0</v>
      </c>
      <c r="G820">
        <v>0.62543636459869711</v>
      </c>
      <c r="H820">
        <v>0.88208332776413478</v>
      </c>
      <c r="I820">
        <v>0.4015522897860675</v>
      </c>
      <c r="J820">
        <v>0.50669334727718351</v>
      </c>
      <c r="L820">
        <v>3.3570104998679864</v>
      </c>
      <c r="M820">
        <v>4.0803824642923674</v>
      </c>
      <c r="N820">
        <v>0.90970466479820633</v>
      </c>
      <c r="P820">
        <v>2.2632144195206528E-11</v>
      </c>
      <c r="R820">
        <v>68.770529808690668</v>
      </c>
      <c r="S820">
        <v>79.914011691529879</v>
      </c>
      <c r="T820">
        <v>1</v>
      </c>
      <c r="U820">
        <v>1.796570309367427</v>
      </c>
    </row>
    <row r="821" spans="1:21">
      <c r="A821">
        <v>1.4329857263296581</v>
      </c>
      <c r="B821">
        <v>0.15393593381284956</v>
      </c>
      <c r="C821">
        <v>-0.24925970521920263</v>
      </c>
      <c r="D821">
        <v>0</v>
      </c>
      <c r="E821">
        <v>0.49811837801571673</v>
      </c>
      <c r="F821">
        <v>0</v>
      </c>
      <c r="G821">
        <v>0.41148808283430266</v>
      </c>
      <c r="H821">
        <v>0.28636870730174097</v>
      </c>
      <c r="I821">
        <v>0</v>
      </c>
      <c r="J821">
        <v>9.8807444518661913E-2</v>
      </c>
      <c r="L821">
        <v>3.3570087019871404</v>
      </c>
      <c r="M821">
        <v>4.0803839885907651</v>
      </c>
      <c r="N821">
        <v>2.3716205422472574</v>
      </c>
      <c r="P821">
        <v>2.8872330026745202E-12</v>
      </c>
      <c r="R821">
        <v>14.245348623121403</v>
      </c>
      <c r="S821">
        <v>14.309656637068336</v>
      </c>
      <c r="T821">
        <v>1</v>
      </c>
      <c r="U821">
        <v>1.8075850280983563</v>
      </c>
    </row>
    <row r="822" spans="1:21">
      <c r="A822">
        <v>1.4262922873334534</v>
      </c>
      <c r="B822">
        <v>0.15570624156844676</v>
      </c>
      <c r="C822">
        <v>-0.24208747150252088</v>
      </c>
      <c r="D822">
        <v>2.2239226060776572E-2</v>
      </c>
      <c r="E822">
        <v>0</v>
      </c>
      <c r="F822">
        <v>0</v>
      </c>
      <c r="G822">
        <v>9.4150948203725771E-2</v>
      </c>
      <c r="H822">
        <v>0.97072997727491805</v>
      </c>
      <c r="I822">
        <v>0.23111851848777706</v>
      </c>
      <c r="J822">
        <v>0.37521724238673249</v>
      </c>
      <c r="L822">
        <v>3.3570085434531851</v>
      </c>
      <c r="M822">
        <v>4.0803841613847247</v>
      </c>
      <c r="N822">
        <v>2.3716208170167201</v>
      </c>
      <c r="P822">
        <v>2.4387146277122643E-12</v>
      </c>
      <c r="R822">
        <v>14.245348623121403</v>
      </c>
      <c r="S822">
        <v>14.309656637068336</v>
      </c>
      <c r="T822">
        <v>1</v>
      </c>
      <c r="U822">
        <v>1.8075850280983563</v>
      </c>
    </row>
    <row r="823" spans="1:21">
      <c r="A823">
        <v>1.4318349615278834</v>
      </c>
      <c r="B823">
        <v>0.1352652079765094</v>
      </c>
      <c r="C823">
        <v>-0.28881661793984026</v>
      </c>
      <c r="D823">
        <v>0.62338385587197576</v>
      </c>
      <c r="E823">
        <v>0.53821346996233377</v>
      </c>
      <c r="F823">
        <v>0.55422210515769377</v>
      </c>
      <c r="G823">
        <v>0.51051456518369276</v>
      </c>
      <c r="H823">
        <v>0.28065618116632657</v>
      </c>
      <c r="I823">
        <v>0.52681608356831611</v>
      </c>
      <c r="J823">
        <v>0.76915410472856727</v>
      </c>
      <c r="L823">
        <v>3.357008623787709</v>
      </c>
      <c r="M823">
        <v>4.080384143094312</v>
      </c>
      <c r="N823">
        <v>2.3716206648995697</v>
      </c>
      <c r="P823">
        <v>2.4486508920234733E-12</v>
      </c>
      <c r="R823">
        <v>14.245348623121403</v>
      </c>
      <c r="S823">
        <v>14.309656637068336</v>
      </c>
      <c r="T823">
        <v>1</v>
      </c>
      <c r="U823">
        <v>1.8075850280983563</v>
      </c>
    </row>
    <row r="824" spans="1:21">
      <c r="A824">
        <v>1.4263144247793433</v>
      </c>
      <c r="B824">
        <v>0.13597640382123427</v>
      </c>
      <c r="C824">
        <v>-0.30424248706364343</v>
      </c>
      <c r="D824">
        <v>3.6630311994877061E-2</v>
      </c>
      <c r="E824">
        <v>0</v>
      </c>
      <c r="F824">
        <v>0.5888070482982477</v>
      </c>
      <c r="G824">
        <v>0.61205177864301408</v>
      </c>
      <c r="H824">
        <v>0.70159631205476958</v>
      </c>
      <c r="I824">
        <v>0.95646632733584469</v>
      </c>
      <c r="J824">
        <v>0.70269215820343756</v>
      </c>
      <c r="L824">
        <v>3.3570085634171378</v>
      </c>
      <c r="M824">
        <v>4.0803841344508278</v>
      </c>
      <c r="N824">
        <v>2.3716208039100835</v>
      </c>
      <c r="P824">
        <v>2.5193432816322355E-12</v>
      </c>
      <c r="R824">
        <v>14.245348623121403</v>
      </c>
      <c r="S824">
        <v>14.309656637068336</v>
      </c>
      <c r="T824">
        <v>1</v>
      </c>
      <c r="U824">
        <v>1.8075850280983563</v>
      </c>
    </row>
    <row r="825" spans="1:21">
      <c r="A825">
        <v>1.4276281091335086</v>
      </c>
      <c r="B825">
        <v>0.12905066831908196</v>
      </c>
      <c r="C825">
        <v>-0.31421620073137224</v>
      </c>
      <c r="D825">
        <v>0</v>
      </c>
      <c r="E825">
        <v>0</v>
      </c>
      <c r="F825">
        <v>0</v>
      </c>
      <c r="G825">
        <v>0.51062866317656908</v>
      </c>
      <c r="H825">
        <v>0.11670343201854737</v>
      </c>
      <c r="I825">
        <v>0.82537464077413247</v>
      </c>
      <c r="J825">
        <v>0.33007168169001594</v>
      </c>
      <c r="L825">
        <v>3.3570086019960566</v>
      </c>
      <c r="M825">
        <v>4.0803841280032236</v>
      </c>
      <c r="N825">
        <v>2.3716207266374378</v>
      </c>
      <c r="P825">
        <v>2.5102980538229961E-12</v>
      </c>
      <c r="R825">
        <v>14.245348623121403</v>
      </c>
      <c r="S825">
        <v>14.309656637068336</v>
      </c>
      <c r="T825">
        <v>1</v>
      </c>
      <c r="U825">
        <v>1.8075850280983563</v>
      </c>
    </row>
    <row r="826" spans="1:21">
      <c r="A826">
        <v>1.4301604061763302</v>
      </c>
      <c r="B826">
        <v>0.15261699689705255</v>
      </c>
      <c r="C826">
        <v>-0.23636011056164064</v>
      </c>
      <c r="D826">
        <v>0</v>
      </c>
      <c r="E826">
        <v>0.86805048712578003</v>
      </c>
      <c r="F826">
        <v>0</v>
      </c>
      <c r="G826">
        <v>0.15652334847937477</v>
      </c>
      <c r="H826">
        <v>0.33693279992253738</v>
      </c>
      <c r="I826">
        <v>0.37138176893804764</v>
      </c>
      <c r="J826">
        <v>0.57072179327947181</v>
      </c>
      <c r="L826">
        <v>3.3570086240126704</v>
      </c>
      <c r="M826">
        <v>4.0803841501623852</v>
      </c>
      <c r="N826">
        <v>2.3716206484424176</v>
      </c>
      <c r="P826">
        <v>2.4166360114064505E-12</v>
      </c>
      <c r="R826">
        <v>14.245348623121403</v>
      </c>
      <c r="S826">
        <v>14.309656637068336</v>
      </c>
      <c r="T826">
        <v>1</v>
      </c>
      <c r="U826">
        <v>1.8075850280983563</v>
      </c>
    </row>
    <row r="827" spans="1:21">
      <c r="A827">
        <v>1.4307233550784453</v>
      </c>
      <c r="B827">
        <v>0.1283017545706156</v>
      </c>
      <c r="C827">
        <v>-0.32064185901346698</v>
      </c>
      <c r="D827">
        <v>0.92504608499265151</v>
      </c>
      <c r="E827">
        <v>0</v>
      </c>
      <c r="F827">
        <v>0</v>
      </c>
      <c r="G827">
        <v>0.92151627666122093</v>
      </c>
      <c r="H827">
        <v>0.80393659357900971</v>
      </c>
      <c r="I827">
        <v>0.76308847139671998</v>
      </c>
      <c r="J827">
        <v>0.30201802636558617</v>
      </c>
      <c r="L827">
        <v>3.3570084362002204</v>
      </c>
      <c r="M827">
        <v>4.0803841385228301</v>
      </c>
      <c r="N827">
        <v>2.3716209958095242</v>
      </c>
      <c r="P827">
        <v>2.5915405535766801E-12</v>
      </c>
      <c r="R827">
        <v>14.245348623121403</v>
      </c>
      <c r="S827">
        <v>14.309656637068336</v>
      </c>
      <c r="T827">
        <v>1</v>
      </c>
      <c r="U827">
        <v>1.8075850280983563</v>
      </c>
    </row>
    <row r="828" spans="1:21">
      <c r="A828">
        <v>1.4315127087493711</v>
      </c>
      <c r="B828">
        <v>0.14283445043798063</v>
      </c>
      <c r="C828">
        <v>-0.27617176883569172</v>
      </c>
      <c r="D828">
        <v>0</v>
      </c>
      <c r="E828">
        <v>0</v>
      </c>
      <c r="F828">
        <v>0</v>
      </c>
      <c r="G828">
        <v>0.97876416948200529</v>
      </c>
      <c r="H828">
        <v>0.54528653995288012</v>
      </c>
      <c r="I828">
        <v>0.43759200727511427</v>
      </c>
      <c r="J828">
        <v>0.59972712123176053</v>
      </c>
      <c r="L828">
        <v>3.3570086319372678</v>
      </c>
      <c r="M828">
        <v>4.0803841366282354</v>
      </c>
      <c r="N828">
        <v>2.3716206588954059</v>
      </c>
      <c r="P828">
        <v>2.4729457684646353E-12</v>
      </c>
      <c r="R828">
        <v>14.245348623121403</v>
      </c>
      <c r="S828">
        <v>14.309656637068336</v>
      </c>
      <c r="T828">
        <v>1</v>
      </c>
      <c r="U828">
        <v>1.8075850280983563</v>
      </c>
    </row>
    <row r="829" spans="1:21">
      <c r="A829">
        <v>1.4342629155812405</v>
      </c>
      <c r="B829">
        <v>0.1557659805460852</v>
      </c>
      <c r="C829">
        <v>-0.25427026934910768</v>
      </c>
      <c r="D829">
        <v>0.28891742932632475</v>
      </c>
      <c r="E829">
        <v>0.76275207005902335</v>
      </c>
      <c r="F829">
        <v>0.1455624432573471</v>
      </c>
      <c r="G829">
        <v>0.78842426153930634</v>
      </c>
      <c r="H829">
        <v>0.78353740555761919</v>
      </c>
      <c r="I829">
        <v>0.27010072463692758</v>
      </c>
      <c r="J829">
        <v>0.11949203642594647</v>
      </c>
      <c r="L829">
        <v>3.3570085860416521</v>
      </c>
      <c r="M829">
        <v>4.0803841490861421</v>
      </c>
      <c r="N829">
        <v>2.3716207554840865</v>
      </c>
      <c r="P829">
        <v>2.4640350043082232E-12</v>
      </c>
      <c r="R829">
        <v>14.245348623121403</v>
      </c>
      <c r="S829">
        <v>14.309656637068336</v>
      </c>
      <c r="T829">
        <v>1</v>
      </c>
      <c r="U829">
        <v>1.8075850280983563</v>
      </c>
    </row>
    <row r="830" spans="1:21">
      <c r="A830">
        <v>1.4270104950040086</v>
      </c>
      <c r="B830">
        <v>0.14152352209636943</v>
      </c>
      <c r="C830">
        <v>-0.27556703048871684</v>
      </c>
      <c r="D830">
        <v>0</v>
      </c>
      <c r="E830">
        <v>0</v>
      </c>
      <c r="F830">
        <v>0</v>
      </c>
      <c r="G830">
        <v>0.39248929065732024</v>
      </c>
      <c r="H830">
        <v>0.56064081638916008</v>
      </c>
      <c r="I830">
        <v>0.5847588658063142</v>
      </c>
      <c r="J830">
        <v>0.55655009488430363</v>
      </c>
      <c r="L830">
        <v>3.3570085813432362</v>
      </c>
      <c r="M830">
        <v>4.0803841599992019</v>
      </c>
      <c r="N830">
        <v>2.3716207480180049</v>
      </c>
      <c r="P830">
        <v>2.4216830569359934E-12</v>
      </c>
      <c r="R830">
        <v>14.245348623121403</v>
      </c>
      <c r="S830">
        <v>14.309656637068336</v>
      </c>
      <c r="T830">
        <v>1</v>
      </c>
      <c r="U830">
        <v>1.8075850280983563</v>
      </c>
    </row>
    <row r="831" spans="1:21">
      <c r="A831">
        <v>1.4279061114641372</v>
      </c>
      <c r="B831">
        <v>0.14028395421388345</v>
      </c>
      <c r="C831">
        <v>-0.27198329044639014</v>
      </c>
      <c r="D831">
        <v>0.42647077813482304</v>
      </c>
      <c r="E831">
        <v>0.20635046410012706</v>
      </c>
      <c r="F831">
        <v>0</v>
      </c>
      <c r="G831">
        <v>0.68212147103503695</v>
      </c>
      <c r="H831">
        <v>0.97609431829046567</v>
      </c>
      <c r="I831">
        <v>0.80809071160767332</v>
      </c>
      <c r="J831">
        <v>0.91463543846104312</v>
      </c>
      <c r="L831">
        <v>3.3570085017586591</v>
      </c>
      <c r="M831">
        <v>4.0803841557731912</v>
      </c>
      <c r="N831">
        <v>2.3716208775796002</v>
      </c>
      <c r="P831">
        <v>2.4674418830964807E-12</v>
      </c>
      <c r="R831">
        <v>14.245348623121403</v>
      </c>
      <c r="S831">
        <v>14.309656637068336</v>
      </c>
      <c r="T831">
        <v>1</v>
      </c>
      <c r="U831">
        <v>1.8075850280983563</v>
      </c>
    </row>
    <row r="832" spans="1:21">
      <c r="A832">
        <v>1.431931329498785</v>
      </c>
      <c r="B832">
        <v>0.14346476418439635</v>
      </c>
      <c r="C832">
        <v>-0.27399306282652414</v>
      </c>
      <c r="D832">
        <v>0</v>
      </c>
      <c r="E832">
        <v>0</v>
      </c>
      <c r="F832">
        <v>4.6048678253969411E-2</v>
      </c>
      <c r="G832">
        <v>0.76771749136372391</v>
      </c>
      <c r="H832">
        <v>0.32653351819995552</v>
      </c>
      <c r="I832">
        <v>0.23002047778444959</v>
      </c>
      <c r="J832">
        <v>0.46696113197521422</v>
      </c>
      <c r="L832">
        <v>3.3570085884307761</v>
      </c>
      <c r="M832">
        <v>4.0803841514163013</v>
      </c>
      <c r="N832">
        <v>2.3716207446156612</v>
      </c>
      <c r="P832">
        <v>2.4502501431449253E-12</v>
      </c>
      <c r="R832">
        <v>14.245348623121403</v>
      </c>
      <c r="S832">
        <v>14.309656637068336</v>
      </c>
      <c r="T832">
        <v>1</v>
      </c>
      <c r="U832">
        <v>1.8075850280983563</v>
      </c>
    </row>
    <row r="833" spans="1:21">
      <c r="A833">
        <v>1.4247160101887495</v>
      </c>
      <c r="B833">
        <v>0.14151389159670036</v>
      </c>
      <c r="C833">
        <v>-0.27521648878036459</v>
      </c>
      <c r="D833">
        <v>0</v>
      </c>
      <c r="E833">
        <v>0</v>
      </c>
      <c r="F833">
        <v>0</v>
      </c>
      <c r="G833">
        <v>0.32044816030028228</v>
      </c>
      <c r="H833">
        <v>0.79900049729664524</v>
      </c>
      <c r="I833">
        <v>0.80907579858241274</v>
      </c>
      <c r="J833">
        <v>0.65931271288538129</v>
      </c>
      <c r="L833">
        <v>3.3570085663898479</v>
      </c>
      <c r="M833">
        <v>4.0803841719657985</v>
      </c>
      <c r="N833">
        <v>2.371620769405073</v>
      </c>
      <c r="P833">
        <v>2.3930280906551561E-12</v>
      </c>
      <c r="R833">
        <v>14.245348623121403</v>
      </c>
      <c r="S833">
        <v>14.309656637068336</v>
      </c>
      <c r="T833">
        <v>1</v>
      </c>
      <c r="U833">
        <v>1.8075850280983563</v>
      </c>
    </row>
    <row r="834" spans="1:21">
      <c r="A834">
        <v>1.4295082374466708</v>
      </c>
      <c r="B834">
        <v>0.1261980757717078</v>
      </c>
      <c r="C834">
        <v>-0.31389257451089636</v>
      </c>
      <c r="D834">
        <v>0.91052242152142382</v>
      </c>
      <c r="E834">
        <v>0</v>
      </c>
      <c r="F834">
        <v>0.277054077479362</v>
      </c>
      <c r="G834">
        <v>0.13295831717875964</v>
      </c>
      <c r="H834">
        <v>0.14000567192550631</v>
      </c>
      <c r="I834">
        <v>0.3672749395422466</v>
      </c>
      <c r="J834">
        <v>0.33185458638502258</v>
      </c>
      <c r="L834">
        <v>3.3570086453238153</v>
      </c>
      <c r="M834">
        <v>4.0803841465666837</v>
      </c>
      <c r="N834">
        <v>2.3716206200648697</v>
      </c>
      <c r="P834">
        <v>2.437715382578718E-12</v>
      </c>
      <c r="R834">
        <v>14.245348623121403</v>
      </c>
      <c r="S834">
        <v>14.309656637068336</v>
      </c>
      <c r="T834">
        <v>1</v>
      </c>
      <c r="U834">
        <v>1.8075850280983563</v>
      </c>
    </row>
    <row r="835" spans="1:21">
      <c r="A835">
        <v>1.4313785010155111</v>
      </c>
      <c r="B835">
        <v>0.16096289772967423</v>
      </c>
      <c r="C835">
        <v>-0.22964171729253882</v>
      </c>
      <c r="D835">
        <v>0.24958194793606339</v>
      </c>
      <c r="E835">
        <v>0.87139992282750189</v>
      </c>
      <c r="F835">
        <v>0</v>
      </c>
      <c r="G835">
        <v>0.41035144448370564</v>
      </c>
      <c r="H835">
        <v>0.96928468682202762</v>
      </c>
      <c r="I835">
        <v>0.30202501968014711</v>
      </c>
      <c r="J835">
        <v>0.29039129217863618</v>
      </c>
      <c r="L835">
        <v>3.3570085939216554</v>
      </c>
      <c r="M835">
        <v>4.0803841524295237</v>
      </c>
      <c r="N835">
        <v>2.3716207263859763</v>
      </c>
      <c r="P835">
        <v>2.4371457733736264E-12</v>
      </c>
      <c r="R835">
        <v>14.245348623121403</v>
      </c>
      <c r="S835">
        <v>14.309656637068336</v>
      </c>
      <c r="T835">
        <v>1</v>
      </c>
      <c r="U835">
        <v>1.8075850280983563</v>
      </c>
    </row>
    <row r="836" spans="1:21">
      <c r="A836">
        <v>1.4264019650446451</v>
      </c>
      <c r="B836">
        <v>0.13055284550517793</v>
      </c>
      <c r="C836">
        <v>-0.29788904256134974</v>
      </c>
      <c r="D836">
        <v>0</v>
      </c>
      <c r="E836">
        <v>2.8482366050345046E-2</v>
      </c>
      <c r="F836">
        <v>0.57363138543528547</v>
      </c>
      <c r="G836">
        <v>0.18729282906620995</v>
      </c>
      <c r="H836">
        <v>1.6175356716301131E-2</v>
      </c>
      <c r="I836">
        <v>0.70566437044728114</v>
      </c>
      <c r="J836">
        <v>0.94716876092484403</v>
      </c>
      <c r="L836">
        <v>3.3570086146927731</v>
      </c>
      <c r="M836">
        <v>4.0803841578507827</v>
      </c>
      <c r="N836">
        <v>2.3716206693778696</v>
      </c>
      <c r="P836">
        <v>2.4016723477290261E-12</v>
      </c>
      <c r="R836">
        <v>14.245348623121403</v>
      </c>
      <c r="S836">
        <v>14.309656637068336</v>
      </c>
      <c r="T836">
        <v>1</v>
      </c>
      <c r="U836">
        <v>1.8075850280983563</v>
      </c>
    </row>
    <row r="837" spans="1:21">
      <c r="A837">
        <v>1.429748402362514</v>
      </c>
      <c r="B837">
        <v>0.14708079198253235</v>
      </c>
      <c r="C837">
        <v>-0.26817464723083922</v>
      </c>
      <c r="D837">
        <v>2.0547811262451372E-2</v>
      </c>
      <c r="E837">
        <v>0</v>
      </c>
      <c r="F837">
        <v>0.12858316411294141</v>
      </c>
      <c r="G837">
        <v>0.66234565209089091</v>
      </c>
      <c r="H837">
        <v>0.68949933866057367</v>
      </c>
      <c r="I837">
        <v>0.36715845220974369</v>
      </c>
      <c r="J837">
        <v>0.50051603025848268</v>
      </c>
      <c r="L837">
        <v>3.357008572306925</v>
      </c>
      <c r="M837">
        <v>4.0803841405041945</v>
      </c>
      <c r="N837">
        <v>2.3716207811972776</v>
      </c>
      <c r="P837">
        <v>2.4917733228872946E-12</v>
      </c>
      <c r="R837">
        <v>14.245348623121403</v>
      </c>
      <c r="S837">
        <v>14.309656637068336</v>
      </c>
      <c r="T837">
        <v>1</v>
      </c>
      <c r="U837">
        <v>1.8075850280983563</v>
      </c>
    </row>
    <row r="838" spans="1:21">
      <c r="A838">
        <v>1.4271040452322239</v>
      </c>
      <c r="B838">
        <v>0.13208606208951135</v>
      </c>
      <c r="C838">
        <v>-0.31916857463796283</v>
      </c>
      <c r="D838">
        <v>0</v>
      </c>
      <c r="E838">
        <v>0</v>
      </c>
      <c r="F838">
        <v>0</v>
      </c>
      <c r="G838">
        <v>0.63458873529434379</v>
      </c>
      <c r="H838">
        <v>0.45006561584079613</v>
      </c>
      <c r="I838">
        <v>0.9586287690500056</v>
      </c>
      <c r="J838">
        <v>8.9725399174318529E-2</v>
      </c>
      <c r="L838">
        <v>3.3570085448355504</v>
      </c>
      <c r="M838">
        <v>4.0803841516213044</v>
      </c>
      <c r="N838">
        <v>2.3716208330331812</v>
      </c>
      <c r="P838">
        <v>2.4846014284697074E-12</v>
      </c>
      <c r="R838">
        <v>14.245348623121403</v>
      </c>
      <c r="S838">
        <v>14.309656637068336</v>
      </c>
      <c r="T838">
        <v>1</v>
      </c>
      <c r="U838">
        <v>1.8075850280983563</v>
      </c>
    </row>
    <row r="839" spans="1:21">
      <c r="A839">
        <v>1.4329883694043992</v>
      </c>
      <c r="B839">
        <v>0.1391949321653099</v>
      </c>
      <c r="C839">
        <v>-0.26492162907158362</v>
      </c>
      <c r="D839">
        <v>0</v>
      </c>
      <c r="E839">
        <v>0</v>
      </c>
      <c r="F839">
        <v>0</v>
      </c>
      <c r="G839">
        <v>0.81599339114350811</v>
      </c>
      <c r="H839">
        <v>5.8474701946394482E-3</v>
      </c>
      <c r="I839">
        <v>0.15105681417773373</v>
      </c>
      <c r="J839">
        <v>0.98408598673038383</v>
      </c>
      <c r="L839">
        <v>3.3570086126465646</v>
      </c>
      <c r="M839">
        <v>4.0803841529719707</v>
      </c>
      <c r="N839">
        <v>2.3716206783562797</v>
      </c>
      <c r="P839">
        <v>2.4185136410714125E-12</v>
      </c>
      <c r="R839">
        <v>14.245348623121403</v>
      </c>
      <c r="S839">
        <v>14.309656637068336</v>
      </c>
      <c r="T839">
        <v>1</v>
      </c>
      <c r="U839">
        <v>1.8075850280983563</v>
      </c>
    </row>
    <row r="840" spans="1:21">
      <c r="A840">
        <v>1.4325502335032734</v>
      </c>
      <c r="B840">
        <v>0.14761164942017846</v>
      </c>
      <c r="C840">
        <v>-0.25459991711861563</v>
      </c>
      <c r="D840">
        <v>0</v>
      </c>
      <c r="E840">
        <v>0.43495489895331008</v>
      </c>
      <c r="F840">
        <v>0</v>
      </c>
      <c r="G840">
        <v>0.44335571198652479</v>
      </c>
      <c r="H840">
        <v>9.4717539063224193E-2</v>
      </c>
      <c r="I840">
        <v>0.11069780437668657</v>
      </c>
      <c r="J840">
        <v>0.44145540417392537</v>
      </c>
      <c r="L840">
        <v>3.3570084781740115</v>
      </c>
      <c r="M840">
        <v>4.0803841602093209</v>
      </c>
      <c r="N840">
        <v>2.3716209123775216</v>
      </c>
      <c r="P840">
        <v>2.4710854696742852E-12</v>
      </c>
      <c r="R840">
        <v>14.245348623121403</v>
      </c>
      <c r="S840">
        <v>14.309656637068336</v>
      </c>
      <c r="T840">
        <v>1</v>
      </c>
      <c r="U840">
        <v>1.8075850280983563</v>
      </c>
    </row>
    <row r="841" spans="1:21">
      <c r="A841">
        <v>1.429026647303751</v>
      </c>
      <c r="B841">
        <v>0.14273604057872469</v>
      </c>
      <c r="C841">
        <v>-0.28475965907780487</v>
      </c>
      <c r="D841">
        <v>0</v>
      </c>
      <c r="E841">
        <v>0.11847130419671784</v>
      </c>
      <c r="F841">
        <v>0.19506891562143203</v>
      </c>
      <c r="G841">
        <v>0.18077119705039313</v>
      </c>
      <c r="H841">
        <v>0.18952087496332226</v>
      </c>
      <c r="I841">
        <v>0.28795977147302093</v>
      </c>
      <c r="J841">
        <v>3.9373831532559189E-2</v>
      </c>
      <c r="L841">
        <v>3.3570085545535311</v>
      </c>
      <c r="M841">
        <v>4.0803841585973366</v>
      </c>
      <c r="N841">
        <v>2.3716208028059684</v>
      </c>
      <c r="P841">
        <v>2.4454439670821113E-12</v>
      </c>
      <c r="R841">
        <v>14.245348623121403</v>
      </c>
      <c r="S841">
        <v>14.309656637068336</v>
      </c>
      <c r="T841">
        <v>1</v>
      </c>
      <c r="U841">
        <v>1.8075850280983563</v>
      </c>
    </row>
    <row r="842" spans="1:21">
      <c r="A842">
        <v>1.4252873277220046</v>
      </c>
      <c r="B842">
        <v>0.15059396979460177</v>
      </c>
      <c r="C842">
        <v>-0.23530634112747742</v>
      </c>
      <c r="D842">
        <v>0</v>
      </c>
      <c r="E842">
        <v>0.64342415441924627</v>
      </c>
      <c r="F842">
        <v>0</v>
      </c>
      <c r="G842">
        <v>4.2181279398128803E-2</v>
      </c>
      <c r="H842">
        <v>0.78374677193440212</v>
      </c>
      <c r="I842">
        <v>0.75097950583462136</v>
      </c>
      <c r="J842">
        <v>0.97068356808101453</v>
      </c>
      <c r="L842">
        <v>3.3570085401496699</v>
      </c>
      <c r="M842">
        <v>4.0803841830036784</v>
      </c>
      <c r="N842">
        <v>2.3716207927441499</v>
      </c>
      <c r="P842">
        <v>2.3526130236818818E-12</v>
      </c>
      <c r="R842">
        <v>14.245348623121403</v>
      </c>
      <c r="S842">
        <v>14.309656637068336</v>
      </c>
      <c r="T842">
        <v>1</v>
      </c>
      <c r="U842">
        <v>1.8075850280983563</v>
      </c>
    </row>
    <row r="843" spans="1:21">
      <c r="A843">
        <v>1.4322017133144225</v>
      </c>
      <c r="B843">
        <v>0.1440905370919052</v>
      </c>
      <c r="C843">
        <v>-0.26318575953801837</v>
      </c>
      <c r="D843">
        <v>0</v>
      </c>
      <c r="E843">
        <v>0</v>
      </c>
      <c r="F843">
        <v>0</v>
      </c>
      <c r="G843">
        <v>0.53489720601486479</v>
      </c>
      <c r="H843">
        <v>8.3223583328314824E-2</v>
      </c>
      <c r="I843">
        <v>0</v>
      </c>
      <c r="J843">
        <v>0.52475921199456166</v>
      </c>
      <c r="L843">
        <v>3.3570078417414306</v>
      </c>
      <c r="M843">
        <v>4.0803851671768241</v>
      </c>
      <c r="N843">
        <v>2.3716202907595685</v>
      </c>
      <c r="P843">
        <v>5.2584348671880426E-14</v>
      </c>
      <c r="R843">
        <v>14.245348623121403</v>
      </c>
      <c r="S843">
        <v>14.309656637068336</v>
      </c>
      <c r="T843">
        <v>1</v>
      </c>
      <c r="U843">
        <v>1.8075850280983563</v>
      </c>
    </row>
    <row r="844" spans="1:21">
      <c r="A844">
        <v>1.429493793890785</v>
      </c>
      <c r="B844">
        <v>0.13156123300736752</v>
      </c>
      <c r="C844">
        <v>-0.29832990591420289</v>
      </c>
      <c r="D844">
        <v>0.3466976210543703</v>
      </c>
      <c r="E844">
        <v>0</v>
      </c>
      <c r="F844">
        <v>0.32507390535075198</v>
      </c>
      <c r="G844">
        <v>0.44849729526845755</v>
      </c>
      <c r="H844">
        <v>0.16696954959961816</v>
      </c>
      <c r="I844">
        <v>0.48851467556379541</v>
      </c>
      <c r="J844">
        <v>0.69017411418866947</v>
      </c>
      <c r="L844">
        <v>3.357008613662734</v>
      </c>
      <c r="M844">
        <v>4.0803841321449337</v>
      </c>
      <c r="N844">
        <v>2.3716206967319193</v>
      </c>
      <c r="P844">
        <v>2.4889450038591653E-12</v>
      </c>
      <c r="R844">
        <v>14.245348623121403</v>
      </c>
      <c r="S844">
        <v>14.309656637068336</v>
      </c>
      <c r="T844">
        <v>1</v>
      </c>
      <c r="U844">
        <v>1.8075850280983563</v>
      </c>
    </row>
    <row r="845" spans="1:21">
      <c r="A845">
        <v>1.4248608088648222</v>
      </c>
      <c r="B845">
        <v>0.132998674208295</v>
      </c>
      <c r="C845">
        <v>-0.28974975058980806</v>
      </c>
      <c r="D845">
        <v>0</v>
      </c>
      <c r="E845">
        <v>0.15772406736100339</v>
      </c>
      <c r="F845">
        <v>0</v>
      </c>
      <c r="G845">
        <v>0.15287321298075005</v>
      </c>
      <c r="H845">
        <v>0.27946911952929737</v>
      </c>
      <c r="I845">
        <v>0.90068657025138521</v>
      </c>
      <c r="J845">
        <v>0.69385143384718073</v>
      </c>
      <c r="L845">
        <v>3.3570086043888496</v>
      </c>
      <c r="M845">
        <v>4.0803841520993549</v>
      </c>
      <c r="N845">
        <v>2.371620690500146</v>
      </c>
      <c r="P845">
        <v>2.4184652509441269E-12</v>
      </c>
      <c r="R845">
        <v>14.245348623121403</v>
      </c>
      <c r="S845">
        <v>14.309656637068336</v>
      </c>
      <c r="T845">
        <v>1</v>
      </c>
      <c r="U845">
        <v>1.8075850280983563</v>
      </c>
    </row>
    <row r="846" spans="1:21">
      <c r="A846">
        <v>1.4309918790418263</v>
      </c>
      <c r="B846">
        <v>0.14931061836311554</v>
      </c>
      <c r="C846">
        <v>-0.26506423389149314</v>
      </c>
      <c r="D846">
        <v>0.22197552503448525</v>
      </c>
      <c r="E846">
        <v>0.21216149598356374</v>
      </c>
      <c r="F846">
        <v>0</v>
      </c>
      <c r="G846">
        <v>0.33369294099788627</v>
      </c>
      <c r="H846">
        <v>0.49251166755074088</v>
      </c>
      <c r="I846">
        <v>9.5763426797595225E-2</v>
      </c>
      <c r="J846">
        <v>1.9963352677117116E-2</v>
      </c>
      <c r="L846">
        <v>3.357008539966547</v>
      </c>
      <c r="M846">
        <v>4.0803841462407426</v>
      </c>
      <c r="N846">
        <v>2.3716208317306204</v>
      </c>
      <c r="P846">
        <v>2.4881758237645084E-12</v>
      </c>
      <c r="R846">
        <v>14.245348623121403</v>
      </c>
      <c r="S846">
        <v>14.309656637068336</v>
      </c>
      <c r="T846">
        <v>1</v>
      </c>
      <c r="U846">
        <v>1.8075850280983563</v>
      </c>
    </row>
    <row r="847" spans="1:21">
      <c r="A847">
        <v>1.4234922779820383</v>
      </c>
      <c r="B847">
        <v>0.13925165698874789</v>
      </c>
      <c r="C847">
        <v>-0.28961368036467311</v>
      </c>
      <c r="D847">
        <v>0.16249660089239609</v>
      </c>
      <c r="E847">
        <v>4.8043284999928493E-2</v>
      </c>
      <c r="F847">
        <v>9.5907540663654669E-3</v>
      </c>
      <c r="G847">
        <v>0.18284876522392526</v>
      </c>
      <c r="H847">
        <v>0.90760858907585285</v>
      </c>
      <c r="I847">
        <v>0.95540554811610179</v>
      </c>
      <c r="J847">
        <v>0.36667975643520834</v>
      </c>
      <c r="L847">
        <v>3.3570085691615801</v>
      </c>
      <c r="M847">
        <v>4.0803841571719621</v>
      </c>
      <c r="N847">
        <v>2.3716207719546518</v>
      </c>
      <c r="P847">
        <v>2.4356567619597839E-12</v>
      </c>
      <c r="R847">
        <v>14.245348623121403</v>
      </c>
      <c r="S847">
        <v>14.309656637068336</v>
      </c>
      <c r="T847">
        <v>1</v>
      </c>
      <c r="U847">
        <v>1.8075850280983563</v>
      </c>
    </row>
    <row r="848" spans="1:21">
      <c r="A848">
        <v>1.4268059388958709</v>
      </c>
      <c r="B848">
        <v>0.12878892092637892</v>
      </c>
      <c r="C848">
        <v>-0.31521980127904309</v>
      </c>
      <c r="D848">
        <v>0</v>
      </c>
      <c r="E848">
        <v>0</v>
      </c>
      <c r="F848">
        <v>0</v>
      </c>
      <c r="G848">
        <v>0.40726203298320285</v>
      </c>
      <c r="H848">
        <v>0.12491942294382861</v>
      </c>
      <c r="I848">
        <v>0.85827458764318743</v>
      </c>
      <c r="J848">
        <v>0.29289108599305497</v>
      </c>
      <c r="L848">
        <v>3.3570085206734999</v>
      </c>
      <c r="M848">
        <v>4.0803841623145241</v>
      </c>
      <c r="N848">
        <v>2.3716208605136662</v>
      </c>
      <c r="P848">
        <v>2.4573885540833862E-12</v>
      </c>
      <c r="R848">
        <v>14.245348623121403</v>
      </c>
      <c r="S848">
        <v>14.309656637068336</v>
      </c>
      <c r="T848">
        <v>1</v>
      </c>
      <c r="U848">
        <v>1.8075850280983563</v>
      </c>
    </row>
    <row r="849" spans="1:21">
      <c r="A849">
        <v>1.4332466400599468</v>
      </c>
      <c r="B849">
        <v>0.13563041481728977</v>
      </c>
      <c r="C849">
        <v>-0.29341936435692595</v>
      </c>
      <c r="D849">
        <v>0.5664368371870776</v>
      </c>
      <c r="E849">
        <v>0</v>
      </c>
      <c r="F849">
        <v>0</v>
      </c>
      <c r="G849">
        <v>0.84242938326508177</v>
      </c>
      <c r="H849">
        <v>0.37091288485990509</v>
      </c>
      <c r="I849">
        <v>0.2562226185137701</v>
      </c>
      <c r="J849">
        <v>0.38101381815732233</v>
      </c>
      <c r="L849">
        <v>3.3570086018727108</v>
      </c>
      <c r="M849">
        <v>4.0803841440868451</v>
      </c>
      <c r="N849">
        <v>2.3716207240303762</v>
      </c>
      <c r="P849">
        <v>2.4681726979694492E-12</v>
      </c>
      <c r="R849">
        <v>14.245348623121403</v>
      </c>
      <c r="S849">
        <v>14.309656637068336</v>
      </c>
      <c r="T849">
        <v>1</v>
      </c>
      <c r="U849">
        <v>1.8075850280983563</v>
      </c>
    </row>
    <row r="850" spans="1:21">
      <c r="A850">
        <v>1.4291486974779095</v>
      </c>
      <c r="B850">
        <v>0.15174906704837665</v>
      </c>
      <c r="C850">
        <v>-0.2655013733613022</v>
      </c>
      <c r="D850">
        <v>0</v>
      </c>
      <c r="E850">
        <v>0.20933299253334317</v>
      </c>
      <c r="F850">
        <v>0.4878912970505474</v>
      </c>
      <c r="G850">
        <v>0.51276728022587403</v>
      </c>
      <c r="H850">
        <v>0.82844786635383783</v>
      </c>
      <c r="I850">
        <v>0.41553697924416211</v>
      </c>
      <c r="J850">
        <v>0.42116437906965365</v>
      </c>
      <c r="L850">
        <v>3.3570085909666343</v>
      </c>
      <c r="M850">
        <v>4.0803841490317474</v>
      </c>
      <c r="N850">
        <v>2.3716207410039201</v>
      </c>
      <c r="P850">
        <v>2.4562399260977668E-12</v>
      </c>
      <c r="R850">
        <v>14.245348623121403</v>
      </c>
      <c r="S850">
        <v>14.309656637068336</v>
      </c>
      <c r="T850">
        <v>1</v>
      </c>
      <c r="U850">
        <v>1.8075850280983563</v>
      </c>
    </row>
    <row r="851" spans="1:21">
      <c r="A851">
        <v>1.4679200657767284</v>
      </c>
      <c r="B851">
        <v>0.26955627419877065</v>
      </c>
      <c r="C851">
        <v>8.2774718034752295E-2</v>
      </c>
      <c r="D851">
        <v>0.32899692841534134</v>
      </c>
      <c r="E851">
        <v>0.20980948501124133</v>
      </c>
      <c r="F851">
        <v>0.8426743499789362</v>
      </c>
      <c r="G851">
        <v>0.42416554796013362</v>
      </c>
      <c r="H851">
        <v>0.34470183409470689</v>
      </c>
      <c r="I851">
        <v>0.97464067003219235</v>
      </c>
      <c r="J851">
        <v>0.23934355589038528</v>
      </c>
      <c r="L851">
        <v>3.3570066214407626</v>
      </c>
      <c r="M851">
        <v>0.9097003042804872</v>
      </c>
      <c r="N851">
        <v>2.3716205896194342</v>
      </c>
      <c r="P851">
        <v>4.5511142272016834E-12</v>
      </c>
      <c r="R851">
        <v>6.252055700590625</v>
      </c>
      <c r="S851">
        <v>6.2639720915040158</v>
      </c>
      <c r="T851">
        <v>1</v>
      </c>
      <c r="U851">
        <v>1.8107526737788089</v>
      </c>
    </row>
    <row r="852" spans="1:21">
      <c r="A852">
        <v>1.4699994544619159</v>
      </c>
      <c r="B852">
        <v>0.27565327800945927</v>
      </c>
      <c r="C852">
        <v>0.13268132874852065</v>
      </c>
      <c r="D852">
        <v>7.3936951597173811E-2</v>
      </c>
      <c r="E852">
        <v>0.22814474276336674</v>
      </c>
      <c r="F852">
        <v>0</v>
      </c>
      <c r="G852">
        <v>0.52032367369095411</v>
      </c>
      <c r="H852">
        <v>8.7150620004241702E-2</v>
      </c>
      <c r="I852">
        <v>0.46636237172236322</v>
      </c>
      <c r="J852">
        <v>0.6700531919555065</v>
      </c>
      <c r="L852">
        <v>3.3570065832439084</v>
      </c>
      <c r="M852">
        <v>0.90970034067712657</v>
      </c>
      <c r="N852">
        <v>2.3716206785199363</v>
      </c>
      <c r="P852">
        <v>4.5907459822220409E-12</v>
      </c>
      <c r="R852">
        <v>6.252055700590625</v>
      </c>
      <c r="S852">
        <v>6.2639720915040158</v>
      </c>
      <c r="T852">
        <v>1</v>
      </c>
      <c r="U852">
        <v>1.8107526737788089</v>
      </c>
    </row>
    <row r="853" spans="1:21">
      <c r="A853">
        <v>1.4593901127128235</v>
      </c>
      <c r="B853">
        <v>0.26760114452975525</v>
      </c>
      <c r="C853">
        <v>8.8369245357026574E-2</v>
      </c>
      <c r="D853">
        <v>0</v>
      </c>
      <c r="E853">
        <v>0</v>
      </c>
      <c r="F853">
        <v>0.14993858299127524</v>
      </c>
      <c r="G853">
        <v>0.25828769168079962</v>
      </c>
      <c r="H853">
        <v>0.95297933003770385</v>
      </c>
      <c r="I853">
        <v>0.94107113103667039</v>
      </c>
      <c r="J853">
        <v>0.48646024150723127</v>
      </c>
      <c r="L853">
        <v>3.3570066163376024</v>
      </c>
      <c r="M853">
        <v>0.90970032977663129</v>
      </c>
      <c r="N853">
        <v>2.3716206142224188</v>
      </c>
      <c r="P853">
        <v>4.4936118741087571E-12</v>
      </c>
      <c r="R853">
        <v>6.252055700590625</v>
      </c>
      <c r="S853">
        <v>6.2639720915040158</v>
      </c>
      <c r="T853">
        <v>1</v>
      </c>
      <c r="U853">
        <v>1.8107526737788089</v>
      </c>
    </row>
    <row r="854" spans="1:21">
      <c r="A854">
        <v>1.4708259292985446</v>
      </c>
      <c r="B854">
        <v>0.2787444540916485</v>
      </c>
      <c r="C854">
        <v>0.13883322323078984</v>
      </c>
      <c r="D854">
        <v>0</v>
      </c>
      <c r="E854">
        <v>0</v>
      </c>
      <c r="F854">
        <v>0.27649300147327543</v>
      </c>
      <c r="G854">
        <v>0.63794495509328442</v>
      </c>
      <c r="H854">
        <v>0.14717926495116368</v>
      </c>
      <c r="I854">
        <v>0.19814289095693161</v>
      </c>
      <c r="J854">
        <v>0.86196339246758791</v>
      </c>
      <c r="L854">
        <v>3.3570063698307946</v>
      </c>
      <c r="M854">
        <v>0.90970035032327501</v>
      </c>
      <c r="N854">
        <v>2.3716206143508183</v>
      </c>
      <c r="P854">
        <v>5.0431050330266095E-12</v>
      </c>
      <c r="R854">
        <v>6.252055700590625</v>
      </c>
      <c r="S854">
        <v>6.2639720915040158</v>
      </c>
      <c r="T854">
        <v>1</v>
      </c>
      <c r="U854">
        <v>1.8107526737788089</v>
      </c>
    </row>
    <row r="855" spans="1:21">
      <c r="A855">
        <v>1.4720067712113245</v>
      </c>
      <c r="B855">
        <v>0.28262697145061128</v>
      </c>
      <c r="C855">
        <v>0.14976004699578055</v>
      </c>
      <c r="D855">
        <v>0</v>
      </c>
      <c r="E855">
        <v>0</v>
      </c>
      <c r="F855">
        <v>5.8651671023629379E-2</v>
      </c>
      <c r="G855">
        <v>0.82323215150307893</v>
      </c>
      <c r="H855">
        <v>0.30301613410705935</v>
      </c>
      <c r="I855">
        <v>4.8243307677443351E-2</v>
      </c>
      <c r="J855">
        <v>0.82846082468885163</v>
      </c>
      <c r="L855">
        <v>3.3570065667439275</v>
      </c>
      <c r="M855">
        <v>0.90970027837505063</v>
      </c>
      <c r="N855">
        <v>2.3716205998193454</v>
      </c>
      <c r="P855">
        <v>4.7780918993879322E-12</v>
      </c>
      <c r="R855">
        <v>6.252055700590625</v>
      </c>
      <c r="S855">
        <v>6.2639720915040158</v>
      </c>
      <c r="T855">
        <v>1</v>
      </c>
      <c r="U855">
        <v>1.8107526737788089</v>
      </c>
    </row>
    <row r="856" spans="1:21">
      <c r="A856">
        <v>1.469927051851931</v>
      </c>
      <c r="B856">
        <v>0.27070611469117467</v>
      </c>
      <c r="C856">
        <v>9.4322522365689207E-2</v>
      </c>
      <c r="D856">
        <v>0.13295888254143484</v>
      </c>
      <c r="E856">
        <v>0</v>
      </c>
      <c r="F856">
        <v>0.18317539040568104</v>
      </c>
      <c r="G856">
        <v>0.69511226015319905</v>
      </c>
      <c r="H856">
        <v>0.17972179444782918</v>
      </c>
      <c r="I856">
        <v>0.883014820292508</v>
      </c>
      <c r="J856">
        <v>0.12694923040088019</v>
      </c>
      <c r="L856">
        <v>3.3570064454839859</v>
      </c>
      <c r="M856">
        <v>0.90970046659984483</v>
      </c>
      <c r="N856">
        <v>2.3716207771262305</v>
      </c>
      <c r="P856">
        <v>4.6182848866920449E-12</v>
      </c>
      <c r="R856">
        <v>6.252055700590625</v>
      </c>
      <c r="S856">
        <v>6.2639720915040158</v>
      </c>
      <c r="T856">
        <v>1</v>
      </c>
      <c r="U856">
        <v>1.8107526737788089</v>
      </c>
    </row>
    <row r="857" spans="1:21">
      <c r="A857">
        <v>1.4653575767265428</v>
      </c>
      <c r="B857">
        <v>0.27640923914864551</v>
      </c>
      <c r="C857">
        <v>0.11890891714079245</v>
      </c>
      <c r="D857">
        <v>5.3697383667754166E-2</v>
      </c>
      <c r="E857">
        <v>0</v>
      </c>
      <c r="F857">
        <v>0</v>
      </c>
      <c r="G857">
        <v>0.3405651551520415</v>
      </c>
      <c r="H857">
        <v>0.60024131466132269</v>
      </c>
      <c r="I857">
        <v>0.29565983491941389</v>
      </c>
      <c r="J857">
        <v>0.3590492512350178</v>
      </c>
      <c r="L857">
        <v>3.3570065727358669</v>
      </c>
      <c r="M857">
        <v>0.90970034715165349</v>
      </c>
      <c r="N857">
        <v>2.3716206698352638</v>
      </c>
      <c r="P857">
        <v>4.5846593171825462E-12</v>
      </c>
      <c r="R857">
        <v>6.252055700590625</v>
      </c>
      <c r="S857">
        <v>6.2639720915040158</v>
      </c>
      <c r="T857">
        <v>1</v>
      </c>
      <c r="U857">
        <v>1.8107526737788089</v>
      </c>
    </row>
    <row r="858" spans="1:21">
      <c r="A858">
        <v>1.4760127990697267</v>
      </c>
      <c r="B858">
        <v>0.28238179664140578</v>
      </c>
      <c r="C858">
        <v>0.13388605422602695</v>
      </c>
      <c r="D858">
        <v>0.32403320244633171</v>
      </c>
      <c r="E858">
        <v>0</v>
      </c>
      <c r="F858">
        <v>0.73773343099944622</v>
      </c>
      <c r="G858">
        <v>0.9079159129038662</v>
      </c>
      <c r="H858">
        <v>0.14483647815729511</v>
      </c>
      <c r="I858">
        <v>0.1297760319006884</v>
      </c>
      <c r="J858">
        <v>0.6446870548835637</v>
      </c>
      <c r="L858">
        <v>3.3570063159928472</v>
      </c>
      <c r="M858">
        <v>0.90970048385053315</v>
      </c>
      <c r="N858">
        <v>2.3716207779730762</v>
      </c>
      <c r="P858">
        <v>4.9193043349948467E-12</v>
      </c>
      <c r="R858">
        <v>6.252055700590625</v>
      </c>
      <c r="S858">
        <v>6.2639720915040158</v>
      </c>
      <c r="T858">
        <v>1</v>
      </c>
      <c r="U858">
        <v>1.8107526737788089</v>
      </c>
    </row>
    <row r="859" spans="1:21">
      <c r="A859">
        <v>1.4678574513723326</v>
      </c>
      <c r="B859">
        <v>0.27501908133168329</v>
      </c>
      <c r="C859">
        <v>0.10153501459805114</v>
      </c>
      <c r="D859">
        <v>0</v>
      </c>
      <c r="E859">
        <v>0</v>
      </c>
      <c r="F859">
        <v>0</v>
      </c>
      <c r="G859">
        <v>0.93308021866379198</v>
      </c>
      <c r="H859">
        <v>0.73462195458763713</v>
      </c>
      <c r="I859">
        <v>0.81226326265168902</v>
      </c>
      <c r="J859">
        <v>0.22031092762491816</v>
      </c>
      <c r="L859">
        <v>3.3570064755169464</v>
      </c>
      <c r="M859">
        <v>0.909700408716969</v>
      </c>
      <c r="N859">
        <v>2.3716207182884341</v>
      </c>
      <c r="P859">
        <v>4.663949445388827E-12</v>
      </c>
      <c r="R859">
        <v>6.252055700590625</v>
      </c>
      <c r="S859">
        <v>6.2639720915040158</v>
      </c>
      <c r="T859">
        <v>1</v>
      </c>
      <c r="U859">
        <v>1.8107526737788089</v>
      </c>
    </row>
    <row r="860" spans="1:21">
      <c r="A860">
        <v>1.4763080189252704</v>
      </c>
      <c r="B860">
        <v>0.28690303156240565</v>
      </c>
      <c r="C860">
        <v>0.1361624220787975</v>
      </c>
      <c r="D860">
        <v>0</v>
      </c>
      <c r="E860">
        <v>0.41302250250936179</v>
      </c>
      <c r="F860">
        <v>0.56177376616571406</v>
      </c>
      <c r="G860">
        <v>0.94033747588928662</v>
      </c>
      <c r="H860">
        <v>7.4399530459285643E-2</v>
      </c>
      <c r="I860">
        <v>0.15195204542685783</v>
      </c>
      <c r="J860">
        <v>0.27411023656825806</v>
      </c>
      <c r="L860">
        <v>3.3570066171164066</v>
      </c>
      <c r="M860">
        <v>0.90970034928602395</v>
      </c>
      <c r="N860">
        <v>2.3716207293301479</v>
      </c>
      <c r="P860">
        <v>4.5353003247280919E-12</v>
      </c>
      <c r="R860">
        <v>6.252055700590625</v>
      </c>
      <c r="S860">
        <v>6.2639720915040158</v>
      </c>
      <c r="T860">
        <v>1</v>
      </c>
      <c r="U860">
        <v>1.8107526737788089</v>
      </c>
    </row>
    <row r="861" spans="1:21">
      <c r="A861">
        <v>1.4754217755038144</v>
      </c>
      <c r="B861">
        <v>0.28481495816143038</v>
      </c>
      <c r="C861">
        <v>0.13652155606997021</v>
      </c>
      <c r="D861">
        <v>0</v>
      </c>
      <c r="E861">
        <v>0</v>
      </c>
      <c r="F861">
        <v>0</v>
      </c>
      <c r="G861">
        <v>0.9504340918980535</v>
      </c>
      <c r="H861">
        <v>0.10285508783513957</v>
      </c>
      <c r="I861">
        <v>2.5432517613286052E-2</v>
      </c>
      <c r="J861">
        <v>0.11004011320098581</v>
      </c>
      <c r="L861">
        <v>3.3570065585107534</v>
      </c>
      <c r="M861">
        <v>0.90970027935493014</v>
      </c>
      <c r="N861">
        <v>2.3716206002698352</v>
      </c>
      <c r="P861">
        <v>4.7945301445318432E-12</v>
      </c>
      <c r="R861">
        <v>6.252055700590625</v>
      </c>
      <c r="S861">
        <v>6.2639720915040158</v>
      </c>
      <c r="T861">
        <v>1</v>
      </c>
      <c r="U861">
        <v>1.8107526737788089</v>
      </c>
    </row>
    <row r="862" spans="1:21">
      <c r="A862">
        <v>1.4731371662994412</v>
      </c>
      <c r="B862">
        <v>0.28221495701046423</v>
      </c>
      <c r="C862">
        <v>0.13045079600260073</v>
      </c>
      <c r="D862">
        <v>0</v>
      </c>
      <c r="E862">
        <v>0.32144162683551053</v>
      </c>
      <c r="F862">
        <v>0</v>
      </c>
      <c r="G862">
        <v>0.65824869795819207</v>
      </c>
      <c r="H862">
        <v>4.406285401257367E-2</v>
      </c>
      <c r="I862">
        <v>0.22904771329535115</v>
      </c>
      <c r="J862">
        <v>3.7730667833449805E-2</v>
      </c>
      <c r="L862">
        <v>3.3570066095797304</v>
      </c>
      <c r="M862">
        <v>0.90970029307635825</v>
      </c>
      <c r="N862">
        <v>2.3716206228989529</v>
      </c>
      <c r="P862">
        <v>4.6454459018087696E-12</v>
      </c>
      <c r="R862">
        <v>6.252055700590625</v>
      </c>
      <c r="S862">
        <v>6.2639720915040158</v>
      </c>
      <c r="T862">
        <v>1</v>
      </c>
      <c r="U862">
        <v>1.8107526737788089</v>
      </c>
    </row>
    <row r="863" spans="1:21">
      <c r="A863">
        <v>1.4631763988133939</v>
      </c>
      <c r="B863">
        <v>0.26974815163467192</v>
      </c>
      <c r="C863">
        <v>0.11165605527194369</v>
      </c>
      <c r="D863">
        <v>0.44378456688489404</v>
      </c>
      <c r="E863">
        <v>0</v>
      </c>
      <c r="F863">
        <v>0</v>
      </c>
      <c r="G863">
        <v>0.3333564360639244</v>
      </c>
      <c r="H863">
        <v>0.91111770506823608</v>
      </c>
      <c r="I863">
        <v>0.71340718206826326</v>
      </c>
      <c r="J863">
        <v>0.74938266856540503</v>
      </c>
      <c r="L863">
        <v>3.3570064387770744</v>
      </c>
      <c r="M863">
        <v>0.90970038328945679</v>
      </c>
      <c r="N863">
        <v>2.3716206545556391</v>
      </c>
      <c r="P863">
        <v>4.7808499493149617E-12</v>
      </c>
      <c r="R863">
        <v>6.252055700590625</v>
      </c>
      <c r="S863">
        <v>6.2639720915040158</v>
      </c>
      <c r="T863">
        <v>1</v>
      </c>
      <c r="U863">
        <v>1.8107526737788089</v>
      </c>
    </row>
    <row r="864" spans="1:21">
      <c r="A864">
        <v>1.4669849226258838</v>
      </c>
      <c r="B864">
        <v>0.27473854732648695</v>
      </c>
      <c r="C864">
        <v>0.11072515176866429</v>
      </c>
      <c r="D864">
        <v>0.44415719880956223</v>
      </c>
      <c r="E864">
        <v>0</v>
      </c>
      <c r="F864">
        <v>0</v>
      </c>
      <c r="G864">
        <v>0.52211642188749252</v>
      </c>
      <c r="H864">
        <v>0.80804045180774542</v>
      </c>
      <c r="I864">
        <v>0.52040461501937063</v>
      </c>
      <c r="J864">
        <v>0.2644283656147231</v>
      </c>
      <c r="L864">
        <v>3.3570066205518008</v>
      </c>
      <c r="M864">
        <v>0.90970036407157795</v>
      </c>
      <c r="N864">
        <v>2.3716207020149609</v>
      </c>
      <c r="P864">
        <v>4.4481589634066737E-12</v>
      </c>
      <c r="R864">
        <v>6.252055700590625</v>
      </c>
      <c r="S864">
        <v>6.2639720915040158</v>
      </c>
      <c r="T864">
        <v>1</v>
      </c>
      <c r="U864">
        <v>1.8107526737788089</v>
      </c>
    </row>
    <row r="865" spans="1:21">
      <c r="A865">
        <v>1.4638430579092589</v>
      </c>
      <c r="B865">
        <v>0.28023323889428647</v>
      </c>
      <c r="C865">
        <v>0.1242177095838622</v>
      </c>
      <c r="D865">
        <v>0</v>
      </c>
      <c r="E865">
        <v>0.27874143569328114</v>
      </c>
      <c r="F865">
        <v>0.81827438619108306</v>
      </c>
      <c r="G865">
        <v>1.9852418853596742E-2</v>
      </c>
      <c r="H865">
        <v>0.63557956055360698</v>
      </c>
      <c r="I865">
        <v>4.6212107921068009E-2</v>
      </c>
      <c r="J865">
        <v>0.66624482557690834</v>
      </c>
      <c r="L865">
        <v>3.357006486387673</v>
      </c>
      <c r="M865">
        <v>0.90970041081521624</v>
      </c>
      <c r="N865">
        <v>2.3716207367871514</v>
      </c>
      <c r="P865">
        <v>4.6492538167708135E-12</v>
      </c>
      <c r="R865">
        <v>6.252055700590625</v>
      </c>
      <c r="S865">
        <v>6.2639720915040158</v>
      </c>
      <c r="T865">
        <v>1</v>
      </c>
      <c r="U865">
        <v>1.8107526737788089</v>
      </c>
    </row>
    <row r="866" spans="1:21">
      <c r="A866">
        <v>1.46601238127207</v>
      </c>
      <c r="B866">
        <v>0.27128011761967624</v>
      </c>
      <c r="C866">
        <v>0.1125246337314626</v>
      </c>
      <c r="D866">
        <v>0</v>
      </c>
      <c r="E866">
        <v>0</v>
      </c>
      <c r="F866">
        <v>0.28359618757509475</v>
      </c>
      <c r="G866">
        <v>0.59487334602053776</v>
      </c>
      <c r="H866">
        <v>0.47556447273817293</v>
      </c>
      <c r="I866">
        <v>0.76137602574489838</v>
      </c>
      <c r="J866">
        <v>0.87870087429805765</v>
      </c>
      <c r="L866">
        <v>3.3570065866656971</v>
      </c>
      <c r="M866">
        <v>0.90970032854720573</v>
      </c>
      <c r="N866">
        <v>2.3716206338604224</v>
      </c>
      <c r="P866">
        <v>4.583188829926519E-12</v>
      </c>
      <c r="R866">
        <v>6.252055700590625</v>
      </c>
      <c r="S866">
        <v>6.2639720915040158</v>
      </c>
      <c r="T866">
        <v>1</v>
      </c>
      <c r="U866">
        <v>1.8107526737788089</v>
      </c>
    </row>
    <row r="867" spans="1:21">
      <c r="A867">
        <v>1.4680513275836859</v>
      </c>
      <c r="B867">
        <v>0.27899218372488149</v>
      </c>
      <c r="C867">
        <v>0.12197765494318842</v>
      </c>
      <c r="D867">
        <v>0.3984941120327477</v>
      </c>
      <c r="E867">
        <v>0</v>
      </c>
      <c r="F867">
        <v>0</v>
      </c>
      <c r="G867">
        <v>0.34732086650522304</v>
      </c>
      <c r="H867">
        <v>0.64030444361965488</v>
      </c>
      <c r="I867">
        <v>0.10698902118503419</v>
      </c>
      <c r="J867">
        <v>0.10109225387338062</v>
      </c>
      <c r="L867">
        <v>3.3570065382226266</v>
      </c>
      <c r="M867">
        <v>0.90970033199820644</v>
      </c>
      <c r="N867">
        <v>2.3716206466892862</v>
      </c>
      <c r="P867">
        <v>4.697950211710828E-12</v>
      </c>
      <c r="R867">
        <v>6.252055700590625</v>
      </c>
      <c r="S867">
        <v>6.2639720915040158</v>
      </c>
      <c r="T867">
        <v>1</v>
      </c>
      <c r="U867">
        <v>1.8107526737788089</v>
      </c>
    </row>
    <row r="868" spans="1:21">
      <c r="A868">
        <v>1.4659803445288846</v>
      </c>
      <c r="B868">
        <v>0.27574793713455514</v>
      </c>
      <c r="C868">
        <v>0.12334563522839898</v>
      </c>
      <c r="D868">
        <v>0</v>
      </c>
      <c r="E868">
        <v>0.12674934524357026</v>
      </c>
      <c r="F868">
        <v>0.13514424649255599</v>
      </c>
      <c r="G868">
        <v>0.365296978003955</v>
      </c>
      <c r="H868">
        <v>0.45289087133624928</v>
      </c>
      <c r="I868">
        <v>0.39697385975712662</v>
      </c>
      <c r="J868">
        <v>0.61294647283454418</v>
      </c>
      <c r="L868">
        <v>3.3570065723752576</v>
      </c>
      <c r="M868">
        <v>0.90970033365965097</v>
      </c>
      <c r="N868">
        <v>2.3716206508469511</v>
      </c>
      <c r="P868">
        <v>4.61428777811418E-12</v>
      </c>
      <c r="R868">
        <v>6.252055700590625</v>
      </c>
      <c r="S868">
        <v>6.2639720915040158</v>
      </c>
      <c r="T868">
        <v>1</v>
      </c>
      <c r="U868">
        <v>1.8107526737788089</v>
      </c>
    </row>
    <row r="869" spans="1:21">
      <c r="A869">
        <v>1.4653748166588141</v>
      </c>
      <c r="B869">
        <v>0.26546198488374606</v>
      </c>
      <c r="C869">
        <v>8.868148976456286E-2</v>
      </c>
      <c r="D869">
        <v>0.56554589406519573</v>
      </c>
      <c r="E869">
        <v>0</v>
      </c>
      <c r="F869">
        <v>9.0001849562540592E-2</v>
      </c>
      <c r="G869">
        <v>0.13655904805164823</v>
      </c>
      <c r="H869">
        <v>0.41279531086420079</v>
      </c>
      <c r="I869">
        <v>0.88030879614863555</v>
      </c>
      <c r="J869">
        <v>0.13597463890327244</v>
      </c>
      <c r="L869">
        <v>3.3570065072089568</v>
      </c>
      <c r="M869">
        <v>0.90970034349436302</v>
      </c>
      <c r="N869">
        <v>2.3716206116707248</v>
      </c>
      <c r="P869">
        <v>4.7035984050470354E-12</v>
      </c>
      <c r="R869">
        <v>6.252055700590625</v>
      </c>
      <c r="S869">
        <v>6.2639720915040158</v>
      </c>
      <c r="T869">
        <v>1</v>
      </c>
      <c r="U869">
        <v>1.8107526737788089</v>
      </c>
    </row>
    <row r="870" spans="1:21">
      <c r="A870">
        <v>1.4640361556127959</v>
      </c>
      <c r="B870">
        <v>0.26561793867599265</v>
      </c>
      <c r="C870">
        <v>0.10669741682019063</v>
      </c>
      <c r="D870">
        <v>6.5094909610062257E-2</v>
      </c>
      <c r="E870">
        <v>0</v>
      </c>
      <c r="F870">
        <v>0.13238114397382783</v>
      </c>
      <c r="G870">
        <v>0.28135172740997566</v>
      </c>
      <c r="H870">
        <v>0.26754508889387163</v>
      </c>
      <c r="I870">
        <v>0.90856855691097282</v>
      </c>
      <c r="J870">
        <v>0.89271446280926015</v>
      </c>
      <c r="L870">
        <v>3.3570066385992199</v>
      </c>
      <c r="M870">
        <v>0.90970035674307459</v>
      </c>
      <c r="N870">
        <v>2.3716206735735019</v>
      </c>
      <c r="P870">
        <v>4.4043826577236994E-12</v>
      </c>
      <c r="R870">
        <v>6.252055700590625</v>
      </c>
      <c r="S870">
        <v>6.2639720915040158</v>
      </c>
      <c r="T870">
        <v>1</v>
      </c>
      <c r="U870">
        <v>1.8107526737788089</v>
      </c>
    </row>
    <row r="871" spans="1:21">
      <c r="A871">
        <v>1.465139969105173</v>
      </c>
      <c r="B871">
        <v>0.27125896910963604</v>
      </c>
      <c r="C871">
        <v>0.11772189614923219</v>
      </c>
      <c r="D871">
        <v>0</v>
      </c>
      <c r="E871">
        <v>0</v>
      </c>
      <c r="F871">
        <v>0.2598735489791264</v>
      </c>
      <c r="G871">
        <v>0.17371202439737407</v>
      </c>
      <c r="H871">
        <v>0.20325252771620192</v>
      </c>
      <c r="I871">
        <v>0.46688896240174199</v>
      </c>
      <c r="J871">
        <v>0.75947749226162253</v>
      </c>
      <c r="L871">
        <v>3.3570066572125041</v>
      </c>
      <c r="M871">
        <v>0.90970039366921673</v>
      </c>
      <c r="N871">
        <v>2.3716207465245147</v>
      </c>
      <c r="P871">
        <v>4.3141003752288909E-12</v>
      </c>
      <c r="R871">
        <v>6.252055700590625</v>
      </c>
      <c r="S871">
        <v>6.2639720915040158</v>
      </c>
      <c r="T871">
        <v>1</v>
      </c>
      <c r="U871">
        <v>1.8107526737788089</v>
      </c>
    </row>
    <row r="872" spans="1:21">
      <c r="A872">
        <v>1.4695639244577066</v>
      </c>
      <c r="B872">
        <v>0.28401502874650814</v>
      </c>
      <c r="C872">
        <v>0.11811973922947382</v>
      </c>
      <c r="D872">
        <v>0.55110947071626049</v>
      </c>
      <c r="E872">
        <v>0.37226010301862433</v>
      </c>
      <c r="F872">
        <v>0.67775899380967874</v>
      </c>
      <c r="G872">
        <v>0.39172530415184625</v>
      </c>
      <c r="H872">
        <v>0.84669078029364631</v>
      </c>
      <c r="I872">
        <v>9.4403925508061121E-2</v>
      </c>
      <c r="J872">
        <v>3.0794007938974778E-2</v>
      </c>
      <c r="L872">
        <v>3.3570065255712795</v>
      </c>
      <c r="M872">
        <v>0.90970031214062086</v>
      </c>
      <c r="N872">
        <v>2.3716206156548112</v>
      </c>
      <c r="P872">
        <v>4.7707998812554465E-12</v>
      </c>
      <c r="R872">
        <v>6.252055700590625</v>
      </c>
      <c r="S872">
        <v>6.2639720915040158</v>
      </c>
      <c r="T872">
        <v>1</v>
      </c>
      <c r="U872">
        <v>1.8107526737788089</v>
      </c>
    </row>
    <row r="873" spans="1:21">
      <c r="A873">
        <v>1.4659995144929712</v>
      </c>
      <c r="B873">
        <v>0.284678290380456</v>
      </c>
      <c r="C873">
        <v>0.14079093969981579</v>
      </c>
      <c r="D873">
        <v>0</v>
      </c>
      <c r="E873">
        <v>0.5477611653339991</v>
      </c>
      <c r="F873">
        <v>0</v>
      </c>
      <c r="G873">
        <v>0.45071478023395944</v>
      </c>
      <c r="H873">
        <v>0.8890884090859188</v>
      </c>
      <c r="I873">
        <v>0.15938548271074723</v>
      </c>
      <c r="J873">
        <v>0.47114408901630761</v>
      </c>
      <c r="L873">
        <v>3.3570066285174143</v>
      </c>
      <c r="M873">
        <v>0.90970036320953518</v>
      </c>
      <c r="N873">
        <v>2.3716207318188625</v>
      </c>
      <c r="P873">
        <v>4.4645595943567609E-12</v>
      </c>
      <c r="R873">
        <v>6.252055700590625</v>
      </c>
      <c r="S873">
        <v>6.2639720915040158</v>
      </c>
      <c r="T873">
        <v>1</v>
      </c>
      <c r="U873">
        <v>1.8107526737788089</v>
      </c>
    </row>
    <row r="874" spans="1:21">
      <c r="A874">
        <v>1.4633314847639098</v>
      </c>
      <c r="B874">
        <v>0.26734552334309525</v>
      </c>
      <c r="C874">
        <v>0.10113188828486024</v>
      </c>
      <c r="D874">
        <v>0.772961100560698</v>
      </c>
      <c r="E874">
        <v>0</v>
      </c>
      <c r="F874">
        <v>0</v>
      </c>
      <c r="G874">
        <v>0</v>
      </c>
      <c r="H874">
        <v>0.78220340516096998</v>
      </c>
      <c r="I874">
        <v>0.66167175533694289</v>
      </c>
      <c r="J874">
        <v>0.34242537024145303</v>
      </c>
      <c r="L874">
        <v>3.3570076119211079</v>
      </c>
      <c r="M874">
        <v>0.90970194058501186</v>
      </c>
      <c r="N874">
        <v>2.3716203695851896</v>
      </c>
      <c r="P874">
        <v>6.8271281353892202E-14</v>
      </c>
      <c r="R874">
        <v>6.252055700590625</v>
      </c>
      <c r="S874">
        <v>6.2639720915040158</v>
      </c>
      <c r="T874">
        <v>1</v>
      </c>
      <c r="U874">
        <v>1.8107526737788089</v>
      </c>
    </row>
    <row r="875" spans="1:21">
      <c r="A875">
        <v>1.4623622516890948</v>
      </c>
      <c r="B875">
        <v>0.27613493789360682</v>
      </c>
      <c r="C875">
        <v>0.13295095041138408</v>
      </c>
      <c r="D875">
        <v>0</v>
      </c>
      <c r="E875">
        <v>0.72696381522077735</v>
      </c>
      <c r="F875">
        <v>0</v>
      </c>
      <c r="G875">
        <v>0.26296953764856767</v>
      </c>
      <c r="H875">
        <v>0.8314125505716381</v>
      </c>
      <c r="I875">
        <v>0.69191186888385237</v>
      </c>
      <c r="J875">
        <v>0.93500339263217369</v>
      </c>
      <c r="L875">
        <v>3.3570065424698528</v>
      </c>
      <c r="M875">
        <v>0.90970035457304366</v>
      </c>
      <c r="N875">
        <v>2.3716206738590215</v>
      </c>
      <c r="P875">
        <v>4.6353069844521483E-12</v>
      </c>
      <c r="R875">
        <v>6.252055700590625</v>
      </c>
      <c r="S875">
        <v>6.2639720915040158</v>
      </c>
      <c r="T875">
        <v>1</v>
      </c>
      <c r="U875">
        <v>1.8107526737788089</v>
      </c>
    </row>
    <row r="876" spans="1:21">
      <c r="A876">
        <v>1.464322374697951</v>
      </c>
      <c r="B876">
        <v>0.27988926493324456</v>
      </c>
      <c r="C876">
        <v>0.13298987032454326</v>
      </c>
      <c r="D876">
        <v>0</v>
      </c>
      <c r="E876">
        <v>0</v>
      </c>
      <c r="F876">
        <v>0</v>
      </c>
      <c r="G876">
        <v>0.28719652372616505</v>
      </c>
      <c r="H876">
        <v>0.76721395566114403</v>
      </c>
      <c r="I876">
        <v>2.5102734241495853E-2</v>
      </c>
      <c r="J876">
        <v>0.56136550215566605</v>
      </c>
      <c r="L876">
        <v>3.3570065203652852</v>
      </c>
      <c r="M876">
        <v>0.9097003671127285</v>
      </c>
      <c r="N876">
        <v>2.3716206961320583</v>
      </c>
      <c r="P876">
        <v>4.6684628111693726E-12</v>
      </c>
      <c r="R876">
        <v>6.252055700590625</v>
      </c>
      <c r="S876">
        <v>6.2639720915040158</v>
      </c>
      <c r="T876">
        <v>1</v>
      </c>
      <c r="U876">
        <v>1.8107526737788089</v>
      </c>
    </row>
    <row r="877" spans="1:21">
      <c r="A877">
        <v>1.4616526495045956</v>
      </c>
      <c r="B877">
        <v>0.26796418854945819</v>
      </c>
      <c r="C877">
        <v>9.8550434589958741E-2</v>
      </c>
      <c r="D877">
        <v>0.28101969144492928</v>
      </c>
      <c r="E877">
        <v>0</v>
      </c>
      <c r="F877">
        <v>0</v>
      </c>
      <c r="G877">
        <v>5.6406295018725919E-2</v>
      </c>
      <c r="H877">
        <v>0.69107188130997765</v>
      </c>
      <c r="I877">
        <v>0.70408170318319496</v>
      </c>
      <c r="J877">
        <v>0.3691659969659572</v>
      </c>
      <c r="L877">
        <v>3.3570063872488669</v>
      </c>
      <c r="M877">
        <v>0.90970053785739202</v>
      </c>
      <c r="N877">
        <v>2.3716208133852388</v>
      </c>
      <c r="P877">
        <v>4.5944038697942363E-12</v>
      </c>
      <c r="R877">
        <v>6.252055700590625</v>
      </c>
      <c r="S877">
        <v>6.2639720915040158</v>
      </c>
      <c r="T877">
        <v>1</v>
      </c>
      <c r="U877">
        <v>1.8107526737788089</v>
      </c>
    </row>
    <row r="878" spans="1:21">
      <c r="A878">
        <v>1.4689331455706804</v>
      </c>
      <c r="B878">
        <v>0.27710349942180562</v>
      </c>
      <c r="C878">
        <v>0.14044734862701949</v>
      </c>
      <c r="D878">
        <v>3.2770899396449733E-2</v>
      </c>
      <c r="E878">
        <v>0</v>
      </c>
      <c r="F878">
        <v>0</v>
      </c>
      <c r="G878">
        <v>0.55920574909739007</v>
      </c>
      <c r="H878">
        <v>0.27398739259314364</v>
      </c>
      <c r="I878">
        <v>0.25413600980732554</v>
      </c>
      <c r="J878">
        <v>0.89804035968638496</v>
      </c>
      <c r="L878">
        <v>3.3570065463596777</v>
      </c>
      <c r="M878">
        <v>0.90970026783837332</v>
      </c>
      <c r="N878">
        <v>2.3716205459477426</v>
      </c>
      <c r="P878">
        <v>4.8233899539821796E-12</v>
      </c>
      <c r="R878">
        <v>6.252055700590625</v>
      </c>
      <c r="S878">
        <v>6.2639720915040158</v>
      </c>
      <c r="T878">
        <v>1</v>
      </c>
      <c r="U878">
        <v>1.8107526737788089</v>
      </c>
    </row>
    <row r="879" spans="1:21">
      <c r="A879">
        <v>1.4699668294803874</v>
      </c>
      <c r="B879">
        <v>0.28197728999375277</v>
      </c>
      <c r="C879">
        <v>0.14053990945721148</v>
      </c>
      <c r="D879">
        <v>0</v>
      </c>
      <c r="E879">
        <v>0</v>
      </c>
      <c r="F879">
        <v>9.2125376889451063E-2</v>
      </c>
      <c r="G879">
        <v>0.77721653464514551</v>
      </c>
      <c r="H879">
        <v>0.52845804805652163</v>
      </c>
      <c r="I879">
        <v>0.12487784599304372</v>
      </c>
      <c r="J879">
        <v>0.71420516959717084</v>
      </c>
      <c r="L879">
        <v>3.3570065217333331</v>
      </c>
      <c r="M879">
        <v>0.90970024989762721</v>
      </c>
      <c r="N879">
        <v>2.3716205108629214</v>
      </c>
      <c r="P879">
        <v>4.9245510406375565E-12</v>
      </c>
      <c r="R879">
        <v>6.252055700590625</v>
      </c>
      <c r="S879">
        <v>6.2639720915040158</v>
      </c>
      <c r="T879">
        <v>1</v>
      </c>
      <c r="U879">
        <v>1.8107526737788089</v>
      </c>
    </row>
    <row r="880" spans="1:21">
      <c r="A880">
        <v>1.4644472620149336</v>
      </c>
      <c r="B880">
        <v>0.27466419482926524</v>
      </c>
      <c r="C880">
        <v>0.1045595630123069</v>
      </c>
      <c r="D880">
        <v>1.8514487069685663E-3</v>
      </c>
      <c r="E880">
        <v>0.2285982266635361</v>
      </c>
      <c r="F880">
        <v>0.42514520462062344</v>
      </c>
      <c r="G880">
        <v>0.35523938008443257</v>
      </c>
      <c r="H880">
        <v>0.65184512381128545</v>
      </c>
      <c r="I880">
        <v>0.62031406673972667</v>
      </c>
      <c r="J880">
        <v>0.41266772067781637</v>
      </c>
      <c r="L880">
        <v>3.357006622896904</v>
      </c>
      <c r="M880">
        <v>0.90970035668596139</v>
      </c>
      <c r="N880">
        <v>2.3716206811092406</v>
      </c>
      <c r="P880">
        <v>4.4471226880325299E-12</v>
      </c>
      <c r="R880">
        <v>6.252055700590625</v>
      </c>
      <c r="S880">
        <v>6.2639720915040158</v>
      </c>
      <c r="T880">
        <v>1</v>
      </c>
      <c r="U880">
        <v>1.8107526737788089</v>
      </c>
    </row>
    <row r="881" spans="1:21">
      <c r="A881">
        <v>1.4032476596776939</v>
      </c>
      <c r="B881">
        <v>0.30599624395180891</v>
      </c>
      <c r="C881">
        <v>5.3776973534894641E-2</v>
      </c>
      <c r="D881">
        <v>0</v>
      </c>
      <c r="E881">
        <v>0.56191539538539792</v>
      </c>
      <c r="F881">
        <v>9.492515861412841E-2</v>
      </c>
      <c r="G881">
        <v>0.15013332117267836</v>
      </c>
      <c r="H881">
        <v>0.71507408950689355</v>
      </c>
      <c r="I881">
        <v>0.17733726322520246</v>
      </c>
      <c r="J881">
        <v>0.1387980401152486</v>
      </c>
      <c r="L881">
        <v>4.0803852998624803</v>
      </c>
      <c r="M881">
        <v>0.90970198340194275</v>
      </c>
      <c r="N881">
        <v>2.3716204262894536</v>
      </c>
      <c r="P881">
        <v>6.5961237088712055E-14</v>
      </c>
      <c r="R881">
        <v>6.7464816299462331</v>
      </c>
      <c r="S881">
        <v>6.7566483524299317</v>
      </c>
      <c r="T881">
        <v>1</v>
      </c>
      <c r="U881">
        <v>1.6348567084716521</v>
      </c>
    </row>
    <row r="882" spans="1:21">
      <c r="A882">
        <v>1.4110049746429123</v>
      </c>
      <c r="B882">
        <v>0.29103701366229889</v>
      </c>
      <c r="C882">
        <v>3.160545568611102E-2</v>
      </c>
      <c r="D882">
        <v>0</v>
      </c>
      <c r="E882">
        <v>0</v>
      </c>
      <c r="F882">
        <v>0</v>
      </c>
      <c r="G882">
        <v>0.67365935220444784</v>
      </c>
      <c r="H882">
        <v>0.35481840383450186</v>
      </c>
      <c r="I882">
        <v>0.96512452711430907</v>
      </c>
      <c r="J882">
        <v>0.37448493474156125</v>
      </c>
      <c r="L882">
        <v>4.080385188481471</v>
      </c>
      <c r="M882">
        <v>0.90970157881470171</v>
      </c>
      <c r="N882">
        <v>2.3716203035049492</v>
      </c>
      <c r="P882">
        <v>2.8002440500730287E-13</v>
      </c>
      <c r="R882">
        <v>6.7464816299462331</v>
      </c>
      <c r="S882">
        <v>6.7566483524299317</v>
      </c>
      <c r="T882">
        <v>1</v>
      </c>
      <c r="U882">
        <v>1.6348567084716521</v>
      </c>
    </row>
    <row r="883" spans="1:21">
      <c r="A883">
        <v>1.4097453740325308</v>
      </c>
      <c r="B883">
        <v>0.30274192161150387</v>
      </c>
      <c r="C883">
        <v>5.8856349706784487E-2</v>
      </c>
      <c r="D883">
        <v>0</v>
      </c>
      <c r="E883">
        <v>0.66802266405579469</v>
      </c>
      <c r="F883">
        <v>0.27832699145497702</v>
      </c>
      <c r="G883">
        <v>0.33563848095586757</v>
      </c>
      <c r="H883">
        <v>8.0859460494190516E-2</v>
      </c>
      <c r="I883">
        <v>0.42085915900742737</v>
      </c>
      <c r="J883">
        <v>0.3789364732149072</v>
      </c>
      <c r="L883">
        <v>4.080385225929394</v>
      </c>
      <c r="M883">
        <v>0.90970162200831872</v>
      </c>
      <c r="N883">
        <v>2.3716202331969978</v>
      </c>
      <c r="P883">
        <v>2.176445028598362E-13</v>
      </c>
      <c r="R883">
        <v>6.7464816299462331</v>
      </c>
      <c r="S883">
        <v>6.7566483524299317</v>
      </c>
      <c r="T883">
        <v>1</v>
      </c>
      <c r="U883">
        <v>1.6348567084716521</v>
      </c>
    </row>
    <row r="884" spans="1:21">
      <c r="A884">
        <v>1.4028077481380896</v>
      </c>
      <c r="B884">
        <v>0.29710020701787693</v>
      </c>
      <c r="C884">
        <v>4.5612356011107247E-2</v>
      </c>
      <c r="D884">
        <v>0</v>
      </c>
      <c r="E884">
        <v>0.1707454072029562</v>
      </c>
      <c r="F884">
        <v>0.18790595775533195</v>
      </c>
      <c r="G884">
        <v>0.25483471412330067</v>
      </c>
      <c r="H884">
        <v>0.94920457111377776</v>
      </c>
      <c r="I884">
        <v>0.52465626683240529</v>
      </c>
      <c r="J884">
        <v>0.69934484954024012</v>
      </c>
      <c r="L884">
        <v>4.0803852048449363</v>
      </c>
      <c r="M884">
        <v>0.90970158060772555</v>
      </c>
      <c r="N884">
        <v>2.37162021602611</v>
      </c>
      <c r="P884">
        <v>2.6095090284486222E-13</v>
      </c>
      <c r="R884">
        <v>6.7464816299462331</v>
      </c>
      <c r="S884">
        <v>6.7566483524299317</v>
      </c>
      <c r="T884">
        <v>1</v>
      </c>
      <c r="U884">
        <v>1.6348567084716521</v>
      </c>
    </row>
    <row r="885" spans="1:21">
      <c r="A885">
        <v>1.4074613136590781</v>
      </c>
      <c r="B885">
        <v>0.30475101393207488</v>
      </c>
      <c r="C885">
        <v>5.7531853638085481E-2</v>
      </c>
      <c r="D885">
        <v>0</v>
      </c>
      <c r="E885">
        <v>0.27335238939788048</v>
      </c>
      <c r="F885">
        <v>0</v>
      </c>
      <c r="G885">
        <v>0.57762584212036971</v>
      </c>
      <c r="H885">
        <v>0.50516429207384828</v>
      </c>
      <c r="I885">
        <v>0.2726352184178179</v>
      </c>
      <c r="J885">
        <v>0.32991691985423399</v>
      </c>
      <c r="L885">
        <v>4.0803852271993186</v>
      </c>
      <c r="M885">
        <v>0.90970162065373006</v>
      </c>
      <c r="N885">
        <v>2.3716202216062436</v>
      </c>
      <c r="P885">
        <v>2.1766837302919788E-13</v>
      </c>
      <c r="R885">
        <v>6.7464816299462331</v>
      </c>
      <c r="S885">
        <v>6.7566483524299317</v>
      </c>
      <c r="T885">
        <v>1</v>
      </c>
      <c r="U885">
        <v>1.6348567084716521</v>
      </c>
    </row>
    <row r="886" spans="1:21">
      <c r="A886">
        <v>1.4059949757797185</v>
      </c>
      <c r="B886">
        <v>0.30178536900592939</v>
      </c>
      <c r="C886">
        <v>5.1439055814628064E-2</v>
      </c>
      <c r="D886">
        <v>0</v>
      </c>
      <c r="E886">
        <v>0.5193113375210443</v>
      </c>
      <c r="F886">
        <v>0</v>
      </c>
      <c r="G886">
        <v>0.83068054776534062</v>
      </c>
      <c r="H886">
        <v>0.90100003981524035</v>
      </c>
      <c r="I886">
        <v>0.80582014665753898</v>
      </c>
      <c r="J886">
        <v>0.64137211480330958</v>
      </c>
      <c r="L886">
        <v>4.0803851952738199</v>
      </c>
      <c r="M886">
        <v>0.90970156968640881</v>
      </c>
      <c r="N886">
        <v>2.3716202534103621</v>
      </c>
      <c r="P886">
        <v>2.7800391611080702E-13</v>
      </c>
      <c r="R886">
        <v>6.7464816299462331</v>
      </c>
      <c r="S886">
        <v>6.7566483524299317</v>
      </c>
      <c r="T886">
        <v>1</v>
      </c>
      <c r="U886">
        <v>1.6348567084716521</v>
      </c>
    </row>
    <row r="887" spans="1:21">
      <c r="A887">
        <v>1.4082135920280874</v>
      </c>
      <c r="B887">
        <v>0.30278399564071029</v>
      </c>
      <c r="C887">
        <v>7.1807013232620939E-2</v>
      </c>
      <c r="D887">
        <v>0.28278309332799101</v>
      </c>
      <c r="E887">
        <v>0</v>
      </c>
      <c r="F887">
        <v>0</v>
      </c>
      <c r="G887">
        <v>0.73620199363958794</v>
      </c>
      <c r="H887">
        <v>0.67946151920989128</v>
      </c>
      <c r="I887">
        <v>0.23884075821823586</v>
      </c>
      <c r="J887">
        <v>0.97377381139005847</v>
      </c>
      <c r="L887">
        <v>4.0803851557566073</v>
      </c>
      <c r="M887">
        <v>0.90970149027331981</v>
      </c>
      <c r="N887">
        <v>2.3716201849839762</v>
      </c>
      <c r="P887">
        <v>3.7357551174026691E-13</v>
      </c>
      <c r="R887">
        <v>6.7464816299462331</v>
      </c>
      <c r="S887">
        <v>6.7566483524299317</v>
      </c>
      <c r="T887">
        <v>1</v>
      </c>
      <c r="U887">
        <v>1.6348567084716521</v>
      </c>
    </row>
    <row r="888" spans="1:21">
      <c r="A888">
        <v>1.409582144034478</v>
      </c>
      <c r="B888">
        <v>0.29787483982701451</v>
      </c>
      <c r="C888">
        <v>3.3725777774853451E-2</v>
      </c>
      <c r="D888">
        <v>0.82021062472302242</v>
      </c>
      <c r="E888">
        <v>0.60440317274706967</v>
      </c>
      <c r="F888">
        <v>0.13783270704604911</v>
      </c>
      <c r="G888">
        <v>0.59342410001062385</v>
      </c>
      <c r="H888">
        <v>0.91557971778494762</v>
      </c>
      <c r="I888">
        <v>0.93304693486150092</v>
      </c>
      <c r="J888">
        <v>7.4596651709736089E-2</v>
      </c>
      <c r="L888">
        <v>4.0803852189058274</v>
      </c>
      <c r="M888">
        <v>0.90970161644704473</v>
      </c>
      <c r="N888">
        <v>2.371620253957182</v>
      </c>
      <c r="P888">
        <v>2.2670071677274318E-13</v>
      </c>
      <c r="R888">
        <v>6.7464816299462331</v>
      </c>
      <c r="S888">
        <v>6.7566483524299317</v>
      </c>
      <c r="T888">
        <v>1</v>
      </c>
      <c r="U888">
        <v>1.6348567084716521</v>
      </c>
    </row>
    <row r="889" spans="1:21">
      <c r="A889">
        <v>1.4137435527877837</v>
      </c>
      <c r="B889">
        <v>0.28803289228769907</v>
      </c>
      <c r="C889">
        <v>4.3271631198516507E-2</v>
      </c>
      <c r="D889">
        <v>0.29326586910977204</v>
      </c>
      <c r="E889">
        <v>0</v>
      </c>
      <c r="F889">
        <v>4.845196468838249E-2</v>
      </c>
      <c r="G889">
        <v>0.3972239307871902</v>
      </c>
      <c r="H889">
        <v>1.6675080964093276E-2</v>
      </c>
      <c r="I889">
        <v>0.8437555366033479</v>
      </c>
      <c r="J889">
        <v>0.59373701764729192</v>
      </c>
      <c r="L889">
        <v>4.0803852723362048</v>
      </c>
      <c r="M889">
        <v>0.90970172736535326</v>
      </c>
      <c r="N889">
        <v>2.3716202011422101</v>
      </c>
      <c r="P889">
        <v>1.2323332555351512E-13</v>
      </c>
      <c r="R889">
        <v>6.7464816299462331</v>
      </c>
      <c r="S889">
        <v>6.7566483524299317</v>
      </c>
      <c r="T889">
        <v>1</v>
      </c>
      <c r="U889">
        <v>1.6348567084716521</v>
      </c>
    </row>
    <row r="890" spans="1:21">
      <c r="A890">
        <v>1.405704709522267</v>
      </c>
      <c r="B890">
        <v>0.3022234706579966</v>
      </c>
      <c r="C890">
        <v>6.4786665730624596E-2</v>
      </c>
      <c r="D890">
        <v>0.22762148263140827</v>
      </c>
      <c r="E890">
        <v>0.19810170388699222</v>
      </c>
      <c r="F890">
        <v>0</v>
      </c>
      <c r="G890">
        <v>0.39630128738363424</v>
      </c>
      <c r="H890">
        <v>0.73756569591276544</v>
      </c>
      <c r="I890">
        <v>0.23203198818115151</v>
      </c>
      <c r="J890">
        <v>0.70518080361063129</v>
      </c>
      <c r="L890">
        <v>4.0803852577148714</v>
      </c>
      <c r="M890">
        <v>0.90970167294948689</v>
      </c>
      <c r="N890">
        <v>2.3716201284390208</v>
      </c>
      <c r="P890">
        <v>1.6957659560433458E-13</v>
      </c>
      <c r="R890">
        <v>6.7464816299462331</v>
      </c>
      <c r="S890">
        <v>6.7566483524299317</v>
      </c>
      <c r="T890">
        <v>1</v>
      </c>
      <c r="U890">
        <v>1.6348567084716521</v>
      </c>
    </row>
    <row r="891" spans="1:21">
      <c r="A891">
        <v>1.4114603679280957</v>
      </c>
      <c r="B891">
        <v>0.30439974330522324</v>
      </c>
      <c r="C891">
        <v>6.0427255522838272E-2</v>
      </c>
      <c r="D891">
        <v>0</v>
      </c>
      <c r="E891">
        <v>0.20653818579821509</v>
      </c>
      <c r="F891">
        <v>0.26531098954794941</v>
      </c>
      <c r="G891">
        <v>0.78654598292820499</v>
      </c>
      <c r="H891">
        <v>0.16471994336141413</v>
      </c>
      <c r="I891">
        <v>0.31720085311014196</v>
      </c>
      <c r="J891">
        <v>0.52920326599484813</v>
      </c>
      <c r="L891">
        <v>4.0803852322489149</v>
      </c>
      <c r="M891">
        <v>0.90970169825239044</v>
      </c>
      <c r="N891">
        <v>2.3716203805425953</v>
      </c>
      <c r="P891">
        <v>1.8821284829477155E-13</v>
      </c>
      <c r="R891">
        <v>6.7464816299462331</v>
      </c>
      <c r="S891">
        <v>6.7566483524299317</v>
      </c>
      <c r="T891">
        <v>1</v>
      </c>
      <c r="U891">
        <v>1.6348567084716521</v>
      </c>
    </row>
    <row r="892" spans="1:21">
      <c r="A892">
        <v>1.4107393121697904</v>
      </c>
      <c r="B892">
        <v>0.28579510357832055</v>
      </c>
      <c r="C892">
        <v>3.8346453575745634E-2</v>
      </c>
      <c r="D892">
        <v>7.3207515605509893E-2</v>
      </c>
      <c r="E892">
        <v>9.0070142646332327E-2</v>
      </c>
      <c r="F892">
        <v>0.30749942648563977</v>
      </c>
      <c r="G892">
        <v>2.3335668645030148E-2</v>
      </c>
      <c r="H892">
        <v>1.6676219946560409E-2</v>
      </c>
      <c r="I892">
        <v>0.83446155396793742</v>
      </c>
      <c r="J892">
        <v>0.69337337812110944</v>
      </c>
      <c r="L892">
        <v>4.0803850948979745</v>
      </c>
      <c r="M892">
        <v>0.90970149979267967</v>
      </c>
      <c r="N892">
        <v>2.3716204540976817</v>
      </c>
      <c r="P892">
        <v>4.6005658260305696E-13</v>
      </c>
      <c r="R892">
        <v>6.7464816299462331</v>
      </c>
      <c r="S892">
        <v>6.7566483524299317</v>
      </c>
      <c r="T892">
        <v>1</v>
      </c>
      <c r="U892">
        <v>1.6348567084716521</v>
      </c>
    </row>
    <row r="893" spans="1:21">
      <c r="A893">
        <v>1.4097261056247752</v>
      </c>
      <c r="B893">
        <v>0.29255837133775181</v>
      </c>
      <c r="C893">
        <v>4.1600526095655378E-2</v>
      </c>
      <c r="D893">
        <v>0.43103533549117906</v>
      </c>
      <c r="E893">
        <v>0</v>
      </c>
      <c r="F893">
        <v>0.10395439232576015</v>
      </c>
      <c r="G893">
        <v>0.19743001443300121</v>
      </c>
      <c r="H893">
        <v>0.40877116687294307</v>
      </c>
      <c r="I893">
        <v>0.53519631539654866</v>
      </c>
      <c r="J893">
        <v>0.36254563478258234</v>
      </c>
      <c r="L893">
        <v>4.0803852210379823</v>
      </c>
      <c r="M893">
        <v>0.90970160834209002</v>
      </c>
      <c r="N893">
        <v>2.3716201883810717</v>
      </c>
      <c r="P893">
        <v>2.2943556492292828E-13</v>
      </c>
      <c r="R893">
        <v>6.7464816299462331</v>
      </c>
      <c r="S893">
        <v>6.7566483524299317</v>
      </c>
      <c r="T893">
        <v>1</v>
      </c>
      <c r="U893">
        <v>1.6348567084716521</v>
      </c>
    </row>
    <row r="894" spans="1:21">
      <c r="A894">
        <v>1.4026261396241051</v>
      </c>
      <c r="B894">
        <v>0.30052863824669673</v>
      </c>
      <c r="C894">
        <v>5.3398900626325907E-2</v>
      </c>
      <c r="D894">
        <v>0</v>
      </c>
      <c r="E894">
        <v>0</v>
      </c>
      <c r="F894">
        <v>0</v>
      </c>
      <c r="G894">
        <v>0.2657444867809034</v>
      </c>
      <c r="H894">
        <v>0.92261527261332521</v>
      </c>
      <c r="I894">
        <v>0.20976614932494939</v>
      </c>
      <c r="J894">
        <v>0.57937471598254253</v>
      </c>
      <c r="L894">
        <v>4.0803852095151596</v>
      </c>
      <c r="M894">
        <v>0.90970157649838335</v>
      </c>
      <c r="N894">
        <v>2.3716201429031889</v>
      </c>
      <c r="P894">
        <v>2.6515084862893099E-13</v>
      </c>
      <c r="R894">
        <v>6.7464816299462331</v>
      </c>
      <c r="S894">
        <v>6.7566483524299317</v>
      </c>
      <c r="T894">
        <v>1</v>
      </c>
      <c r="U894">
        <v>1.6348567084716521</v>
      </c>
    </row>
    <row r="895" spans="1:21">
      <c r="A895">
        <v>1.4103293161901158</v>
      </c>
      <c r="B895">
        <v>0.29290142720954265</v>
      </c>
      <c r="C895">
        <v>4.0447973200932415E-2</v>
      </c>
      <c r="D895">
        <v>0</v>
      </c>
      <c r="E895">
        <v>0.48526695996300889</v>
      </c>
      <c r="F895">
        <v>0.78000439129142252</v>
      </c>
      <c r="G895">
        <v>0.36118769450700317</v>
      </c>
      <c r="H895">
        <v>0.17716809731567693</v>
      </c>
      <c r="I895">
        <v>0.92571359460522995</v>
      </c>
      <c r="J895">
        <v>0.85519661930255531</v>
      </c>
      <c r="L895">
        <v>4.0803851748233315</v>
      </c>
      <c r="M895">
        <v>0.90970151894471862</v>
      </c>
      <c r="N895">
        <v>2.3716201000002672</v>
      </c>
      <c r="P895">
        <v>3.4213656195240409E-13</v>
      </c>
      <c r="R895">
        <v>6.7464816299462331</v>
      </c>
      <c r="S895">
        <v>6.7566483524299317</v>
      </c>
      <c r="T895">
        <v>1</v>
      </c>
      <c r="U895">
        <v>1.6348567084716521</v>
      </c>
    </row>
    <row r="896" spans="1:21">
      <c r="A896">
        <v>1.4079177990791321</v>
      </c>
      <c r="B896">
        <v>0.29919525497113553</v>
      </c>
      <c r="C896">
        <v>6.4491951350590895E-2</v>
      </c>
      <c r="D896">
        <v>0</v>
      </c>
      <c r="E896">
        <v>0</v>
      </c>
      <c r="F896">
        <v>0.1479947971793012</v>
      </c>
      <c r="G896">
        <v>8.8622042567578205E-2</v>
      </c>
      <c r="H896">
        <v>0.1475637065701316</v>
      </c>
      <c r="I896">
        <v>2.9927578548812079E-2</v>
      </c>
      <c r="J896">
        <v>0.6431954948100217</v>
      </c>
      <c r="L896">
        <v>4.0803851338618209</v>
      </c>
      <c r="M896">
        <v>0.90970154159087346</v>
      </c>
      <c r="N896">
        <v>2.3716204341727134</v>
      </c>
      <c r="P896">
        <v>3.8554775381825664E-13</v>
      </c>
      <c r="R896">
        <v>6.7464816299462331</v>
      </c>
      <c r="S896">
        <v>6.7566483524299317</v>
      </c>
      <c r="T896">
        <v>1</v>
      </c>
      <c r="U896">
        <v>1.6348567084716521</v>
      </c>
    </row>
    <row r="897" spans="1:21">
      <c r="A897">
        <v>1.4050094425516437</v>
      </c>
      <c r="B897">
        <v>0.30043722994434513</v>
      </c>
      <c r="C897">
        <v>7.2404311421887912E-2</v>
      </c>
      <c r="D897">
        <v>0</v>
      </c>
      <c r="E897">
        <v>0</v>
      </c>
      <c r="F897">
        <v>0</v>
      </c>
      <c r="G897">
        <v>0.21149346264115754</v>
      </c>
      <c r="H897">
        <v>0.54506072414722795</v>
      </c>
      <c r="I897">
        <v>5.512931045578591E-2</v>
      </c>
      <c r="J897">
        <v>0.96838656966737713</v>
      </c>
      <c r="L897">
        <v>4.0803852268600167</v>
      </c>
      <c r="M897">
        <v>0.90970164491215111</v>
      </c>
      <c r="N897">
        <v>2.3716202936214139</v>
      </c>
      <c r="P897">
        <v>2.0634396075359966E-13</v>
      </c>
      <c r="R897">
        <v>6.7464816299462331</v>
      </c>
      <c r="S897">
        <v>6.7566483524299317</v>
      </c>
      <c r="T897">
        <v>1</v>
      </c>
      <c r="U897">
        <v>1.6348567084716521</v>
      </c>
    </row>
    <row r="898" spans="1:21">
      <c r="A898">
        <v>1.4048311759539165</v>
      </c>
      <c r="B898">
        <v>0.28876420856691448</v>
      </c>
      <c r="C898">
        <v>3.640827617251656E-2</v>
      </c>
      <c r="D898">
        <v>0</v>
      </c>
      <c r="E898">
        <v>0</v>
      </c>
      <c r="F898">
        <v>0</v>
      </c>
      <c r="G898">
        <v>0.1951840039163632</v>
      </c>
      <c r="H898">
        <v>0.77312440462605658</v>
      </c>
      <c r="I898">
        <v>0.83496675324808356</v>
      </c>
      <c r="J898">
        <v>0.71429208920982878</v>
      </c>
      <c r="L898">
        <v>4.0803850636853687</v>
      </c>
      <c r="M898">
        <v>0.90970161493931145</v>
      </c>
      <c r="N898">
        <v>2.3716206689344141</v>
      </c>
      <c r="P898">
        <v>5.189522097525517E-13</v>
      </c>
      <c r="R898">
        <v>6.7464816299462331</v>
      </c>
      <c r="S898">
        <v>6.7566483524299317</v>
      </c>
      <c r="T898">
        <v>1</v>
      </c>
      <c r="U898">
        <v>1.6348567084716521</v>
      </c>
    </row>
    <row r="899" spans="1:21">
      <c r="A899">
        <v>1.4067385849155558</v>
      </c>
      <c r="B899">
        <v>0.30589735674672269</v>
      </c>
      <c r="C899">
        <v>3.765154773530778E-2</v>
      </c>
      <c r="D899">
        <v>0</v>
      </c>
      <c r="E899">
        <v>0</v>
      </c>
      <c r="F899">
        <v>0.14077064497978181</v>
      </c>
      <c r="G899">
        <v>0.87937369991856518</v>
      </c>
      <c r="H899">
        <v>0.84632841070510856</v>
      </c>
      <c r="I899">
        <v>0.3470634598382672</v>
      </c>
      <c r="J899">
        <v>1.7029415226953469E-2</v>
      </c>
      <c r="L899">
        <v>4.0803851634363335</v>
      </c>
      <c r="M899">
        <v>0.90970149497770081</v>
      </c>
      <c r="N899">
        <v>2.3716200514317674</v>
      </c>
      <c r="P899">
        <v>3.8433931228870883E-13</v>
      </c>
      <c r="R899">
        <v>6.7464816299462331</v>
      </c>
      <c r="S899">
        <v>6.7566483524299317</v>
      </c>
      <c r="T899">
        <v>1</v>
      </c>
      <c r="U899">
        <v>1.6348567084716521</v>
      </c>
    </row>
    <row r="900" spans="1:21">
      <c r="A900">
        <v>1.4029318202838428</v>
      </c>
      <c r="B900">
        <v>0.31438590740312633</v>
      </c>
      <c r="C900">
        <v>7.7105077842334294E-2</v>
      </c>
      <c r="D900">
        <v>0</v>
      </c>
      <c r="E900">
        <v>0.80622038804158869</v>
      </c>
      <c r="F900">
        <v>0</v>
      </c>
      <c r="G900">
        <v>0.65847328649933512</v>
      </c>
      <c r="H900">
        <v>0.95295142146097034</v>
      </c>
      <c r="I900">
        <v>0.1235852126026529</v>
      </c>
      <c r="J900">
        <v>0.58078098835589609</v>
      </c>
      <c r="L900">
        <v>4.0803852147227193</v>
      </c>
      <c r="M900">
        <v>0.90970162228632823</v>
      </c>
      <c r="N900">
        <v>2.3716203176497053</v>
      </c>
      <c r="P900">
        <v>2.348011558529082E-13</v>
      </c>
      <c r="R900">
        <v>6.7464816299462331</v>
      </c>
      <c r="S900">
        <v>6.7566483524299317</v>
      </c>
      <c r="T900">
        <v>1</v>
      </c>
      <c r="U900">
        <v>1.6348567084716521</v>
      </c>
    </row>
    <row r="901" spans="1:21">
      <c r="A901">
        <v>1.4044592302907244</v>
      </c>
      <c r="B901">
        <v>0.29394365440668763</v>
      </c>
      <c r="C901">
        <v>3.1958360091477934E-2</v>
      </c>
      <c r="D901">
        <v>2.1845731458195693E-2</v>
      </c>
      <c r="E901">
        <v>0</v>
      </c>
      <c r="F901">
        <v>0</v>
      </c>
      <c r="G901">
        <v>0.358480620582459</v>
      </c>
      <c r="H901">
        <v>0.9067922334415538</v>
      </c>
      <c r="I901">
        <v>0.69443148587211145</v>
      </c>
      <c r="J901">
        <v>0.35568025208544929</v>
      </c>
      <c r="L901">
        <v>4.0803831411501932</v>
      </c>
      <c r="M901">
        <v>0.90970249781313806</v>
      </c>
      <c r="N901">
        <v>2.3716207206654922</v>
      </c>
      <c r="P901">
        <v>5.3548075296770877E-12</v>
      </c>
      <c r="R901">
        <v>6.7464816299462331</v>
      </c>
      <c r="S901">
        <v>6.7566483524299317</v>
      </c>
      <c r="T901">
        <v>1</v>
      </c>
      <c r="U901">
        <v>1.6348567084716521</v>
      </c>
    </row>
    <row r="902" spans="1:21">
      <c r="A902">
        <v>1.4080382726544636</v>
      </c>
      <c r="B902">
        <v>0.31029103620949039</v>
      </c>
      <c r="C902">
        <v>7.4884351901519264E-2</v>
      </c>
      <c r="D902">
        <v>0.7559772970965013</v>
      </c>
      <c r="E902">
        <v>0.28740532923313616</v>
      </c>
      <c r="F902">
        <v>0.60381127926007017</v>
      </c>
      <c r="G902">
        <v>0.77503233986692976</v>
      </c>
      <c r="H902">
        <v>0.944449984969288</v>
      </c>
      <c r="I902">
        <v>3.10108483521126E-2</v>
      </c>
      <c r="J902">
        <v>0.98730289702879537</v>
      </c>
      <c r="L902">
        <v>4.0803851728423401</v>
      </c>
      <c r="M902">
        <v>0.90970151633688412</v>
      </c>
      <c r="N902">
        <v>2.371620207021897</v>
      </c>
      <c r="P902">
        <v>3.3793268241504415E-13</v>
      </c>
      <c r="R902">
        <v>6.7464816299462331</v>
      </c>
      <c r="S902">
        <v>6.7566483524299317</v>
      </c>
      <c r="T902">
        <v>1</v>
      </c>
      <c r="U902">
        <v>1.6348567084716521</v>
      </c>
    </row>
    <row r="903" spans="1:21">
      <c r="A903">
        <v>1.4093847170924843</v>
      </c>
      <c r="B903">
        <v>0.29188216555773466</v>
      </c>
      <c r="C903">
        <v>5.0706540596398862E-2</v>
      </c>
      <c r="D903">
        <v>0</v>
      </c>
      <c r="E903">
        <v>0</v>
      </c>
      <c r="F903">
        <v>0.24795817129325667</v>
      </c>
      <c r="G903">
        <v>0.34200551500068432</v>
      </c>
      <c r="H903">
        <v>0.25679316988716588</v>
      </c>
      <c r="I903">
        <v>0.6331223463737442</v>
      </c>
      <c r="J903">
        <v>0.91618341815980786</v>
      </c>
      <c r="L903">
        <v>4.0803852391798845</v>
      </c>
      <c r="M903">
        <v>0.90970165597666341</v>
      </c>
      <c r="N903">
        <v>2.3716202347127582</v>
      </c>
      <c r="P903">
        <v>1.8539155930030247E-13</v>
      </c>
      <c r="R903">
        <v>6.7464816299462331</v>
      </c>
      <c r="S903">
        <v>6.7566483524299317</v>
      </c>
      <c r="T903">
        <v>1</v>
      </c>
      <c r="U903">
        <v>1.6348567084716521</v>
      </c>
    </row>
    <row r="904" spans="1:21">
      <c r="A904">
        <v>1.4119159682858549</v>
      </c>
      <c r="B904">
        <v>0.30257347579416782</v>
      </c>
      <c r="C904">
        <v>6.9996476370045496E-2</v>
      </c>
      <c r="D904">
        <v>0.84838778538168291</v>
      </c>
      <c r="E904">
        <v>0</v>
      </c>
      <c r="F904">
        <v>0</v>
      </c>
      <c r="G904">
        <v>0.76672223855927724</v>
      </c>
      <c r="H904">
        <v>0.62129950998590322</v>
      </c>
      <c r="I904">
        <v>0.22251511626801179</v>
      </c>
      <c r="J904">
        <v>0.7220117795830403</v>
      </c>
      <c r="L904">
        <v>4.0803851104056097</v>
      </c>
      <c r="M904">
        <v>0.90970156095452215</v>
      </c>
      <c r="N904">
        <v>2.3716205272729627</v>
      </c>
      <c r="P904">
        <v>4.3044876970874862E-13</v>
      </c>
      <c r="R904">
        <v>6.7464816299462331</v>
      </c>
      <c r="S904">
        <v>6.7566483524299317</v>
      </c>
      <c r="T904">
        <v>1</v>
      </c>
      <c r="U904">
        <v>1.6348567084716521</v>
      </c>
    </row>
    <row r="905" spans="1:21">
      <c r="A905">
        <v>1.4092376016345423</v>
      </c>
      <c r="B905">
        <v>0.30924082012324994</v>
      </c>
      <c r="C905">
        <v>4.7837582527792771E-2</v>
      </c>
      <c r="D905">
        <v>0.19534108823898871</v>
      </c>
      <c r="E905">
        <v>0</v>
      </c>
      <c r="F905">
        <v>0.28988347736754638</v>
      </c>
      <c r="G905">
        <v>0.9038613805716067</v>
      </c>
      <c r="H905">
        <v>0.62511269696009464</v>
      </c>
      <c r="I905">
        <v>0.10034594656419678</v>
      </c>
      <c r="J905">
        <v>4.8597974724318573E-2</v>
      </c>
      <c r="L905">
        <v>4.0803852878556466</v>
      </c>
      <c r="M905">
        <v>0.90970188656756501</v>
      </c>
      <c r="N905">
        <v>2.3716204034351458</v>
      </c>
      <c r="P905">
        <v>8.3035438099864988E-14</v>
      </c>
      <c r="R905">
        <v>6.7464816299462331</v>
      </c>
      <c r="S905">
        <v>6.7566483524299317</v>
      </c>
      <c r="T905">
        <v>1</v>
      </c>
      <c r="U905">
        <v>1.6348567084716521</v>
      </c>
    </row>
    <row r="906" spans="1:21">
      <c r="A906">
        <v>1.4030504356951157</v>
      </c>
      <c r="B906">
        <v>0.31129858367171465</v>
      </c>
      <c r="C906">
        <v>6.2992544924822827E-2</v>
      </c>
      <c r="D906">
        <v>0</v>
      </c>
      <c r="E906">
        <v>0.78274410540538875</v>
      </c>
      <c r="F906">
        <v>0</v>
      </c>
      <c r="G906">
        <v>0.35642684086573584</v>
      </c>
      <c r="H906">
        <v>0.80235456806682737</v>
      </c>
      <c r="I906">
        <v>0.13188708999262572</v>
      </c>
      <c r="J906">
        <v>0.14021563816162785</v>
      </c>
      <c r="L906">
        <v>4.0803850692795773</v>
      </c>
      <c r="M906">
        <v>0.90970149766503594</v>
      </c>
      <c r="N906">
        <v>2.3716205307268212</v>
      </c>
      <c r="P906">
        <v>5.2269223370164261E-13</v>
      </c>
      <c r="R906">
        <v>6.7464816299462331</v>
      </c>
      <c r="S906">
        <v>6.7566483524299317</v>
      </c>
      <c r="T906">
        <v>1</v>
      </c>
      <c r="U906">
        <v>1.6348567084716521</v>
      </c>
    </row>
    <row r="907" spans="1:21">
      <c r="A907">
        <v>1.4061532824144223</v>
      </c>
      <c r="B907">
        <v>0.29477614985139006</v>
      </c>
      <c r="C907">
        <v>3.8220972408685591E-2</v>
      </c>
      <c r="D907">
        <v>7.7535310237169211E-2</v>
      </c>
      <c r="E907">
        <v>0</v>
      </c>
      <c r="F907">
        <v>8.1610937753612195E-2</v>
      </c>
      <c r="G907">
        <v>0.71989961384927059</v>
      </c>
      <c r="H907">
        <v>0.96107385299417658</v>
      </c>
      <c r="I907">
        <v>0.84036584787588375</v>
      </c>
      <c r="J907">
        <v>0.70619067781594891</v>
      </c>
      <c r="L907">
        <v>4.0803852386668877</v>
      </c>
      <c r="M907">
        <v>0.90970163472556109</v>
      </c>
      <c r="N907">
        <v>2.371620114881916</v>
      </c>
      <c r="P907">
        <v>2.0713089129190564E-13</v>
      </c>
      <c r="R907">
        <v>6.7464816299462331</v>
      </c>
      <c r="S907">
        <v>6.7566483524299317</v>
      </c>
      <c r="T907">
        <v>1</v>
      </c>
      <c r="U907">
        <v>1.6348567084716521</v>
      </c>
    </row>
    <row r="908" spans="1:21">
      <c r="A908">
        <v>1.4049324604957885</v>
      </c>
      <c r="B908">
        <v>0.29171198330120696</v>
      </c>
      <c r="C908">
        <v>3.6626490028366245E-2</v>
      </c>
      <c r="D908">
        <v>8.8402110398142122E-2</v>
      </c>
      <c r="E908">
        <v>0</v>
      </c>
      <c r="F908">
        <v>0</v>
      </c>
      <c r="G908">
        <v>7.7405769311628802E-3</v>
      </c>
      <c r="H908">
        <v>0.65901388184545784</v>
      </c>
      <c r="I908">
        <v>0.54774550339471273</v>
      </c>
      <c r="J908">
        <v>0.36251068940591341</v>
      </c>
      <c r="L908">
        <v>4.0803852403065877</v>
      </c>
      <c r="M908">
        <v>0.90970164149970278</v>
      </c>
      <c r="N908">
        <v>2.3716200469624407</v>
      </c>
      <c r="P908">
        <v>2.1572525957404785E-13</v>
      </c>
      <c r="R908">
        <v>6.7464816299462331</v>
      </c>
      <c r="S908">
        <v>6.7566483524299317</v>
      </c>
      <c r="T908">
        <v>1</v>
      </c>
      <c r="U908">
        <v>1.6348567084716521</v>
      </c>
    </row>
    <row r="909" spans="1:21">
      <c r="A909">
        <v>1.4110298874843425</v>
      </c>
      <c r="B909">
        <v>0.29567303611882101</v>
      </c>
      <c r="C909">
        <v>3.7548799436248968E-2</v>
      </c>
      <c r="D909">
        <v>0.91906009388453691</v>
      </c>
      <c r="E909">
        <v>0</v>
      </c>
      <c r="F909">
        <v>0</v>
      </c>
      <c r="G909">
        <v>0.64588532708899371</v>
      </c>
      <c r="H909">
        <v>0.85058817101226192</v>
      </c>
      <c r="I909">
        <v>0.67087960068950958</v>
      </c>
      <c r="J909">
        <v>0.20002016455588489</v>
      </c>
      <c r="L909">
        <v>4.0803851793963029</v>
      </c>
      <c r="M909">
        <v>0.90970156588951889</v>
      </c>
      <c r="N909">
        <v>2.371620318280101</v>
      </c>
      <c r="P909">
        <v>2.9949775652438981E-13</v>
      </c>
      <c r="R909">
        <v>6.7464816299462331</v>
      </c>
      <c r="S909">
        <v>6.7566483524299317</v>
      </c>
      <c r="T909">
        <v>1</v>
      </c>
      <c r="U909">
        <v>1.6348567084716521</v>
      </c>
    </row>
    <row r="910" spans="1:21">
      <c r="A910">
        <v>1.4023369377738175</v>
      </c>
      <c r="B910">
        <v>0.3039453963166544</v>
      </c>
      <c r="C910">
        <v>6.4446553516321142E-2</v>
      </c>
      <c r="D910">
        <v>0.19714391334182321</v>
      </c>
      <c r="E910">
        <v>0.48256930214968585</v>
      </c>
      <c r="F910">
        <v>0</v>
      </c>
      <c r="G910">
        <v>7.6459887890906339E-2</v>
      </c>
      <c r="H910">
        <v>0.88630319313445849</v>
      </c>
      <c r="I910">
        <v>0.15315759977051877</v>
      </c>
      <c r="J910">
        <v>0.5448843347814456</v>
      </c>
      <c r="L910">
        <v>4.0803852387597646</v>
      </c>
      <c r="M910">
        <v>0.90970162932965148</v>
      </c>
      <c r="N910">
        <v>2.3716200944296624</v>
      </c>
      <c r="P910">
        <v>2.1531194562744976E-13</v>
      </c>
      <c r="R910">
        <v>6.7464816299462331</v>
      </c>
      <c r="S910">
        <v>6.7566483524299317</v>
      </c>
      <c r="T910">
        <v>1</v>
      </c>
      <c r="U910">
        <v>1.6348567084716521</v>
      </c>
    </row>
    <row r="911" spans="1:21">
      <c r="A911">
        <v>-1.4320135295826917</v>
      </c>
      <c r="B911">
        <v>-0.10343229966816962</v>
      </c>
      <c r="C911">
        <v>0.33677132554745232</v>
      </c>
      <c r="D911">
        <v>0</v>
      </c>
      <c r="E911">
        <v>0.74876218991211396</v>
      </c>
      <c r="F911">
        <v>0</v>
      </c>
      <c r="G911">
        <v>0.77428731787175442</v>
      </c>
      <c r="H911">
        <v>0.20273896130192146</v>
      </c>
      <c r="I911">
        <v>0.76435598640582103</v>
      </c>
      <c r="J911">
        <v>0.89930086361422179</v>
      </c>
      <c r="L911">
        <v>1.8928999938127837</v>
      </c>
      <c r="M911">
        <v>0.66403829775458167</v>
      </c>
      <c r="N911">
        <v>4.0704400768005566</v>
      </c>
      <c r="P911">
        <v>1.1488829261458557E-12</v>
      </c>
      <c r="R911">
        <v>6.5876160215753901</v>
      </c>
      <c r="S911">
        <v>6.5952649754803758</v>
      </c>
      <c r="T911">
        <v>1</v>
      </c>
      <c r="U911">
        <v>2.6182030968672017</v>
      </c>
    </row>
    <row r="912" spans="1:21">
      <c r="A912">
        <v>-1.4342737768071991</v>
      </c>
      <c r="B912">
        <v>-8.7682529852167068E-2</v>
      </c>
      <c r="C912">
        <v>0.32531356149662122</v>
      </c>
      <c r="D912">
        <v>0</v>
      </c>
      <c r="E912">
        <v>0</v>
      </c>
      <c r="F912">
        <v>0.46819876068656796</v>
      </c>
      <c r="G912">
        <v>0.60329669337364333</v>
      </c>
      <c r="H912">
        <v>0.20589428207902905</v>
      </c>
      <c r="I912">
        <v>0.80159095536504954</v>
      </c>
      <c r="J912">
        <v>0.85799259855755328</v>
      </c>
      <c r="L912">
        <v>1.8928999565137523</v>
      </c>
      <c r="M912">
        <v>0.66403824864970529</v>
      </c>
      <c r="N912">
        <v>4.0704400193385055</v>
      </c>
      <c r="P912">
        <v>1.0189387393280128E-12</v>
      </c>
      <c r="R912">
        <v>6.5876160215753901</v>
      </c>
      <c r="S912">
        <v>6.5952649754803758</v>
      </c>
      <c r="T912">
        <v>1</v>
      </c>
      <c r="U912">
        <v>2.6182030968672017</v>
      </c>
    </row>
    <row r="913" spans="1:21">
      <c r="A913">
        <v>-1.4355859126536759</v>
      </c>
      <c r="B913">
        <v>-8.9932267293376222E-2</v>
      </c>
      <c r="C913">
        <v>0.34567712823657332</v>
      </c>
      <c r="D913">
        <v>0.25222288988220848</v>
      </c>
      <c r="E913">
        <v>0</v>
      </c>
      <c r="F913">
        <v>0.27504049096020466</v>
      </c>
      <c r="G913">
        <v>0.50397644522054441</v>
      </c>
      <c r="H913">
        <v>0.860019673094926</v>
      </c>
      <c r="I913">
        <v>0.53219148962154805</v>
      </c>
      <c r="J913">
        <v>0.36282986708143439</v>
      </c>
      <c r="L913">
        <v>1.8929001257292348</v>
      </c>
      <c r="M913">
        <v>0.66403826969644819</v>
      </c>
      <c r="N913">
        <v>4.0704400314794729</v>
      </c>
      <c r="P913">
        <v>1.0192805686015037E-12</v>
      </c>
      <c r="R913">
        <v>6.5876160215753901</v>
      </c>
      <c r="S913">
        <v>6.5952649754803758</v>
      </c>
      <c r="T913">
        <v>1</v>
      </c>
      <c r="U913">
        <v>2.6182030968672017</v>
      </c>
    </row>
    <row r="914" spans="1:21">
      <c r="A914">
        <v>-1.4322885427148295</v>
      </c>
      <c r="B914">
        <v>-8.0048489190788136E-2</v>
      </c>
      <c r="C914">
        <v>0.3203373042114766</v>
      </c>
      <c r="D914">
        <v>0</v>
      </c>
      <c r="E914">
        <v>0</v>
      </c>
      <c r="F914">
        <v>0</v>
      </c>
      <c r="G914">
        <v>0.28507463701724345</v>
      </c>
      <c r="H914">
        <v>0.17324139682705128</v>
      </c>
      <c r="I914">
        <v>0.87867355869892283</v>
      </c>
      <c r="J914">
        <v>0.39641685639759572</v>
      </c>
      <c r="L914">
        <v>1.8929001627000024</v>
      </c>
      <c r="M914">
        <v>0.66403800719829975</v>
      </c>
      <c r="N914">
        <v>4.0704397792323679</v>
      </c>
      <c r="P914">
        <v>4.3794863268730652E-13</v>
      </c>
      <c r="R914">
        <v>6.5876160215753901</v>
      </c>
      <c r="S914">
        <v>6.5952649754803758</v>
      </c>
      <c r="T914">
        <v>1</v>
      </c>
      <c r="U914">
        <v>2.6182030968672017</v>
      </c>
    </row>
    <row r="915" spans="1:21">
      <c r="A915">
        <v>-1.4370783982611894</v>
      </c>
      <c r="B915">
        <v>-0.10582847745410558</v>
      </c>
      <c r="C915">
        <v>0.34527308372704657</v>
      </c>
      <c r="D915">
        <v>0.35879531625607908</v>
      </c>
      <c r="E915">
        <v>0.31048824783305556</v>
      </c>
      <c r="F915">
        <v>0.1001806606360013</v>
      </c>
      <c r="G915">
        <v>0.91677450144739481</v>
      </c>
      <c r="H915">
        <v>0.48254616952531049</v>
      </c>
      <c r="I915">
        <v>0.34971600574528816</v>
      </c>
      <c r="J915">
        <v>0.31871808830859427</v>
      </c>
      <c r="L915">
        <v>1.8928993973705337</v>
      </c>
      <c r="M915">
        <v>0.66403824941127521</v>
      </c>
      <c r="N915">
        <v>4.0704404005925232</v>
      </c>
      <c r="P915">
        <v>2.100888592828199E-12</v>
      </c>
      <c r="R915">
        <v>6.5876160215753901</v>
      </c>
      <c r="S915">
        <v>6.5952649754803758</v>
      </c>
      <c r="T915">
        <v>1</v>
      </c>
      <c r="U915">
        <v>2.6182030968672017</v>
      </c>
    </row>
    <row r="916" spans="1:21">
      <c r="A916">
        <v>-1.430655627265065</v>
      </c>
      <c r="B916">
        <v>-8.0288918454462718E-2</v>
      </c>
      <c r="C916">
        <v>0.32119279882089846</v>
      </c>
      <c r="D916">
        <v>0.33818265583303497</v>
      </c>
      <c r="E916">
        <v>0</v>
      </c>
      <c r="F916">
        <v>8.2988453724841038E-2</v>
      </c>
      <c r="G916">
        <v>0.31171786564308057</v>
      </c>
      <c r="H916">
        <v>0.5917876667763563</v>
      </c>
      <c r="I916">
        <v>0.93493996881458186</v>
      </c>
      <c r="J916">
        <v>0.79631520676520473</v>
      </c>
      <c r="L916">
        <v>1.8929000626655768</v>
      </c>
      <c r="M916">
        <v>0.66403798064963737</v>
      </c>
      <c r="N916">
        <v>4.0704397627713886</v>
      </c>
      <c r="P916">
        <v>4.1233162915193186E-13</v>
      </c>
      <c r="R916">
        <v>6.5876160215753901</v>
      </c>
      <c r="S916">
        <v>6.5952649754803758</v>
      </c>
      <c r="T916">
        <v>1</v>
      </c>
      <c r="U916">
        <v>2.6182030968672017</v>
      </c>
    </row>
    <row r="917" spans="1:21">
      <c r="A917">
        <v>-1.4372505065031995</v>
      </c>
      <c r="B917">
        <v>-0.10530544648127524</v>
      </c>
      <c r="C917">
        <v>0.35373375708244215</v>
      </c>
      <c r="D917">
        <v>0.50545606271701837</v>
      </c>
      <c r="E917">
        <v>0.74203463150368776</v>
      </c>
      <c r="F917">
        <v>0.33213069278284368</v>
      </c>
      <c r="G917">
        <v>0.87155847262451358</v>
      </c>
      <c r="H917">
        <v>0.8822491601848359</v>
      </c>
      <c r="I917">
        <v>0.67606135853099536</v>
      </c>
      <c r="J917">
        <v>0.47947203998584276</v>
      </c>
      <c r="L917">
        <v>1.8928994124401055</v>
      </c>
      <c r="M917">
        <v>0.66403631816065578</v>
      </c>
      <c r="N917">
        <v>4.0704416334348483</v>
      </c>
      <c r="P917">
        <v>6.1511937340514589E-12</v>
      </c>
      <c r="R917">
        <v>6.5876160215753901</v>
      </c>
      <c r="S917">
        <v>6.5952649754803758</v>
      </c>
      <c r="T917">
        <v>1</v>
      </c>
      <c r="U917">
        <v>2.6182030968672017</v>
      </c>
    </row>
    <row r="918" spans="1:21">
      <c r="A918">
        <v>-1.4335617063397583</v>
      </c>
      <c r="B918">
        <v>-8.5306042431614285E-2</v>
      </c>
      <c r="C918">
        <v>0.33786505430361152</v>
      </c>
      <c r="D918">
        <v>0</v>
      </c>
      <c r="E918">
        <v>0.27800417228022561</v>
      </c>
      <c r="F918">
        <v>0</v>
      </c>
      <c r="G918">
        <v>0.38070390709250179</v>
      </c>
      <c r="H918">
        <v>0.60682350408154651</v>
      </c>
      <c r="I918">
        <v>0.90713448503594718</v>
      </c>
      <c r="J918">
        <v>0.31499992154765627</v>
      </c>
      <c r="L918">
        <v>1.8929000941674121</v>
      </c>
      <c r="M918">
        <v>0.66403824971209635</v>
      </c>
      <c r="N918">
        <v>4.0704400067414754</v>
      </c>
      <c r="P918">
        <v>9.6528597803282371E-13</v>
      </c>
      <c r="R918">
        <v>6.5876160215753901</v>
      </c>
      <c r="S918">
        <v>6.5952649754803758</v>
      </c>
      <c r="T918">
        <v>1</v>
      </c>
      <c r="U918">
        <v>2.6182030968672017</v>
      </c>
    </row>
    <row r="919" spans="1:21">
      <c r="A919">
        <v>-1.4316105111970514</v>
      </c>
      <c r="B919">
        <v>-8.4648413102088343E-2</v>
      </c>
      <c r="C919">
        <v>0.32895514431248302</v>
      </c>
      <c r="D919">
        <v>0</v>
      </c>
      <c r="E919">
        <v>9.3309035547323699E-2</v>
      </c>
      <c r="F919">
        <v>0</v>
      </c>
      <c r="G919">
        <v>1.9512471690616869E-2</v>
      </c>
      <c r="H919">
        <v>9.0047403767417444E-3</v>
      </c>
      <c r="I919">
        <v>0.36588717797661952</v>
      </c>
      <c r="J919">
        <v>0.10047665811425527</v>
      </c>
      <c r="L919">
        <v>1.8928999943844815</v>
      </c>
      <c r="M919">
        <v>0.66403829193787389</v>
      </c>
      <c r="N919">
        <v>4.0704400686916875</v>
      </c>
      <c r="P919">
        <v>1.1294488405200824E-12</v>
      </c>
      <c r="R919">
        <v>6.5876160215753901</v>
      </c>
      <c r="S919">
        <v>6.5952649754803758</v>
      </c>
      <c r="T919">
        <v>1</v>
      </c>
      <c r="U919">
        <v>2.6182030968672017</v>
      </c>
    </row>
    <row r="920" spans="1:21">
      <c r="A920">
        <v>-1.4277871532810742</v>
      </c>
      <c r="B920">
        <v>-9.4064921025584516E-2</v>
      </c>
      <c r="C920">
        <v>0.32891342210147484</v>
      </c>
      <c r="D920">
        <v>0.35058067621651123</v>
      </c>
      <c r="E920">
        <v>0.21103734533935245</v>
      </c>
      <c r="F920">
        <v>0</v>
      </c>
      <c r="G920">
        <v>0.13812583455060878</v>
      </c>
      <c r="H920">
        <v>0.19311832106750307</v>
      </c>
      <c r="I920">
        <v>0.14436643641390778</v>
      </c>
      <c r="J920">
        <v>0.8075022697443438</v>
      </c>
      <c r="L920">
        <v>1.8928999181459067</v>
      </c>
      <c r="M920">
        <v>0.66403805795462267</v>
      </c>
      <c r="N920">
        <v>4.0704398412700611</v>
      </c>
      <c r="P920">
        <v>6.0685574465147931E-13</v>
      </c>
      <c r="R920">
        <v>6.5876160215753901</v>
      </c>
      <c r="S920">
        <v>6.5952649754803758</v>
      </c>
      <c r="T920">
        <v>1</v>
      </c>
      <c r="U920">
        <v>2.6182030968672017</v>
      </c>
    </row>
    <row r="921" spans="1:21">
      <c r="A921">
        <v>-1.4350122455965355</v>
      </c>
      <c r="B921">
        <v>-9.5950160745862545E-2</v>
      </c>
      <c r="C921">
        <v>0.33595695022469674</v>
      </c>
      <c r="D921">
        <v>0</v>
      </c>
      <c r="E921">
        <v>0</v>
      </c>
      <c r="F921">
        <v>0</v>
      </c>
      <c r="G921">
        <v>0.70414878407564152</v>
      </c>
      <c r="H921">
        <v>0.26054972303815177</v>
      </c>
      <c r="I921">
        <v>0.44015497968922385</v>
      </c>
      <c r="J921">
        <v>0.37581861050400395</v>
      </c>
      <c r="L921">
        <v>1.8928999310846828</v>
      </c>
      <c r="M921">
        <v>0.66403833627296649</v>
      </c>
      <c r="N921">
        <v>4.0704401460026034</v>
      </c>
      <c r="P921">
        <v>1.3275576972244576E-12</v>
      </c>
      <c r="R921">
        <v>6.5876160215753901</v>
      </c>
      <c r="S921">
        <v>6.5952649754803758</v>
      </c>
      <c r="T921">
        <v>1</v>
      </c>
      <c r="U921">
        <v>2.6182030968672017</v>
      </c>
    </row>
    <row r="922" spans="1:21">
      <c r="A922">
        <v>-1.4341568594812339</v>
      </c>
      <c r="B922">
        <v>-9.4338262390806921E-2</v>
      </c>
      <c r="C922">
        <v>0.35711407327897465</v>
      </c>
      <c r="D922">
        <v>0</v>
      </c>
      <c r="E922">
        <v>8.4814449164535996E-2</v>
      </c>
      <c r="F922">
        <v>0.23245097182366017</v>
      </c>
      <c r="G922">
        <v>0.24211066321333455</v>
      </c>
      <c r="H922">
        <v>0.68678744659370561</v>
      </c>
      <c r="I922">
        <v>4.7434815511589887E-2</v>
      </c>
      <c r="J922">
        <v>0.17878492361496323</v>
      </c>
      <c r="L922">
        <v>1.8929002503634511</v>
      </c>
      <c r="M922">
        <v>0.66403803469144218</v>
      </c>
      <c r="N922">
        <v>4.0704398096327079</v>
      </c>
      <c r="P922">
        <v>4.9238632835380711E-13</v>
      </c>
      <c r="R922">
        <v>6.5876160215753901</v>
      </c>
      <c r="S922">
        <v>6.5952649754803758</v>
      </c>
      <c r="T922">
        <v>1</v>
      </c>
      <c r="U922">
        <v>2.6182030968672017</v>
      </c>
    </row>
    <row r="923" spans="1:21">
      <c r="A923">
        <v>-1.4323266399240293</v>
      </c>
      <c r="B923">
        <v>-7.7092979145017629E-2</v>
      </c>
      <c r="C923">
        <v>0.3377311750661614</v>
      </c>
      <c r="D923">
        <v>0</v>
      </c>
      <c r="E923">
        <v>0</v>
      </c>
      <c r="F923">
        <v>0.4106614255583122</v>
      </c>
      <c r="G923">
        <v>0.23205209246049532</v>
      </c>
      <c r="H923">
        <v>0.93799739901830037</v>
      </c>
      <c r="I923">
        <v>0.99878064012941881</v>
      </c>
      <c r="J923">
        <v>0.80542924055555343</v>
      </c>
      <c r="L923">
        <v>1.8928999002301299</v>
      </c>
      <c r="M923">
        <v>0.66403684200686108</v>
      </c>
      <c r="N923">
        <v>4.0704395923162755</v>
      </c>
      <c r="P923">
        <v>3.8628147876985205E-13</v>
      </c>
      <c r="R923">
        <v>6.5876160215753901</v>
      </c>
      <c r="S923">
        <v>6.5952649754803758</v>
      </c>
      <c r="T923">
        <v>1</v>
      </c>
      <c r="U923">
        <v>2.6182030968672017</v>
      </c>
    </row>
    <row r="924" spans="1:21">
      <c r="A924">
        <v>-1.4384766026868594</v>
      </c>
      <c r="B924">
        <v>-9.5070468526795043E-2</v>
      </c>
      <c r="C924">
        <v>0.34784103358109919</v>
      </c>
      <c r="D924">
        <v>0</v>
      </c>
      <c r="E924">
        <v>0</v>
      </c>
      <c r="F924">
        <v>0.56086221642732903</v>
      </c>
      <c r="G924">
        <v>0.62947126884444904</v>
      </c>
      <c r="H924">
        <v>0.43464193200351448</v>
      </c>
      <c r="I924">
        <v>0.33159483259234307</v>
      </c>
      <c r="J924">
        <v>0.24146737043639058</v>
      </c>
      <c r="L924">
        <v>1.8929000155041011</v>
      </c>
      <c r="M924">
        <v>0.66403823076466051</v>
      </c>
      <c r="N924">
        <v>4.0704399927438919</v>
      </c>
      <c r="P924">
        <v>9.4032888364041874E-13</v>
      </c>
      <c r="R924">
        <v>6.5876160215753901</v>
      </c>
      <c r="S924">
        <v>6.5952649754803758</v>
      </c>
      <c r="T924">
        <v>1</v>
      </c>
      <c r="U924">
        <v>2.6182030968672017</v>
      </c>
    </row>
    <row r="925" spans="1:21">
      <c r="A925">
        <v>-1.4312890507892881</v>
      </c>
      <c r="B925">
        <v>-0.10812021130515946</v>
      </c>
      <c r="C925">
        <v>0.33199173421359329</v>
      </c>
      <c r="D925">
        <v>0.72444018733106519</v>
      </c>
      <c r="E925">
        <v>0.69225133439237818</v>
      </c>
      <c r="F925">
        <v>0</v>
      </c>
      <c r="G925">
        <v>0.59317759517321944</v>
      </c>
      <c r="H925">
        <v>0.15033716115265258</v>
      </c>
      <c r="I925">
        <v>0.2222505170954818</v>
      </c>
      <c r="J925">
        <v>0.67590792422535761</v>
      </c>
      <c r="L925">
        <v>1.8928996070348718</v>
      </c>
      <c r="M925">
        <v>0.66403830565075839</v>
      </c>
      <c r="N925">
        <v>4.0704402654925955</v>
      </c>
      <c r="P925">
        <v>1.6993086980681258E-12</v>
      </c>
      <c r="R925">
        <v>6.5876160215753901</v>
      </c>
      <c r="S925">
        <v>6.5952649754803758</v>
      </c>
      <c r="T925">
        <v>1</v>
      </c>
      <c r="U925">
        <v>2.6182030968672017</v>
      </c>
    </row>
    <row r="926" spans="1:21">
      <c r="A926">
        <v>-1.4277989637246904</v>
      </c>
      <c r="B926">
        <v>-9.0686367866405257E-2</v>
      </c>
      <c r="C926">
        <v>0.32562592291078668</v>
      </c>
      <c r="D926">
        <v>0.17494429123970134</v>
      </c>
      <c r="E926">
        <v>0.71766792075717944</v>
      </c>
      <c r="F926">
        <v>0</v>
      </c>
      <c r="G926">
        <v>0.14256119906943399</v>
      </c>
      <c r="H926">
        <v>0.11343796661524493</v>
      </c>
      <c r="I926">
        <v>0.75569441561194539</v>
      </c>
      <c r="J926">
        <v>0.84514893087949627</v>
      </c>
      <c r="L926">
        <v>1.8929001855708538</v>
      </c>
      <c r="M926">
        <v>0.66403793600143013</v>
      </c>
      <c r="N926">
        <v>4.0704397331357729</v>
      </c>
      <c r="P926">
        <v>3.3468567513489535E-13</v>
      </c>
      <c r="R926">
        <v>6.5876160215753901</v>
      </c>
      <c r="S926">
        <v>6.5952649754803758</v>
      </c>
      <c r="T926">
        <v>1</v>
      </c>
      <c r="U926">
        <v>2.6182030968672017</v>
      </c>
    </row>
    <row r="927" spans="1:21">
      <c r="A927">
        <v>-1.4341163104471242</v>
      </c>
      <c r="B927">
        <v>-9.0562856439436512E-2</v>
      </c>
      <c r="C927">
        <v>0.33668831893210399</v>
      </c>
      <c r="D927">
        <v>0</v>
      </c>
      <c r="E927">
        <v>0.42696878705347679</v>
      </c>
      <c r="F927">
        <v>0</v>
      </c>
      <c r="G927">
        <v>0.56908044134249358</v>
      </c>
      <c r="H927">
        <v>0.47175923332950498</v>
      </c>
      <c r="I927">
        <v>0.94870912145907516</v>
      </c>
      <c r="J927">
        <v>0.41392241464905916</v>
      </c>
      <c r="L927">
        <v>1.8928998559413934</v>
      </c>
      <c r="M927">
        <v>0.66403834501410586</v>
      </c>
      <c r="N927">
        <v>4.0704401855899413</v>
      </c>
      <c r="P927">
        <v>1.437592883023228E-12</v>
      </c>
      <c r="R927">
        <v>6.5876160215753901</v>
      </c>
      <c r="S927">
        <v>6.5952649754803758</v>
      </c>
      <c r="T927">
        <v>1</v>
      </c>
      <c r="U927">
        <v>2.6182030968672017</v>
      </c>
    </row>
    <row r="928" spans="1:21">
      <c r="A928">
        <v>-1.4291553404310873</v>
      </c>
      <c r="B928">
        <v>-8.6648770896039895E-2</v>
      </c>
      <c r="C928">
        <v>0.33340385367999731</v>
      </c>
      <c r="D928">
        <v>0.65014988365908022</v>
      </c>
      <c r="E928">
        <v>0</v>
      </c>
      <c r="F928">
        <v>0.2009660718014615</v>
      </c>
      <c r="G928">
        <v>0.18141273701273383</v>
      </c>
      <c r="H928">
        <v>0.92475509039402337</v>
      </c>
      <c r="I928">
        <v>0.43808823672017849</v>
      </c>
      <c r="J928">
        <v>0.93964833830673478</v>
      </c>
      <c r="L928">
        <v>1.8928994179350047</v>
      </c>
      <c r="M928">
        <v>0.66403622999080103</v>
      </c>
      <c r="N928">
        <v>4.0704402637008457</v>
      </c>
      <c r="P928">
        <v>2.4677062856053978E-12</v>
      </c>
      <c r="R928">
        <v>6.5876160215753901</v>
      </c>
      <c r="S928">
        <v>6.5952649754803758</v>
      </c>
      <c r="T928">
        <v>1</v>
      </c>
      <c r="U928">
        <v>2.6182030968672017</v>
      </c>
    </row>
    <row r="929" spans="1:21">
      <c r="A929">
        <v>-1.4282154583990525</v>
      </c>
      <c r="B929">
        <v>-8.2007381452808337E-2</v>
      </c>
      <c r="C929">
        <v>0.31376318865171465</v>
      </c>
      <c r="D929">
        <v>0.23765436071666535</v>
      </c>
      <c r="E929">
        <v>0</v>
      </c>
      <c r="F929">
        <v>0</v>
      </c>
      <c r="G929">
        <v>9.8340621807255293E-2</v>
      </c>
      <c r="H929">
        <v>6.3055695579844709E-2</v>
      </c>
      <c r="I929">
        <v>0.60602981422799806</v>
      </c>
      <c r="J929">
        <v>0.77902585828052817</v>
      </c>
      <c r="L929">
        <v>1.8929001483155594</v>
      </c>
      <c r="M929">
        <v>0.66403817631817696</v>
      </c>
      <c r="N929">
        <v>4.0704399227862993</v>
      </c>
      <c r="P929">
        <v>7.6598702654499835E-13</v>
      </c>
      <c r="R929">
        <v>6.5876160215753901</v>
      </c>
      <c r="S929">
        <v>6.5952649754803758</v>
      </c>
      <c r="T929">
        <v>1</v>
      </c>
      <c r="U929">
        <v>2.6182030968672017</v>
      </c>
    </row>
    <row r="930" spans="1:21">
      <c r="A930">
        <v>-1.4317170983232426</v>
      </c>
      <c r="B930">
        <v>-8.0694100161898027E-2</v>
      </c>
      <c r="C930">
        <v>0.34428859619769603</v>
      </c>
      <c r="D930">
        <v>0</v>
      </c>
      <c r="E930">
        <v>0.36362997418044041</v>
      </c>
      <c r="F930">
        <v>0.30930818810479149</v>
      </c>
      <c r="G930">
        <v>0.11337970332043718</v>
      </c>
      <c r="H930">
        <v>0.91229116999705318</v>
      </c>
      <c r="I930">
        <v>0.94918789233714784</v>
      </c>
      <c r="J930">
        <v>0.62345007141623454</v>
      </c>
      <c r="L930">
        <v>1.8929002132557529</v>
      </c>
      <c r="M930">
        <v>0.66403779970675758</v>
      </c>
      <c r="N930">
        <v>4.0704396600888719</v>
      </c>
      <c r="P930">
        <v>1.8239796053498567E-13</v>
      </c>
      <c r="R930">
        <v>6.5876160215753901</v>
      </c>
      <c r="S930">
        <v>6.5952649754803758</v>
      </c>
      <c r="T930">
        <v>1</v>
      </c>
      <c r="U930">
        <v>2.6182030968672017</v>
      </c>
    </row>
    <row r="931" spans="1:21">
      <c r="A931">
        <v>-1.4336198028335652</v>
      </c>
      <c r="B931">
        <v>-9.138599322308337E-2</v>
      </c>
      <c r="C931">
        <v>0.32855662020663762</v>
      </c>
      <c r="D931">
        <v>0.48769061732581093</v>
      </c>
      <c r="E931">
        <v>0</v>
      </c>
      <c r="F931">
        <v>0</v>
      </c>
      <c r="G931">
        <v>0.52322829891634792</v>
      </c>
      <c r="H931">
        <v>0.45499547407471885</v>
      </c>
      <c r="I931">
        <v>0.49865772602146252</v>
      </c>
      <c r="J931">
        <v>0.38744102741018038</v>
      </c>
      <c r="L931">
        <v>1.8929000341653062</v>
      </c>
      <c r="M931">
        <v>0.66403824047089144</v>
      </c>
      <c r="N931">
        <v>4.0704399984543809</v>
      </c>
      <c r="P931">
        <v>9.560499703493595E-13</v>
      </c>
      <c r="R931">
        <v>6.5876160215753901</v>
      </c>
      <c r="S931">
        <v>6.5952649754803758</v>
      </c>
      <c r="T931">
        <v>1</v>
      </c>
      <c r="U931">
        <v>2.6182030968672017</v>
      </c>
    </row>
    <row r="932" spans="1:21">
      <c r="A932">
        <v>-1.4329643827953862</v>
      </c>
      <c r="B932">
        <v>-0.1071472975290156</v>
      </c>
      <c r="C932">
        <v>0.34103488928918957</v>
      </c>
      <c r="D932">
        <v>0.45630956223865538</v>
      </c>
      <c r="E932">
        <v>0.19691123652231229</v>
      </c>
      <c r="F932">
        <v>4.1523085436946459E-2</v>
      </c>
      <c r="G932">
        <v>0.7779092155863081</v>
      </c>
      <c r="H932">
        <v>0.45170530902660055</v>
      </c>
      <c r="I932">
        <v>8.7009565803875921E-2</v>
      </c>
      <c r="J932">
        <v>0.74315672709140734</v>
      </c>
      <c r="L932">
        <v>1.8929001979564046</v>
      </c>
      <c r="M932">
        <v>0.66403783732604604</v>
      </c>
      <c r="N932">
        <v>4.0704396764802251</v>
      </c>
      <c r="P932">
        <v>2.1813305404484597E-13</v>
      </c>
      <c r="R932">
        <v>6.5876160215753901</v>
      </c>
      <c r="S932">
        <v>6.5952649754803758</v>
      </c>
      <c r="T932">
        <v>1</v>
      </c>
      <c r="U932">
        <v>2.6182030968672017</v>
      </c>
    </row>
    <row r="933" spans="1:21">
      <c r="A933">
        <v>-1.4336594991625089</v>
      </c>
      <c r="B933">
        <v>-9.9475049025132892E-2</v>
      </c>
      <c r="C933">
        <v>0.34670290193696629</v>
      </c>
      <c r="D933">
        <v>0.24410089051792286</v>
      </c>
      <c r="E933">
        <v>0</v>
      </c>
      <c r="F933">
        <v>0.29426750314443212</v>
      </c>
      <c r="G933">
        <v>0.73519341160308382</v>
      </c>
      <c r="H933">
        <v>0.81089329632960094</v>
      </c>
      <c r="I933">
        <v>0.31243583023530347</v>
      </c>
      <c r="J933">
        <v>0.92358926815782505</v>
      </c>
      <c r="L933">
        <v>1.8928999919622489</v>
      </c>
      <c r="M933">
        <v>0.6640381569511854</v>
      </c>
      <c r="N933">
        <v>4.0704399192089955</v>
      </c>
      <c r="P933">
        <v>7.6856063432537943E-13</v>
      </c>
      <c r="R933">
        <v>6.5876160215753901</v>
      </c>
      <c r="S933">
        <v>6.5952649754803758</v>
      </c>
      <c r="T933">
        <v>1</v>
      </c>
      <c r="U933">
        <v>2.6182030968672017</v>
      </c>
    </row>
    <row r="934" spans="1:21">
      <c r="A934">
        <v>-1.433000436559102</v>
      </c>
      <c r="B934">
        <v>-8.8454568799148661E-2</v>
      </c>
      <c r="C934">
        <v>0.32957245274322139</v>
      </c>
      <c r="D934">
        <v>0.363350544719725</v>
      </c>
      <c r="E934">
        <v>0.21624252775499833</v>
      </c>
      <c r="F934">
        <v>0.40027520948447209</v>
      </c>
      <c r="G934">
        <v>0.21520848284366381</v>
      </c>
      <c r="H934">
        <v>0.23642451952359617</v>
      </c>
      <c r="I934">
        <v>0.46435909035347062</v>
      </c>
      <c r="J934">
        <v>0.46002804126409952</v>
      </c>
      <c r="L934">
        <v>1.8928999142611125</v>
      </c>
      <c r="M934">
        <v>0.66403816842697694</v>
      </c>
      <c r="N934">
        <v>4.0704399416459829</v>
      </c>
      <c r="P934">
        <v>8.397204058488676E-13</v>
      </c>
      <c r="R934">
        <v>6.5876160215753901</v>
      </c>
      <c r="S934">
        <v>6.5952649754803758</v>
      </c>
      <c r="T934">
        <v>1</v>
      </c>
      <c r="U934">
        <v>2.6182030968672017</v>
      </c>
    </row>
    <row r="935" spans="1:21">
      <c r="A935">
        <v>-1.4294155573300105</v>
      </c>
      <c r="B935">
        <v>-8.5413913502483577E-2</v>
      </c>
      <c r="C935">
        <v>0.33691555996331757</v>
      </c>
      <c r="D935">
        <v>0</v>
      </c>
      <c r="E935">
        <v>6.8103968673638438E-2</v>
      </c>
      <c r="F935">
        <v>0.23305995425826168</v>
      </c>
      <c r="G935">
        <v>0.21246885300331206</v>
      </c>
      <c r="H935">
        <v>0.66209418107847462</v>
      </c>
      <c r="I935">
        <v>0.60330197942274388</v>
      </c>
      <c r="J935">
        <v>1.0012559350566776</v>
      </c>
      <c r="L935">
        <v>1.8929000738693502</v>
      </c>
      <c r="M935">
        <v>0.66403831641132061</v>
      </c>
      <c r="N935">
        <v>4.0704400960632299</v>
      </c>
      <c r="P935">
        <v>1.1803553421856205E-12</v>
      </c>
      <c r="R935">
        <v>6.5876160215753901</v>
      </c>
      <c r="S935">
        <v>6.5952649754803758</v>
      </c>
      <c r="T935">
        <v>1</v>
      </c>
      <c r="U935">
        <v>2.6182030968672017</v>
      </c>
    </row>
    <row r="936" spans="1:21">
      <c r="A936">
        <v>-1.4333121159918518</v>
      </c>
      <c r="B936">
        <v>-0.10901789651624687</v>
      </c>
      <c r="C936">
        <v>0.35601138436148838</v>
      </c>
      <c r="D936">
        <v>0</v>
      </c>
      <c r="E936">
        <v>0.37016286257094438</v>
      </c>
      <c r="F936">
        <v>0</v>
      </c>
      <c r="G936">
        <v>0.85462293355516561</v>
      </c>
      <c r="H936">
        <v>0.66639263677393257</v>
      </c>
      <c r="I936">
        <v>0.22252667769674569</v>
      </c>
      <c r="J936">
        <v>0.79389177295260249</v>
      </c>
      <c r="L936">
        <v>1.8928999881154072</v>
      </c>
      <c r="M936">
        <v>0.66403817651071106</v>
      </c>
      <c r="N936">
        <v>4.0704399375303053</v>
      </c>
      <c r="P936">
        <v>8.1474690706632333E-13</v>
      </c>
      <c r="R936">
        <v>6.5876160215753901</v>
      </c>
      <c r="S936">
        <v>6.5952649754803758</v>
      </c>
      <c r="T936">
        <v>1</v>
      </c>
      <c r="U936">
        <v>2.6182030968672017</v>
      </c>
    </row>
    <row r="937" spans="1:21">
      <c r="A937">
        <v>-1.4351435973802189</v>
      </c>
      <c r="B937">
        <v>-9.8740806527733288E-2</v>
      </c>
      <c r="C937">
        <v>0.357472957215489</v>
      </c>
      <c r="D937">
        <v>8.9921779860109463E-2</v>
      </c>
      <c r="E937">
        <v>0</v>
      </c>
      <c r="F937">
        <v>0</v>
      </c>
      <c r="G937">
        <v>0.6778134536327145</v>
      </c>
      <c r="H937">
        <v>0.9812535979467506</v>
      </c>
      <c r="I937">
        <v>0.25943894187744082</v>
      </c>
      <c r="J937">
        <v>0.36744064623046147</v>
      </c>
      <c r="L937">
        <v>1.8929000242910259</v>
      </c>
      <c r="M937">
        <v>0.66403827591482134</v>
      </c>
      <c r="N937">
        <v>4.0704400499854705</v>
      </c>
      <c r="P937">
        <v>1.0708730726521117E-12</v>
      </c>
      <c r="R937">
        <v>6.5876160215753901</v>
      </c>
      <c r="S937">
        <v>6.5952649754803758</v>
      </c>
      <c r="T937">
        <v>1</v>
      </c>
      <c r="U937">
        <v>2.6182030968672017</v>
      </c>
    </row>
    <row r="938" spans="1:21">
      <c r="A938">
        <v>-1.4357698576089353</v>
      </c>
      <c r="B938">
        <v>-8.9861491270602584E-2</v>
      </c>
      <c r="C938">
        <v>0.35219291372784017</v>
      </c>
      <c r="D938">
        <v>0</v>
      </c>
      <c r="E938">
        <v>0</v>
      </c>
      <c r="F938">
        <v>0.38061545737536329</v>
      </c>
      <c r="G938">
        <v>0.3003551420627768</v>
      </c>
      <c r="H938">
        <v>0.67905372059291802</v>
      </c>
      <c r="I938">
        <v>0.2766164323908844</v>
      </c>
      <c r="J938">
        <v>0.16016290994815824</v>
      </c>
      <c r="L938">
        <v>1.8929000779198946</v>
      </c>
      <c r="M938">
        <v>0.66403823856111055</v>
      </c>
      <c r="N938">
        <v>4.0704399975204124</v>
      </c>
      <c r="P938">
        <v>9.4083162270222339E-13</v>
      </c>
      <c r="R938">
        <v>6.5876160215753901</v>
      </c>
      <c r="S938">
        <v>6.5952649754803758</v>
      </c>
      <c r="T938">
        <v>1</v>
      </c>
      <c r="U938">
        <v>2.6182030968672017</v>
      </c>
    </row>
    <row r="939" spans="1:21">
      <c r="A939">
        <v>-1.4350879919552029</v>
      </c>
      <c r="B939">
        <v>-9.7098075910671447E-2</v>
      </c>
      <c r="C939">
        <v>0.35769079743216647</v>
      </c>
      <c r="D939">
        <v>0.19114537067212831</v>
      </c>
      <c r="E939">
        <v>0.33849758390789209</v>
      </c>
      <c r="F939">
        <v>0</v>
      </c>
      <c r="G939">
        <v>0.50226269213389507</v>
      </c>
      <c r="H939">
        <v>0.94732852210377194</v>
      </c>
      <c r="I939">
        <v>0.40600424969115217</v>
      </c>
      <c r="J939">
        <v>0.14551232583379645</v>
      </c>
      <c r="L939">
        <v>1.8929002674356992</v>
      </c>
      <c r="M939">
        <v>0.66403799335776659</v>
      </c>
      <c r="N939">
        <v>4.0704397806104389</v>
      </c>
      <c r="P939">
        <v>4.2849573922265886E-13</v>
      </c>
      <c r="R939">
        <v>6.5876160215753901</v>
      </c>
      <c r="S939">
        <v>6.5952649754803758</v>
      </c>
      <c r="T939">
        <v>1</v>
      </c>
      <c r="U939">
        <v>2.6182030968672017</v>
      </c>
    </row>
    <row r="940" spans="1:21">
      <c r="A940">
        <v>-1.429937309839149</v>
      </c>
      <c r="B940">
        <v>-7.5833778479614145E-2</v>
      </c>
      <c r="C940">
        <v>0.33578382958909381</v>
      </c>
      <c r="D940">
        <v>0</v>
      </c>
      <c r="E940">
        <v>9.7545716240891367E-2</v>
      </c>
      <c r="F940">
        <v>0</v>
      </c>
      <c r="G940">
        <v>5.0565313135142289E-3</v>
      </c>
      <c r="H940">
        <v>0.83086641960059582</v>
      </c>
      <c r="I940">
        <v>0.91000049319665499</v>
      </c>
      <c r="J940">
        <v>0.52363804507009604</v>
      </c>
      <c r="L940">
        <v>1.8928999785526628</v>
      </c>
      <c r="M940">
        <v>0.66403806065881887</v>
      </c>
      <c r="N940">
        <v>4.0704398335239933</v>
      </c>
      <c r="P940">
        <v>5.7741808213829714E-13</v>
      </c>
      <c r="R940">
        <v>6.5876160215753901</v>
      </c>
      <c r="S940">
        <v>6.5952649754803758</v>
      </c>
      <c r="T940">
        <v>1</v>
      </c>
      <c r="U940">
        <v>2.6182030968672017</v>
      </c>
    </row>
    <row r="941" spans="1:21">
      <c r="A941">
        <v>-1.4929421751193483</v>
      </c>
      <c r="B941">
        <v>-6.7518576856333529E-2</v>
      </c>
      <c r="C941">
        <v>0.40646187353990126</v>
      </c>
      <c r="D941">
        <v>5.2426565961850247E-2</v>
      </c>
      <c r="E941">
        <v>0</v>
      </c>
      <c r="F941">
        <v>0</v>
      </c>
      <c r="G941">
        <v>0.71563259277191205</v>
      </c>
      <c r="H941">
        <v>0.40012974931356621</v>
      </c>
      <c r="I941">
        <v>0.93228311606357483</v>
      </c>
      <c r="J941">
        <v>0.24423024152258552</v>
      </c>
      <c r="L941">
        <v>1.892899908997776</v>
      </c>
      <c r="M941">
        <v>0.66403956401540765</v>
      </c>
      <c r="N941">
        <v>3.6318645139138201</v>
      </c>
      <c r="P941">
        <v>7.7926248366192755E-12</v>
      </c>
      <c r="R941">
        <v>6.7026795071391234</v>
      </c>
      <c r="S941">
        <v>6.7148325139077363</v>
      </c>
      <c r="T941">
        <v>1</v>
      </c>
      <c r="U941">
        <v>2.3994383943038988</v>
      </c>
    </row>
    <row r="942" spans="1:21">
      <c r="A942">
        <v>-1.492522984544397</v>
      </c>
      <c r="B942">
        <v>-7.1069646771733011E-2</v>
      </c>
      <c r="C942">
        <v>0.42495971590927401</v>
      </c>
      <c r="D942">
        <v>0</v>
      </c>
      <c r="E942">
        <v>0</v>
      </c>
      <c r="F942">
        <v>0</v>
      </c>
      <c r="G942">
        <v>0.63895637371849001</v>
      </c>
      <c r="H942">
        <v>0.83897910710429402</v>
      </c>
      <c r="I942">
        <v>0.65145758396871389</v>
      </c>
      <c r="J942">
        <v>0.33745820562092033</v>
      </c>
      <c r="L942">
        <v>1.8928998598982441</v>
      </c>
      <c r="M942">
        <v>0.66403955080340105</v>
      </c>
      <c r="N942">
        <v>3.6318644846367105</v>
      </c>
      <c r="P942">
        <v>7.6641524587470848E-12</v>
      </c>
      <c r="R942">
        <v>6.7026795071391234</v>
      </c>
      <c r="S942">
        <v>6.7148325139077363</v>
      </c>
      <c r="T942">
        <v>1</v>
      </c>
      <c r="U942">
        <v>2.3994383943038988</v>
      </c>
    </row>
    <row r="943" spans="1:21">
      <c r="A943">
        <v>-1.4950165715729964</v>
      </c>
      <c r="B943">
        <v>-7.5478192116227485E-2</v>
      </c>
      <c r="C943">
        <v>0.42835673998044055</v>
      </c>
      <c r="D943">
        <v>0</v>
      </c>
      <c r="E943">
        <v>0</v>
      </c>
      <c r="F943">
        <v>0</v>
      </c>
      <c r="G943">
        <v>0.6393023478553449</v>
      </c>
      <c r="H943">
        <v>0.56730355725430492</v>
      </c>
      <c r="I943">
        <v>0.34253388365079696</v>
      </c>
      <c r="J943">
        <v>0.26985757927702742</v>
      </c>
      <c r="L943">
        <v>1.8928997988628173</v>
      </c>
      <c r="M943">
        <v>0.66403955994848829</v>
      </c>
      <c r="N943">
        <v>3.6318644290465598</v>
      </c>
      <c r="P943">
        <v>7.5606081125838079E-12</v>
      </c>
      <c r="R943">
        <v>6.7026795071391234</v>
      </c>
      <c r="S943">
        <v>6.7148325139077363</v>
      </c>
      <c r="T943">
        <v>1</v>
      </c>
      <c r="U943">
        <v>2.3994383943038988</v>
      </c>
    </row>
    <row r="944" spans="1:21">
      <c r="A944">
        <v>-1.4870332613007025</v>
      </c>
      <c r="B944">
        <v>-6.8463191154026007E-2</v>
      </c>
      <c r="C944">
        <v>0.39103121958677134</v>
      </c>
      <c r="D944">
        <v>0.50288237236196409</v>
      </c>
      <c r="E944">
        <v>0</v>
      </c>
      <c r="F944">
        <v>3.045651539586422E-2</v>
      </c>
      <c r="G944">
        <v>0.66368883625955943</v>
      </c>
      <c r="H944">
        <v>0.44328190095680242</v>
      </c>
      <c r="I944">
        <v>0.92399281445845527</v>
      </c>
      <c r="J944">
        <v>0.88654279980423034</v>
      </c>
      <c r="L944">
        <v>1.8928998901611076</v>
      </c>
      <c r="M944">
        <v>0.66403956978956269</v>
      </c>
      <c r="N944">
        <v>3.6318644856196092</v>
      </c>
      <c r="P944">
        <v>7.7311739671578952E-12</v>
      </c>
      <c r="R944">
        <v>6.7026795071391234</v>
      </c>
      <c r="S944">
        <v>6.7148325139077363</v>
      </c>
      <c r="T944">
        <v>1</v>
      </c>
      <c r="U944">
        <v>2.3994383943038988</v>
      </c>
    </row>
    <row r="945" spans="1:21">
      <c r="A945">
        <v>-1.5015205199606374</v>
      </c>
      <c r="B945">
        <v>-8.6953193300585652E-2</v>
      </c>
      <c r="C945">
        <v>0.45680603349551224</v>
      </c>
      <c r="D945">
        <v>0</v>
      </c>
      <c r="E945">
        <v>0.66187436757258589</v>
      </c>
      <c r="F945">
        <v>0</v>
      </c>
      <c r="G945">
        <v>0.75906537975001376</v>
      </c>
      <c r="H945">
        <v>0.76228718912343096</v>
      </c>
      <c r="I945">
        <v>0.24542350996934834</v>
      </c>
      <c r="J945">
        <v>0.17733757358987765</v>
      </c>
      <c r="L945">
        <v>1.8928998495352045</v>
      </c>
      <c r="M945">
        <v>0.66403957536413993</v>
      </c>
      <c r="N945">
        <v>3.6318644277412102</v>
      </c>
      <c r="P945">
        <v>7.5870003161686119E-12</v>
      </c>
      <c r="R945">
        <v>6.7026795071391234</v>
      </c>
      <c r="S945">
        <v>6.7148325139077363</v>
      </c>
      <c r="T945">
        <v>1</v>
      </c>
      <c r="U945">
        <v>2.3994383943038988</v>
      </c>
    </row>
    <row r="946" spans="1:21">
      <c r="A946">
        <v>-1.4953217840097637</v>
      </c>
      <c r="B946">
        <v>-7.5302864193187352E-2</v>
      </c>
      <c r="C946">
        <v>0.43326916628537554</v>
      </c>
      <c r="D946">
        <v>0.17102890406811508</v>
      </c>
      <c r="E946">
        <v>0</v>
      </c>
      <c r="F946">
        <v>0</v>
      </c>
      <c r="G946">
        <v>0.43882689566645355</v>
      </c>
      <c r="H946">
        <v>0.63742340414758547</v>
      </c>
      <c r="I946">
        <v>9.2932184875639146E-2</v>
      </c>
      <c r="J946">
        <v>2.4902168318896006E-2</v>
      </c>
      <c r="L946">
        <v>1.8928998187389579</v>
      </c>
      <c r="M946">
        <v>0.6640374177815993</v>
      </c>
      <c r="N946">
        <v>3.6318629821172861</v>
      </c>
      <c r="P946">
        <v>1.7370806406006414E-13</v>
      </c>
      <c r="R946">
        <v>6.7026795071391234</v>
      </c>
      <c r="S946">
        <v>6.7148325139077363</v>
      </c>
      <c r="T946">
        <v>1</v>
      </c>
      <c r="U946">
        <v>2.3994383943038988</v>
      </c>
    </row>
    <row r="947" spans="1:21">
      <c r="A947">
        <v>-1.4982881551183083</v>
      </c>
      <c r="B947">
        <v>-8.0896554648679411E-2</v>
      </c>
      <c r="C947">
        <v>0.44411439845636941</v>
      </c>
      <c r="D947">
        <v>0</v>
      </c>
      <c r="E947">
        <v>0</v>
      </c>
      <c r="F947">
        <v>0</v>
      </c>
      <c r="G947">
        <v>0.75559625393294783</v>
      </c>
      <c r="H947">
        <v>0.80568941494183377</v>
      </c>
      <c r="I947">
        <v>0.11782421034284836</v>
      </c>
      <c r="J947">
        <v>0.2606347056415555</v>
      </c>
      <c r="L947">
        <v>1.8929000116436514</v>
      </c>
      <c r="M947">
        <v>0.66403952748337958</v>
      </c>
      <c r="N947">
        <v>3.6318646011493936</v>
      </c>
      <c r="P947">
        <v>7.8994567833482788E-12</v>
      </c>
      <c r="R947">
        <v>6.7026795071391234</v>
      </c>
      <c r="S947">
        <v>6.7148325139077363</v>
      </c>
      <c r="T947">
        <v>1</v>
      </c>
      <c r="U947">
        <v>2.3994383943038988</v>
      </c>
    </row>
    <row r="948" spans="1:21">
      <c r="A948">
        <v>-1.5002248631658417</v>
      </c>
      <c r="B948">
        <v>-8.8903643086997081E-2</v>
      </c>
      <c r="C948">
        <v>0.45446019291303663</v>
      </c>
      <c r="D948">
        <v>0</v>
      </c>
      <c r="E948">
        <v>0.40815924503039297</v>
      </c>
      <c r="F948">
        <v>0</v>
      </c>
      <c r="G948">
        <v>0.85653824456657912</v>
      </c>
      <c r="H948">
        <v>0.77699411514907324</v>
      </c>
      <c r="I948">
        <v>7.6516447037208585E-2</v>
      </c>
      <c r="J948">
        <v>0.49638842331547417</v>
      </c>
      <c r="L948">
        <v>1.8928998563754358</v>
      </c>
      <c r="M948">
        <v>0.66403957841180417</v>
      </c>
      <c r="N948">
        <v>3.6318644240347453</v>
      </c>
      <c r="P948">
        <v>7.5836077897494306E-12</v>
      </c>
      <c r="R948">
        <v>6.7026795071391234</v>
      </c>
      <c r="S948">
        <v>6.7148325139077363</v>
      </c>
      <c r="T948">
        <v>1</v>
      </c>
      <c r="U948">
        <v>2.3994383943038988</v>
      </c>
    </row>
    <row r="949" spans="1:21">
      <c r="A949">
        <v>-1.4855698712778687</v>
      </c>
      <c r="B949">
        <v>-6.8593343281940763E-2</v>
      </c>
      <c r="C949">
        <v>0.39812250525917808</v>
      </c>
      <c r="D949">
        <v>0.29535206527779112</v>
      </c>
      <c r="E949">
        <v>0.24304883702201108</v>
      </c>
      <c r="F949">
        <v>0</v>
      </c>
      <c r="G949">
        <v>0.11928656185834889</v>
      </c>
      <c r="H949">
        <v>2.5146162022726345E-2</v>
      </c>
      <c r="I949">
        <v>0.45194861385319995</v>
      </c>
      <c r="J949">
        <v>0.47524865862995508</v>
      </c>
      <c r="L949">
        <v>1.8929000717965574</v>
      </c>
      <c r="M949">
        <v>0.66403956709984535</v>
      </c>
      <c r="N949">
        <v>3.6318645555219371</v>
      </c>
      <c r="P949">
        <v>7.8891981292452683E-12</v>
      </c>
      <c r="R949">
        <v>6.7026795071391234</v>
      </c>
      <c r="S949">
        <v>6.7148325139077363</v>
      </c>
      <c r="T949">
        <v>1</v>
      </c>
      <c r="U949">
        <v>2.3994383943038988</v>
      </c>
    </row>
    <row r="950" spans="1:21">
      <c r="A950">
        <v>-1.501700923069679</v>
      </c>
      <c r="B950">
        <v>-8.4861400436833212E-2</v>
      </c>
      <c r="C950">
        <v>0.44129816639391894</v>
      </c>
      <c r="D950">
        <v>0.15269196663672027</v>
      </c>
      <c r="E950">
        <v>0.88708764739715029</v>
      </c>
      <c r="F950">
        <v>0.42229684542086382</v>
      </c>
      <c r="G950">
        <v>0.71476356674576025</v>
      </c>
      <c r="H950">
        <v>0.31409924769978043</v>
      </c>
      <c r="I950">
        <v>0.47571709732685885</v>
      </c>
      <c r="J950">
        <v>0.31138745786770589</v>
      </c>
      <c r="L950">
        <v>1.8928998398121484</v>
      </c>
      <c r="M950">
        <v>0.66403957771453892</v>
      </c>
      <c r="N950">
        <v>3.6318644352123499</v>
      </c>
      <c r="P950">
        <v>7.6285050404005708E-12</v>
      </c>
      <c r="R950">
        <v>6.7026795071391234</v>
      </c>
      <c r="S950">
        <v>6.7148325139077363</v>
      </c>
      <c r="T950">
        <v>1</v>
      </c>
      <c r="U950">
        <v>2.3994383943038988</v>
      </c>
    </row>
    <row r="951" spans="1:21">
      <c r="A951">
        <v>-1.4844098768577625</v>
      </c>
      <c r="B951">
        <v>-6.5294673772551368E-2</v>
      </c>
      <c r="C951">
        <v>0.41904238857447756</v>
      </c>
      <c r="D951">
        <v>0.16212739715272836</v>
      </c>
      <c r="E951">
        <v>0.14445682231489498</v>
      </c>
      <c r="F951">
        <v>0</v>
      </c>
      <c r="G951">
        <v>6.8237359116705851E-2</v>
      </c>
      <c r="H951">
        <v>0.93392999996217696</v>
      </c>
      <c r="I951">
        <v>0.54397796294523493</v>
      </c>
      <c r="J951">
        <v>0.36440835363827978</v>
      </c>
      <c r="L951">
        <v>1.8928998001920463</v>
      </c>
      <c r="M951">
        <v>0.66403953140283722</v>
      </c>
      <c r="N951">
        <v>3.6318644470478358</v>
      </c>
      <c r="P951">
        <v>7.4963038034782352E-12</v>
      </c>
      <c r="R951">
        <v>6.7026795071391234</v>
      </c>
      <c r="S951">
        <v>6.7148325139077363</v>
      </c>
      <c r="T951">
        <v>1</v>
      </c>
      <c r="U951">
        <v>2.3994383943038988</v>
      </c>
    </row>
    <row r="952" spans="1:21">
      <c r="A952">
        <v>-1.4952452527591875</v>
      </c>
      <c r="B952">
        <v>-7.5467216916970378E-2</v>
      </c>
      <c r="C952">
        <v>0.42283325693053148</v>
      </c>
      <c r="D952">
        <v>0</v>
      </c>
      <c r="E952">
        <v>0.1872796244619907</v>
      </c>
      <c r="F952">
        <v>0.1800186235575435</v>
      </c>
      <c r="G952">
        <v>0.50410241371326536</v>
      </c>
      <c r="H952">
        <v>0.17793917931416314</v>
      </c>
      <c r="I952">
        <v>0.31130086303877791</v>
      </c>
      <c r="J952">
        <v>0.23367089309571698</v>
      </c>
      <c r="L952">
        <v>1.8928998125339012</v>
      </c>
      <c r="M952">
        <v>0.66403957610645581</v>
      </c>
      <c r="N952">
        <v>3.6318644115274537</v>
      </c>
      <c r="P952">
        <v>7.5631692402962279E-12</v>
      </c>
      <c r="R952">
        <v>6.7026795071391234</v>
      </c>
      <c r="S952">
        <v>6.7148325139077363</v>
      </c>
      <c r="T952">
        <v>1</v>
      </c>
      <c r="U952">
        <v>2.3994383943038988</v>
      </c>
    </row>
    <row r="953" spans="1:21">
      <c r="A953">
        <v>-1.4936513792633688</v>
      </c>
      <c r="B953">
        <v>-7.4949388317224225E-2</v>
      </c>
      <c r="C953">
        <v>0.4213237992552924</v>
      </c>
      <c r="D953">
        <v>0</v>
      </c>
      <c r="E953">
        <v>0</v>
      </c>
      <c r="F953">
        <v>6.4967803454802187E-2</v>
      </c>
      <c r="G953">
        <v>0.70842662979969362</v>
      </c>
      <c r="H953">
        <v>0.49878538967568897</v>
      </c>
      <c r="I953">
        <v>0.48551682410314212</v>
      </c>
      <c r="J953">
        <v>0.50714314785715886</v>
      </c>
      <c r="L953">
        <v>1.8928998457533659</v>
      </c>
      <c r="M953">
        <v>0.6640395629577146</v>
      </c>
      <c r="N953">
        <v>3.6318644609237185</v>
      </c>
      <c r="P953">
        <v>7.6458917371874918E-12</v>
      </c>
      <c r="R953">
        <v>6.7026795071391234</v>
      </c>
      <c r="S953">
        <v>6.7148325139077363</v>
      </c>
      <c r="T953">
        <v>1</v>
      </c>
      <c r="U953">
        <v>2.3994383943038988</v>
      </c>
    </row>
    <row r="954" spans="1:21">
      <c r="A954">
        <v>-1.4919054257256215</v>
      </c>
      <c r="B954">
        <v>-6.9768317831424578E-2</v>
      </c>
      <c r="C954">
        <v>0.42019169204362555</v>
      </c>
      <c r="D954">
        <v>0.42310910956558956</v>
      </c>
      <c r="E954">
        <v>0.5043315533590681</v>
      </c>
      <c r="F954">
        <v>0.47981007200169823</v>
      </c>
      <c r="G954">
        <v>0.11374022094811788</v>
      </c>
      <c r="H954">
        <v>0.4614006694138687</v>
      </c>
      <c r="I954">
        <v>0.47074733678720254</v>
      </c>
      <c r="J954">
        <v>0.1321599181734831</v>
      </c>
      <c r="L954">
        <v>1.8928997828022802</v>
      </c>
      <c r="M954">
        <v>0.66403958050928524</v>
      </c>
      <c r="N954">
        <v>3.6318643643819146</v>
      </c>
      <c r="P954">
        <v>7.4538464225458203E-12</v>
      </c>
      <c r="R954">
        <v>6.7026795071391234</v>
      </c>
      <c r="S954">
        <v>6.7148325139077363</v>
      </c>
      <c r="T954">
        <v>1</v>
      </c>
      <c r="U954">
        <v>2.3994383943038988</v>
      </c>
    </row>
    <row r="955" spans="1:21">
      <c r="A955">
        <v>-1.4958657790998371</v>
      </c>
      <c r="B955">
        <v>-6.7916356970054104E-2</v>
      </c>
      <c r="C955">
        <v>0.4046870772867226</v>
      </c>
      <c r="D955">
        <v>0</v>
      </c>
      <c r="E955">
        <v>0</v>
      </c>
      <c r="F955">
        <v>8.4290069519531066E-2</v>
      </c>
      <c r="G955">
        <v>0.82012910071863565</v>
      </c>
      <c r="H955">
        <v>0.18620763872576873</v>
      </c>
      <c r="I955">
        <v>0.97834860106892696</v>
      </c>
      <c r="J955">
        <v>0.11957115776848024</v>
      </c>
      <c r="L955">
        <v>1.8928999740774914</v>
      </c>
      <c r="M955">
        <v>0.6640395570808203</v>
      </c>
      <c r="N955">
        <v>3.6318645692320586</v>
      </c>
      <c r="P955">
        <v>7.9258601868869966E-12</v>
      </c>
      <c r="R955">
        <v>6.7026795071391234</v>
      </c>
      <c r="S955">
        <v>6.7148325139077363</v>
      </c>
      <c r="T955">
        <v>1</v>
      </c>
      <c r="U955">
        <v>2.3994383943038988</v>
      </c>
    </row>
    <row r="956" spans="1:21">
      <c r="A956">
        <v>-1.4892210532859596</v>
      </c>
      <c r="B956">
        <v>-6.9618180478944663E-2</v>
      </c>
      <c r="C956">
        <v>0.41218008532747019</v>
      </c>
      <c r="D956">
        <v>0</v>
      </c>
      <c r="E956">
        <v>0.22775580697194336</v>
      </c>
      <c r="F956">
        <v>0.58609476957423234</v>
      </c>
      <c r="G956">
        <v>0.59667882355972368</v>
      </c>
      <c r="H956">
        <v>0.60133244807118846</v>
      </c>
      <c r="I956">
        <v>0.92673398735717938</v>
      </c>
      <c r="J956">
        <v>0.95711398088795063</v>
      </c>
      <c r="L956">
        <v>1.8928998862604001</v>
      </c>
      <c r="M956">
        <v>0.66403956129812691</v>
      </c>
      <c r="N956">
        <v>3.6318644798200488</v>
      </c>
      <c r="P956">
        <v>7.6768346437793316E-12</v>
      </c>
      <c r="R956">
        <v>6.7026795071391234</v>
      </c>
      <c r="S956">
        <v>6.7148325139077363</v>
      </c>
      <c r="T956">
        <v>1</v>
      </c>
      <c r="U956">
        <v>2.3994383943038988</v>
      </c>
    </row>
    <row r="957" spans="1:21">
      <c r="A957">
        <v>-1.4915677350830354</v>
      </c>
      <c r="B957">
        <v>-7.2008966524038487E-2</v>
      </c>
      <c r="C957">
        <v>0.39762197997261833</v>
      </c>
      <c r="D957">
        <v>0.43106490114526264</v>
      </c>
      <c r="E957">
        <v>5.7369610272027449E-3</v>
      </c>
      <c r="F957">
        <v>0.33367635636221954</v>
      </c>
      <c r="G957">
        <v>0.79393088097831954</v>
      </c>
      <c r="H957">
        <v>0.29436013112262172</v>
      </c>
      <c r="I957">
        <v>0.79597703126511565</v>
      </c>
      <c r="J957">
        <v>0.88258803099196437</v>
      </c>
      <c r="L957">
        <v>1.8929000110047085</v>
      </c>
      <c r="M957">
        <v>0.66403968802411761</v>
      </c>
      <c r="N957">
        <v>3.6318643109372828</v>
      </c>
      <c r="P957">
        <v>7.6389300508712151E-12</v>
      </c>
      <c r="R957">
        <v>6.7026795071391234</v>
      </c>
      <c r="S957">
        <v>6.7148325139077363</v>
      </c>
      <c r="T957">
        <v>1</v>
      </c>
      <c r="U957">
        <v>2.3994383943038988</v>
      </c>
    </row>
    <row r="958" spans="1:21">
      <c r="A958">
        <v>-1.4869263906234156</v>
      </c>
      <c r="B958">
        <v>-6.974785439548925E-2</v>
      </c>
      <c r="C958">
        <v>0.4303766011277283</v>
      </c>
      <c r="D958">
        <v>0</v>
      </c>
      <c r="E958">
        <v>0</v>
      </c>
      <c r="F958">
        <v>0.40454067610175909</v>
      </c>
      <c r="G958">
        <v>0.1528748183332953</v>
      </c>
      <c r="H958">
        <v>0.94638737753341462</v>
      </c>
      <c r="I958">
        <v>0.23037106777660013</v>
      </c>
      <c r="J958">
        <v>0.61809572261993406</v>
      </c>
      <c r="L958">
        <v>1.8928999120369348</v>
      </c>
      <c r="M958">
        <v>0.66403964236226665</v>
      </c>
      <c r="N958">
        <v>3.6318642921092761</v>
      </c>
      <c r="P958">
        <v>7.4179882764831524E-12</v>
      </c>
      <c r="R958">
        <v>6.7026795071391234</v>
      </c>
      <c r="S958">
        <v>6.7148325139077363</v>
      </c>
      <c r="T958">
        <v>1</v>
      </c>
      <c r="U958">
        <v>2.3994383943038988</v>
      </c>
    </row>
    <row r="959" spans="1:21">
      <c r="A959">
        <v>-1.4966322146135962</v>
      </c>
      <c r="B959">
        <v>-7.4944243367625743E-2</v>
      </c>
      <c r="C959">
        <v>0.43981438706994902</v>
      </c>
      <c r="D959">
        <v>0</v>
      </c>
      <c r="E959">
        <v>0</v>
      </c>
      <c r="F959">
        <v>0</v>
      </c>
      <c r="G959">
        <v>0.68921982901347434</v>
      </c>
      <c r="H959">
        <v>0.98462685771320768</v>
      </c>
      <c r="I959">
        <v>0.41345533507175958</v>
      </c>
      <c r="J959">
        <v>0.11053849104995227</v>
      </c>
      <c r="L959">
        <v>1.8928998684247307</v>
      </c>
      <c r="M959">
        <v>0.66403956422506627</v>
      </c>
      <c r="N959">
        <v>3.6318644657514554</v>
      </c>
      <c r="P959">
        <v>7.652853430240589E-12</v>
      </c>
      <c r="R959">
        <v>6.7026795071391234</v>
      </c>
      <c r="S959">
        <v>6.7148325139077363</v>
      </c>
      <c r="T959">
        <v>1</v>
      </c>
      <c r="U959">
        <v>2.3994383943038988</v>
      </c>
    </row>
    <row r="960" spans="1:21">
      <c r="A960">
        <v>-1.4794478153667037</v>
      </c>
      <c r="B960">
        <v>-6.2472721872328475E-2</v>
      </c>
      <c r="C960">
        <v>0.4030843479066073</v>
      </c>
      <c r="D960">
        <v>0</v>
      </c>
      <c r="E960">
        <v>0.26959221640244868</v>
      </c>
      <c r="F960">
        <v>0</v>
      </c>
      <c r="G960">
        <v>4.3248566743225116E-2</v>
      </c>
      <c r="H960">
        <v>0.66152297783682257</v>
      </c>
      <c r="I960">
        <v>0.87166642510551251</v>
      </c>
      <c r="J960">
        <v>0.75208486125918372</v>
      </c>
      <c r="L960">
        <v>1.8929000688803088</v>
      </c>
      <c r="M960">
        <v>0.6640396434032132</v>
      </c>
      <c r="N960">
        <v>3.6318643796585297</v>
      </c>
      <c r="P960">
        <v>7.6344443763609605E-12</v>
      </c>
      <c r="R960">
        <v>6.7026795071391234</v>
      </c>
      <c r="S960">
        <v>6.7148325139077363</v>
      </c>
      <c r="T960">
        <v>1</v>
      </c>
      <c r="U960">
        <v>2.3994383943038988</v>
      </c>
    </row>
    <row r="961" spans="1:21">
      <c r="A961">
        <v>-1.4829239830548941</v>
      </c>
      <c r="B961">
        <v>-7.1157963971907462E-2</v>
      </c>
      <c r="C961">
        <v>0.40395656907742428</v>
      </c>
      <c r="D961">
        <v>4.3273656309470984E-2</v>
      </c>
      <c r="E961">
        <v>0.53532402160834491</v>
      </c>
      <c r="F961">
        <v>0</v>
      </c>
      <c r="G961">
        <v>0.16561451350019349</v>
      </c>
      <c r="H961">
        <v>0.17649185624536923</v>
      </c>
      <c r="I961">
        <v>0.66068422616906319</v>
      </c>
      <c r="J961">
        <v>0.89620309641810614</v>
      </c>
      <c r="L961">
        <v>1.892899897779674</v>
      </c>
      <c r="M961">
        <v>0.66403954915809993</v>
      </c>
      <c r="N961">
        <v>3.6318644931936168</v>
      </c>
      <c r="P961">
        <v>7.6632247344101331E-12</v>
      </c>
      <c r="R961">
        <v>6.7026795071391234</v>
      </c>
      <c r="S961">
        <v>6.7148325139077363</v>
      </c>
      <c r="T961">
        <v>1</v>
      </c>
      <c r="U961">
        <v>2.3994383943038988</v>
      </c>
    </row>
    <row r="962" spans="1:21">
      <c r="A962">
        <v>-1.4888232231347327</v>
      </c>
      <c r="B962">
        <v>-6.9367174600804896E-2</v>
      </c>
      <c r="C962">
        <v>0.41953726761603605</v>
      </c>
      <c r="D962">
        <v>0</v>
      </c>
      <c r="E962">
        <v>0.23196924780151587</v>
      </c>
      <c r="F962">
        <v>0.30174865126454975</v>
      </c>
      <c r="G962">
        <v>0.59080294492322638</v>
      </c>
      <c r="H962">
        <v>0.92223846863346115</v>
      </c>
      <c r="I962">
        <v>0.95262926441082885</v>
      </c>
      <c r="J962">
        <v>0.79211054392886271</v>
      </c>
      <c r="L962">
        <v>1.8928998096340943</v>
      </c>
      <c r="M962">
        <v>0.66403955735496301</v>
      </c>
      <c r="N962">
        <v>3.631864422412256</v>
      </c>
      <c r="P962">
        <v>7.5193918593120615E-12</v>
      </c>
      <c r="R962">
        <v>6.7026795071391234</v>
      </c>
      <c r="S962">
        <v>6.7148325139077363</v>
      </c>
      <c r="T962">
        <v>1</v>
      </c>
      <c r="U962">
        <v>2.3994383943038988</v>
      </c>
    </row>
    <row r="963" spans="1:21">
      <c r="A963">
        <v>-1.4867122641735673</v>
      </c>
      <c r="B963">
        <v>-6.965786558181003E-2</v>
      </c>
      <c r="C963">
        <v>0.41220270065679632</v>
      </c>
      <c r="D963">
        <v>0.36242197380255625</v>
      </c>
      <c r="E963">
        <v>0.44373542516062492</v>
      </c>
      <c r="F963">
        <v>0</v>
      </c>
      <c r="G963">
        <v>0.24526286957037477</v>
      </c>
      <c r="H963">
        <v>0.63478558090928738</v>
      </c>
      <c r="I963">
        <v>0.70224538122623437</v>
      </c>
      <c r="J963">
        <v>0.50560342508084011</v>
      </c>
      <c r="L963">
        <v>1.8928998640627659</v>
      </c>
      <c r="M963">
        <v>0.66403956267526543</v>
      </c>
      <c r="N963">
        <v>3.6318644536750102</v>
      </c>
      <c r="P963">
        <v>7.6083508254056098E-12</v>
      </c>
      <c r="R963">
        <v>6.7026795071391234</v>
      </c>
      <c r="S963">
        <v>6.7148325139077363</v>
      </c>
      <c r="T963">
        <v>1</v>
      </c>
      <c r="U963">
        <v>2.3994383943038988</v>
      </c>
    </row>
    <row r="964" spans="1:21">
      <c r="A964">
        <v>-1.4918218746607694</v>
      </c>
      <c r="B964">
        <v>-7.8716601360822036E-2</v>
      </c>
      <c r="C964">
        <v>0.41782117027536381</v>
      </c>
      <c r="D964">
        <v>0</v>
      </c>
      <c r="E964">
        <v>6.4945182618414199E-2</v>
      </c>
      <c r="F964">
        <v>0</v>
      </c>
      <c r="G964">
        <v>0.46138293546035164</v>
      </c>
      <c r="H964">
        <v>8.9748876463404039E-3</v>
      </c>
      <c r="I964">
        <v>3.6222265717827967E-2</v>
      </c>
      <c r="J964">
        <v>0.58282404196243498</v>
      </c>
      <c r="L964">
        <v>1.8928997888825059</v>
      </c>
      <c r="M964">
        <v>0.66403952974039981</v>
      </c>
      <c r="N964">
        <v>3.6318644728982523</v>
      </c>
      <c r="P964">
        <v>7.5847703574143627E-12</v>
      </c>
      <c r="R964">
        <v>6.7026795071391234</v>
      </c>
      <c r="S964">
        <v>6.7148325139077363</v>
      </c>
      <c r="T964">
        <v>1</v>
      </c>
      <c r="U964">
        <v>2.3994383943038988</v>
      </c>
    </row>
    <row r="965" spans="1:21">
      <c r="A965">
        <v>-1.497768438332052</v>
      </c>
      <c r="B965">
        <v>-7.9881133303094237E-2</v>
      </c>
      <c r="C965">
        <v>0.44387499579603285</v>
      </c>
      <c r="D965">
        <v>0</v>
      </c>
      <c r="E965">
        <v>0.15149033955959998</v>
      </c>
      <c r="F965">
        <v>0</v>
      </c>
      <c r="G965">
        <v>0.62633883210243957</v>
      </c>
      <c r="H965">
        <v>0.73406496073939342</v>
      </c>
      <c r="I965">
        <v>0.14511592848425287</v>
      </c>
      <c r="J965">
        <v>0.14230720826234772</v>
      </c>
      <c r="L965">
        <v>1.8928998093520379</v>
      </c>
      <c r="M965">
        <v>0.66403954249011232</v>
      </c>
      <c r="N965">
        <v>3.6318644595927601</v>
      </c>
      <c r="P965">
        <v>7.5788758524066611E-12</v>
      </c>
      <c r="R965">
        <v>6.7026795071391234</v>
      </c>
      <c r="S965">
        <v>6.7148325139077363</v>
      </c>
      <c r="T965">
        <v>1</v>
      </c>
      <c r="U965">
        <v>2.3994383943038988</v>
      </c>
    </row>
    <row r="966" spans="1:21">
      <c r="A966">
        <v>-1.4961783221390434</v>
      </c>
      <c r="B966">
        <v>-7.6373857262462624E-2</v>
      </c>
      <c r="C966">
        <v>0.43756964700002549</v>
      </c>
      <c r="D966">
        <v>0</v>
      </c>
      <c r="E966">
        <v>0.1028063613437377</v>
      </c>
      <c r="F966">
        <v>0.24290889620432271</v>
      </c>
      <c r="G966">
        <v>0.61837054607524022</v>
      </c>
      <c r="H966">
        <v>0.77283162463358013</v>
      </c>
      <c r="I966">
        <v>0.32971907039765563</v>
      </c>
      <c r="J966">
        <v>0.30510363299757448</v>
      </c>
      <c r="L966">
        <v>1.8928998327009106</v>
      </c>
      <c r="M966">
        <v>0.66403951903273906</v>
      </c>
      <c r="N966">
        <v>3.6318645170914934</v>
      </c>
      <c r="P966">
        <v>7.6579507902985711E-12</v>
      </c>
      <c r="R966">
        <v>6.7026795071391234</v>
      </c>
      <c r="S966">
        <v>6.7148325139077363</v>
      </c>
      <c r="T966">
        <v>1</v>
      </c>
      <c r="U966">
        <v>2.3994383943038988</v>
      </c>
    </row>
    <row r="967" spans="1:21">
      <c r="A967">
        <v>-1.4915799896312134</v>
      </c>
      <c r="B967">
        <v>-7.0757190512155621E-2</v>
      </c>
      <c r="C967">
        <v>0.43261815916964125</v>
      </c>
      <c r="D967">
        <v>0</v>
      </c>
      <c r="E967">
        <v>1.6013287402970627E-2</v>
      </c>
      <c r="F967">
        <v>0.10986566243412241</v>
      </c>
      <c r="G967">
        <v>0.29787196818747996</v>
      </c>
      <c r="H967">
        <v>0.82058373236110305</v>
      </c>
      <c r="I967">
        <v>0.27181904842062082</v>
      </c>
      <c r="J967">
        <v>0.14002601591838151</v>
      </c>
      <c r="L967">
        <v>1.8929001063027819</v>
      </c>
      <c r="M967">
        <v>0.66403958034914123</v>
      </c>
      <c r="N967">
        <v>3.6318645311468485</v>
      </c>
      <c r="P967">
        <v>7.8546109512084155E-12</v>
      </c>
      <c r="R967">
        <v>6.7026795071391234</v>
      </c>
      <c r="S967">
        <v>6.7148325139077363</v>
      </c>
      <c r="T967">
        <v>1</v>
      </c>
      <c r="U967">
        <v>2.3994383943038988</v>
      </c>
    </row>
    <row r="968" spans="1:21">
      <c r="A968">
        <v>-1.496557974119779</v>
      </c>
      <c r="B968">
        <v>-7.3340049748213301E-2</v>
      </c>
      <c r="C968">
        <v>0.40852705049950966</v>
      </c>
      <c r="D968">
        <v>0</v>
      </c>
      <c r="E968">
        <v>0</v>
      </c>
      <c r="F968">
        <v>0</v>
      </c>
      <c r="G968">
        <v>0.8750172840195517</v>
      </c>
      <c r="H968">
        <v>7.166056270126725E-2</v>
      </c>
      <c r="I968">
        <v>0.71939318565441246</v>
      </c>
      <c r="J968">
        <v>0.28246462827355479</v>
      </c>
      <c r="L968">
        <v>1.8928997733485993</v>
      </c>
      <c r="M968">
        <v>0.66403956920617069</v>
      </c>
      <c r="N968">
        <v>3.631864421253419</v>
      </c>
      <c r="P968">
        <v>7.5954626287862403E-12</v>
      </c>
      <c r="R968">
        <v>6.7026795071391234</v>
      </c>
      <c r="S968">
        <v>6.7148325139077363</v>
      </c>
      <c r="T968">
        <v>1</v>
      </c>
      <c r="U968">
        <v>2.3994383943038988</v>
      </c>
    </row>
    <row r="969" spans="1:21">
      <c r="A969">
        <v>-1.4929482195308104</v>
      </c>
      <c r="B969">
        <v>-8.3867184696509264E-2</v>
      </c>
      <c r="C969">
        <v>0.44586879815959418</v>
      </c>
      <c r="D969">
        <v>0</v>
      </c>
      <c r="E969">
        <v>0.66780928997016864</v>
      </c>
      <c r="F969">
        <v>0</v>
      </c>
      <c r="G969">
        <v>0.3468821181320571</v>
      </c>
      <c r="H969">
        <v>0.62190935498293243</v>
      </c>
      <c r="I969">
        <v>7.7067562671570541E-2</v>
      </c>
      <c r="J969">
        <v>0.53447873135184598</v>
      </c>
      <c r="L969">
        <v>1.8928998434424982</v>
      </c>
      <c r="M969">
        <v>0.66403955027854999</v>
      </c>
      <c r="N969">
        <v>3.631864448200544</v>
      </c>
      <c r="P969">
        <v>7.5499991709685344E-12</v>
      </c>
      <c r="R969">
        <v>6.7026795071391234</v>
      </c>
      <c r="S969">
        <v>6.7148325139077363</v>
      </c>
      <c r="T969">
        <v>1</v>
      </c>
      <c r="U969">
        <v>2.3994383943038988</v>
      </c>
    </row>
    <row r="970" spans="1:21">
      <c r="A970">
        <v>-1.4863214212377351</v>
      </c>
      <c r="B970">
        <v>-6.8658567395436396E-2</v>
      </c>
      <c r="C970">
        <v>0.39541298513672352</v>
      </c>
      <c r="D970">
        <v>0.55196445445087383</v>
      </c>
      <c r="E970">
        <v>0</v>
      </c>
      <c r="F970">
        <v>0.68201776072025022</v>
      </c>
      <c r="G970">
        <v>0.16686733867403841</v>
      </c>
      <c r="H970">
        <v>0.10836289847203938</v>
      </c>
      <c r="I970">
        <v>0.29346755276084624</v>
      </c>
      <c r="J970">
        <v>0.8765454697032361</v>
      </c>
      <c r="L970">
        <v>1.8928997515388313</v>
      </c>
      <c r="M970">
        <v>0.66403962470204314</v>
      </c>
      <c r="N970">
        <v>3.6318642318483785</v>
      </c>
      <c r="P970">
        <v>7.2731512395886616E-12</v>
      </c>
      <c r="R970">
        <v>6.7026795071391234</v>
      </c>
      <c r="S970">
        <v>6.7148325139077363</v>
      </c>
      <c r="T970">
        <v>1</v>
      </c>
      <c r="U970">
        <v>2.3994383943038988</v>
      </c>
    </row>
    <row r="971" spans="1:21">
      <c r="A971">
        <v>-1.9307265940832317</v>
      </c>
      <c r="B971">
        <v>8.8471377346312288E-2</v>
      </c>
      <c r="C971">
        <v>1.0214119569305196</v>
      </c>
      <c r="D971">
        <v>0</v>
      </c>
      <c r="E971">
        <v>0.64948118403555899</v>
      </c>
      <c r="F971">
        <v>0.23512838830734328</v>
      </c>
      <c r="G971">
        <v>4.6569041536979647E-2</v>
      </c>
      <c r="H971">
        <v>0.40550560311016515</v>
      </c>
      <c r="I971">
        <v>0.82937580744299788</v>
      </c>
      <c r="J971">
        <v>0.45004565024804599</v>
      </c>
      <c r="L971">
        <v>1.8928992871004049</v>
      </c>
      <c r="M971">
        <v>0.66404420418303278</v>
      </c>
      <c r="N971">
        <v>2.2145117475345146</v>
      </c>
      <c r="P971">
        <v>6.4461952780045824E-11</v>
      </c>
      <c r="R971">
        <v>13.886311738319074</v>
      </c>
      <c r="S971">
        <v>14.088858695576636</v>
      </c>
      <c r="T971">
        <v>1</v>
      </c>
      <c r="U971">
        <v>2.385333325356505</v>
      </c>
    </row>
    <row r="972" spans="1:21">
      <c r="A972">
        <v>-1.9417383502933712</v>
      </c>
      <c r="B972">
        <v>8.8929903814736908E-2</v>
      </c>
      <c r="C972">
        <v>1.029384871884321</v>
      </c>
      <c r="D972">
        <v>0</v>
      </c>
      <c r="E972">
        <v>0.24356013903990431</v>
      </c>
      <c r="F972">
        <v>0.22708251620424433</v>
      </c>
      <c r="G972">
        <v>0.55462766616979864</v>
      </c>
      <c r="H972">
        <v>0.55170216358488056</v>
      </c>
      <c r="I972">
        <v>0.94892454270116267</v>
      </c>
      <c r="J972">
        <v>0.49471282473227374</v>
      </c>
      <c r="L972">
        <v>1.8928994341600984</v>
      </c>
      <c r="M972">
        <v>0.66404383729682459</v>
      </c>
      <c r="N972">
        <v>2.2145122194504605</v>
      </c>
      <c r="P972">
        <v>6.3500205605920651E-11</v>
      </c>
      <c r="R972">
        <v>13.886311738319074</v>
      </c>
      <c r="S972">
        <v>14.088858695576636</v>
      </c>
      <c r="T972">
        <v>1</v>
      </c>
      <c r="U972">
        <v>2.385333325356505</v>
      </c>
    </row>
    <row r="973" spans="1:21">
      <c r="A973">
        <v>-1.930373489026965</v>
      </c>
      <c r="B973">
        <v>8.4953002724600699E-2</v>
      </c>
      <c r="C973">
        <v>1.0090273394991802</v>
      </c>
      <c r="D973">
        <v>0.16950787045351559</v>
      </c>
      <c r="E973">
        <v>0.15213458586773224</v>
      </c>
      <c r="F973">
        <v>0</v>
      </c>
      <c r="G973">
        <v>0.78646112461795104</v>
      </c>
      <c r="H973">
        <v>0.76002675806455422</v>
      </c>
      <c r="I973">
        <v>1.1670048337530015</v>
      </c>
      <c r="J973">
        <v>0.92219583693064833</v>
      </c>
      <c r="L973">
        <v>1.892899963681278</v>
      </c>
      <c r="M973">
        <v>0.66404376045182512</v>
      </c>
      <c r="N973">
        <v>2.2145121292263261</v>
      </c>
      <c r="P973">
        <v>6.1176162155145954E-11</v>
      </c>
      <c r="R973">
        <v>13.886311738319074</v>
      </c>
      <c r="S973">
        <v>14.088858695576636</v>
      </c>
      <c r="T973">
        <v>1</v>
      </c>
      <c r="U973">
        <v>2.385333325356505</v>
      </c>
    </row>
    <row r="974" spans="1:21">
      <c r="A974">
        <v>-1.9144233893187956</v>
      </c>
      <c r="B974">
        <v>7.7935652360496516E-2</v>
      </c>
      <c r="C974">
        <v>0.98220914228785428</v>
      </c>
      <c r="D974">
        <v>0.65518379863624499</v>
      </c>
      <c r="E974">
        <v>0</v>
      </c>
      <c r="F974">
        <v>0</v>
      </c>
      <c r="G974">
        <v>0.38695186554249161</v>
      </c>
      <c r="H974">
        <v>0.3801486241470563</v>
      </c>
      <c r="I974">
        <v>0.43961019955650044</v>
      </c>
      <c r="J974">
        <v>1.0947424350226447</v>
      </c>
      <c r="L974">
        <v>1.8929002752024533</v>
      </c>
      <c r="M974">
        <v>0.66404370637129506</v>
      </c>
      <c r="N974">
        <v>2.2145120717534881</v>
      </c>
      <c r="P974">
        <v>5.993255189305831E-11</v>
      </c>
      <c r="R974">
        <v>13.886311738319074</v>
      </c>
      <c r="S974">
        <v>14.088858695576636</v>
      </c>
      <c r="T974">
        <v>1</v>
      </c>
      <c r="U974">
        <v>2.385333325356505</v>
      </c>
    </row>
    <row r="975" spans="1:21">
      <c r="A975">
        <v>-1.9341905535302375</v>
      </c>
      <c r="B975">
        <v>8.0968329575831929E-2</v>
      </c>
      <c r="C975">
        <v>1.0207179549882004</v>
      </c>
      <c r="D975">
        <v>0</v>
      </c>
      <c r="E975">
        <v>0.43163876046490612</v>
      </c>
      <c r="F975">
        <v>0</v>
      </c>
      <c r="G975">
        <v>0.26352892136348843</v>
      </c>
      <c r="H975">
        <v>0</v>
      </c>
      <c r="I975">
        <v>0.41565411309038286</v>
      </c>
      <c r="J975">
        <v>0.72536639926581192</v>
      </c>
      <c r="L975">
        <v>1.8928973080373113</v>
      </c>
      <c r="M975">
        <v>0.66403741708914765</v>
      </c>
      <c r="N975">
        <v>2.2145109560751695</v>
      </c>
      <c r="P975">
        <v>1.9576286908447851E-11</v>
      </c>
      <c r="R975">
        <v>13.886311738319074</v>
      </c>
      <c r="S975">
        <v>14.088858695576636</v>
      </c>
      <c r="T975">
        <v>1</v>
      </c>
      <c r="U975">
        <v>2.385333325356505</v>
      </c>
    </row>
    <row r="976" spans="1:21">
      <c r="A976">
        <v>-1.9306865768609698</v>
      </c>
      <c r="B976">
        <v>8.7738540315371455E-2</v>
      </c>
      <c r="C976">
        <v>1.010985704887388</v>
      </c>
      <c r="D976">
        <v>0</v>
      </c>
      <c r="E976">
        <v>0</v>
      </c>
      <c r="F976">
        <v>0.41077121790989363</v>
      </c>
      <c r="G976">
        <v>0.11508287677793411</v>
      </c>
      <c r="H976">
        <v>4.486011095009703E-2</v>
      </c>
      <c r="I976">
        <v>0.33920243425760621</v>
      </c>
      <c r="J976">
        <v>0.34513405691698612</v>
      </c>
      <c r="L976">
        <v>1.8928995416289269</v>
      </c>
      <c r="M976">
        <v>0.66404410640790368</v>
      </c>
      <c r="N976">
        <v>2.2145119315182447</v>
      </c>
      <c r="P976">
        <v>6.4310703252424356E-11</v>
      </c>
      <c r="R976">
        <v>13.886311738319074</v>
      </c>
      <c r="S976">
        <v>14.088858695576636</v>
      </c>
      <c r="T976">
        <v>1</v>
      </c>
      <c r="U976">
        <v>2.385333325356505</v>
      </c>
    </row>
    <row r="977" spans="1:21">
      <c r="A977">
        <v>-1.9406628477726906</v>
      </c>
      <c r="B977">
        <v>8.3508873679865703E-2</v>
      </c>
      <c r="C977">
        <v>1.0239219648034332</v>
      </c>
      <c r="D977">
        <v>0</v>
      </c>
      <c r="E977">
        <v>6.45489220748236E-2</v>
      </c>
      <c r="F977">
        <v>0.10613604835839179</v>
      </c>
      <c r="G977">
        <v>0.81990279991554693</v>
      </c>
      <c r="H977">
        <v>0.44741579910242124</v>
      </c>
      <c r="I977">
        <v>0.84515008778689238</v>
      </c>
      <c r="J977">
        <v>0.92241303188304802</v>
      </c>
      <c r="L977">
        <v>1.8928995661552854</v>
      </c>
      <c r="M977">
        <v>0.66404405099847075</v>
      </c>
      <c r="N977">
        <v>2.2145119633130452</v>
      </c>
      <c r="P977">
        <v>6.3815766841313191E-11</v>
      </c>
      <c r="R977">
        <v>13.886311738319074</v>
      </c>
      <c r="S977">
        <v>14.088858695576636</v>
      </c>
      <c r="T977">
        <v>1</v>
      </c>
      <c r="U977">
        <v>2.385333325356505</v>
      </c>
    </row>
    <row r="978" spans="1:21">
      <c r="A978">
        <v>-1.9331420844533418</v>
      </c>
      <c r="B978">
        <v>8.5073180601773074E-2</v>
      </c>
      <c r="C978">
        <v>1.0139417867836833</v>
      </c>
      <c r="D978">
        <v>9.9376021669201925E-2</v>
      </c>
      <c r="E978">
        <v>3.8073914850394845E-2</v>
      </c>
      <c r="F978">
        <v>0.25626951420601912</v>
      </c>
      <c r="G978">
        <v>0.40414218403178898</v>
      </c>
      <c r="H978">
        <v>0.2604748485094649</v>
      </c>
      <c r="I978">
        <v>0.53481116862324751</v>
      </c>
      <c r="J978">
        <v>0.65031786794166446</v>
      </c>
      <c r="L978">
        <v>1.8928996835632854</v>
      </c>
      <c r="M978">
        <v>0.66404412118364498</v>
      </c>
      <c r="N978">
        <v>2.2145118016869247</v>
      </c>
      <c r="P978">
        <v>6.3237708493408842E-11</v>
      </c>
      <c r="R978">
        <v>13.886311738319074</v>
      </c>
      <c r="S978">
        <v>14.088858695576636</v>
      </c>
      <c r="T978">
        <v>1</v>
      </c>
      <c r="U978">
        <v>2.385333325356505</v>
      </c>
    </row>
    <row r="979" spans="1:21">
      <c r="A979">
        <v>-1.9412843717755328</v>
      </c>
      <c r="B979">
        <v>8.8937949761221838E-2</v>
      </c>
      <c r="C979">
        <v>1.0236677077688652</v>
      </c>
      <c r="D979">
        <v>0</v>
      </c>
      <c r="E979">
        <v>0</v>
      </c>
      <c r="F979">
        <v>0.12341145094160505</v>
      </c>
      <c r="G979">
        <v>0.66499077230119563</v>
      </c>
      <c r="H979">
        <v>0.49102224151821122</v>
      </c>
      <c r="I979">
        <v>0.89800950013057723</v>
      </c>
      <c r="J979">
        <v>0.38287166818135299</v>
      </c>
      <c r="L979">
        <v>1.8928972603615559</v>
      </c>
      <c r="M979">
        <v>0.66403736514653022</v>
      </c>
      <c r="N979">
        <v>2.2145108267057365</v>
      </c>
      <c r="P979">
        <v>1.8999438944199208E-11</v>
      </c>
      <c r="R979">
        <v>13.886311738319074</v>
      </c>
      <c r="S979">
        <v>14.088858695576636</v>
      </c>
      <c r="T979">
        <v>1</v>
      </c>
      <c r="U979">
        <v>2.385333325356505</v>
      </c>
    </row>
    <row r="980" spans="1:21">
      <c r="A980">
        <v>-1.9183363942798268</v>
      </c>
      <c r="B980">
        <v>8.1325655474458303E-2</v>
      </c>
      <c r="C980">
        <v>0.98537281351838246</v>
      </c>
      <c r="D980">
        <v>0.31087700428247939</v>
      </c>
      <c r="E980">
        <v>0</v>
      </c>
      <c r="F980">
        <v>0</v>
      </c>
      <c r="G980">
        <v>0.37355736321475924</v>
      </c>
      <c r="H980">
        <v>0.12906044922494381</v>
      </c>
      <c r="I980">
        <v>0.53916017149438256</v>
      </c>
      <c r="J980">
        <v>0.71411927685860566</v>
      </c>
      <c r="L980">
        <v>1.8929009976621007</v>
      </c>
      <c r="M980">
        <v>0.66404030581173246</v>
      </c>
      <c r="N980">
        <v>2.2145066376856861</v>
      </c>
      <c r="P980">
        <v>1.0063961750347798E-11</v>
      </c>
      <c r="R980">
        <v>13.886311738319074</v>
      </c>
      <c r="S980">
        <v>14.088858695576636</v>
      </c>
      <c r="T980">
        <v>1</v>
      </c>
      <c r="U980">
        <v>2.385333325356505</v>
      </c>
    </row>
    <row r="981" spans="1:21">
      <c r="A981">
        <v>-1.9137081864294578</v>
      </c>
      <c r="B981">
        <v>8.8870079019394352E-2</v>
      </c>
      <c r="C981">
        <v>0.9836325867184148</v>
      </c>
      <c r="D981">
        <v>0.26014495223827294</v>
      </c>
      <c r="E981">
        <v>0</v>
      </c>
      <c r="F981">
        <v>0</v>
      </c>
      <c r="G981">
        <v>0.39703799836565418</v>
      </c>
      <c r="H981">
        <v>0.76893486455372984</v>
      </c>
      <c r="I981">
        <v>1.1104879819089224</v>
      </c>
      <c r="J981">
        <v>0.53467361334373098</v>
      </c>
      <c r="L981">
        <v>1.8928995131147479</v>
      </c>
      <c r="M981">
        <v>0.66404404175843545</v>
      </c>
      <c r="N981">
        <v>2.2145119813668033</v>
      </c>
      <c r="P981">
        <v>6.391918484997977E-11</v>
      </c>
      <c r="R981">
        <v>13.886311738319074</v>
      </c>
      <c r="S981">
        <v>14.088858695576636</v>
      </c>
      <c r="T981">
        <v>1</v>
      </c>
      <c r="U981">
        <v>2.385333325356505</v>
      </c>
    </row>
    <row r="982" spans="1:21">
      <c r="A982">
        <v>-1.8806400966760863</v>
      </c>
      <c r="B982">
        <v>8.1950992538440737E-2</v>
      </c>
      <c r="C982">
        <v>0.92951316843548004</v>
      </c>
      <c r="D982">
        <v>0</v>
      </c>
      <c r="E982">
        <v>0</v>
      </c>
      <c r="F982">
        <v>1.9900769887775529E-2</v>
      </c>
      <c r="G982">
        <v>0</v>
      </c>
      <c r="H982">
        <v>0</v>
      </c>
      <c r="I982">
        <v>0.86108236903791391</v>
      </c>
      <c r="J982">
        <v>0.96245954589079508</v>
      </c>
      <c r="L982">
        <v>1.8928983266211061</v>
      </c>
      <c r="M982">
        <v>0.66404452513287304</v>
      </c>
      <c r="N982">
        <v>2.2145114548478233</v>
      </c>
      <c r="P982">
        <v>6.9234856631049228E-11</v>
      </c>
      <c r="R982">
        <v>13.886311738319074</v>
      </c>
      <c r="S982">
        <v>14.088858695576636</v>
      </c>
      <c r="T982">
        <v>1</v>
      </c>
      <c r="U982">
        <v>2.385333325356505</v>
      </c>
    </row>
    <row r="983" spans="1:21">
      <c r="A983">
        <v>-1.9558553964302992</v>
      </c>
      <c r="B983">
        <v>8.535388728748429E-2</v>
      </c>
      <c r="C983">
        <v>1.053176053154667</v>
      </c>
      <c r="D983">
        <v>0.13235538323271007</v>
      </c>
      <c r="E983">
        <v>0.33123780699375188</v>
      </c>
      <c r="F983">
        <v>0</v>
      </c>
      <c r="G983">
        <v>0.59716098130323569</v>
      </c>
      <c r="H983">
        <v>0.43750243460987015</v>
      </c>
      <c r="I983">
        <v>0.58107864268042053</v>
      </c>
      <c r="J983">
        <v>0.44335749132787339</v>
      </c>
      <c r="L983">
        <v>1.8929003029980225</v>
      </c>
      <c r="M983">
        <v>0.66404350880901686</v>
      </c>
      <c r="N983">
        <v>2.2145122586761294</v>
      </c>
      <c r="P983">
        <v>5.9191961905392897E-11</v>
      </c>
      <c r="R983">
        <v>13.886311738319074</v>
      </c>
      <c r="S983">
        <v>14.088858695576636</v>
      </c>
      <c r="T983">
        <v>1</v>
      </c>
      <c r="U983">
        <v>2.385333325356505</v>
      </c>
    </row>
    <row r="984" spans="1:21">
      <c r="A984">
        <v>-1.8971371842932676</v>
      </c>
      <c r="B984">
        <v>8.6002503271329453E-2</v>
      </c>
      <c r="C984">
        <v>0.97070601105961374</v>
      </c>
      <c r="D984">
        <v>0</v>
      </c>
      <c r="E984">
        <v>0</v>
      </c>
      <c r="F984">
        <v>0</v>
      </c>
      <c r="G984">
        <v>1.2902252317129735E-2</v>
      </c>
      <c r="H984">
        <v>0.65420461684657794</v>
      </c>
      <c r="I984">
        <v>0.79561720374357947</v>
      </c>
      <c r="J984">
        <v>0.97752874417412072</v>
      </c>
      <c r="L984">
        <v>1.8928985639171909</v>
      </c>
      <c r="M984">
        <v>0.66404406448318232</v>
      </c>
      <c r="N984">
        <v>2.2145119391465458</v>
      </c>
      <c r="P984">
        <v>6.6026004815455893E-11</v>
      </c>
      <c r="R984">
        <v>13.886311738319074</v>
      </c>
      <c r="S984">
        <v>14.088858695576636</v>
      </c>
      <c r="T984">
        <v>1</v>
      </c>
      <c r="U984">
        <v>2.385333325356505</v>
      </c>
    </row>
    <row r="985" spans="1:21">
      <c r="A985">
        <v>-1.90282100940639</v>
      </c>
      <c r="B985">
        <v>8.6565299701981541E-2</v>
      </c>
      <c r="C985">
        <v>0.96212748357136435</v>
      </c>
      <c r="D985">
        <v>0.16192527598488857</v>
      </c>
      <c r="E985">
        <v>0</v>
      </c>
      <c r="F985">
        <v>0</v>
      </c>
      <c r="G985">
        <v>0.25846722419122631</v>
      </c>
      <c r="H985">
        <v>0.35230163409288373</v>
      </c>
      <c r="I985">
        <v>1.0133455656952814</v>
      </c>
      <c r="J985">
        <v>0.5407057440616746</v>
      </c>
      <c r="L985">
        <v>1.892899622667408</v>
      </c>
      <c r="M985">
        <v>0.66404400870236113</v>
      </c>
      <c r="N985">
        <v>2.2145119852867738</v>
      </c>
      <c r="P985">
        <v>6.3380302571195508E-11</v>
      </c>
      <c r="R985">
        <v>13.886311738319074</v>
      </c>
      <c r="S985">
        <v>14.088858695576636</v>
      </c>
      <c r="T985">
        <v>1</v>
      </c>
      <c r="U985">
        <v>2.385333325356505</v>
      </c>
    </row>
    <row r="986" spans="1:21">
      <c r="A986">
        <v>-1.9148741761443271</v>
      </c>
      <c r="B986">
        <v>8.7368942199538252E-2</v>
      </c>
      <c r="C986">
        <v>0.97007638021343379</v>
      </c>
      <c r="D986">
        <v>0.7326679765406614</v>
      </c>
      <c r="E986">
        <v>1.9438663657757375E-2</v>
      </c>
      <c r="F986">
        <v>0.63961300360027629</v>
      </c>
      <c r="G986">
        <v>0.50286999945859612</v>
      </c>
      <c r="H986">
        <v>0.55426427086404373</v>
      </c>
      <c r="I986">
        <v>1.1366519837488995</v>
      </c>
      <c r="J986">
        <v>0.65181971359361068</v>
      </c>
      <c r="L986">
        <v>1.8928991168898375</v>
      </c>
      <c r="M986">
        <v>0.66404404210554313</v>
      </c>
      <c r="N986">
        <v>2.2145120385458128</v>
      </c>
      <c r="P986">
        <v>6.5116825655263038E-11</v>
      </c>
      <c r="R986">
        <v>13.886311738319074</v>
      </c>
      <c r="S986">
        <v>14.088858695576636</v>
      </c>
      <c r="T986">
        <v>1</v>
      </c>
      <c r="U986">
        <v>2.385333325356505</v>
      </c>
    </row>
    <row r="987" spans="1:21">
      <c r="A987">
        <v>-1.9197947047123594</v>
      </c>
      <c r="B987">
        <v>8.7417749919906335E-2</v>
      </c>
      <c r="C987">
        <v>1.0137843636513371</v>
      </c>
      <c r="D987">
        <v>0</v>
      </c>
      <c r="E987">
        <v>0</v>
      </c>
      <c r="F987">
        <v>0.27916398364900097</v>
      </c>
      <c r="G987">
        <v>0</v>
      </c>
      <c r="H987">
        <v>0.77757328940123827</v>
      </c>
      <c r="I987">
        <v>0.4105831296468378</v>
      </c>
      <c r="J987">
        <v>0.97790283313990867</v>
      </c>
      <c r="L987">
        <v>1.8929004537502527</v>
      </c>
      <c r="M987">
        <v>0.66403984384690973</v>
      </c>
      <c r="N987">
        <v>2.214506879598209</v>
      </c>
      <c r="P987">
        <v>6.5916460389122031E-12</v>
      </c>
      <c r="R987">
        <v>13.886311738319074</v>
      </c>
      <c r="S987">
        <v>14.088858695576636</v>
      </c>
      <c r="T987">
        <v>1</v>
      </c>
      <c r="U987">
        <v>2.385333325356505</v>
      </c>
    </row>
    <row r="988" spans="1:21">
      <c r="A988">
        <v>-1.9600231581949374</v>
      </c>
      <c r="B988">
        <v>8.6221275412202369E-2</v>
      </c>
      <c r="C988">
        <v>1.0538636916172004</v>
      </c>
      <c r="D988">
        <v>0</v>
      </c>
      <c r="E988">
        <v>2.8606719801821768E-2</v>
      </c>
      <c r="F988">
        <v>0.6952408067984549</v>
      </c>
      <c r="G988">
        <v>0.74694406425927895</v>
      </c>
      <c r="H988">
        <v>0.2900152105402794</v>
      </c>
      <c r="I988">
        <v>0.48948546454525277</v>
      </c>
      <c r="J988">
        <v>0.77592361034102253</v>
      </c>
      <c r="L988">
        <v>1.8928995947118137</v>
      </c>
      <c r="M988">
        <v>0.66404408449531249</v>
      </c>
      <c r="N988">
        <v>2.2145119586625968</v>
      </c>
      <c r="P988">
        <v>6.4187924119101656E-11</v>
      </c>
      <c r="R988">
        <v>13.886311738319074</v>
      </c>
      <c r="S988">
        <v>14.088858695576636</v>
      </c>
      <c r="T988">
        <v>1</v>
      </c>
      <c r="U988">
        <v>2.385333325356505</v>
      </c>
    </row>
    <row r="989" spans="1:21">
      <c r="A989">
        <v>-1.9543068644154666</v>
      </c>
      <c r="B989">
        <v>9.0617681998051078E-2</v>
      </c>
      <c r="C989">
        <v>1.0300967290993785</v>
      </c>
      <c r="D989">
        <v>0</v>
      </c>
      <c r="E989">
        <v>0</v>
      </c>
      <c r="F989">
        <v>0.67850476550290306</v>
      </c>
      <c r="G989">
        <v>0.74904994928081647</v>
      </c>
      <c r="H989">
        <v>0</v>
      </c>
      <c r="I989">
        <v>0.82874205465391626</v>
      </c>
      <c r="J989">
        <v>9.0136013200430506E-2</v>
      </c>
      <c r="L989">
        <v>1.8929025588249533</v>
      </c>
      <c r="M989">
        <v>0.66404194637842962</v>
      </c>
      <c r="N989">
        <v>2.2145111118283114</v>
      </c>
      <c r="P989">
        <v>3.8763911295321592E-11</v>
      </c>
      <c r="R989">
        <v>13.886311738319074</v>
      </c>
      <c r="S989">
        <v>14.088858695576636</v>
      </c>
      <c r="T989">
        <v>1</v>
      </c>
      <c r="U989">
        <v>2.385333325356505</v>
      </c>
    </row>
    <row r="990" spans="1:21">
      <c r="A990">
        <v>-1.9257782013598497</v>
      </c>
      <c r="B990">
        <v>7.9703996735211127E-2</v>
      </c>
      <c r="C990">
        <v>0.97323154237508169</v>
      </c>
      <c r="D990">
        <v>0.96198910226253276</v>
      </c>
      <c r="E990">
        <v>0.23880821500878896</v>
      </c>
      <c r="F990">
        <v>0</v>
      </c>
      <c r="G990">
        <v>0.77900680990041904</v>
      </c>
      <c r="H990">
        <v>0</v>
      </c>
      <c r="I990">
        <v>0.98650005556416487</v>
      </c>
      <c r="J990">
        <v>0.34768744359443832</v>
      </c>
      <c r="L990">
        <v>1.8928989363412054</v>
      </c>
      <c r="M990">
        <v>0.66403820989329421</v>
      </c>
      <c r="N990">
        <v>2.2145089997990439</v>
      </c>
      <c r="P990">
        <v>4.2014568316664464E-12</v>
      </c>
      <c r="R990">
        <v>13.886311738319074</v>
      </c>
      <c r="S990">
        <v>14.088858695576636</v>
      </c>
      <c r="T990">
        <v>1</v>
      </c>
      <c r="U990">
        <v>2.385333325356505</v>
      </c>
    </row>
    <row r="991" spans="1:21">
      <c r="A991">
        <v>-1.942079687472581</v>
      </c>
      <c r="B991">
        <v>9.0972438970274211E-2</v>
      </c>
      <c r="C991">
        <v>1.0401561058433528</v>
      </c>
      <c r="D991">
        <v>0</v>
      </c>
      <c r="E991">
        <v>0</v>
      </c>
      <c r="F991">
        <v>0</v>
      </c>
      <c r="G991">
        <v>0.3471807844454588</v>
      </c>
      <c r="H991">
        <v>0.80888322086525999</v>
      </c>
      <c r="I991">
        <v>0.6066919401636377</v>
      </c>
      <c r="J991">
        <v>0.32300809401473896</v>
      </c>
      <c r="L991">
        <v>1.8928993968964511</v>
      </c>
      <c r="M991">
        <v>0.66403759487454217</v>
      </c>
      <c r="N991">
        <v>2.2145083300812027</v>
      </c>
      <c r="P991">
        <v>1.2022504525757198E-12</v>
      </c>
      <c r="R991">
        <v>13.886311738319074</v>
      </c>
      <c r="S991">
        <v>14.088858695576636</v>
      </c>
      <c r="T991">
        <v>1</v>
      </c>
      <c r="U991">
        <v>2.385333325356505</v>
      </c>
    </row>
    <row r="992" spans="1:21">
      <c r="A992">
        <v>-1.8744655715488348</v>
      </c>
      <c r="B992">
        <v>8.2336606742981391E-2</v>
      </c>
      <c r="C992">
        <v>0.91838929680721793</v>
      </c>
      <c r="D992">
        <v>0.46844056286849056</v>
      </c>
      <c r="E992">
        <v>0</v>
      </c>
      <c r="F992">
        <v>0</v>
      </c>
      <c r="G992">
        <v>7.021039586585727E-2</v>
      </c>
      <c r="H992">
        <v>0.45471689296010026</v>
      </c>
      <c r="I992">
        <v>1.0970939577029653</v>
      </c>
      <c r="J992">
        <v>1.0476786716627606</v>
      </c>
      <c r="L992">
        <v>1.8928965215965685</v>
      </c>
      <c r="M992">
        <v>0.66403809502478872</v>
      </c>
      <c r="N992">
        <v>2.2145112701664429</v>
      </c>
      <c r="P992">
        <v>2.7421127925089411E-11</v>
      </c>
      <c r="R992">
        <v>13.886311738319074</v>
      </c>
      <c r="S992">
        <v>14.088858695576636</v>
      </c>
      <c r="T992">
        <v>1</v>
      </c>
      <c r="U992">
        <v>2.385333325356505</v>
      </c>
    </row>
    <row r="993" spans="1:21">
      <c r="A993">
        <v>-1.8973104975807205</v>
      </c>
      <c r="B993">
        <v>8.512400040513525E-2</v>
      </c>
      <c r="C993">
        <v>0.94761262040427108</v>
      </c>
      <c r="D993">
        <v>9.8566510335075783E-2</v>
      </c>
      <c r="E993">
        <v>0</v>
      </c>
      <c r="F993">
        <v>0.77587071091543613</v>
      </c>
      <c r="G993">
        <v>0.20905202165393713</v>
      </c>
      <c r="H993">
        <v>0</v>
      </c>
      <c r="I993">
        <v>0.97103304202641627</v>
      </c>
      <c r="J993">
        <v>0.99781586539582856</v>
      </c>
      <c r="L993">
        <v>1.89289791914715</v>
      </c>
      <c r="M993">
        <v>0.66403736127493063</v>
      </c>
      <c r="N993">
        <v>2.214510083650691</v>
      </c>
      <c r="P993">
        <v>1.1329364366260818E-11</v>
      </c>
      <c r="R993">
        <v>13.886311738319074</v>
      </c>
      <c r="S993">
        <v>14.088858695576636</v>
      </c>
      <c r="T993">
        <v>1</v>
      </c>
      <c r="U993">
        <v>2.385333325356505</v>
      </c>
    </row>
    <row r="994" spans="1:21">
      <c r="A994">
        <v>-1.9118438990024549</v>
      </c>
      <c r="B994">
        <v>8.5133060493329402E-2</v>
      </c>
      <c r="C994">
        <v>0.97629640528191208</v>
      </c>
      <c r="D994">
        <v>0.69960272102893628</v>
      </c>
      <c r="E994">
        <v>0.48628750340826665</v>
      </c>
      <c r="F994">
        <v>0</v>
      </c>
      <c r="G994">
        <v>0.22706578520363899</v>
      </c>
      <c r="H994">
        <v>0.54928597118813693</v>
      </c>
      <c r="I994">
        <v>1.1009088383665726</v>
      </c>
      <c r="J994">
        <v>0.4572478261354771</v>
      </c>
      <c r="L994">
        <v>1.8928996204301625</v>
      </c>
      <c r="M994">
        <v>0.66404405970989788</v>
      </c>
      <c r="N994">
        <v>2.2145118815536056</v>
      </c>
      <c r="P994">
        <v>6.3159900014810577E-11</v>
      </c>
      <c r="R994">
        <v>13.886311738319074</v>
      </c>
      <c r="S994">
        <v>14.088858695576636</v>
      </c>
      <c r="T994">
        <v>1</v>
      </c>
      <c r="U994">
        <v>2.385333325356505</v>
      </c>
    </row>
    <row r="995" spans="1:21">
      <c r="A995">
        <v>-1.9423862113651922</v>
      </c>
      <c r="B995">
        <v>8.9631874485723032E-2</v>
      </c>
      <c r="C995">
        <v>1.0252808018287227</v>
      </c>
      <c r="D995">
        <v>0</v>
      </c>
      <c r="E995">
        <v>0</v>
      </c>
      <c r="F995">
        <v>0</v>
      </c>
      <c r="G995">
        <v>0.71191126277368155</v>
      </c>
      <c r="H995">
        <v>0.56620156386108156</v>
      </c>
      <c r="I995">
        <v>0.9765928485140557</v>
      </c>
      <c r="J995">
        <v>0.28603617117817609</v>
      </c>
      <c r="L995">
        <v>1.89289777817861</v>
      </c>
      <c r="M995">
        <v>0.66403698117336241</v>
      </c>
      <c r="N995">
        <v>2.2145101782440948</v>
      </c>
      <c r="P995">
        <v>1.2635836685538526E-11</v>
      </c>
      <c r="R995">
        <v>13.886311738319074</v>
      </c>
      <c r="S995">
        <v>14.088858695576636</v>
      </c>
      <c r="T995">
        <v>1</v>
      </c>
      <c r="U995">
        <v>2.385333325356505</v>
      </c>
    </row>
    <row r="996" spans="1:21">
      <c r="A996">
        <v>-1.8861894822721355</v>
      </c>
      <c r="B996">
        <v>8.5078279809434096E-2</v>
      </c>
      <c r="C996">
        <v>0.94058571147207493</v>
      </c>
      <c r="D996">
        <v>0</v>
      </c>
      <c r="E996">
        <v>0</v>
      </c>
      <c r="F996">
        <v>0</v>
      </c>
      <c r="G996">
        <v>0</v>
      </c>
      <c r="H996">
        <v>0.19739684118591544</v>
      </c>
      <c r="I996">
        <v>0.93407600959318859</v>
      </c>
      <c r="J996">
        <v>0.75275551558808329</v>
      </c>
      <c r="L996">
        <v>1.8928991313733028</v>
      </c>
      <c r="M996">
        <v>0.6640383708104054</v>
      </c>
      <c r="N996">
        <v>2.2145089044100357</v>
      </c>
      <c r="P996">
        <v>3.7828834304345258E-12</v>
      </c>
      <c r="R996">
        <v>13.886311738319074</v>
      </c>
      <c r="S996">
        <v>14.088858695576636</v>
      </c>
      <c r="T996">
        <v>1</v>
      </c>
      <c r="U996">
        <v>2.385333325356505</v>
      </c>
    </row>
    <row r="997" spans="1:21">
      <c r="A997">
        <v>-1.872605596502495</v>
      </c>
      <c r="B997">
        <v>8.1065297218427632E-2</v>
      </c>
      <c r="C997">
        <v>0.90555292367783002</v>
      </c>
      <c r="D997">
        <v>0.81534027951011134</v>
      </c>
      <c r="E997">
        <v>0</v>
      </c>
      <c r="F997">
        <v>0</v>
      </c>
      <c r="G997">
        <v>1.3834831505961855E-2</v>
      </c>
      <c r="H997">
        <v>0.21240573772413457</v>
      </c>
      <c r="I997">
        <v>0.97882055808966395</v>
      </c>
      <c r="J997">
        <v>0.75973126543166392</v>
      </c>
      <c r="L997">
        <v>1.8929013771319367</v>
      </c>
      <c r="M997">
        <v>0.6640408319804092</v>
      </c>
      <c r="N997">
        <v>2.2145060633014144</v>
      </c>
      <c r="P997">
        <v>1.5596302677365335E-11</v>
      </c>
      <c r="R997">
        <v>13.886311738319074</v>
      </c>
      <c r="S997">
        <v>14.088858695576636</v>
      </c>
      <c r="T997">
        <v>1</v>
      </c>
      <c r="U997">
        <v>2.385333325356505</v>
      </c>
    </row>
    <row r="998" spans="1:21">
      <c r="A998">
        <v>-1.9599395186160857</v>
      </c>
      <c r="B998">
        <v>8.574977508365425E-2</v>
      </c>
      <c r="C998">
        <v>1.0646994309800604</v>
      </c>
      <c r="D998">
        <v>0</v>
      </c>
      <c r="E998">
        <v>0</v>
      </c>
      <c r="F998">
        <v>0.1095714004528132</v>
      </c>
      <c r="G998">
        <v>0.70132829715765299</v>
      </c>
      <c r="H998">
        <v>0.64023139289621411</v>
      </c>
      <c r="I998">
        <v>0.39172038077728316</v>
      </c>
      <c r="J998">
        <v>0.71812568974221724</v>
      </c>
      <c r="L998">
        <v>1.8928987607439858</v>
      </c>
      <c r="M998">
        <v>0.66404438767666785</v>
      </c>
      <c r="N998">
        <v>2.2145116684469204</v>
      </c>
      <c r="P998">
        <v>6.756484012442452E-11</v>
      </c>
      <c r="R998">
        <v>13.886311738319074</v>
      </c>
      <c r="S998">
        <v>14.088858695576636</v>
      </c>
      <c r="T998">
        <v>1</v>
      </c>
      <c r="U998">
        <v>2.385333325356505</v>
      </c>
    </row>
    <row r="999" spans="1:21">
      <c r="A999">
        <v>-1.8791695196553897</v>
      </c>
      <c r="B999">
        <v>7.7624943636421181E-2</v>
      </c>
      <c r="C999">
        <v>0.92156635836797063</v>
      </c>
      <c r="D999">
        <v>0.57801650227821333</v>
      </c>
      <c r="E999">
        <v>0</v>
      </c>
      <c r="F999">
        <v>0</v>
      </c>
      <c r="G999">
        <v>0</v>
      </c>
      <c r="H999">
        <v>0</v>
      </c>
      <c r="I999">
        <v>0.63201650717632185</v>
      </c>
      <c r="J999">
        <v>1.0463267874280939</v>
      </c>
      <c r="L999">
        <v>1.892898329693387</v>
      </c>
      <c r="M999">
        <v>0.66404435091667813</v>
      </c>
      <c r="N999">
        <v>2.2145117494344939</v>
      </c>
      <c r="P999">
        <v>6.9130584376889413E-11</v>
      </c>
      <c r="R999">
        <v>13.886311738319074</v>
      </c>
      <c r="S999">
        <v>14.088858695576636</v>
      </c>
      <c r="T999">
        <v>1</v>
      </c>
      <c r="U999">
        <v>2.385333325356505</v>
      </c>
    </row>
    <row r="1000" spans="1:21">
      <c r="A1000">
        <v>-1.9285098414408339</v>
      </c>
      <c r="B1000">
        <v>9.1432053538018421E-2</v>
      </c>
      <c r="C1000">
        <v>1.0093382080106934</v>
      </c>
      <c r="D1000">
        <v>0</v>
      </c>
      <c r="E1000">
        <v>0</v>
      </c>
      <c r="F1000">
        <v>0</v>
      </c>
      <c r="G1000">
        <v>0.44233644130989774</v>
      </c>
      <c r="H1000">
        <v>0.70940786688314628</v>
      </c>
      <c r="I1000">
        <v>1.0219423066173583</v>
      </c>
      <c r="J1000">
        <v>0.28649724844618957</v>
      </c>
      <c r="L1000">
        <v>1.8928994817914815</v>
      </c>
      <c r="M1000">
        <v>0.66404414869274431</v>
      </c>
      <c r="N1000">
        <v>2.2145118931197363</v>
      </c>
      <c r="P1000">
        <v>6.4628931612349462E-11</v>
      </c>
      <c r="R1000">
        <v>13.886311738319074</v>
      </c>
      <c r="S1000">
        <v>14.088858695576636</v>
      </c>
      <c r="T1000">
        <v>1</v>
      </c>
      <c r="U1000">
        <v>2.385333325356505</v>
      </c>
    </row>
    <row r="1001" spans="1:21">
      <c r="A1001">
        <v>-1.4405918518659797</v>
      </c>
      <c r="B1001">
        <v>6.8516874543797637E-2</v>
      </c>
      <c r="C1001">
        <v>0.14757841350267079</v>
      </c>
      <c r="D1001">
        <v>0</v>
      </c>
      <c r="E1001">
        <v>0</v>
      </c>
      <c r="F1001">
        <v>0</v>
      </c>
      <c r="G1001">
        <v>0.68474398090252486</v>
      </c>
      <c r="H1001">
        <v>0.96965869606356536</v>
      </c>
      <c r="I1001">
        <v>0.8730032845380854</v>
      </c>
      <c r="J1001">
        <v>3.5990731543652336E-2</v>
      </c>
      <c r="L1001">
        <v>1.8928990228005738</v>
      </c>
      <c r="M1001">
        <v>4.0704427666147787</v>
      </c>
      <c r="N1001">
        <v>3.6318620103143475</v>
      </c>
      <c r="P1001">
        <v>1.238371648200124E-11</v>
      </c>
      <c r="R1001">
        <v>10.943385010317112</v>
      </c>
      <c r="S1001">
        <v>10.969037156132696</v>
      </c>
      <c r="T1001">
        <v>1</v>
      </c>
      <c r="U1001">
        <v>2.5580648716425531</v>
      </c>
    </row>
    <row r="1002" spans="1:21">
      <c r="A1002">
        <v>-1.4388944994132671</v>
      </c>
      <c r="B1002">
        <v>5.2738709317240097E-2</v>
      </c>
      <c r="C1002">
        <v>0.16685208916521813</v>
      </c>
      <c r="D1002">
        <v>0</v>
      </c>
      <c r="E1002">
        <v>0</v>
      </c>
      <c r="F1002">
        <v>0</v>
      </c>
      <c r="G1002">
        <v>0.14351588517233524</v>
      </c>
      <c r="H1002">
        <v>0.39438596481592253</v>
      </c>
      <c r="I1002">
        <v>0.24247175501052029</v>
      </c>
      <c r="J1002">
        <v>0.33945671253205051</v>
      </c>
      <c r="L1002">
        <v>1.8928990214640622</v>
      </c>
      <c r="M1002">
        <v>4.0704427374955356</v>
      </c>
      <c r="N1002">
        <v>3.6318620053584834</v>
      </c>
      <c r="P1002">
        <v>1.2207133526486513E-11</v>
      </c>
      <c r="R1002">
        <v>10.943385010317112</v>
      </c>
      <c r="S1002">
        <v>10.969037156132696</v>
      </c>
      <c r="T1002">
        <v>1</v>
      </c>
      <c r="U1002">
        <v>2.5580648716425531</v>
      </c>
    </row>
    <row r="1003" spans="1:21">
      <c r="A1003">
        <v>-1.4423833082967865</v>
      </c>
      <c r="B1003">
        <v>4.8667452888507309E-2</v>
      </c>
      <c r="C1003">
        <v>0.15940735761660951</v>
      </c>
      <c r="D1003">
        <v>0</v>
      </c>
      <c r="E1003">
        <v>0</v>
      </c>
      <c r="F1003">
        <v>0</v>
      </c>
      <c r="G1003">
        <v>0.96547742723534247</v>
      </c>
      <c r="H1003">
        <v>0.61025190246474492</v>
      </c>
      <c r="I1003">
        <v>0.74203382705488841</v>
      </c>
      <c r="J1003">
        <v>0.98277090213816221</v>
      </c>
      <c r="L1003">
        <v>1.8928990190265895</v>
      </c>
      <c r="M1003">
        <v>4.0704427651983313</v>
      </c>
      <c r="N1003">
        <v>3.6318620194890832</v>
      </c>
      <c r="P1003">
        <v>1.2369272197071264E-11</v>
      </c>
      <c r="R1003">
        <v>10.943385010317112</v>
      </c>
      <c r="S1003">
        <v>10.969037156132696</v>
      </c>
      <c r="T1003">
        <v>1</v>
      </c>
      <c r="U1003">
        <v>2.5580648716425531</v>
      </c>
    </row>
    <row r="1004" spans="1:21">
      <c r="A1004">
        <v>-1.4428317695084087</v>
      </c>
      <c r="B1004">
        <v>5.6698867184945316E-2</v>
      </c>
      <c r="C1004">
        <v>0.14318475637569741</v>
      </c>
      <c r="D1004">
        <v>0.35836827558406775</v>
      </c>
      <c r="E1004">
        <v>0</v>
      </c>
      <c r="F1004">
        <v>0</v>
      </c>
      <c r="G1004">
        <v>0.88017836422192197</v>
      </c>
      <c r="H1004">
        <v>0.52498525126130069</v>
      </c>
      <c r="I1004">
        <v>0.58283993069928064</v>
      </c>
      <c r="J1004">
        <v>0.52585084372230684</v>
      </c>
      <c r="L1004">
        <v>1.8928989657272772</v>
      </c>
      <c r="M1004">
        <v>4.0704427720634904</v>
      </c>
      <c r="N1004">
        <v>3.6318620642538941</v>
      </c>
      <c r="P1004">
        <v>1.2474394691242749E-11</v>
      </c>
      <c r="R1004">
        <v>10.943385010317112</v>
      </c>
      <c r="S1004">
        <v>10.969037156132696</v>
      </c>
      <c r="T1004">
        <v>1</v>
      </c>
      <c r="U1004">
        <v>2.5580648716425531</v>
      </c>
    </row>
    <row r="1005" spans="1:21">
      <c r="A1005">
        <v>-1.4441725678869042</v>
      </c>
      <c r="B1005">
        <v>4.6504564009429157E-2</v>
      </c>
      <c r="C1005">
        <v>0.17657657857763598</v>
      </c>
      <c r="D1005">
        <v>0</v>
      </c>
      <c r="E1005">
        <v>0</v>
      </c>
      <c r="F1005">
        <v>0</v>
      </c>
      <c r="G1005">
        <v>0.7774145172297946</v>
      </c>
      <c r="H1005">
        <v>0.81984359865304368</v>
      </c>
      <c r="I1005">
        <v>0.19949959948073714</v>
      </c>
      <c r="J1005">
        <v>0.68020191343305658</v>
      </c>
      <c r="L1005">
        <v>1.8928990618430677</v>
      </c>
      <c r="M1005">
        <v>4.0704427747023919</v>
      </c>
      <c r="N1005">
        <v>3.6318620023114239</v>
      </c>
      <c r="P1005">
        <v>1.2359380778417604E-11</v>
      </c>
      <c r="R1005">
        <v>10.943385010317112</v>
      </c>
      <c r="S1005">
        <v>10.969037156132696</v>
      </c>
      <c r="T1005">
        <v>1</v>
      </c>
      <c r="U1005">
        <v>2.5580648716425531</v>
      </c>
    </row>
    <row r="1006" spans="1:21">
      <c r="A1006">
        <v>-1.4410405846293679</v>
      </c>
      <c r="B1006">
        <v>5.3923924550386519E-2</v>
      </c>
      <c r="C1006">
        <v>0.17109266771540257</v>
      </c>
      <c r="D1006">
        <v>0</v>
      </c>
      <c r="E1006">
        <v>0.49616531428185828</v>
      </c>
      <c r="F1006">
        <v>0</v>
      </c>
      <c r="G1006">
        <v>0.14158288797317639</v>
      </c>
      <c r="H1006">
        <v>0.46557575593808553</v>
      </c>
      <c r="I1006">
        <v>0.35599110196612016</v>
      </c>
      <c r="J1006">
        <v>5.7738462790016765E-2</v>
      </c>
      <c r="L1006">
        <v>1.8928988720083115</v>
      </c>
      <c r="M1006">
        <v>4.0704427344891023</v>
      </c>
      <c r="N1006">
        <v>3.63186218450427</v>
      </c>
      <c r="P1006">
        <v>1.2311514031494508E-11</v>
      </c>
      <c r="R1006">
        <v>10.943385010317112</v>
      </c>
      <c r="S1006">
        <v>10.969037156132696</v>
      </c>
      <c r="T1006">
        <v>1</v>
      </c>
      <c r="U1006">
        <v>2.5580648716425531</v>
      </c>
    </row>
    <row r="1007" spans="1:21">
      <c r="A1007">
        <v>-1.438158621401002</v>
      </c>
      <c r="B1007">
        <v>6.7948463114683499E-2</v>
      </c>
      <c r="C1007">
        <v>0.13891132511094634</v>
      </c>
      <c r="D1007">
        <v>0</v>
      </c>
      <c r="E1007">
        <v>0.47560200540158654</v>
      </c>
      <c r="F1007">
        <v>0.54503977652797364</v>
      </c>
      <c r="G1007">
        <v>0.22640874738103306</v>
      </c>
      <c r="H1007">
        <v>0.23858972673397827</v>
      </c>
      <c r="I1007">
        <v>1.0217538656200529</v>
      </c>
      <c r="J1007">
        <v>0.21265034401797367</v>
      </c>
      <c r="L1007">
        <v>1.8928988740135004</v>
      </c>
      <c r="M1007">
        <v>4.0704427579207856</v>
      </c>
      <c r="N1007">
        <v>3.6318621837334555</v>
      </c>
      <c r="P1007">
        <v>1.2457665909565793E-11</v>
      </c>
      <c r="R1007">
        <v>10.943385010317112</v>
      </c>
      <c r="S1007">
        <v>10.969037156132696</v>
      </c>
      <c r="T1007">
        <v>1</v>
      </c>
      <c r="U1007">
        <v>2.5580648716425531</v>
      </c>
    </row>
    <row r="1008" spans="1:21">
      <c r="A1008">
        <v>-1.4438436760360245</v>
      </c>
      <c r="B1008">
        <v>5.8828402242820273E-2</v>
      </c>
      <c r="C1008">
        <v>0.15444935133372933</v>
      </c>
      <c r="D1008">
        <v>7.9376899146358537E-2</v>
      </c>
      <c r="E1008">
        <v>0.52135707587572699</v>
      </c>
      <c r="F1008">
        <v>0</v>
      </c>
      <c r="G1008">
        <v>0.65025107082004796</v>
      </c>
      <c r="H1008">
        <v>0.52540952873468583</v>
      </c>
      <c r="I1008">
        <v>0.62853880228541736</v>
      </c>
      <c r="J1008">
        <v>8.2743565457236892E-2</v>
      </c>
      <c r="L1008">
        <v>1.8928990079056238</v>
      </c>
      <c r="M1008">
        <v>4.0704427646291093</v>
      </c>
      <c r="N1008">
        <v>3.6318620254533922</v>
      </c>
      <c r="P1008">
        <v>1.2382557728210841E-11</v>
      </c>
      <c r="R1008">
        <v>10.943385010317112</v>
      </c>
      <c r="S1008">
        <v>10.969037156132696</v>
      </c>
      <c r="T1008">
        <v>1</v>
      </c>
      <c r="U1008">
        <v>2.5580648716425531</v>
      </c>
    </row>
    <row r="1009" spans="1:21">
      <c r="A1009">
        <v>-1.4438958060243889</v>
      </c>
      <c r="B1009">
        <v>4.3161292281838924E-2</v>
      </c>
      <c r="C1009">
        <v>0.16443067663227734</v>
      </c>
      <c r="D1009">
        <v>2.3501235195150912E-2</v>
      </c>
      <c r="E1009">
        <v>0</v>
      </c>
      <c r="F1009">
        <v>0</v>
      </c>
      <c r="G1009">
        <v>0.76934234295830473</v>
      </c>
      <c r="H1009">
        <v>0.20226165276826225</v>
      </c>
      <c r="I1009">
        <v>0.13728832929858631</v>
      </c>
      <c r="J1009">
        <v>0.86792464438687023</v>
      </c>
      <c r="L1009">
        <v>1.8928990099947547</v>
      </c>
      <c r="M1009">
        <v>4.0704427811208816</v>
      </c>
      <c r="N1009">
        <v>3.6318620504376371</v>
      </c>
      <c r="P1009">
        <v>1.2447300193948402E-11</v>
      </c>
      <c r="R1009">
        <v>10.943385010317112</v>
      </c>
      <c r="S1009">
        <v>10.969037156132696</v>
      </c>
      <c r="T1009">
        <v>1</v>
      </c>
      <c r="U1009">
        <v>2.5580648716425531</v>
      </c>
    </row>
    <row r="1010" spans="1:21">
      <c r="A1010">
        <v>-1.441063893353993</v>
      </c>
      <c r="B1010">
        <v>6.2193399983819148E-2</v>
      </c>
      <c r="C1010">
        <v>0.14535644029281744</v>
      </c>
      <c r="D1010">
        <v>0.5906434613262439</v>
      </c>
      <c r="E1010">
        <v>0</v>
      </c>
      <c r="F1010">
        <v>0</v>
      </c>
      <c r="G1010">
        <v>0.47281803380857262</v>
      </c>
      <c r="H1010">
        <v>0.71244438844461222</v>
      </c>
      <c r="I1010">
        <v>0.38421835345875172</v>
      </c>
      <c r="J1010">
        <v>6.0492215858184921E-2</v>
      </c>
      <c r="L1010">
        <v>1.8928989249617278</v>
      </c>
      <c r="M1010">
        <v>4.0704427151829359</v>
      </c>
      <c r="N1010">
        <v>3.6318620461494429</v>
      </c>
      <c r="P1010">
        <v>1.2236592655490375E-11</v>
      </c>
      <c r="R1010">
        <v>10.943385010317112</v>
      </c>
      <c r="S1010">
        <v>10.969037156132696</v>
      </c>
      <c r="T1010">
        <v>1</v>
      </c>
      <c r="U1010">
        <v>2.5580648716425531</v>
      </c>
    </row>
    <row r="1011" spans="1:21">
      <c r="A1011">
        <v>-1.4469533151100411</v>
      </c>
      <c r="B1011">
        <v>5.9881142135198441E-2</v>
      </c>
      <c r="C1011">
        <v>0.16017490040713642</v>
      </c>
      <c r="D1011">
        <v>0</v>
      </c>
      <c r="E1011">
        <v>0.22386826645553418</v>
      </c>
      <c r="F1011">
        <v>0.51164320160995713</v>
      </c>
      <c r="G1011">
        <v>0.98602240432484045</v>
      </c>
      <c r="H1011">
        <v>0.91627582766287519</v>
      </c>
      <c r="I1011">
        <v>0.34128100780189025</v>
      </c>
      <c r="J1011">
        <v>0.35664661491871336</v>
      </c>
      <c r="L1011">
        <v>1.8928989810177022</v>
      </c>
      <c r="M1011">
        <v>4.0704428010158926</v>
      </c>
      <c r="N1011">
        <v>3.6318620978806413</v>
      </c>
      <c r="P1011">
        <v>1.2578580927158291E-11</v>
      </c>
      <c r="R1011">
        <v>10.943385010317112</v>
      </c>
      <c r="S1011">
        <v>10.969037156132696</v>
      </c>
      <c r="T1011">
        <v>1</v>
      </c>
      <c r="U1011">
        <v>2.5580648716425531</v>
      </c>
    </row>
    <row r="1012" spans="1:21">
      <c r="A1012">
        <v>-1.4369919580153998</v>
      </c>
      <c r="B1012">
        <v>4.9427970762615139E-2</v>
      </c>
      <c r="C1012">
        <v>0.16837925630402575</v>
      </c>
      <c r="D1012">
        <v>0.31172537826719116</v>
      </c>
      <c r="E1012">
        <v>0.29546072323162009</v>
      </c>
      <c r="F1012">
        <v>0</v>
      </c>
      <c r="G1012">
        <v>0.24092854784032627</v>
      </c>
      <c r="H1012">
        <v>0.7636375784891094</v>
      </c>
      <c r="I1012">
        <v>0.94739868482519007</v>
      </c>
      <c r="J1012">
        <v>0.7743184176409762</v>
      </c>
      <c r="L1012">
        <v>1.8928990796559473</v>
      </c>
      <c r="M1012">
        <v>4.0704427681534634</v>
      </c>
      <c r="N1012">
        <v>3.6318620040509249</v>
      </c>
      <c r="P1012">
        <v>1.2274655924319462E-11</v>
      </c>
      <c r="R1012">
        <v>10.943385010317112</v>
      </c>
      <c r="S1012">
        <v>10.969037156132696</v>
      </c>
      <c r="T1012">
        <v>1</v>
      </c>
      <c r="U1012">
        <v>2.5580648716425531</v>
      </c>
    </row>
    <row r="1013" spans="1:21">
      <c r="A1013">
        <v>-1.4383964278776016</v>
      </c>
      <c r="B1013">
        <v>5.4019150065577115E-2</v>
      </c>
      <c r="C1013">
        <v>0.16254114386320601</v>
      </c>
      <c r="D1013">
        <v>1.5463855760759874E-2</v>
      </c>
      <c r="E1013">
        <v>0</v>
      </c>
      <c r="F1013">
        <v>0</v>
      </c>
      <c r="G1013">
        <v>7.8231588515706565E-2</v>
      </c>
      <c r="H1013">
        <v>0.2627222042810391</v>
      </c>
      <c r="I1013">
        <v>0.23376412935160337</v>
      </c>
      <c r="J1013">
        <v>0.27705970917532607</v>
      </c>
      <c r="L1013">
        <v>1.8928988989089084</v>
      </c>
      <c r="M1013">
        <v>4.0704427405681045</v>
      </c>
      <c r="N1013">
        <v>3.6318621494283891</v>
      </c>
      <c r="P1013">
        <v>1.2323734708979863E-11</v>
      </c>
      <c r="R1013">
        <v>10.943385010317112</v>
      </c>
      <c r="S1013">
        <v>10.969037156132696</v>
      </c>
      <c r="T1013">
        <v>1</v>
      </c>
      <c r="U1013">
        <v>2.5580648716425531</v>
      </c>
    </row>
    <row r="1014" spans="1:21">
      <c r="A1014">
        <v>-1.4408653397415032</v>
      </c>
      <c r="B1014">
        <v>5.0366367210802621E-2</v>
      </c>
      <c r="C1014">
        <v>0.16246913476299382</v>
      </c>
      <c r="D1014">
        <v>2.9662970363470969E-2</v>
      </c>
      <c r="E1014">
        <v>0</v>
      </c>
      <c r="F1014">
        <v>0</v>
      </c>
      <c r="G1014">
        <v>0.4689758355864363</v>
      </c>
      <c r="H1014">
        <v>0.3648136919993652</v>
      </c>
      <c r="I1014">
        <v>0.32076391743052879</v>
      </c>
      <c r="J1014">
        <v>0.56941863835545126</v>
      </c>
      <c r="L1014">
        <v>1.8928989660450797</v>
      </c>
      <c r="M1014">
        <v>4.0704427448181244</v>
      </c>
      <c r="N1014">
        <v>3.6318620610381598</v>
      </c>
      <c r="P1014">
        <v>1.2302598845364165E-11</v>
      </c>
      <c r="R1014">
        <v>10.943385010317112</v>
      </c>
      <c r="S1014">
        <v>10.969037156132696</v>
      </c>
      <c r="T1014">
        <v>1</v>
      </c>
      <c r="U1014">
        <v>2.5580648716425531</v>
      </c>
    </row>
    <row r="1015" spans="1:21">
      <c r="A1015">
        <v>-1.4402899210833748</v>
      </c>
      <c r="B1015">
        <v>6.1603651122986651E-2</v>
      </c>
      <c r="C1015">
        <v>0.14093123703878796</v>
      </c>
      <c r="D1015">
        <v>0.32665175911654298</v>
      </c>
      <c r="E1015">
        <v>0.37071746355720081</v>
      </c>
      <c r="F1015">
        <v>0</v>
      </c>
      <c r="G1015">
        <v>0.49516401263826904</v>
      </c>
      <c r="H1015">
        <v>0.39571960591384492</v>
      </c>
      <c r="I1015">
        <v>0.86495284186743704</v>
      </c>
      <c r="J1015">
        <v>0.19537002723845931</v>
      </c>
      <c r="L1015">
        <v>1.8928990208579193</v>
      </c>
      <c r="M1015">
        <v>4.0704427736530784</v>
      </c>
      <c r="N1015">
        <v>3.631862022067625</v>
      </c>
      <c r="P1015">
        <v>1.24157811928039E-11</v>
      </c>
      <c r="R1015">
        <v>10.943385010317112</v>
      </c>
      <c r="S1015">
        <v>10.969037156132696</v>
      </c>
      <c r="T1015">
        <v>1</v>
      </c>
      <c r="U1015">
        <v>2.5580648716425531</v>
      </c>
    </row>
    <row r="1016" spans="1:21">
      <c r="A1016">
        <v>-1.4403816266570653</v>
      </c>
      <c r="B1016">
        <v>5.0520592828125238E-2</v>
      </c>
      <c r="C1016">
        <v>0.16686974067930291</v>
      </c>
      <c r="D1016">
        <v>0.52768810589266668</v>
      </c>
      <c r="E1016">
        <v>0.29735434286248658</v>
      </c>
      <c r="F1016">
        <v>0.35919433824106012</v>
      </c>
      <c r="G1016">
        <v>0.30715258381343735</v>
      </c>
      <c r="H1016">
        <v>0.75725721975813887</v>
      </c>
      <c r="I1016">
        <v>0.46356803468335983</v>
      </c>
      <c r="J1016">
        <v>0.66899326264595382</v>
      </c>
      <c r="L1016">
        <v>1.8928989031507191</v>
      </c>
      <c r="M1016">
        <v>4.0704426721552016</v>
      </c>
      <c r="N1016">
        <v>3.6318620544779248</v>
      </c>
      <c r="P1016">
        <v>1.2007958309620786E-11</v>
      </c>
      <c r="R1016">
        <v>10.943385010317112</v>
      </c>
      <c r="S1016">
        <v>10.969037156132696</v>
      </c>
      <c r="T1016">
        <v>1</v>
      </c>
      <c r="U1016">
        <v>2.5580648716425531</v>
      </c>
    </row>
    <row r="1017" spans="1:21">
      <c r="A1017">
        <v>-1.4404759030381473</v>
      </c>
      <c r="B1017">
        <v>5.0886488518382608E-2</v>
      </c>
      <c r="C1017">
        <v>0.16157733533462379</v>
      </c>
      <c r="D1017">
        <v>0</v>
      </c>
      <c r="E1017">
        <v>0</v>
      </c>
      <c r="F1017">
        <v>3.1988573297411609E-2</v>
      </c>
      <c r="G1017">
        <v>0.37417165847929312</v>
      </c>
      <c r="H1017">
        <v>0.25147640371924812</v>
      </c>
      <c r="I1017">
        <v>0.25411724228994154</v>
      </c>
      <c r="J1017">
        <v>0.51445338323146839</v>
      </c>
      <c r="L1017">
        <v>1.8928990690233951</v>
      </c>
      <c r="M1017">
        <v>4.0704427759478303</v>
      </c>
      <c r="N1017">
        <v>3.6318619935310035</v>
      </c>
      <c r="P1017">
        <v>1.2365159027519732E-11</v>
      </c>
      <c r="R1017">
        <v>10.943385010317112</v>
      </c>
      <c r="S1017">
        <v>10.969037156132696</v>
      </c>
      <c r="T1017">
        <v>1</v>
      </c>
      <c r="U1017">
        <v>2.5580648716425531</v>
      </c>
    </row>
    <row r="1018" spans="1:21">
      <c r="A1018">
        <v>-1.4378651004488037</v>
      </c>
      <c r="B1018">
        <v>4.5290135449628739E-2</v>
      </c>
      <c r="C1018">
        <v>0.18462763735062671</v>
      </c>
      <c r="D1018">
        <v>0</v>
      </c>
      <c r="E1018">
        <v>0.24507940583587096</v>
      </c>
      <c r="F1018">
        <v>0</v>
      </c>
      <c r="G1018">
        <v>0.2684058134716068</v>
      </c>
      <c r="H1018">
        <v>0.922993176131087</v>
      </c>
      <c r="I1018">
        <v>0.80042424668735324</v>
      </c>
      <c r="J1018">
        <v>0.86692963832050407</v>
      </c>
      <c r="L1018">
        <v>1.8928989262228391</v>
      </c>
      <c r="M1018">
        <v>4.0704427090017008</v>
      </c>
      <c r="N1018">
        <v>3.6318621100923787</v>
      </c>
      <c r="P1018">
        <v>1.2104213175448814E-11</v>
      </c>
      <c r="R1018">
        <v>10.943385010317112</v>
      </c>
      <c r="S1018">
        <v>10.969037156132696</v>
      </c>
      <c r="T1018">
        <v>1</v>
      </c>
      <c r="U1018">
        <v>2.5580648716425531</v>
      </c>
    </row>
    <row r="1019" spans="1:21">
      <c r="A1019">
        <v>-1.4468832424431151</v>
      </c>
      <c r="B1019">
        <v>3.0025280648072892E-2</v>
      </c>
      <c r="C1019">
        <v>0.19034529729345059</v>
      </c>
      <c r="D1019">
        <v>0.43380292974382562</v>
      </c>
      <c r="E1019">
        <v>0.81264787492619039</v>
      </c>
      <c r="F1019">
        <v>0</v>
      </c>
      <c r="G1019">
        <v>0.63213114724320729</v>
      </c>
      <c r="H1019">
        <v>0.46549478980147641</v>
      </c>
      <c r="I1019">
        <v>9.0003841481955268E-2</v>
      </c>
      <c r="J1019">
        <v>0.96084425081511649</v>
      </c>
      <c r="L1019">
        <v>1.8928992207330204</v>
      </c>
      <c r="M1019">
        <v>4.0704427541172823</v>
      </c>
      <c r="N1019">
        <v>3.6318618558663118</v>
      </c>
      <c r="P1019">
        <v>1.2144978554223637E-11</v>
      </c>
      <c r="R1019">
        <v>10.943385010317112</v>
      </c>
      <c r="S1019">
        <v>10.969037156132696</v>
      </c>
      <c r="T1019">
        <v>1</v>
      </c>
      <c r="U1019">
        <v>2.5580648716425531</v>
      </c>
    </row>
    <row r="1020" spans="1:21">
      <c r="A1020">
        <v>-1.4492272182197683</v>
      </c>
      <c r="B1020">
        <v>5.2278242778780369E-2</v>
      </c>
      <c r="C1020">
        <v>0.17542372886785088</v>
      </c>
      <c r="D1020">
        <v>0</v>
      </c>
      <c r="E1020">
        <v>0.58575784548274668</v>
      </c>
      <c r="F1020">
        <v>0.68387019422168061</v>
      </c>
      <c r="G1020">
        <v>0.95777486257212996</v>
      </c>
      <c r="H1020">
        <v>0.92392288909072462</v>
      </c>
      <c r="I1020">
        <v>0.19489100869564946</v>
      </c>
      <c r="J1020">
        <v>0.51159587110738158</v>
      </c>
      <c r="L1020">
        <v>1.8928992648759455</v>
      </c>
      <c r="M1020">
        <v>4.0704427442574227</v>
      </c>
      <c r="N1020">
        <v>3.6318617909115467</v>
      </c>
      <c r="P1020">
        <v>1.2123029516466849E-11</v>
      </c>
      <c r="R1020">
        <v>10.943385010317112</v>
      </c>
      <c r="S1020">
        <v>10.969037156132696</v>
      </c>
      <c r="T1020">
        <v>1</v>
      </c>
      <c r="U1020">
        <v>2.5580648716425531</v>
      </c>
    </row>
    <row r="1021" spans="1:21">
      <c r="A1021">
        <v>-1.4441123010404262</v>
      </c>
      <c r="B1021">
        <v>6.5762533482058488E-2</v>
      </c>
      <c r="C1021">
        <v>0.13240241201264469</v>
      </c>
      <c r="D1021">
        <v>0</v>
      </c>
      <c r="E1021">
        <v>0</v>
      </c>
      <c r="F1021">
        <v>0</v>
      </c>
      <c r="G1021">
        <v>0.96254991480968588</v>
      </c>
      <c r="H1021">
        <v>0.31193680354391684</v>
      </c>
      <c r="I1021">
        <v>0.56037983265545832</v>
      </c>
      <c r="J1021">
        <v>9.4293234661113057E-2</v>
      </c>
      <c r="L1021">
        <v>1.8928989622554375</v>
      </c>
      <c r="M1021">
        <v>4.0704428210937307</v>
      </c>
      <c r="N1021">
        <v>3.6318621177704946</v>
      </c>
      <c r="P1021">
        <v>1.2728797940988035E-11</v>
      </c>
      <c r="R1021">
        <v>10.943385010317112</v>
      </c>
      <c r="S1021">
        <v>10.969037156132696</v>
      </c>
      <c r="T1021">
        <v>1</v>
      </c>
      <c r="U1021">
        <v>2.5580648716425531</v>
      </c>
    </row>
    <row r="1022" spans="1:21">
      <c r="A1022">
        <v>-1.4417725410017823</v>
      </c>
      <c r="B1022">
        <v>6.2293113771795201E-2</v>
      </c>
      <c r="C1022">
        <v>0.15269384742638079</v>
      </c>
      <c r="D1022">
        <v>0</v>
      </c>
      <c r="E1022">
        <v>0</v>
      </c>
      <c r="F1022">
        <v>0.20807265543194897</v>
      </c>
      <c r="G1022">
        <v>0.67498944438386699</v>
      </c>
      <c r="H1022">
        <v>0.75305974634772399</v>
      </c>
      <c r="I1022">
        <v>0.58773382525508167</v>
      </c>
      <c r="J1022">
        <v>0.2999283055237611</v>
      </c>
      <c r="L1022">
        <v>1.8928989485617636</v>
      </c>
      <c r="M1022">
        <v>4.0704427619782244</v>
      </c>
      <c r="N1022">
        <v>3.6318620868030562</v>
      </c>
      <c r="P1022">
        <v>1.2419461503591187E-11</v>
      </c>
      <c r="R1022">
        <v>10.943385010317112</v>
      </c>
      <c r="S1022">
        <v>10.969037156132696</v>
      </c>
      <c r="T1022">
        <v>1</v>
      </c>
      <c r="U1022">
        <v>2.5580648716425531</v>
      </c>
    </row>
    <row r="1023" spans="1:21">
      <c r="A1023">
        <v>-1.4366975874714427</v>
      </c>
      <c r="B1023">
        <v>6.511662486593027E-2</v>
      </c>
      <c r="C1023">
        <v>0.14525048809968968</v>
      </c>
      <c r="D1023">
        <v>0.6204729339404188</v>
      </c>
      <c r="E1023">
        <v>0.1353388731560177</v>
      </c>
      <c r="F1023">
        <v>0</v>
      </c>
      <c r="G1023">
        <v>0.26493970511773374</v>
      </c>
      <c r="H1023">
        <v>0.94785981492350502</v>
      </c>
      <c r="I1023">
        <v>1.0074315420835089</v>
      </c>
      <c r="J1023">
        <v>0.17593258906833037</v>
      </c>
      <c r="L1023">
        <v>1.892898903126758</v>
      </c>
      <c r="M1023">
        <v>4.0704427354246269</v>
      </c>
      <c r="N1023">
        <v>3.6318621281518197</v>
      </c>
      <c r="P1023">
        <v>1.2307313539133861E-11</v>
      </c>
      <c r="R1023">
        <v>10.943385010317112</v>
      </c>
      <c r="S1023">
        <v>10.969037156132696</v>
      </c>
      <c r="T1023">
        <v>1</v>
      </c>
      <c r="U1023">
        <v>2.5580648716425531</v>
      </c>
    </row>
    <row r="1024" spans="1:21">
      <c r="A1024">
        <v>-1.4404888587922073</v>
      </c>
      <c r="B1024">
        <v>4.403805924100327E-2</v>
      </c>
      <c r="C1024">
        <v>0.16098308717126358</v>
      </c>
      <c r="D1024">
        <v>0.27483108240549714</v>
      </c>
      <c r="E1024">
        <v>0.28120497618895124</v>
      </c>
      <c r="F1024">
        <v>0</v>
      </c>
      <c r="G1024">
        <v>0.39202115037342194</v>
      </c>
      <c r="H1024">
        <v>9.9090164857339111E-2</v>
      </c>
      <c r="I1024">
        <v>0.43767578801407819</v>
      </c>
      <c r="J1024">
        <v>0.81324258223354196</v>
      </c>
      <c r="L1024">
        <v>1.8928989880373277</v>
      </c>
      <c r="M1024">
        <v>4.0704427237612499</v>
      </c>
      <c r="N1024">
        <v>3.631862016377605</v>
      </c>
      <c r="P1024">
        <v>1.2181152324546769E-11</v>
      </c>
      <c r="R1024">
        <v>10.943385010317112</v>
      </c>
      <c r="S1024">
        <v>10.969037156132696</v>
      </c>
      <c r="T1024">
        <v>1</v>
      </c>
      <c r="U1024">
        <v>2.5580648716425531</v>
      </c>
    </row>
    <row r="1025" spans="1:21">
      <c r="A1025">
        <v>-1.4455320177772255</v>
      </c>
      <c r="B1025">
        <v>5.5760075134149725E-2</v>
      </c>
      <c r="C1025">
        <v>0.1548178538142766</v>
      </c>
      <c r="D1025">
        <v>0.27475864790554255</v>
      </c>
      <c r="E1025">
        <v>0.56952364025636559</v>
      </c>
      <c r="F1025">
        <v>0</v>
      </c>
      <c r="G1025">
        <v>0.63810896414777873</v>
      </c>
      <c r="H1025">
        <v>0.39195915489747873</v>
      </c>
      <c r="I1025">
        <v>0.3194440638915198</v>
      </c>
      <c r="J1025">
        <v>3.1632658861070487E-2</v>
      </c>
      <c r="L1025">
        <v>1.892899017749976</v>
      </c>
      <c r="M1025">
        <v>4.0704427547996405</v>
      </c>
      <c r="N1025">
        <v>3.631861995935302</v>
      </c>
      <c r="P1025">
        <v>1.2341619371219101E-11</v>
      </c>
      <c r="R1025">
        <v>10.943385010317112</v>
      </c>
      <c r="S1025">
        <v>10.969037156132696</v>
      </c>
      <c r="T1025">
        <v>1</v>
      </c>
      <c r="U1025">
        <v>2.5580648716425531</v>
      </c>
    </row>
    <row r="1026" spans="1:21">
      <c r="A1026">
        <v>-1.4406278198025124</v>
      </c>
      <c r="B1026">
        <v>6.9908379142370636E-2</v>
      </c>
      <c r="C1026">
        <v>0.13751393482529722</v>
      </c>
      <c r="D1026">
        <v>0.29689167590064419</v>
      </c>
      <c r="E1026">
        <v>0</v>
      </c>
      <c r="F1026">
        <v>0.73186649661966696</v>
      </c>
      <c r="G1026">
        <v>0.37549984848806378</v>
      </c>
      <c r="H1026">
        <v>0.50377110891894894</v>
      </c>
      <c r="I1026">
        <v>0.39307965813045359</v>
      </c>
      <c r="J1026">
        <v>0.13806362924685836</v>
      </c>
      <c r="L1026">
        <v>1.892899145587799</v>
      </c>
      <c r="M1026">
        <v>4.0704428102196317</v>
      </c>
      <c r="N1026">
        <v>3.6318619390784699</v>
      </c>
      <c r="P1026">
        <v>1.2512502981320143E-11</v>
      </c>
      <c r="R1026">
        <v>10.943385010317112</v>
      </c>
      <c r="S1026">
        <v>10.969037156132696</v>
      </c>
      <c r="T1026">
        <v>1</v>
      </c>
      <c r="U1026">
        <v>2.5580648716425531</v>
      </c>
    </row>
    <row r="1027" spans="1:21">
      <c r="A1027">
        <v>-1.4392283709903817</v>
      </c>
      <c r="B1027">
        <v>5.5037783253760297E-2</v>
      </c>
      <c r="C1027">
        <v>0.16930065815383974</v>
      </c>
      <c r="D1027">
        <v>0</v>
      </c>
      <c r="E1027">
        <v>4.069659651828756E-2</v>
      </c>
      <c r="F1027">
        <v>0</v>
      </c>
      <c r="G1027">
        <v>0.26679012372656247</v>
      </c>
      <c r="H1027">
        <v>0.72888145271212668</v>
      </c>
      <c r="I1027">
        <v>0.44374606228824592</v>
      </c>
      <c r="J1027">
        <v>0.3214491691524588</v>
      </c>
      <c r="L1027">
        <v>1.8928989961669307</v>
      </c>
      <c r="M1027">
        <v>4.0704427793116169</v>
      </c>
      <c r="N1027">
        <v>3.6318620982900698</v>
      </c>
      <c r="P1027">
        <v>1.2400530475518081E-11</v>
      </c>
      <c r="R1027">
        <v>10.943385010317112</v>
      </c>
      <c r="S1027">
        <v>10.969037156132696</v>
      </c>
      <c r="T1027">
        <v>1</v>
      </c>
      <c r="U1027">
        <v>2.5580648716425531</v>
      </c>
    </row>
    <row r="1028" spans="1:21">
      <c r="A1028">
        <v>-1.4415828424653478</v>
      </c>
      <c r="B1028">
        <v>4.3973409772858886E-2</v>
      </c>
      <c r="C1028">
        <v>0.1802121571102682</v>
      </c>
      <c r="D1028">
        <v>0</v>
      </c>
      <c r="E1028">
        <v>0</v>
      </c>
      <c r="F1028">
        <v>0</v>
      </c>
      <c r="G1028">
        <v>0.57536522365254794</v>
      </c>
      <c r="H1028">
        <v>0.77855497496999981</v>
      </c>
      <c r="I1028">
        <v>0.33686869105752737</v>
      </c>
      <c r="J1028">
        <v>0.8526281763459328</v>
      </c>
      <c r="L1028">
        <v>1.8928990406004107</v>
      </c>
      <c r="M1028">
        <v>4.0704427401149985</v>
      </c>
      <c r="N1028">
        <v>3.6318619944898476</v>
      </c>
      <c r="P1028">
        <v>1.2196811032222651E-11</v>
      </c>
      <c r="R1028">
        <v>10.943385010317112</v>
      </c>
      <c r="S1028">
        <v>10.969037156132696</v>
      </c>
      <c r="T1028">
        <v>1</v>
      </c>
      <c r="U1028">
        <v>2.5580648716425531</v>
      </c>
    </row>
    <row r="1029" spans="1:21">
      <c r="A1029">
        <v>-1.4457915975057416</v>
      </c>
      <c r="B1029">
        <v>5.1589098140180416E-2</v>
      </c>
      <c r="C1029">
        <v>0.16831887749107191</v>
      </c>
      <c r="D1029">
        <v>0.45372314895325838</v>
      </c>
      <c r="E1029">
        <v>0.43145320433962675</v>
      </c>
      <c r="F1029">
        <v>0</v>
      </c>
      <c r="G1029">
        <v>0.72407790711360609</v>
      </c>
      <c r="H1029">
        <v>0.91782318615203629</v>
      </c>
      <c r="I1029">
        <v>0.27181902512743022</v>
      </c>
      <c r="J1029">
        <v>0.25099764796825774</v>
      </c>
      <c r="L1029">
        <v>1.8928989677809995</v>
      </c>
      <c r="M1029">
        <v>4.0704427272332806</v>
      </c>
      <c r="N1029">
        <v>3.6318620294342594</v>
      </c>
      <c r="P1029">
        <v>1.2232326962398269E-11</v>
      </c>
      <c r="R1029">
        <v>10.943385010317112</v>
      </c>
      <c r="S1029">
        <v>10.969037156132696</v>
      </c>
      <c r="T1029">
        <v>1</v>
      </c>
      <c r="U1029">
        <v>2.5580648716425531</v>
      </c>
    </row>
    <row r="1030" spans="1:21">
      <c r="A1030">
        <v>-1.444052095774869</v>
      </c>
      <c r="B1030">
        <v>5.3810684448254049E-2</v>
      </c>
      <c r="C1030">
        <v>0.16527241674370968</v>
      </c>
      <c r="D1030">
        <v>1.3697846543180464E-2</v>
      </c>
      <c r="E1030">
        <v>0.62493015200724089</v>
      </c>
      <c r="F1030">
        <v>0.25607591395573243</v>
      </c>
      <c r="G1030">
        <v>0.23210130312874919</v>
      </c>
      <c r="H1030">
        <v>0.13499155832971629</v>
      </c>
      <c r="I1030">
        <v>5.4653268682528608E-2</v>
      </c>
      <c r="J1030">
        <v>1.1289275471841857E-2</v>
      </c>
      <c r="L1030">
        <v>1.8928987960838861</v>
      </c>
      <c r="M1030">
        <v>4.0704426363769048</v>
      </c>
      <c r="N1030">
        <v>3.6318621291769273</v>
      </c>
      <c r="P1030">
        <v>1.1967289035282183E-11</v>
      </c>
      <c r="R1030">
        <v>10.943385010317112</v>
      </c>
      <c r="S1030">
        <v>10.969037156132696</v>
      </c>
      <c r="T1030">
        <v>1</v>
      </c>
      <c r="U1030">
        <v>2.5580648716425531</v>
      </c>
    </row>
    <row r="1031" spans="1:21">
      <c r="A1031">
        <v>-1.4426268819444934</v>
      </c>
      <c r="B1031">
        <v>0.11349465046054635</v>
      </c>
      <c r="C1031">
        <v>6.5959615271120167E-2</v>
      </c>
      <c r="D1031">
        <v>0.79687802555293763</v>
      </c>
      <c r="E1031">
        <v>0.30759554345917994</v>
      </c>
      <c r="F1031">
        <v>0.10063075491979719</v>
      </c>
      <c r="G1031">
        <v>0.54882296007256304</v>
      </c>
      <c r="H1031">
        <v>0.39131549218535394</v>
      </c>
      <c r="I1031">
        <v>0.88384509071618911</v>
      </c>
      <c r="J1031">
        <v>0.44058725879943672</v>
      </c>
      <c r="L1031">
        <v>1.8929009588289072</v>
      </c>
      <c r="M1031">
        <v>4.0704410784911049</v>
      </c>
      <c r="N1031">
        <v>2.2145085753055405</v>
      </c>
      <c r="P1031">
        <v>3.9487105533407114E-12</v>
      </c>
      <c r="R1031">
        <v>4.4450528734954036</v>
      </c>
      <c r="S1031">
        <v>4.4471433415054369</v>
      </c>
      <c r="T1031">
        <v>1</v>
      </c>
      <c r="U1031">
        <v>2.555631505567316</v>
      </c>
    </row>
    <row r="1032" spans="1:21">
      <c r="A1032">
        <v>-1.4437729903767209</v>
      </c>
      <c r="B1032">
        <v>0.11832076200538831</v>
      </c>
      <c r="C1032">
        <v>7.1324699898919347E-2</v>
      </c>
      <c r="D1032">
        <v>0</v>
      </c>
      <c r="E1032">
        <v>0.15368343538279991</v>
      </c>
      <c r="F1032">
        <v>0.26880527277494309</v>
      </c>
      <c r="G1032">
        <v>0.5226573265420722</v>
      </c>
      <c r="H1032">
        <v>0.14702492778675383</v>
      </c>
      <c r="I1032">
        <v>0.59513789165397379</v>
      </c>
      <c r="J1032">
        <v>0.33559715094863002</v>
      </c>
      <c r="L1032">
        <v>1.8929012317851721</v>
      </c>
      <c r="M1032">
        <v>4.0704411646325962</v>
      </c>
      <c r="N1032">
        <v>2.214508097708292</v>
      </c>
      <c r="P1032">
        <v>4.0099104768568994E-12</v>
      </c>
      <c r="R1032">
        <v>4.4450528734954036</v>
      </c>
      <c r="S1032">
        <v>4.4471433415054369</v>
      </c>
      <c r="T1032">
        <v>1</v>
      </c>
      <c r="U1032">
        <v>2.555631505567316</v>
      </c>
    </row>
    <row r="1033" spans="1:21">
      <c r="A1033">
        <v>-1.4464312665745327</v>
      </c>
      <c r="B1033">
        <v>0.11851659468179893</v>
      </c>
      <c r="C1033">
        <v>7.5686751375560898E-2</v>
      </c>
      <c r="D1033">
        <v>0</v>
      </c>
      <c r="E1033">
        <v>0.21305559010673927</v>
      </c>
      <c r="F1033">
        <v>0</v>
      </c>
      <c r="G1033">
        <v>0.78009992844707132</v>
      </c>
      <c r="H1033">
        <v>0.43966882874168861</v>
      </c>
      <c r="I1033">
        <v>0.58244684280266945</v>
      </c>
      <c r="J1033">
        <v>0.38594373618438793</v>
      </c>
      <c r="L1033">
        <v>1.8929011194558873</v>
      </c>
      <c r="M1033">
        <v>4.0704410995169056</v>
      </c>
      <c r="N1033">
        <v>2.2145083716340466</v>
      </c>
      <c r="P1033">
        <v>3.9304452345735499E-12</v>
      </c>
      <c r="R1033">
        <v>4.4450528734954036</v>
      </c>
      <c r="S1033">
        <v>4.4471433415054369</v>
      </c>
      <c r="T1033">
        <v>1</v>
      </c>
      <c r="U1033">
        <v>2.555631505567316</v>
      </c>
    </row>
    <row r="1034" spans="1:21">
      <c r="A1034">
        <v>-1.4477321166250092</v>
      </c>
      <c r="B1034">
        <v>0.1197499990038654</v>
      </c>
      <c r="C1034">
        <v>7.7095159317822279E-2</v>
      </c>
      <c r="D1034">
        <v>2.3512133386508677E-2</v>
      </c>
      <c r="E1034">
        <v>0.10227531943161322</v>
      </c>
      <c r="F1034">
        <v>0</v>
      </c>
      <c r="G1034">
        <v>0.88989440327646652</v>
      </c>
      <c r="H1034">
        <v>0.61157211026857572</v>
      </c>
      <c r="I1034">
        <v>0.43707974606980088</v>
      </c>
      <c r="J1034">
        <v>0.39003950581234847</v>
      </c>
      <c r="L1034">
        <v>1.8929012128376079</v>
      </c>
      <c r="M1034">
        <v>4.0704411595949574</v>
      </c>
      <c r="N1034">
        <v>2.2145081936222084</v>
      </c>
      <c r="P1034">
        <v>4.0601371113511936E-12</v>
      </c>
      <c r="R1034">
        <v>4.4450528734954036</v>
      </c>
      <c r="S1034">
        <v>4.4471433415054369</v>
      </c>
      <c r="T1034">
        <v>1</v>
      </c>
      <c r="U1034">
        <v>2.555631505567316</v>
      </c>
    </row>
    <row r="1035" spans="1:21">
      <c r="A1035">
        <v>-1.4476558687990493</v>
      </c>
      <c r="B1035">
        <v>0.1160798451183537</v>
      </c>
      <c r="C1035">
        <v>7.2147809324256365E-2</v>
      </c>
      <c r="D1035">
        <v>6.6659767025714703E-3</v>
      </c>
      <c r="E1035">
        <v>0.45933175716735042</v>
      </c>
      <c r="F1035">
        <v>0</v>
      </c>
      <c r="G1035">
        <v>0.9382372840350669</v>
      </c>
      <c r="H1035">
        <v>0.27957677792444952</v>
      </c>
      <c r="I1035">
        <v>0.77613345526414546</v>
      </c>
      <c r="J1035">
        <v>0.50658419976765734</v>
      </c>
      <c r="L1035">
        <v>1.8929011261665392</v>
      </c>
      <c r="M1035">
        <v>4.070441107737353</v>
      </c>
      <c r="N1035">
        <v>2.2145083698468127</v>
      </c>
      <c r="P1035">
        <v>3.966066405875053E-12</v>
      </c>
      <c r="R1035">
        <v>4.4450528734954036</v>
      </c>
      <c r="S1035">
        <v>4.4471433415054369</v>
      </c>
      <c r="T1035">
        <v>1</v>
      </c>
      <c r="U1035">
        <v>2.555631505567316</v>
      </c>
    </row>
    <row r="1036" spans="1:21">
      <c r="A1036">
        <v>-1.4475717313400536</v>
      </c>
      <c r="B1036">
        <v>0.11805603696129946</v>
      </c>
      <c r="C1036">
        <v>7.991770632873503E-2</v>
      </c>
      <c r="D1036">
        <v>0.39023503029938506</v>
      </c>
      <c r="E1036">
        <v>0</v>
      </c>
      <c r="F1036">
        <v>0</v>
      </c>
      <c r="G1036">
        <v>0.94967889128086613</v>
      </c>
      <c r="H1036">
        <v>0.98707781578330023</v>
      </c>
      <c r="I1036">
        <v>0.44646245862264766</v>
      </c>
      <c r="J1036">
        <v>0.66413682212965508</v>
      </c>
      <c r="L1036">
        <v>1.8929008713643498</v>
      </c>
      <c r="M1036">
        <v>4.0704410249446221</v>
      </c>
      <c r="N1036">
        <v>2.2145085984443864</v>
      </c>
      <c r="P1036">
        <v>3.7042290401138048E-12</v>
      </c>
      <c r="R1036">
        <v>4.4450528734954036</v>
      </c>
      <c r="S1036">
        <v>4.4471433415054369</v>
      </c>
      <c r="T1036">
        <v>1</v>
      </c>
      <c r="U1036">
        <v>2.555631505567316</v>
      </c>
    </row>
    <row r="1037" spans="1:21">
      <c r="A1037">
        <v>-1.4453678700278405</v>
      </c>
      <c r="B1037">
        <v>0.11426668354706222</v>
      </c>
      <c r="C1037">
        <v>8.1206551283988293E-2</v>
      </c>
      <c r="D1037">
        <v>0</v>
      </c>
      <c r="E1037">
        <v>0</v>
      </c>
      <c r="F1037">
        <v>0</v>
      </c>
      <c r="G1037">
        <v>0.77684234095748439</v>
      </c>
      <c r="H1037">
        <v>0.50773043152962472</v>
      </c>
      <c r="I1037">
        <v>0.53146464582407105</v>
      </c>
      <c r="J1037">
        <v>0.89823615746120766</v>
      </c>
      <c r="L1037">
        <v>1.8929007836889031</v>
      </c>
      <c r="M1037">
        <v>4.0704411100295967</v>
      </c>
      <c r="N1037">
        <v>2.2145087084823127</v>
      </c>
      <c r="P1037">
        <v>4.085364954021376E-12</v>
      </c>
      <c r="R1037">
        <v>4.4450528734954036</v>
      </c>
      <c r="S1037">
        <v>4.4471433415054369</v>
      </c>
      <c r="T1037">
        <v>1</v>
      </c>
      <c r="U1037">
        <v>2.555631505567316</v>
      </c>
    </row>
    <row r="1038" spans="1:21">
      <c r="A1038">
        <v>-1.4490884115982539</v>
      </c>
      <c r="B1038">
        <v>0.11065539617545726</v>
      </c>
      <c r="C1038">
        <v>7.6385526662778189E-2</v>
      </c>
      <c r="D1038">
        <v>0.87428784926254743</v>
      </c>
      <c r="E1038">
        <v>0.85838907140260812</v>
      </c>
      <c r="F1038">
        <v>0</v>
      </c>
      <c r="G1038">
        <v>0.45606746441772134</v>
      </c>
      <c r="H1038">
        <v>0.13995677008829133</v>
      </c>
      <c r="I1038">
        <v>0.13325721225410395</v>
      </c>
      <c r="J1038">
        <v>0.3542914443584958</v>
      </c>
      <c r="L1038">
        <v>1.8929012523660336</v>
      </c>
      <c r="M1038">
        <v>4.0704412400865078</v>
      </c>
      <c r="N1038">
        <v>2.2145079631457381</v>
      </c>
      <c r="P1038">
        <v>4.1874080515130574E-12</v>
      </c>
      <c r="R1038">
        <v>4.4450528734954036</v>
      </c>
      <c r="S1038">
        <v>4.4471433415054369</v>
      </c>
      <c r="T1038">
        <v>1</v>
      </c>
      <c r="U1038">
        <v>2.555631505567316</v>
      </c>
    </row>
    <row r="1039" spans="1:21">
      <c r="A1039">
        <v>-1.4366032785219656</v>
      </c>
      <c r="B1039">
        <v>0.11101374305750243</v>
      </c>
      <c r="C1039">
        <v>7.5553074148618171E-2</v>
      </c>
      <c r="D1039">
        <v>0.3291860075834257</v>
      </c>
      <c r="E1039">
        <v>0</v>
      </c>
      <c r="F1039">
        <v>3.1151329487972272E-2</v>
      </c>
      <c r="G1039">
        <v>8.2099000780194165E-2</v>
      </c>
      <c r="H1039">
        <v>0.17275287222727317</v>
      </c>
      <c r="I1039">
        <v>0.97814265033397829</v>
      </c>
      <c r="J1039">
        <v>0.76114177465990618</v>
      </c>
      <c r="L1039">
        <v>1.8929007860085674</v>
      </c>
      <c r="M1039">
        <v>4.0704412855427163</v>
      </c>
      <c r="N1039">
        <v>2.2145083083213764</v>
      </c>
      <c r="P1039">
        <v>3.9392668070302272E-12</v>
      </c>
      <c r="R1039">
        <v>4.4450528734954036</v>
      </c>
      <c r="S1039">
        <v>4.4471433415054369</v>
      </c>
      <c r="T1039">
        <v>1</v>
      </c>
      <c r="U1039">
        <v>2.555631505567316</v>
      </c>
    </row>
    <row r="1040" spans="1:21">
      <c r="A1040">
        <v>-1.4516964880693377</v>
      </c>
      <c r="B1040">
        <v>0.119946362709722</v>
      </c>
      <c r="C1040">
        <v>7.7913441976662737E-2</v>
      </c>
      <c r="D1040">
        <v>0</v>
      </c>
      <c r="E1040">
        <v>0.51695431050183038</v>
      </c>
      <c r="F1040">
        <v>0.6531344723297976</v>
      </c>
      <c r="G1040">
        <v>0.93807953737460037</v>
      </c>
      <c r="H1040">
        <v>0.410536501881334</v>
      </c>
      <c r="I1040">
        <v>0.20332521910109719</v>
      </c>
      <c r="J1040">
        <v>0.64132619576354455</v>
      </c>
      <c r="L1040">
        <v>1.892901195702771</v>
      </c>
      <c r="M1040">
        <v>4.0704411234323752</v>
      </c>
      <c r="N1040">
        <v>2.2145081952390115</v>
      </c>
      <c r="P1040">
        <v>3.9108991761031453E-12</v>
      </c>
      <c r="R1040">
        <v>4.4450528734954036</v>
      </c>
      <c r="S1040">
        <v>4.4471433415054369</v>
      </c>
      <c r="T1040">
        <v>1</v>
      </c>
      <c r="U1040">
        <v>2.555631505567316</v>
      </c>
    </row>
    <row r="1041" spans="1:21">
      <c r="A1041">
        <v>-1.4392397651435547</v>
      </c>
      <c r="B1041">
        <v>0.11515077129717827</v>
      </c>
      <c r="C1041">
        <v>7.0267960479318284E-2</v>
      </c>
      <c r="D1041">
        <v>0.83371992042429854</v>
      </c>
      <c r="E1041">
        <v>0</v>
      </c>
      <c r="F1041">
        <v>0</v>
      </c>
      <c r="G1041">
        <v>7.7330934636817977E-2</v>
      </c>
      <c r="H1041">
        <v>0.35988938299349177</v>
      </c>
      <c r="I1041">
        <v>0.54700023856426927</v>
      </c>
      <c r="J1041">
        <v>0.12687032017645797</v>
      </c>
      <c r="L1041">
        <v>1.8929011771265183</v>
      </c>
      <c r="M1041">
        <v>4.0704411069813986</v>
      </c>
      <c r="N1041">
        <v>2.2145082311177249</v>
      </c>
      <c r="P1041">
        <v>3.8661299129413309E-12</v>
      </c>
      <c r="R1041">
        <v>4.4450528734954036</v>
      </c>
      <c r="S1041">
        <v>4.4471433415054369</v>
      </c>
      <c r="T1041">
        <v>1</v>
      </c>
      <c r="U1041">
        <v>2.555631505567316</v>
      </c>
    </row>
    <row r="1042" spans="1:21">
      <c r="A1042">
        <v>-1.4487816171785219</v>
      </c>
      <c r="B1042">
        <v>0.1142713485835968</v>
      </c>
      <c r="C1042">
        <v>8.0493023968318908E-2</v>
      </c>
      <c r="D1042">
        <v>0.11569036559148824</v>
      </c>
      <c r="E1042">
        <v>0.45123322808805666</v>
      </c>
      <c r="F1042">
        <v>0</v>
      </c>
      <c r="G1042">
        <v>0.85952836915338637</v>
      </c>
      <c r="H1042">
        <v>0.41979496465294014</v>
      </c>
      <c r="I1042">
        <v>0.46825966361718158</v>
      </c>
      <c r="J1042">
        <v>0.73367661187696132</v>
      </c>
      <c r="L1042">
        <v>1.8929012998037973</v>
      </c>
      <c r="M1042">
        <v>4.070441315920573</v>
      </c>
      <c r="N1042">
        <v>2.2145079147424362</v>
      </c>
      <c r="P1042">
        <v>4.5219734728970011E-12</v>
      </c>
      <c r="R1042">
        <v>4.4450528734954036</v>
      </c>
      <c r="S1042">
        <v>4.4471433415054369</v>
      </c>
      <c r="T1042">
        <v>1</v>
      </c>
      <c r="U1042">
        <v>2.555631505567316</v>
      </c>
    </row>
    <row r="1043" spans="1:21">
      <c r="A1043">
        <v>-1.4435970672398175</v>
      </c>
      <c r="B1043">
        <v>0.11566752351552141</v>
      </c>
      <c r="C1043">
        <v>7.8680534712106037E-2</v>
      </c>
      <c r="D1043">
        <v>0.24021122814235282</v>
      </c>
      <c r="E1043">
        <v>0</v>
      </c>
      <c r="F1043">
        <v>0</v>
      </c>
      <c r="G1043">
        <v>0.82161209274767577</v>
      </c>
      <c r="H1043">
        <v>0.83765668261584691</v>
      </c>
      <c r="I1043">
        <v>0.91409416057731885</v>
      </c>
      <c r="J1043">
        <v>0.89709475718356346</v>
      </c>
      <c r="L1043">
        <v>1.8929009030166708</v>
      </c>
      <c r="M1043">
        <v>4.0704410612163704</v>
      </c>
      <c r="N1043">
        <v>2.2145085961481947</v>
      </c>
      <c r="P1043">
        <v>3.8535870017786615E-12</v>
      </c>
      <c r="R1043">
        <v>4.4450528734954036</v>
      </c>
      <c r="S1043">
        <v>4.4471433415054369</v>
      </c>
      <c r="T1043">
        <v>1</v>
      </c>
      <c r="U1043">
        <v>2.555631505567316</v>
      </c>
    </row>
    <row r="1044" spans="1:21">
      <c r="A1044">
        <v>-1.4409633339720269</v>
      </c>
      <c r="B1044">
        <v>0.11886063351088626</v>
      </c>
      <c r="C1044">
        <v>8.6157026054152541E-2</v>
      </c>
      <c r="D1044">
        <v>0</v>
      </c>
      <c r="E1044">
        <v>0</v>
      </c>
      <c r="F1044">
        <v>0</v>
      </c>
      <c r="G1044">
        <v>0.32836853623119261</v>
      </c>
      <c r="H1044">
        <v>0.72468697707038177</v>
      </c>
      <c r="I1044">
        <v>0.7318243830673018</v>
      </c>
      <c r="J1044">
        <v>0.59033523484156991</v>
      </c>
      <c r="L1044">
        <v>1.8929010209163892</v>
      </c>
      <c r="M1044">
        <v>4.0704410798635804</v>
      </c>
      <c r="N1044">
        <v>2.2145085084072131</v>
      </c>
      <c r="P1044">
        <v>3.9261878307533096E-12</v>
      </c>
      <c r="R1044">
        <v>4.4450528734954036</v>
      </c>
      <c r="S1044">
        <v>4.4471433415054369</v>
      </c>
      <c r="T1044">
        <v>1</v>
      </c>
      <c r="U1044">
        <v>2.555631505567316</v>
      </c>
    </row>
    <row r="1045" spans="1:21">
      <c r="A1045">
        <v>-1.4428294617973094</v>
      </c>
      <c r="B1045">
        <v>0.11773659094521997</v>
      </c>
      <c r="C1045">
        <v>8.0416614033279321E-2</v>
      </c>
      <c r="D1045">
        <v>0.60556024988773183</v>
      </c>
      <c r="E1045">
        <v>0.58147872812280854</v>
      </c>
      <c r="F1045">
        <v>0.24213165978637957</v>
      </c>
      <c r="G1045">
        <v>0.16840302252875564</v>
      </c>
      <c r="H1045">
        <v>0.5708330846823666</v>
      </c>
      <c r="I1045">
        <v>0.6674811476614344</v>
      </c>
      <c r="J1045">
        <v>0.332791498928797</v>
      </c>
      <c r="L1045">
        <v>1.8929009723459254</v>
      </c>
      <c r="M1045">
        <v>4.0704410429478273</v>
      </c>
      <c r="N1045">
        <v>2.2145085134354514</v>
      </c>
      <c r="P1045">
        <v>3.7436978833749754E-12</v>
      </c>
      <c r="R1045">
        <v>4.4450528734954036</v>
      </c>
      <c r="S1045">
        <v>4.4471433415054369</v>
      </c>
      <c r="T1045">
        <v>1</v>
      </c>
      <c r="U1045">
        <v>2.555631505567316</v>
      </c>
    </row>
    <row r="1046" spans="1:21">
      <c r="A1046">
        <v>-1.4446252921778548</v>
      </c>
      <c r="B1046">
        <v>0.11799532196343576</v>
      </c>
      <c r="C1046">
        <v>7.7729930641529457E-2</v>
      </c>
      <c r="D1046">
        <v>0</v>
      </c>
      <c r="E1046">
        <v>0.2620681545569471</v>
      </c>
      <c r="F1046">
        <v>0.21951560288247862</v>
      </c>
      <c r="G1046">
        <v>0.62411114553889113</v>
      </c>
      <c r="H1046">
        <v>0.43805279723873514</v>
      </c>
      <c r="I1046">
        <v>0.71661404099970638</v>
      </c>
      <c r="J1046">
        <v>0.58908521314976559</v>
      </c>
      <c r="L1046">
        <v>1.8929011811363434</v>
      </c>
      <c r="M1046">
        <v>4.0704412003541099</v>
      </c>
      <c r="N1046">
        <v>2.2145080288303189</v>
      </c>
      <c r="P1046">
        <v>3.9591724416993683E-12</v>
      </c>
      <c r="R1046">
        <v>4.4450528734954036</v>
      </c>
      <c r="S1046">
        <v>4.4471433415054369</v>
      </c>
      <c r="T1046">
        <v>1</v>
      </c>
      <c r="U1046">
        <v>2.555631505567316</v>
      </c>
    </row>
    <row r="1047" spans="1:21">
      <c r="A1047">
        <v>-1.4395673673671368</v>
      </c>
      <c r="B1047">
        <v>0.12210841451279686</v>
      </c>
      <c r="C1047">
        <v>7.3977651482894036E-2</v>
      </c>
      <c r="D1047">
        <v>0</v>
      </c>
      <c r="E1047">
        <v>0</v>
      </c>
      <c r="F1047">
        <v>0.53910446824937286</v>
      </c>
      <c r="G1047">
        <v>0.32258757848412212</v>
      </c>
      <c r="H1047">
        <v>0.51004808809563917</v>
      </c>
      <c r="I1047">
        <v>0.96015653363721487</v>
      </c>
      <c r="J1047">
        <v>0.44542210578208008</v>
      </c>
      <c r="L1047">
        <v>1.8929010733923195</v>
      </c>
      <c r="M1047">
        <v>4.0704410808850238</v>
      </c>
      <c r="N1047">
        <v>2.2145084309461334</v>
      </c>
      <c r="P1047">
        <v>3.8842254169502338E-12</v>
      </c>
      <c r="R1047">
        <v>4.4450528734954036</v>
      </c>
      <c r="S1047">
        <v>4.4471433415054369</v>
      </c>
      <c r="T1047">
        <v>1</v>
      </c>
      <c r="U1047">
        <v>2.555631505567316</v>
      </c>
    </row>
    <row r="1048" spans="1:21">
      <c r="A1048">
        <v>-1.4470571855495451</v>
      </c>
      <c r="B1048">
        <v>0.12195974155139738</v>
      </c>
      <c r="C1048">
        <v>9.891417200774702E-2</v>
      </c>
      <c r="D1048">
        <v>0</v>
      </c>
      <c r="E1048">
        <v>0.33997722597710545</v>
      </c>
      <c r="F1048">
        <v>0</v>
      </c>
      <c r="G1048">
        <v>0.34123347444483898</v>
      </c>
      <c r="H1048">
        <v>0.96253295476216327</v>
      </c>
      <c r="I1048">
        <v>9.8556194250147264E-2</v>
      </c>
      <c r="J1048">
        <v>0.42981739166472749</v>
      </c>
      <c r="L1048">
        <v>1.8929007314545283</v>
      </c>
      <c r="M1048">
        <v>4.070441335710056</v>
      </c>
      <c r="N1048">
        <v>2.2145083776151946</v>
      </c>
      <c r="P1048">
        <v>4.1585361815521517E-12</v>
      </c>
      <c r="R1048">
        <v>4.4450528734954036</v>
      </c>
      <c r="S1048">
        <v>4.4471433415054369</v>
      </c>
      <c r="T1048">
        <v>1</v>
      </c>
      <c r="U1048">
        <v>2.555631505567316</v>
      </c>
    </row>
    <row r="1049" spans="1:21">
      <c r="A1049">
        <v>-1.4425976422887159</v>
      </c>
      <c r="B1049">
        <v>0.12220054504751476</v>
      </c>
      <c r="C1049">
        <v>9.9841136524108157E-2</v>
      </c>
      <c r="D1049">
        <v>0</v>
      </c>
      <c r="E1049">
        <v>0.12776250237558354</v>
      </c>
      <c r="F1049">
        <v>0</v>
      </c>
      <c r="G1049">
        <v>0</v>
      </c>
      <c r="H1049">
        <v>0.92830625137968259</v>
      </c>
      <c r="I1049">
        <v>0.19155526856030891</v>
      </c>
      <c r="J1049">
        <v>0.37411534423264831</v>
      </c>
      <c r="L1049">
        <v>1.8929005455517776</v>
      </c>
      <c r="M1049">
        <v>4.0704410748122166</v>
      </c>
      <c r="N1049">
        <v>2.2145087777112957</v>
      </c>
      <c r="P1049">
        <v>3.9055629847794053E-12</v>
      </c>
      <c r="R1049">
        <v>4.4450528734954036</v>
      </c>
      <c r="S1049">
        <v>4.4471433415054369</v>
      </c>
      <c r="T1049">
        <v>1</v>
      </c>
      <c r="U1049">
        <v>2.555631505567316</v>
      </c>
    </row>
    <row r="1050" spans="1:21">
      <c r="A1050">
        <v>-1.4418140061814717</v>
      </c>
      <c r="B1050">
        <v>0.11810907757742081</v>
      </c>
      <c r="C1050">
        <v>8.1619065387106504E-2</v>
      </c>
      <c r="D1050">
        <v>0</v>
      </c>
      <c r="E1050">
        <v>0</v>
      </c>
      <c r="F1050">
        <v>7.2208519139779215E-2</v>
      </c>
      <c r="G1050">
        <v>0.17335641055092696</v>
      </c>
      <c r="H1050">
        <v>0.26694460483452553</v>
      </c>
      <c r="I1050">
        <v>0.32801212864950491</v>
      </c>
      <c r="J1050">
        <v>0.30699809740595152</v>
      </c>
      <c r="L1050">
        <v>1.8929006333607192</v>
      </c>
      <c r="M1050">
        <v>4.0704411568997241</v>
      </c>
      <c r="N1050">
        <v>2.2145087072619853</v>
      </c>
      <c r="P1050">
        <v>4.0745051627194406E-12</v>
      </c>
      <c r="R1050">
        <v>4.4450528734954036</v>
      </c>
      <c r="S1050">
        <v>4.4471433415054369</v>
      </c>
      <c r="T1050">
        <v>1</v>
      </c>
      <c r="U1050">
        <v>2.555631505567316</v>
      </c>
    </row>
    <row r="1051" spans="1:21">
      <c r="A1051">
        <v>-1.4385155945193735</v>
      </c>
      <c r="B1051">
        <v>0.11568224282243671</v>
      </c>
      <c r="C1051">
        <v>7.8793328096418244E-2</v>
      </c>
      <c r="D1051">
        <v>0</v>
      </c>
      <c r="E1051">
        <v>0</v>
      </c>
      <c r="F1051">
        <v>0</v>
      </c>
      <c r="G1051">
        <v>3.546160166420502E-2</v>
      </c>
      <c r="H1051">
        <v>0.10503184710039841</v>
      </c>
      <c r="I1051">
        <v>0.65614125437733339</v>
      </c>
      <c r="J1051">
        <v>0.38273209104618311</v>
      </c>
      <c r="L1051">
        <v>1.8929011913538463</v>
      </c>
      <c r="M1051">
        <v>4.070441117468393</v>
      </c>
      <c r="N1051">
        <v>2.2145081781067284</v>
      </c>
      <c r="P1051">
        <v>3.8628609360382056E-12</v>
      </c>
      <c r="R1051">
        <v>4.4450528734954036</v>
      </c>
      <c r="S1051">
        <v>4.4471433415054369</v>
      </c>
      <c r="T1051">
        <v>1</v>
      </c>
      <c r="U1051">
        <v>2.555631505567316</v>
      </c>
    </row>
    <row r="1052" spans="1:21">
      <c r="A1052">
        <v>-1.4420878553651935</v>
      </c>
      <c r="B1052">
        <v>0.11772161807590328</v>
      </c>
      <c r="C1052">
        <v>8.6658434807414489E-2</v>
      </c>
      <c r="D1052">
        <v>0.13213906756779781</v>
      </c>
      <c r="E1052">
        <v>0</v>
      </c>
      <c r="F1052">
        <v>0.29942115297881766</v>
      </c>
      <c r="G1052">
        <v>0.10022794563177617</v>
      </c>
      <c r="H1052">
        <v>0.4358275842728585</v>
      </c>
      <c r="I1052">
        <v>0.18993617472734034</v>
      </c>
      <c r="J1052">
        <v>0.55756850852452089</v>
      </c>
      <c r="L1052">
        <v>1.8929010538588922</v>
      </c>
      <c r="M1052">
        <v>4.0704410857281541</v>
      </c>
      <c r="N1052">
        <v>2.2145084721995505</v>
      </c>
      <c r="P1052">
        <v>3.9356539630798774E-12</v>
      </c>
      <c r="R1052">
        <v>4.4450528734954036</v>
      </c>
      <c r="S1052">
        <v>4.4471433415054369</v>
      </c>
      <c r="T1052">
        <v>1</v>
      </c>
      <c r="U1052">
        <v>2.555631505567316</v>
      </c>
    </row>
    <row r="1053" spans="1:21">
      <c r="A1053">
        <v>-1.442770744240631</v>
      </c>
      <c r="B1053">
        <v>0.12438273343259398</v>
      </c>
      <c r="C1053">
        <v>7.634670705652892E-2</v>
      </c>
      <c r="D1053">
        <v>0</v>
      </c>
      <c r="E1053">
        <v>0</v>
      </c>
      <c r="F1053">
        <v>0.34601810877568578</v>
      </c>
      <c r="G1053">
        <v>0.43868091781570956</v>
      </c>
      <c r="H1053">
        <v>0.62754780352949446</v>
      </c>
      <c r="I1053">
        <v>0.61276770006371439</v>
      </c>
      <c r="J1053">
        <v>0.16293771316829986</v>
      </c>
      <c r="L1053">
        <v>1.8929010028719586</v>
      </c>
      <c r="M1053">
        <v>4.0704410701529588</v>
      </c>
      <c r="N1053">
        <v>2.2145085196941996</v>
      </c>
      <c r="P1053">
        <v>3.887159597209225E-12</v>
      </c>
      <c r="R1053">
        <v>4.4450528734954036</v>
      </c>
      <c r="S1053">
        <v>4.4471433415054369</v>
      </c>
      <c r="T1053">
        <v>1</v>
      </c>
      <c r="U1053">
        <v>2.555631505567316</v>
      </c>
    </row>
    <row r="1054" spans="1:21">
      <c r="A1054">
        <v>-1.4410510152434863</v>
      </c>
      <c r="B1054">
        <v>0.11125615493654985</v>
      </c>
      <c r="C1054">
        <v>9.5195207946490681E-2</v>
      </c>
      <c r="D1054">
        <v>0</v>
      </c>
      <c r="E1054">
        <v>0</v>
      </c>
      <c r="F1054">
        <v>0</v>
      </c>
      <c r="G1054">
        <v>0</v>
      </c>
      <c r="H1054">
        <v>0.29401953623646088</v>
      </c>
      <c r="I1054">
        <v>0.17073036368127839</v>
      </c>
      <c r="J1054">
        <v>0.99103827907045139</v>
      </c>
      <c r="L1054">
        <v>1.8929006896140723</v>
      </c>
      <c r="M1054">
        <v>4.0704413414746439</v>
      </c>
      <c r="N1054">
        <v>2.2145084658717642</v>
      </c>
      <c r="P1054">
        <v>4.2814625050681296E-12</v>
      </c>
      <c r="R1054">
        <v>4.4450528734954036</v>
      </c>
      <c r="S1054">
        <v>4.4471433415054369</v>
      </c>
      <c r="T1054">
        <v>1</v>
      </c>
      <c r="U1054">
        <v>2.555631505567316</v>
      </c>
    </row>
    <row r="1055" spans="1:21">
      <c r="A1055">
        <v>-1.4381865868620365</v>
      </c>
      <c r="B1055">
        <v>0.11677397566235115</v>
      </c>
      <c r="C1055">
        <v>6.1496765172198375E-2</v>
      </c>
      <c r="D1055">
        <v>0.72600793332071756</v>
      </c>
      <c r="E1055">
        <v>4.8377881904097468E-2</v>
      </c>
      <c r="F1055">
        <v>0.64119051546211936</v>
      </c>
      <c r="G1055">
        <v>0.15921360147254743</v>
      </c>
      <c r="H1055">
        <v>0.19308065303754654</v>
      </c>
      <c r="I1055">
        <v>0.87944614279966404</v>
      </c>
      <c r="J1055">
        <v>0.33841125498890928</v>
      </c>
      <c r="L1055">
        <v>1.8929012587076228</v>
      </c>
      <c r="M1055">
        <v>4.0704412704428705</v>
      </c>
      <c r="N1055">
        <v>2.214507871187128</v>
      </c>
      <c r="P1055">
        <v>4.2458436355098964E-12</v>
      </c>
      <c r="R1055">
        <v>4.4450528734954036</v>
      </c>
      <c r="S1055">
        <v>4.4471433415054369</v>
      </c>
      <c r="T1055">
        <v>1</v>
      </c>
      <c r="U1055">
        <v>2.555631505567316</v>
      </c>
    </row>
    <row r="1056" spans="1:21">
      <c r="A1056">
        <v>-1.4427346411082347</v>
      </c>
      <c r="B1056">
        <v>0.11550637431177976</v>
      </c>
      <c r="C1056">
        <v>9.6318495044437263E-2</v>
      </c>
      <c r="D1056">
        <v>0</v>
      </c>
      <c r="E1056">
        <v>0.37329158901080989</v>
      </c>
      <c r="F1056">
        <v>0</v>
      </c>
      <c r="G1056">
        <v>0</v>
      </c>
      <c r="H1056">
        <v>0.43677591137701283</v>
      </c>
      <c r="I1056">
        <v>0.28439947172161895</v>
      </c>
      <c r="J1056">
        <v>0.65540702076391366</v>
      </c>
      <c r="L1056">
        <v>1.8929011579726551</v>
      </c>
      <c r="M1056">
        <v>4.0704410929508317</v>
      </c>
      <c r="N1056">
        <v>2.2145082740613029</v>
      </c>
      <c r="P1056">
        <v>3.841147865663442E-12</v>
      </c>
      <c r="R1056">
        <v>4.4450528734954036</v>
      </c>
      <c r="S1056">
        <v>4.4471433415054369</v>
      </c>
      <c r="T1056">
        <v>1</v>
      </c>
      <c r="U1056">
        <v>2.555631505567316</v>
      </c>
    </row>
    <row r="1057" spans="1:21">
      <c r="A1057">
        <v>-1.4491154140246323</v>
      </c>
      <c r="B1057">
        <v>0.11438163414777627</v>
      </c>
      <c r="C1057">
        <v>8.0633597885561098E-2</v>
      </c>
      <c r="D1057">
        <v>0</v>
      </c>
      <c r="E1057">
        <v>0.52664488125376818</v>
      </c>
      <c r="F1057">
        <v>0.23501239691898618</v>
      </c>
      <c r="G1057">
        <v>0.78664196442188816</v>
      </c>
      <c r="H1057">
        <v>0.23614623478865479</v>
      </c>
      <c r="I1057">
        <v>0.37537342152505354</v>
      </c>
      <c r="J1057">
        <v>0.79166133612950784</v>
      </c>
      <c r="L1057">
        <v>1.8929010425412218</v>
      </c>
      <c r="M1057">
        <v>4.0704410712927706</v>
      </c>
      <c r="N1057">
        <v>2.2145084665947854</v>
      </c>
      <c r="P1057">
        <v>3.8616882897042708E-12</v>
      </c>
      <c r="R1057">
        <v>4.4450528734954036</v>
      </c>
      <c r="S1057">
        <v>4.4471433415054369</v>
      </c>
      <c r="T1057">
        <v>1</v>
      </c>
      <c r="U1057">
        <v>2.555631505567316</v>
      </c>
    </row>
    <row r="1058" spans="1:21">
      <c r="A1058">
        <v>-1.4414803597338606</v>
      </c>
      <c r="B1058">
        <v>0.12316662856781814</v>
      </c>
      <c r="C1058">
        <v>7.5674296904056138E-2</v>
      </c>
      <c r="D1058">
        <v>0</v>
      </c>
      <c r="E1058">
        <v>2.5080849643499676E-2</v>
      </c>
      <c r="F1058">
        <v>0.40466947669985687</v>
      </c>
      <c r="G1058">
        <v>0.29846762186442466</v>
      </c>
      <c r="H1058">
        <v>0.46617355970897578</v>
      </c>
      <c r="I1058">
        <v>0.63672435841047947</v>
      </c>
      <c r="J1058">
        <v>0.18891098985231411</v>
      </c>
      <c r="L1058">
        <v>1.8929006480305943</v>
      </c>
      <c r="M1058">
        <v>4.0704411912186735</v>
      </c>
      <c r="N1058">
        <v>2.2145087324557626</v>
      </c>
      <c r="P1058">
        <v>4.2572041513768317E-12</v>
      </c>
      <c r="R1058">
        <v>4.4450528734954036</v>
      </c>
      <c r="S1058">
        <v>4.4471433415054369</v>
      </c>
      <c r="T1058">
        <v>1</v>
      </c>
      <c r="U1058">
        <v>2.555631505567316</v>
      </c>
    </row>
    <row r="1059" spans="1:21">
      <c r="A1059">
        <v>-1.4430199292937447</v>
      </c>
      <c r="B1059">
        <v>0.11838610687390909</v>
      </c>
      <c r="C1059">
        <v>7.7692211506494482E-2</v>
      </c>
      <c r="D1059">
        <v>0.24539872771067908</v>
      </c>
      <c r="E1059">
        <v>0.43337750836492778</v>
      </c>
      <c r="F1059">
        <v>0.24053169214200606</v>
      </c>
      <c r="G1059">
        <v>0.42651769949782964</v>
      </c>
      <c r="H1059">
        <v>0.52079582528300694</v>
      </c>
      <c r="I1059">
        <v>0.87143778386095705</v>
      </c>
      <c r="J1059">
        <v>0.47073004094842513</v>
      </c>
      <c r="L1059">
        <v>1.8929009531631249</v>
      </c>
      <c r="M1059">
        <v>4.0704410850495547</v>
      </c>
      <c r="N1059">
        <v>2.2145085946288821</v>
      </c>
      <c r="P1059">
        <v>3.9985735175431885E-12</v>
      </c>
      <c r="R1059">
        <v>4.4450528734954036</v>
      </c>
      <c r="S1059">
        <v>4.4471433415054369</v>
      </c>
      <c r="T1059">
        <v>1</v>
      </c>
      <c r="U1059">
        <v>2.555631505567316</v>
      </c>
    </row>
    <row r="1060" spans="1:21">
      <c r="A1060">
        <v>-1.4492818403899672</v>
      </c>
      <c r="B1060">
        <v>0.11624196954105591</v>
      </c>
      <c r="C1060">
        <v>8.7712014919726397E-2</v>
      </c>
      <c r="D1060">
        <v>0</v>
      </c>
      <c r="E1060">
        <v>0.60393506985539902</v>
      </c>
      <c r="F1060">
        <v>8.5660164146281109E-2</v>
      </c>
      <c r="G1060">
        <v>0.61382028246210796</v>
      </c>
      <c r="H1060">
        <v>0.39315995647305996</v>
      </c>
      <c r="I1060">
        <v>0.22207819640385679</v>
      </c>
      <c r="J1060">
        <v>0.61119137718869221</v>
      </c>
      <c r="L1060">
        <v>1.8929011348979821</v>
      </c>
      <c r="M1060">
        <v>4.0704411065886799</v>
      </c>
      <c r="N1060">
        <v>2.2145083452894325</v>
      </c>
      <c r="P1060">
        <v>3.941452163193086E-12</v>
      </c>
      <c r="R1060">
        <v>4.4450528734954036</v>
      </c>
      <c r="S1060">
        <v>4.4471433415054369</v>
      </c>
      <c r="T1060">
        <v>1</v>
      </c>
      <c r="U1060">
        <v>2.555631505567316</v>
      </c>
    </row>
    <row r="1061" spans="1:21">
      <c r="A1061">
        <v>-1.41498726620311</v>
      </c>
      <c r="B1061">
        <v>0.12399652903636159</v>
      </c>
      <c r="C1061">
        <v>2.7996396740060315E-2</v>
      </c>
      <c r="D1061">
        <v>0.32422903193342778</v>
      </c>
      <c r="E1061">
        <v>5.0022777848399008E-2</v>
      </c>
      <c r="F1061">
        <v>0</v>
      </c>
      <c r="G1061">
        <v>0.31649482706450432</v>
      </c>
      <c r="H1061">
        <v>0.79817647662337088</v>
      </c>
      <c r="I1061">
        <v>9.2154210042756785E-2</v>
      </c>
      <c r="J1061">
        <v>7.5815175233136342E-2</v>
      </c>
      <c r="L1061">
        <v>1.8929017577144733</v>
      </c>
      <c r="M1061">
        <v>3.6318639002043365</v>
      </c>
      <c r="N1061">
        <v>2.2145082673158289</v>
      </c>
      <c r="P1061">
        <v>4.1858766739123658E-12</v>
      </c>
      <c r="R1061">
        <v>4.583417296083252</v>
      </c>
      <c r="S1061">
        <v>4.5861496106463111</v>
      </c>
      <c r="T1061">
        <v>1</v>
      </c>
      <c r="U1061">
        <v>2.2359434874725603</v>
      </c>
    </row>
    <row r="1062" spans="1:21">
      <c r="A1062">
        <v>-1.4140140860924288</v>
      </c>
      <c r="B1062">
        <v>0.11362218665663132</v>
      </c>
      <c r="C1062">
        <v>2.1489177456725694E-2</v>
      </c>
      <c r="D1062">
        <v>0</v>
      </c>
      <c r="E1062">
        <v>0.3517996656557168</v>
      </c>
      <c r="F1062">
        <v>7.631864610786411E-2</v>
      </c>
      <c r="G1062">
        <v>0.46417880315020088</v>
      </c>
      <c r="H1062">
        <v>1.3217310867144325E-2</v>
      </c>
      <c r="I1062">
        <v>0.99297037460799098</v>
      </c>
      <c r="J1062">
        <v>0.77140264636872202</v>
      </c>
      <c r="L1062">
        <v>1.892901546564205</v>
      </c>
      <c r="M1062">
        <v>3.6318638835004413</v>
      </c>
      <c r="N1062">
        <v>2.2145083573037767</v>
      </c>
      <c r="P1062">
        <v>3.6578422657502808E-12</v>
      </c>
      <c r="R1062">
        <v>4.583417296083252</v>
      </c>
      <c r="S1062">
        <v>4.5861496106463111</v>
      </c>
      <c r="T1062">
        <v>1</v>
      </c>
      <c r="U1062">
        <v>2.2359434874725603</v>
      </c>
    </row>
    <row r="1063" spans="1:21">
      <c r="A1063">
        <v>-1.4187428796605694</v>
      </c>
      <c r="B1063">
        <v>0.12201432373388812</v>
      </c>
      <c r="C1063">
        <v>3.1268349686423433E-2</v>
      </c>
      <c r="D1063">
        <v>0.3244534399417498</v>
      </c>
      <c r="E1063">
        <v>0.5675502168349954</v>
      </c>
      <c r="F1063">
        <v>0.52433340499024317</v>
      </c>
      <c r="G1063">
        <v>0.28735721298495298</v>
      </c>
      <c r="H1063">
        <v>0.52233636823019247</v>
      </c>
      <c r="I1063">
        <v>8.1121053104427576E-2</v>
      </c>
      <c r="J1063">
        <v>0.38251543500467805</v>
      </c>
      <c r="L1063">
        <v>1.8929020082474497</v>
      </c>
      <c r="M1063">
        <v>3.6318639960271017</v>
      </c>
      <c r="N1063">
        <v>2.2145080103158028</v>
      </c>
      <c r="P1063">
        <v>4.9807317863267814E-12</v>
      </c>
      <c r="R1063">
        <v>4.583417296083252</v>
      </c>
      <c r="S1063">
        <v>4.5861496106463111</v>
      </c>
      <c r="T1063">
        <v>1</v>
      </c>
      <c r="U1063">
        <v>2.2359434874725603</v>
      </c>
    </row>
    <row r="1064" spans="1:21">
      <c r="A1064">
        <v>-1.4135272288067864</v>
      </c>
      <c r="B1064">
        <v>0.1171240544841467</v>
      </c>
      <c r="C1064">
        <v>3.3711424033740306E-2</v>
      </c>
      <c r="D1064">
        <v>0.10618266149190621</v>
      </c>
      <c r="E1064">
        <v>0</v>
      </c>
      <c r="F1064">
        <v>0</v>
      </c>
      <c r="G1064">
        <v>1.028568845851535E-2</v>
      </c>
      <c r="H1064">
        <v>0.25059748588078429</v>
      </c>
      <c r="I1064">
        <v>0.20225713578260784</v>
      </c>
      <c r="J1064">
        <v>0.44967092499343436</v>
      </c>
      <c r="L1064">
        <v>1.8929018435109384</v>
      </c>
      <c r="M1064">
        <v>3.6318639321120125</v>
      </c>
      <c r="N1064">
        <v>2.2145082017609217</v>
      </c>
      <c r="P1064">
        <v>4.4517488853165647E-12</v>
      </c>
      <c r="R1064">
        <v>4.583417296083252</v>
      </c>
      <c r="S1064">
        <v>4.5861496106463111</v>
      </c>
      <c r="T1064">
        <v>1</v>
      </c>
      <c r="U1064">
        <v>2.2359434874725603</v>
      </c>
    </row>
    <row r="1065" spans="1:21">
      <c r="A1065">
        <v>-1.4095674338859401</v>
      </c>
      <c r="B1065">
        <v>0.12105885025514157</v>
      </c>
      <c r="C1065">
        <v>2.1673736354447935E-2</v>
      </c>
      <c r="D1065">
        <v>0.42540421960141311</v>
      </c>
      <c r="E1065">
        <v>0</v>
      </c>
      <c r="F1065">
        <v>0</v>
      </c>
      <c r="G1065">
        <v>0.11245683359331345</v>
      </c>
      <c r="H1065">
        <v>0.62200549792492321</v>
      </c>
      <c r="I1065">
        <v>0.55682216700845166</v>
      </c>
      <c r="J1065">
        <v>0.18672170124915374</v>
      </c>
      <c r="L1065">
        <v>1.8929020186153964</v>
      </c>
      <c r="M1065">
        <v>3.6318640285029282</v>
      </c>
      <c r="N1065">
        <v>2.2145079081928154</v>
      </c>
      <c r="P1065">
        <v>5.0238467686689074E-12</v>
      </c>
      <c r="R1065">
        <v>4.583417296083252</v>
      </c>
      <c r="S1065">
        <v>4.5861496106463111</v>
      </c>
      <c r="T1065">
        <v>1</v>
      </c>
      <c r="U1065">
        <v>2.2359434874725603</v>
      </c>
    </row>
    <row r="1066" spans="1:21">
      <c r="A1066">
        <v>-1.4176825669728779</v>
      </c>
      <c r="B1066">
        <v>0.11931866713623643</v>
      </c>
      <c r="C1066">
        <v>1.3285055922832712E-2</v>
      </c>
      <c r="D1066">
        <v>0</v>
      </c>
      <c r="E1066">
        <v>0</v>
      </c>
      <c r="F1066">
        <v>0</v>
      </c>
      <c r="G1066">
        <v>0.78860903104384716</v>
      </c>
      <c r="H1066">
        <v>0.10623948282365117</v>
      </c>
      <c r="I1066">
        <v>0.47966631724018194</v>
      </c>
      <c r="J1066">
        <v>0.20384630054215774</v>
      </c>
      <c r="L1066">
        <v>1.8929019803723117</v>
      </c>
      <c r="M1066">
        <v>3.6318639468677918</v>
      </c>
      <c r="N1066">
        <v>2.2145079817454705</v>
      </c>
      <c r="P1066">
        <v>4.7397215486230145E-12</v>
      </c>
      <c r="R1066">
        <v>4.583417296083252</v>
      </c>
      <c r="S1066">
        <v>4.5861496106463111</v>
      </c>
      <c r="T1066">
        <v>1</v>
      </c>
      <c r="U1066">
        <v>2.2359434874725603</v>
      </c>
    </row>
    <row r="1067" spans="1:21">
      <c r="A1067">
        <v>-1.4163202131358785</v>
      </c>
      <c r="B1067">
        <v>0.11910318707157562</v>
      </c>
      <c r="C1067">
        <v>1.8687248158051371E-2</v>
      </c>
      <c r="D1067">
        <v>0.48914372946829893</v>
      </c>
      <c r="E1067">
        <v>0.34187932606633892</v>
      </c>
      <c r="F1067">
        <v>0.12437462692789386</v>
      </c>
      <c r="G1067">
        <v>0.88849058479624787</v>
      </c>
      <c r="H1067">
        <v>0.8814534677181336</v>
      </c>
      <c r="I1067">
        <v>0.93148043885796927</v>
      </c>
      <c r="J1067">
        <v>0.6851764553912022</v>
      </c>
      <c r="L1067">
        <v>1.8929019300197476</v>
      </c>
      <c r="M1067">
        <v>3.6318639660742993</v>
      </c>
      <c r="N1067">
        <v>2.2145081549369188</v>
      </c>
      <c r="P1067">
        <v>4.771023953570672E-12</v>
      </c>
      <c r="R1067">
        <v>4.583417296083252</v>
      </c>
      <c r="S1067">
        <v>4.5861496106463111</v>
      </c>
      <c r="T1067">
        <v>1</v>
      </c>
      <c r="U1067">
        <v>2.2359434874725603</v>
      </c>
    </row>
    <row r="1068" spans="1:21">
      <c r="A1068">
        <v>-1.4131860009337491</v>
      </c>
      <c r="B1068">
        <v>0.12174322326130038</v>
      </c>
      <c r="C1068">
        <v>3.771036140555168E-2</v>
      </c>
      <c r="D1068">
        <v>0</v>
      </c>
      <c r="E1068">
        <v>0</v>
      </c>
      <c r="F1068">
        <v>0</v>
      </c>
      <c r="G1068">
        <v>3.3241611178612102E-2</v>
      </c>
      <c r="H1068">
        <v>0.61679221022885089</v>
      </c>
      <c r="I1068">
        <v>5.0051106381225223E-2</v>
      </c>
      <c r="J1068">
        <v>0.34983841404724425</v>
      </c>
      <c r="L1068">
        <v>1.8929018024480706</v>
      </c>
      <c r="M1068">
        <v>3.631863918708949</v>
      </c>
      <c r="N1068">
        <v>2.21450822472063</v>
      </c>
      <c r="P1068">
        <v>4.3148813815809555E-12</v>
      </c>
      <c r="R1068">
        <v>4.583417296083252</v>
      </c>
      <c r="S1068">
        <v>4.5861496106463111</v>
      </c>
      <c r="T1068">
        <v>1</v>
      </c>
      <c r="U1068">
        <v>2.2359434874725603</v>
      </c>
    </row>
    <row r="1069" spans="1:21">
      <c r="A1069">
        <v>-1.4121090832606389</v>
      </c>
      <c r="B1069">
        <v>0.12866170986041384</v>
      </c>
      <c r="C1069">
        <v>4.8007247087354325E-3</v>
      </c>
      <c r="D1069">
        <v>0</v>
      </c>
      <c r="E1069">
        <v>6.0016821756925923E-2</v>
      </c>
      <c r="F1069">
        <v>0.6371367344940797</v>
      </c>
      <c r="G1069">
        <v>0.97788930783197814</v>
      </c>
      <c r="H1069">
        <v>0.87527652557467894</v>
      </c>
      <c r="I1069">
        <v>0.87944999543143454</v>
      </c>
      <c r="J1069">
        <v>0.37461107151450684</v>
      </c>
      <c r="L1069">
        <v>1.8929019937963443</v>
      </c>
      <c r="M1069">
        <v>3.6318639590784323</v>
      </c>
      <c r="N1069">
        <v>2.2145079195558934</v>
      </c>
      <c r="P1069">
        <v>4.7722938255201143E-12</v>
      </c>
      <c r="R1069">
        <v>4.583417296083252</v>
      </c>
      <c r="S1069">
        <v>4.5861496106463111</v>
      </c>
      <c r="T1069">
        <v>1</v>
      </c>
      <c r="U1069">
        <v>2.2359434874725603</v>
      </c>
    </row>
    <row r="1070" spans="1:21">
      <c r="A1070">
        <v>-1.4220745053945973</v>
      </c>
      <c r="B1070">
        <v>0.11402427388027049</v>
      </c>
      <c r="C1070">
        <v>3.5595594947290761E-2</v>
      </c>
      <c r="D1070">
        <v>0</v>
      </c>
      <c r="E1070">
        <v>0.44550548188669387</v>
      </c>
      <c r="F1070">
        <v>0</v>
      </c>
      <c r="G1070">
        <v>0.53390744254456302</v>
      </c>
      <c r="H1070">
        <v>9.1536578576934341E-2</v>
      </c>
      <c r="I1070">
        <v>0.25030976555531159</v>
      </c>
      <c r="J1070">
        <v>0.69706393088502006</v>
      </c>
      <c r="L1070">
        <v>1.8929019359116526</v>
      </c>
      <c r="M1070">
        <v>3.6318639616079755</v>
      </c>
      <c r="N1070">
        <v>2.21450813240449</v>
      </c>
      <c r="P1070">
        <v>4.7562690188812405E-12</v>
      </c>
      <c r="R1070">
        <v>4.583417296083252</v>
      </c>
      <c r="S1070">
        <v>4.5861496106463111</v>
      </c>
      <c r="T1070">
        <v>1</v>
      </c>
      <c r="U1070">
        <v>2.2359434874725603</v>
      </c>
    </row>
    <row r="1071" spans="1:21">
      <c r="A1071">
        <v>-1.412604566659055</v>
      </c>
      <c r="B1071">
        <v>0.11465282510011457</v>
      </c>
      <c r="C1071">
        <v>3.2865316568686131E-2</v>
      </c>
      <c r="D1071">
        <v>0.17288361759720156</v>
      </c>
      <c r="E1071">
        <v>0</v>
      </c>
      <c r="F1071">
        <v>8.4918876390617543E-2</v>
      </c>
      <c r="G1071">
        <v>8.3612955242475598E-2</v>
      </c>
      <c r="H1071">
        <v>0.29139589526714604</v>
      </c>
      <c r="I1071">
        <v>0.47959354106926111</v>
      </c>
      <c r="J1071">
        <v>0.77353638276822512</v>
      </c>
      <c r="L1071">
        <v>1.8929017756251652</v>
      </c>
      <c r="M1071">
        <v>3.6318638974158715</v>
      </c>
      <c r="N1071">
        <v>2.2145082290732439</v>
      </c>
      <c r="P1071">
        <v>4.1862640552821758E-12</v>
      </c>
      <c r="R1071">
        <v>4.583417296083252</v>
      </c>
      <c r="S1071">
        <v>4.5861496106463111</v>
      </c>
      <c r="T1071">
        <v>1</v>
      </c>
      <c r="U1071">
        <v>2.2359434874725603</v>
      </c>
    </row>
    <row r="1072" spans="1:21">
      <c r="A1072">
        <v>-1.4167614224840377</v>
      </c>
      <c r="B1072">
        <v>0.12451257425879859</v>
      </c>
      <c r="C1072">
        <v>1.8740655089593307E-2</v>
      </c>
      <c r="D1072">
        <v>0</v>
      </c>
      <c r="E1072">
        <v>0</v>
      </c>
      <c r="F1072">
        <v>4.981739782284484E-2</v>
      </c>
      <c r="G1072">
        <v>0.85509187548122978</v>
      </c>
      <c r="H1072">
        <v>0.7295444496148068</v>
      </c>
      <c r="I1072">
        <v>0.40231727863130062</v>
      </c>
      <c r="J1072">
        <v>0.23900149372932988</v>
      </c>
      <c r="L1072">
        <v>1.8929006808183222</v>
      </c>
      <c r="M1072">
        <v>3.6318643767527341</v>
      </c>
      <c r="N1072">
        <v>2.2145082049077036</v>
      </c>
      <c r="P1072">
        <v>3.1674015282630454E-12</v>
      </c>
      <c r="R1072">
        <v>4.583417296083252</v>
      </c>
      <c r="S1072">
        <v>4.5861496106463111</v>
      </c>
      <c r="T1072">
        <v>1</v>
      </c>
      <c r="U1072">
        <v>2.2359434874725603</v>
      </c>
    </row>
    <row r="1073" spans="1:21">
      <c r="A1073">
        <v>-1.4087765111270663</v>
      </c>
      <c r="B1073">
        <v>0.12097796192521208</v>
      </c>
      <c r="C1073">
        <v>1.8399910725848602E-2</v>
      </c>
      <c r="D1073">
        <v>0.16138420160311778</v>
      </c>
      <c r="E1073">
        <v>0</v>
      </c>
      <c r="F1073">
        <v>2.6972176397869113E-2</v>
      </c>
      <c r="G1073">
        <v>1.0648274490359003E-2</v>
      </c>
      <c r="H1073">
        <v>0.2319401720952059</v>
      </c>
      <c r="I1073">
        <v>0.54671883560627221</v>
      </c>
      <c r="J1073">
        <v>4.2802902831543664E-2</v>
      </c>
      <c r="L1073">
        <v>1.8929020224172279</v>
      </c>
      <c r="M1073">
        <v>3.6318640227657339</v>
      </c>
      <c r="N1073">
        <v>2.2145080223176254</v>
      </c>
      <c r="P1073">
        <v>5.1084888685087397E-12</v>
      </c>
      <c r="R1073">
        <v>4.583417296083252</v>
      </c>
      <c r="S1073">
        <v>4.5861496106463111</v>
      </c>
      <c r="T1073">
        <v>1</v>
      </c>
      <c r="U1073">
        <v>2.2359434874725603</v>
      </c>
    </row>
    <row r="1074" spans="1:21">
      <c r="A1074">
        <v>-1.4222159381668162</v>
      </c>
      <c r="B1074">
        <v>0.12049302604345125</v>
      </c>
      <c r="C1074">
        <v>1.8670540310107026E-2</v>
      </c>
      <c r="D1074">
        <v>0</v>
      </c>
      <c r="E1074">
        <v>0.46292824978828595</v>
      </c>
      <c r="F1074">
        <v>0</v>
      </c>
      <c r="G1074">
        <v>0.80635594963723167</v>
      </c>
      <c r="H1074">
        <v>7.4661659058384053E-2</v>
      </c>
      <c r="I1074">
        <v>0.25850068653346314</v>
      </c>
      <c r="J1074">
        <v>2.5103409971124143E-2</v>
      </c>
      <c r="L1074">
        <v>1.8929020283008333</v>
      </c>
      <c r="M1074">
        <v>3.6318640242452629</v>
      </c>
      <c r="N1074">
        <v>2.2145079909622973</v>
      </c>
      <c r="P1074">
        <v>5.1079083074923847E-12</v>
      </c>
      <c r="R1074">
        <v>4.583417296083252</v>
      </c>
      <c r="S1074">
        <v>4.5861496106463111</v>
      </c>
      <c r="T1074">
        <v>1</v>
      </c>
      <c r="U1074">
        <v>2.2359434874725603</v>
      </c>
    </row>
    <row r="1075" spans="1:21">
      <c r="A1075">
        <v>-1.4093097662977458</v>
      </c>
      <c r="B1075">
        <v>0.1237368193859741</v>
      </c>
      <c r="C1075">
        <v>6.4916505986962426E-3</v>
      </c>
      <c r="D1075">
        <v>0</v>
      </c>
      <c r="E1075">
        <v>0</v>
      </c>
      <c r="F1075">
        <v>0.69266537880368217</v>
      </c>
      <c r="G1075">
        <v>0.57220917078394629</v>
      </c>
      <c r="H1075">
        <v>0.41119129513731378</v>
      </c>
      <c r="I1075">
        <v>0.94387430618374579</v>
      </c>
      <c r="J1075">
        <v>0.5150808856000022</v>
      </c>
      <c r="L1075">
        <v>1.8929020221056787</v>
      </c>
      <c r="M1075">
        <v>3.6318640968889526</v>
      </c>
      <c r="N1075">
        <v>2.214507918560813</v>
      </c>
      <c r="P1075">
        <v>5.218567225653951E-12</v>
      </c>
      <c r="R1075">
        <v>4.583417296083252</v>
      </c>
      <c r="S1075">
        <v>4.5861496106463111</v>
      </c>
      <c r="T1075">
        <v>1</v>
      </c>
      <c r="U1075">
        <v>2.2359434874725603</v>
      </c>
    </row>
    <row r="1076" spans="1:21">
      <c r="A1076">
        <v>-1.416693793920011</v>
      </c>
      <c r="B1076">
        <v>0.10934430831292286</v>
      </c>
      <c r="C1076">
        <v>3.6721501171056797E-2</v>
      </c>
      <c r="D1076">
        <v>0.2166800186159698</v>
      </c>
      <c r="E1076">
        <v>0.31105695536455075</v>
      </c>
      <c r="F1076">
        <v>0</v>
      </c>
      <c r="G1076">
        <v>0.17994213191943637</v>
      </c>
      <c r="H1076">
        <v>2.2669731743855177E-2</v>
      </c>
      <c r="I1076">
        <v>0.57497400511648156</v>
      </c>
      <c r="J1076">
        <v>0.99656896606742085</v>
      </c>
      <c r="L1076">
        <v>1.892901965485797</v>
      </c>
      <c r="M1076">
        <v>3.6318641036332187</v>
      </c>
      <c r="N1076">
        <v>2.2145078781763337</v>
      </c>
      <c r="P1076">
        <v>5.0066564576140396E-12</v>
      </c>
      <c r="R1076">
        <v>4.583417296083252</v>
      </c>
      <c r="S1076">
        <v>4.5861496106463111</v>
      </c>
      <c r="T1076">
        <v>1</v>
      </c>
      <c r="U1076">
        <v>2.2359434874725603</v>
      </c>
    </row>
    <row r="1077" spans="1:21">
      <c r="A1077">
        <v>-1.4181375065584805</v>
      </c>
      <c r="B1077">
        <v>0.12260793905161521</v>
      </c>
      <c r="C1077">
        <v>8.7714801272741876E-3</v>
      </c>
      <c r="D1077">
        <v>0</v>
      </c>
      <c r="E1077">
        <v>0.64183114204880132</v>
      </c>
      <c r="F1077">
        <v>0.76608431835213664</v>
      </c>
      <c r="G1077">
        <v>0.8638419702693193</v>
      </c>
      <c r="H1077">
        <v>0.15556715142008862</v>
      </c>
      <c r="I1077">
        <v>0.76908186286738611</v>
      </c>
      <c r="J1077">
        <v>0.43314893252378528</v>
      </c>
      <c r="L1077">
        <v>1.8929015412638732</v>
      </c>
      <c r="M1077">
        <v>3.6318643099271433</v>
      </c>
      <c r="N1077">
        <v>2.2145076504337049</v>
      </c>
      <c r="P1077">
        <v>4.1844913875699861E-12</v>
      </c>
      <c r="R1077">
        <v>4.583417296083252</v>
      </c>
      <c r="S1077">
        <v>4.5861496106463111</v>
      </c>
      <c r="T1077">
        <v>1</v>
      </c>
      <c r="U1077">
        <v>2.2359434874725603</v>
      </c>
    </row>
    <row r="1078" spans="1:21">
      <c r="A1078">
        <v>-1.4182866267469689</v>
      </c>
      <c r="B1078">
        <v>0.11971738356078486</v>
      </c>
      <c r="C1078">
        <v>1.5019003281213244E-3</v>
      </c>
      <c r="D1078">
        <v>0.70322531034788416</v>
      </c>
      <c r="E1078">
        <v>0.10402082298920161</v>
      </c>
      <c r="F1078">
        <v>0.47942010000432994</v>
      </c>
      <c r="G1078">
        <v>0.92242013911250387</v>
      </c>
      <c r="H1078">
        <v>0.30190101845870743</v>
      </c>
      <c r="I1078">
        <v>0.6161449409174995</v>
      </c>
      <c r="J1078">
        <v>0.22235543418689746</v>
      </c>
      <c r="L1078">
        <v>1.8929019785991008</v>
      </c>
      <c r="M1078">
        <v>3.6318639844146245</v>
      </c>
      <c r="N1078">
        <v>2.2145080989195223</v>
      </c>
      <c r="P1078">
        <v>4.9270966912278986E-12</v>
      </c>
      <c r="R1078">
        <v>4.583417296083252</v>
      </c>
      <c r="S1078">
        <v>4.5861496106463111</v>
      </c>
      <c r="T1078">
        <v>1</v>
      </c>
      <c r="U1078">
        <v>2.2359434874725603</v>
      </c>
    </row>
    <row r="1079" spans="1:21">
      <c r="A1079">
        <v>-1.4159878478041543</v>
      </c>
      <c r="B1079">
        <v>0.12231141803604495</v>
      </c>
      <c r="C1079">
        <v>3.5370895427999142E-2</v>
      </c>
      <c r="D1079">
        <v>0</v>
      </c>
      <c r="E1079">
        <v>0.25323301051548297</v>
      </c>
      <c r="F1079">
        <v>0</v>
      </c>
      <c r="G1079">
        <v>0.53986471443831041</v>
      </c>
      <c r="H1079">
        <v>0.94950297359765623</v>
      </c>
      <c r="I1079">
        <v>0.39795122547605116</v>
      </c>
      <c r="J1079">
        <v>0.60222740625682381</v>
      </c>
      <c r="L1079">
        <v>1.8929015961603015</v>
      </c>
      <c r="M1079">
        <v>3.6318638993927181</v>
      </c>
      <c r="N1079">
        <v>2.2145083415143079</v>
      </c>
      <c r="P1079">
        <v>3.8069478015316146E-12</v>
      </c>
      <c r="R1079">
        <v>4.583417296083252</v>
      </c>
      <c r="S1079">
        <v>4.5861496106463111</v>
      </c>
      <c r="T1079">
        <v>1</v>
      </c>
      <c r="U1079">
        <v>2.2359434874725603</v>
      </c>
    </row>
    <row r="1080" spans="1:21">
      <c r="A1080">
        <v>-1.4184827442639669</v>
      </c>
      <c r="B1080">
        <v>0.11086347609238759</v>
      </c>
      <c r="C1080">
        <v>1.6747395456205395E-2</v>
      </c>
      <c r="D1080">
        <v>0.86773849452543639</v>
      </c>
      <c r="E1080">
        <v>0.39360060869043229</v>
      </c>
      <c r="F1080">
        <v>0</v>
      </c>
      <c r="G1080">
        <v>0.52292950663971904</v>
      </c>
      <c r="H1080">
        <v>7.9301422936983904E-2</v>
      </c>
      <c r="I1080">
        <v>0.74673862032368421</v>
      </c>
      <c r="J1080">
        <v>0.49041510926320003</v>
      </c>
      <c r="L1080">
        <v>1.8929019318345457</v>
      </c>
      <c r="M1080">
        <v>3.6318639464356663</v>
      </c>
      <c r="N1080">
        <v>2.2145080999614839</v>
      </c>
      <c r="P1080">
        <v>4.6724662565972465E-12</v>
      </c>
      <c r="R1080">
        <v>4.583417296083252</v>
      </c>
      <c r="S1080">
        <v>4.5861496106463111</v>
      </c>
      <c r="T1080">
        <v>1</v>
      </c>
      <c r="U1080">
        <v>2.2359434874725603</v>
      </c>
    </row>
    <row r="1081" spans="1:21">
      <c r="A1081">
        <v>-1.417919609602952</v>
      </c>
      <c r="B1081">
        <v>0.120327641888792</v>
      </c>
      <c r="C1081">
        <v>1.6492201088178265E-2</v>
      </c>
      <c r="D1081">
        <v>0</v>
      </c>
      <c r="E1081">
        <v>0.15244182332688119</v>
      </c>
      <c r="F1081">
        <v>0</v>
      </c>
      <c r="G1081">
        <v>0.94709661429902892</v>
      </c>
      <c r="H1081">
        <v>0.45204994081871086</v>
      </c>
      <c r="I1081">
        <v>0.65670826684572337</v>
      </c>
      <c r="J1081">
        <v>0.40709694346800762</v>
      </c>
      <c r="L1081">
        <v>1.8929020276600288</v>
      </c>
      <c r="M1081">
        <v>3.6318640278483536</v>
      </c>
      <c r="N1081">
        <v>2.2145080102017776</v>
      </c>
      <c r="P1081">
        <v>5.1301936594742614E-12</v>
      </c>
      <c r="R1081">
        <v>4.583417296083252</v>
      </c>
      <c r="S1081">
        <v>4.5861496106463111</v>
      </c>
      <c r="T1081">
        <v>1</v>
      </c>
      <c r="U1081">
        <v>2.2359434874725603</v>
      </c>
    </row>
    <row r="1082" spans="1:21">
      <c r="A1082">
        <v>-1.4144843229687896</v>
      </c>
      <c r="B1082">
        <v>0.12831643254424352</v>
      </c>
      <c r="C1082">
        <v>3.5743173810453481E-3</v>
      </c>
      <c r="D1082">
        <v>0</v>
      </c>
      <c r="E1082">
        <v>0.17069550407205591</v>
      </c>
      <c r="F1082">
        <v>0.8594660563278651</v>
      </c>
      <c r="G1082">
        <v>0.74666195332860585</v>
      </c>
      <c r="H1082">
        <v>0.3695502055001571</v>
      </c>
      <c r="I1082">
        <v>0.49334382936642623</v>
      </c>
      <c r="J1082">
        <v>9.4377899092146944E-2</v>
      </c>
      <c r="L1082">
        <v>1.8929008988107352</v>
      </c>
      <c r="M1082">
        <v>3.6318644669311819</v>
      </c>
      <c r="N1082">
        <v>2.2145080170329514</v>
      </c>
      <c r="P1082">
        <v>3.5332016122004706E-12</v>
      </c>
      <c r="R1082">
        <v>4.583417296083252</v>
      </c>
      <c r="S1082">
        <v>4.5861496106463111</v>
      </c>
      <c r="T1082">
        <v>1</v>
      </c>
      <c r="U1082">
        <v>2.2359434874725603</v>
      </c>
    </row>
    <row r="1083" spans="1:21">
      <c r="A1083">
        <v>-1.417697661093513</v>
      </c>
      <c r="B1083">
        <v>0.12100019296176626</v>
      </c>
      <c r="C1083">
        <v>2.2656161253231912E-2</v>
      </c>
      <c r="D1083">
        <v>0.67166472891205764</v>
      </c>
      <c r="E1083">
        <v>0.2838966620416703</v>
      </c>
      <c r="F1083">
        <v>0.29199031785780999</v>
      </c>
      <c r="G1083">
        <v>0.67630343163287843</v>
      </c>
      <c r="H1083">
        <v>0.92184590246320852</v>
      </c>
      <c r="I1083">
        <v>0.45451576841701929</v>
      </c>
      <c r="J1083">
        <v>0.4924599807735679</v>
      </c>
      <c r="L1083">
        <v>1.8929004969928498</v>
      </c>
      <c r="M1083">
        <v>3.6318643065812544</v>
      </c>
      <c r="N1083">
        <v>2.2145082900862905</v>
      </c>
      <c r="P1083">
        <v>2.9107081943301983E-12</v>
      </c>
      <c r="R1083">
        <v>4.583417296083252</v>
      </c>
      <c r="S1083">
        <v>4.5861496106463111</v>
      </c>
      <c r="T1083">
        <v>1</v>
      </c>
      <c r="U1083">
        <v>2.2359434874725603</v>
      </c>
    </row>
    <row r="1084" spans="1:21">
      <c r="A1084">
        <v>-1.4135337009255311</v>
      </c>
      <c r="B1084">
        <v>0.1173414205688191</v>
      </c>
      <c r="C1084">
        <v>3.1170383690917416E-2</v>
      </c>
      <c r="D1084">
        <v>0</v>
      </c>
      <c r="E1084">
        <v>6.3275560811564269E-2</v>
      </c>
      <c r="F1084">
        <v>0</v>
      </c>
      <c r="G1084">
        <v>0.43820253847207141</v>
      </c>
      <c r="H1084">
        <v>0.585515005314869</v>
      </c>
      <c r="I1084">
        <v>0.65754381579663146</v>
      </c>
      <c r="J1084">
        <v>0.81961187458822726</v>
      </c>
      <c r="L1084">
        <v>1.8929019513945315</v>
      </c>
      <c r="M1084">
        <v>3.6318639624177864</v>
      </c>
      <c r="N1084">
        <v>2.214508100858295</v>
      </c>
      <c r="P1084">
        <v>4.7796662846668719E-12</v>
      </c>
      <c r="R1084">
        <v>4.583417296083252</v>
      </c>
      <c r="S1084">
        <v>4.5861496106463111</v>
      </c>
      <c r="T1084">
        <v>1</v>
      </c>
      <c r="U1084">
        <v>2.2359434874725603</v>
      </c>
    </row>
    <row r="1085" spans="1:21">
      <c r="A1085">
        <v>-1.415196746595881</v>
      </c>
      <c r="B1085">
        <v>0.12173952273104165</v>
      </c>
      <c r="C1085">
        <v>3.5151833798812045E-2</v>
      </c>
      <c r="D1085">
        <v>0.34690161638448991</v>
      </c>
      <c r="E1085">
        <v>0.847663165206609</v>
      </c>
      <c r="F1085">
        <v>0.24194536895008495</v>
      </c>
      <c r="G1085">
        <v>0.24168244021040547</v>
      </c>
      <c r="H1085">
        <v>0.87485954689161494</v>
      </c>
      <c r="I1085">
        <v>0.5806123384191344</v>
      </c>
      <c r="J1085">
        <v>0.52390006281441059</v>
      </c>
      <c r="L1085">
        <v>1.8929019362624619</v>
      </c>
      <c r="M1085">
        <v>3.6318638243462642</v>
      </c>
      <c r="N1085">
        <v>2.2145077412271275</v>
      </c>
      <c r="P1085">
        <v>4.1834064942867942E-12</v>
      </c>
      <c r="R1085">
        <v>4.583417296083252</v>
      </c>
      <c r="S1085">
        <v>4.5861496106463111</v>
      </c>
      <c r="T1085">
        <v>1</v>
      </c>
      <c r="U1085">
        <v>2.2359434874725603</v>
      </c>
    </row>
    <row r="1086" spans="1:21">
      <c r="A1086">
        <v>-1.4110884326865758</v>
      </c>
      <c r="B1086">
        <v>0.11860957755454639</v>
      </c>
      <c r="C1086">
        <v>2.3884228528822941E-2</v>
      </c>
      <c r="D1086">
        <v>0.24198357205730373</v>
      </c>
      <c r="E1086">
        <v>7.1719323167172222E-2</v>
      </c>
      <c r="F1086">
        <v>0</v>
      </c>
      <c r="G1086">
        <v>0.11603788569544717</v>
      </c>
      <c r="H1086">
        <v>0.34229682032373959</v>
      </c>
      <c r="I1086">
        <v>0.55274758319294148</v>
      </c>
      <c r="J1086">
        <v>0.31112645857462967</v>
      </c>
      <c r="L1086">
        <v>1.8929019731891221</v>
      </c>
      <c r="M1086">
        <v>3.6318639822435763</v>
      </c>
      <c r="N1086">
        <v>2.2145080780058088</v>
      </c>
      <c r="P1086">
        <v>4.8817590108811161E-12</v>
      </c>
      <c r="R1086">
        <v>4.583417296083252</v>
      </c>
      <c r="S1086">
        <v>4.5861496106463111</v>
      </c>
      <c r="T1086">
        <v>1</v>
      </c>
      <c r="U1086">
        <v>2.2359434874725603</v>
      </c>
    </row>
    <row r="1087" spans="1:21">
      <c r="A1087">
        <v>-1.4086953391443762</v>
      </c>
      <c r="B1087">
        <v>0.12311831523796328</v>
      </c>
      <c r="C1087">
        <v>3.1077503236317663E-2</v>
      </c>
      <c r="D1087">
        <v>0.11306309368588099</v>
      </c>
      <c r="E1087">
        <v>7.3300504949477915E-2</v>
      </c>
      <c r="F1087">
        <v>5.694244242462991E-2</v>
      </c>
      <c r="G1087">
        <v>0.13774459444003082</v>
      </c>
      <c r="H1087">
        <v>0.95496440784445413</v>
      </c>
      <c r="I1087">
        <v>0.61083532985356992</v>
      </c>
      <c r="J1087">
        <v>0.50164974077685054</v>
      </c>
      <c r="L1087">
        <v>1.89290200516588</v>
      </c>
      <c r="M1087">
        <v>3.6318640071326711</v>
      </c>
      <c r="N1087">
        <v>2.2145080177869514</v>
      </c>
      <c r="P1087">
        <v>5.0028857813781747E-12</v>
      </c>
      <c r="R1087">
        <v>4.583417296083252</v>
      </c>
      <c r="S1087">
        <v>4.5861496106463111</v>
      </c>
      <c r="T1087">
        <v>1</v>
      </c>
      <c r="U1087">
        <v>2.2359434874725603</v>
      </c>
    </row>
    <row r="1088" spans="1:21">
      <c r="A1088">
        <v>-1.4166398604187755</v>
      </c>
      <c r="B1088">
        <v>0.12643673382191276</v>
      </c>
      <c r="C1088">
        <v>1.4494578209203633E-2</v>
      </c>
      <c r="D1088">
        <v>0</v>
      </c>
      <c r="E1088">
        <v>0.3258397190156318</v>
      </c>
      <c r="F1088">
        <v>0.79865696172341683</v>
      </c>
      <c r="G1088">
        <v>0.52345975947089807</v>
      </c>
      <c r="H1088">
        <v>0.28310554560501394</v>
      </c>
      <c r="I1088">
        <v>0.21282631887895134</v>
      </c>
      <c r="J1088">
        <v>0.1420367956669932</v>
      </c>
      <c r="L1088">
        <v>1.892901964773811</v>
      </c>
      <c r="M1088">
        <v>3.6318638824102267</v>
      </c>
      <c r="N1088">
        <v>2.2145078830912883</v>
      </c>
      <c r="P1088">
        <v>4.4708418313457886E-12</v>
      </c>
      <c r="R1088">
        <v>4.583417296083252</v>
      </c>
      <c r="S1088">
        <v>4.5861496106463111</v>
      </c>
      <c r="T1088">
        <v>1</v>
      </c>
      <c r="U1088">
        <v>2.2359434874725603</v>
      </c>
    </row>
    <row r="1089" spans="1:21">
      <c r="A1089">
        <v>-1.4115499471540638</v>
      </c>
      <c r="B1089">
        <v>0.12113875642423802</v>
      </c>
      <c r="C1089">
        <v>3.8194404703776087E-2</v>
      </c>
      <c r="D1089">
        <v>0</v>
      </c>
      <c r="E1089">
        <v>0</v>
      </c>
      <c r="F1089">
        <v>0</v>
      </c>
      <c r="G1089">
        <v>0.17726161155357667</v>
      </c>
      <c r="H1089">
        <v>0.88981791942866439</v>
      </c>
      <c r="I1089">
        <v>0.38608308126990709</v>
      </c>
      <c r="J1089">
        <v>0.6712904977652695</v>
      </c>
      <c r="L1089">
        <v>1.8929019582049389</v>
      </c>
      <c r="M1089">
        <v>3.6318640598326253</v>
      </c>
      <c r="N1089">
        <v>2.2145079252957331</v>
      </c>
      <c r="P1089">
        <v>4.8959260587586862E-12</v>
      </c>
      <c r="R1089">
        <v>4.583417296083252</v>
      </c>
      <c r="S1089">
        <v>4.5861496106463111</v>
      </c>
      <c r="T1089">
        <v>1</v>
      </c>
      <c r="U1089">
        <v>2.2359434874725603</v>
      </c>
    </row>
    <row r="1090" spans="1:21">
      <c r="A1090">
        <v>-1.4105639104905772</v>
      </c>
      <c r="B1090">
        <v>0.12779641591250723</v>
      </c>
      <c r="C1090">
        <v>2.2617041265303967E-2</v>
      </c>
      <c r="D1090">
        <v>0</v>
      </c>
      <c r="E1090">
        <v>0</v>
      </c>
      <c r="F1090">
        <v>0.31140545315484042</v>
      </c>
      <c r="G1090">
        <v>0.21300829088141288</v>
      </c>
      <c r="H1090">
        <v>0.73787458240800197</v>
      </c>
      <c r="I1090">
        <v>0.2554017926383374</v>
      </c>
      <c r="J1090">
        <v>6.510870253986098E-2</v>
      </c>
      <c r="L1090">
        <v>1.8929019929404549</v>
      </c>
      <c r="M1090">
        <v>3.6318639776611028</v>
      </c>
      <c r="N1090">
        <v>2.2145079958628449</v>
      </c>
      <c r="P1090">
        <v>4.8689586617875627E-12</v>
      </c>
      <c r="R1090">
        <v>4.583417296083252</v>
      </c>
      <c r="S1090">
        <v>4.5861496106463111</v>
      </c>
      <c r="T1090">
        <v>1</v>
      </c>
      <c r="U1090">
        <v>2.2359434874725603</v>
      </c>
    </row>
    <row r="1091" spans="1:21">
      <c r="A1091">
        <v>-1.4615606708214284</v>
      </c>
      <c r="B1091">
        <v>-6.6563395706931427E-2</v>
      </c>
      <c r="C1091">
        <v>1.3212483552733891</v>
      </c>
      <c r="D1091">
        <v>0</v>
      </c>
      <c r="E1091">
        <v>0.34237402915304377</v>
      </c>
      <c r="F1091">
        <v>0</v>
      </c>
      <c r="G1091">
        <v>0</v>
      </c>
      <c r="H1091">
        <v>1.2371758433182358</v>
      </c>
      <c r="I1091">
        <v>0</v>
      </c>
      <c r="J1091">
        <v>0.9908023618980889</v>
      </c>
      <c r="L1091">
        <v>0.65767974343906266</v>
      </c>
      <c r="M1091">
        <v>4.0760054363607123</v>
      </c>
      <c r="N1091">
        <v>3.6265488495328264</v>
      </c>
      <c r="P1091">
        <v>9.9636829536253849E-5</v>
      </c>
      <c r="R1091">
        <v>67.119741346612642</v>
      </c>
      <c r="S1091">
        <v>77.784722012998088</v>
      </c>
      <c r="T1091">
        <v>1</v>
      </c>
      <c r="U1091">
        <v>2.644649778544732</v>
      </c>
    </row>
    <row r="1092" spans="1:21">
      <c r="A1092">
        <v>-1.4632161567836495</v>
      </c>
      <c r="B1092">
        <v>-7.9495163679040082E-2</v>
      </c>
      <c r="C1092">
        <v>1.5460072726416054</v>
      </c>
      <c r="D1092">
        <v>0</v>
      </c>
      <c r="E1092">
        <v>0.37260762211398257</v>
      </c>
      <c r="F1092">
        <v>0</v>
      </c>
      <c r="G1092">
        <v>0</v>
      </c>
      <c r="H1092">
        <v>0.99178070456380418</v>
      </c>
      <c r="I1092">
        <v>0.17737833534044326</v>
      </c>
      <c r="J1092">
        <v>1.2390330808817096</v>
      </c>
      <c r="L1092">
        <v>0.66403846529128374</v>
      </c>
      <c r="M1092">
        <v>4.0704383905396213</v>
      </c>
      <c r="N1092">
        <v>3.6318643923685534</v>
      </c>
      <c r="P1092">
        <v>5.0563193810272875E-12</v>
      </c>
      <c r="R1092">
        <v>67.119741346612642</v>
      </c>
      <c r="S1092">
        <v>77.784722012998088</v>
      </c>
      <c r="T1092">
        <v>1</v>
      </c>
      <c r="U1092">
        <v>2.644649778544732</v>
      </c>
    </row>
    <row r="1093" spans="1:21">
      <c r="A1093">
        <v>-1.4719791656504326</v>
      </c>
      <c r="B1093">
        <v>-9.528610099657335E-2</v>
      </c>
      <c r="C1093">
        <v>1.7713810819252584</v>
      </c>
      <c r="D1093">
        <v>0</v>
      </c>
      <c r="E1093">
        <v>0.50450815759566825</v>
      </c>
      <c r="F1093">
        <v>0</v>
      </c>
      <c r="G1093">
        <v>0.33456987993121762</v>
      </c>
      <c r="H1093">
        <v>0.51145961825137254</v>
      </c>
      <c r="I1093">
        <v>0</v>
      </c>
      <c r="J1093">
        <v>0.99062127070411921</v>
      </c>
      <c r="L1093">
        <v>0.6640381673883895</v>
      </c>
      <c r="M1093">
        <v>4.070438768432016</v>
      </c>
      <c r="N1093">
        <v>3.6318636459298634</v>
      </c>
      <c r="P1093">
        <v>1.9357573423169327E-12</v>
      </c>
      <c r="R1093">
        <v>67.119741346612642</v>
      </c>
      <c r="S1093">
        <v>77.784722012998088</v>
      </c>
      <c r="T1093">
        <v>1</v>
      </c>
      <c r="U1093">
        <v>2.644649778544732</v>
      </c>
    </row>
    <row r="1094" spans="1:21">
      <c r="A1094">
        <v>-1.4656790482319975</v>
      </c>
      <c r="B1094">
        <v>-7.5364294226343567E-2</v>
      </c>
      <c r="C1094">
        <v>1.5627320975772769</v>
      </c>
      <c r="D1094">
        <v>0</v>
      </c>
      <c r="E1094">
        <v>0.25950716574265748</v>
      </c>
      <c r="F1094">
        <v>0</v>
      </c>
      <c r="G1094">
        <v>0.14871027875552406</v>
      </c>
      <c r="H1094">
        <v>1.3767326856672883</v>
      </c>
      <c r="I1094">
        <v>0</v>
      </c>
      <c r="J1094">
        <v>0.91649756280653527</v>
      </c>
      <c r="L1094">
        <v>0.66384829137982304</v>
      </c>
      <c r="M1094">
        <v>4.0706018148697503</v>
      </c>
      <c r="N1094">
        <v>3.6317078089996371</v>
      </c>
      <c r="P1094">
        <v>8.6110379134190394E-8</v>
      </c>
      <c r="R1094">
        <v>67.119741346612642</v>
      </c>
      <c r="S1094">
        <v>77.784722012998088</v>
      </c>
      <c r="T1094">
        <v>1</v>
      </c>
      <c r="U1094">
        <v>2.644649778544732</v>
      </c>
    </row>
    <row r="1095" spans="1:21">
      <c r="A1095">
        <v>-1.4739680907348371</v>
      </c>
      <c r="B1095">
        <v>-9.6710824736876019E-2</v>
      </c>
      <c r="C1095">
        <v>1.9805569184608094</v>
      </c>
      <c r="D1095">
        <v>0.49452036289948459</v>
      </c>
      <c r="E1095">
        <v>0.24330174758595385</v>
      </c>
      <c r="F1095">
        <v>0.13185870183781975</v>
      </c>
      <c r="G1095">
        <v>0.18987427968167453</v>
      </c>
      <c r="H1095">
        <v>0.79055556464215238</v>
      </c>
      <c r="I1095">
        <v>7.6680615557029819E-2</v>
      </c>
      <c r="J1095">
        <v>0.442576201641667</v>
      </c>
      <c r="L1095">
        <v>0.66404053225532023</v>
      </c>
      <c r="M1095">
        <v>4.0704404868740403</v>
      </c>
      <c r="N1095">
        <v>3.6318636905599102</v>
      </c>
      <c r="P1095">
        <v>1.1590992489082571E-11</v>
      </c>
      <c r="R1095">
        <v>67.119741346612642</v>
      </c>
      <c r="S1095">
        <v>77.784722012998088</v>
      </c>
      <c r="T1095">
        <v>1</v>
      </c>
      <c r="U1095">
        <v>2.644649778544732</v>
      </c>
    </row>
    <row r="1096" spans="1:21">
      <c r="A1096">
        <v>-1.4714051524959495</v>
      </c>
      <c r="B1096">
        <v>-8.5879322495642021E-2</v>
      </c>
      <c r="C1096">
        <v>1.8439804169442517</v>
      </c>
      <c r="D1096">
        <v>0</v>
      </c>
      <c r="E1096">
        <v>0.37861538712383325</v>
      </c>
      <c r="F1096">
        <v>0</v>
      </c>
      <c r="G1096">
        <v>0.37907839548135741</v>
      </c>
      <c r="H1096">
        <v>1.1987611931681896</v>
      </c>
      <c r="I1096">
        <v>0.49109125149541466</v>
      </c>
      <c r="J1096">
        <v>0.55952537980480144</v>
      </c>
      <c r="L1096">
        <v>0.66403814419433171</v>
      </c>
      <c r="M1096">
        <v>4.0704387278493988</v>
      </c>
      <c r="N1096">
        <v>3.6318637633133672</v>
      </c>
      <c r="P1096">
        <v>2.1809739435815357E-12</v>
      </c>
      <c r="R1096">
        <v>67.119741346612642</v>
      </c>
      <c r="S1096">
        <v>77.784722012998088</v>
      </c>
      <c r="T1096">
        <v>1</v>
      </c>
      <c r="U1096">
        <v>2.644649778544732</v>
      </c>
    </row>
    <row r="1097" spans="1:21">
      <c r="A1097">
        <v>-1.4635441542996808</v>
      </c>
      <c r="B1097">
        <v>-7.8407550387741928E-2</v>
      </c>
      <c r="C1097">
        <v>1.5926980667959243</v>
      </c>
      <c r="D1097">
        <v>0</v>
      </c>
      <c r="E1097">
        <v>0.33392225901317418</v>
      </c>
      <c r="F1097">
        <v>0</v>
      </c>
      <c r="G1097">
        <v>0.10785742839013029</v>
      </c>
      <c r="H1097">
        <v>1.2295873484677924</v>
      </c>
      <c r="I1097">
        <v>0.45641371668483444</v>
      </c>
      <c r="J1097">
        <v>1.186606943323514</v>
      </c>
      <c r="L1097">
        <v>0.66403840789900337</v>
      </c>
      <c r="M1097">
        <v>4.0704387572113143</v>
      </c>
      <c r="N1097">
        <v>3.6318634883020158</v>
      </c>
      <c r="P1097">
        <v>2.1359729312840163E-12</v>
      </c>
      <c r="R1097">
        <v>67.119741346612642</v>
      </c>
      <c r="S1097">
        <v>77.784722012998088</v>
      </c>
      <c r="T1097">
        <v>1</v>
      </c>
      <c r="U1097">
        <v>2.644649778544732</v>
      </c>
    </row>
    <row r="1098" spans="1:21">
      <c r="A1098">
        <v>-1.4549700810704049</v>
      </c>
      <c r="B1098">
        <v>-4.6189940099829095E-2</v>
      </c>
      <c r="C1098">
        <v>0.81929062001676556</v>
      </c>
      <c r="D1098">
        <v>0</v>
      </c>
      <c r="E1098">
        <v>0.10428404295449202</v>
      </c>
      <c r="F1098">
        <v>0</v>
      </c>
      <c r="G1098">
        <v>0</v>
      </c>
      <c r="H1098">
        <v>0.99567441270976753</v>
      </c>
      <c r="I1098">
        <v>0.50305558394903394</v>
      </c>
      <c r="J1098">
        <v>0.67029416725716084</v>
      </c>
      <c r="L1098">
        <v>0.63694565909073941</v>
      </c>
      <c r="M1098">
        <v>4.0993850524772757</v>
      </c>
      <c r="N1098">
        <v>3.6041225557578342</v>
      </c>
      <c r="P1098">
        <v>2.3413251105358205E-3</v>
      </c>
      <c r="R1098">
        <v>67.119741346612642</v>
      </c>
      <c r="S1098">
        <v>77.784722012998088</v>
      </c>
      <c r="T1098">
        <v>1</v>
      </c>
      <c r="U1098">
        <v>2.644649778544732</v>
      </c>
    </row>
    <row r="1099" spans="1:21">
      <c r="A1099">
        <v>-1.4680702079921131</v>
      </c>
      <c r="B1099">
        <v>-8.6657746906543501E-2</v>
      </c>
      <c r="C1099">
        <v>1.6923211546657493</v>
      </c>
      <c r="D1099">
        <v>0</v>
      </c>
      <c r="E1099">
        <v>0.44684188300803701</v>
      </c>
      <c r="F1099">
        <v>0</v>
      </c>
      <c r="G1099">
        <v>5.1950747697802169E-2</v>
      </c>
      <c r="H1099">
        <v>0.66679977352769237</v>
      </c>
      <c r="I1099">
        <v>0</v>
      </c>
      <c r="J1099">
        <v>0.86467457614140131</v>
      </c>
      <c r="L1099">
        <v>0.66403876193928169</v>
      </c>
      <c r="M1099">
        <v>4.0704388536559337</v>
      </c>
      <c r="N1099">
        <v>3.6318635205036487</v>
      </c>
      <c r="P1099">
        <v>2.8861658875296845E-12</v>
      </c>
      <c r="R1099">
        <v>67.119741346612642</v>
      </c>
      <c r="S1099">
        <v>77.784722012998088</v>
      </c>
      <c r="T1099">
        <v>1</v>
      </c>
      <c r="U1099">
        <v>2.644649778544732</v>
      </c>
    </row>
    <row r="1100" spans="1:21">
      <c r="A1100">
        <v>-1.4630742809890853</v>
      </c>
      <c r="B1100">
        <v>-7.8073264252081678E-2</v>
      </c>
      <c r="C1100">
        <v>1.5097514002629702</v>
      </c>
      <c r="D1100">
        <v>0</v>
      </c>
      <c r="E1100">
        <v>0.65539291426960478</v>
      </c>
      <c r="F1100">
        <v>0</v>
      </c>
      <c r="G1100">
        <v>0</v>
      </c>
      <c r="H1100">
        <v>1.0452209009636688</v>
      </c>
      <c r="I1100">
        <v>0.32682153720820556</v>
      </c>
      <c r="J1100">
        <v>1.250923682251587</v>
      </c>
      <c r="L1100">
        <v>0.66403890654486919</v>
      </c>
      <c r="M1100">
        <v>4.070438389117486</v>
      </c>
      <c r="N1100">
        <v>3.6318639945639011</v>
      </c>
      <c r="P1100">
        <v>5.0775683962771594E-12</v>
      </c>
      <c r="R1100">
        <v>67.119741346612642</v>
      </c>
      <c r="S1100">
        <v>77.784722012998088</v>
      </c>
      <c r="T1100">
        <v>1</v>
      </c>
      <c r="U1100">
        <v>2.644649778544732</v>
      </c>
    </row>
    <row r="1101" spans="1:21">
      <c r="A1101">
        <v>-1.4669748833174572</v>
      </c>
      <c r="B1101">
        <v>-9.0833938251553836E-2</v>
      </c>
      <c r="C1101">
        <v>1.6449539030083205</v>
      </c>
      <c r="D1101">
        <v>0</v>
      </c>
      <c r="E1101">
        <v>0.345263957805439</v>
      </c>
      <c r="F1101">
        <v>0</v>
      </c>
      <c r="G1101">
        <v>0.33042285773432162</v>
      </c>
      <c r="H1101">
        <v>0.76039451989123408</v>
      </c>
      <c r="I1101">
        <v>0.24226437382348576</v>
      </c>
      <c r="J1101">
        <v>1.514021478856336</v>
      </c>
      <c r="L1101">
        <v>0.664039251344824</v>
      </c>
      <c r="M1101">
        <v>4.0704411220890515</v>
      </c>
      <c r="N1101">
        <v>3.6318649158439751</v>
      </c>
      <c r="P1101">
        <v>1.0530251052593194E-11</v>
      </c>
      <c r="R1101">
        <v>67.119741346612642</v>
      </c>
      <c r="S1101">
        <v>77.784722012998088</v>
      </c>
      <c r="T1101">
        <v>1</v>
      </c>
      <c r="U1101">
        <v>2.644649778544732</v>
      </c>
    </row>
    <row r="1102" spans="1:21">
      <c r="A1102">
        <v>-1.4672397328084295</v>
      </c>
      <c r="B1102">
        <v>-8.1259538582491034E-2</v>
      </c>
      <c r="C1102">
        <v>1.7273550764178272</v>
      </c>
      <c r="D1102">
        <v>0</v>
      </c>
      <c r="E1102">
        <v>0.22674276905379248</v>
      </c>
      <c r="F1102">
        <v>0</v>
      </c>
      <c r="G1102">
        <v>0</v>
      </c>
      <c r="H1102">
        <v>0.96645614666583812</v>
      </c>
      <c r="I1102">
        <v>9.2223871580642131E-2</v>
      </c>
      <c r="J1102">
        <v>0.60336387438303607</v>
      </c>
      <c r="L1102">
        <v>0.66403906668382007</v>
      </c>
      <c r="M1102">
        <v>4.0704384395508004</v>
      </c>
      <c r="N1102">
        <v>3.6318641640923621</v>
      </c>
      <c r="P1102">
        <v>5.9151912057898251E-12</v>
      </c>
      <c r="R1102">
        <v>67.119741346612642</v>
      </c>
      <c r="S1102">
        <v>77.784722012998088</v>
      </c>
      <c r="T1102">
        <v>1</v>
      </c>
      <c r="U1102">
        <v>2.644649778544732</v>
      </c>
    </row>
    <row r="1103" spans="1:21">
      <c r="A1103">
        <v>-1.4702768398950852</v>
      </c>
      <c r="B1103">
        <v>-9.1667424200350706E-2</v>
      </c>
      <c r="C1103">
        <v>1.9182988529460367</v>
      </c>
      <c r="D1103">
        <v>0</v>
      </c>
      <c r="E1103">
        <v>0.56201278624706508</v>
      </c>
      <c r="F1103">
        <v>0</v>
      </c>
      <c r="G1103">
        <v>0</v>
      </c>
      <c r="H1103">
        <v>0.46438450191142544</v>
      </c>
      <c r="I1103">
        <v>0.5408599560316999</v>
      </c>
      <c r="J1103">
        <v>0.43371344685049751</v>
      </c>
      <c r="L1103">
        <v>0.66403883964250365</v>
      </c>
      <c r="M1103">
        <v>4.070438383380222</v>
      </c>
      <c r="N1103">
        <v>3.6318639819876175</v>
      </c>
      <c r="P1103">
        <v>4.8622761663615569E-12</v>
      </c>
      <c r="R1103">
        <v>67.119741346612642</v>
      </c>
      <c r="S1103">
        <v>77.784722012998088</v>
      </c>
      <c r="T1103">
        <v>1</v>
      </c>
      <c r="U1103">
        <v>2.644649778544732</v>
      </c>
    </row>
    <row r="1104" spans="1:21">
      <c r="A1104">
        <v>-1.4705840671049264</v>
      </c>
      <c r="B1104">
        <v>-8.970085241995164E-2</v>
      </c>
      <c r="C1104">
        <v>1.917392068416752</v>
      </c>
      <c r="D1104">
        <v>0</v>
      </c>
      <c r="E1104">
        <v>0.23191207431197541</v>
      </c>
      <c r="F1104">
        <v>0</v>
      </c>
      <c r="G1104">
        <v>9.3294991652533285E-2</v>
      </c>
      <c r="H1104">
        <v>0.69211125876385426</v>
      </c>
      <c r="I1104">
        <v>0.34363831263059813</v>
      </c>
      <c r="J1104">
        <v>0.40903427665319442</v>
      </c>
      <c r="L1104">
        <v>0.66403887534478401</v>
      </c>
      <c r="M1104">
        <v>4.0704388927062176</v>
      </c>
      <c r="N1104">
        <v>3.6318633749376383</v>
      </c>
      <c r="P1104">
        <v>2.9639435469981616E-12</v>
      </c>
      <c r="R1104">
        <v>67.119741346612642</v>
      </c>
      <c r="S1104">
        <v>77.784722012998088</v>
      </c>
      <c r="T1104">
        <v>1</v>
      </c>
      <c r="U1104">
        <v>2.644649778544732</v>
      </c>
    </row>
    <row r="1105" spans="1:21">
      <c r="A1105">
        <v>-1.4642142529802915</v>
      </c>
      <c r="B1105">
        <v>-8.9007737236835693E-2</v>
      </c>
      <c r="C1105">
        <v>1.7318764132717028</v>
      </c>
      <c r="D1105">
        <v>0.1773921939830857</v>
      </c>
      <c r="E1105">
        <v>0.2629642233574217</v>
      </c>
      <c r="F1105">
        <v>0.14216269139188603</v>
      </c>
      <c r="G1105">
        <v>0</v>
      </c>
      <c r="H1105">
        <v>0.72552745733386848</v>
      </c>
      <c r="I1105">
        <v>0.56373537087470726</v>
      </c>
      <c r="J1105">
        <v>1.3364088892476274</v>
      </c>
      <c r="L1105">
        <v>0.66403777761867067</v>
      </c>
      <c r="M1105">
        <v>4.070439677686684</v>
      </c>
      <c r="N1105">
        <v>3.6318634258161215</v>
      </c>
      <c r="P1105">
        <v>5.8404476885755441E-13</v>
      </c>
      <c r="R1105">
        <v>67.119741346612642</v>
      </c>
      <c r="S1105">
        <v>77.784722012998088</v>
      </c>
      <c r="T1105">
        <v>1</v>
      </c>
      <c r="U1105">
        <v>2.644649778544732</v>
      </c>
    </row>
    <row r="1106" spans="1:21">
      <c r="A1106">
        <v>-1.4763877487676051</v>
      </c>
      <c r="B1106">
        <v>-9.6939048242762324E-2</v>
      </c>
      <c r="C1106">
        <v>1.9117291464242894</v>
      </c>
      <c r="D1106">
        <v>0</v>
      </c>
      <c r="E1106">
        <v>0.51142263572484259</v>
      </c>
      <c r="F1106">
        <v>0</v>
      </c>
      <c r="G1106">
        <v>0.46202984161411542</v>
      </c>
      <c r="H1106">
        <v>0.61082509352015002</v>
      </c>
      <c r="I1106">
        <v>0</v>
      </c>
      <c r="J1106">
        <v>0.50390518448868349</v>
      </c>
      <c r="L1106">
        <v>0.66403943823114153</v>
      </c>
      <c r="M1106">
        <v>4.0704392371128568</v>
      </c>
      <c r="N1106">
        <v>3.6318637234198614</v>
      </c>
      <c r="P1106">
        <v>5.1614950402592319E-12</v>
      </c>
      <c r="R1106">
        <v>67.119741346612642</v>
      </c>
      <c r="S1106">
        <v>77.784722012998088</v>
      </c>
      <c r="T1106">
        <v>1</v>
      </c>
      <c r="U1106">
        <v>2.644649778544732</v>
      </c>
    </row>
    <row r="1107" spans="1:21">
      <c r="A1107">
        <v>-1.4692592591399574</v>
      </c>
      <c r="B1107">
        <v>-7.8818693050745001E-2</v>
      </c>
      <c r="C1107">
        <v>1.7918847095184587</v>
      </c>
      <c r="D1107">
        <v>0</v>
      </c>
      <c r="E1107">
        <v>0.32142504955198337</v>
      </c>
      <c r="F1107">
        <v>0.55099779635314949</v>
      </c>
      <c r="G1107">
        <v>0</v>
      </c>
      <c r="H1107">
        <v>1.1246404333741757</v>
      </c>
      <c r="I1107">
        <v>0.13706877921721114</v>
      </c>
      <c r="J1107">
        <v>0.52444184629160384</v>
      </c>
      <c r="L1107">
        <v>0.66403915953666837</v>
      </c>
      <c r="M1107">
        <v>4.0704386320712374</v>
      </c>
      <c r="N1107">
        <v>3.6318634508164065</v>
      </c>
      <c r="P1107">
        <v>4.3861705215721918E-12</v>
      </c>
      <c r="R1107">
        <v>67.119741346612642</v>
      </c>
      <c r="S1107">
        <v>77.784722012998088</v>
      </c>
      <c r="T1107">
        <v>1</v>
      </c>
      <c r="U1107">
        <v>2.644649778544732</v>
      </c>
    </row>
    <row r="1108" spans="1:21">
      <c r="A1108">
        <v>-1.4767109861126801</v>
      </c>
      <c r="B1108">
        <v>-0.10611377613246767</v>
      </c>
      <c r="C1108">
        <v>2.0249813027716317</v>
      </c>
      <c r="D1108">
        <v>0.34981920878714923</v>
      </c>
      <c r="E1108">
        <v>0.25975882502768527</v>
      </c>
      <c r="F1108">
        <v>0</v>
      </c>
      <c r="G1108">
        <v>0.42141568475341012</v>
      </c>
      <c r="H1108">
        <v>0.40043035504184549</v>
      </c>
      <c r="I1108">
        <v>8.8015567416850557E-3</v>
      </c>
      <c r="J1108">
        <v>0.64732479423210221</v>
      </c>
      <c r="L1108">
        <v>0.66403825413200102</v>
      </c>
      <c r="M1108">
        <v>4.0704387665855437</v>
      </c>
      <c r="N1108">
        <v>3.6318636539585771</v>
      </c>
      <c r="P1108">
        <v>2.0945052833528163E-12</v>
      </c>
      <c r="R1108">
        <v>67.119741346612642</v>
      </c>
      <c r="S1108">
        <v>77.784722012998088</v>
      </c>
      <c r="T1108">
        <v>1</v>
      </c>
      <c r="U1108">
        <v>2.644649778544732</v>
      </c>
    </row>
    <row r="1109" spans="1:21">
      <c r="A1109">
        <v>-1.4648680460972239</v>
      </c>
      <c r="B1109">
        <v>-7.8564548605657439E-2</v>
      </c>
      <c r="C1109">
        <v>1.6755643990058198</v>
      </c>
      <c r="D1109">
        <v>4.2145934099262879E-2</v>
      </c>
      <c r="E1109">
        <v>0.24316117385650676</v>
      </c>
      <c r="F1109">
        <v>0</v>
      </c>
      <c r="G1109">
        <v>6.7379730248325026E-2</v>
      </c>
      <c r="H1109">
        <v>1.2496783179426221</v>
      </c>
      <c r="I1109">
        <v>0.43571414793079838</v>
      </c>
      <c r="J1109">
        <v>0.87905003117517511</v>
      </c>
      <c r="L1109">
        <v>0.66404425836163616</v>
      </c>
      <c r="M1109">
        <v>4.0704465798439209</v>
      </c>
      <c r="N1109">
        <v>3.6318268947450427</v>
      </c>
      <c r="P1109">
        <v>1.3846174045804549E-9</v>
      </c>
      <c r="R1109">
        <v>67.119741346612642</v>
      </c>
      <c r="S1109">
        <v>77.784722012998088</v>
      </c>
      <c r="T1109">
        <v>1</v>
      </c>
      <c r="U1109">
        <v>2.644649778544732</v>
      </c>
    </row>
    <row r="1110" spans="1:21">
      <c r="A1110">
        <v>-1.4654835449335917</v>
      </c>
      <c r="B1110">
        <v>-7.6613890726059647E-2</v>
      </c>
      <c r="C1110">
        <v>1.523098097449906</v>
      </c>
      <c r="D1110">
        <v>0</v>
      </c>
      <c r="E1110">
        <v>0.36475228808714233</v>
      </c>
      <c r="F1110">
        <v>0</v>
      </c>
      <c r="G1110">
        <v>0.31304034102825207</v>
      </c>
      <c r="H1110">
        <v>1.4930164657207714</v>
      </c>
      <c r="I1110">
        <v>0.17328570298802604</v>
      </c>
      <c r="J1110">
        <v>1.2256260520866178</v>
      </c>
      <c r="L1110">
        <v>0.66403758972662674</v>
      </c>
      <c r="M1110">
        <v>4.0704415722660361</v>
      </c>
      <c r="N1110">
        <v>3.6318643797624262</v>
      </c>
      <c r="P1110">
        <v>6.7440839078981591E-12</v>
      </c>
      <c r="R1110">
        <v>67.119741346612642</v>
      </c>
      <c r="S1110">
        <v>77.784722012998088</v>
      </c>
      <c r="T1110">
        <v>1</v>
      </c>
      <c r="U1110">
        <v>2.644649778544732</v>
      </c>
    </row>
    <row r="1111" spans="1:21">
      <c r="A1111">
        <v>-1.4675308708611388</v>
      </c>
      <c r="B1111">
        <v>-8.2020894913361175E-2</v>
      </c>
      <c r="C1111">
        <v>1.7518802474393738</v>
      </c>
      <c r="D1111">
        <v>0</v>
      </c>
      <c r="E1111">
        <v>0.44262357450448719</v>
      </c>
      <c r="F1111">
        <v>0</v>
      </c>
      <c r="G1111">
        <v>6.3378935798284519E-2</v>
      </c>
      <c r="H1111">
        <v>1.0192880015027548</v>
      </c>
      <c r="I1111">
        <v>0.42614514555684779</v>
      </c>
      <c r="J1111">
        <v>0.62889268008981924</v>
      </c>
      <c r="L1111">
        <v>0.66403880040492669</v>
      </c>
      <c r="M1111">
        <v>4.0704388052882283</v>
      </c>
      <c r="N1111">
        <v>3.6318636264099036</v>
      </c>
      <c r="P1111">
        <v>3.2290373039995913E-12</v>
      </c>
      <c r="R1111">
        <v>67.119741346612642</v>
      </c>
      <c r="S1111">
        <v>77.784722012998088</v>
      </c>
      <c r="T1111">
        <v>1</v>
      </c>
      <c r="U1111">
        <v>2.644649778544732</v>
      </c>
    </row>
    <row r="1112" spans="1:21">
      <c r="A1112">
        <v>-1.4640042187419677</v>
      </c>
      <c r="B1112">
        <v>-7.7014211946740338E-2</v>
      </c>
      <c r="C1112">
        <v>1.4955740890740283</v>
      </c>
      <c r="D1112">
        <v>0</v>
      </c>
      <c r="E1112">
        <v>0.622969653638073</v>
      </c>
      <c r="F1112">
        <v>0</v>
      </c>
      <c r="G1112">
        <v>0</v>
      </c>
      <c r="H1112">
        <v>1.0743037193405858</v>
      </c>
      <c r="I1112">
        <v>8.9231527436916966E-2</v>
      </c>
      <c r="J1112">
        <v>1.1321085541485965</v>
      </c>
      <c r="L1112">
        <v>0.66403947372418903</v>
      </c>
      <c r="M1112">
        <v>4.0704386735686677</v>
      </c>
      <c r="N1112">
        <v>3.6318636014144929</v>
      </c>
      <c r="P1112">
        <v>5.7463778929451244E-12</v>
      </c>
      <c r="R1112">
        <v>67.119741346612642</v>
      </c>
      <c r="S1112">
        <v>77.784722012998088</v>
      </c>
      <c r="T1112">
        <v>1</v>
      </c>
      <c r="U1112">
        <v>2.644649778544732</v>
      </c>
    </row>
    <row r="1113" spans="1:21">
      <c r="A1113">
        <v>-1.4633106241333074</v>
      </c>
      <c r="B1113">
        <v>-8.2338635337383101E-2</v>
      </c>
      <c r="C1113">
        <v>1.6465724885285646</v>
      </c>
      <c r="D1113">
        <v>0</v>
      </c>
      <c r="E1113">
        <v>0.37424831511067946</v>
      </c>
      <c r="F1113">
        <v>0</v>
      </c>
      <c r="G1113">
        <v>0</v>
      </c>
      <c r="H1113">
        <v>0.91468665682106709</v>
      </c>
      <c r="I1113">
        <v>0.55229943321389885</v>
      </c>
      <c r="J1113">
        <v>1.1882846855196696</v>
      </c>
      <c r="L1113">
        <v>0.6640397319250767</v>
      </c>
      <c r="M1113">
        <v>4.0704388459951204</v>
      </c>
      <c r="N1113">
        <v>3.6318637399356475</v>
      </c>
      <c r="P1113">
        <v>6.8668447138597284E-12</v>
      </c>
      <c r="R1113">
        <v>67.119741346612642</v>
      </c>
      <c r="S1113">
        <v>77.784722012998088</v>
      </c>
      <c r="T1113">
        <v>1</v>
      </c>
      <c r="U1113">
        <v>2.644649778544732</v>
      </c>
    </row>
    <row r="1114" spans="1:21">
      <c r="A1114">
        <v>-1.4679768773860513</v>
      </c>
      <c r="B1114">
        <v>-8.5765748187491733E-2</v>
      </c>
      <c r="C1114">
        <v>1.7321415519300865</v>
      </c>
      <c r="D1114">
        <v>0</v>
      </c>
      <c r="E1114">
        <v>0.31560630599122896</v>
      </c>
      <c r="F1114">
        <v>0.27924352654966778</v>
      </c>
      <c r="G1114">
        <v>0</v>
      </c>
      <c r="H1114">
        <v>0.69280460510711683</v>
      </c>
      <c r="I1114">
        <v>0</v>
      </c>
      <c r="J1114">
        <v>0.8935953488101176</v>
      </c>
      <c r="L1114">
        <v>0.66407896398310318</v>
      </c>
      <c r="M1114">
        <v>4.070394122787965</v>
      </c>
      <c r="N1114">
        <v>3.6319088316252643</v>
      </c>
      <c r="P1114">
        <v>5.911095243321336E-9</v>
      </c>
      <c r="R1114">
        <v>67.119741346612642</v>
      </c>
      <c r="S1114">
        <v>77.784722012998088</v>
      </c>
      <c r="T1114">
        <v>1</v>
      </c>
      <c r="U1114">
        <v>2.644649778544732</v>
      </c>
    </row>
    <row r="1115" spans="1:21">
      <c r="A1115">
        <v>-1.4694273971012846</v>
      </c>
      <c r="B1115">
        <v>-8.8619029441240685E-2</v>
      </c>
      <c r="C1115">
        <v>1.7942548890184014</v>
      </c>
      <c r="D1115">
        <v>0</v>
      </c>
      <c r="E1115">
        <v>0.44425968572439178</v>
      </c>
      <c r="F1115">
        <v>0.13692633281568187</v>
      </c>
      <c r="G1115">
        <v>0.2824394631286985</v>
      </c>
      <c r="H1115">
        <v>0.91144807476306144</v>
      </c>
      <c r="I1115">
        <v>0.50479448629997981</v>
      </c>
      <c r="J1115">
        <v>0.95555691328320491</v>
      </c>
      <c r="L1115">
        <v>0.66403815657832677</v>
      </c>
      <c r="M1115">
        <v>4.0704415989041385</v>
      </c>
      <c r="N1115">
        <v>3.631864831257845</v>
      </c>
      <c r="P1115">
        <v>9.045507825274066E-12</v>
      </c>
      <c r="R1115">
        <v>67.119741346612642</v>
      </c>
      <c r="S1115">
        <v>77.784722012998088</v>
      </c>
      <c r="T1115">
        <v>1</v>
      </c>
      <c r="U1115">
        <v>2.644649778544732</v>
      </c>
    </row>
    <row r="1116" spans="1:21">
      <c r="A1116">
        <v>-1.4671154088297405</v>
      </c>
      <c r="B1116">
        <v>-8.1743988823600136E-2</v>
      </c>
      <c r="C1116">
        <v>1.6428959276720023</v>
      </c>
      <c r="D1116">
        <v>0</v>
      </c>
      <c r="E1116">
        <v>0.28706449993528316</v>
      </c>
      <c r="F1116">
        <v>0</v>
      </c>
      <c r="G1116">
        <v>0.13624014026658293</v>
      </c>
      <c r="H1116">
        <v>1.0388652366583004</v>
      </c>
      <c r="I1116">
        <v>0</v>
      </c>
      <c r="J1116">
        <v>0.91132779461056457</v>
      </c>
      <c r="L1116">
        <v>0.66403854435533693</v>
      </c>
      <c r="M1116">
        <v>4.0704388735977499</v>
      </c>
      <c r="N1116">
        <v>3.6318632686402248</v>
      </c>
      <c r="P1116">
        <v>2.0018716382084212E-12</v>
      </c>
      <c r="R1116">
        <v>67.119741346612642</v>
      </c>
      <c r="S1116">
        <v>77.784722012998088</v>
      </c>
      <c r="T1116">
        <v>1</v>
      </c>
      <c r="U1116">
        <v>2.644649778544732</v>
      </c>
    </row>
    <row r="1117" spans="1:21">
      <c r="A1117">
        <v>-1.4664936405976086</v>
      </c>
      <c r="B1117">
        <v>-7.9592963354101348E-2</v>
      </c>
      <c r="C1117">
        <v>1.6709705402456358</v>
      </c>
      <c r="D1117">
        <v>0</v>
      </c>
      <c r="E1117">
        <v>0.25546281740571258</v>
      </c>
      <c r="F1117">
        <v>0</v>
      </c>
      <c r="G1117">
        <v>0</v>
      </c>
      <c r="H1117">
        <v>0.77082003916686637</v>
      </c>
      <c r="I1117">
        <v>0</v>
      </c>
      <c r="J1117">
        <v>0.76479713883726452</v>
      </c>
      <c r="L1117">
        <v>0.65926654533643358</v>
      </c>
      <c r="M1117">
        <v>4.069931244661066</v>
      </c>
      <c r="N1117">
        <v>3.6334282993624654</v>
      </c>
      <c r="P1117">
        <v>2.5470188014847108E-5</v>
      </c>
      <c r="R1117">
        <v>67.119741346612642</v>
      </c>
      <c r="S1117">
        <v>77.784722012998088</v>
      </c>
      <c r="T1117">
        <v>1</v>
      </c>
      <c r="U1117">
        <v>2.644649778544732</v>
      </c>
    </row>
    <row r="1118" spans="1:21">
      <c r="A1118">
        <v>-1.4698753451913653</v>
      </c>
      <c r="B1118">
        <v>-8.8697399060546384E-2</v>
      </c>
      <c r="C1118">
        <v>1.8210427923851988</v>
      </c>
      <c r="D1118">
        <v>0</v>
      </c>
      <c r="E1118">
        <v>0.28763700820587051</v>
      </c>
      <c r="F1118">
        <v>0</v>
      </c>
      <c r="G1118">
        <v>0.33074219227254092</v>
      </c>
      <c r="H1118">
        <v>0.98366781332667275</v>
      </c>
      <c r="I1118">
        <v>0.46638008521892022</v>
      </c>
      <c r="J1118">
        <v>0.83105874495046306</v>
      </c>
      <c r="L1118">
        <v>0.66403881617694238</v>
      </c>
      <c r="M1118">
        <v>4.0704389926947409</v>
      </c>
      <c r="N1118">
        <v>3.6318630911562351</v>
      </c>
      <c r="P1118">
        <v>2.417135261605859E-12</v>
      </c>
      <c r="R1118">
        <v>67.119741346612642</v>
      </c>
      <c r="S1118">
        <v>77.784722012998088</v>
      </c>
      <c r="T1118">
        <v>1</v>
      </c>
      <c r="U1118">
        <v>2.644649778544732</v>
      </c>
    </row>
    <row r="1119" spans="1:21">
      <c r="A1119">
        <v>-1.4655126330096122</v>
      </c>
      <c r="B1119">
        <v>-7.2128252051746708E-2</v>
      </c>
      <c r="C1119">
        <v>1.563710003492554</v>
      </c>
      <c r="D1119">
        <v>0</v>
      </c>
      <c r="E1119">
        <v>0.42064238731878367</v>
      </c>
      <c r="F1119">
        <v>0</v>
      </c>
      <c r="G1119">
        <v>0</v>
      </c>
      <c r="H1119">
        <v>1.3901449101436822</v>
      </c>
      <c r="I1119">
        <v>0</v>
      </c>
      <c r="J1119">
        <v>0.64940581180336066</v>
      </c>
      <c r="L1119">
        <v>0.66403852515832751</v>
      </c>
      <c r="M1119">
        <v>4.0704383932304209</v>
      </c>
      <c r="N1119">
        <v>3.6318641678819881</v>
      </c>
      <c r="P1119">
        <v>4.5092924020294499E-12</v>
      </c>
      <c r="R1119">
        <v>67.119741346612642</v>
      </c>
      <c r="S1119">
        <v>77.784722012998088</v>
      </c>
      <c r="T1119">
        <v>1</v>
      </c>
      <c r="U1119">
        <v>2.644649778544732</v>
      </c>
    </row>
    <row r="1120" spans="1:21">
      <c r="A1120">
        <v>-1.4657773675052661</v>
      </c>
      <c r="B1120">
        <v>-6.7980225717392109E-2</v>
      </c>
      <c r="C1120">
        <v>1.4965873126191518</v>
      </c>
      <c r="D1120">
        <v>0</v>
      </c>
      <c r="E1120">
        <v>0.20054057861437627</v>
      </c>
      <c r="F1120">
        <v>0.2497971302771412</v>
      </c>
      <c r="G1120">
        <v>0</v>
      </c>
      <c r="H1120">
        <v>1.0640259115613029</v>
      </c>
      <c r="I1120">
        <v>0</v>
      </c>
      <c r="J1120">
        <v>0.39871427872520232</v>
      </c>
      <c r="L1120">
        <v>0.65474909428380057</v>
      </c>
      <c r="M1120">
        <v>4.078224018972934</v>
      </c>
      <c r="N1120">
        <v>3.6244618902546257</v>
      </c>
      <c r="P1120">
        <v>2.0164386154387473E-4</v>
      </c>
      <c r="R1120">
        <v>67.119741346612642</v>
      </c>
      <c r="S1120">
        <v>77.784722012998088</v>
      </c>
      <c r="T1120">
        <v>1</v>
      </c>
      <c r="U1120">
        <v>2.644649778544732</v>
      </c>
    </row>
    <row r="1121" spans="1:21">
      <c r="A1121">
        <v>-1.4184247462404573</v>
      </c>
      <c r="B1121">
        <v>-9.6164583234056328E-2</v>
      </c>
      <c r="C1121">
        <v>-0.37800938941673623</v>
      </c>
      <c r="D1121">
        <v>0</v>
      </c>
      <c r="E1121">
        <v>0.13447437824985711</v>
      </c>
      <c r="F1121">
        <v>8.6562954300477182E-2</v>
      </c>
      <c r="G1121">
        <v>0.87998364733285217</v>
      </c>
      <c r="H1121">
        <v>0.36212585761385874</v>
      </c>
      <c r="I1121">
        <v>0.59304889419768025</v>
      </c>
      <c r="J1121">
        <v>0.37201082785153256</v>
      </c>
      <c r="L1121">
        <v>0.6640358918838053</v>
      </c>
      <c r="M1121">
        <v>4.0704407397228177</v>
      </c>
      <c r="N1121">
        <v>2.2145068612273784</v>
      </c>
      <c r="P1121">
        <v>4.2385332401502899E-12</v>
      </c>
      <c r="R1121">
        <v>8.9535198750458687</v>
      </c>
      <c r="S1121">
        <v>8.9880513431210201</v>
      </c>
      <c r="T1121">
        <v>1</v>
      </c>
      <c r="U1121">
        <v>2.6238950014220412</v>
      </c>
    </row>
    <row r="1122" spans="1:21">
      <c r="A1122">
        <v>-1.4127718879084226</v>
      </c>
      <c r="B1122">
        <v>-8.2835956387493498E-2</v>
      </c>
      <c r="C1122">
        <v>-0.33080818244886429</v>
      </c>
      <c r="D1122">
        <v>9.248293105023387E-3</v>
      </c>
      <c r="E1122">
        <v>0</v>
      </c>
      <c r="F1122">
        <v>0</v>
      </c>
      <c r="G1122">
        <v>0.26587606326765972</v>
      </c>
      <c r="H1122">
        <v>0.52728173163566228</v>
      </c>
      <c r="I1122">
        <v>0.94920150888421007</v>
      </c>
      <c r="J1122">
        <v>0.78765264443670213</v>
      </c>
      <c r="L1122">
        <v>0.66403587792466456</v>
      </c>
      <c r="M1122">
        <v>4.0704408562244065</v>
      </c>
      <c r="N1122">
        <v>2.2145068333673015</v>
      </c>
      <c r="P1122">
        <v>4.6164397677843185E-12</v>
      </c>
      <c r="R1122">
        <v>8.9535198750458687</v>
      </c>
      <c r="S1122">
        <v>8.9880513431210201</v>
      </c>
      <c r="T1122">
        <v>1</v>
      </c>
      <c r="U1122">
        <v>2.6238950014220412</v>
      </c>
    </row>
    <row r="1123" spans="1:21">
      <c r="A1123">
        <v>-1.4196753628102363</v>
      </c>
      <c r="B1123">
        <v>-8.8706194518587356E-2</v>
      </c>
      <c r="C1123">
        <v>-0.33615280848395779</v>
      </c>
      <c r="D1123">
        <v>0</v>
      </c>
      <c r="E1123">
        <v>0.26197385448938076</v>
      </c>
      <c r="F1123">
        <v>0</v>
      </c>
      <c r="G1123">
        <v>0.51096572533858187</v>
      </c>
      <c r="H1123">
        <v>0.33626034511696007</v>
      </c>
      <c r="I1123">
        <v>0.2382796786724356</v>
      </c>
      <c r="J1123">
        <v>0.76844315897213</v>
      </c>
      <c r="L1123">
        <v>0.66403589173691457</v>
      </c>
      <c r="M1123">
        <v>4.0704408688754246</v>
      </c>
      <c r="N1123">
        <v>2.2145067977360284</v>
      </c>
      <c r="P1123">
        <v>4.6637894541226382E-12</v>
      </c>
      <c r="R1123">
        <v>8.9535198750458687</v>
      </c>
      <c r="S1123">
        <v>8.9880513431210201</v>
      </c>
      <c r="T1123">
        <v>1</v>
      </c>
      <c r="U1123">
        <v>2.6238950014220412</v>
      </c>
    </row>
    <row r="1124" spans="1:21">
      <c r="A1124">
        <v>-1.4152040334475313</v>
      </c>
      <c r="B1124">
        <v>-6.9535449642940172E-2</v>
      </c>
      <c r="C1124">
        <v>-0.30122263403231675</v>
      </c>
      <c r="D1124">
        <v>0</v>
      </c>
      <c r="E1124">
        <v>0</v>
      </c>
      <c r="F1124">
        <v>0.33393213216673345</v>
      </c>
      <c r="G1124">
        <v>6.3135284700978248E-2</v>
      </c>
      <c r="H1124">
        <v>1.0133923289816487</v>
      </c>
      <c r="I1124">
        <v>0.54279429495901677</v>
      </c>
      <c r="J1124">
        <v>0.80994783646158863</v>
      </c>
      <c r="L1124">
        <v>0.66403589389140649</v>
      </c>
      <c r="M1124">
        <v>4.0704408943982164</v>
      </c>
      <c r="N1124">
        <v>2.2145067684859754</v>
      </c>
      <c r="P1124">
        <v>4.7734477604068893E-12</v>
      </c>
      <c r="R1124">
        <v>8.9535198750458687</v>
      </c>
      <c r="S1124">
        <v>8.9880513431210201</v>
      </c>
      <c r="T1124">
        <v>1</v>
      </c>
      <c r="U1124">
        <v>2.6238950014220412</v>
      </c>
    </row>
    <row r="1125" spans="1:21">
      <c r="A1125">
        <v>-1.4142135464821977</v>
      </c>
      <c r="B1125">
        <v>-9.7377286454585169E-2</v>
      </c>
      <c r="C1125">
        <v>-0.38477538036639369</v>
      </c>
      <c r="D1125">
        <v>0.46921609336584891</v>
      </c>
      <c r="E1125">
        <v>0</v>
      </c>
      <c r="F1125">
        <v>0</v>
      </c>
      <c r="G1125">
        <v>0.71640592281638538</v>
      </c>
      <c r="H1125">
        <v>0.54627236905266574</v>
      </c>
      <c r="I1125">
        <v>0.91957613066391242</v>
      </c>
      <c r="J1125">
        <v>0.26558383015358056</v>
      </c>
      <c r="L1125">
        <v>0.66403629286210852</v>
      </c>
      <c r="M1125">
        <v>4.0704410871019157</v>
      </c>
      <c r="N1125">
        <v>2.2145064253876816</v>
      </c>
      <c r="P1125">
        <v>4.9814464993462615E-12</v>
      </c>
      <c r="R1125">
        <v>8.9535198750458687</v>
      </c>
      <c r="S1125">
        <v>8.9880513431210201</v>
      </c>
      <c r="T1125">
        <v>1</v>
      </c>
      <c r="U1125">
        <v>2.6238950014220412</v>
      </c>
    </row>
    <row r="1126" spans="1:21">
      <c r="A1126">
        <v>-1.4129426343108116</v>
      </c>
      <c r="B1126">
        <v>-8.9277471201434852E-2</v>
      </c>
      <c r="C1126">
        <v>-0.36190009003949497</v>
      </c>
      <c r="D1126">
        <v>9.0141903370674851E-3</v>
      </c>
      <c r="E1126">
        <v>0</v>
      </c>
      <c r="F1126">
        <v>0</v>
      </c>
      <c r="G1126">
        <v>0.31823082080740811</v>
      </c>
      <c r="H1126">
        <v>0.1846721382133874</v>
      </c>
      <c r="I1126">
        <v>0.77262065827788928</v>
      </c>
      <c r="J1126">
        <v>0.18647334959594605</v>
      </c>
      <c r="L1126">
        <v>0.66403591524222683</v>
      </c>
      <c r="M1126">
        <v>4.0704407765714663</v>
      </c>
      <c r="N1126">
        <v>2.2145068101800707</v>
      </c>
      <c r="P1126">
        <v>4.3364395142488858E-12</v>
      </c>
      <c r="R1126">
        <v>8.9535198750458687</v>
      </c>
      <c r="S1126">
        <v>8.9880513431210201</v>
      </c>
      <c r="T1126">
        <v>1</v>
      </c>
      <c r="U1126">
        <v>2.6238950014220412</v>
      </c>
    </row>
    <row r="1127" spans="1:21">
      <c r="A1127">
        <v>-1.4151418755094305</v>
      </c>
      <c r="B1127">
        <v>-9.3814428078867279E-2</v>
      </c>
      <c r="C1127">
        <v>-0.35552485217875696</v>
      </c>
      <c r="D1127">
        <v>0</v>
      </c>
      <c r="E1127">
        <v>0</v>
      </c>
      <c r="F1127">
        <v>0</v>
      </c>
      <c r="G1127">
        <v>0.43524349145775754</v>
      </c>
      <c r="H1127">
        <v>1.9922261437522109E-2</v>
      </c>
      <c r="I1127">
        <v>0.52334414940592278</v>
      </c>
      <c r="J1127">
        <v>0.65588759511358907</v>
      </c>
      <c r="L1127">
        <v>0.66403588065459429</v>
      </c>
      <c r="M1127">
        <v>4.0704407898361161</v>
      </c>
      <c r="N1127">
        <v>2.2145068540587074</v>
      </c>
      <c r="P1127">
        <v>4.4061546918793329E-12</v>
      </c>
      <c r="R1127">
        <v>8.9535198750458687</v>
      </c>
      <c r="S1127">
        <v>8.9880513431210201</v>
      </c>
      <c r="T1127">
        <v>1</v>
      </c>
      <c r="U1127">
        <v>2.6238950014220412</v>
      </c>
    </row>
    <row r="1128" spans="1:21">
      <c r="A1128">
        <v>-1.4233427839585988</v>
      </c>
      <c r="B1128">
        <v>-7.7146975134918999E-2</v>
      </c>
      <c r="C1128">
        <v>-0.32250741192100862</v>
      </c>
      <c r="D1128">
        <v>6.2850730363502444E-2</v>
      </c>
      <c r="E1128">
        <v>0.88528856963744629</v>
      </c>
      <c r="F1128">
        <v>8.4422971143154557E-2</v>
      </c>
      <c r="G1128">
        <v>0.51498529639409563</v>
      </c>
      <c r="H1128">
        <v>1.0031844340798326</v>
      </c>
      <c r="I1128">
        <v>0.39749741348116374</v>
      </c>
      <c r="J1128">
        <v>0.33428088436991293</v>
      </c>
      <c r="L1128">
        <v>0.66403588290090443</v>
      </c>
      <c r="M1128">
        <v>4.07044088085678</v>
      </c>
      <c r="N1128">
        <v>2.2145067900308137</v>
      </c>
      <c r="P1128">
        <v>4.7348096120390818E-12</v>
      </c>
      <c r="R1128">
        <v>8.9535198750458687</v>
      </c>
      <c r="S1128">
        <v>8.9880513431210201</v>
      </c>
      <c r="T1128">
        <v>1</v>
      </c>
      <c r="U1128">
        <v>2.6238950014220412</v>
      </c>
    </row>
    <row r="1129" spans="1:21">
      <c r="A1129">
        <v>-1.420067962078384</v>
      </c>
      <c r="B1129">
        <v>-9.3793946403184156E-2</v>
      </c>
      <c r="C1129">
        <v>-0.3565450758883224</v>
      </c>
      <c r="D1129">
        <v>0.123518723588358</v>
      </c>
      <c r="E1129">
        <v>0.56190440824277621</v>
      </c>
      <c r="F1129">
        <v>0.23275385390341954</v>
      </c>
      <c r="G1129">
        <v>0.88813909617764142</v>
      </c>
      <c r="H1129">
        <v>0.59573721860637729</v>
      </c>
      <c r="I1129">
        <v>0.83596761262576791</v>
      </c>
      <c r="J1129">
        <v>0.94410499415261506</v>
      </c>
      <c r="L1129">
        <v>0.66403585297832535</v>
      </c>
      <c r="M1129">
        <v>4.0704408688020175</v>
      </c>
      <c r="N1129">
        <v>2.2145068880973264</v>
      </c>
      <c r="P1129">
        <v>4.6458553693744205E-12</v>
      </c>
      <c r="R1129">
        <v>8.9535198750458687</v>
      </c>
      <c r="S1129">
        <v>8.9880513431210201</v>
      </c>
      <c r="T1129">
        <v>1</v>
      </c>
      <c r="U1129">
        <v>2.6238950014220412</v>
      </c>
    </row>
    <row r="1130" spans="1:21">
      <c r="A1130">
        <v>-1.4137810243671782</v>
      </c>
      <c r="B1130">
        <v>-9.972008987359085E-2</v>
      </c>
      <c r="C1130">
        <v>-0.39340248866149441</v>
      </c>
      <c r="D1130">
        <v>4.545547131776749E-2</v>
      </c>
      <c r="E1130">
        <v>0</v>
      </c>
      <c r="F1130">
        <v>0.14436847227269917</v>
      </c>
      <c r="G1130">
        <v>0.69848379198729693</v>
      </c>
      <c r="H1130">
        <v>4.3765109170223797E-2</v>
      </c>
      <c r="I1130">
        <v>0.89918758677215094</v>
      </c>
      <c r="J1130">
        <v>0.22936094804082194</v>
      </c>
      <c r="L1130">
        <v>0.66403598029124733</v>
      </c>
      <c r="M1130">
        <v>4.0704406192262468</v>
      </c>
      <c r="N1130">
        <v>2.2145067779131224</v>
      </c>
      <c r="P1130">
        <v>3.8341189052333375E-12</v>
      </c>
      <c r="R1130">
        <v>8.9535198750458687</v>
      </c>
      <c r="S1130">
        <v>8.9880513431210201</v>
      </c>
      <c r="T1130">
        <v>1</v>
      </c>
      <c r="U1130">
        <v>2.6238950014220412</v>
      </c>
    </row>
    <row r="1131" spans="1:21">
      <c r="A1131">
        <v>-1.4213515021111671</v>
      </c>
      <c r="B1131">
        <v>-8.3456599064266931E-2</v>
      </c>
      <c r="C1131">
        <v>-0.35285213927942671</v>
      </c>
      <c r="D1131">
        <v>0</v>
      </c>
      <c r="E1131">
        <v>0.24953849163113323</v>
      </c>
      <c r="F1131">
        <v>0</v>
      </c>
      <c r="G1131">
        <v>0.8585046219565895</v>
      </c>
      <c r="H1131">
        <v>1.0391954551059113</v>
      </c>
      <c r="I1131">
        <v>0.44274283021165567</v>
      </c>
      <c r="J1131">
        <v>0.15683801123779356</v>
      </c>
      <c r="L1131">
        <v>0.66403590108567456</v>
      </c>
      <c r="M1131">
        <v>4.0704408494684037</v>
      </c>
      <c r="N1131">
        <v>2.2145067957969848</v>
      </c>
      <c r="P1131">
        <v>4.5875111885281956E-12</v>
      </c>
      <c r="R1131">
        <v>8.9535198750458687</v>
      </c>
      <c r="S1131">
        <v>8.9880513431210201</v>
      </c>
      <c r="T1131">
        <v>1</v>
      </c>
      <c r="U1131">
        <v>2.6238950014220412</v>
      </c>
    </row>
    <row r="1132" spans="1:21">
      <c r="A1132">
        <v>-1.4143724090198051</v>
      </c>
      <c r="B1132">
        <v>-9.8955499731609345E-2</v>
      </c>
      <c r="C1132">
        <v>-0.36171974331529533</v>
      </c>
      <c r="D1132">
        <v>0.85865768157847377</v>
      </c>
      <c r="E1132">
        <v>0.24963415671634709</v>
      </c>
      <c r="F1132">
        <v>0</v>
      </c>
      <c r="G1132">
        <v>0.47602336285281149</v>
      </c>
      <c r="H1132">
        <v>0.47812954795704593</v>
      </c>
      <c r="I1132">
        <v>0.84764097338878464</v>
      </c>
      <c r="J1132">
        <v>0.85904440831671558</v>
      </c>
      <c r="L1132">
        <v>0.66403592001927392</v>
      </c>
      <c r="M1132">
        <v>4.0704408404532559</v>
      </c>
      <c r="N1132">
        <v>2.2145067931702682</v>
      </c>
      <c r="P1132">
        <v>4.5119732355730541E-12</v>
      </c>
      <c r="R1132">
        <v>8.9535198750458687</v>
      </c>
      <c r="S1132">
        <v>8.9880513431210201</v>
      </c>
      <c r="T1132">
        <v>1</v>
      </c>
      <c r="U1132">
        <v>2.6238950014220412</v>
      </c>
    </row>
    <row r="1133" spans="1:21">
      <c r="A1133">
        <v>-1.4148918250007456</v>
      </c>
      <c r="B1133">
        <v>-9.1024543883509779E-2</v>
      </c>
      <c r="C1133">
        <v>-0.35882740173849709</v>
      </c>
      <c r="D1133">
        <v>0</v>
      </c>
      <c r="E1133">
        <v>0</v>
      </c>
      <c r="F1133">
        <v>0</v>
      </c>
      <c r="G1133">
        <v>0.68246746114532408</v>
      </c>
      <c r="H1133">
        <v>0.50364666240226497</v>
      </c>
      <c r="I1133">
        <v>0.95176305187278964</v>
      </c>
      <c r="J1133">
        <v>0.66285650213630665</v>
      </c>
      <c r="L1133">
        <v>0.66403642141103159</v>
      </c>
      <c r="M1133">
        <v>4.0704411914355649</v>
      </c>
      <c r="N1133">
        <v>2.2145063458670049</v>
      </c>
      <c r="P1133">
        <v>5.242050223169814E-12</v>
      </c>
      <c r="R1133">
        <v>8.9535198750458687</v>
      </c>
      <c r="S1133">
        <v>8.9880513431210201</v>
      </c>
      <c r="T1133">
        <v>1</v>
      </c>
      <c r="U1133">
        <v>2.6238950014220412</v>
      </c>
    </row>
    <row r="1134" spans="1:21">
      <c r="A1134">
        <v>-1.4214962454361437</v>
      </c>
      <c r="B1134">
        <v>-8.5058759171891624E-2</v>
      </c>
      <c r="C1134">
        <v>-0.3520680553234885</v>
      </c>
      <c r="D1134">
        <v>5.8170981251513806E-2</v>
      </c>
      <c r="E1134">
        <v>0.25245048135553616</v>
      </c>
      <c r="F1134">
        <v>0</v>
      </c>
      <c r="G1134">
        <v>0.66769028973586964</v>
      </c>
      <c r="H1134">
        <v>0.74478667602766346</v>
      </c>
      <c r="I1134">
        <v>0.12334624878242351</v>
      </c>
      <c r="J1134">
        <v>6.2046762195257565E-2</v>
      </c>
      <c r="L1134">
        <v>0.66403592887514074</v>
      </c>
      <c r="M1134">
        <v>4.0704406794921972</v>
      </c>
      <c r="N1134">
        <v>2.2145067843284605</v>
      </c>
      <c r="P1134">
        <v>4.1058689537392667E-12</v>
      </c>
      <c r="R1134">
        <v>8.9535198750458687</v>
      </c>
      <c r="S1134">
        <v>8.9880513431210201</v>
      </c>
      <c r="T1134">
        <v>1</v>
      </c>
      <c r="U1134">
        <v>2.6238950014220412</v>
      </c>
    </row>
    <row r="1135" spans="1:21">
      <c r="A1135">
        <v>-1.4176519797664022</v>
      </c>
      <c r="B1135">
        <v>-8.8419078882225513E-2</v>
      </c>
      <c r="C1135">
        <v>-0.37123454963775909</v>
      </c>
      <c r="D1135">
        <v>0</v>
      </c>
      <c r="E1135">
        <v>0.25647517987575047</v>
      </c>
      <c r="F1135">
        <v>0</v>
      </c>
      <c r="G1135">
        <v>0.79281264018188635</v>
      </c>
      <c r="H1135">
        <v>0.72714280422889321</v>
      </c>
      <c r="I1135">
        <v>0.85028740310588202</v>
      </c>
      <c r="J1135">
        <v>2.3061316028905439E-2</v>
      </c>
      <c r="L1135">
        <v>0.66403588957193227</v>
      </c>
      <c r="M1135">
        <v>4.0704407944862071</v>
      </c>
      <c r="N1135">
        <v>2.2145068495060416</v>
      </c>
      <c r="P1135">
        <v>4.397712834796747E-12</v>
      </c>
      <c r="R1135">
        <v>8.9535198750458687</v>
      </c>
      <c r="S1135">
        <v>8.9880513431210201</v>
      </c>
      <c r="T1135">
        <v>1</v>
      </c>
      <c r="U1135">
        <v>2.6238950014220412</v>
      </c>
    </row>
    <row r="1136" spans="1:21">
      <c r="A1136">
        <v>-1.4214816945502429</v>
      </c>
      <c r="B1136">
        <v>-7.2408478571506257E-2</v>
      </c>
      <c r="C1136">
        <v>-0.32482515352440783</v>
      </c>
      <c r="D1136">
        <v>0</v>
      </c>
      <c r="E1136">
        <v>0.59033037334067873</v>
      </c>
      <c r="F1136">
        <v>0.43865565391563305</v>
      </c>
      <c r="G1136">
        <v>0.25342626186179085</v>
      </c>
      <c r="H1136">
        <v>0.93209733895997038</v>
      </c>
      <c r="I1136">
        <v>0.12670146907049978</v>
      </c>
      <c r="J1136">
        <v>5.1877827278135197E-2</v>
      </c>
      <c r="L1136">
        <v>0.6640358888030975</v>
      </c>
      <c r="M1136">
        <v>4.0704408901689062</v>
      </c>
      <c r="N1136">
        <v>2.2145067859866501</v>
      </c>
      <c r="P1136">
        <v>4.7486880027870769E-12</v>
      </c>
      <c r="R1136">
        <v>8.9535198750458687</v>
      </c>
      <c r="S1136">
        <v>8.9880513431210201</v>
      </c>
      <c r="T1136">
        <v>1</v>
      </c>
      <c r="U1136">
        <v>2.6238950014220412</v>
      </c>
    </row>
    <row r="1137" spans="1:21">
      <c r="A1137">
        <v>-1.4171286867624291</v>
      </c>
      <c r="B1137">
        <v>-7.8755042211622522E-2</v>
      </c>
      <c r="C1137">
        <v>-0.30065469060482047</v>
      </c>
      <c r="D1137">
        <v>0</v>
      </c>
      <c r="E1137">
        <v>0.55485122006035359</v>
      </c>
      <c r="F1137">
        <v>0</v>
      </c>
      <c r="G1137">
        <v>0</v>
      </c>
      <c r="H1137">
        <v>0.35053874301969812</v>
      </c>
      <c r="I1137">
        <v>0.49837005834239512</v>
      </c>
      <c r="J1137">
        <v>0.96134945258767768</v>
      </c>
      <c r="L1137">
        <v>0.66403589394469442</v>
      </c>
      <c r="M1137">
        <v>4.0704411319815099</v>
      </c>
      <c r="N1137">
        <v>2.2145068020489296</v>
      </c>
      <c r="P1137">
        <v>5.421421247597502E-12</v>
      </c>
      <c r="R1137">
        <v>8.9535198750458687</v>
      </c>
      <c r="S1137">
        <v>8.9880513431210201</v>
      </c>
      <c r="T1137">
        <v>1</v>
      </c>
      <c r="U1137">
        <v>2.6238950014220412</v>
      </c>
    </row>
    <row r="1138" spans="1:21">
      <c r="A1138">
        <v>-1.4219459662052858</v>
      </c>
      <c r="B1138">
        <v>-7.7903735424178194E-2</v>
      </c>
      <c r="C1138">
        <v>-0.32561428319605068</v>
      </c>
      <c r="D1138">
        <v>0</v>
      </c>
      <c r="E1138">
        <v>0.71770739692524343</v>
      </c>
      <c r="F1138">
        <v>0</v>
      </c>
      <c r="G1138">
        <v>0.26994428704499701</v>
      </c>
      <c r="H1138">
        <v>0.62034886361488872</v>
      </c>
      <c r="I1138">
        <v>0.10649902410595882</v>
      </c>
      <c r="J1138">
        <v>4.4333164242703824E-2</v>
      </c>
      <c r="L1138">
        <v>0.66403582683798035</v>
      </c>
      <c r="M1138">
        <v>4.0704408853462803</v>
      </c>
      <c r="N1138">
        <v>2.214506896902539</v>
      </c>
      <c r="P1138">
        <v>4.7590912412685662E-12</v>
      </c>
      <c r="R1138">
        <v>8.9535198750458687</v>
      </c>
      <c r="S1138">
        <v>8.9880513431210201</v>
      </c>
      <c r="T1138">
        <v>1</v>
      </c>
      <c r="U1138">
        <v>2.6238950014220412</v>
      </c>
    </row>
    <row r="1139" spans="1:21">
      <c r="A1139">
        <v>-1.418706438880265</v>
      </c>
      <c r="B1139">
        <v>-8.8441959219345403E-2</v>
      </c>
      <c r="C1139">
        <v>-0.36642296068592706</v>
      </c>
      <c r="D1139">
        <v>0</v>
      </c>
      <c r="E1139">
        <v>0</v>
      </c>
      <c r="F1139">
        <v>0.1069691851523394</v>
      </c>
      <c r="G1139">
        <v>0.71834443604618092</v>
      </c>
      <c r="H1139">
        <v>0.61165676062979213</v>
      </c>
      <c r="I1139">
        <v>0.34279419194945637</v>
      </c>
      <c r="J1139">
        <v>0.10642622622666574</v>
      </c>
      <c r="L1139">
        <v>0.66403584656376446</v>
      </c>
      <c r="M1139">
        <v>4.0704408204446567</v>
      </c>
      <c r="N1139">
        <v>2.2145069163474824</v>
      </c>
      <c r="P1139">
        <v>4.4999586977196111E-12</v>
      </c>
      <c r="R1139">
        <v>8.9535198750458687</v>
      </c>
      <c r="S1139">
        <v>8.9880513431210201</v>
      </c>
      <c r="T1139">
        <v>1</v>
      </c>
      <c r="U1139">
        <v>2.6238950014220412</v>
      </c>
    </row>
    <row r="1140" spans="1:21">
      <c r="A1140">
        <v>-1.4173008234472486</v>
      </c>
      <c r="B1140">
        <v>-8.7145701106661616E-2</v>
      </c>
      <c r="C1140">
        <v>-0.35388564922208449</v>
      </c>
      <c r="D1140">
        <v>0</v>
      </c>
      <c r="E1140">
        <v>0</v>
      </c>
      <c r="F1140">
        <v>9.5701965855702842E-2</v>
      </c>
      <c r="G1140">
        <v>0.26531417594552203</v>
      </c>
      <c r="H1140">
        <v>0.14738569711358671</v>
      </c>
      <c r="I1140">
        <v>0</v>
      </c>
      <c r="J1140">
        <v>3.786427290129489E-2</v>
      </c>
      <c r="L1140">
        <v>0.66403723132040637</v>
      </c>
      <c r="M1140">
        <v>4.0704397336162836</v>
      </c>
      <c r="N1140">
        <v>2.2145072869540487</v>
      </c>
      <c r="P1140">
        <v>1.5910279768740894E-13</v>
      </c>
      <c r="R1140">
        <v>8.9535198750458687</v>
      </c>
      <c r="S1140">
        <v>8.9880513431210201</v>
      </c>
      <c r="T1140">
        <v>1</v>
      </c>
      <c r="U1140">
        <v>2.6238950014220412</v>
      </c>
    </row>
    <row r="1141" spans="1:21">
      <c r="A1141">
        <v>-1.4141332430495634</v>
      </c>
      <c r="B1141">
        <v>-9.1736681063862541E-2</v>
      </c>
      <c r="C1141">
        <v>-0.36237038664287652</v>
      </c>
      <c r="D1141">
        <v>7.2732682217384978E-2</v>
      </c>
      <c r="E1141">
        <v>0</v>
      </c>
      <c r="F1141">
        <v>0</v>
      </c>
      <c r="G1141">
        <v>0.51505122577054174</v>
      </c>
      <c r="H1141">
        <v>0.31888562547555183</v>
      </c>
      <c r="I1141">
        <v>0.81513621283007331</v>
      </c>
      <c r="J1141">
        <v>0.45578812279121</v>
      </c>
      <c r="L1141">
        <v>0.66403598220730242</v>
      </c>
      <c r="M1141">
        <v>4.0704404582984228</v>
      </c>
      <c r="N1141">
        <v>2.2145068258192686</v>
      </c>
      <c r="P1141">
        <v>3.4298552263795492E-12</v>
      </c>
      <c r="R1141">
        <v>8.9535198750458687</v>
      </c>
      <c r="S1141">
        <v>8.9880513431210201</v>
      </c>
      <c r="T1141">
        <v>1</v>
      </c>
      <c r="U1141">
        <v>2.6238950014220412</v>
      </c>
    </row>
    <row r="1142" spans="1:21">
      <c r="A1142">
        <v>-1.4225368394410003</v>
      </c>
      <c r="B1142">
        <v>-8.5748400810999173E-2</v>
      </c>
      <c r="C1142">
        <v>-0.33093980138065449</v>
      </c>
      <c r="D1142">
        <v>0</v>
      </c>
      <c r="E1142">
        <v>0.91006956457707866</v>
      </c>
      <c r="F1142">
        <v>0</v>
      </c>
      <c r="G1142">
        <v>0.65723371434910771</v>
      </c>
      <c r="H1142">
        <v>0.64046337766621675</v>
      </c>
      <c r="I1142">
        <v>0.61133714392855976</v>
      </c>
      <c r="J1142">
        <v>0.7289748156376058</v>
      </c>
      <c r="L1142">
        <v>0.66403585888371375</v>
      </c>
      <c r="M1142">
        <v>4.0704408888480259</v>
      </c>
      <c r="N1142">
        <v>2.2145068402424353</v>
      </c>
      <c r="P1142">
        <v>4.7513461333023752E-12</v>
      </c>
      <c r="R1142">
        <v>8.9535198750458687</v>
      </c>
      <c r="S1142">
        <v>8.9880513431210201</v>
      </c>
      <c r="T1142">
        <v>1</v>
      </c>
      <c r="U1142">
        <v>2.6238950014220412</v>
      </c>
    </row>
    <row r="1143" spans="1:21">
      <c r="A1143">
        <v>-1.4158134462235796</v>
      </c>
      <c r="B1143">
        <v>-7.7322304791084984E-2</v>
      </c>
      <c r="C1143">
        <v>-0.32725147832425378</v>
      </c>
      <c r="D1143">
        <v>0</v>
      </c>
      <c r="E1143">
        <v>0</v>
      </c>
      <c r="F1143">
        <v>0</v>
      </c>
      <c r="G1143">
        <v>0.33144361111426168</v>
      </c>
      <c r="H1143">
        <v>0.86473176312944111</v>
      </c>
      <c r="I1143">
        <v>0.60688946219004569</v>
      </c>
      <c r="J1143">
        <v>0.43628729389092863</v>
      </c>
      <c r="L1143">
        <v>0.66403591581557952</v>
      </c>
      <c r="M1143">
        <v>4.0704407109662819</v>
      </c>
      <c r="N1143">
        <v>2.2145067825756528</v>
      </c>
      <c r="P1143">
        <v>4.2201357208578351E-12</v>
      </c>
      <c r="R1143">
        <v>8.9535198750458687</v>
      </c>
      <c r="S1143">
        <v>8.9880513431210201</v>
      </c>
      <c r="T1143">
        <v>1</v>
      </c>
      <c r="U1143">
        <v>2.6238950014220412</v>
      </c>
    </row>
    <row r="1144" spans="1:21">
      <c r="A1144">
        <v>-1.4139053581993792</v>
      </c>
      <c r="B1144">
        <v>-9.6034710870349732E-2</v>
      </c>
      <c r="C1144">
        <v>-0.37367120515920166</v>
      </c>
      <c r="D1144">
        <v>0</v>
      </c>
      <c r="E1144">
        <v>0</v>
      </c>
      <c r="F1144">
        <v>0.44205774310555118</v>
      </c>
      <c r="G1144">
        <v>0.65109119219475575</v>
      </c>
      <c r="H1144">
        <v>0.17736576044501665</v>
      </c>
      <c r="I1144">
        <v>0.94444159588105292</v>
      </c>
      <c r="J1144">
        <v>0.80987440683939993</v>
      </c>
      <c r="L1144">
        <v>0.66403588718173046</v>
      </c>
      <c r="M1144">
        <v>4.0704408107835652</v>
      </c>
      <c r="N1144">
        <v>2.214506861497171</v>
      </c>
      <c r="P1144">
        <v>4.428530370340579E-12</v>
      </c>
      <c r="R1144">
        <v>8.9535198750458687</v>
      </c>
      <c r="S1144">
        <v>8.9880513431210201</v>
      </c>
      <c r="T1144">
        <v>1</v>
      </c>
      <c r="U1144">
        <v>2.6238950014220412</v>
      </c>
    </row>
    <row r="1145" spans="1:21">
      <c r="A1145">
        <v>-1.4197652435973862</v>
      </c>
      <c r="B1145">
        <v>-9.0693787757402666E-2</v>
      </c>
      <c r="C1145">
        <v>-0.34799225069777218</v>
      </c>
      <c r="D1145">
        <v>0</v>
      </c>
      <c r="E1145">
        <v>0.43863322004705935</v>
      </c>
      <c r="F1145">
        <v>2.9272150277923528E-2</v>
      </c>
      <c r="G1145">
        <v>0.84794976783760001</v>
      </c>
      <c r="H1145">
        <v>0.64006116809965852</v>
      </c>
      <c r="I1145">
        <v>0.79696959028543757</v>
      </c>
      <c r="J1145">
        <v>0.87689120569492729</v>
      </c>
      <c r="L1145">
        <v>0.66403601382069877</v>
      </c>
      <c r="M1145">
        <v>4.070440963391996</v>
      </c>
      <c r="N1145">
        <v>2.2145066376350804</v>
      </c>
      <c r="P1145">
        <v>4.8536401505208701E-12</v>
      </c>
      <c r="R1145">
        <v>8.9535198750458687</v>
      </c>
      <c r="S1145">
        <v>8.9880513431210201</v>
      </c>
      <c r="T1145">
        <v>1</v>
      </c>
      <c r="U1145">
        <v>2.6238950014220412</v>
      </c>
    </row>
    <row r="1146" spans="1:21">
      <c r="A1146">
        <v>-1.418214112361075</v>
      </c>
      <c r="B1146">
        <v>-8.0568944064840206E-2</v>
      </c>
      <c r="C1146">
        <v>-0.34507660963246228</v>
      </c>
      <c r="D1146">
        <v>0</v>
      </c>
      <c r="E1146">
        <v>0.363209701067987</v>
      </c>
      <c r="F1146">
        <v>0</v>
      </c>
      <c r="G1146">
        <v>0.46108812134867982</v>
      </c>
      <c r="H1146">
        <v>0.77277488934019112</v>
      </c>
      <c r="I1146">
        <v>0.58913871659624806</v>
      </c>
      <c r="J1146">
        <v>1.7739491374699726E-2</v>
      </c>
      <c r="L1146">
        <v>0.66403586758430555</v>
      </c>
      <c r="M1146">
        <v>4.0704408128290899</v>
      </c>
      <c r="N1146">
        <v>2.2145068577234697</v>
      </c>
      <c r="P1146">
        <v>4.4986723439544681E-12</v>
      </c>
      <c r="R1146">
        <v>8.9535198750458687</v>
      </c>
      <c r="S1146">
        <v>8.9880513431210201</v>
      </c>
      <c r="T1146">
        <v>1</v>
      </c>
      <c r="U1146">
        <v>2.6238950014220412</v>
      </c>
    </row>
    <row r="1147" spans="1:21">
      <c r="A1147">
        <v>-1.4148731106037156</v>
      </c>
      <c r="B1147">
        <v>-0.10379841193351673</v>
      </c>
      <c r="C1147">
        <v>-0.42118932297119988</v>
      </c>
      <c r="D1147">
        <v>0</v>
      </c>
      <c r="E1147">
        <v>0</v>
      </c>
      <c r="F1147">
        <v>0.61314901786553788</v>
      </c>
      <c r="G1147">
        <v>0.96404830455032797</v>
      </c>
      <c r="H1147">
        <v>6.0112263381686439E-2</v>
      </c>
      <c r="I1147">
        <v>0.91959274440912708</v>
      </c>
      <c r="J1147">
        <v>8.9645610841636456E-2</v>
      </c>
      <c r="L1147">
        <v>0.6640359403092031</v>
      </c>
      <c r="M1147">
        <v>4.0704407949436492</v>
      </c>
      <c r="N1147">
        <v>2.2145068234409471</v>
      </c>
      <c r="P1147">
        <v>4.2883775204643136E-12</v>
      </c>
      <c r="R1147">
        <v>8.9535198750458687</v>
      </c>
      <c r="S1147">
        <v>8.9880513431210201</v>
      </c>
      <c r="T1147">
        <v>1</v>
      </c>
      <c r="U1147">
        <v>2.6238950014220412</v>
      </c>
    </row>
    <row r="1148" spans="1:21">
      <c r="A1148">
        <v>-1.4167270153538152</v>
      </c>
      <c r="B1148">
        <v>-8.9520621630886116E-2</v>
      </c>
      <c r="C1148">
        <v>-0.35555149574824274</v>
      </c>
      <c r="D1148">
        <v>0.38942439813080798</v>
      </c>
      <c r="E1148">
        <v>0.29408325315530376</v>
      </c>
      <c r="F1148">
        <v>0.61665954187693883</v>
      </c>
      <c r="G1148">
        <v>0.24475888149409619</v>
      </c>
      <c r="H1148">
        <v>0.30830564631760865</v>
      </c>
      <c r="I1148">
        <v>0.29987728985712597</v>
      </c>
      <c r="J1148">
        <v>0.50329323339509968</v>
      </c>
      <c r="L1148">
        <v>0.66403586281290028</v>
      </c>
      <c r="M1148">
        <v>4.0704408207655005</v>
      </c>
      <c r="N1148">
        <v>2.2145068821333895</v>
      </c>
      <c r="P1148">
        <v>4.4982872229634076E-12</v>
      </c>
      <c r="R1148">
        <v>8.9535198750458687</v>
      </c>
      <c r="S1148">
        <v>8.9880513431210201</v>
      </c>
      <c r="T1148">
        <v>1</v>
      </c>
      <c r="U1148">
        <v>2.6238950014220412</v>
      </c>
    </row>
    <row r="1149" spans="1:21">
      <c r="A1149">
        <v>-1.4158006678297586</v>
      </c>
      <c r="B1149">
        <v>-8.3544392301368536E-2</v>
      </c>
      <c r="C1149">
        <v>-0.34615984505915609</v>
      </c>
      <c r="D1149">
        <v>0</v>
      </c>
      <c r="E1149">
        <v>0</v>
      </c>
      <c r="F1149">
        <v>0</v>
      </c>
      <c r="G1149">
        <v>0.64101042850739443</v>
      </c>
      <c r="H1149">
        <v>0.88079389230285965</v>
      </c>
      <c r="I1149">
        <v>0.89183660253865915</v>
      </c>
      <c r="J1149">
        <v>0.52333679143991396</v>
      </c>
      <c r="L1149">
        <v>0.66403593050911591</v>
      </c>
      <c r="M1149">
        <v>4.0704408590934777</v>
      </c>
      <c r="N1149">
        <v>2.2145067542024597</v>
      </c>
      <c r="P1149">
        <v>4.5940652971160087E-12</v>
      </c>
      <c r="R1149">
        <v>8.9535198750458687</v>
      </c>
      <c r="S1149">
        <v>8.9880513431210201</v>
      </c>
      <c r="T1149">
        <v>1</v>
      </c>
      <c r="U1149">
        <v>2.6238950014220412</v>
      </c>
    </row>
    <row r="1150" spans="1:21">
      <c r="A1150">
        <v>-1.4169777411225122</v>
      </c>
      <c r="B1150">
        <v>-9.8148714248554828E-2</v>
      </c>
      <c r="C1150">
        <v>-0.38954300330548397</v>
      </c>
      <c r="D1150">
        <v>0.93618565571972645</v>
      </c>
      <c r="E1150">
        <v>0.13170187869779135</v>
      </c>
      <c r="F1150">
        <v>0.45706230227538946</v>
      </c>
      <c r="G1150">
        <v>0.76372385079753546</v>
      </c>
      <c r="H1150">
        <v>0.87628493193451185</v>
      </c>
      <c r="I1150">
        <v>0.59643199356878274</v>
      </c>
      <c r="J1150">
        <v>0.33385214091848797</v>
      </c>
      <c r="L1150">
        <v>0.66403592377097653</v>
      </c>
      <c r="M1150">
        <v>4.0704408346784016</v>
      </c>
      <c r="N1150">
        <v>2.2145068078537973</v>
      </c>
      <c r="P1150">
        <v>4.4626200317930118E-12</v>
      </c>
      <c r="R1150">
        <v>8.9535198750458687</v>
      </c>
      <c r="S1150">
        <v>8.9880513431210201</v>
      </c>
      <c r="T1150">
        <v>1</v>
      </c>
      <c r="U1150">
        <v>2.6238950014220412</v>
      </c>
    </row>
    <row r="1151" spans="1:21">
      <c r="A1151">
        <v>-1.5014886713393387</v>
      </c>
      <c r="B1151">
        <v>-6.854778223812609E-2</v>
      </c>
      <c r="C1151">
        <v>-0.16808504705813684</v>
      </c>
      <c r="D1151">
        <v>0</v>
      </c>
      <c r="E1151">
        <v>0</v>
      </c>
      <c r="F1151">
        <v>1.3104452238605197E-2</v>
      </c>
      <c r="G1151">
        <v>0.89866662075151815</v>
      </c>
      <c r="H1151">
        <v>0.39869023545402094</v>
      </c>
      <c r="I1151">
        <v>0.54061864089233125</v>
      </c>
      <c r="J1151">
        <v>5.9472543513117815E-2</v>
      </c>
      <c r="L1151">
        <v>0.66403735310788847</v>
      </c>
      <c r="M1151">
        <v>3.6318633622639727</v>
      </c>
      <c r="N1151">
        <v>2.2145085424992321</v>
      </c>
      <c r="P1151">
        <v>1.2404143522035399E-12</v>
      </c>
      <c r="R1151">
        <v>5.9571235521632122</v>
      </c>
      <c r="S1151">
        <v>5.9659507309582951</v>
      </c>
      <c r="T1151">
        <v>1</v>
      </c>
      <c r="U1151">
        <v>2.34854966055312</v>
      </c>
    </row>
    <row r="1152" spans="1:21">
      <c r="A1152">
        <v>-1.4874318991329478</v>
      </c>
      <c r="B1152">
        <v>-5.4486535902266889E-2</v>
      </c>
      <c r="C1152">
        <v>-0.12971646294314471</v>
      </c>
      <c r="D1152">
        <v>0.40612914845424286</v>
      </c>
      <c r="E1152">
        <v>0</v>
      </c>
      <c r="F1152">
        <v>0</v>
      </c>
      <c r="G1152">
        <v>9.9327180129653247E-2</v>
      </c>
      <c r="H1152">
        <v>0.86441363355819856</v>
      </c>
      <c r="I1152">
        <v>0.51531698957609362</v>
      </c>
      <c r="J1152">
        <v>0.55131835448223543</v>
      </c>
      <c r="L1152">
        <v>0.66403712860933839</v>
      </c>
      <c r="M1152">
        <v>3.631863341228196</v>
      </c>
      <c r="N1152">
        <v>2.2145072332344049</v>
      </c>
      <c r="P1152">
        <v>5.1257809829174474E-13</v>
      </c>
      <c r="R1152">
        <v>5.9571235521632122</v>
      </c>
      <c r="S1152">
        <v>5.9659507309582951</v>
      </c>
      <c r="T1152">
        <v>1</v>
      </c>
      <c r="U1152">
        <v>2.34854966055312</v>
      </c>
    </row>
    <row r="1153" spans="1:21">
      <c r="A1153">
        <v>-1.4983355428952911</v>
      </c>
      <c r="B1153">
        <v>-6.0345759944714653E-2</v>
      </c>
      <c r="C1153">
        <v>-0.13403497853284288</v>
      </c>
      <c r="D1153">
        <v>0.3689127827865758</v>
      </c>
      <c r="E1153">
        <v>0.87585229036099832</v>
      </c>
      <c r="F1153">
        <v>0.11722783018625076</v>
      </c>
      <c r="G1153">
        <v>0.29839534515617655</v>
      </c>
      <c r="H1153">
        <v>0.50657781185147344</v>
      </c>
      <c r="I1153">
        <v>0.4005072606295329</v>
      </c>
      <c r="J1153">
        <v>0.32581516000155264</v>
      </c>
      <c r="L1153">
        <v>0.66403738204395057</v>
      </c>
      <c r="M1153">
        <v>3.6318630462192636</v>
      </c>
      <c r="N1153">
        <v>2.21450832875417</v>
      </c>
      <c r="P1153">
        <v>6.1148339969899206E-13</v>
      </c>
      <c r="R1153">
        <v>5.9571235521632122</v>
      </c>
      <c r="S1153">
        <v>5.9659507309582951</v>
      </c>
      <c r="T1153">
        <v>1</v>
      </c>
      <c r="U1153">
        <v>2.34854966055312</v>
      </c>
    </row>
    <row r="1154" spans="1:21">
      <c r="A1154">
        <v>-1.4946532056653581</v>
      </c>
      <c r="B1154">
        <v>-5.7979690692503826E-2</v>
      </c>
      <c r="C1154">
        <v>-0.12950783719115661</v>
      </c>
      <c r="D1154">
        <v>0</v>
      </c>
      <c r="E1154">
        <v>0.86225869266845678</v>
      </c>
      <c r="F1154">
        <v>6.46159876960469E-2</v>
      </c>
      <c r="G1154">
        <v>0.50277429584825239</v>
      </c>
      <c r="H1154">
        <v>0.69267299003344951</v>
      </c>
      <c r="I1154">
        <v>0.86053677182063448</v>
      </c>
      <c r="J1154">
        <v>0.7694512367759947</v>
      </c>
      <c r="L1154">
        <v>0.66403751895785068</v>
      </c>
      <c r="M1154">
        <v>3.6318628089953733</v>
      </c>
      <c r="N1154">
        <v>2.2145082319293916</v>
      </c>
      <c r="P1154">
        <v>4.2489479431582088E-13</v>
      </c>
      <c r="R1154">
        <v>5.9571235521632122</v>
      </c>
      <c r="S1154">
        <v>5.9659507309582951</v>
      </c>
      <c r="T1154">
        <v>1</v>
      </c>
      <c r="U1154">
        <v>2.34854966055312</v>
      </c>
    </row>
    <row r="1155" spans="1:21">
      <c r="A1155">
        <v>-1.4938689887568617</v>
      </c>
      <c r="B1155">
        <v>-5.9304707865051161E-2</v>
      </c>
      <c r="C1155">
        <v>-0.12774568107299994</v>
      </c>
      <c r="D1155">
        <v>0.41019531685075084</v>
      </c>
      <c r="E1155">
        <v>3.6193178529552825E-2</v>
      </c>
      <c r="F1155">
        <v>0</v>
      </c>
      <c r="G1155">
        <v>0.3553646207851005</v>
      </c>
      <c r="H1155">
        <v>0.77674336740368644</v>
      </c>
      <c r="I1155">
        <v>0.33728404175441756</v>
      </c>
      <c r="J1155">
        <v>0.75620992173026835</v>
      </c>
      <c r="L1155">
        <v>0.66403790725717082</v>
      </c>
      <c r="M1155">
        <v>3.6318627397016119</v>
      </c>
      <c r="N1155">
        <v>2.2145085766494588</v>
      </c>
      <c r="P1155">
        <v>1.2341629456313802E-12</v>
      </c>
      <c r="R1155">
        <v>5.9571235521632122</v>
      </c>
      <c r="S1155">
        <v>5.9659507309582951</v>
      </c>
      <c r="T1155">
        <v>1</v>
      </c>
      <c r="U1155">
        <v>2.34854966055312</v>
      </c>
    </row>
    <row r="1156" spans="1:21">
      <c r="A1156">
        <v>-1.4856558368560957</v>
      </c>
      <c r="B1156">
        <v>-4.8812365475982777E-2</v>
      </c>
      <c r="C1156">
        <v>-0.12004069616282705</v>
      </c>
      <c r="D1156">
        <v>0.14679795799256623</v>
      </c>
      <c r="E1156">
        <v>0.71378680977226061</v>
      </c>
      <c r="F1156">
        <v>0</v>
      </c>
      <c r="G1156">
        <v>0</v>
      </c>
      <c r="H1156">
        <v>0.90646504003305262</v>
      </c>
      <c r="I1156">
        <v>0.7782924689293933</v>
      </c>
      <c r="J1156">
        <v>0.54015061501980255</v>
      </c>
      <c r="L1156">
        <v>0.66403746362936111</v>
      </c>
      <c r="M1156">
        <v>3.6318628384178173</v>
      </c>
      <c r="N1156">
        <v>2.2145074842045767</v>
      </c>
      <c r="P1156">
        <v>2.0178179224440017E-14</v>
      </c>
      <c r="R1156">
        <v>5.9571235521632122</v>
      </c>
      <c r="S1156">
        <v>5.9659507309582951</v>
      </c>
      <c r="T1156">
        <v>1</v>
      </c>
      <c r="U1156">
        <v>2.34854966055312</v>
      </c>
    </row>
    <row r="1157" spans="1:21">
      <c r="A1157">
        <v>-1.498767909492416</v>
      </c>
      <c r="B1157">
        <v>-6.1692643072098159E-2</v>
      </c>
      <c r="C1157">
        <v>-0.12327210508167932</v>
      </c>
      <c r="D1157">
        <v>0</v>
      </c>
      <c r="E1157">
        <v>0</v>
      </c>
      <c r="F1157">
        <v>0</v>
      </c>
      <c r="G1157">
        <v>0.49172624376609486</v>
      </c>
      <c r="H1157">
        <v>0.37739337816201229</v>
      </c>
      <c r="I1157">
        <v>4.3290773358142264E-2</v>
      </c>
      <c r="J1157">
        <v>0.86948106191175245</v>
      </c>
      <c r="L1157">
        <v>0.66403765509706802</v>
      </c>
      <c r="M1157">
        <v>3.6318631870760605</v>
      </c>
      <c r="N1157">
        <v>2.214508761908613</v>
      </c>
      <c r="P1157">
        <v>1.5997601806067255E-12</v>
      </c>
      <c r="R1157">
        <v>5.9571235521632122</v>
      </c>
      <c r="S1157">
        <v>5.9659507309582951</v>
      </c>
      <c r="T1157">
        <v>1</v>
      </c>
      <c r="U1157">
        <v>2.34854966055312</v>
      </c>
    </row>
    <row r="1158" spans="1:21">
      <c r="A1158">
        <v>-1.4885694943806387</v>
      </c>
      <c r="B1158">
        <v>-6.0294387527730205E-2</v>
      </c>
      <c r="C1158">
        <v>-0.14913745540292236</v>
      </c>
      <c r="D1158">
        <v>0</v>
      </c>
      <c r="E1158">
        <v>0</v>
      </c>
      <c r="F1158">
        <v>0</v>
      </c>
      <c r="G1158">
        <v>0.11545665354459461</v>
      </c>
      <c r="H1158">
        <v>0.17299625996867266</v>
      </c>
      <c r="I1158">
        <v>0.70198229099846821</v>
      </c>
      <c r="J1158">
        <v>0.19680392701005711</v>
      </c>
      <c r="L1158">
        <v>0.66403716998525231</v>
      </c>
      <c r="M1158">
        <v>3.6318631637339442</v>
      </c>
      <c r="N1158">
        <v>2.2145079321627041</v>
      </c>
      <c r="P1158">
        <v>3.1069284894054157E-13</v>
      </c>
      <c r="R1158">
        <v>5.9571235521632122</v>
      </c>
      <c r="S1158">
        <v>5.9659507309582951</v>
      </c>
      <c r="T1158">
        <v>1</v>
      </c>
      <c r="U1158">
        <v>2.34854966055312</v>
      </c>
    </row>
    <row r="1159" spans="1:21">
      <c r="A1159">
        <v>-1.5062794855378221</v>
      </c>
      <c r="B1159">
        <v>-6.3966672374467806E-2</v>
      </c>
      <c r="C1159">
        <v>-0.14099525877638416</v>
      </c>
      <c r="D1159">
        <v>0.26507132736973499</v>
      </c>
      <c r="E1159">
        <v>0.6271761367542682</v>
      </c>
      <c r="F1159">
        <v>0</v>
      </c>
      <c r="G1159">
        <v>0.97082025610285994</v>
      </c>
      <c r="H1159">
        <v>0.89591532650651096</v>
      </c>
      <c r="I1159">
        <v>0.26298760253430481</v>
      </c>
      <c r="J1159">
        <v>0.43192966251148435</v>
      </c>
      <c r="L1159">
        <v>0.66403723756341626</v>
      </c>
      <c r="M1159">
        <v>3.6318630083776902</v>
      </c>
      <c r="N1159">
        <v>2.2145078427743567</v>
      </c>
      <c r="P1159">
        <v>1.3788325436567774E-13</v>
      </c>
      <c r="R1159">
        <v>5.9571235521632122</v>
      </c>
      <c r="S1159">
        <v>5.9659507309582951</v>
      </c>
      <c r="T1159">
        <v>1</v>
      </c>
      <c r="U1159">
        <v>2.34854966055312</v>
      </c>
    </row>
    <row r="1160" spans="1:21">
      <c r="A1160">
        <v>-1.4936538973058446</v>
      </c>
      <c r="B1160">
        <v>-5.302070524971382E-2</v>
      </c>
      <c r="C1160">
        <v>-0.12004101141992619</v>
      </c>
      <c r="D1160">
        <v>0</v>
      </c>
      <c r="E1160">
        <v>7.5527868328791312E-2</v>
      </c>
      <c r="F1160">
        <v>0</v>
      </c>
      <c r="G1160">
        <v>0.32115523568645293</v>
      </c>
      <c r="H1160">
        <v>0.78027283315673845</v>
      </c>
      <c r="I1160">
        <v>6.0829017600111716E-2</v>
      </c>
      <c r="J1160">
        <v>0.60760034220963632</v>
      </c>
      <c r="L1160">
        <v>0.6640372580830235</v>
      </c>
      <c r="M1160">
        <v>3.6318631667561609</v>
      </c>
      <c r="N1160">
        <v>2.2145082171958896</v>
      </c>
      <c r="P1160">
        <v>5.5611939198688402E-13</v>
      </c>
      <c r="R1160">
        <v>5.9571235521632122</v>
      </c>
      <c r="S1160">
        <v>5.9659507309582951</v>
      </c>
      <c r="T1160">
        <v>1</v>
      </c>
      <c r="U1160">
        <v>2.34854966055312</v>
      </c>
    </row>
    <row r="1161" spans="1:21">
      <c r="A1161">
        <v>-1.5008385004234364</v>
      </c>
      <c r="B1161">
        <v>-6.1242825306933452E-2</v>
      </c>
      <c r="C1161">
        <v>-0.12626966507136669</v>
      </c>
      <c r="D1161">
        <v>0</v>
      </c>
      <c r="E1161">
        <v>0.53828212677456788</v>
      </c>
      <c r="F1161">
        <v>0</v>
      </c>
      <c r="G1161">
        <v>0.73149079328092015</v>
      </c>
      <c r="H1161">
        <v>0.66433302491709145</v>
      </c>
      <c r="I1161">
        <v>0.38687272377390269</v>
      </c>
      <c r="J1161">
        <v>0.86428052569561553</v>
      </c>
      <c r="L1161">
        <v>0.66403748870445922</v>
      </c>
      <c r="M1161">
        <v>3.6318631551196878</v>
      </c>
      <c r="N1161">
        <v>2.2145085790700736</v>
      </c>
      <c r="P1161">
        <v>1.1211487653323121E-12</v>
      </c>
      <c r="R1161">
        <v>5.9571235521632122</v>
      </c>
      <c r="S1161">
        <v>5.9659507309582951</v>
      </c>
      <c r="T1161">
        <v>1</v>
      </c>
      <c r="U1161">
        <v>2.34854966055312</v>
      </c>
    </row>
    <row r="1162" spans="1:21">
      <c r="A1162">
        <v>-1.4921882939071152</v>
      </c>
      <c r="B1162">
        <v>-6.8089057639685743E-2</v>
      </c>
      <c r="C1162">
        <v>-0.14951637940731313</v>
      </c>
      <c r="D1162">
        <v>0.4238042678383962</v>
      </c>
      <c r="E1162">
        <v>0</v>
      </c>
      <c r="F1162">
        <v>0.526960391887902</v>
      </c>
      <c r="G1162">
        <v>0.1913118621099302</v>
      </c>
      <c r="H1162">
        <v>7.844218895910629E-2</v>
      </c>
      <c r="I1162">
        <v>0.74842517272197873</v>
      </c>
      <c r="J1162">
        <v>0.86210460094913599</v>
      </c>
      <c r="L1162">
        <v>0.66403782269080813</v>
      </c>
      <c r="M1162">
        <v>3.6318628793871226</v>
      </c>
      <c r="N1162">
        <v>2.2145086648346743</v>
      </c>
      <c r="P1162">
        <v>1.3433725231335332E-12</v>
      </c>
      <c r="R1162">
        <v>5.9571235521632122</v>
      </c>
      <c r="S1162">
        <v>5.9659507309582951</v>
      </c>
      <c r="T1162">
        <v>1</v>
      </c>
      <c r="U1162">
        <v>2.34854966055312</v>
      </c>
    </row>
    <row r="1163" spans="1:21">
      <c r="A1163">
        <v>-1.5015571581133613</v>
      </c>
      <c r="B1163">
        <v>-6.2406451848729248E-2</v>
      </c>
      <c r="C1163">
        <v>-0.12472229311294841</v>
      </c>
      <c r="D1163">
        <v>0.20083387220378215</v>
      </c>
      <c r="E1163">
        <v>0.85868187726841139</v>
      </c>
      <c r="F1163">
        <v>3.2060565142105271E-2</v>
      </c>
      <c r="G1163">
        <v>0.4727150187222034</v>
      </c>
      <c r="H1163">
        <v>0.41225463430568582</v>
      </c>
      <c r="I1163">
        <v>0.30580508345329138</v>
      </c>
      <c r="J1163">
        <v>0.67716953507082567</v>
      </c>
      <c r="L1163">
        <v>0.66403767958625104</v>
      </c>
      <c r="M1163">
        <v>3.6318629794631478</v>
      </c>
      <c r="N1163">
        <v>2.2145086359464594</v>
      </c>
      <c r="P1163">
        <v>1.2092653941270285E-12</v>
      </c>
      <c r="R1163">
        <v>5.9571235521632122</v>
      </c>
      <c r="S1163">
        <v>5.9659507309582951</v>
      </c>
      <c r="T1163">
        <v>1</v>
      </c>
      <c r="U1163">
        <v>2.34854966055312</v>
      </c>
    </row>
    <row r="1164" spans="1:21">
      <c r="A1164">
        <v>-1.5050597897268803</v>
      </c>
      <c r="B1164">
        <v>-7.2989495992218725E-2</v>
      </c>
      <c r="C1164">
        <v>-0.14411492283829505</v>
      </c>
      <c r="D1164">
        <v>0.30601421442085602</v>
      </c>
      <c r="E1164">
        <v>0.79713612995748973</v>
      </c>
      <c r="F1164">
        <v>0</v>
      </c>
      <c r="G1164">
        <v>0.92313526492053322</v>
      </c>
      <c r="H1164">
        <v>0.36236337523308437</v>
      </c>
      <c r="I1164">
        <v>0.84940668413436671</v>
      </c>
      <c r="J1164">
        <v>0.90836307343161282</v>
      </c>
      <c r="L1164">
        <v>0.66403738284067615</v>
      </c>
      <c r="M1164">
        <v>3.6318629649513223</v>
      </c>
      <c r="N1164">
        <v>2.2145082263920117</v>
      </c>
      <c r="P1164">
        <v>4.348875114549033E-13</v>
      </c>
      <c r="R1164">
        <v>5.9571235521632122</v>
      </c>
      <c r="S1164">
        <v>5.9659507309582951</v>
      </c>
      <c r="T1164">
        <v>1</v>
      </c>
      <c r="U1164">
        <v>2.34854966055312</v>
      </c>
    </row>
    <row r="1165" spans="1:21">
      <c r="A1165">
        <v>-1.5076271077491654</v>
      </c>
      <c r="B1165">
        <v>-7.3775627344359662E-2</v>
      </c>
      <c r="C1165">
        <v>-0.14962243221401927</v>
      </c>
      <c r="D1165">
        <v>0</v>
      </c>
      <c r="E1165">
        <v>0.66799013556262232</v>
      </c>
      <c r="F1165">
        <v>0</v>
      </c>
      <c r="G1165">
        <v>0.96660102946338977</v>
      </c>
      <c r="H1165">
        <v>6.3423164423784387E-2</v>
      </c>
      <c r="I1165">
        <v>0.59167202526760665</v>
      </c>
      <c r="J1165">
        <v>0.64605744091764206</v>
      </c>
      <c r="L1165">
        <v>0.66403753270569166</v>
      </c>
      <c r="M1165">
        <v>3.6318630374268093</v>
      </c>
      <c r="N1165">
        <v>2.2145085412506904</v>
      </c>
      <c r="P1165">
        <v>9.8427583264873933E-13</v>
      </c>
      <c r="R1165">
        <v>5.9571235521632122</v>
      </c>
      <c r="S1165">
        <v>5.9659507309582951</v>
      </c>
      <c r="T1165">
        <v>1</v>
      </c>
      <c r="U1165">
        <v>2.34854966055312</v>
      </c>
    </row>
    <row r="1166" spans="1:21">
      <c r="A1166">
        <v>-1.5001187055664957</v>
      </c>
      <c r="B1166">
        <v>-6.7107531316577845E-2</v>
      </c>
      <c r="C1166">
        <v>-0.15718674193606708</v>
      </c>
      <c r="D1166">
        <v>0.63645301741487315</v>
      </c>
      <c r="E1166">
        <v>0</v>
      </c>
      <c r="F1166">
        <v>0.4596926956713524</v>
      </c>
      <c r="G1166">
        <v>0.70985681966262437</v>
      </c>
      <c r="H1166">
        <v>0.79612775279695314</v>
      </c>
      <c r="I1166">
        <v>0.41387254482164187</v>
      </c>
      <c r="J1166">
        <v>0.53058737222837349</v>
      </c>
      <c r="L1166">
        <v>0.66403732914381886</v>
      </c>
      <c r="M1166">
        <v>3.6318629767198636</v>
      </c>
      <c r="N1166">
        <v>2.2145081204599877</v>
      </c>
      <c r="P1166">
        <v>3.2030921266671029E-13</v>
      </c>
      <c r="R1166">
        <v>5.9571235521632122</v>
      </c>
      <c r="S1166">
        <v>5.9659507309582951</v>
      </c>
      <c r="T1166">
        <v>1</v>
      </c>
      <c r="U1166">
        <v>2.34854966055312</v>
      </c>
    </row>
    <row r="1167" spans="1:21">
      <c r="A1167">
        <v>-1.4966920350593849</v>
      </c>
      <c r="B1167">
        <v>-6.7773011402747621E-2</v>
      </c>
      <c r="C1167">
        <v>-0.15669628142384343</v>
      </c>
      <c r="D1167">
        <v>6.9061086534935701E-2</v>
      </c>
      <c r="E1167">
        <v>0.25292318480072296</v>
      </c>
      <c r="F1167">
        <v>0</v>
      </c>
      <c r="G1167">
        <v>0.70114352035243444</v>
      </c>
      <c r="H1167">
        <v>0.3604642140107831</v>
      </c>
      <c r="I1167">
        <v>0.94343254518743469</v>
      </c>
      <c r="J1167">
        <v>0.49220451633835149</v>
      </c>
      <c r="L1167">
        <v>0.66403713071105619</v>
      </c>
      <c r="M1167">
        <v>3.6318632417873706</v>
      </c>
      <c r="N1167">
        <v>2.2145079093130557</v>
      </c>
      <c r="P1167">
        <v>3.8052275913542767E-13</v>
      </c>
      <c r="R1167">
        <v>5.9571235521632122</v>
      </c>
      <c r="S1167">
        <v>5.9659507309582951</v>
      </c>
      <c r="T1167">
        <v>1</v>
      </c>
      <c r="U1167">
        <v>2.34854966055312</v>
      </c>
    </row>
    <row r="1168" spans="1:21">
      <c r="A1168">
        <v>-1.4899406475157941</v>
      </c>
      <c r="B1168">
        <v>-6.4769452083141055E-2</v>
      </c>
      <c r="C1168">
        <v>-0.14838151106082956</v>
      </c>
      <c r="D1168">
        <v>1.2254243045769444E-2</v>
      </c>
      <c r="E1168">
        <v>0</v>
      </c>
      <c r="F1168">
        <v>0</v>
      </c>
      <c r="G1168">
        <v>0.33274619274479894</v>
      </c>
      <c r="H1168">
        <v>0.17082117651259737</v>
      </c>
      <c r="I1168">
        <v>0.97099490966099788</v>
      </c>
      <c r="J1168">
        <v>0.64035902466682948</v>
      </c>
      <c r="L1168">
        <v>0.66403764083954164</v>
      </c>
      <c r="M1168">
        <v>3.6318631304699585</v>
      </c>
      <c r="N1168">
        <v>2.214508714763427</v>
      </c>
      <c r="P1168">
        <v>1.4417576689915064E-12</v>
      </c>
      <c r="R1168">
        <v>5.9571235521632122</v>
      </c>
      <c r="S1168">
        <v>5.9659507309582951</v>
      </c>
      <c r="T1168">
        <v>1</v>
      </c>
      <c r="U1168">
        <v>2.34854966055312</v>
      </c>
    </row>
    <row r="1169" spans="1:21">
      <c r="A1169">
        <v>-1.5012554123203981</v>
      </c>
      <c r="B1169">
        <v>-6.1099293963126786E-2</v>
      </c>
      <c r="C1169">
        <v>-0.15814148984540477</v>
      </c>
      <c r="D1169">
        <v>0</v>
      </c>
      <c r="E1169">
        <v>0.6924722127742966</v>
      </c>
      <c r="F1169">
        <v>0</v>
      </c>
      <c r="G1169">
        <v>0.94945797141473387</v>
      </c>
      <c r="H1169">
        <v>0.91481711706442981</v>
      </c>
      <c r="I1169">
        <v>0.70126096399163107</v>
      </c>
      <c r="J1169">
        <v>0</v>
      </c>
      <c r="L1169">
        <v>0.66403770804350037</v>
      </c>
      <c r="M1169">
        <v>3.6318643366440142</v>
      </c>
      <c r="N1169">
        <v>2.2145088806817674</v>
      </c>
      <c r="P1169">
        <v>4.1764818604762912E-12</v>
      </c>
      <c r="R1169">
        <v>5.9571235521632122</v>
      </c>
      <c r="S1169">
        <v>5.9659507309582951</v>
      </c>
      <c r="T1169">
        <v>1</v>
      </c>
      <c r="U1169">
        <v>2.34854966055312</v>
      </c>
    </row>
    <row r="1170" spans="1:21">
      <c r="A1170">
        <v>-1.4933096272580222</v>
      </c>
      <c r="B1170">
        <v>-5.9214719645556142E-2</v>
      </c>
      <c r="C1170">
        <v>-0.12967162757014553</v>
      </c>
      <c r="D1170">
        <v>0</v>
      </c>
      <c r="E1170">
        <v>0</v>
      </c>
      <c r="F1170">
        <v>0.55053773205663947</v>
      </c>
      <c r="G1170">
        <v>0.19574899722047287</v>
      </c>
      <c r="H1170">
        <v>0.25463808884222733</v>
      </c>
      <c r="I1170">
        <v>0.21419845848446717</v>
      </c>
      <c r="J1170">
        <v>0.92972990793449162</v>
      </c>
      <c r="L1170">
        <v>0.66403765739560705</v>
      </c>
      <c r="M1170">
        <v>3.6318649601084214</v>
      </c>
      <c r="N1170">
        <v>2.2145082714834188</v>
      </c>
      <c r="P1170">
        <v>5.2774550798165536E-12</v>
      </c>
      <c r="R1170">
        <v>5.9571235521632122</v>
      </c>
      <c r="S1170">
        <v>5.9659507309582951</v>
      </c>
      <c r="T1170">
        <v>1</v>
      </c>
      <c r="U1170">
        <v>2.34854966055312</v>
      </c>
    </row>
    <row r="1171" spans="1:21">
      <c r="A1171">
        <v>-1.4942395675471001</v>
      </c>
      <c r="B1171">
        <v>-5.9538488494426674E-2</v>
      </c>
      <c r="C1171">
        <v>-0.1469662933910727</v>
      </c>
      <c r="D1171">
        <v>0.24098605456164568</v>
      </c>
      <c r="E1171">
        <v>0.30099091452206927</v>
      </c>
      <c r="F1171">
        <v>0</v>
      </c>
      <c r="G1171">
        <v>0.50231555661575777</v>
      </c>
      <c r="H1171">
        <v>0.7891206036645888</v>
      </c>
      <c r="I1171">
        <v>0.65089538235614774</v>
      </c>
      <c r="J1171">
        <v>0.26343351510855895</v>
      </c>
      <c r="L1171">
        <v>0.66403725249921375</v>
      </c>
      <c r="M1171">
        <v>3.631863158065705</v>
      </c>
      <c r="N1171">
        <v>2.2145081960755308</v>
      </c>
      <c r="P1171">
        <v>5.2511083860899722E-13</v>
      </c>
      <c r="R1171">
        <v>5.9571235521632122</v>
      </c>
      <c r="S1171">
        <v>5.9659507309582951</v>
      </c>
      <c r="T1171">
        <v>1</v>
      </c>
      <c r="U1171">
        <v>2.34854966055312</v>
      </c>
    </row>
    <row r="1172" spans="1:21">
      <c r="A1172">
        <v>-1.4897988494886387</v>
      </c>
      <c r="B1172">
        <v>-5.656586609455249E-2</v>
      </c>
      <c r="C1172">
        <v>-0.11998391212358056</v>
      </c>
      <c r="D1172">
        <v>0</v>
      </c>
      <c r="E1172">
        <v>0</v>
      </c>
      <c r="F1172">
        <v>0</v>
      </c>
      <c r="G1172">
        <v>0.16831209684607454</v>
      </c>
      <c r="H1172">
        <v>0.45956017429075985</v>
      </c>
      <c r="I1172">
        <v>0.41551610869702532</v>
      </c>
      <c r="J1172">
        <v>0.9191641199139301</v>
      </c>
      <c r="L1172">
        <v>0.66403862265524571</v>
      </c>
      <c r="M1172">
        <v>3.6318654104512382</v>
      </c>
      <c r="N1172">
        <v>2.2145076629405711</v>
      </c>
      <c r="P1172">
        <v>8.4305036710707541E-12</v>
      </c>
      <c r="R1172">
        <v>5.9571235521632122</v>
      </c>
      <c r="S1172">
        <v>5.9659507309582951</v>
      </c>
      <c r="T1172">
        <v>1</v>
      </c>
      <c r="U1172">
        <v>2.34854966055312</v>
      </c>
    </row>
    <row r="1173" spans="1:21">
      <c r="A1173">
        <v>-1.4989853959016972</v>
      </c>
      <c r="B1173">
        <v>-6.2039690960676325E-2</v>
      </c>
      <c r="C1173">
        <v>-0.14874990045381967</v>
      </c>
      <c r="D1173">
        <v>0</v>
      </c>
      <c r="E1173">
        <v>0.24819269381973677</v>
      </c>
      <c r="F1173">
        <v>0</v>
      </c>
      <c r="G1173">
        <v>0.62737170845359147</v>
      </c>
      <c r="H1173">
        <v>0.503442893731606</v>
      </c>
      <c r="I1173">
        <v>0.36645535230885268</v>
      </c>
      <c r="J1173">
        <v>0.17229602875350969</v>
      </c>
      <c r="L1173">
        <v>0.66403753104897589</v>
      </c>
      <c r="M1173">
        <v>3.6318628247271674</v>
      </c>
      <c r="N1173">
        <v>2.2145082838916741</v>
      </c>
      <c r="P1173">
        <v>4.9830984362500337E-13</v>
      </c>
      <c r="R1173">
        <v>5.9571235521632122</v>
      </c>
      <c r="S1173">
        <v>5.9659507309582951</v>
      </c>
      <c r="T1173">
        <v>1</v>
      </c>
      <c r="U1173">
        <v>2.34854966055312</v>
      </c>
    </row>
    <row r="1174" spans="1:21">
      <c r="A1174">
        <v>-1.4854375497786219</v>
      </c>
      <c r="B1174">
        <v>-4.8900460841326203E-2</v>
      </c>
      <c r="C1174">
        <v>-0.12182227695422908</v>
      </c>
      <c r="D1174">
        <v>0</v>
      </c>
      <c r="E1174">
        <v>0.39882331389685205</v>
      </c>
      <c r="F1174">
        <v>0.13726785160350161</v>
      </c>
      <c r="G1174">
        <v>0.13301439461519826</v>
      </c>
      <c r="H1174">
        <v>0.95633005186181386</v>
      </c>
      <c r="I1174">
        <v>0.74277571482770477</v>
      </c>
      <c r="J1174">
        <v>0.74128318826174777</v>
      </c>
      <c r="L1174">
        <v>0.66403777937939024</v>
      </c>
      <c r="M1174">
        <v>3.6318631116615019</v>
      </c>
      <c r="N1174">
        <v>2.2145088041099488</v>
      </c>
      <c r="P1174">
        <v>1.7254139798200546E-12</v>
      </c>
      <c r="R1174">
        <v>5.9571235521632122</v>
      </c>
      <c r="S1174">
        <v>5.9659507309582951</v>
      </c>
      <c r="T1174">
        <v>1</v>
      </c>
      <c r="U1174">
        <v>2.34854966055312</v>
      </c>
    </row>
    <row r="1175" spans="1:21">
      <c r="A1175">
        <v>-1.4885204905560809</v>
      </c>
      <c r="B1175">
        <v>-6.1299851853855745E-2</v>
      </c>
      <c r="C1175">
        <v>-0.16064575390282454</v>
      </c>
      <c r="D1175">
        <v>0</v>
      </c>
      <c r="E1175">
        <v>0</v>
      </c>
      <c r="F1175">
        <v>0.5599983617102996</v>
      </c>
      <c r="G1175">
        <v>0.23771319185639223</v>
      </c>
      <c r="H1175">
        <v>0.26176335791651179</v>
      </c>
      <c r="I1175">
        <v>0.89084145363866174</v>
      </c>
      <c r="J1175">
        <v>0.39740715339116323</v>
      </c>
      <c r="L1175">
        <v>0.66403770728678235</v>
      </c>
      <c r="M1175">
        <v>3.6318630779252934</v>
      </c>
      <c r="N1175">
        <v>2.2145087369411693</v>
      </c>
      <c r="P1175">
        <v>1.4954978389484343E-12</v>
      </c>
      <c r="R1175">
        <v>5.9571235521632122</v>
      </c>
      <c r="S1175">
        <v>5.9659507309582951</v>
      </c>
      <c r="T1175">
        <v>1</v>
      </c>
      <c r="U1175">
        <v>2.34854966055312</v>
      </c>
    </row>
    <row r="1176" spans="1:21">
      <c r="A1176">
        <v>-1.4947729548966169</v>
      </c>
      <c r="B1176">
        <v>-5.7992528389161031E-2</v>
      </c>
      <c r="C1176">
        <v>-0.1309562698279208</v>
      </c>
      <c r="D1176">
        <v>0.12968247227513471</v>
      </c>
      <c r="E1176">
        <v>0.32296503457486592</v>
      </c>
      <c r="F1176">
        <v>0.60044746102845681</v>
      </c>
      <c r="G1176">
        <v>8.1299489301983635E-2</v>
      </c>
      <c r="H1176">
        <v>0.25151535406317127</v>
      </c>
      <c r="I1176">
        <v>0.10006579136147158</v>
      </c>
      <c r="J1176">
        <v>0.62235521839186003</v>
      </c>
      <c r="L1176">
        <v>0.6640375174176415</v>
      </c>
      <c r="M1176">
        <v>3.6318628534726898</v>
      </c>
      <c r="N1176">
        <v>2.2145083010296123</v>
      </c>
      <c r="P1176">
        <v>5.2200965756406821E-13</v>
      </c>
      <c r="R1176">
        <v>5.9571235521632122</v>
      </c>
      <c r="S1176">
        <v>5.9659507309582951</v>
      </c>
      <c r="T1176">
        <v>1</v>
      </c>
      <c r="U1176">
        <v>2.34854966055312</v>
      </c>
    </row>
    <row r="1177" spans="1:21">
      <c r="A1177">
        <v>-1.4885387413124278</v>
      </c>
      <c r="B1177">
        <v>-5.2945385596490986E-2</v>
      </c>
      <c r="C1177">
        <v>-0.1323620497193064</v>
      </c>
      <c r="D1177">
        <v>0</v>
      </c>
      <c r="E1177">
        <v>1.8884409112224162E-2</v>
      </c>
      <c r="F1177">
        <v>0</v>
      </c>
      <c r="G1177">
        <v>8.2417143450132124E-2</v>
      </c>
      <c r="H1177">
        <v>0.57739793323982802</v>
      </c>
      <c r="I1177">
        <v>0.33311516450571543</v>
      </c>
      <c r="J1177">
        <v>0.27546892115531341</v>
      </c>
      <c r="L1177">
        <v>0.66403753638687879</v>
      </c>
      <c r="M1177">
        <v>3.6318629711903894</v>
      </c>
      <c r="N1177">
        <v>2.2145084725249609</v>
      </c>
      <c r="P1177">
        <v>8.3018071249642159E-13</v>
      </c>
      <c r="R1177">
        <v>5.9571235521632122</v>
      </c>
      <c r="S1177">
        <v>5.9659507309582951</v>
      </c>
      <c r="T1177">
        <v>1</v>
      </c>
      <c r="U1177">
        <v>2.34854966055312</v>
      </c>
    </row>
    <row r="1178" spans="1:21">
      <c r="A1178">
        <v>-1.5062008500481567</v>
      </c>
      <c r="B1178">
        <v>-7.2208275335056707E-2</v>
      </c>
      <c r="C1178">
        <v>-0.16604819819931563</v>
      </c>
      <c r="D1178">
        <v>0.58399740378015874</v>
      </c>
      <c r="E1178">
        <v>0.4296846173322294</v>
      </c>
      <c r="F1178">
        <v>0</v>
      </c>
      <c r="G1178">
        <v>0.93449041096567309</v>
      </c>
      <c r="H1178">
        <v>0.60361819852639786</v>
      </c>
      <c r="I1178">
        <v>0.51655404887240763</v>
      </c>
      <c r="J1178">
        <v>6.2334827698475884E-2</v>
      </c>
      <c r="L1178">
        <v>0.66403994847433701</v>
      </c>
      <c r="M1178">
        <v>3.6318634188881345</v>
      </c>
      <c r="N1178">
        <v>2.2145083788179716</v>
      </c>
      <c r="P1178">
        <v>7.5570950687637563E-12</v>
      </c>
      <c r="R1178">
        <v>5.9571235521632122</v>
      </c>
      <c r="S1178">
        <v>5.9659507309582951</v>
      </c>
      <c r="T1178">
        <v>1</v>
      </c>
      <c r="U1178">
        <v>2.34854966055312</v>
      </c>
    </row>
    <row r="1179" spans="1:21">
      <c r="A1179">
        <v>-1.4918295718492811</v>
      </c>
      <c r="B1179">
        <v>-5.839882095831999E-2</v>
      </c>
      <c r="C1179">
        <v>-0.12822651999150012</v>
      </c>
      <c r="D1179">
        <v>0</v>
      </c>
      <c r="E1179">
        <v>0.32959221570982006</v>
      </c>
      <c r="F1179">
        <v>0</v>
      </c>
      <c r="G1179">
        <v>0.41518026982163769</v>
      </c>
      <c r="H1179">
        <v>0.61781417714619713</v>
      </c>
      <c r="I1179">
        <v>0.74941133293754525</v>
      </c>
      <c r="J1179">
        <v>0.88831633376506036</v>
      </c>
      <c r="L1179">
        <v>0.66403746192109936</v>
      </c>
      <c r="M1179">
        <v>3.6318629758906305</v>
      </c>
      <c r="N1179">
        <v>2.2145083751153565</v>
      </c>
      <c r="P1179">
        <v>6.5425249608058793E-13</v>
      </c>
      <c r="R1179">
        <v>5.9571235521632122</v>
      </c>
      <c r="S1179">
        <v>5.9659507309582951</v>
      </c>
      <c r="T1179">
        <v>1</v>
      </c>
      <c r="U1179">
        <v>2.34854966055312</v>
      </c>
    </row>
    <row r="1180" spans="1:21">
      <c r="A1180">
        <v>-1.4858338870350025</v>
      </c>
      <c r="B1180">
        <v>-4.7929840516708476E-2</v>
      </c>
      <c r="C1180">
        <v>-0.1478401013403246</v>
      </c>
      <c r="D1180">
        <v>0</v>
      </c>
      <c r="E1180">
        <v>0.10885722730688099</v>
      </c>
      <c r="F1180">
        <v>0.80044656451090057</v>
      </c>
      <c r="G1180">
        <v>0</v>
      </c>
      <c r="H1180">
        <v>0.81001945369621831</v>
      </c>
      <c r="I1180">
        <v>0.39070826680829907</v>
      </c>
      <c r="J1180">
        <v>9.7537167884436046E-2</v>
      </c>
      <c r="L1180">
        <v>0.66403770793249894</v>
      </c>
      <c r="M1180">
        <v>3.6318625119863284</v>
      </c>
      <c r="N1180">
        <v>2.2145077767731949</v>
      </c>
      <c r="P1180">
        <v>2.0582146657665177E-13</v>
      </c>
      <c r="R1180">
        <v>5.9571235521632122</v>
      </c>
      <c r="S1180">
        <v>5.9659507309582951</v>
      </c>
      <c r="T1180">
        <v>1</v>
      </c>
      <c r="U1180">
        <v>2.34854966055312</v>
      </c>
    </row>
    <row r="1181" spans="1:21">
      <c r="A1181">
        <v>-1.4445215576275197</v>
      </c>
      <c r="B1181">
        <v>5.5581772117435799E-2</v>
      </c>
      <c r="C1181">
        <v>-4.3870727717445608E-2</v>
      </c>
      <c r="D1181">
        <v>0.67690970842845199</v>
      </c>
      <c r="E1181">
        <v>0.1550885233996743</v>
      </c>
      <c r="F1181">
        <v>0</v>
      </c>
      <c r="G1181">
        <v>0.85622742009776254</v>
      </c>
      <c r="H1181">
        <v>6.0137593520862141E-2</v>
      </c>
      <c r="I1181">
        <v>0.78324764751061571</v>
      </c>
      <c r="J1181">
        <v>0.43918267120471666</v>
      </c>
      <c r="L1181">
        <v>4.0704401778343273</v>
      </c>
      <c r="M1181">
        <v>3.6318623393853753</v>
      </c>
      <c r="N1181">
        <v>2.2145085815819221</v>
      </c>
      <c r="P1181">
        <v>1.5856170741060245E-12</v>
      </c>
      <c r="R1181">
        <v>8.733471884944306</v>
      </c>
      <c r="S1181">
        <v>8.7470632700269135</v>
      </c>
      <c r="T1181">
        <v>1</v>
      </c>
      <c r="U1181">
        <v>2.5100919771224905</v>
      </c>
    </row>
    <row r="1182" spans="1:21">
      <c r="A1182">
        <v>-1.4385553730775589</v>
      </c>
      <c r="B1182">
        <v>8.076142005436171E-2</v>
      </c>
      <c r="C1182">
        <v>-5.5318666913097428E-3</v>
      </c>
      <c r="D1182">
        <v>0</v>
      </c>
      <c r="E1182">
        <v>0.33084223181039674</v>
      </c>
      <c r="F1182">
        <v>0</v>
      </c>
      <c r="G1182">
        <v>0.81816961108349873</v>
      </c>
      <c r="H1182">
        <v>0.93926845295010075</v>
      </c>
      <c r="I1182">
        <v>0.29682347364033601</v>
      </c>
      <c r="J1182">
        <v>0.54724731043895636</v>
      </c>
      <c r="L1182">
        <v>4.0704399465533001</v>
      </c>
      <c r="M1182">
        <v>3.6318626045744455</v>
      </c>
      <c r="N1182">
        <v>2.2145085090963392</v>
      </c>
      <c r="P1182">
        <v>1.0396566960440919E-12</v>
      </c>
      <c r="R1182">
        <v>8.733471884944306</v>
      </c>
      <c r="S1182">
        <v>8.7470632700269135</v>
      </c>
      <c r="T1182">
        <v>1</v>
      </c>
      <c r="U1182">
        <v>2.5100919771224905</v>
      </c>
    </row>
    <row r="1183" spans="1:21">
      <c r="A1183">
        <v>-1.439935304256232</v>
      </c>
      <c r="B1183">
        <v>7.3186038024755803E-2</v>
      </c>
      <c r="C1183">
        <v>-1.578628923137736E-2</v>
      </c>
      <c r="D1183">
        <v>0</v>
      </c>
      <c r="E1183">
        <v>0.54108563292463041</v>
      </c>
      <c r="F1183">
        <v>0</v>
      </c>
      <c r="G1183">
        <v>0.89944089609495959</v>
      </c>
      <c r="H1183">
        <v>0.66721631794336078</v>
      </c>
      <c r="I1183">
        <v>0.71623918246652696</v>
      </c>
      <c r="J1183">
        <v>0.66208031186249949</v>
      </c>
      <c r="L1183">
        <v>4.0704405469009712</v>
      </c>
      <c r="M1183">
        <v>3.6318618675467631</v>
      </c>
      <c r="N1183">
        <v>2.2145083814779527</v>
      </c>
      <c r="P1183">
        <v>2.4804114326819863E-12</v>
      </c>
      <c r="R1183">
        <v>8.733471884944306</v>
      </c>
      <c r="S1183">
        <v>8.7470632700269135</v>
      </c>
      <c r="T1183">
        <v>1</v>
      </c>
      <c r="U1183">
        <v>2.5100919771224905</v>
      </c>
    </row>
    <row r="1184" spans="1:21">
      <c r="A1184">
        <v>-1.4422514235068788</v>
      </c>
      <c r="B1184">
        <v>7.1183721881223211E-2</v>
      </c>
      <c r="C1184">
        <v>-1.2632382336595701E-3</v>
      </c>
      <c r="D1184">
        <v>0.90095089358567571</v>
      </c>
      <c r="E1184">
        <v>0.5694865601122413</v>
      </c>
      <c r="F1184">
        <v>0</v>
      </c>
      <c r="G1184">
        <v>0.79975867750788621</v>
      </c>
      <c r="H1184">
        <v>0.97985462800642809</v>
      </c>
      <c r="I1184">
        <v>0.46163965320817291</v>
      </c>
      <c r="J1184">
        <v>1.004166385774619</v>
      </c>
      <c r="L1184">
        <v>4.0704402341893449</v>
      </c>
      <c r="M1184">
        <v>3.6318621928905337</v>
      </c>
      <c r="N1184">
        <v>2.2145085034246894</v>
      </c>
      <c r="P1184">
        <v>1.6637807764545156E-12</v>
      </c>
      <c r="R1184">
        <v>8.733471884944306</v>
      </c>
      <c r="S1184">
        <v>8.7470632700269135</v>
      </c>
      <c r="T1184">
        <v>1</v>
      </c>
      <c r="U1184">
        <v>2.5100919771224905</v>
      </c>
    </row>
    <row r="1185" spans="1:21">
      <c r="A1185">
        <v>-1.4390865949121523</v>
      </c>
      <c r="B1185">
        <v>6.9258098709487778E-2</v>
      </c>
      <c r="C1185">
        <v>-3.6350190034257719E-2</v>
      </c>
      <c r="D1185">
        <v>7.5194266367083762E-3</v>
      </c>
      <c r="E1185">
        <v>0.14471105028890355</v>
      </c>
      <c r="F1185">
        <v>0</v>
      </c>
      <c r="G1185">
        <v>0.93668199249418138</v>
      </c>
      <c r="H1185">
        <v>0.73338749825030591</v>
      </c>
      <c r="I1185">
        <v>0.80049856235872041</v>
      </c>
      <c r="J1185">
        <v>0.31210383065553221</v>
      </c>
      <c r="L1185">
        <v>4.070440241241319</v>
      </c>
      <c r="M1185">
        <v>3.6318621510622804</v>
      </c>
      <c r="N1185">
        <v>2.2145084649496454</v>
      </c>
      <c r="P1185">
        <v>1.656097594788123E-12</v>
      </c>
      <c r="R1185">
        <v>8.733471884944306</v>
      </c>
      <c r="S1185">
        <v>8.7470632700269135</v>
      </c>
      <c r="T1185">
        <v>1</v>
      </c>
      <c r="U1185">
        <v>2.5100919771224905</v>
      </c>
    </row>
    <row r="1186" spans="1:21">
      <c r="A1186">
        <v>-1.441066932992207</v>
      </c>
      <c r="B1186">
        <v>6.1219005131304703E-2</v>
      </c>
      <c r="C1186">
        <v>-2.1188332784872609E-2</v>
      </c>
      <c r="D1186">
        <v>0</v>
      </c>
      <c r="E1186">
        <v>0</v>
      </c>
      <c r="F1186">
        <v>0</v>
      </c>
      <c r="G1186">
        <v>0.73884561593965747</v>
      </c>
      <c r="H1186">
        <v>4.555737873394225E-2</v>
      </c>
      <c r="I1186">
        <v>0.64059162703995565</v>
      </c>
      <c r="J1186">
        <v>0.95907289594535039</v>
      </c>
      <c r="L1186">
        <v>4.0704400346503178</v>
      </c>
      <c r="M1186">
        <v>3.6318624477876171</v>
      </c>
      <c r="N1186">
        <v>2.2145085104652149</v>
      </c>
      <c r="P1186">
        <v>1.2024414984607881E-12</v>
      </c>
      <c r="R1186">
        <v>8.733471884944306</v>
      </c>
      <c r="S1186">
        <v>8.7470632700269135</v>
      </c>
      <c r="T1186">
        <v>1</v>
      </c>
      <c r="U1186">
        <v>2.5100919771224905</v>
      </c>
    </row>
    <row r="1187" spans="1:21">
      <c r="A1187">
        <v>-1.4335427267955836</v>
      </c>
      <c r="B1187">
        <v>7.4847286340117614E-2</v>
      </c>
      <c r="C1187">
        <v>-1.8910988524955111E-2</v>
      </c>
      <c r="D1187">
        <v>8.4917426331919E-3</v>
      </c>
      <c r="E1187">
        <v>4.89914596276287E-2</v>
      </c>
      <c r="F1187">
        <v>0.48059185900587065</v>
      </c>
      <c r="G1187">
        <v>0.2072067720708253</v>
      </c>
      <c r="H1187">
        <v>0.79147333342166126</v>
      </c>
      <c r="I1187">
        <v>0.31679782003455353</v>
      </c>
      <c r="J1187">
        <v>0.46261919117197225</v>
      </c>
      <c r="L1187">
        <v>4.0704400183459031</v>
      </c>
      <c r="M1187">
        <v>3.6318623434006301</v>
      </c>
      <c r="N1187">
        <v>2.2145083974488879</v>
      </c>
      <c r="P1187">
        <v>1.0723640043926338E-12</v>
      </c>
      <c r="R1187">
        <v>8.733471884944306</v>
      </c>
      <c r="S1187">
        <v>8.7470632700269135</v>
      </c>
      <c r="T1187">
        <v>1</v>
      </c>
      <c r="U1187">
        <v>2.5100919771224905</v>
      </c>
    </row>
    <row r="1188" spans="1:21">
      <c r="A1188">
        <v>-1.4369799234505658</v>
      </c>
      <c r="B1188">
        <v>6.4055715388173548E-2</v>
      </c>
      <c r="C1188">
        <v>-2.0343924314614705E-2</v>
      </c>
      <c r="D1188">
        <v>0</v>
      </c>
      <c r="E1188">
        <v>0.79198098602422506</v>
      </c>
      <c r="F1188">
        <v>0</v>
      </c>
      <c r="G1188">
        <v>0.24373973584069059</v>
      </c>
      <c r="H1188">
        <v>8.0548371768910568E-2</v>
      </c>
      <c r="I1188">
        <v>0.93905575606352321</v>
      </c>
      <c r="J1188">
        <v>0.54850028811687979</v>
      </c>
      <c r="L1188">
        <v>4.0704399789413959</v>
      </c>
      <c r="M1188">
        <v>3.6318625151614201</v>
      </c>
      <c r="N1188">
        <v>2.2145084906450236</v>
      </c>
      <c r="P1188">
        <v>1.0735028166969884E-12</v>
      </c>
      <c r="R1188">
        <v>8.733471884944306</v>
      </c>
      <c r="S1188">
        <v>8.7470632700269135</v>
      </c>
      <c r="T1188">
        <v>1</v>
      </c>
      <c r="U1188">
        <v>2.5100919771224905</v>
      </c>
    </row>
    <row r="1189" spans="1:21">
      <c r="A1189">
        <v>-1.4401181762343953</v>
      </c>
      <c r="B1189">
        <v>6.649932497162063E-2</v>
      </c>
      <c r="C1189">
        <v>-4.1405410292289543E-2</v>
      </c>
      <c r="D1189">
        <v>0.25301982797936812</v>
      </c>
      <c r="E1189">
        <v>0.51340060532817289</v>
      </c>
      <c r="F1189">
        <v>0</v>
      </c>
      <c r="G1189">
        <v>0.82135793355047515</v>
      </c>
      <c r="H1189">
        <v>0.55093442535573656</v>
      </c>
      <c r="I1189">
        <v>0.93989630971418325</v>
      </c>
      <c r="J1189">
        <v>0.11522963227439144</v>
      </c>
      <c r="L1189">
        <v>4.0704397551687101</v>
      </c>
      <c r="M1189">
        <v>3.6318624767650851</v>
      </c>
      <c r="N1189">
        <v>2.2145080679918494</v>
      </c>
      <c r="P1189">
        <v>3.6675398847878792E-13</v>
      </c>
      <c r="R1189">
        <v>8.733471884944306</v>
      </c>
      <c r="S1189">
        <v>8.7470632700269135</v>
      </c>
      <c r="T1189">
        <v>1</v>
      </c>
      <c r="U1189">
        <v>2.5100919771224905</v>
      </c>
    </row>
    <row r="1190" spans="1:21">
      <c r="A1190">
        <v>-1.4377169078075338</v>
      </c>
      <c r="B1190">
        <v>7.4890334927315991E-2</v>
      </c>
      <c r="C1190">
        <v>-2.3988672361126416E-2</v>
      </c>
      <c r="D1190">
        <v>0</v>
      </c>
      <c r="E1190">
        <v>0.19115406379562969</v>
      </c>
      <c r="F1190">
        <v>0</v>
      </c>
      <c r="G1190">
        <v>0.58296537375000079</v>
      </c>
      <c r="H1190">
        <v>0.58200502489672723</v>
      </c>
      <c r="I1190">
        <v>0.35309759785051659</v>
      </c>
      <c r="J1190">
        <v>8.7230077934868297E-2</v>
      </c>
      <c r="L1190">
        <v>4.0704401844914111</v>
      </c>
      <c r="M1190">
        <v>3.6318622343576181</v>
      </c>
      <c r="N1190">
        <v>2.21450849204335</v>
      </c>
      <c r="P1190">
        <v>1.5290846138005305E-12</v>
      </c>
      <c r="R1190">
        <v>8.733471884944306</v>
      </c>
      <c r="S1190">
        <v>8.7470632700269135</v>
      </c>
      <c r="T1190">
        <v>1</v>
      </c>
      <c r="U1190">
        <v>2.5100919771224905</v>
      </c>
    </row>
    <row r="1191" spans="1:21">
      <c r="A1191">
        <v>-1.4352572344951655</v>
      </c>
      <c r="B1191">
        <v>7.9010780772019645E-2</v>
      </c>
      <c r="C1191">
        <v>-3.860891691470132E-3</v>
      </c>
      <c r="D1191">
        <v>0</v>
      </c>
      <c r="E1191">
        <v>0</v>
      </c>
      <c r="F1191">
        <v>0</v>
      </c>
      <c r="G1191">
        <v>0.47221095457114215</v>
      </c>
      <c r="H1191">
        <v>0.99316318282639915</v>
      </c>
      <c r="I1191">
        <v>0.16324311647803211</v>
      </c>
      <c r="J1191">
        <v>0.55416268909119304</v>
      </c>
      <c r="L1191">
        <v>4.0704398065984719</v>
      </c>
      <c r="M1191">
        <v>3.6318626884893703</v>
      </c>
      <c r="N1191">
        <v>2.2145083574525977</v>
      </c>
      <c r="P1191">
        <v>6.6661797948687976E-13</v>
      </c>
      <c r="R1191">
        <v>8.733471884944306</v>
      </c>
      <c r="S1191">
        <v>8.7470632700269135</v>
      </c>
      <c r="T1191">
        <v>1</v>
      </c>
      <c r="U1191">
        <v>2.5100919771224905</v>
      </c>
    </row>
    <row r="1192" spans="1:21">
      <c r="A1192">
        <v>-1.4371931447889628</v>
      </c>
      <c r="B1192">
        <v>7.417906211295458E-2</v>
      </c>
      <c r="C1192">
        <v>-2.9464275063152332E-2</v>
      </c>
      <c r="D1192">
        <v>0</v>
      </c>
      <c r="E1192">
        <v>0</v>
      </c>
      <c r="F1192">
        <v>0.70407008400072113</v>
      </c>
      <c r="G1192">
        <v>0.70858844749022487</v>
      </c>
      <c r="H1192">
        <v>0.82278805397980692</v>
      </c>
      <c r="I1192">
        <v>0.45225648935530133</v>
      </c>
      <c r="J1192">
        <v>0.6069775597575926</v>
      </c>
      <c r="L1192">
        <v>4.0704399753947094</v>
      </c>
      <c r="M1192">
        <v>3.6318624222587008</v>
      </c>
      <c r="N1192">
        <v>2.2145084128813903</v>
      </c>
      <c r="P1192">
        <v>9.9490673409132621E-13</v>
      </c>
      <c r="R1192">
        <v>8.733471884944306</v>
      </c>
      <c r="S1192">
        <v>8.7470632700269135</v>
      </c>
      <c r="T1192">
        <v>1</v>
      </c>
      <c r="U1192">
        <v>2.5100919771224905</v>
      </c>
    </row>
    <row r="1193" spans="1:21">
      <c r="A1193">
        <v>-1.4362048000556296</v>
      </c>
      <c r="B1193">
        <v>7.3441689777904204E-2</v>
      </c>
      <c r="C1193">
        <v>-6.3484380934412162E-3</v>
      </c>
      <c r="D1193">
        <v>0</v>
      </c>
      <c r="E1193">
        <v>0</v>
      </c>
      <c r="F1193">
        <v>0</v>
      </c>
      <c r="G1193">
        <v>0.41496620481364799</v>
      </c>
      <c r="H1193">
        <v>0.65607320376289602</v>
      </c>
      <c r="I1193">
        <v>0.25860194964814653</v>
      </c>
      <c r="J1193">
        <v>0.68388922739490954</v>
      </c>
      <c r="L1193">
        <v>4.0704396685162392</v>
      </c>
      <c r="M1193">
        <v>3.6318624281432443</v>
      </c>
      <c r="N1193">
        <v>2.2145073630295031</v>
      </c>
      <c r="P1193">
        <v>1.9548286546208846E-13</v>
      </c>
      <c r="R1193">
        <v>8.733471884944306</v>
      </c>
      <c r="S1193">
        <v>8.7470632700269135</v>
      </c>
      <c r="T1193">
        <v>1</v>
      </c>
      <c r="U1193">
        <v>2.5100919771224905</v>
      </c>
    </row>
    <row r="1194" spans="1:21">
      <c r="A1194">
        <v>-1.4339308911871815</v>
      </c>
      <c r="B1194">
        <v>7.6447721281008504E-2</v>
      </c>
      <c r="C1194">
        <v>-5.9421681453552576E-3</v>
      </c>
      <c r="D1194">
        <v>0.21066183836456145</v>
      </c>
      <c r="E1194">
        <v>0</v>
      </c>
      <c r="F1194">
        <v>0</v>
      </c>
      <c r="G1194">
        <v>0.21026420904822685</v>
      </c>
      <c r="H1194">
        <v>0.99175539502376009</v>
      </c>
      <c r="I1194">
        <v>0.15756469319025268</v>
      </c>
      <c r="J1194">
        <v>0.44377899525544512</v>
      </c>
      <c r="L1194">
        <v>4.0704400011098372</v>
      </c>
      <c r="M1194">
        <v>3.6318626604630735</v>
      </c>
      <c r="N1194">
        <v>2.2145086030338477</v>
      </c>
      <c r="P1194">
        <v>1.2518182265041777E-12</v>
      </c>
      <c r="R1194">
        <v>8.733471884944306</v>
      </c>
      <c r="S1194">
        <v>8.7470632700269135</v>
      </c>
      <c r="T1194">
        <v>1</v>
      </c>
      <c r="U1194">
        <v>2.5100919771224905</v>
      </c>
    </row>
    <row r="1195" spans="1:21">
      <c r="A1195">
        <v>-1.4340281042577616</v>
      </c>
      <c r="B1195">
        <v>6.7187574999319308E-2</v>
      </c>
      <c r="C1195">
        <v>-2.0709555821012537E-2</v>
      </c>
      <c r="D1195">
        <v>0</v>
      </c>
      <c r="E1195">
        <v>0.50486627241051141</v>
      </c>
      <c r="F1195">
        <v>0</v>
      </c>
      <c r="G1195">
        <v>0.27682410606420277</v>
      </c>
      <c r="H1195">
        <v>0.68547403916706062</v>
      </c>
      <c r="I1195">
        <v>0.95929778011445999</v>
      </c>
      <c r="J1195">
        <v>0.58110504916181149</v>
      </c>
      <c r="L1195">
        <v>4.0704398148738514</v>
      </c>
      <c r="M1195">
        <v>3.6318627200553149</v>
      </c>
      <c r="N1195">
        <v>2.2145083893683171</v>
      </c>
      <c r="P1195">
        <v>7.1612472654015838E-13</v>
      </c>
      <c r="R1195">
        <v>8.733471884944306</v>
      </c>
      <c r="S1195">
        <v>8.7470632700269135</v>
      </c>
      <c r="T1195">
        <v>1</v>
      </c>
      <c r="U1195">
        <v>2.5100919771224905</v>
      </c>
    </row>
    <row r="1196" spans="1:21">
      <c r="A1196">
        <v>-1.4389712782073734</v>
      </c>
      <c r="B1196">
        <v>7.1063358252234934E-2</v>
      </c>
      <c r="C1196">
        <v>-1.1400570458233155E-2</v>
      </c>
      <c r="D1196">
        <v>0.29474649778357082</v>
      </c>
      <c r="E1196">
        <v>0</v>
      </c>
      <c r="F1196">
        <v>0</v>
      </c>
      <c r="G1196">
        <v>0.673802741277158</v>
      </c>
      <c r="H1196">
        <v>0.76647378337392824</v>
      </c>
      <c r="I1196">
        <v>0.34244460637324448</v>
      </c>
      <c r="J1196">
        <v>0.75638180410315647</v>
      </c>
      <c r="L1196">
        <v>4.0704398605102341</v>
      </c>
      <c r="M1196">
        <v>3.6318626745628895</v>
      </c>
      <c r="N1196">
        <v>2.214508433161805</v>
      </c>
      <c r="P1196">
        <v>8.2305465193221038E-13</v>
      </c>
      <c r="R1196">
        <v>8.733471884944306</v>
      </c>
      <c r="S1196">
        <v>8.7470632700269135</v>
      </c>
      <c r="T1196">
        <v>1</v>
      </c>
      <c r="U1196">
        <v>2.5100919771224905</v>
      </c>
    </row>
    <row r="1197" spans="1:21">
      <c r="A1197">
        <v>-1.4308628906246226</v>
      </c>
      <c r="B1197">
        <v>6.4676415431730083E-2</v>
      </c>
      <c r="C1197">
        <v>-3.3653905827649891E-2</v>
      </c>
      <c r="D1197">
        <v>0</v>
      </c>
      <c r="E1197">
        <v>1.0300973694587144E-2</v>
      </c>
      <c r="F1197">
        <v>0.54510396433460928</v>
      </c>
      <c r="G1197">
        <v>0.16728072327977275</v>
      </c>
      <c r="H1197">
        <v>0.98725003912822085</v>
      </c>
      <c r="I1197">
        <v>1.0009218714002057</v>
      </c>
      <c r="J1197">
        <v>0.77214539644464686</v>
      </c>
      <c r="L1197">
        <v>4.0704398779905606</v>
      </c>
      <c r="M1197">
        <v>3.6318624542504905</v>
      </c>
      <c r="N1197">
        <v>2.2145082926618063</v>
      </c>
      <c r="P1197">
        <v>7.140021670838436E-13</v>
      </c>
      <c r="R1197">
        <v>8.733471884944306</v>
      </c>
      <c r="S1197">
        <v>8.7470632700269135</v>
      </c>
      <c r="T1197">
        <v>1</v>
      </c>
      <c r="U1197">
        <v>2.5100919771224905</v>
      </c>
    </row>
    <row r="1198" spans="1:21">
      <c r="A1198">
        <v>-1.4388475114773756</v>
      </c>
      <c r="B1198">
        <v>7.6605661951598361E-2</v>
      </c>
      <c r="C1198">
        <v>-2.2356294472796061E-2</v>
      </c>
      <c r="D1198">
        <v>0</v>
      </c>
      <c r="E1198">
        <v>0</v>
      </c>
      <c r="F1198">
        <v>0</v>
      </c>
      <c r="G1198">
        <v>0.85813391931008465</v>
      </c>
      <c r="H1198">
        <v>0.81646588068973991</v>
      </c>
      <c r="I1198">
        <v>0.31107082246792206</v>
      </c>
      <c r="J1198">
        <v>0.26204984508318568</v>
      </c>
      <c r="L1198">
        <v>4.0704400807540697</v>
      </c>
      <c r="M1198">
        <v>3.6318623303939006</v>
      </c>
      <c r="N1198">
        <v>2.2145084664322372</v>
      </c>
      <c r="P1198">
        <v>1.2638769903818089E-12</v>
      </c>
      <c r="R1198">
        <v>8.733471884944306</v>
      </c>
      <c r="S1198">
        <v>8.7470632700269135</v>
      </c>
      <c r="T1198">
        <v>1</v>
      </c>
      <c r="U1198">
        <v>2.5100919771224905</v>
      </c>
    </row>
    <row r="1199" spans="1:21">
      <c r="A1199">
        <v>-1.4410659504850176</v>
      </c>
      <c r="B1199">
        <v>6.4557773366816895E-2</v>
      </c>
      <c r="C1199">
        <v>-3.0970993915246891E-2</v>
      </c>
      <c r="D1199">
        <v>0.30780975032630276</v>
      </c>
      <c r="E1199">
        <v>0.63162270802133058</v>
      </c>
      <c r="F1199">
        <v>0</v>
      </c>
      <c r="G1199">
        <v>0.81979050241241702</v>
      </c>
      <c r="H1199">
        <v>0.45121819020225096</v>
      </c>
      <c r="I1199">
        <v>0.9826533102394821</v>
      </c>
      <c r="J1199">
        <v>0.51687494184291616</v>
      </c>
      <c r="L1199">
        <v>4.0704404445473079</v>
      </c>
      <c r="M1199">
        <v>3.6318619132764707</v>
      </c>
      <c r="N1199">
        <v>2.2145083616851822</v>
      </c>
      <c r="P1199">
        <v>2.1714550764141579E-12</v>
      </c>
      <c r="R1199">
        <v>8.733471884944306</v>
      </c>
      <c r="S1199">
        <v>8.7470632700269135</v>
      </c>
      <c r="T1199">
        <v>1</v>
      </c>
      <c r="U1199">
        <v>2.5100919771224905</v>
      </c>
    </row>
    <row r="1200" spans="1:21">
      <c r="A1200">
        <v>-1.4438946975185551</v>
      </c>
      <c r="B1200">
        <v>7.5448455030792255E-2</v>
      </c>
      <c r="C1200">
        <v>-1.4510743330412615E-2</v>
      </c>
      <c r="D1200">
        <v>0</v>
      </c>
      <c r="E1200">
        <v>0.49498161845631589</v>
      </c>
      <c r="F1200">
        <v>1.9663230180858311E-2</v>
      </c>
      <c r="G1200">
        <v>0.97003654056823641</v>
      </c>
      <c r="H1200">
        <v>0.11696042475258089</v>
      </c>
      <c r="I1200">
        <v>0.24843127066953494</v>
      </c>
      <c r="J1200">
        <v>0.38978858190643029</v>
      </c>
      <c r="L1200">
        <v>4.070440040265102</v>
      </c>
      <c r="M1200">
        <v>3.631862563621254</v>
      </c>
      <c r="N1200">
        <v>2.2145085968625944</v>
      </c>
      <c r="P1200">
        <v>1.3102110406880534E-12</v>
      </c>
      <c r="R1200">
        <v>8.733471884944306</v>
      </c>
      <c r="S1200">
        <v>8.7470632700269135</v>
      </c>
      <c r="T1200">
        <v>1</v>
      </c>
      <c r="U1200">
        <v>2.5100919771224905</v>
      </c>
    </row>
    <row r="1201" spans="1:21">
      <c r="A1201">
        <v>-1.4363867389392917</v>
      </c>
      <c r="B1201">
        <v>6.9182509659087427E-2</v>
      </c>
      <c r="C1201">
        <v>-1.8839409063779056E-2</v>
      </c>
      <c r="D1201">
        <v>0.1341790659967636</v>
      </c>
      <c r="E1201">
        <v>0</v>
      </c>
      <c r="F1201">
        <v>0.53747983860615367</v>
      </c>
      <c r="G1201">
        <v>1.8056792594811896E-2</v>
      </c>
      <c r="H1201">
        <v>5.6864337931633688E-2</v>
      </c>
      <c r="I1201">
        <v>5.6629824671589633E-2</v>
      </c>
      <c r="J1201">
        <v>0.45038885399949502</v>
      </c>
      <c r="L1201">
        <v>4.0704399249414243</v>
      </c>
      <c r="M1201">
        <v>3.6318624518213749</v>
      </c>
      <c r="N1201">
        <v>2.2145083655890891</v>
      </c>
      <c r="P1201">
        <v>8.5735875648828293E-13</v>
      </c>
      <c r="R1201">
        <v>8.733471884944306</v>
      </c>
      <c r="S1201">
        <v>8.7470632700269135</v>
      </c>
      <c r="T1201">
        <v>1</v>
      </c>
      <c r="U1201">
        <v>2.5100919771224905</v>
      </c>
    </row>
    <row r="1202" spans="1:21">
      <c r="A1202">
        <v>-1.4427399276305497</v>
      </c>
      <c r="B1202">
        <v>7.0908064366353302E-2</v>
      </c>
      <c r="C1202">
        <v>-1.1153857228905564E-2</v>
      </c>
      <c r="D1202">
        <v>0</v>
      </c>
      <c r="E1202">
        <v>0</v>
      </c>
      <c r="F1202">
        <v>0</v>
      </c>
      <c r="G1202">
        <v>0.93647258631577912</v>
      </c>
      <c r="H1202">
        <v>0.22012570877962978</v>
      </c>
      <c r="I1202">
        <v>0.22041200587974288</v>
      </c>
      <c r="J1202">
        <v>0.80680424238971982</v>
      </c>
      <c r="L1202">
        <v>4.0704396190078143</v>
      </c>
      <c r="M1202">
        <v>3.6318625574397614</v>
      </c>
      <c r="N1202">
        <v>2.2145076790096363</v>
      </c>
      <c r="P1202">
        <v>6.4562405148700603E-14</v>
      </c>
      <c r="R1202">
        <v>8.733471884944306</v>
      </c>
      <c r="S1202">
        <v>8.7470632700269135</v>
      </c>
      <c r="T1202">
        <v>1</v>
      </c>
      <c r="U1202">
        <v>2.5100919771224905</v>
      </c>
    </row>
    <row r="1203" spans="1:21">
      <c r="A1203">
        <v>-1.4390686429148969</v>
      </c>
      <c r="B1203">
        <v>7.1265996238428608E-2</v>
      </c>
      <c r="C1203">
        <v>-1.7098147586211667E-2</v>
      </c>
      <c r="D1203">
        <v>0</v>
      </c>
      <c r="E1203">
        <v>0</v>
      </c>
      <c r="F1203">
        <v>0</v>
      </c>
      <c r="G1203">
        <v>0.85015506642122562</v>
      </c>
      <c r="H1203">
        <v>0.71401199240475843</v>
      </c>
      <c r="I1203">
        <v>0.50682060553282215</v>
      </c>
      <c r="J1203">
        <v>0.74000131920419177</v>
      </c>
      <c r="L1203">
        <v>4.0704400046203419</v>
      </c>
      <c r="M1203">
        <v>3.6318625957343698</v>
      </c>
      <c r="N1203">
        <v>2.2145085738814525</v>
      </c>
      <c r="P1203">
        <v>1.2169057393740095E-12</v>
      </c>
      <c r="R1203">
        <v>8.733471884944306</v>
      </c>
      <c r="S1203">
        <v>8.7470632700269135</v>
      </c>
      <c r="T1203">
        <v>1</v>
      </c>
      <c r="U1203">
        <v>2.5100919771224905</v>
      </c>
    </row>
    <row r="1204" spans="1:21">
      <c r="A1204">
        <v>-1.4436697005656505</v>
      </c>
      <c r="B1204">
        <v>7.0872526192112192E-2</v>
      </c>
      <c r="C1204">
        <v>-3.9618569859501934E-2</v>
      </c>
      <c r="D1204">
        <v>0.34989030324027642</v>
      </c>
      <c r="E1204">
        <v>0.11579874197615983</v>
      </c>
      <c r="F1204">
        <v>0.43248699809383612</v>
      </c>
      <c r="G1204">
        <v>0.95233321056611275</v>
      </c>
      <c r="H1204">
        <v>0.28038976887559797</v>
      </c>
      <c r="I1204">
        <v>0.2611017808025129</v>
      </c>
      <c r="J1204">
        <v>0.11022360668171115</v>
      </c>
      <c r="L1204">
        <v>4.0704397324246209</v>
      </c>
      <c r="M1204">
        <v>3.6318626005491228</v>
      </c>
      <c r="N1204">
        <v>2.2145081502668114</v>
      </c>
      <c r="P1204">
        <v>3.8209393491537037E-13</v>
      </c>
      <c r="R1204">
        <v>8.733471884944306</v>
      </c>
      <c r="S1204">
        <v>8.7470632700269135</v>
      </c>
      <c r="T1204">
        <v>1</v>
      </c>
      <c r="U1204">
        <v>2.5100919771224905</v>
      </c>
    </row>
    <row r="1205" spans="1:21">
      <c r="A1205">
        <v>-1.4359218337192032</v>
      </c>
      <c r="B1205">
        <v>7.2473200491890974E-2</v>
      </c>
      <c r="C1205">
        <v>-1.9851766215883436E-2</v>
      </c>
      <c r="D1205">
        <v>0</v>
      </c>
      <c r="E1205">
        <v>0.32657190869098646</v>
      </c>
      <c r="F1205">
        <v>0</v>
      </c>
      <c r="G1205">
        <v>0.62105752520236979</v>
      </c>
      <c r="H1205">
        <v>0.93416346520572746</v>
      </c>
      <c r="I1205">
        <v>0.759022977294738</v>
      </c>
      <c r="J1205">
        <v>0.53621856887493058</v>
      </c>
      <c r="L1205">
        <v>4.0704402150972099</v>
      </c>
      <c r="M1205">
        <v>3.6318622781015817</v>
      </c>
      <c r="N1205">
        <v>2.2145085627867727</v>
      </c>
      <c r="P1205">
        <v>1.6560291920916666E-12</v>
      </c>
      <c r="R1205">
        <v>8.733471884944306</v>
      </c>
      <c r="S1205">
        <v>8.7470632700269135</v>
      </c>
      <c r="T1205">
        <v>1</v>
      </c>
      <c r="U1205">
        <v>2.5100919771224905</v>
      </c>
    </row>
    <row r="1206" spans="1:21">
      <c r="A1206">
        <v>-1.4358601246373999</v>
      </c>
      <c r="B1206">
        <v>7.3745369980953615E-2</v>
      </c>
      <c r="C1206">
        <v>-1.4821345315969384E-2</v>
      </c>
      <c r="D1206">
        <v>0.22913446600852466</v>
      </c>
      <c r="E1206">
        <v>0</v>
      </c>
      <c r="F1206">
        <v>0</v>
      </c>
      <c r="G1206">
        <v>0.32607858353805019</v>
      </c>
      <c r="H1206">
        <v>0.7652616153957118</v>
      </c>
      <c r="I1206">
        <v>0.20703120368513281</v>
      </c>
      <c r="J1206">
        <v>0.30797689939067219</v>
      </c>
      <c r="L1206">
        <v>4.0704398335689991</v>
      </c>
      <c r="M1206">
        <v>3.6318626171377879</v>
      </c>
      <c r="N1206">
        <v>2.2145083539752237</v>
      </c>
      <c r="P1206">
        <v>6.9502974621517238E-13</v>
      </c>
      <c r="R1206">
        <v>8.733471884944306</v>
      </c>
      <c r="S1206">
        <v>8.7470632700269135</v>
      </c>
      <c r="T1206">
        <v>1</v>
      </c>
      <c r="U1206">
        <v>2.5100919771224905</v>
      </c>
    </row>
    <row r="1207" spans="1:21">
      <c r="A1207">
        <v>-1.4425790659249855</v>
      </c>
      <c r="B1207">
        <v>6.576450377680923E-2</v>
      </c>
      <c r="C1207">
        <v>-3.4616211889343489E-2</v>
      </c>
      <c r="D1207">
        <v>0</v>
      </c>
      <c r="E1207">
        <v>0.32168012213221614</v>
      </c>
      <c r="F1207">
        <v>0.53237070239044737</v>
      </c>
      <c r="G1207">
        <v>0.9409238809924233</v>
      </c>
      <c r="H1207">
        <v>8.2406825876592413E-2</v>
      </c>
      <c r="I1207">
        <v>0.70663881021345987</v>
      </c>
      <c r="J1207">
        <v>0.71949365764562656</v>
      </c>
      <c r="L1207">
        <v>4.0704399229143746</v>
      </c>
      <c r="M1207">
        <v>3.6318626062389456</v>
      </c>
      <c r="N1207">
        <v>2.2145084805962498</v>
      </c>
      <c r="P1207">
        <v>9.6877449361810659E-13</v>
      </c>
      <c r="R1207">
        <v>8.733471884944306</v>
      </c>
      <c r="S1207">
        <v>8.7470632700269135</v>
      </c>
      <c r="T1207">
        <v>1</v>
      </c>
      <c r="U1207">
        <v>2.5100919771224905</v>
      </c>
    </row>
    <row r="1208" spans="1:21">
      <c r="A1208">
        <v>-1.443291634330738</v>
      </c>
      <c r="B1208">
        <v>6.6435740294982004E-2</v>
      </c>
      <c r="C1208">
        <v>-2.8632563154329403E-2</v>
      </c>
      <c r="D1208">
        <v>0.22731662414334133</v>
      </c>
      <c r="E1208">
        <v>0.61806926142167895</v>
      </c>
      <c r="F1208">
        <v>0</v>
      </c>
      <c r="G1208">
        <v>0.97767089424671527</v>
      </c>
      <c r="H1208">
        <v>0.25542957551714024</v>
      </c>
      <c r="I1208">
        <v>0.81457204245299664</v>
      </c>
      <c r="J1208">
        <v>0.50286521727117661</v>
      </c>
      <c r="L1208">
        <v>4.0704399544085472</v>
      </c>
      <c r="M1208">
        <v>3.6318624735299117</v>
      </c>
      <c r="N1208">
        <v>2.2145084284433092</v>
      </c>
      <c r="P1208">
        <v>9.6843038399632664E-13</v>
      </c>
      <c r="R1208">
        <v>8.733471884944306</v>
      </c>
      <c r="S1208">
        <v>8.7470632700269135</v>
      </c>
      <c r="T1208">
        <v>1</v>
      </c>
      <c r="U1208">
        <v>2.5100919771224905</v>
      </c>
    </row>
    <row r="1209" spans="1:21">
      <c r="A1209">
        <v>-1.4352875012463151</v>
      </c>
      <c r="B1209">
        <v>7.3721879118608044E-2</v>
      </c>
      <c r="C1209">
        <v>-3.4965627769754364E-2</v>
      </c>
      <c r="D1209">
        <v>0</v>
      </c>
      <c r="E1209">
        <v>0</v>
      </c>
      <c r="F1209">
        <v>0.15870687567941719</v>
      </c>
      <c r="G1209">
        <v>0.52816488257530059</v>
      </c>
      <c r="H1209">
        <v>0.86240826123795111</v>
      </c>
      <c r="I1209">
        <v>0.49948708994846397</v>
      </c>
      <c r="J1209">
        <v>5.350984401684941E-3</v>
      </c>
      <c r="L1209">
        <v>4.0704400446704989</v>
      </c>
      <c r="M1209">
        <v>3.6318624760095974</v>
      </c>
      <c r="N1209">
        <v>2.2145085408837653</v>
      </c>
      <c r="P1209">
        <v>1.2512595986973079E-12</v>
      </c>
      <c r="R1209">
        <v>8.733471884944306</v>
      </c>
      <c r="S1209">
        <v>8.7470632700269135</v>
      </c>
      <c r="T1209">
        <v>1</v>
      </c>
      <c r="U1209">
        <v>2.5100919771224905</v>
      </c>
    </row>
    <row r="1210" spans="1:21">
      <c r="A1210">
        <v>-1.4370654581670157</v>
      </c>
      <c r="B1210">
        <v>6.2800543501878692E-2</v>
      </c>
      <c r="C1210">
        <v>-2.5401828789496112E-2</v>
      </c>
      <c r="D1210">
        <v>0.50369493260082832</v>
      </c>
      <c r="E1210">
        <v>0</v>
      </c>
      <c r="F1210">
        <v>0</v>
      </c>
      <c r="G1210">
        <v>8.092286641332028E-3</v>
      </c>
      <c r="H1210">
        <v>0.14603504761895092</v>
      </c>
      <c r="I1210">
        <v>0.26877423656375504</v>
      </c>
      <c r="J1210">
        <v>0.19203752159063275</v>
      </c>
      <c r="L1210">
        <v>4.0704399119106656</v>
      </c>
      <c r="M1210">
        <v>3.6318624585161423</v>
      </c>
      <c r="N1210">
        <v>2.2145083518663053</v>
      </c>
      <c r="P1210">
        <v>8.2198675312222387E-13</v>
      </c>
      <c r="R1210">
        <v>8.733471884944306</v>
      </c>
      <c r="S1210">
        <v>8.7470632700269135</v>
      </c>
      <c r="T1210">
        <v>1</v>
      </c>
      <c r="U1210">
        <v>2.5100919771224905</v>
      </c>
    </row>
    <row r="1211" spans="1:21">
      <c r="A1211">
        <v>1.0846627368893524</v>
      </c>
      <c r="B1211">
        <v>-1.0323479565292477</v>
      </c>
      <c r="C1211">
        <v>0.23484034459367184</v>
      </c>
      <c r="D1211">
        <v>0.10629725325957916</v>
      </c>
      <c r="E1211">
        <v>0.19794959175257235</v>
      </c>
      <c r="F1211">
        <v>0</v>
      </c>
      <c r="G1211">
        <v>0.36649810241605923</v>
      </c>
      <c r="H1211">
        <v>4.5281178136821728E-3</v>
      </c>
      <c r="I1211">
        <v>0.67906010955593199</v>
      </c>
      <c r="J1211">
        <v>0.11166362529237585</v>
      </c>
      <c r="L1211">
        <v>3.0895474523079711</v>
      </c>
      <c r="M1211">
        <v>4.4543090395115632</v>
      </c>
      <c r="N1211">
        <v>0.89922558646294271</v>
      </c>
      <c r="P1211">
        <v>3.0686082808797673E-11</v>
      </c>
      <c r="R1211">
        <v>7.3889870947236265</v>
      </c>
      <c r="S1211">
        <v>7.3967963927114955</v>
      </c>
      <c r="T1211">
        <v>1</v>
      </c>
      <c r="U1211">
        <v>2.648862409411711</v>
      </c>
    </row>
    <row r="1212" spans="1:21">
      <c r="A1212">
        <v>1.0853892902029485</v>
      </c>
      <c r="B1212">
        <v>-1.029092857582945</v>
      </c>
      <c r="C1212">
        <v>0.25501597591300618</v>
      </c>
      <c r="D1212">
        <v>0</v>
      </c>
      <c r="E1212">
        <v>0.13915346173063281</v>
      </c>
      <c r="F1212">
        <v>0</v>
      </c>
      <c r="G1212">
        <v>0.19634501700066154</v>
      </c>
      <c r="H1212">
        <v>0.84992488475521122</v>
      </c>
      <c r="I1212">
        <v>0.76738569049979766</v>
      </c>
      <c r="J1212">
        <v>0.26931592395934001</v>
      </c>
      <c r="L1212">
        <v>3.0895483150045941</v>
      </c>
      <c r="M1212">
        <v>4.4543085291243756</v>
      </c>
      <c r="N1212">
        <v>0.89922521920636544</v>
      </c>
      <c r="P1212">
        <v>2.8130818388021486E-11</v>
      </c>
      <c r="R1212">
        <v>7.3889870947236265</v>
      </c>
      <c r="S1212">
        <v>7.3967963927114955</v>
      </c>
      <c r="T1212">
        <v>1</v>
      </c>
      <c r="U1212">
        <v>2.648862409411711</v>
      </c>
    </row>
    <row r="1213" spans="1:21">
      <c r="A1213">
        <v>1.0830504256771594</v>
      </c>
      <c r="B1213">
        <v>-1.0363827027424874</v>
      </c>
      <c r="C1213">
        <v>0.25501934740717863</v>
      </c>
      <c r="D1213">
        <v>0</v>
      </c>
      <c r="E1213">
        <v>0</v>
      </c>
      <c r="F1213">
        <v>1.0670413028995121E-2</v>
      </c>
      <c r="G1213">
        <v>0.80300884946697049</v>
      </c>
      <c r="H1213">
        <v>0.93404463017692396</v>
      </c>
      <c r="I1213">
        <v>0.86240170107783987</v>
      </c>
      <c r="J1213">
        <v>0.54629825468205684</v>
      </c>
      <c r="L1213">
        <v>3.08954754939968</v>
      </c>
      <c r="M1213">
        <v>4.4543090041221012</v>
      </c>
      <c r="N1213">
        <v>0.89922557476564857</v>
      </c>
      <c r="P1213">
        <v>3.058637698788363E-11</v>
      </c>
      <c r="R1213">
        <v>7.3889870947236265</v>
      </c>
      <c r="S1213">
        <v>7.3967963927114955</v>
      </c>
      <c r="T1213">
        <v>1</v>
      </c>
      <c r="U1213">
        <v>2.648862409411711</v>
      </c>
    </row>
    <row r="1214" spans="1:21">
      <c r="A1214">
        <v>1.0934380770760537</v>
      </c>
      <c r="B1214">
        <v>-1.0229414664321557</v>
      </c>
      <c r="C1214">
        <v>0.24260621062386303</v>
      </c>
      <c r="D1214">
        <v>0</v>
      </c>
      <c r="E1214">
        <v>0</v>
      </c>
      <c r="F1214">
        <v>0</v>
      </c>
      <c r="G1214">
        <v>6.6077426506560927E-2</v>
      </c>
      <c r="H1214">
        <v>0.4147207882955517</v>
      </c>
      <c r="I1214">
        <v>0.25605023002051558</v>
      </c>
      <c r="J1214">
        <v>0.66086031626450614</v>
      </c>
      <c r="L1214">
        <v>3.089548009320275</v>
      </c>
      <c r="M1214">
        <v>4.4543086632697353</v>
      </c>
      <c r="N1214">
        <v>0.89922537845830686</v>
      </c>
      <c r="P1214">
        <v>2.9162742348857903E-11</v>
      </c>
      <c r="R1214">
        <v>7.3889870947236265</v>
      </c>
      <c r="S1214">
        <v>7.3967963927114955</v>
      </c>
      <c r="T1214">
        <v>1</v>
      </c>
      <c r="U1214">
        <v>2.648862409411711</v>
      </c>
    </row>
    <row r="1215" spans="1:21">
      <c r="A1215">
        <v>1.0824132471950081</v>
      </c>
      <c r="B1215">
        <v>-1.0338970920299277</v>
      </c>
      <c r="C1215">
        <v>0.24256595157745867</v>
      </c>
      <c r="D1215">
        <v>0.36572836540617304</v>
      </c>
      <c r="E1215">
        <v>0</v>
      </c>
      <c r="F1215">
        <v>1.3843084042697639E-8</v>
      </c>
      <c r="G1215">
        <v>0.38495879103506109</v>
      </c>
      <c r="H1215">
        <v>0.48855906684175743</v>
      </c>
      <c r="I1215">
        <v>0.6393255494428004</v>
      </c>
      <c r="J1215">
        <v>1.7750046674605866E-2</v>
      </c>
      <c r="L1215">
        <v>3.0895472222228602</v>
      </c>
      <c r="M1215">
        <v>4.4543091767583274</v>
      </c>
      <c r="N1215">
        <v>0.89922560929383677</v>
      </c>
      <c r="P1215">
        <v>3.0913861613438311E-11</v>
      </c>
      <c r="R1215">
        <v>7.3889870947236265</v>
      </c>
      <c r="S1215">
        <v>7.3967963927114955</v>
      </c>
      <c r="T1215">
        <v>1</v>
      </c>
      <c r="U1215">
        <v>2.648862409411711</v>
      </c>
    </row>
    <row r="1216" spans="1:21">
      <c r="A1216">
        <v>1.0923860370903147</v>
      </c>
      <c r="B1216">
        <v>-1.0287683584380385</v>
      </c>
      <c r="C1216">
        <v>0.24450677411326513</v>
      </c>
      <c r="D1216">
        <v>0</v>
      </c>
      <c r="E1216">
        <v>0</v>
      </c>
      <c r="F1216">
        <v>1.0152370380438875E-8</v>
      </c>
      <c r="G1216">
        <v>0.39627566753990767</v>
      </c>
      <c r="H1216">
        <v>0.33388759289951464</v>
      </c>
      <c r="I1216">
        <v>0.13452530631843471</v>
      </c>
      <c r="J1216">
        <v>0.67718020736433293</v>
      </c>
      <c r="L1216">
        <v>3.0895472849152443</v>
      </c>
      <c r="M1216">
        <v>4.4543091236866132</v>
      </c>
      <c r="N1216">
        <v>0.89922560346242464</v>
      </c>
      <c r="P1216">
        <v>3.0854303283391132E-11</v>
      </c>
      <c r="R1216">
        <v>7.3889870947236265</v>
      </c>
      <c r="S1216">
        <v>7.3967963927114955</v>
      </c>
      <c r="T1216">
        <v>1</v>
      </c>
      <c r="U1216">
        <v>2.648862409411711</v>
      </c>
    </row>
    <row r="1217" spans="1:21">
      <c r="A1217">
        <v>1.076390613083581</v>
      </c>
      <c r="B1217">
        <v>-1.0411611704144252</v>
      </c>
      <c r="C1217">
        <v>0.24592241551423544</v>
      </c>
      <c r="D1217">
        <v>0</v>
      </c>
      <c r="E1217">
        <v>8.0668633384822202E-3</v>
      </c>
      <c r="F1217">
        <v>0.54964700675357714</v>
      </c>
      <c r="G1217">
        <v>0.62226733055722361</v>
      </c>
      <c r="H1217">
        <v>0.19113383787421512</v>
      </c>
      <c r="I1217">
        <v>0.79939072689717072</v>
      </c>
      <c r="J1217">
        <v>0.18597290857507767</v>
      </c>
      <c r="L1217">
        <v>3.0895489218580812</v>
      </c>
      <c r="M1217">
        <v>4.4543082811278181</v>
      </c>
      <c r="N1217">
        <v>0.89922472604267434</v>
      </c>
      <c r="P1217">
        <v>2.5166938478363503E-11</v>
      </c>
      <c r="R1217">
        <v>7.3889870947236265</v>
      </c>
      <c r="S1217">
        <v>7.3967963927114955</v>
      </c>
      <c r="T1217">
        <v>1</v>
      </c>
      <c r="U1217">
        <v>2.648862409411711</v>
      </c>
    </row>
    <row r="1218" spans="1:21">
      <c r="A1218">
        <v>1.0820077480323782</v>
      </c>
      <c r="B1218">
        <v>-1.0442207352881767</v>
      </c>
      <c r="C1218">
        <v>0.25731581459016362</v>
      </c>
      <c r="D1218">
        <v>0.3258724491156193</v>
      </c>
      <c r="E1218">
        <v>0.42061589647752901</v>
      </c>
      <c r="F1218">
        <v>2.3011444470139353E-7</v>
      </c>
      <c r="G1218">
        <v>0.91889950995665881</v>
      </c>
      <c r="H1218">
        <v>0.64639771603113383</v>
      </c>
      <c r="I1218">
        <v>0.56949150843355956</v>
      </c>
      <c r="J1218">
        <v>8.0487860206852516E-2</v>
      </c>
      <c r="L1218">
        <v>3.0895468848552294</v>
      </c>
      <c r="M1218">
        <v>4.4543094136954009</v>
      </c>
      <c r="N1218">
        <v>0.89922563287346458</v>
      </c>
      <c r="P1218">
        <v>3.138941725474735E-11</v>
      </c>
      <c r="R1218">
        <v>7.3889870947236265</v>
      </c>
      <c r="S1218">
        <v>7.3967963927114955</v>
      </c>
      <c r="T1218">
        <v>1</v>
      </c>
      <c r="U1218">
        <v>2.648862409411711</v>
      </c>
    </row>
    <row r="1219" spans="1:21">
      <c r="A1219">
        <v>1.0924790555682795</v>
      </c>
      <c r="B1219">
        <v>-1.0280288729406837</v>
      </c>
      <c r="C1219">
        <v>0.26208243434007422</v>
      </c>
      <c r="D1219">
        <v>0</v>
      </c>
      <c r="E1219">
        <v>0.37349873479206203</v>
      </c>
      <c r="F1219">
        <v>4.7011733224825734E-2</v>
      </c>
      <c r="G1219">
        <v>0.19127557210866353</v>
      </c>
      <c r="H1219">
        <v>0.88127202736625132</v>
      </c>
      <c r="I1219">
        <v>0.29938156768575142</v>
      </c>
      <c r="J1219">
        <v>0.59619534376629013</v>
      </c>
      <c r="L1219">
        <v>3.0895473211437232</v>
      </c>
      <c r="M1219">
        <v>4.4543091133766382</v>
      </c>
      <c r="N1219">
        <v>0.89922559413590541</v>
      </c>
      <c r="P1219">
        <v>3.0742792362331505E-11</v>
      </c>
      <c r="R1219">
        <v>7.3889870947236265</v>
      </c>
      <c r="S1219">
        <v>7.3967963927114955</v>
      </c>
      <c r="T1219">
        <v>1</v>
      </c>
      <c r="U1219">
        <v>2.648862409411711</v>
      </c>
    </row>
    <row r="1220" spans="1:21">
      <c r="A1220">
        <v>1.0939364252006634</v>
      </c>
      <c r="B1220">
        <v>-1.0255966090004722</v>
      </c>
      <c r="C1220">
        <v>0.25889735645641015</v>
      </c>
      <c r="D1220">
        <v>0</v>
      </c>
      <c r="E1220">
        <v>0</v>
      </c>
      <c r="F1220">
        <v>0</v>
      </c>
      <c r="G1220">
        <v>0.15187755000575864</v>
      </c>
      <c r="H1220">
        <v>0.88218668767714925</v>
      </c>
      <c r="I1220">
        <v>5.3822053677007202E-2</v>
      </c>
      <c r="J1220">
        <v>0.69839734878314452</v>
      </c>
      <c r="L1220">
        <v>3.0895477600832972</v>
      </c>
      <c r="M1220">
        <v>4.4543088149023555</v>
      </c>
      <c r="N1220">
        <v>0.89922548855760842</v>
      </c>
      <c r="P1220">
        <v>2.9929880618662845E-11</v>
      </c>
      <c r="R1220">
        <v>7.3889870947236265</v>
      </c>
      <c r="S1220">
        <v>7.3967963927114955</v>
      </c>
      <c r="T1220">
        <v>1</v>
      </c>
      <c r="U1220">
        <v>2.648862409411711</v>
      </c>
    </row>
    <row r="1221" spans="1:21">
      <c r="A1221">
        <v>1.0854800564728762</v>
      </c>
      <c r="B1221">
        <v>-1.0439051876778509</v>
      </c>
      <c r="C1221">
        <v>0.26077701007515453</v>
      </c>
      <c r="D1221">
        <v>0.12533796762493912</v>
      </c>
      <c r="E1221">
        <v>0.46781933972059975</v>
      </c>
      <c r="F1221">
        <v>5.5238465300446886E-7</v>
      </c>
      <c r="G1221">
        <v>0.89895913787771231</v>
      </c>
      <c r="H1221">
        <v>0.47128558122977116</v>
      </c>
      <c r="I1221">
        <v>0.23892139720452799</v>
      </c>
      <c r="J1221">
        <v>0.17731983032250948</v>
      </c>
      <c r="L1221">
        <v>3.0895456116586355</v>
      </c>
      <c r="M1221">
        <v>4.4543101419892155</v>
      </c>
      <c r="N1221">
        <v>0.89922395707255276</v>
      </c>
      <c r="P1221">
        <v>1.9189798928447052E-11</v>
      </c>
      <c r="R1221">
        <v>7.3889870947236265</v>
      </c>
      <c r="S1221">
        <v>7.3967963927114955</v>
      </c>
      <c r="T1221">
        <v>1</v>
      </c>
      <c r="U1221">
        <v>2.648862409411711</v>
      </c>
    </row>
    <row r="1222" spans="1:21">
      <c r="A1222">
        <v>1.087242559126175</v>
      </c>
      <c r="B1222">
        <v>-1.0331786311551403</v>
      </c>
      <c r="C1222">
        <v>0.24329244392928107</v>
      </c>
      <c r="D1222">
        <v>0</v>
      </c>
      <c r="E1222">
        <v>0</v>
      </c>
      <c r="F1222">
        <v>0</v>
      </c>
      <c r="G1222">
        <v>0.39484271536305143</v>
      </c>
      <c r="H1222">
        <v>8.7412669661029729E-2</v>
      </c>
      <c r="I1222">
        <v>0.19519694856758638</v>
      </c>
      <c r="J1222">
        <v>0.20274072251057021</v>
      </c>
      <c r="L1222">
        <v>3.0895476803702513</v>
      </c>
      <c r="M1222">
        <v>4.4543088814680072</v>
      </c>
      <c r="N1222">
        <v>0.8992255350832099</v>
      </c>
      <c r="P1222">
        <v>3.0316008209757469E-11</v>
      </c>
      <c r="R1222">
        <v>7.3889870947236265</v>
      </c>
      <c r="S1222">
        <v>7.3967963927114955</v>
      </c>
      <c r="T1222">
        <v>1</v>
      </c>
      <c r="U1222">
        <v>2.648862409411711</v>
      </c>
    </row>
    <row r="1223" spans="1:21">
      <c r="A1223">
        <v>1.0848900230378973</v>
      </c>
      <c r="B1223">
        <v>-1.0363944542893291</v>
      </c>
      <c r="C1223">
        <v>0.26606512063182297</v>
      </c>
      <c r="D1223">
        <v>0</v>
      </c>
      <c r="E1223">
        <v>0.54381954260048226</v>
      </c>
      <c r="F1223">
        <v>0</v>
      </c>
      <c r="G1223">
        <v>0.50743938554171752</v>
      </c>
      <c r="H1223">
        <v>0.93940403988488952</v>
      </c>
      <c r="I1223">
        <v>0.74391748394509416</v>
      </c>
      <c r="J1223">
        <v>0.2148055692468997</v>
      </c>
      <c r="L1223">
        <v>3.0895484160759339</v>
      </c>
      <c r="M1223">
        <v>4.4543084591661177</v>
      </c>
      <c r="N1223">
        <v>0.89922516503856464</v>
      </c>
      <c r="P1223">
        <v>2.7888627628554775E-11</v>
      </c>
      <c r="R1223">
        <v>7.3889870947236265</v>
      </c>
      <c r="S1223">
        <v>7.3967963927114955</v>
      </c>
      <c r="T1223">
        <v>1</v>
      </c>
      <c r="U1223">
        <v>2.648862409411711</v>
      </c>
    </row>
    <row r="1224" spans="1:21">
      <c r="A1224">
        <v>1.0815371371492613</v>
      </c>
      <c r="B1224">
        <v>-1.0417387496657993</v>
      </c>
      <c r="C1224">
        <v>0.24154698945966138</v>
      </c>
      <c r="D1224">
        <v>0.23498462837164838</v>
      </c>
      <c r="E1224">
        <v>0</v>
      </c>
      <c r="F1224">
        <v>0</v>
      </c>
      <c r="G1224">
        <v>0.88977444336373768</v>
      </c>
      <c r="H1224">
        <v>0.18100755203326202</v>
      </c>
      <c r="I1224">
        <v>0.48298415053795213</v>
      </c>
      <c r="J1224">
        <v>0.11705248580588955</v>
      </c>
      <c r="L1224">
        <v>3.0895459879219516</v>
      </c>
      <c r="M1224">
        <v>4.4543101723478955</v>
      </c>
      <c r="N1224">
        <v>0.89922526043061435</v>
      </c>
      <c r="P1224">
        <v>2.9753948863470724E-11</v>
      </c>
      <c r="R1224">
        <v>7.3889870947236265</v>
      </c>
      <c r="S1224">
        <v>7.3967963927114955</v>
      </c>
      <c r="T1224">
        <v>1</v>
      </c>
      <c r="U1224">
        <v>2.648862409411711</v>
      </c>
    </row>
    <row r="1225" spans="1:21">
      <c r="A1225">
        <v>1.0871973658983343</v>
      </c>
      <c r="B1225">
        <v>-1.0357278468647246</v>
      </c>
      <c r="C1225">
        <v>0.25860862482448521</v>
      </c>
      <c r="D1225">
        <v>0</v>
      </c>
      <c r="E1225">
        <v>0</v>
      </c>
      <c r="F1225">
        <v>1.2926516305239835E-7</v>
      </c>
      <c r="G1225">
        <v>0.72732569188279927</v>
      </c>
      <c r="H1225">
        <v>0.84703036237785156</v>
      </c>
      <c r="I1225">
        <v>0.3848496510192646</v>
      </c>
      <c r="J1225">
        <v>0.5940027368832046</v>
      </c>
      <c r="L1225">
        <v>3.0895468948168774</v>
      </c>
      <c r="M1225">
        <v>4.4543093945300498</v>
      </c>
      <c r="N1225">
        <v>0.899225612453598</v>
      </c>
      <c r="P1225">
        <v>3.1154619881212471E-11</v>
      </c>
      <c r="R1225">
        <v>7.3889870947236265</v>
      </c>
      <c r="S1225">
        <v>7.3967963927114955</v>
      </c>
      <c r="T1225">
        <v>1</v>
      </c>
      <c r="U1225">
        <v>2.648862409411711</v>
      </c>
    </row>
    <row r="1226" spans="1:21">
      <c r="A1226">
        <v>1.0958314511854457</v>
      </c>
      <c r="B1226">
        <v>-1.0203001719052147</v>
      </c>
      <c r="C1226">
        <v>0.2412102009279396</v>
      </c>
      <c r="D1226">
        <v>0</v>
      </c>
      <c r="E1226">
        <v>0.57262898082577107</v>
      </c>
      <c r="F1226">
        <v>9.7614687999494517E-8</v>
      </c>
      <c r="G1226">
        <v>1.4729250014678442E-2</v>
      </c>
      <c r="H1226">
        <v>0.44843603790320818</v>
      </c>
      <c r="I1226">
        <v>0.68668947623484555</v>
      </c>
      <c r="J1226">
        <v>0.83821671458989122</v>
      </c>
      <c r="L1226">
        <v>3.0895468651455698</v>
      </c>
      <c r="M1226">
        <v>4.4543093944469696</v>
      </c>
      <c r="N1226">
        <v>0.89922557584795981</v>
      </c>
      <c r="P1226">
        <v>3.0789101067849531E-11</v>
      </c>
      <c r="R1226">
        <v>7.3889870947236265</v>
      </c>
      <c r="S1226">
        <v>7.3967963927114955</v>
      </c>
      <c r="T1226">
        <v>1</v>
      </c>
      <c r="U1226">
        <v>2.648862409411711</v>
      </c>
    </row>
    <row r="1227" spans="1:21">
      <c r="A1227">
        <v>1.0861501522512318</v>
      </c>
      <c r="B1227">
        <v>-1.0389439820160848</v>
      </c>
      <c r="C1227">
        <v>0.25017990633987691</v>
      </c>
      <c r="D1227">
        <v>0.51830487139042369</v>
      </c>
      <c r="E1227">
        <v>8.4131997662617988E-2</v>
      </c>
      <c r="F1227">
        <v>0.50934331902062846</v>
      </c>
      <c r="G1227">
        <v>0.80011365683577751</v>
      </c>
      <c r="H1227">
        <v>0.69174287634671305</v>
      </c>
      <c r="I1227">
        <v>0.26668319182811062</v>
      </c>
      <c r="J1227">
        <v>0.8350750902797891</v>
      </c>
      <c r="L1227">
        <v>3.0895470144472301</v>
      </c>
      <c r="M1227">
        <v>4.4543093208003413</v>
      </c>
      <c r="N1227">
        <v>0.89922563445011605</v>
      </c>
      <c r="P1227">
        <v>3.1285438348966135E-11</v>
      </c>
      <c r="R1227">
        <v>7.3889870947236265</v>
      </c>
      <c r="S1227">
        <v>7.3967963927114955</v>
      </c>
      <c r="T1227">
        <v>1</v>
      </c>
      <c r="U1227">
        <v>2.648862409411711</v>
      </c>
    </row>
    <row r="1228" spans="1:21">
      <c r="A1228">
        <v>1.0843779631899755</v>
      </c>
      <c r="B1228">
        <v>-1.044687872970806</v>
      </c>
      <c r="C1228">
        <v>0.2737334155377385</v>
      </c>
      <c r="D1228">
        <v>0</v>
      </c>
      <c r="E1228">
        <v>0.18490221779774585</v>
      </c>
      <c r="F1228">
        <v>0</v>
      </c>
      <c r="G1228">
        <v>0.88967575178330049</v>
      </c>
      <c r="H1228">
        <v>0.87272760370667812</v>
      </c>
      <c r="I1228">
        <v>7.013607258675579E-2</v>
      </c>
      <c r="J1228">
        <v>0.16402905447950772</v>
      </c>
      <c r="L1228">
        <v>3.0895463890178041</v>
      </c>
      <c r="M1228">
        <v>4.4543097758714305</v>
      </c>
      <c r="N1228">
        <v>0.8992255083941374</v>
      </c>
      <c r="P1228">
        <v>3.0957536752305957E-11</v>
      </c>
      <c r="R1228">
        <v>7.3889870947236265</v>
      </c>
      <c r="S1228">
        <v>7.3967963927114955</v>
      </c>
      <c r="T1228">
        <v>1</v>
      </c>
      <c r="U1228">
        <v>2.648862409411711</v>
      </c>
    </row>
    <row r="1229" spans="1:21">
      <c r="A1229">
        <v>1.0928317384284214</v>
      </c>
      <c r="B1229">
        <v>-1.0318633207244561</v>
      </c>
      <c r="C1229">
        <v>0.25252914559147688</v>
      </c>
      <c r="D1229">
        <v>0</v>
      </c>
      <c r="E1229">
        <v>0.42997525743365955</v>
      </c>
      <c r="F1229">
        <v>0.32370542419985737</v>
      </c>
      <c r="G1229">
        <v>0.51912212652134326</v>
      </c>
      <c r="H1229">
        <v>0.46413465581339458</v>
      </c>
      <c r="I1229">
        <v>0.25875834658629887</v>
      </c>
      <c r="J1229">
        <v>0.97526945422263955</v>
      </c>
      <c r="L1229">
        <v>3.0895474709919655</v>
      </c>
      <c r="M1229">
        <v>4.454309014066518</v>
      </c>
      <c r="N1229">
        <v>0.89922558814460796</v>
      </c>
      <c r="P1229">
        <v>3.0727528202078189E-11</v>
      </c>
      <c r="R1229">
        <v>7.3889870947236265</v>
      </c>
      <c r="S1229">
        <v>7.3967963927114955</v>
      </c>
      <c r="T1229">
        <v>1</v>
      </c>
      <c r="U1229">
        <v>2.648862409411711</v>
      </c>
    </row>
    <row r="1230" spans="1:21">
      <c r="A1230">
        <v>1.0878588652952432</v>
      </c>
      <c r="B1230">
        <v>-1.0315461757172999</v>
      </c>
      <c r="C1230">
        <v>0.22718923113836029</v>
      </c>
      <c r="D1230">
        <v>0</v>
      </c>
      <c r="E1230">
        <v>2.1931345866206684E-2</v>
      </c>
      <c r="F1230">
        <v>0.186682804644457</v>
      </c>
      <c r="G1230">
        <v>0.77964295644028914</v>
      </c>
      <c r="H1230">
        <v>2.4020655220056357E-2</v>
      </c>
      <c r="I1230">
        <v>0.78528749342986048</v>
      </c>
      <c r="J1230">
        <v>0.97695858347450781</v>
      </c>
      <c r="L1230">
        <v>3.0895468016096426</v>
      </c>
      <c r="M1230">
        <v>4.4543094535476397</v>
      </c>
      <c r="N1230">
        <v>0.89922559815524183</v>
      </c>
      <c r="P1230">
        <v>3.1111885166120109E-11</v>
      </c>
      <c r="R1230">
        <v>7.3889870947236265</v>
      </c>
      <c r="S1230">
        <v>7.3967963927114955</v>
      </c>
      <c r="T1230">
        <v>1</v>
      </c>
      <c r="U1230">
        <v>2.648862409411711</v>
      </c>
    </row>
    <row r="1231" spans="1:21">
      <c r="A1231">
        <v>1.0801033638917237</v>
      </c>
      <c r="B1231">
        <v>-1.0403484892434594</v>
      </c>
      <c r="C1231">
        <v>0.25927370804522104</v>
      </c>
      <c r="D1231">
        <v>0</v>
      </c>
      <c r="E1231">
        <v>0</v>
      </c>
      <c r="F1231">
        <v>0</v>
      </c>
      <c r="G1231">
        <v>0.85089563830001358</v>
      </c>
      <c r="H1231">
        <v>0.90381422627992225</v>
      </c>
      <c r="I1231">
        <v>0.80897519466426193</v>
      </c>
      <c r="J1231">
        <v>0.25613529853650679</v>
      </c>
      <c r="L1231">
        <v>3.0895459892084878</v>
      </c>
      <c r="M1231">
        <v>4.4543100315056465</v>
      </c>
      <c r="N1231">
        <v>0.89922528138735325</v>
      </c>
      <c r="P1231">
        <v>2.980718666308974E-11</v>
      </c>
      <c r="R1231">
        <v>7.3889870947236265</v>
      </c>
      <c r="S1231">
        <v>7.3967963927114955</v>
      </c>
      <c r="T1231">
        <v>1</v>
      </c>
      <c r="U1231">
        <v>2.648862409411711</v>
      </c>
    </row>
    <row r="1232" spans="1:21">
      <c r="A1232">
        <v>1.0860434175866045</v>
      </c>
      <c r="B1232">
        <v>-1.0310538203410808</v>
      </c>
      <c r="C1232">
        <v>0.23520902596036081</v>
      </c>
      <c r="D1232">
        <v>0.21358788319480188</v>
      </c>
      <c r="E1232">
        <v>0</v>
      </c>
      <c r="F1232">
        <v>1.9090267565028452E-8</v>
      </c>
      <c r="G1232">
        <v>0.45578633743574476</v>
      </c>
      <c r="H1232">
        <v>0.26894997042411872</v>
      </c>
      <c r="I1232">
        <v>0.63106484614520986</v>
      </c>
      <c r="J1232">
        <v>0.37925277875264912</v>
      </c>
      <c r="L1232">
        <v>3.0895471627863555</v>
      </c>
      <c r="M1232">
        <v>4.4543092072800343</v>
      </c>
      <c r="N1232">
        <v>0.89922561061399187</v>
      </c>
      <c r="P1232">
        <v>3.0948621496282291E-11</v>
      </c>
      <c r="R1232">
        <v>7.3889870947236265</v>
      </c>
      <c r="S1232">
        <v>7.3967963927114955</v>
      </c>
      <c r="T1232">
        <v>1</v>
      </c>
      <c r="U1232">
        <v>2.648862409411711</v>
      </c>
    </row>
    <row r="1233" spans="1:21">
      <c r="A1233">
        <v>1.0850774051765535</v>
      </c>
      <c r="B1233">
        <v>-1.0291626992199192</v>
      </c>
      <c r="C1233">
        <v>0.24630501524871745</v>
      </c>
      <c r="D1233">
        <v>0</v>
      </c>
      <c r="E1233">
        <v>0</v>
      </c>
      <c r="F1233">
        <v>0</v>
      </c>
      <c r="G1233">
        <v>0.30463652591838597</v>
      </c>
      <c r="H1233">
        <v>0.63090826017278034</v>
      </c>
      <c r="I1233">
        <v>0.79597990400391005</v>
      </c>
      <c r="J1233">
        <v>0.35810980703894163</v>
      </c>
      <c r="L1233">
        <v>3.0895473823100859</v>
      </c>
      <c r="M1233">
        <v>4.4543093606018394</v>
      </c>
      <c r="N1233">
        <v>0.89922427047678477</v>
      </c>
      <c r="P1233">
        <v>1.7701301568956929E-11</v>
      </c>
      <c r="R1233">
        <v>7.3889870947236265</v>
      </c>
      <c r="S1233">
        <v>7.3967963927114955</v>
      </c>
      <c r="T1233">
        <v>1</v>
      </c>
      <c r="U1233">
        <v>2.648862409411711</v>
      </c>
    </row>
    <row r="1234" spans="1:21">
      <c r="A1234">
        <v>1.0853961685694238</v>
      </c>
      <c r="B1234">
        <v>-1.0300151306622904</v>
      </c>
      <c r="C1234">
        <v>0.25447211640307588</v>
      </c>
      <c r="D1234">
        <v>0</v>
      </c>
      <c r="E1234">
        <v>0</v>
      </c>
      <c r="F1234">
        <v>0.9325753234355727</v>
      </c>
      <c r="G1234">
        <v>7.3241919276654702E-2</v>
      </c>
      <c r="H1234">
        <v>0.58512557319179048</v>
      </c>
      <c r="I1234">
        <v>0.38475294645479624</v>
      </c>
      <c r="J1234">
        <v>0.86775692204682042</v>
      </c>
      <c r="L1234">
        <v>3.089546664951893</v>
      </c>
      <c r="M1234">
        <v>4.4543095503225887</v>
      </c>
      <c r="N1234">
        <v>0.89922555144214</v>
      </c>
      <c r="P1234">
        <v>3.0811286344091012E-11</v>
      </c>
      <c r="R1234">
        <v>7.3889870947236265</v>
      </c>
      <c r="S1234">
        <v>7.3967963927114955</v>
      </c>
      <c r="T1234">
        <v>1</v>
      </c>
      <c r="U1234">
        <v>2.648862409411711</v>
      </c>
    </row>
    <row r="1235" spans="1:21">
      <c r="A1235">
        <v>1.082864307131377</v>
      </c>
      <c r="B1235">
        <v>-1.0413665308150917</v>
      </c>
      <c r="C1235">
        <v>0.23658274020177217</v>
      </c>
      <c r="D1235">
        <v>0.82988777237827338</v>
      </c>
      <c r="E1235">
        <v>0</v>
      </c>
      <c r="F1235">
        <v>0.11241043686608039</v>
      </c>
      <c r="G1235">
        <v>0.88205914332138025</v>
      </c>
      <c r="H1235">
        <v>0.37970585724621359</v>
      </c>
      <c r="I1235">
        <v>0.35182404386481858</v>
      </c>
      <c r="J1235">
        <v>0.23461269047365282</v>
      </c>
      <c r="L1235">
        <v>3.0895473734721626</v>
      </c>
      <c r="M1235">
        <v>4.4543108113117453</v>
      </c>
      <c r="N1235">
        <v>0.89922096797019957</v>
      </c>
      <c r="P1235">
        <v>2.4726760890020878E-12</v>
      </c>
      <c r="R1235">
        <v>7.3889870947236265</v>
      </c>
      <c r="S1235">
        <v>7.3967963927114955</v>
      </c>
      <c r="T1235">
        <v>1</v>
      </c>
      <c r="U1235">
        <v>2.648862409411711</v>
      </c>
    </row>
    <row r="1236" spans="1:21">
      <c r="A1236">
        <v>1.0866723461465684</v>
      </c>
      <c r="B1236">
        <v>-1.0338229463598922</v>
      </c>
      <c r="C1236">
        <v>0.23540380509532338</v>
      </c>
      <c r="D1236">
        <v>0.23689315967505245</v>
      </c>
      <c r="E1236">
        <v>0.2339687552782678</v>
      </c>
      <c r="F1236">
        <v>0.25099290405233976</v>
      </c>
      <c r="G1236">
        <v>0.56305267808124126</v>
      </c>
      <c r="H1236">
        <v>0.10208263107930717</v>
      </c>
      <c r="I1236">
        <v>0.56931046918911621</v>
      </c>
      <c r="J1236">
        <v>0.56488899610956644</v>
      </c>
      <c r="L1236">
        <v>3.0895467839930242</v>
      </c>
      <c r="M1236">
        <v>4.4543094709955895</v>
      </c>
      <c r="N1236">
        <v>0.89922559812970448</v>
      </c>
      <c r="P1236">
        <v>3.1135385455367787E-11</v>
      </c>
      <c r="R1236">
        <v>7.3889870947236265</v>
      </c>
      <c r="S1236">
        <v>7.3967963927114955</v>
      </c>
      <c r="T1236">
        <v>1</v>
      </c>
      <c r="U1236">
        <v>2.648862409411711</v>
      </c>
    </row>
    <row r="1237" spans="1:21">
      <c r="A1237">
        <v>1.0809966611506301</v>
      </c>
      <c r="B1237">
        <v>-1.0399762629046678</v>
      </c>
      <c r="C1237">
        <v>0.2504870823710057</v>
      </c>
      <c r="D1237">
        <v>0</v>
      </c>
      <c r="E1237">
        <v>0.584945016587057</v>
      </c>
      <c r="F1237">
        <v>0.72405061680967242</v>
      </c>
      <c r="G1237">
        <v>0.55276177891560085</v>
      </c>
      <c r="H1237">
        <v>0.18300414703217843</v>
      </c>
      <c r="I1237">
        <v>0.81050506265950861</v>
      </c>
      <c r="J1237">
        <v>0.47147178829594955</v>
      </c>
      <c r="L1237">
        <v>3.0895494186956065</v>
      </c>
      <c r="M1237">
        <v>4.4543081677477776</v>
      </c>
      <c r="N1237">
        <v>0.89922400814262105</v>
      </c>
      <c r="P1237">
        <v>2.0916642606500232E-11</v>
      </c>
      <c r="R1237">
        <v>7.3889870947236265</v>
      </c>
      <c r="S1237">
        <v>7.3967963927114955</v>
      </c>
      <c r="T1237">
        <v>1</v>
      </c>
      <c r="U1237">
        <v>2.648862409411711</v>
      </c>
    </row>
    <row r="1238" spans="1:21">
      <c r="A1238">
        <v>1.0898549296753972</v>
      </c>
      <c r="B1238">
        <v>-1.0273583019176165</v>
      </c>
      <c r="C1238">
        <v>0.24781256358604545</v>
      </c>
      <c r="D1238">
        <v>0</v>
      </c>
      <c r="E1238">
        <v>0</v>
      </c>
      <c r="F1238">
        <v>0.24007022661960906</v>
      </c>
      <c r="G1238">
        <v>0.35442133374971446</v>
      </c>
      <c r="H1238">
        <v>0.69507492059768861</v>
      </c>
      <c r="I1238">
        <v>0.53802192268494742</v>
      </c>
      <c r="J1238">
        <v>0.91240096922802438</v>
      </c>
      <c r="L1238">
        <v>3.089547681786057</v>
      </c>
      <c r="M1238">
        <v>4.4543088930393342</v>
      </c>
      <c r="N1238">
        <v>0.89922551921478644</v>
      </c>
      <c r="P1238">
        <v>3.0128308530444266E-11</v>
      </c>
      <c r="R1238">
        <v>7.3889870947236265</v>
      </c>
      <c r="S1238">
        <v>7.3967963927114955</v>
      </c>
      <c r="T1238">
        <v>1</v>
      </c>
      <c r="U1238">
        <v>2.648862409411711</v>
      </c>
    </row>
    <row r="1239" spans="1:21">
      <c r="A1239">
        <v>1.0930893551890668</v>
      </c>
      <c r="B1239">
        <v>-1.023762107858418</v>
      </c>
      <c r="C1239">
        <v>0.24126296071297806</v>
      </c>
      <c r="D1239">
        <v>0.14674828101694407</v>
      </c>
      <c r="E1239">
        <v>0.69375888862642876</v>
      </c>
      <c r="F1239">
        <v>0.32392328020528977</v>
      </c>
      <c r="G1239">
        <v>9.607568161202043E-2</v>
      </c>
      <c r="H1239">
        <v>0.43656665857933863</v>
      </c>
      <c r="I1239">
        <v>0.79755995352343223</v>
      </c>
      <c r="J1239">
        <v>0.92096524613336395</v>
      </c>
      <c r="L1239">
        <v>3.0895472484459852</v>
      </c>
      <c r="M1239">
        <v>4.4543091505627217</v>
      </c>
      <c r="N1239">
        <v>0.89922559209656339</v>
      </c>
      <c r="P1239">
        <v>3.0727099996387411E-11</v>
      </c>
      <c r="R1239">
        <v>7.3889870947236265</v>
      </c>
      <c r="S1239">
        <v>7.3967963927114955</v>
      </c>
      <c r="T1239">
        <v>1</v>
      </c>
      <c r="U1239">
        <v>2.648862409411711</v>
      </c>
    </row>
    <row r="1240" spans="1:21">
      <c r="A1240">
        <v>1.0957802976173303</v>
      </c>
      <c r="B1240">
        <v>-1.0189935049846748</v>
      </c>
      <c r="C1240">
        <v>0.23556155048527305</v>
      </c>
      <c r="D1240">
        <v>0.18416492778855589</v>
      </c>
      <c r="E1240">
        <v>0.52969949920424908</v>
      </c>
      <c r="F1240">
        <v>4.1083072237627447E-3</v>
      </c>
      <c r="G1240">
        <v>1.8148607900647401E-2</v>
      </c>
      <c r="H1240">
        <v>0.49601451685571746</v>
      </c>
      <c r="I1240">
        <v>0.79627781914366069</v>
      </c>
      <c r="J1240">
        <v>0.91104303879313286</v>
      </c>
      <c r="L1240">
        <v>3.0895495735831666</v>
      </c>
      <c r="M1240">
        <v>4.4543081373739408</v>
      </c>
      <c r="N1240">
        <v>0.89922352647303261</v>
      </c>
      <c r="P1240">
        <v>1.8045303889787084E-11</v>
      </c>
      <c r="R1240">
        <v>7.3889870947236265</v>
      </c>
      <c r="S1240">
        <v>7.3967963927114955</v>
      </c>
      <c r="T1240">
        <v>1</v>
      </c>
      <c r="U1240">
        <v>2.648862409411711</v>
      </c>
    </row>
    <row r="1241" spans="1:21">
      <c r="A1241">
        <v>1.0039330560016655</v>
      </c>
      <c r="B1241">
        <v>-1.115152861103728</v>
      </c>
      <c r="C1241">
        <v>0.35191560346063611</v>
      </c>
      <c r="D1241">
        <v>0</v>
      </c>
      <c r="E1241">
        <v>0</v>
      </c>
      <c r="F1241">
        <v>0.86257559127993633</v>
      </c>
      <c r="G1241">
        <v>0.7102668370312637</v>
      </c>
      <c r="H1241">
        <v>0.65243629229812605</v>
      </c>
      <c r="I1241">
        <v>0.79025075298361647</v>
      </c>
      <c r="J1241">
        <v>0.23931247344561724</v>
      </c>
      <c r="L1241">
        <v>3.0895484734753533</v>
      </c>
      <c r="M1241">
        <v>4.4543154328444547</v>
      </c>
      <c r="N1241">
        <v>3.6313186687981269</v>
      </c>
      <c r="P1241">
        <v>9.8598163736903949E-11</v>
      </c>
      <c r="R1241">
        <v>11.408653139576925</v>
      </c>
      <c r="S1241">
        <v>11.431778758175978</v>
      </c>
      <c r="T1241">
        <v>1</v>
      </c>
      <c r="U1241">
        <v>2.4233800920843787</v>
      </c>
    </row>
    <row r="1242" spans="1:21">
      <c r="A1242">
        <v>0.99258934118248676</v>
      </c>
      <c r="B1242">
        <v>-1.131007637698636</v>
      </c>
      <c r="C1242">
        <v>0.38229925693459926</v>
      </c>
      <c r="D1242">
        <v>0</v>
      </c>
      <c r="E1242">
        <v>0</v>
      </c>
      <c r="F1242">
        <v>0.45275282110348569</v>
      </c>
      <c r="G1242">
        <v>0.59644344887305101</v>
      </c>
      <c r="H1242">
        <v>0.69380048668988203</v>
      </c>
      <c r="I1242">
        <v>0.17031331552949025</v>
      </c>
      <c r="J1242">
        <v>0.39125489808628416</v>
      </c>
      <c r="L1242">
        <v>3.0895489255637707</v>
      </c>
      <c r="M1242">
        <v>4.4543151763343403</v>
      </c>
      <c r="N1242">
        <v>3.631318607684308</v>
      </c>
      <c r="P1242">
        <v>9.7661322749450841E-11</v>
      </c>
      <c r="R1242">
        <v>11.408653139576925</v>
      </c>
      <c r="S1242">
        <v>11.431778758175978</v>
      </c>
      <c r="T1242">
        <v>1</v>
      </c>
      <c r="U1242">
        <v>2.4233800920843787</v>
      </c>
    </row>
    <row r="1243" spans="1:21">
      <c r="A1243">
        <v>0.99494185651857026</v>
      </c>
      <c r="B1243">
        <v>-1.123965924582538</v>
      </c>
      <c r="C1243">
        <v>0.35932764604835282</v>
      </c>
      <c r="D1243">
        <v>0.14224502323660954</v>
      </c>
      <c r="E1243">
        <v>7.6529463177894788E-2</v>
      </c>
      <c r="F1243">
        <v>0</v>
      </c>
      <c r="G1243">
        <v>0.75444572894298378</v>
      </c>
      <c r="H1243">
        <v>0.65783078264908357</v>
      </c>
      <c r="I1243">
        <v>0.92043302452569453</v>
      </c>
      <c r="J1243">
        <v>0.29638186884624157</v>
      </c>
      <c r="L1243">
        <v>3.0895485009035593</v>
      </c>
      <c r="M1243">
        <v>4.4543154317979203</v>
      </c>
      <c r="N1243">
        <v>3.6313186704242657</v>
      </c>
      <c r="P1243">
        <v>9.8612203220506933E-11</v>
      </c>
      <c r="R1243">
        <v>11.408653139576925</v>
      </c>
      <c r="S1243">
        <v>11.431778758175978</v>
      </c>
      <c r="T1243">
        <v>1</v>
      </c>
      <c r="U1243">
        <v>2.4233800920843787</v>
      </c>
    </row>
    <row r="1244" spans="1:21">
      <c r="A1244">
        <v>0.99815143809295359</v>
      </c>
      <c r="B1244">
        <v>-1.1185817818026349</v>
      </c>
      <c r="C1244">
        <v>0.35401712204713065</v>
      </c>
      <c r="D1244">
        <v>0.3310365477882507</v>
      </c>
      <c r="E1244">
        <v>5.3303394436596797E-8</v>
      </c>
      <c r="F1244">
        <v>0.38723723300400587</v>
      </c>
      <c r="G1244">
        <v>0.39979030038750912</v>
      </c>
      <c r="H1244">
        <v>0.55347420864324504</v>
      </c>
      <c r="I1244">
        <v>0.64387494352680175</v>
      </c>
      <c r="J1244">
        <v>7.7832965276881744E-2</v>
      </c>
      <c r="L1244">
        <v>3.089547766782478</v>
      </c>
      <c r="M1244">
        <v>4.4543158015280788</v>
      </c>
      <c r="N1244">
        <v>3.6313188540171124</v>
      </c>
      <c r="P1244">
        <v>9.9356859208060141E-11</v>
      </c>
      <c r="R1244">
        <v>11.408653139576925</v>
      </c>
      <c r="S1244">
        <v>11.431778758175978</v>
      </c>
      <c r="T1244">
        <v>1</v>
      </c>
      <c r="U1244">
        <v>2.4233800920843787</v>
      </c>
    </row>
    <row r="1245" spans="1:21">
      <c r="A1245">
        <v>0.9829818897083048</v>
      </c>
      <c r="B1245">
        <v>-1.1310250513609854</v>
      </c>
      <c r="C1245">
        <v>0.36233264677066196</v>
      </c>
      <c r="D1245">
        <v>0.86411166782298543</v>
      </c>
      <c r="E1245">
        <v>0.25533622344954437</v>
      </c>
      <c r="F1245">
        <v>0.16463622633153663</v>
      </c>
      <c r="G1245">
        <v>0.19862859623674436</v>
      </c>
      <c r="H1245">
        <v>0.53196640911811643</v>
      </c>
      <c r="I1245">
        <v>0.87508831420539057</v>
      </c>
      <c r="J1245">
        <v>0.77353951935443643</v>
      </c>
      <c r="L1245">
        <v>3.0895476896305079</v>
      </c>
      <c r="M1245">
        <v>4.4543158677064492</v>
      </c>
      <c r="N1245">
        <v>3.6313189131502153</v>
      </c>
      <c r="P1245">
        <v>9.9249032832189272E-11</v>
      </c>
      <c r="R1245">
        <v>11.408653139576925</v>
      </c>
      <c r="S1245">
        <v>11.431778758175978</v>
      </c>
      <c r="T1245">
        <v>1</v>
      </c>
      <c r="U1245">
        <v>2.4233800920843787</v>
      </c>
    </row>
    <row r="1246" spans="1:21">
      <c r="A1246">
        <v>0.97536638964361932</v>
      </c>
      <c r="B1246">
        <v>-1.1424711004809833</v>
      </c>
      <c r="C1246">
        <v>0.38633246882015104</v>
      </c>
      <c r="D1246">
        <v>0</v>
      </c>
      <c r="E1246">
        <v>1.5641687649644452E-5</v>
      </c>
      <c r="F1246">
        <v>0</v>
      </c>
      <c r="G1246">
        <v>0.15985509107188373</v>
      </c>
      <c r="H1246">
        <v>2.9416034899729361E-2</v>
      </c>
      <c r="I1246">
        <v>0.21890586458508818</v>
      </c>
      <c r="J1246">
        <v>0.95365102042844774</v>
      </c>
      <c r="L1246">
        <v>3.0895485363378525</v>
      </c>
      <c r="M1246">
        <v>4.4543152167532654</v>
      </c>
      <c r="N1246">
        <v>3.6313185418112925</v>
      </c>
      <c r="P1246">
        <v>9.8246247495187481E-11</v>
      </c>
      <c r="R1246">
        <v>11.408653139576925</v>
      </c>
      <c r="S1246">
        <v>11.431778758175978</v>
      </c>
      <c r="T1246">
        <v>1</v>
      </c>
      <c r="U1246">
        <v>2.4233800920843787</v>
      </c>
    </row>
    <row r="1247" spans="1:21">
      <c r="A1247">
        <v>1.0016864551239442</v>
      </c>
      <c r="B1247">
        <v>-1.1191799021593025</v>
      </c>
      <c r="C1247">
        <v>0.34897293378122607</v>
      </c>
      <c r="D1247">
        <v>0</v>
      </c>
      <c r="E1247">
        <v>0</v>
      </c>
      <c r="F1247">
        <v>0.14798088138301901</v>
      </c>
      <c r="G1247">
        <v>0.91278927879818827</v>
      </c>
      <c r="H1247">
        <v>0.46965508242153853</v>
      </c>
      <c r="I1247">
        <v>0.83031506707636515</v>
      </c>
      <c r="J1247">
        <v>4.3399685432657722E-2</v>
      </c>
      <c r="L1247">
        <v>3.0895508529565499</v>
      </c>
      <c r="M1247">
        <v>4.4543129855567427</v>
      </c>
      <c r="N1247">
        <v>3.6313189813530569</v>
      </c>
      <c r="P1247">
        <v>8.0964715418287825E-11</v>
      </c>
      <c r="R1247">
        <v>11.408653139576925</v>
      </c>
      <c r="S1247">
        <v>11.431778758175978</v>
      </c>
      <c r="T1247">
        <v>1</v>
      </c>
      <c r="U1247">
        <v>2.4233800920843787</v>
      </c>
    </row>
    <row r="1248" spans="1:21">
      <c r="A1248">
        <v>0.98845365012858599</v>
      </c>
      <c r="B1248">
        <v>-1.1308525651195569</v>
      </c>
      <c r="C1248">
        <v>0.38069222204893999</v>
      </c>
      <c r="D1248">
        <v>0.17689533354977252</v>
      </c>
      <c r="E1248">
        <v>0</v>
      </c>
      <c r="F1248">
        <v>0.63399842190683164</v>
      </c>
      <c r="G1248">
        <v>0.32439782274822476</v>
      </c>
      <c r="H1248">
        <v>0.66277658281727636</v>
      </c>
      <c r="I1248">
        <v>0.29347310384534731</v>
      </c>
      <c r="J1248">
        <v>0.66516153818503954</v>
      </c>
      <c r="L1248">
        <v>3.0895485217864662</v>
      </c>
      <c r="M1248">
        <v>4.454315421209067</v>
      </c>
      <c r="N1248">
        <v>3.6313186708866847</v>
      </c>
      <c r="P1248">
        <v>9.8520756558693744E-11</v>
      </c>
      <c r="R1248">
        <v>11.408653139576925</v>
      </c>
      <c r="S1248">
        <v>11.431778758175978</v>
      </c>
      <c r="T1248">
        <v>1</v>
      </c>
      <c r="U1248">
        <v>2.4233800920843787</v>
      </c>
    </row>
    <row r="1249" spans="1:21">
      <c r="A1249">
        <v>0.98183773642461381</v>
      </c>
      <c r="B1249">
        <v>-1.1380112705864134</v>
      </c>
      <c r="C1249">
        <v>0.39381777022331738</v>
      </c>
      <c r="D1249">
        <v>0.26983533686765809</v>
      </c>
      <c r="E1249">
        <v>0.35684851090568054</v>
      </c>
      <c r="F1249">
        <v>0.48496482108392358</v>
      </c>
      <c r="G1249">
        <v>1.4330701548090746E-2</v>
      </c>
      <c r="H1249">
        <v>0.49461174177254291</v>
      </c>
      <c r="I1249">
        <v>0.13185476542318963</v>
      </c>
      <c r="J1249">
        <v>0.64895744430587177</v>
      </c>
      <c r="L1249">
        <v>3.0895472207052603</v>
      </c>
      <c r="M1249">
        <v>4.4543161020326512</v>
      </c>
      <c r="N1249">
        <v>3.631319116402854</v>
      </c>
      <c r="P1249">
        <v>9.9266353558356935E-11</v>
      </c>
      <c r="R1249">
        <v>11.408653139576925</v>
      </c>
      <c r="S1249">
        <v>11.431778758175978</v>
      </c>
      <c r="T1249">
        <v>1</v>
      </c>
      <c r="U1249">
        <v>2.4233800920843787</v>
      </c>
    </row>
    <row r="1250" spans="1:21">
      <c r="A1250">
        <v>0.97905849209551465</v>
      </c>
      <c r="B1250">
        <v>-1.137781878645038</v>
      </c>
      <c r="C1250">
        <v>0.38061489971844886</v>
      </c>
      <c r="D1250">
        <v>0.50171711315087608</v>
      </c>
      <c r="E1250">
        <v>1.2947210356778697E-6</v>
      </c>
      <c r="F1250">
        <v>0</v>
      </c>
      <c r="G1250">
        <v>0.18227000850562916</v>
      </c>
      <c r="H1250">
        <v>0.49143910428717069</v>
      </c>
      <c r="I1250">
        <v>0.35975871367214229</v>
      </c>
      <c r="J1250">
        <v>0.79117109171202904</v>
      </c>
      <c r="L1250">
        <v>3.0895478647842967</v>
      </c>
      <c r="M1250">
        <v>4.4543157683230694</v>
      </c>
      <c r="N1250">
        <v>3.6313188212028882</v>
      </c>
      <c r="P1250">
        <v>9.9505755574445308E-11</v>
      </c>
      <c r="R1250">
        <v>11.408653139576925</v>
      </c>
      <c r="S1250">
        <v>11.431778758175978</v>
      </c>
      <c r="T1250">
        <v>1</v>
      </c>
      <c r="U1250">
        <v>2.4233800920843787</v>
      </c>
    </row>
    <row r="1251" spans="1:21">
      <c r="A1251">
        <v>0.97725489752344574</v>
      </c>
      <c r="B1251">
        <v>-1.141027783358135</v>
      </c>
      <c r="C1251">
        <v>0.39291155241575693</v>
      </c>
      <c r="D1251">
        <v>0.26445211159629656</v>
      </c>
      <c r="E1251">
        <v>0</v>
      </c>
      <c r="F1251">
        <v>4.7368559970256678E-2</v>
      </c>
      <c r="G1251">
        <v>0.18681726962178549</v>
      </c>
      <c r="H1251">
        <v>0.57972684258693985</v>
      </c>
      <c r="I1251">
        <v>0.22909256506562817</v>
      </c>
      <c r="J1251">
        <v>0.88966722276534227</v>
      </c>
      <c r="L1251">
        <v>3.089550091860521</v>
      </c>
      <c r="M1251">
        <v>4.4543086843872723</v>
      </c>
      <c r="N1251">
        <v>3.6313242881509522</v>
      </c>
      <c r="P1251">
        <v>1.2589654322924835E-11</v>
      </c>
      <c r="R1251">
        <v>11.408653139576925</v>
      </c>
      <c r="S1251">
        <v>11.431778758175978</v>
      </c>
      <c r="T1251">
        <v>1</v>
      </c>
      <c r="U1251">
        <v>2.4233800920843787</v>
      </c>
    </row>
    <row r="1252" spans="1:21">
      <c r="A1252">
        <v>0.99209030829483513</v>
      </c>
      <c r="B1252">
        <v>-1.1322767648734899</v>
      </c>
      <c r="C1252">
        <v>0.36750707237231806</v>
      </c>
      <c r="D1252">
        <v>9.6602605431393776E-2</v>
      </c>
      <c r="E1252">
        <v>0.21315687815836207</v>
      </c>
      <c r="F1252">
        <v>0</v>
      </c>
      <c r="G1252">
        <v>0.89486488349506443</v>
      </c>
      <c r="H1252">
        <v>0.40851795560933352</v>
      </c>
      <c r="I1252">
        <v>0.59564320925258385</v>
      </c>
      <c r="J1252">
        <v>0.37884846797741778</v>
      </c>
      <c r="L1252">
        <v>3.0895472743814811</v>
      </c>
      <c r="M1252">
        <v>4.4543161000912939</v>
      </c>
      <c r="N1252">
        <v>3.6313190640791673</v>
      </c>
      <c r="P1252">
        <v>9.9995655809421894E-11</v>
      </c>
      <c r="R1252">
        <v>11.408653139576925</v>
      </c>
      <c r="S1252">
        <v>11.431778758175978</v>
      </c>
      <c r="T1252">
        <v>1</v>
      </c>
      <c r="U1252">
        <v>2.4233800920843787</v>
      </c>
    </row>
    <row r="1253" spans="1:21">
      <c r="A1253">
        <v>0.98828620443103521</v>
      </c>
      <c r="B1253">
        <v>-1.1285839647462084</v>
      </c>
      <c r="C1253">
        <v>0.36607098556275958</v>
      </c>
      <c r="D1253">
        <v>0</v>
      </c>
      <c r="E1253">
        <v>0</v>
      </c>
      <c r="F1253">
        <v>0</v>
      </c>
      <c r="G1253">
        <v>0.69467411525964584</v>
      </c>
      <c r="H1253">
        <v>0.61801927242455801</v>
      </c>
      <c r="I1253">
        <v>1.0132042198497389</v>
      </c>
      <c r="J1253">
        <v>0.73488147651780489</v>
      </c>
      <c r="L1253">
        <v>3.0895486206997673</v>
      </c>
      <c r="M1253">
        <v>4.4543153759070062</v>
      </c>
      <c r="N1253">
        <v>3.6313186652794922</v>
      </c>
      <c r="P1253">
        <v>9.8282884124987643E-11</v>
      </c>
      <c r="R1253">
        <v>11.408653139576925</v>
      </c>
      <c r="S1253">
        <v>11.431778758175978</v>
      </c>
      <c r="T1253">
        <v>1</v>
      </c>
      <c r="U1253">
        <v>2.4233800920843787</v>
      </c>
    </row>
    <row r="1254" spans="1:21">
      <c r="A1254">
        <v>0.98626169682640608</v>
      </c>
      <c r="B1254">
        <v>-1.1374725655242413</v>
      </c>
      <c r="C1254">
        <v>0.37716555584702788</v>
      </c>
      <c r="D1254">
        <v>0.22414118475100658</v>
      </c>
      <c r="E1254">
        <v>1.182794958738081E-7</v>
      </c>
      <c r="F1254">
        <v>0</v>
      </c>
      <c r="G1254">
        <v>0.68588799122415589</v>
      </c>
      <c r="H1254">
        <v>0.40793080481596999</v>
      </c>
      <c r="I1254">
        <v>0.23216802767052466</v>
      </c>
      <c r="J1254">
        <v>0.55888940895009476</v>
      </c>
      <c r="L1254">
        <v>3.0895476844232084</v>
      </c>
      <c r="M1254">
        <v>4.4543159047777152</v>
      </c>
      <c r="N1254">
        <v>3.6313188811172497</v>
      </c>
      <c r="P1254">
        <v>1.0021207554188643E-10</v>
      </c>
      <c r="R1254">
        <v>11.408653139576925</v>
      </c>
      <c r="S1254">
        <v>11.431778758175978</v>
      </c>
      <c r="T1254">
        <v>1</v>
      </c>
      <c r="U1254">
        <v>2.4233800920843787</v>
      </c>
    </row>
    <row r="1255" spans="1:21">
      <c r="A1255">
        <v>0.98206253791064024</v>
      </c>
      <c r="B1255">
        <v>-1.1327011410126169</v>
      </c>
      <c r="C1255">
        <v>0.38121145642886178</v>
      </c>
      <c r="D1255">
        <v>0.57668961362082138</v>
      </c>
      <c r="E1255">
        <v>0</v>
      </c>
      <c r="F1255">
        <v>0</v>
      </c>
      <c r="G1255">
        <v>0.18952017181898878</v>
      </c>
      <c r="H1255">
        <v>0.95402373799741824</v>
      </c>
      <c r="I1255">
        <v>0.62280987027902657</v>
      </c>
      <c r="J1255">
        <v>0.71308975413593434</v>
      </c>
      <c r="L1255">
        <v>3.0895499161629485</v>
      </c>
      <c r="M1255">
        <v>4.4543142245530873</v>
      </c>
      <c r="N1255">
        <v>3.6313186273087625</v>
      </c>
      <c r="P1255">
        <v>9.1242219947743022E-11</v>
      </c>
      <c r="R1255">
        <v>11.408653139576925</v>
      </c>
      <c r="S1255">
        <v>11.431778758175978</v>
      </c>
      <c r="T1255">
        <v>1</v>
      </c>
      <c r="U1255">
        <v>2.4233800920843787</v>
      </c>
    </row>
    <row r="1256" spans="1:21">
      <c r="A1256">
        <v>0.98764293497846012</v>
      </c>
      <c r="B1256">
        <v>-1.1263644841926876</v>
      </c>
      <c r="C1256">
        <v>0.36863576103972562</v>
      </c>
      <c r="D1256">
        <v>0</v>
      </c>
      <c r="E1256">
        <v>9.0896429064903264E-2</v>
      </c>
      <c r="F1256">
        <v>0</v>
      </c>
      <c r="G1256">
        <v>7.0096777654856307E-2</v>
      </c>
      <c r="H1256">
        <v>0.24358063024694529</v>
      </c>
      <c r="I1256">
        <v>0.61050414701895717</v>
      </c>
      <c r="J1256">
        <v>0.27192231875128942</v>
      </c>
      <c r="L1256">
        <v>3.0895481991850477</v>
      </c>
      <c r="M1256">
        <v>4.454315600041757</v>
      </c>
      <c r="N1256">
        <v>3.6313187590189377</v>
      </c>
      <c r="P1256">
        <v>9.8737767128494052E-11</v>
      </c>
      <c r="R1256">
        <v>11.408653139576925</v>
      </c>
      <c r="S1256">
        <v>11.431778758175978</v>
      </c>
      <c r="T1256">
        <v>1</v>
      </c>
      <c r="U1256">
        <v>2.4233800920843787</v>
      </c>
    </row>
    <row r="1257" spans="1:21">
      <c r="A1257">
        <v>0.98932384738393497</v>
      </c>
      <c r="B1257">
        <v>-1.1285356073139592</v>
      </c>
      <c r="C1257">
        <v>0.37445995304758384</v>
      </c>
      <c r="D1257">
        <v>0</v>
      </c>
      <c r="E1257">
        <v>0</v>
      </c>
      <c r="F1257">
        <v>0.34275483630899595</v>
      </c>
      <c r="G1257">
        <v>0.31122619524356876</v>
      </c>
      <c r="H1257">
        <v>0.45732905794129652</v>
      </c>
      <c r="I1257">
        <v>0.42788119535817515</v>
      </c>
      <c r="J1257">
        <v>0.47060652479568027</v>
      </c>
      <c r="L1257">
        <v>3.0895482102327523</v>
      </c>
      <c r="M1257">
        <v>4.4543093953794788</v>
      </c>
      <c r="N1257">
        <v>3.6313260384214909</v>
      </c>
      <c r="P1257">
        <v>7.8732874108619077E-13</v>
      </c>
      <c r="R1257">
        <v>11.408653139576925</v>
      </c>
      <c r="S1257">
        <v>11.431778758175978</v>
      </c>
      <c r="T1257">
        <v>1</v>
      </c>
      <c r="U1257">
        <v>2.4233800920843787</v>
      </c>
    </row>
    <row r="1258" spans="1:21">
      <c r="A1258">
        <v>0.99769040050393387</v>
      </c>
      <c r="B1258">
        <v>-1.1242991134986156</v>
      </c>
      <c r="C1258">
        <v>0.35235086519584241</v>
      </c>
      <c r="D1258">
        <v>0</v>
      </c>
      <c r="E1258">
        <v>0.38985894112541264</v>
      </c>
      <c r="F1258">
        <v>0.61840300417602212</v>
      </c>
      <c r="G1258">
        <v>0.81038133728071371</v>
      </c>
      <c r="H1258">
        <v>0.15864573958502506</v>
      </c>
      <c r="I1258">
        <v>0.87858209505264195</v>
      </c>
      <c r="J1258">
        <v>0.43014247126494964</v>
      </c>
      <c r="L1258">
        <v>3.0895480359243774</v>
      </c>
      <c r="M1258">
        <v>4.4543156822235073</v>
      </c>
      <c r="N1258">
        <v>3.6313187520567438</v>
      </c>
      <c r="P1258">
        <v>9.9661352727060558E-11</v>
      </c>
      <c r="R1258">
        <v>11.408653139576925</v>
      </c>
      <c r="S1258">
        <v>11.431778758175978</v>
      </c>
      <c r="T1258">
        <v>1</v>
      </c>
      <c r="U1258">
        <v>2.4233800920843787</v>
      </c>
    </row>
    <row r="1259" spans="1:21">
      <c r="A1259">
        <v>0.99180952736579675</v>
      </c>
      <c r="B1259">
        <v>-1.1263573090015311</v>
      </c>
      <c r="C1259">
        <v>0.37794315486325358</v>
      </c>
      <c r="D1259">
        <v>0</v>
      </c>
      <c r="E1259">
        <v>0.35895369512190867</v>
      </c>
      <c r="F1259">
        <v>0.56403129923527517</v>
      </c>
      <c r="G1259">
        <v>0.25925274649245239</v>
      </c>
      <c r="H1259">
        <v>0.63736056627896565</v>
      </c>
      <c r="I1259">
        <v>0.63544810158285181</v>
      </c>
      <c r="J1259">
        <v>0.40113018587731814</v>
      </c>
      <c r="L1259">
        <v>3.0895512360082451</v>
      </c>
      <c r="M1259">
        <v>4.4543123748595601</v>
      </c>
      <c r="N1259">
        <v>3.6313193819512284</v>
      </c>
      <c r="P1259">
        <v>7.3863508239919962E-11</v>
      </c>
      <c r="R1259">
        <v>11.408653139576925</v>
      </c>
      <c r="S1259">
        <v>11.431778758175978</v>
      </c>
      <c r="T1259">
        <v>1</v>
      </c>
      <c r="U1259">
        <v>2.4233800920843787</v>
      </c>
    </row>
    <row r="1260" spans="1:21">
      <c r="A1260">
        <v>0.98260001738254521</v>
      </c>
      <c r="B1260">
        <v>-1.1440565412655843</v>
      </c>
      <c r="C1260">
        <v>0.38111302056517737</v>
      </c>
      <c r="D1260">
        <v>0.2179265431494474</v>
      </c>
      <c r="E1260">
        <v>0</v>
      </c>
      <c r="F1260">
        <v>0</v>
      </c>
      <c r="G1260">
        <v>0.87357506682949393</v>
      </c>
      <c r="H1260">
        <v>0.29159921942050698</v>
      </c>
      <c r="I1260">
        <v>0.13649577058465742</v>
      </c>
      <c r="J1260">
        <v>0.84372572336461804</v>
      </c>
      <c r="L1260">
        <v>3.0895487086841111</v>
      </c>
      <c r="M1260">
        <v>4.4543153688217911</v>
      </c>
      <c r="N1260">
        <v>3.631318625011819</v>
      </c>
      <c r="P1260">
        <v>9.9039298238044353E-11</v>
      </c>
      <c r="R1260">
        <v>11.408653139576925</v>
      </c>
      <c r="S1260">
        <v>11.431778758175978</v>
      </c>
      <c r="T1260">
        <v>1</v>
      </c>
      <c r="U1260">
        <v>2.4233800920843787</v>
      </c>
    </row>
    <row r="1261" spans="1:21">
      <c r="A1261">
        <v>0.98510006236299574</v>
      </c>
      <c r="B1261">
        <v>-1.132115601249057</v>
      </c>
      <c r="C1261">
        <v>0.38737532558245602</v>
      </c>
      <c r="D1261">
        <v>0.16785522423666582</v>
      </c>
      <c r="E1261">
        <v>0</v>
      </c>
      <c r="F1261">
        <v>0</v>
      </c>
      <c r="G1261">
        <v>0.26167434585848298</v>
      </c>
      <c r="H1261">
        <v>0.89512306518819973</v>
      </c>
      <c r="I1261">
        <v>0.46247496789158271</v>
      </c>
      <c r="J1261">
        <v>0.50602598447540514</v>
      </c>
      <c r="L1261">
        <v>3.0895481995240948</v>
      </c>
      <c r="M1261">
        <v>4.4543156371864816</v>
      </c>
      <c r="N1261">
        <v>3.6313187679428371</v>
      </c>
      <c r="P1261">
        <v>9.9050607208113451E-11</v>
      </c>
      <c r="R1261">
        <v>11.408653139576925</v>
      </c>
      <c r="S1261">
        <v>11.431778758175978</v>
      </c>
      <c r="T1261">
        <v>1</v>
      </c>
      <c r="U1261">
        <v>2.4233800920843787</v>
      </c>
    </row>
    <row r="1262" spans="1:21">
      <c r="A1262">
        <v>0.98446944961791927</v>
      </c>
      <c r="B1262">
        <v>-1.1380694734993282</v>
      </c>
      <c r="C1262">
        <v>0.38355711345422716</v>
      </c>
      <c r="D1262">
        <v>0.57675760522946773</v>
      </c>
      <c r="E1262">
        <v>0.1676809691850738</v>
      </c>
      <c r="F1262">
        <v>6.2949965081673651E-2</v>
      </c>
      <c r="G1262">
        <v>0.69059533853540822</v>
      </c>
      <c r="H1262">
        <v>0.96545649526146515</v>
      </c>
      <c r="I1262">
        <v>0.52596830107336412</v>
      </c>
      <c r="J1262">
        <v>0.77432054147118057</v>
      </c>
      <c r="L1262">
        <v>3.0895474806234118</v>
      </c>
      <c r="M1262">
        <v>4.4543160015990457</v>
      </c>
      <c r="N1262">
        <v>3.6313189855881571</v>
      </c>
      <c r="P1262">
        <v>9.9835012026509501E-11</v>
      </c>
      <c r="R1262">
        <v>11.408653139576925</v>
      </c>
      <c r="S1262">
        <v>11.431778758175978</v>
      </c>
      <c r="T1262">
        <v>1</v>
      </c>
      <c r="U1262">
        <v>2.4233800920843787</v>
      </c>
    </row>
    <row r="1263" spans="1:21">
      <c r="A1263">
        <v>0.99389756316289546</v>
      </c>
      <c r="B1263">
        <v>-1.1224962898684894</v>
      </c>
      <c r="C1263">
        <v>0.35321731372330434</v>
      </c>
      <c r="D1263">
        <v>0</v>
      </c>
      <c r="E1263">
        <v>0</v>
      </c>
      <c r="F1263">
        <v>0</v>
      </c>
      <c r="G1263">
        <v>0.33369957955021179</v>
      </c>
      <c r="H1263">
        <v>8.1674333628086824E-3</v>
      </c>
      <c r="I1263">
        <v>0.57914584660824531</v>
      </c>
      <c r="J1263">
        <v>3.395824667442221E-2</v>
      </c>
      <c r="L1263">
        <v>3.0895469654354732</v>
      </c>
      <c r="M1263">
        <v>4.4543161681204131</v>
      </c>
      <c r="N1263">
        <v>3.6313192092696296</v>
      </c>
      <c r="P1263">
        <v>9.8984208296406992E-11</v>
      </c>
      <c r="R1263">
        <v>11.408653139576925</v>
      </c>
      <c r="S1263">
        <v>11.431778758175978</v>
      </c>
      <c r="T1263">
        <v>1</v>
      </c>
      <c r="U1263">
        <v>2.4233800920843787</v>
      </c>
    </row>
    <row r="1264" spans="1:21">
      <c r="A1264">
        <v>0.98828774452878199</v>
      </c>
      <c r="B1264">
        <v>-1.1297248959986859</v>
      </c>
      <c r="C1264">
        <v>0.38328332960421535</v>
      </c>
      <c r="D1264">
        <v>0</v>
      </c>
      <c r="E1264">
        <v>0</v>
      </c>
      <c r="F1264">
        <v>0</v>
      </c>
      <c r="G1264">
        <v>0.25865605525441615</v>
      </c>
      <c r="H1264">
        <v>0.68531119766254378</v>
      </c>
      <c r="I1264">
        <v>0.36517978152379327</v>
      </c>
      <c r="J1264">
        <v>0.27045450079578687</v>
      </c>
      <c r="L1264">
        <v>3.0895485248017089</v>
      </c>
      <c r="M1264">
        <v>4.4543154222405121</v>
      </c>
      <c r="N1264">
        <v>3.6313186766049088</v>
      </c>
      <c r="P1264">
        <v>9.844822501787829E-11</v>
      </c>
      <c r="R1264">
        <v>11.408653139576925</v>
      </c>
      <c r="S1264">
        <v>11.431778758175978</v>
      </c>
      <c r="T1264">
        <v>1</v>
      </c>
      <c r="U1264">
        <v>2.4233800920843787</v>
      </c>
    </row>
    <row r="1265" spans="1:21">
      <c r="A1265">
        <v>0.98316877264526625</v>
      </c>
      <c r="B1265">
        <v>-1.1320070309741062</v>
      </c>
      <c r="C1265">
        <v>0.39174119557927556</v>
      </c>
      <c r="D1265">
        <v>0</v>
      </c>
      <c r="E1265">
        <v>0.32800363904685553</v>
      </c>
      <c r="F1265">
        <v>0</v>
      </c>
      <c r="G1265">
        <v>5.7389894956914586E-2</v>
      </c>
      <c r="H1265">
        <v>0.81656916564973392</v>
      </c>
      <c r="I1265">
        <v>0.70516055796433785</v>
      </c>
      <c r="J1265">
        <v>0.51239789230372601</v>
      </c>
      <c r="L1265">
        <v>3.0895472786107812</v>
      </c>
      <c r="M1265">
        <v>4.4543160651916365</v>
      </c>
      <c r="N1265">
        <v>3.6313191050188882</v>
      </c>
      <c r="P1265">
        <v>9.8920885812428189E-11</v>
      </c>
      <c r="R1265">
        <v>11.408653139576925</v>
      </c>
      <c r="S1265">
        <v>11.431778758175978</v>
      </c>
      <c r="T1265">
        <v>1</v>
      </c>
      <c r="U1265">
        <v>2.4233800920843787</v>
      </c>
    </row>
    <row r="1266" spans="1:21">
      <c r="A1266">
        <v>0.98165309347889429</v>
      </c>
      <c r="B1266">
        <v>-1.1319630289845655</v>
      </c>
      <c r="C1266">
        <v>0.37929388085580096</v>
      </c>
      <c r="D1266">
        <v>0.12546864012917092</v>
      </c>
      <c r="E1266">
        <v>0</v>
      </c>
      <c r="F1266">
        <v>0</v>
      </c>
      <c r="G1266">
        <v>0.25131206170780163</v>
      </c>
      <c r="H1266">
        <v>0.71275596539334929</v>
      </c>
      <c r="I1266">
        <v>0.82912378607054049</v>
      </c>
      <c r="J1266">
        <v>0.84817899928652429</v>
      </c>
      <c r="L1266">
        <v>3.0895491444124255</v>
      </c>
      <c r="M1266">
        <v>4.4543149369801096</v>
      </c>
      <c r="N1266">
        <v>3.6313185914735051</v>
      </c>
      <c r="P1266">
        <v>9.5931660336450028E-11</v>
      </c>
      <c r="R1266">
        <v>11.408653139576925</v>
      </c>
      <c r="S1266">
        <v>11.431778758175978</v>
      </c>
      <c r="T1266">
        <v>1</v>
      </c>
      <c r="U1266">
        <v>2.4233800920843787</v>
      </c>
    </row>
    <row r="1267" spans="1:21">
      <c r="A1267">
        <v>0.98670329389848188</v>
      </c>
      <c r="B1267">
        <v>-1.1360704039550211</v>
      </c>
      <c r="C1267">
        <v>0.37609027639833786</v>
      </c>
      <c r="D1267">
        <v>0.36774270454348962</v>
      </c>
      <c r="E1267">
        <v>1.3417010976086793E-2</v>
      </c>
      <c r="F1267">
        <v>0</v>
      </c>
      <c r="G1267">
        <v>0.93856357104253696</v>
      </c>
      <c r="H1267">
        <v>0.89361228277098503</v>
      </c>
      <c r="I1267">
        <v>0.68208657464763367</v>
      </c>
      <c r="J1267">
        <v>0.82987700809799669</v>
      </c>
      <c r="L1267">
        <v>3.0895479244054393</v>
      </c>
      <c r="M1267">
        <v>4.4543157705893526</v>
      </c>
      <c r="N1267">
        <v>3.6313187992979246</v>
      </c>
      <c r="P1267">
        <v>9.9918019464217562E-11</v>
      </c>
      <c r="R1267">
        <v>11.408653139576925</v>
      </c>
      <c r="S1267">
        <v>11.431778758175978</v>
      </c>
      <c r="T1267">
        <v>1</v>
      </c>
      <c r="U1267">
        <v>2.4233800920843787</v>
      </c>
    </row>
    <row r="1268" spans="1:21">
      <c r="A1268">
        <v>0.99575136604910475</v>
      </c>
      <c r="B1268">
        <v>-1.1247051618194519</v>
      </c>
      <c r="C1268">
        <v>0.36981849673806699</v>
      </c>
      <c r="D1268">
        <v>0</v>
      </c>
      <c r="E1268">
        <v>0</v>
      </c>
      <c r="F1268">
        <v>0</v>
      </c>
      <c r="G1268">
        <v>0.69178891247040819</v>
      </c>
      <c r="H1268">
        <v>0.78932564300582708</v>
      </c>
      <c r="I1268">
        <v>0.63201301992156489</v>
      </c>
      <c r="J1268">
        <v>0.13310239841844634</v>
      </c>
      <c r="L1268">
        <v>3.0895500326349001</v>
      </c>
      <c r="M1268">
        <v>4.454312476716149</v>
      </c>
      <c r="N1268">
        <v>3.6313207056734838</v>
      </c>
      <c r="P1268">
        <v>4.9641672982782693E-11</v>
      </c>
      <c r="R1268">
        <v>11.408653139576925</v>
      </c>
      <c r="S1268">
        <v>11.431778758175978</v>
      </c>
      <c r="T1268">
        <v>1</v>
      </c>
      <c r="U1268">
        <v>2.4233800920843787</v>
      </c>
    </row>
    <row r="1269" spans="1:21">
      <c r="A1269">
        <v>0.99227171177718565</v>
      </c>
      <c r="B1269">
        <v>-1.1294170148916052</v>
      </c>
      <c r="C1269">
        <v>0.35687223229005638</v>
      </c>
      <c r="D1269">
        <v>0.92110401550450371</v>
      </c>
      <c r="E1269">
        <v>0.70029170313143374</v>
      </c>
      <c r="F1269">
        <v>0</v>
      </c>
      <c r="G1269">
        <v>0.50108478089170028</v>
      </c>
      <c r="H1269">
        <v>0.40273734580519338</v>
      </c>
      <c r="I1269">
        <v>0.75616007989243861</v>
      </c>
      <c r="J1269">
        <v>7.0410833570721115E-2</v>
      </c>
      <c r="L1269">
        <v>3.0895478655189437</v>
      </c>
      <c r="M1269">
        <v>4.4543157931081119</v>
      </c>
      <c r="N1269">
        <v>3.6313188127867457</v>
      </c>
      <c r="P1269">
        <v>9.9947022572460399E-11</v>
      </c>
      <c r="R1269">
        <v>11.408653139576925</v>
      </c>
      <c r="S1269">
        <v>11.431778758175978</v>
      </c>
      <c r="T1269">
        <v>1</v>
      </c>
      <c r="U1269">
        <v>2.4233800920843787</v>
      </c>
    </row>
    <row r="1270" spans="1:21">
      <c r="A1270">
        <v>0.98115981871080182</v>
      </c>
      <c r="B1270">
        <v>-1.1418364790898037</v>
      </c>
      <c r="C1270">
        <v>0.40417071496995638</v>
      </c>
      <c r="D1270">
        <v>0</v>
      </c>
      <c r="E1270">
        <v>0.10841041871848651</v>
      </c>
      <c r="F1270">
        <v>0.20146145771260393</v>
      </c>
      <c r="G1270">
        <v>0.36092290739796928</v>
      </c>
      <c r="H1270">
        <v>0.76826597184878298</v>
      </c>
      <c r="I1270">
        <v>4.6269479264970395E-2</v>
      </c>
      <c r="J1270">
        <v>0.73884391841420904</v>
      </c>
      <c r="L1270">
        <v>3.0895481155695106</v>
      </c>
      <c r="M1270">
        <v>4.4543157031005851</v>
      </c>
      <c r="N1270">
        <v>3.6313187861469558</v>
      </c>
      <c r="P1270">
        <v>9.9470754191542152E-11</v>
      </c>
      <c r="R1270">
        <v>11.408653139576925</v>
      </c>
      <c r="S1270">
        <v>11.431778758175978</v>
      </c>
      <c r="T1270">
        <v>1</v>
      </c>
      <c r="U1270">
        <v>2.4233800920843787</v>
      </c>
    </row>
    <row r="1271" spans="1:21">
      <c r="A1271">
        <v>1.1755373797585076</v>
      </c>
      <c r="B1271">
        <v>-0.94491114946003429</v>
      </c>
      <c r="C1271">
        <v>0.13910889360044937</v>
      </c>
      <c r="D1271">
        <v>0</v>
      </c>
      <c r="E1271">
        <v>0.74646241317349349</v>
      </c>
      <c r="F1271">
        <v>0.30086632195816448</v>
      </c>
      <c r="G1271">
        <v>0.10648141037681025</v>
      </c>
      <c r="H1271">
        <v>0.13494110167409296</v>
      </c>
      <c r="I1271">
        <v>0.42459174375684966</v>
      </c>
      <c r="J1271">
        <v>0.48895704262662248</v>
      </c>
      <c r="L1271">
        <v>3.089548175205501</v>
      </c>
      <c r="M1271">
        <v>4.4543098155372363</v>
      </c>
      <c r="N1271">
        <v>0.83546020875299964</v>
      </c>
      <c r="P1271">
        <v>8.5672375542403499E-12</v>
      </c>
      <c r="R1271">
        <v>4.6360961263686224</v>
      </c>
      <c r="S1271">
        <v>4.638002539904412</v>
      </c>
      <c r="T1271">
        <v>1</v>
      </c>
      <c r="U1271">
        <v>2.4124146876867902</v>
      </c>
    </row>
    <row r="1272" spans="1:21">
      <c r="A1272">
        <v>1.1721488545386158</v>
      </c>
      <c r="B1272">
        <v>-0.94346443984934103</v>
      </c>
      <c r="C1272">
        <v>0.12834841177092365</v>
      </c>
      <c r="D1272">
        <v>0</v>
      </c>
      <c r="E1272">
        <v>0</v>
      </c>
      <c r="F1272">
        <v>0.31864308801329289</v>
      </c>
      <c r="G1272">
        <v>0.35494175682996498</v>
      </c>
      <c r="H1272">
        <v>0.31342821805690146</v>
      </c>
      <c r="I1272">
        <v>0.65862130476413083</v>
      </c>
      <c r="J1272">
        <v>0.53771557889459731</v>
      </c>
      <c r="L1272">
        <v>3.0895492845516941</v>
      </c>
      <c r="M1272">
        <v>4.4543086130834029</v>
      </c>
      <c r="N1272">
        <v>0.83546065381918722</v>
      </c>
      <c r="P1272">
        <v>9.6461961623978412E-12</v>
      </c>
      <c r="R1272">
        <v>4.6360961263686224</v>
      </c>
      <c r="S1272">
        <v>4.638002539904412</v>
      </c>
      <c r="T1272">
        <v>1</v>
      </c>
      <c r="U1272">
        <v>2.4124146876867902</v>
      </c>
    </row>
    <row r="1273" spans="1:21">
      <c r="A1273">
        <v>1.1782378827898059</v>
      </c>
      <c r="B1273">
        <v>-0.93612677650493903</v>
      </c>
      <c r="C1273">
        <v>0.14053785601256666</v>
      </c>
      <c r="D1273">
        <v>0</v>
      </c>
      <c r="E1273">
        <v>0.33660462271758684</v>
      </c>
      <c r="F1273">
        <v>0.34424756935469691</v>
      </c>
      <c r="G1273">
        <v>8.2208883144676975E-2</v>
      </c>
      <c r="H1273">
        <v>0.93854143354614217</v>
      </c>
      <c r="I1273">
        <v>0.78058076280141131</v>
      </c>
      <c r="J1273">
        <v>0.31020245992198742</v>
      </c>
      <c r="L1273">
        <v>3.0895483385240539</v>
      </c>
      <c r="M1273">
        <v>4.4543096789466476</v>
      </c>
      <c r="N1273">
        <v>0.83546009396809373</v>
      </c>
      <c r="P1273">
        <v>9.4093038846349555E-12</v>
      </c>
      <c r="R1273">
        <v>4.6360961263686224</v>
      </c>
      <c r="S1273">
        <v>4.638002539904412</v>
      </c>
      <c r="T1273">
        <v>1</v>
      </c>
      <c r="U1273">
        <v>2.4124146876867902</v>
      </c>
    </row>
    <row r="1274" spans="1:21">
      <c r="A1274">
        <v>1.1774469397570366</v>
      </c>
      <c r="B1274">
        <v>-0.94584098991396004</v>
      </c>
      <c r="C1274">
        <v>0.12979525023064087</v>
      </c>
      <c r="D1274">
        <v>0</v>
      </c>
      <c r="E1274">
        <v>0.91203662988383538</v>
      </c>
      <c r="F1274">
        <v>0</v>
      </c>
      <c r="G1274">
        <v>0.63115067411024384</v>
      </c>
      <c r="H1274">
        <v>0.18359772270973099</v>
      </c>
      <c r="I1274">
        <v>0.89170633990215387</v>
      </c>
      <c r="J1274">
        <v>0.45767714295572309</v>
      </c>
      <c r="L1274">
        <v>3.0895474574898372</v>
      </c>
      <c r="M1274">
        <v>4.4543099377343367</v>
      </c>
      <c r="N1274">
        <v>0.83546255094499422</v>
      </c>
      <c r="P1274">
        <v>4.2145129555975817E-13</v>
      </c>
      <c r="R1274">
        <v>4.6360961263686224</v>
      </c>
      <c r="S1274">
        <v>4.638002539904412</v>
      </c>
      <c r="T1274">
        <v>1</v>
      </c>
      <c r="U1274">
        <v>2.4124146876867902</v>
      </c>
    </row>
    <row r="1275" spans="1:21">
      <c r="A1275">
        <v>1.1768569046844948</v>
      </c>
      <c r="B1275">
        <v>-0.94356220803711388</v>
      </c>
      <c r="C1275">
        <v>0.12356894754892676</v>
      </c>
      <c r="D1275">
        <v>0</v>
      </c>
      <c r="E1275">
        <v>0</v>
      </c>
      <c r="F1275">
        <v>0.57658743596019513</v>
      </c>
      <c r="G1275">
        <v>0.77106239747271677</v>
      </c>
      <c r="H1275">
        <v>0.36201063230920832</v>
      </c>
      <c r="I1275">
        <v>0.64602992662405345</v>
      </c>
      <c r="J1275">
        <v>0.7915425354787754</v>
      </c>
      <c r="L1275">
        <v>3.089549490485219</v>
      </c>
      <c r="M1275">
        <v>4.4543088277970853</v>
      </c>
      <c r="N1275">
        <v>0.83546069514153987</v>
      </c>
      <c r="P1275">
        <v>9.8642641961634117E-12</v>
      </c>
      <c r="R1275">
        <v>4.6360961263686224</v>
      </c>
      <c r="S1275">
        <v>4.638002539904412</v>
      </c>
      <c r="T1275">
        <v>1</v>
      </c>
      <c r="U1275">
        <v>2.4124146876867902</v>
      </c>
    </row>
    <row r="1276" spans="1:21">
      <c r="A1276">
        <v>1.1823978166344429</v>
      </c>
      <c r="B1276">
        <v>-0.94010845605603144</v>
      </c>
      <c r="C1276">
        <v>0.11979127722342811</v>
      </c>
      <c r="D1276">
        <v>0</v>
      </c>
      <c r="E1276">
        <v>0</v>
      </c>
      <c r="F1276">
        <v>0.21182284266863263</v>
      </c>
      <c r="G1276">
        <v>0.7556972173922013</v>
      </c>
      <c r="H1276">
        <v>0.26466182893252554</v>
      </c>
      <c r="I1276">
        <v>0.39254577541747404</v>
      </c>
      <c r="J1276">
        <v>8.9480693509095321E-2</v>
      </c>
      <c r="L1276">
        <v>3.089549079582619</v>
      </c>
      <c r="M1276">
        <v>4.4543087441745017</v>
      </c>
      <c r="N1276">
        <v>0.83546262605388266</v>
      </c>
      <c r="P1276">
        <v>3.1824460554789776E-12</v>
      </c>
      <c r="R1276">
        <v>4.6360961263686224</v>
      </c>
      <c r="S1276">
        <v>4.638002539904412</v>
      </c>
      <c r="T1276">
        <v>1</v>
      </c>
      <c r="U1276">
        <v>2.4124146876867902</v>
      </c>
    </row>
    <row r="1277" spans="1:21">
      <c r="A1277">
        <v>1.1830459545907634</v>
      </c>
      <c r="B1277">
        <v>-0.94259805938106922</v>
      </c>
      <c r="C1277">
        <v>0.13724149929534019</v>
      </c>
      <c r="D1277">
        <v>0</v>
      </c>
      <c r="E1277">
        <v>0</v>
      </c>
      <c r="F1277">
        <v>0</v>
      </c>
      <c r="G1277">
        <v>0.77458245045454355</v>
      </c>
      <c r="H1277">
        <v>0.7094915685103097</v>
      </c>
      <c r="I1277">
        <v>0.10908566191541717</v>
      </c>
      <c r="J1277">
        <v>0.57969336546839445</v>
      </c>
      <c r="L1277">
        <v>3.0895481939567158</v>
      </c>
      <c r="M1277">
        <v>4.4543098426782102</v>
      </c>
      <c r="N1277">
        <v>0.83546021147283067</v>
      </c>
      <c r="P1277">
        <v>8.5922849428094323E-12</v>
      </c>
      <c r="R1277">
        <v>4.6360961263686224</v>
      </c>
      <c r="S1277">
        <v>4.638002539904412</v>
      </c>
      <c r="T1277">
        <v>1</v>
      </c>
      <c r="U1277">
        <v>2.4124146876867902</v>
      </c>
    </row>
    <row r="1278" spans="1:21">
      <c r="A1278">
        <v>1.1775485349021726</v>
      </c>
      <c r="B1278">
        <v>-0.9434923636355762</v>
      </c>
      <c r="C1278">
        <v>0.11256191102782268</v>
      </c>
      <c r="D1278">
        <v>0</v>
      </c>
      <c r="E1278">
        <v>0</v>
      </c>
      <c r="F1278">
        <v>0</v>
      </c>
      <c r="G1278">
        <v>0.96204713293736521</v>
      </c>
      <c r="H1278">
        <v>0.11060209285100388</v>
      </c>
      <c r="I1278">
        <v>0.79165466391913641</v>
      </c>
      <c r="J1278">
        <v>0.18382387503498709</v>
      </c>
      <c r="L1278">
        <v>3.089548352422808</v>
      </c>
      <c r="M1278">
        <v>4.4543097306939572</v>
      </c>
      <c r="N1278">
        <v>0.83546009685719669</v>
      </c>
      <c r="P1278">
        <v>9.4327070374074632E-12</v>
      </c>
      <c r="R1278">
        <v>4.6360961263686224</v>
      </c>
      <c r="S1278">
        <v>4.638002539904412</v>
      </c>
      <c r="T1278">
        <v>1</v>
      </c>
      <c r="U1278">
        <v>2.4124146876867902</v>
      </c>
    </row>
    <row r="1279" spans="1:21">
      <c r="A1279">
        <v>1.1798347923901442</v>
      </c>
      <c r="B1279">
        <v>-0.94540915509179835</v>
      </c>
      <c r="C1279">
        <v>0.14270389952163162</v>
      </c>
      <c r="D1279">
        <v>0</v>
      </c>
      <c r="E1279">
        <v>0.28851070343852137</v>
      </c>
      <c r="F1279">
        <v>0</v>
      </c>
      <c r="G1279">
        <v>0.81757969707687761</v>
      </c>
      <c r="H1279">
        <v>0.85634337480710521</v>
      </c>
      <c r="I1279">
        <v>0.45045130396771926</v>
      </c>
      <c r="J1279">
        <v>1.0036986247806698</v>
      </c>
      <c r="L1279">
        <v>3.0895487817216369</v>
      </c>
      <c r="M1279">
        <v>4.4543093503040172</v>
      </c>
      <c r="N1279">
        <v>0.83545995228287295</v>
      </c>
      <c r="P1279">
        <v>1.1185907384378397E-11</v>
      </c>
      <c r="R1279">
        <v>4.6360961263686224</v>
      </c>
      <c r="S1279">
        <v>4.638002539904412</v>
      </c>
      <c r="T1279">
        <v>1</v>
      </c>
      <c r="U1279">
        <v>2.4124146876867902</v>
      </c>
    </row>
    <row r="1280" spans="1:21">
      <c r="A1280">
        <v>1.1723266414841711</v>
      </c>
      <c r="B1280">
        <v>-0.94017266345516348</v>
      </c>
      <c r="C1280">
        <v>0.1316070962424053</v>
      </c>
      <c r="D1280">
        <v>0.28802667837788898</v>
      </c>
      <c r="E1280">
        <v>0</v>
      </c>
      <c r="F1280">
        <v>0</v>
      </c>
      <c r="G1280">
        <v>0.30456971369975094</v>
      </c>
      <c r="H1280">
        <v>0.93248527366630785</v>
      </c>
      <c r="I1280">
        <v>0.96489794656422034</v>
      </c>
      <c r="J1280">
        <v>0.32846811245572949</v>
      </c>
      <c r="L1280">
        <v>3.0895474436187338</v>
      </c>
      <c r="M1280">
        <v>4.4543099853515944</v>
      </c>
      <c r="N1280">
        <v>0.83546238183192789</v>
      </c>
      <c r="P1280">
        <v>6.6250669371219979E-13</v>
      </c>
      <c r="R1280">
        <v>4.6360961263686224</v>
      </c>
      <c r="S1280">
        <v>4.638002539904412</v>
      </c>
      <c r="T1280">
        <v>1</v>
      </c>
      <c r="U1280">
        <v>2.4124146876867902</v>
      </c>
    </row>
    <row r="1281" spans="1:21">
      <c r="A1281">
        <v>1.1929791892639656</v>
      </c>
      <c r="B1281">
        <v>-0.93402344820098226</v>
      </c>
      <c r="C1281">
        <v>0.13712263026999774</v>
      </c>
      <c r="D1281">
        <v>0</v>
      </c>
      <c r="E1281">
        <v>0.36648716421701727</v>
      </c>
      <c r="F1281">
        <v>0.86162223971726826</v>
      </c>
      <c r="G1281">
        <v>0.6765144773038515</v>
      </c>
      <c r="H1281">
        <v>0.97083096939056013</v>
      </c>
      <c r="I1281">
        <v>0.15666055747353705</v>
      </c>
      <c r="J1281">
        <v>0.49573575116149082</v>
      </c>
      <c r="L1281">
        <v>3.089549346063333</v>
      </c>
      <c r="M1281">
        <v>4.4543084812764784</v>
      </c>
      <c r="N1281">
        <v>0.83546144032418113</v>
      </c>
      <c r="P1281">
        <v>6.9724484709373252E-12</v>
      </c>
      <c r="R1281">
        <v>4.6360961263686224</v>
      </c>
      <c r="S1281">
        <v>4.638002539904412</v>
      </c>
      <c r="T1281">
        <v>1</v>
      </c>
      <c r="U1281">
        <v>2.4124146876867902</v>
      </c>
    </row>
    <row r="1282" spans="1:21">
      <c r="A1282">
        <v>1.1781568857353566</v>
      </c>
      <c r="B1282">
        <v>-0.94349416978632084</v>
      </c>
      <c r="C1282">
        <v>0.13154355594179792</v>
      </c>
      <c r="D1282">
        <v>0</v>
      </c>
      <c r="E1282">
        <v>0</v>
      </c>
      <c r="F1282">
        <v>0.15563894199235193</v>
      </c>
      <c r="G1282">
        <v>0.65506167568285711</v>
      </c>
      <c r="H1282">
        <v>0.49101895222151004</v>
      </c>
      <c r="I1282">
        <v>0.38111036247664959</v>
      </c>
      <c r="J1282">
        <v>0.59190664582010588</v>
      </c>
      <c r="L1282">
        <v>3.0895493474415394</v>
      </c>
      <c r="M1282">
        <v>4.4543084920153193</v>
      </c>
      <c r="N1282">
        <v>0.83546122436300629</v>
      </c>
      <c r="P1282">
        <v>7.6972846840657545E-12</v>
      </c>
      <c r="R1282">
        <v>4.6360961263686224</v>
      </c>
      <c r="S1282">
        <v>4.638002539904412</v>
      </c>
      <c r="T1282">
        <v>1</v>
      </c>
      <c r="U1282">
        <v>2.4124146876867902</v>
      </c>
    </row>
    <row r="1283" spans="1:21">
      <c r="A1283">
        <v>1.167757070688624</v>
      </c>
      <c r="B1283">
        <v>-0.94756370203236095</v>
      </c>
      <c r="C1283">
        <v>0.12102324351710136</v>
      </c>
      <c r="D1283">
        <v>0</v>
      </c>
      <c r="E1283">
        <v>0</v>
      </c>
      <c r="F1283">
        <v>0</v>
      </c>
      <c r="G1283">
        <v>0.60100016845586524</v>
      </c>
      <c r="H1283">
        <v>0.10504034156103383</v>
      </c>
      <c r="I1283">
        <v>0.97479249916591337</v>
      </c>
      <c r="J1283">
        <v>0.58643536701407117</v>
      </c>
      <c r="L1283">
        <v>3.0895487780300765</v>
      </c>
      <c r="M1283">
        <v>4.4543092859187796</v>
      </c>
      <c r="N1283">
        <v>0.83545997244641379</v>
      </c>
      <c r="P1283">
        <v>1.1079599680379338E-11</v>
      </c>
      <c r="R1283">
        <v>4.6360961263686224</v>
      </c>
      <c r="S1283">
        <v>4.638002539904412</v>
      </c>
      <c r="T1283">
        <v>1</v>
      </c>
      <c r="U1283">
        <v>2.4124146876867902</v>
      </c>
    </row>
    <row r="1284" spans="1:21">
      <c r="A1284">
        <v>1.1746115016080687</v>
      </c>
      <c r="B1284">
        <v>-0.94578377821793358</v>
      </c>
      <c r="C1284">
        <v>0.1176076550634971</v>
      </c>
      <c r="D1284">
        <v>0.19172054474836972</v>
      </c>
      <c r="E1284">
        <v>0</v>
      </c>
      <c r="F1284">
        <v>0.18681302150283877</v>
      </c>
      <c r="G1284">
        <v>0.93294425767663614</v>
      </c>
      <c r="H1284">
        <v>0.33646221673763138</v>
      </c>
      <c r="I1284">
        <v>0.83329211788230206</v>
      </c>
      <c r="J1284">
        <v>0.62318443090958786</v>
      </c>
      <c r="L1284">
        <v>3.0895492356057828</v>
      </c>
      <c r="M1284">
        <v>4.4543085531107005</v>
      </c>
      <c r="N1284">
        <v>0.83546219442758363</v>
      </c>
      <c r="P1284">
        <v>4.57871733181E-12</v>
      </c>
      <c r="R1284">
        <v>4.6360961263686224</v>
      </c>
      <c r="S1284">
        <v>4.638002539904412</v>
      </c>
      <c r="T1284">
        <v>1</v>
      </c>
      <c r="U1284">
        <v>2.4124146876867902</v>
      </c>
    </row>
    <row r="1285" spans="1:21">
      <c r="A1285">
        <v>1.1817114509311899</v>
      </c>
      <c r="B1285">
        <v>-0.94398080637598558</v>
      </c>
      <c r="C1285">
        <v>0.13028286965677058</v>
      </c>
      <c r="D1285">
        <v>0</v>
      </c>
      <c r="E1285">
        <v>4.9646918297081628E-2</v>
      </c>
      <c r="F1285">
        <v>0</v>
      </c>
      <c r="G1285">
        <v>0.79928083229017455</v>
      </c>
      <c r="H1285">
        <v>0.37883038595257224</v>
      </c>
      <c r="I1285">
        <v>0.14967562977366491</v>
      </c>
      <c r="J1285">
        <v>0.44052028027808326</v>
      </c>
      <c r="L1285">
        <v>3.0895495053779185</v>
      </c>
      <c r="M1285">
        <v>4.4543086877262121</v>
      </c>
      <c r="N1285">
        <v>0.83546115337850613</v>
      </c>
      <c r="P1285">
        <v>8.1903486177370825E-12</v>
      </c>
      <c r="R1285">
        <v>4.6360961263686224</v>
      </c>
      <c r="S1285">
        <v>4.638002539904412</v>
      </c>
      <c r="T1285">
        <v>1</v>
      </c>
      <c r="U1285">
        <v>2.4124146876867902</v>
      </c>
    </row>
    <row r="1286" spans="1:21">
      <c r="A1286">
        <v>1.1851772300986758</v>
      </c>
      <c r="B1286">
        <v>-0.93941926944820064</v>
      </c>
      <c r="C1286">
        <v>0.13048364871156487</v>
      </c>
      <c r="D1286">
        <v>0</v>
      </c>
      <c r="E1286">
        <v>0.10382981809315213</v>
      </c>
      <c r="F1286">
        <v>0.68984536081221759</v>
      </c>
      <c r="G1286">
        <v>0.90557700403497476</v>
      </c>
      <c r="H1286">
        <v>0.80990647479375755</v>
      </c>
      <c r="I1286">
        <v>0.47254729056823819</v>
      </c>
      <c r="J1286">
        <v>0.82566842451160827</v>
      </c>
      <c r="L1286">
        <v>3.0895488021644346</v>
      </c>
      <c r="M1286">
        <v>4.4543092812946758</v>
      </c>
      <c r="N1286">
        <v>0.83545997233450708</v>
      </c>
      <c r="P1286">
        <v>1.11431121439871E-11</v>
      </c>
      <c r="R1286">
        <v>4.6360961263686224</v>
      </c>
      <c r="S1286">
        <v>4.638002539904412</v>
      </c>
      <c r="T1286">
        <v>1</v>
      </c>
      <c r="U1286">
        <v>2.4124146876867902</v>
      </c>
    </row>
    <row r="1287" spans="1:21">
      <c r="A1287">
        <v>1.1734821450463442</v>
      </c>
      <c r="B1287">
        <v>-0.94200662105299671</v>
      </c>
      <c r="C1287">
        <v>0.14024394229189285</v>
      </c>
      <c r="D1287">
        <v>0</v>
      </c>
      <c r="E1287">
        <v>0</v>
      </c>
      <c r="F1287">
        <v>0</v>
      </c>
      <c r="G1287">
        <v>0.42857128888487772</v>
      </c>
      <c r="H1287">
        <v>0.97092193040754493</v>
      </c>
      <c r="I1287">
        <v>0.81034799224335963</v>
      </c>
      <c r="J1287">
        <v>0.73935890805794502</v>
      </c>
      <c r="L1287">
        <v>3.0895493932122324</v>
      </c>
      <c r="M1287">
        <v>4.4543086638291216</v>
      </c>
      <c r="N1287">
        <v>0.83546196078683721</v>
      </c>
      <c r="P1287">
        <v>5.3897911058577886E-12</v>
      </c>
      <c r="R1287">
        <v>4.6360961263686224</v>
      </c>
      <c r="S1287">
        <v>4.638002539904412</v>
      </c>
      <c r="T1287">
        <v>1</v>
      </c>
      <c r="U1287">
        <v>2.4124146876867902</v>
      </c>
    </row>
    <row r="1288" spans="1:21">
      <c r="A1288">
        <v>1.182743956134866</v>
      </c>
      <c r="B1288">
        <v>-0.94491687706060623</v>
      </c>
      <c r="C1288">
        <v>0.14166247472164759</v>
      </c>
      <c r="D1288">
        <v>0</v>
      </c>
      <c r="E1288">
        <v>0.58116657835328367</v>
      </c>
      <c r="F1288">
        <v>0</v>
      </c>
      <c r="G1288">
        <v>0.53129924551120522</v>
      </c>
      <c r="H1288">
        <v>0.37578567095135484</v>
      </c>
      <c r="I1288">
        <v>4.1757551032426177E-2</v>
      </c>
      <c r="J1288">
        <v>0.50769199587084324</v>
      </c>
      <c r="L1288">
        <v>3.0895476080734334</v>
      </c>
      <c r="M1288">
        <v>4.4543101036956321</v>
      </c>
      <c r="N1288">
        <v>0.83546118090305632</v>
      </c>
      <c r="P1288">
        <v>3.8298996509445618E-12</v>
      </c>
      <c r="R1288">
        <v>4.6360961263686224</v>
      </c>
      <c r="S1288">
        <v>4.638002539904412</v>
      </c>
      <c r="T1288">
        <v>1</v>
      </c>
      <c r="U1288">
        <v>2.4124146876867902</v>
      </c>
    </row>
    <row r="1289" spans="1:21">
      <c r="A1289">
        <v>1.1754867654132961</v>
      </c>
      <c r="B1289">
        <v>-0.94396135455685248</v>
      </c>
      <c r="C1289">
        <v>0.11505785891927377</v>
      </c>
      <c r="D1289">
        <v>0</v>
      </c>
      <c r="E1289">
        <v>0.12606126233612747</v>
      </c>
      <c r="F1289">
        <v>0.35077089280901708</v>
      </c>
      <c r="G1289">
        <v>0.74938615772460293</v>
      </c>
      <c r="H1289">
        <v>1.6485898884166694E-2</v>
      </c>
      <c r="I1289">
        <v>0.8015610012994977</v>
      </c>
      <c r="J1289">
        <v>0.37986916545216975</v>
      </c>
      <c r="L1289">
        <v>3.0895480566543987</v>
      </c>
      <c r="M1289">
        <v>4.454309139784808</v>
      </c>
      <c r="N1289">
        <v>0.83546339232340461</v>
      </c>
      <c r="P1289">
        <v>5.4080957294962379E-13</v>
      </c>
      <c r="R1289">
        <v>4.6360961263686224</v>
      </c>
      <c r="S1289">
        <v>4.638002539904412</v>
      </c>
      <c r="T1289">
        <v>1</v>
      </c>
      <c r="U1289">
        <v>2.4124146876867902</v>
      </c>
    </row>
    <row r="1290" spans="1:21">
      <c r="A1290">
        <v>1.1741282018824599</v>
      </c>
      <c r="B1290">
        <v>-0.94498948964190133</v>
      </c>
      <c r="C1290">
        <v>0.13197396290509369</v>
      </c>
      <c r="D1290">
        <v>0.25082824497216438</v>
      </c>
      <c r="E1290">
        <v>0</v>
      </c>
      <c r="F1290">
        <v>0</v>
      </c>
      <c r="G1290">
        <v>0.54451537095499281</v>
      </c>
      <c r="H1290">
        <v>0.61330453191540613</v>
      </c>
      <c r="I1290">
        <v>0.51752842134782329</v>
      </c>
      <c r="J1290">
        <v>0.58241276410905907</v>
      </c>
      <c r="L1290">
        <v>3.089549571769127</v>
      </c>
      <c r="M1290">
        <v>4.4543087475491783</v>
      </c>
      <c r="N1290">
        <v>0.83546144857779936</v>
      </c>
      <c r="P1290">
        <v>7.3257855675705334E-12</v>
      </c>
      <c r="R1290">
        <v>4.6360961263686224</v>
      </c>
      <c r="S1290">
        <v>4.638002539904412</v>
      </c>
      <c r="T1290">
        <v>1</v>
      </c>
      <c r="U1290">
        <v>2.4124146876867902</v>
      </c>
    </row>
    <row r="1291" spans="1:21">
      <c r="A1291">
        <v>1.1774656811556004</v>
      </c>
      <c r="B1291">
        <v>-0.94577983865250703</v>
      </c>
      <c r="C1291">
        <v>0.10978166067414685</v>
      </c>
      <c r="D1291">
        <v>0.77418865624716504</v>
      </c>
      <c r="E1291">
        <v>8.6026923192625337E-2</v>
      </c>
      <c r="F1291">
        <v>0.42653108284471852</v>
      </c>
      <c r="G1291">
        <v>0.6848226147518246</v>
      </c>
      <c r="H1291">
        <v>6.6708668567763375E-3</v>
      </c>
      <c r="I1291">
        <v>0.23555097425734264</v>
      </c>
      <c r="J1291">
        <v>0.10414725501509869</v>
      </c>
      <c r="L1291">
        <v>3.0895481328280541</v>
      </c>
      <c r="M1291">
        <v>4.4543096850774671</v>
      </c>
      <c r="N1291">
        <v>0.83546015883183855</v>
      </c>
      <c r="P1291">
        <v>8.7439192065453519E-12</v>
      </c>
      <c r="R1291">
        <v>4.6360961263686224</v>
      </c>
      <c r="S1291">
        <v>4.638002539904412</v>
      </c>
      <c r="T1291">
        <v>1</v>
      </c>
      <c r="U1291">
        <v>2.4124146876867902</v>
      </c>
    </row>
    <row r="1292" spans="1:21">
      <c r="A1292">
        <v>1.1686656617474873</v>
      </c>
      <c r="B1292">
        <v>-0.94994433523521804</v>
      </c>
      <c r="C1292">
        <v>0.12218420309734908</v>
      </c>
      <c r="D1292">
        <v>0</v>
      </c>
      <c r="E1292">
        <v>0</v>
      </c>
      <c r="F1292">
        <v>0.10741904166124866</v>
      </c>
      <c r="G1292">
        <v>0.88271415658381558</v>
      </c>
      <c r="H1292">
        <v>0.19397754624209235</v>
      </c>
      <c r="I1292">
        <v>0.96723615988350919</v>
      </c>
      <c r="J1292">
        <v>1.0011318409693506</v>
      </c>
      <c r="L1292">
        <v>3.0895493788889907</v>
      </c>
      <c r="M1292">
        <v>4.4543085645450029</v>
      </c>
      <c r="N1292">
        <v>0.8354611229917398</v>
      </c>
      <c r="P1292">
        <v>8.0473264790507255E-12</v>
      </c>
      <c r="R1292">
        <v>4.6360961263686224</v>
      </c>
      <c r="S1292">
        <v>4.638002539904412</v>
      </c>
      <c r="T1292">
        <v>1</v>
      </c>
      <c r="U1292">
        <v>2.4124146876867902</v>
      </c>
    </row>
    <row r="1293" spans="1:21">
      <c r="A1293">
        <v>1.1696438504455564</v>
      </c>
      <c r="B1293">
        <v>-0.94615060623848402</v>
      </c>
      <c r="C1293">
        <v>0.15101833153662686</v>
      </c>
      <c r="D1293">
        <v>0</v>
      </c>
      <c r="E1293">
        <v>0</v>
      </c>
      <c r="F1293">
        <v>0</v>
      </c>
      <c r="G1293">
        <v>0</v>
      </c>
      <c r="H1293">
        <v>0.66799281825457313</v>
      </c>
      <c r="I1293">
        <v>0.23542061914886397</v>
      </c>
      <c r="J1293">
        <v>0.87233264427379931</v>
      </c>
      <c r="L1293">
        <v>3.0895482015318629</v>
      </c>
      <c r="M1293">
        <v>4.4543100566081897</v>
      </c>
      <c r="N1293">
        <v>0.83546040300460989</v>
      </c>
      <c r="P1293">
        <v>7.7303948909996793E-12</v>
      </c>
      <c r="R1293">
        <v>4.6360961263686224</v>
      </c>
      <c r="S1293">
        <v>4.638002539904412</v>
      </c>
      <c r="T1293">
        <v>1</v>
      </c>
      <c r="U1293">
        <v>2.4124146876867902</v>
      </c>
    </row>
    <row r="1294" spans="1:21">
      <c r="A1294">
        <v>1.1835227026875883</v>
      </c>
      <c r="B1294">
        <v>-0.94360315879403578</v>
      </c>
      <c r="C1294">
        <v>0.12295971704579715</v>
      </c>
      <c r="D1294">
        <v>0</v>
      </c>
      <c r="E1294">
        <v>0</v>
      </c>
      <c r="F1294">
        <v>0</v>
      </c>
      <c r="G1294">
        <v>0.9471101328377789</v>
      </c>
      <c r="H1294">
        <v>0.20158685810884694</v>
      </c>
      <c r="I1294">
        <v>0.12001922729467585</v>
      </c>
      <c r="J1294">
        <v>0.25740275661497963</v>
      </c>
      <c r="L1294">
        <v>3.0895481309260036</v>
      </c>
      <c r="M1294">
        <v>4.45430978901644</v>
      </c>
      <c r="N1294">
        <v>0.83546022276735643</v>
      </c>
      <c r="P1294">
        <v>8.4187408371203473E-12</v>
      </c>
      <c r="R1294">
        <v>4.6360961263686224</v>
      </c>
      <c r="S1294">
        <v>4.638002539904412</v>
      </c>
      <c r="T1294">
        <v>1</v>
      </c>
      <c r="U1294">
        <v>2.4124146876867902</v>
      </c>
    </row>
    <row r="1295" spans="1:21">
      <c r="A1295">
        <v>1.1896888781987291</v>
      </c>
      <c r="B1295">
        <v>-0.93622515247672766</v>
      </c>
      <c r="C1295">
        <v>0.13602391990788967</v>
      </c>
      <c r="D1295">
        <v>0</v>
      </c>
      <c r="E1295">
        <v>0.52064274732651838</v>
      </c>
      <c r="F1295">
        <v>0</v>
      </c>
      <c r="G1295">
        <v>0.65430276446418301</v>
      </c>
      <c r="H1295">
        <v>0.83894915292553796</v>
      </c>
      <c r="I1295">
        <v>0.36364566528808012</v>
      </c>
      <c r="J1295">
        <v>1.6700317410771468E-2</v>
      </c>
      <c r="L1295">
        <v>3.089548796236516</v>
      </c>
      <c r="M1295">
        <v>4.4543092580099328</v>
      </c>
      <c r="N1295">
        <v>0.83545996291851177</v>
      </c>
      <c r="P1295">
        <v>1.1198375268626228E-11</v>
      </c>
      <c r="R1295">
        <v>4.6360961263686224</v>
      </c>
      <c r="S1295">
        <v>4.638002539904412</v>
      </c>
      <c r="T1295">
        <v>1</v>
      </c>
      <c r="U1295">
        <v>2.4124146876867902</v>
      </c>
    </row>
    <row r="1296" spans="1:21">
      <c r="A1296">
        <v>1.1798795603641217</v>
      </c>
      <c r="B1296">
        <v>-0.94505433961873175</v>
      </c>
      <c r="C1296">
        <v>0.11181143381265611</v>
      </c>
      <c r="D1296">
        <v>0.72603965228136513</v>
      </c>
      <c r="E1296">
        <v>0</v>
      </c>
      <c r="F1296">
        <v>0.22168788489590621</v>
      </c>
      <c r="G1296">
        <v>0.89972665333850399</v>
      </c>
      <c r="H1296">
        <v>0.26168863317998337</v>
      </c>
      <c r="I1296">
        <v>0.26502236591556566</v>
      </c>
      <c r="J1296">
        <v>0.15176244103543052</v>
      </c>
      <c r="L1296">
        <v>3.0895492089098591</v>
      </c>
      <c r="M1296">
        <v>4.4543089696919944</v>
      </c>
      <c r="N1296">
        <v>0.83546018616912032</v>
      </c>
      <c r="P1296">
        <v>1.1320483922687433E-11</v>
      </c>
      <c r="R1296">
        <v>4.6360961263686224</v>
      </c>
      <c r="S1296">
        <v>4.638002539904412</v>
      </c>
      <c r="T1296">
        <v>1</v>
      </c>
      <c r="U1296">
        <v>2.4124146876867902</v>
      </c>
    </row>
    <row r="1297" spans="1:21">
      <c r="A1297">
        <v>1.1807742594673798</v>
      </c>
      <c r="B1297">
        <v>-0.94285687185082423</v>
      </c>
      <c r="C1297">
        <v>0.13623037636883206</v>
      </c>
      <c r="D1297">
        <v>0.29519247061020282</v>
      </c>
      <c r="E1297">
        <v>0.76918083297365758</v>
      </c>
      <c r="F1297">
        <v>0.15466968504318113</v>
      </c>
      <c r="G1297">
        <v>0.60160340864407191</v>
      </c>
      <c r="H1297">
        <v>0.77000416844046227</v>
      </c>
      <c r="I1297">
        <v>0.72936255522066706</v>
      </c>
      <c r="J1297">
        <v>0.56777677380134706</v>
      </c>
      <c r="L1297">
        <v>3.0895485650117953</v>
      </c>
      <c r="M1297">
        <v>4.4543088344098321</v>
      </c>
      <c r="N1297">
        <v>0.8354631839641522</v>
      </c>
      <c r="P1297">
        <v>1.5619956823063714E-12</v>
      </c>
      <c r="R1297">
        <v>4.6360961263686224</v>
      </c>
      <c r="S1297">
        <v>4.638002539904412</v>
      </c>
      <c r="T1297">
        <v>1</v>
      </c>
      <c r="U1297">
        <v>2.4124146876867902</v>
      </c>
    </row>
    <row r="1298" spans="1:21">
      <c r="A1298">
        <v>1.1732006961235084</v>
      </c>
      <c r="B1298">
        <v>-0.94603249404777112</v>
      </c>
      <c r="C1298">
        <v>0.1114980127348718</v>
      </c>
      <c r="D1298">
        <v>0.39161815404800343</v>
      </c>
      <c r="E1298">
        <v>0</v>
      </c>
      <c r="F1298">
        <v>0</v>
      </c>
      <c r="G1298">
        <v>0.94013917132392599</v>
      </c>
      <c r="H1298">
        <v>0.28906864859259657</v>
      </c>
      <c r="I1298">
        <v>0.95367671769817131</v>
      </c>
      <c r="J1298">
        <v>0.35520678670538025</v>
      </c>
      <c r="L1298">
        <v>3.0895474457906773</v>
      </c>
      <c r="M1298">
        <v>4.4543100301251011</v>
      </c>
      <c r="N1298">
        <v>0.83546230416774769</v>
      </c>
      <c r="P1298">
        <v>8.1474636221256873E-13</v>
      </c>
      <c r="R1298">
        <v>4.6360961263686224</v>
      </c>
      <c r="S1298">
        <v>4.638002539904412</v>
      </c>
      <c r="T1298">
        <v>1</v>
      </c>
      <c r="U1298">
        <v>2.4124146876867902</v>
      </c>
    </row>
    <row r="1299" spans="1:21">
      <c r="A1299">
        <v>1.1898464591917</v>
      </c>
      <c r="B1299">
        <v>-0.94196629254180575</v>
      </c>
      <c r="C1299">
        <v>0.1345582120841301</v>
      </c>
      <c r="D1299">
        <v>0</v>
      </c>
      <c r="E1299">
        <v>0.58922915528879183</v>
      </c>
      <c r="F1299">
        <v>0</v>
      </c>
      <c r="G1299">
        <v>0.9220657084304732</v>
      </c>
      <c r="H1299">
        <v>0.49323004443697704</v>
      </c>
      <c r="I1299">
        <v>8.0115266677089444E-2</v>
      </c>
      <c r="J1299">
        <v>0.32473646361681946</v>
      </c>
      <c r="L1299">
        <v>3.089547448931405</v>
      </c>
      <c r="M1299">
        <v>4.4543100765623489</v>
      </c>
      <c r="N1299">
        <v>0.83546197987735349</v>
      </c>
      <c r="P1299">
        <v>1.4521647551179784E-12</v>
      </c>
      <c r="R1299">
        <v>4.6360961263686224</v>
      </c>
      <c r="S1299">
        <v>4.638002539904412</v>
      </c>
      <c r="T1299">
        <v>1</v>
      </c>
      <c r="U1299">
        <v>2.4124146876867902</v>
      </c>
    </row>
    <row r="1300" spans="1:21">
      <c r="A1300">
        <v>1.1804971287803747</v>
      </c>
      <c r="B1300">
        <v>-0.94623692252485947</v>
      </c>
      <c r="C1300">
        <v>0.13902884085667686</v>
      </c>
      <c r="D1300">
        <v>0</v>
      </c>
      <c r="E1300">
        <v>0</v>
      </c>
      <c r="F1300">
        <v>0</v>
      </c>
      <c r="G1300">
        <v>0.87133233538741106</v>
      </c>
      <c r="H1300">
        <v>0.65008712198025453</v>
      </c>
      <c r="I1300">
        <v>0.10487787922274647</v>
      </c>
      <c r="J1300">
        <v>0.91309884713824474</v>
      </c>
      <c r="L1300">
        <v>3.0895480477563093</v>
      </c>
      <c r="M1300">
        <v>4.4543092915557239</v>
      </c>
      <c r="N1300">
        <v>0.83546337969004181</v>
      </c>
      <c r="P1300">
        <v>4.2740789798943184E-13</v>
      </c>
      <c r="R1300">
        <v>4.6360961263686224</v>
      </c>
      <c r="S1300">
        <v>4.638002539904412</v>
      </c>
      <c r="T1300">
        <v>1</v>
      </c>
      <c r="U1300">
        <v>2.4124146876867902</v>
      </c>
    </row>
    <row r="1301" spans="1:21">
      <c r="A1301">
        <v>1.0403003897269201</v>
      </c>
      <c r="B1301">
        <v>-1.0092582910523364</v>
      </c>
      <c r="C1301">
        <v>0.12742582018894169</v>
      </c>
      <c r="D1301">
        <v>0.35731269891515627</v>
      </c>
      <c r="E1301">
        <v>0</v>
      </c>
      <c r="F1301">
        <v>0.4164688677366557</v>
      </c>
      <c r="G1301">
        <v>0.60273776428957515</v>
      </c>
      <c r="H1301">
        <v>0.73926273304733892</v>
      </c>
      <c r="I1301">
        <v>0.56355931760257127</v>
      </c>
      <c r="J1301">
        <v>0.4080184358323839</v>
      </c>
      <c r="L1301">
        <v>3.0895461645259488</v>
      </c>
      <c r="M1301">
        <v>0.89922381781150196</v>
      </c>
      <c r="N1301">
        <v>3.6313269124744134</v>
      </c>
      <c r="P1301">
        <v>1.6029336723022676E-11</v>
      </c>
      <c r="R1301">
        <v>8.6713853270222589</v>
      </c>
      <c r="S1301">
        <v>8.6904484429411184</v>
      </c>
      <c r="T1301">
        <v>1</v>
      </c>
      <c r="U1301">
        <v>2.5848741110067017</v>
      </c>
    </row>
    <row r="1302" spans="1:21">
      <c r="A1302">
        <v>1.0332762503146842</v>
      </c>
      <c r="B1302">
        <v>-1.0022916405811151</v>
      </c>
      <c r="C1302">
        <v>0.10307309867825241</v>
      </c>
      <c r="D1302">
        <v>0</v>
      </c>
      <c r="E1302">
        <v>0.76147213888961396</v>
      </c>
      <c r="F1302">
        <v>0.24708858495311853</v>
      </c>
      <c r="G1302">
        <v>0.25115263459349485</v>
      </c>
      <c r="H1302">
        <v>0.14255721260310164</v>
      </c>
      <c r="I1302">
        <v>0.9724239239464334</v>
      </c>
      <c r="J1302">
        <v>0.94713068135420719</v>
      </c>
      <c r="L1302">
        <v>3.0895463845290809</v>
      </c>
      <c r="M1302">
        <v>0.89922401186125711</v>
      </c>
      <c r="N1302">
        <v>3.6313266457975137</v>
      </c>
      <c r="P1302">
        <v>1.6870626138618625E-11</v>
      </c>
      <c r="R1302">
        <v>8.6713853270222589</v>
      </c>
      <c r="S1302">
        <v>8.6904484429411184</v>
      </c>
      <c r="T1302">
        <v>1</v>
      </c>
      <c r="U1302">
        <v>2.5848741110067017</v>
      </c>
    </row>
    <row r="1303" spans="1:21">
      <c r="A1303">
        <v>1.0328955455639548</v>
      </c>
      <c r="B1303">
        <v>-1.0070059966871088</v>
      </c>
      <c r="C1303">
        <v>0.11135380511025314</v>
      </c>
      <c r="D1303">
        <v>0.21092206720168116</v>
      </c>
      <c r="E1303">
        <v>0.35870243715466871</v>
      </c>
      <c r="F1303">
        <v>0</v>
      </c>
      <c r="G1303">
        <v>0.52512853351483058</v>
      </c>
      <c r="H1303">
        <v>0.49318235911381064</v>
      </c>
      <c r="I1303">
        <v>0.68163533532608489</v>
      </c>
      <c r="J1303">
        <v>0.91222071939336791</v>
      </c>
      <c r="L1303">
        <v>3.089546329602566</v>
      </c>
      <c r="M1303">
        <v>0.89922393867129347</v>
      </c>
      <c r="N1303">
        <v>3.6313268369734351</v>
      </c>
      <c r="P1303">
        <v>1.6482826776614125E-11</v>
      </c>
      <c r="R1303">
        <v>8.6713853270222589</v>
      </c>
      <c r="S1303">
        <v>8.6904484429411184</v>
      </c>
      <c r="T1303">
        <v>1</v>
      </c>
      <c r="U1303">
        <v>2.5848741110067017</v>
      </c>
    </row>
    <row r="1304" spans="1:21">
      <c r="A1304">
        <v>1.0327549735966643</v>
      </c>
      <c r="B1304">
        <v>-1.0239646312176023</v>
      </c>
      <c r="C1304">
        <v>0.13568793904570023</v>
      </c>
      <c r="D1304">
        <v>0.35832825004627228</v>
      </c>
      <c r="E1304">
        <v>0.32264581309950968</v>
      </c>
      <c r="F1304">
        <v>0.50247523038241304</v>
      </c>
      <c r="G1304">
        <v>0.94878197977696399</v>
      </c>
      <c r="H1304">
        <v>0.34823472800438504</v>
      </c>
      <c r="I1304">
        <v>9.4744435442467315E-2</v>
      </c>
      <c r="J1304">
        <v>0.95731801207579137</v>
      </c>
      <c r="L1304">
        <v>3.0895462100509028</v>
      </c>
      <c r="M1304">
        <v>0.89922396732278487</v>
      </c>
      <c r="N1304">
        <v>3.6313266138074152</v>
      </c>
      <c r="P1304">
        <v>1.6951713164930615E-11</v>
      </c>
      <c r="R1304">
        <v>8.6713853270222589</v>
      </c>
      <c r="S1304">
        <v>8.6904484429411184</v>
      </c>
      <c r="T1304">
        <v>1</v>
      </c>
      <c r="U1304">
        <v>2.5848741110067017</v>
      </c>
    </row>
    <row r="1305" spans="1:21">
      <c r="A1305">
        <v>1.0421047773047907</v>
      </c>
      <c r="B1305">
        <v>-1.0059296331611276</v>
      </c>
      <c r="C1305">
        <v>0.11645456121873396</v>
      </c>
      <c r="D1305">
        <v>0.23419137383248112</v>
      </c>
      <c r="E1305">
        <v>0</v>
      </c>
      <c r="F1305">
        <v>0.248247206403683</v>
      </c>
      <c r="G1305">
        <v>0.55053650393793829</v>
      </c>
      <c r="H1305">
        <v>0.39062069529517501</v>
      </c>
      <c r="I1305">
        <v>0.71640599110840042</v>
      </c>
      <c r="J1305">
        <v>0.19099789142173429</v>
      </c>
      <c r="L1305">
        <v>3.0895463163327879</v>
      </c>
      <c r="M1305">
        <v>0.89922397746908356</v>
      </c>
      <c r="N1305">
        <v>3.6313267117429677</v>
      </c>
      <c r="P1305">
        <v>1.6772848907484243E-11</v>
      </c>
      <c r="R1305">
        <v>8.6713853270222589</v>
      </c>
      <c r="S1305">
        <v>8.6904484429411184</v>
      </c>
      <c r="T1305">
        <v>1</v>
      </c>
      <c r="U1305">
        <v>2.5848741110067017</v>
      </c>
    </row>
    <row r="1306" spans="1:21">
      <c r="A1306">
        <v>1.0372746946056892</v>
      </c>
      <c r="B1306">
        <v>-1.00725331487396</v>
      </c>
      <c r="C1306">
        <v>0.10795691726445986</v>
      </c>
      <c r="D1306">
        <v>0.5503064571379952</v>
      </c>
      <c r="E1306">
        <v>0</v>
      </c>
      <c r="F1306">
        <v>0.51717542426790275</v>
      </c>
      <c r="G1306">
        <v>0.63658982740888803</v>
      </c>
      <c r="H1306">
        <v>0.4884726573944666</v>
      </c>
      <c r="I1306">
        <v>0.57282040874369711</v>
      </c>
      <c r="J1306">
        <v>0.87820692908082298</v>
      </c>
      <c r="L1306">
        <v>3.0895475841183266</v>
      </c>
      <c r="M1306">
        <v>0.89922007405630644</v>
      </c>
      <c r="N1306">
        <v>3.631326151936844</v>
      </c>
      <c r="P1306">
        <v>2.0223954216609442E-13</v>
      </c>
      <c r="R1306">
        <v>8.6713853270222589</v>
      </c>
      <c r="S1306">
        <v>8.6904484429411184</v>
      </c>
      <c r="T1306">
        <v>1</v>
      </c>
      <c r="U1306">
        <v>2.5848741110067017</v>
      </c>
    </row>
    <row r="1307" spans="1:21">
      <c r="A1307">
        <v>1.0371864293419593</v>
      </c>
      <c r="B1307">
        <v>-1.0052540898564259</v>
      </c>
      <c r="C1307">
        <v>0.11659704262544558</v>
      </c>
      <c r="D1307">
        <v>0.78933259986142534</v>
      </c>
      <c r="E1307">
        <v>0.11074905305241665</v>
      </c>
      <c r="F1307">
        <v>0.24501314195162147</v>
      </c>
      <c r="G1307">
        <v>0.20663961820076773</v>
      </c>
      <c r="H1307">
        <v>0.71958386892269532</v>
      </c>
      <c r="I1307">
        <v>0.25397763260451622</v>
      </c>
      <c r="J1307">
        <v>0.38341355158178031</v>
      </c>
      <c r="L1307">
        <v>3.0895464077763775</v>
      </c>
      <c r="M1307">
        <v>0.89922397724462133</v>
      </c>
      <c r="N1307">
        <v>3.6313268290163099</v>
      </c>
      <c r="P1307">
        <v>1.6596585467444174E-11</v>
      </c>
      <c r="R1307">
        <v>8.6713853270222589</v>
      </c>
      <c r="S1307">
        <v>8.6904484429411184</v>
      </c>
      <c r="T1307">
        <v>1</v>
      </c>
      <c r="U1307">
        <v>2.5848741110067017</v>
      </c>
    </row>
    <row r="1308" spans="1:21">
      <c r="A1308">
        <v>1.0425448695619082</v>
      </c>
      <c r="B1308">
        <v>-1.010360908750944</v>
      </c>
      <c r="C1308">
        <v>0.13938346288106343</v>
      </c>
      <c r="D1308">
        <v>0</v>
      </c>
      <c r="E1308">
        <v>0</v>
      </c>
      <c r="F1308">
        <v>0.2808329441220741</v>
      </c>
      <c r="G1308">
        <v>0.66459889914285797</v>
      </c>
      <c r="H1308">
        <v>0.80863928020337439</v>
      </c>
      <c r="I1308">
        <v>0.69862425188159616</v>
      </c>
      <c r="J1308">
        <v>0.12195902892231204</v>
      </c>
      <c r="L1308">
        <v>3.0895463201295557</v>
      </c>
      <c r="M1308">
        <v>0.89922400410799863</v>
      </c>
      <c r="N1308">
        <v>3.6313265921004283</v>
      </c>
      <c r="P1308">
        <v>1.6959868408797444E-11</v>
      </c>
      <c r="R1308">
        <v>8.6713853270222589</v>
      </c>
      <c r="S1308">
        <v>8.6904484429411184</v>
      </c>
      <c r="T1308">
        <v>1</v>
      </c>
      <c r="U1308">
        <v>2.5848741110067017</v>
      </c>
    </row>
    <row r="1309" spans="1:21">
      <c r="A1309">
        <v>1.0356287459633442</v>
      </c>
      <c r="B1309">
        <v>-1.0068179813584839</v>
      </c>
      <c r="C1309">
        <v>0.13096074003326641</v>
      </c>
      <c r="D1309">
        <v>0</v>
      </c>
      <c r="E1309">
        <v>0.5176849200789907</v>
      </c>
      <c r="F1309">
        <v>0</v>
      </c>
      <c r="G1309">
        <v>0.20152955494909788</v>
      </c>
      <c r="H1309">
        <v>0.63451973013199459</v>
      </c>
      <c r="I1309">
        <v>0.55796605696678736</v>
      </c>
      <c r="J1309">
        <v>0.3403151138812755</v>
      </c>
      <c r="L1309">
        <v>3.0895463407405468</v>
      </c>
      <c r="M1309">
        <v>0.89922394400618644</v>
      </c>
      <c r="N1309">
        <v>3.631326798852911</v>
      </c>
      <c r="P1309">
        <v>1.6480702662540647E-11</v>
      </c>
      <c r="R1309">
        <v>8.6713853270222589</v>
      </c>
      <c r="S1309">
        <v>8.6904484429411184</v>
      </c>
      <c r="T1309">
        <v>1</v>
      </c>
      <c r="U1309">
        <v>2.5848741110067017</v>
      </c>
    </row>
    <row r="1310" spans="1:21">
      <c r="A1310">
        <v>1.0404219128104828</v>
      </c>
      <c r="B1310">
        <v>-1.0086539928217988</v>
      </c>
      <c r="C1310">
        <v>0.1172130029303852</v>
      </c>
      <c r="D1310">
        <v>0.60673751755192773</v>
      </c>
      <c r="E1310">
        <v>0</v>
      </c>
      <c r="F1310">
        <v>4.3071101572644988E-2</v>
      </c>
      <c r="G1310">
        <v>0.85666374132482748</v>
      </c>
      <c r="H1310">
        <v>0.86436682322280012</v>
      </c>
      <c r="I1310">
        <v>0.92032955630360846</v>
      </c>
      <c r="J1310">
        <v>0.42712642808243334</v>
      </c>
      <c r="L1310">
        <v>3.0895463659085163</v>
      </c>
      <c r="M1310">
        <v>0.89922399884348569</v>
      </c>
      <c r="N1310">
        <v>3.6313267523786874</v>
      </c>
      <c r="P1310">
        <v>1.6832707434804643E-11</v>
      </c>
      <c r="R1310">
        <v>8.6713853270222589</v>
      </c>
      <c r="S1310">
        <v>8.6904484429411184</v>
      </c>
      <c r="T1310">
        <v>1</v>
      </c>
      <c r="U1310">
        <v>2.5848741110067017</v>
      </c>
    </row>
    <row r="1311" spans="1:21">
      <c r="A1311">
        <v>1.0389636794055563</v>
      </c>
      <c r="B1311">
        <v>-0.99872428272946356</v>
      </c>
      <c r="C1311">
        <v>0.1068657618429215</v>
      </c>
      <c r="D1311">
        <v>0.64755293236876943</v>
      </c>
      <c r="E1311">
        <v>0.40771361330226941</v>
      </c>
      <c r="F1311">
        <v>0.42332187909382196</v>
      </c>
      <c r="G1311">
        <v>0</v>
      </c>
      <c r="H1311">
        <v>0.55796062244848266</v>
      </c>
      <c r="I1311">
        <v>0.71210411839587906</v>
      </c>
      <c r="J1311">
        <v>0.37619444558990134</v>
      </c>
      <c r="L1311">
        <v>3.0895467204007012</v>
      </c>
      <c r="M1311">
        <v>0.89922418238065094</v>
      </c>
      <c r="N1311">
        <v>3.63132624036216</v>
      </c>
      <c r="P1311">
        <v>1.7710010403670102E-11</v>
      </c>
      <c r="R1311">
        <v>8.6713853270222589</v>
      </c>
      <c r="S1311">
        <v>8.6904484429411184</v>
      </c>
      <c r="T1311">
        <v>1</v>
      </c>
      <c r="U1311">
        <v>2.5848741110067017</v>
      </c>
    </row>
    <row r="1312" spans="1:21">
      <c r="A1312">
        <v>1.0340435382297604</v>
      </c>
      <c r="B1312">
        <v>-0.9950994165408783</v>
      </c>
      <c r="C1312">
        <v>9.7952581642676784E-2</v>
      </c>
      <c r="D1312">
        <v>0</v>
      </c>
      <c r="E1312">
        <v>5.3018198740988592E-2</v>
      </c>
      <c r="F1312">
        <v>0</v>
      </c>
      <c r="G1312">
        <v>0.25097787292437895</v>
      </c>
      <c r="H1312">
        <v>0.64030240579077102</v>
      </c>
      <c r="I1312">
        <v>0.87245724327685192</v>
      </c>
      <c r="J1312">
        <v>1.0235123240839998</v>
      </c>
      <c r="L1312">
        <v>3.0895465446434516</v>
      </c>
      <c r="M1312">
        <v>0.89922409151537264</v>
      </c>
      <c r="N1312">
        <v>3.6313264712440949</v>
      </c>
      <c r="P1312">
        <v>1.7176083157510627E-11</v>
      </c>
      <c r="R1312">
        <v>8.6713853270222589</v>
      </c>
      <c r="S1312">
        <v>8.6904484429411184</v>
      </c>
      <c r="T1312">
        <v>1</v>
      </c>
      <c r="U1312">
        <v>2.5848741110067017</v>
      </c>
    </row>
    <row r="1313" spans="1:21">
      <c r="A1313">
        <v>1.0364364988118455</v>
      </c>
      <c r="B1313">
        <v>-1.014866457239695</v>
      </c>
      <c r="C1313">
        <v>0.13544262937471221</v>
      </c>
      <c r="D1313">
        <v>0.17837653275210175</v>
      </c>
      <c r="E1313">
        <v>0</v>
      </c>
      <c r="F1313">
        <v>0</v>
      </c>
      <c r="G1313">
        <v>0.62514092780310626</v>
      </c>
      <c r="H1313">
        <v>0.5767222275842746</v>
      </c>
      <c r="I1313">
        <v>0.12049537332882573</v>
      </c>
      <c r="J1313">
        <v>0.33392806257597579</v>
      </c>
      <c r="L1313">
        <v>3.0895462443160344</v>
      </c>
      <c r="M1313">
        <v>0.8992239662789806</v>
      </c>
      <c r="N1313">
        <v>3.6313266153170192</v>
      </c>
      <c r="P1313">
        <v>1.6853931595941076E-11</v>
      </c>
      <c r="R1313">
        <v>8.6713853270222589</v>
      </c>
      <c r="S1313">
        <v>8.6904484429411184</v>
      </c>
      <c r="T1313">
        <v>1</v>
      </c>
      <c r="U1313">
        <v>2.5848741110067017</v>
      </c>
    </row>
    <row r="1314" spans="1:21">
      <c r="A1314">
        <v>1.0395697192407536</v>
      </c>
      <c r="B1314">
        <v>-1.006946357134201</v>
      </c>
      <c r="C1314">
        <v>0.10062218104784429</v>
      </c>
      <c r="D1314">
        <v>0</v>
      </c>
      <c r="E1314">
        <v>0</v>
      </c>
      <c r="F1314">
        <v>0</v>
      </c>
      <c r="G1314">
        <v>0.9120603608032164</v>
      </c>
      <c r="H1314">
        <v>2.3400967479720904E-2</v>
      </c>
      <c r="I1314">
        <v>1.0064240781321561</v>
      </c>
      <c r="J1314">
        <v>0.59339950081574389</v>
      </c>
      <c r="L1314">
        <v>3.0895464174088114</v>
      </c>
      <c r="M1314">
        <v>0.89922408113860175</v>
      </c>
      <c r="N1314">
        <v>3.6313265090178244</v>
      </c>
      <c r="P1314">
        <v>1.7352944767524567E-11</v>
      </c>
      <c r="R1314">
        <v>8.6713853270222589</v>
      </c>
      <c r="S1314">
        <v>8.6904484429411184</v>
      </c>
      <c r="T1314">
        <v>1</v>
      </c>
      <c r="U1314">
        <v>2.5848741110067017</v>
      </c>
    </row>
    <row r="1315" spans="1:21">
      <c r="A1315">
        <v>1.0327310203482367</v>
      </c>
      <c r="B1315">
        <v>-1.0131927851259943</v>
      </c>
      <c r="C1315">
        <v>0.11163297352780378</v>
      </c>
      <c r="D1315">
        <v>0.54559083331449132</v>
      </c>
      <c r="E1315">
        <v>0</v>
      </c>
      <c r="F1315">
        <v>0</v>
      </c>
      <c r="G1315">
        <v>0.6427954060786677</v>
      </c>
      <c r="H1315">
        <v>0.25822393659122472</v>
      </c>
      <c r="I1315">
        <v>3.5475518866886629E-2</v>
      </c>
      <c r="J1315">
        <v>0.77298842827839265</v>
      </c>
      <c r="L1315">
        <v>3.0895465724490037</v>
      </c>
      <c r="M1315">
        <v>0.89922416045174647</v>
      </c>
      <c r="N1315">
        <v>3.6313263836419516</v>
      </c>
      <c r="P1315">
        <v>1.7711076661216843E-11</v>
      </c>
      <c r="R1315">
        <v>8.6713853270222589</v>
      </c>
      <c r="S1315">
        <v>8.6904484429411184</v>
      </c>
      <c r="T1315">
        <v>1</v>
      </c>
      <c r="U1315">
        <v>2.5848741110067017</v>
      </c>
    </row>
    <row r="1316" spans="1:21">
      <c r="A1316">
        <v>1.0402349623793405</v>
      </c>
      <c r="B1316">
        <v>-1.009124803190091</v>
      </c>
      <c r="C1316">
        <v>0.12896264977988814</v>
      </c>
      <c r="D1316">
        <v>0.20474991740354925</v>
      </c>
      <c r="E1316">
        <v>0.11029272107507285</v>
      </c>
      <c r="F1316">
        <v>0.60355999666494231</v>
      </c>
      <c r="G1316">
        <v>0.16346218120740763</v>
      </c>
      <c r="H1316">
        <v>0.18425315969770922</v>
      </c>
      <c r="I1316">
        <v>3.5801118491080509E-2</v>
      </c>
      <c r="J1316">
        <v>9.5869203311594042E-2</v>
      </c>
      <c r="L1316">
        <v>3.0895475461755981</v>
      </c>
      <c r="M1316">
        <v>0.89922409496811606</v>
      </c>
      <c r="N1316">
        <v>3.6313254001253066</v>
      </c>
      <c r="P1316">
        <v>1.7642286195448288E-11</v>
      </c>
      <c r="R1316">
        <v>8.6713853270222589</v>
      </c>
      <c r="S1316">
        <v>8.6904484429411184</v>
      </c>
      <c r="T1316">
        <v>1</v>
      </c>
      <c r="U1316">
        <v>2.5848741110067017</v>
      </c>
    </row>
    <row r="1317" spans="1:21">
      <c r="A1317">
        <v>1.0362658078984384</v>
      </c>
      <c r="B1317">
        <v>-1.000496406477392</v>
      </c>
      <c r="C1317">
        <v>0.12552051798969424</v>
      </c>
      <c r="D1317">
        <v>0</v>
      </c>
      <c r="E1317">
        <v>0</v>
      </c>
      <c r="F1317">
        <v>0</v>
      </c>
      <c r="G1317">
        <v>0.11450150361831445</v>
      </c>
      <c r="H1317">
        <v>0.93216751400073627</v>
      </c>
      <c r="I1317">
        <v>0.43114142510051129</v>
      </c>
      <c r="J1317">
        <v>0.45869542129721985</v>
      </c>
      <c r="L1317">
        <v>3.0895461991581832</v>
      </c>
      <c r="M1317">
        <v>0.8992238750873498</v>
      </c>
      <c r="N1317">
        <v>3.631326710957246</v>
      </c>
      <c r="P1317">
        <v>1.6282488826285144E-11</v>
      </c>
      <c r="R1317">
        <v>8.6713853270222589</v>
      </c>
      <c r="S1317">
        <v>8.6904484429411184</v>
      </c>
      <c r="T1317">
        <v>1</v>
      </c>
      <c r="U1317">
        <v>2.5848741110067017</v>
      </c>
    </row>
    <row r="1318" spans="1:21">
      <c r="A1318">
        <v>1.0407644904187434</v>
      </c>
      <c r="B1318">
        <v>-1.003557048614562</v>
      </c>
      <c r="C1318">
        <v>0.10187480852549151</v>
      </c>
      <c r="D1318">
        <v>0.68145185105940043</v>
      </c>
      <c r="E1318">
        <v>0.16427480101484629</v>
      </c>
      <c r="F1318">
        <v>0.29662963653950364</v>
      </c>
      <c r="G1318">
        <v>0.28513278732349218</v>
      </c>
      <c r="H1318">
        <v>0.12420656212764546</v>
      </c>
      <c r="I1318">
        <v>0.53482662107631973</v>
      </c>
      <c r="J1318">
        <v>0.17353232761330609</v>
      </c>
      <c r="L1318">
        <v>3.0895476074126695</v>
      </c>
      <c r="M1318">
        <v>0.89922404118354626</v>
      </c>
      <c r="N1318">
        <v>3.6313253049769711</v>
      </c>
      <c r="P1318">
        <v>1.7454358724044577E-11</v>
      </c>
      <c r="R1318">
        <v>8.6713853270222589</v>
      </c>
      <c r="S1318">
        <v>8.6904484429411184</v>
      </c>
      <c r="T1318">
        <v>1</v>
      </c>
      <c r="U1318">
        <v>2.5848741110067017</v>
      </c>
    </row>
    <row r="1319" spans="1:21">
      <c r="A1319">
        <v>1.0408082604262561</v>
      </c>
      <c r="B1319">
        <v>-1.0186358570212439</v>
      </c>
      <c r="C1319">
        <v>0.13755668267776144</v>
      </c>
      <c r="D1319">
        <v>0</v>
      </c>
      <c r="E1319">
        <v>0.78593713260956366</v>
      </c>
      <c r="F1319">
        <v>0.40346659518347711</v>
      </c>
      <c r="G1319">
        <v>0.73908389052936896</v>
      </c>
      <c r="H1319">
        <v>5.2121029241902199E-2</v>
      </c>
      <c r="I1319">
        <v>0.82547788363653085</v>
      </c>
      <c r="J1319">
        <v>8.3511312633240811E-2</v>
      </c>
      <c r="L1319">
        <v>3.0895463268171031</v>
      </c>
      <c r="M1319">
        <v>0.89922397486684269</v>
      </c>
      <c r="N1319">
        <v>3.6313268079893191</v>
      </c>
      <c r="P1319">
        <v>1.6758009887326588E-11</v>
      </c>
      <c r="R1319">
        <v>8.6713853270222589</v>
      </c>
      <c r="S1319">
        <v>8.6904484429411184</v>
      </c>
      <c r="T1319">
        <v>1</v>
      </c>
      <c r="U1319">
        <v>2.5848741110067017</v>
      </c>
    </row>
    <row r="1320" spans="1:21">
      <c r="A1320">
        <v>1.0342826023214384</v>
      </c>
      <c r="B1320">
        <v>-1.0225407049824702</v>
      </c>
      <c r="C1320">
        <v>0.15950872231922664</v>
      </c>
      <c r="D1320">
        <v>0</v>
      </c>
      <c r="E1320">
        <v>0.8777044788084073</v>
      </c>
      <c r="F1320">
        <v>0</v>
      </c>
      <c r="G1320">
        <v>0.75876523153690345</v>
      </c>
      <c r="H1320">
        <v>0.90167496223032439</v>
      </c>
      <c r="I1320">
        <v>0.63076496017799821</v>
      </c>
      <c r="J1320">
        <v>0.39177421418380159</v>
      </c>
      <c r="L1320">
        <v>3.0895465659680625</v>
      </c>
      <c r="M1320">
        <v>0.89922414995673372</v>
      </c>
      <c r="N1320">
        <v>3.631326402120147</v>
      </c>
      <c r="P1320">
        <v>1.7630228913432946E-11</v>
      </c>
      <c r="R1320">
        <v>8.6713853270222589</v>
      </c>
      <c r="S1320">
        <v>8.6904484429411184</v>
      </c>
      <c r="T1320">
        <v>1</v>
      </c>
      <c r="U1320">
        <v>2.5848741110067017</v>
      </c>
    </row>
    <row r="1321" spans="1:21">
      <c r="A1321">
        <v>1.0335696110303252</v>
      </c>
      <c r="B1321">
        <v>-1.0025003082030999</v>
      </c>
      <c r="C1321">
        <v>9.4810549330056018E-2</v>
      </c>
      <c r="D1321">
        <v>0.67389632410039113</v>
      </c>
      <c r="E1321">
        <v>0.20326300320687693</v>
      </c>
      <c r="F1321">
        <v>0</v>
      </c>
      <c r="G1321">
        <v>0.28965620528706015</v>
      </c>
      <c r="H1321">
        <v>0.31212688475395101</v>
      </c>
      <c r="I1321">
        <v>0.45127353652250796</v>
      </c>
      <c r="J1321">
        <v>0.77653933865915314</v>
      </c>
      <c r="L1321">
        <v>3.0895463205459719</v>
      </c>
      <c r="M1321">
        <v>0.89922394687301666</v>
      </c>
      <c r="N1321">
        <v>3.6313267797599789</v>
      </c>
      <c r="P1321">
        <v>1.6544343372426812E-11</v>
      </c>
      <c r="R1321">
        <v>8.6713853270222589</v>
      </c>
      <c r="S1321">
        <v>8.6904484429411184</v>
      </c>
      <c r="T1321">
        <v>1</v>
      </c>
      <c r="U1321">
        <v>2.5848741110067017</v>
      </c>
    </row>
    <row r="1322" spans="1:21">
      <c r="A1322">
        <v>1.0368462627189863</v>
      </c>
      <c r="B1322">
        <v>-1.015074358347672</v>
      </c>
      <c r="C1322">
        <v>0.12772369845449419</v>
      </c>
      <c r="D1322">
        <v>0</v>
      </c>
      <c r="E1322">
        <v>0</v>
      </c>
      <c r="F1322">
        <v>0.25299592140006921</v>
      </c>
      <c r="G1322">
        <v>0.89563302366064823</v>
      </c>
      <c r="H1322">
        <v>0.40806909783421985</v>
      </c>
      <c r="I1322">
        <v>0.46080849839235483</v>
      </c>
      <c r="J1322">
        <v>0.70291888239875866</v>
      </c>
      <c r="L1322">
        <v>3.0895465959066368</v>
      </c>
      <c r="M1322">
        <v>0.89922416940260452</v>
      </c>
      <c r="N1322">
        <v>3.6313263830974862</v>
      </c>
      <c r="P1322">
        <v>1.7739973421436621E-11</v>
      </c>
      <c r="R1322">
        <v>8.6713853270222589</v>
      </c>
      <c r="S1322">
        <v>8.6904484429411184</v>
      </c>
      <c r="T1322">
        <v>1</v>
      </c>
      <c r="U1322">
        <v>2.5848741110067017</v>
      </c>
    </row>
    <row r="1323" spans="1:21">
      <c r="A1323">
        <v>1.0354074789107806</v>
      </c>
      <c r="B1323">
        <v>-1.016443885884085</v>
      </c>
      <c r="C1323">
        <v>0.13928479348413281</v>
      </c>
      <c r="D1323">
        <v>0.15242699655467123</v>
      </c>
      <c r="E1323">
        <v>0</v>
      </c>
      <c r="F1323">
        <v>6.9599073885160082E-2</v>
      </c>
      <c r="G1323">
        <v>0.76863633514011831</v>
      </c>
      <c r="H1323">
        <v>0.77415579601950013</v>
      </c>
      <c r="I1323">
        <v>0.21034945040987979</v>
      </c>
      <c r="J1323">
        <v>0.5666849086324669</v>
      </c>
      <c r="L1323">
        <v>3.0895463006715498</v>
      </c>
      <c r="M1323">
        <v>0.89922397660584796</v>
      </c>
      <c r="N1323">
        <v>3.6313267128881233</v>
      </c>
      <c r="P1323">
        <v>1.680480971000052E-11</v>
      </c>
      <c r="R1323">
        <v>8.6713853270222589</v>
      </c>
      <c r="S1323">
        <v>8.6904484429411184</v>
      </c>
      <c r="T1323">
        <v>1</v>
      </c>
      <c r="U1323">
        <v>2.5848741110067017</v>
      </c>
    </row>
    <row r="1324" spans="1:21">
      <c r="A1324">
        <v>1.0346696302941547</v>
      </c>
      <c r="B1324">
        <v>-0.99974027010413991</v>
      </c>
      <c r="C1324">
        <v>0.10281940389242741</v>
      </c>
      <c r="D1324">
        <v>0</v>
      </c>
      <c r="E1324">
        <v>0</v>
      </c>
      <c r="F1324">
        <v>9.5436673087177598E-2</v>
      </c>
      <c r="G1324">
        <v>0.25033514694866549</v>
      </c>
      <c r="H1324">
        <v>0.32490236178952381</v>
      </c>
      <c r="I1324">
        <v>0.50307074294523746</v>
      </c>
      <c r="J1324">
        <v>0.81878873552539233</v>
      </c>
      <c r="L1324">
        <v>3.0895465439188792</v>
      </c>
      <c r="M1324">
        <v>0.89922411734985075</v>
      </c>
      <c r="N1324">
        <v>3.6313263835180227</v>
      </c>
      <c r="P1324">
        <v>1.7416121474715641E-11</v>
      </c>
      <c r="R1324">
        <v>8.6713853270222589</v>
      </c>
      <c r="S1324">
        <v>8.6904484429411184</v>
      </c>
      <c r="T1324">
        <v>1</v>
      </c>
      <c r="U1324">
        <v>2.5848741110067017</v>
      </c>
    </row>
    <row r="1325" spans="1:21">
      <c r="A1325">
        <v>1.0329789266610012</v>
      </c>
      <c r="B1325">
        <v>-1.0014343389228548</v>
      </c>
      <c r="C1325">
        <v>0.11094242867615388</v>
      </c>
      <c r="D1325">
        <v>0.5739033202793391</v>
      </c>
      <c r="E1325">
        <v>0</v>
      </c>
      <c r="F1325">
        <v>0.10223207802208351</v>
      </c>
      <c r="G1325">
        <v>0</v>
      </c>
      <c r="H1325">
        <v>0.69461558394437006</v>
      </c>
      <c r="I1325">
        <v>1.6148103036946276E-2</v>
      </c>
      <c r="J1325">
        <v>0.6834977792160144</v>
      </c>
      <c r="L1325">
        <v>3.0895460281029461</v>
      </c>
      <c r="M1325">
        <v>0.89922371647725408</v>
      </c>
      <c r="N1325">
        <v>3.6313268707586084</v>
      </c>
      <c r="P1325">
        <v>1.5648328174740883E-11</v>
      </c>
      <c r="R1325">
        <v>8.6713853270222589</v>
      </c>
      <c r="S1325">
        <v>8.6904484429411184</v>
      </c>
      <c r="T1325">
        <v>1</v>
      </c>
      <c r="U1325">
        <v>2.5848741110067017</v>
      </c>
    </row>
    <row r="1326" spans="1:21">
      <c r="A1326">
        <v>1.0367550877411744</v>
      </c>
      <c r="B1326">
        <v>-1.0023324802697731</v>
      </c>
      <c r="C1326">
        <v>0.10487150363528762</v>
      </c>
      <c r="D1326">
        <v>0</v>
      </c>
      <c r="E1326">
        <v>0</v>
      </c>
      <c r="F1326">
        <v>0</v>
      </c>
      <c r="G1326">
        <v>0.37174707146416625</v>
      </c>
      <c r="H1326">
        <v>0.17758145569856093</v>
      </c>
      <c r="I1326">
        <v>0.53831772535788058</v>
      </c>
      <c r="J1326">
        <v>0.55200404186724739</v>
      </c>
      <c r="L1326">
        <v>3.089546369247588</v>
      </c>
      <c r="M1326">
        <v>0.89922398302047446</v>
      </c>
      <c r="N1326">
        <v>3.6313267588031333</v>
      </c>
      <c r="P1326">
        <v>1.6702816906389833E-11</v>
      </c>
      <c r="R1326">
        <v>8.6713853270222589</v>
      </c>
      <c r="S1326">
        <v>8.6904484429411184</v>
      </c>
      <c r="T1326">
        <v>1</v>
      </c>
      <c r="U1326">
        <v>2.5848741110067017</v>
      </c>
    </row>
    <row r="1327" spans="1:21">
      <c r="A1327">
        <v>1.0377720520211566</v>
      </c>
      <c r="B1327">
        <v>-1.0047024065910823</v>
      </c>
      <c r="C1327">
        <v>0.10817833921594343</v>
      </c>
      <c r="D1327">
        <v>0.36461336277293976</v>
      </c>
      <c r="E1327">
        <v>0</v>
      </c>
      <c r="F1327">
        <v>0</v>
      </c>
      <c r="G1327">
        <v>0.18522995075043736</v>
      </c>
      <c r="H1327">
        <v>6.2844448440888823E-2</v>
      </c>
      <c r="I1327">
        <v>0.12091813790192447</v>
      </c>
      <c r="J1327">
        <v>0.15656483739480273</v>
      </c>
      <c r="L1327">
        <v>3.0895462452550486</v>
      </c>
      <c r="M1327">
        <v>0.89922394679678308</v>
      </c>
      <c r="N1327">
        <v>3.6313266603162311</v>
      </c>
      <c r="P1327">
        <v>1.6703538551688654E-11</v>
      </c>
      <c r="R1327">
        <v>8.6713853270222589</v>
      </c>
      <c r="S1327">
        <v>8.6904484429411184</v>
      </c>
      <c r="T1327">
        <v>1</v>
      </c>
      <c r="U1327">
        <v>2.5848741110067017</v>
      </c>
    </row>
    <row r="1328" spans="1:21">
      <c r="A1328">
        <v>1.035333245631578</v>
      </c>
      <c r="B1328">
        <v>-1.0068531915012924</v>
      </c>
      <c r="C1328">
        <v>0.11841091525522755</v>
      </c>
      <c r="D1328">
        <v>0</v>
      </c>
      <c r="E1328">
        <v>0</v>
      </c>
      <c r="F1328">
        <v>0.54363932087825639</v>
      </c>
      <c r="G1328">
        <v>0.24702152276841244</v>
      </c>
      <c r="H1328">
        <v>0.18657538158726378</v>
      </c>
      <c r="I1328">
        <v>5.6020823868928545E-2</v>
      </c>
      <c r="J1328">
        <v>0.73764853238619443</v>
      </c>
      <c r="L1328">
        <v>3.0895464449924979</v>
      </c>
      <c r="M1328">
        <v>0.89922407784686242</v>
      </c>
      <c r="N1328">
        <v>3.6313264853377483</v>
      </c>
      <c r="P1328">
        <v>1.727042108100181E-11</v>
      </c>
      <c r="R1328">
        <v>8.6713853270222589</v>
      </c>
      <c r="S1328">
        <v>8.6904484429411184</v>
      </c>
      <c r="T1328">
        <v>1</v>
      </c>
      <c r="U1328">
        <v>2.5848741110067017</v>
      </c>
    </row>
    <row r="1329" spans="1:21">
      <c r="A1329">
        <v>1.0342029039498879</v>
      </c>
      <c r="B1329">
        <v>-0.99808388588762487</v>
      </c>
      <c r="C1329">
        <v>8.6700940642452942E-2</v>
      </c>
      <c r="D1329">
        <v>0.33193454835667308</v>
      </c>
      <c r="E1329">
        <v>4.312852227058743E-2</v>
      </c>
      <c r="F1329">
        <v>0</v>
      </c>
      <c r="G1329">
        <v>0.20396816865117506</v>
      </c>
      <c r="H1329">
        <v>5.1614774759360237E-2</v>
      </c>
      <c r="I1329">
        <v>0.48634993391594095</v>
      </c>
      <c r="J1329">
        <v>0.80714848842014353</v>
      </c>
      <c r="L1329">
        <v>3.0895464475892691</v>
      </c>
      <c r="M1329">
        <v>0.89922405649697479</v>
      </c>
      <c r="N1329">
        <v>3.6313265007725875</v>
      </c>
      <c r="P1329">
        <v>1.7090788234662243E-11</v>
      </c>
      <c r="R1329">
        <v>8.6713853270222589</v>
      </c>
      <c r="S1329">
        <v>8.6904484429411184</v>
      </c>
      <c r="T1329">
        <v>1</v>
      </c>
      <c r="U1329">
        <v>2.5848741110067017</v>
      </c>
    </row>
    <row r="1330" spans="1:21">
      <c r="A1330">
        <v>1.0393064810315904</v>
      </c>
      <c r="B1330">
        <v>-1.0123207621354466</v>
      </c>
      <c r="C1330">
        <v>0.12858326904319772</v>
      </c>
      <c r="D1330">
        <v>0.15646762942396336</v>
      </c>
      <c r="E1330">
        <v>0.13218953217598284</v>
      </c>
      <c r="F1330">
        <v>0</v>
      </c>
      <c r="G1330">
        <v>0.67619246488957618</v>
      </c>
      <c r="H1330">
        <v>0.45824244125882357</v>
      </c>
      <c r="I1330">
        <v>0.5369264834218973</v>
      </c>
      <c r="J1330">
        <v>0.18859593621368936</v>
      </c>
      <c r="L1330">
        <v>3.0895463675476478</v>
      </c>
      <c r="M1330">
        <v>0.89922404977318748</v>
      </c>
      <c r="N1330">
        <v>3.631326498565207</v>
      </c>
      <c r="P1330">
        <v>1.7218296114252201E-11</v>
      </c>
      <c r="R1330">
        <v>8.6713853270222589</v>
      </c>
      <c r="S1330">
        <v>8.6904484429411184</v>
      </c>
      <c r="T1330">
        <v>1</v>
      </c>
      <c r="U1330">
        <v>2.5848741110067017</v>
      </c>
    </row>
    <row r="1331" spans="1:21">
      <c r="A1331">
        <v>0.87344194566824795</v>
      </c>
      <c r="B1331">
        <v>-0.93727256650212809</v>
      </c>
      <c r="C1331">
        <v>-0.28043730464970928</v>
      </c>
      <c r="D1331">
        <v>0.49879385125381603</v>
      </c>
      <c r="E1331">
        <v>0</v>
      </c>
      <c r="F1331">
        <v>9.7713671421501572E-2</v>
      </c>
      <c r="G1331">
        <v>0.91898733159167345</v>
      </c>
      <c r="H1331">
        <v>0.52863384335149977</v>
      </c>
      <c r="I1331">
        <v>0.21924030345720638</v>
      </c>
      <c r="J1331">
        <v>0.41565056833633429</v>
      </c>
      <c r="L1331">
        <v>3.0895468074426065</v>
      </c>
      <c r="M1331">
        <v>0.89922165300711565</v>
      </c>
      <c r="N1331">
        <v>0.83546388792497883</v>
      </c>
      <c r="P1331">
        <v>3.7390501687528881E-12</v>
      </c>
      <c r="R1331">
        <v>12.472994210529487</v>
      </c>
      <c r="S1331">
        <v>12.611025430513319</v>
      </c>
      <c r="T1331">
        <v>1</v>
      </c>
      <c r="U1331">
        <v>2.5846278732052776</v>
      </c>
    </row>
    <row r="1332" spans="1:21">
      <c r="A1332">
        <v>0.89613730639039613</v>
      </c>
      <c r="B1332">
        <v>-0.937667349196456</v>
      </c>
      <c r="C1332">
        <v>-0.25099359402143767</v>
      </c>
      <c r="D1332">
        <v>0.18389913377275072</v>
      </c>
      <c r="E1332">
        <v>0</v>
      </c>
      <c r="F1332">
        <v>0.77441334332563239</v>
      </c>
      <c r="G1332">
        <v>0.90961675330769254</v>
      </c>
      <c r="H1332">
        <v>0.288946554876925</v>
      </c>
      <c r="I1332">
        <v>0.88308847493924314</v>
      </c>
      <c r="J1332">
        <v>0.86020061204508258</v>
      </c>
      <c r="L1332">
        <v>3.0895467709448021</v>
      </c>
      <c r="M1332">
        <v>0.89922159222053388</v>
      </c>
      <c r="N1332">
        <v>0.83546387631051311</v>
      </c>
      <c r="P1332">
        <v>3.5854309442547829E-12</v>
      </c>
      <c r="R1332">
        <v>12.472994210529487</v>
      </c>
      <c r="S1332">
        <v>12.611025430513319</v>
      </c>
      <c r="T1332">
        <v>1</v>
      </c>
      <c r="U1332">
        <v>2.5846278732052776</v>
      </c>
    </row>
    <row r="1333" spans="1:21">
      <c r="A1333">
        <v>0.86816917476174749</v>
      </c>
      <c r="B1333">
        <v>-0.93705870175830897</v>
      </c>
      <c r="C1333">
        <v>-0.28246486657301489</v>
      </c>
      <c r="D1333">
        <v>0</v>
      </c>
      <c r="E1333">
        <v>5.8976398543447578E-2</v>
      </c>
      <c r="F1333">
        <v>0.33237262709276683</v>
      </c>
      <c r="G1333">
        <v>0.93700335950812152</v>
      </c>
      <c r="H1333">
        <v>0.38966642475711905</v>
      </c>
      <c r="I1333">
        <v>0.18450249394212911</v>
      </c>
      <c r="J1333">
        <v>0.76907415932551781</v>
      </c>
      <c r="L1333">
        <v>3.0895468066380873</v>
      </c>
      <c r="M1333">
        <v>0.89922163389537946</v>
      </c>
      <c r="N1333">
        <v>0.83546387642020259</v>
      </c>
      <c r="P1333">
        <v>3.6609318212564222E-12</v>
      </c>
      <c r="R1333">
        <v>12.472994210529487</v>
      </c>
      <c r="S1333">
        <v>12.611025430513319</v>
      </c>
      <c r="T1333">
        <v>1</v>
      </c>
      <c r="U1333">
        <v>2.5846278732052776</v>
      </c>
    </row>
    <row r="1334" spans="1:21">
      <c r="A1334">
        <v>0.89241871874319878</v>
      </c>
      <c r="B1334">
        <v>-0.93414479559062458</v>
      </c>
      <c r="C1334">
        <v>-0.23464691958064898</v>
      </c>
      <c r="D1334">
        <v>0</v>
      </c>
      <c r="E1334">
        <v>0</v>
      </c>
      <c r="F1334">
        <v>0</v>
      </c>
      <c r="G1334">
        <v>0.38984763368252467</v>
      </c>
      <c r="H1334">
        <v>0.75936626938510088</v>
      </c>
      <c r="I1334">
        <v>0.41995940222698225</v>
      </c>
      <c r="J1334">
        <v>0.45493967667964363</v>
      </c>
      <c r="L1334">
        <v>3.0895467288195535</v>
      </c>
      <c r="M1334">
        <v>0.89922163940192323</v>
      </c>
      <c r="N1334">
        <v>0.83546376092204155</v>
      </c>
      <c r="P1334">
        <v>3.6204049555688584E-12</v>
      </c>
      <c r="R1334">
        <v>12.472994210529487</v>
      </c>
      <c r="S1334">
        <v>12.611025430513319</v>
      </c>
      <c r="T1334">
        <v>1</v>
      </c>
      <c r="U1334">
        <v>2.5846278732052776</v>
      </c>
    </row>
    <row r="1335" spans="1:21">
      <c r="A1335">
        <v>0.90886116763126668</v>
      </c>
      <c r="B1335">
        <v>-0.93544882698277299</v>
      </c>
      <c r="C1335">
        <v>-0.20277843154167574</v>
      </c>
      <c r="D1335">
        <v>8.5592731933947369E-2</v>
      </c>
      <c r="E1335">
        <v>0.39588990418821168</v>
      </c>
      <c r="F1335">
        <v>0.2547206404808256</v>
      </c>
      <c r="G1335">
        <v>0.1274512928110246</v>
      </c>
      <c r="H1335">
        <v>0.83932219173728828</v>
      </c>
      <c r="I1335">
        <v>0.87749112780387051</v>
      </c>
      <c r="J1335">
        <v>0.71449412234987009</v>
      </c>
      <c r="L1335">
        <v>3.0895469017637209</v>
      </c>
      <c r="M1335">
        <v>0.89922161389311472</v>
      </c>
      <c r="N1335">
        <v>0.83546387576713455</v>
      </c>
      <c r="P1335">
        <v>3.4679595520749424E-12</v>
      </c>
      <c r="R1335">
        <v>12.472994210529487</v>
      </c>
      <c r="S1335">
        <v>12.611025430513319</v>
      </c>
      <c r="T1335">
        <v>1</v>
      </c>
      <c r="U1335">
        <v>2.5846278732052776</v>
      </c>
    </row>
    <row r="1336" spans="1:21">
      <c r="A1336">
        <v>0.87328321331550229</v>
      </c>
      <c r="B1336">
        <v>-0.93495120323109049</v>
      </c>
      <c r="C1336">
        <v>-0.25935233113933626</v>
      </c>
      <c r="D1336">
        <v>0</v>
      </c>
      <c r="E1336">
        <v>0.22445028342181042</v>
      </c>
      <c r="F1336">
        <v>0</v>
      </c>
      <c r="G1336">
        <v>0.4811980653906634</v>
      </c>
      <c r="H1336">
        <v>0.75091084397055285</v>
      </c>
      <c r="I1336">
        <v>0.10039142968475857</v>
      </c>
      <c r="J1336">
        <v>0.58508065315126723</v>
      </c>
      <c r="L1336">
        <v>3.0895466664008793</v>
      </c>
      <c r="M1336">
        <v>0.89922170546275182</v>
      </c>
      <c r="N1336">
        <v>0.83546363623169784</v>
      </c>
      <c r="P1336">
        <v>3.7753323411397356E-12</v>
      </c>
      <c r="R1336">
        <v>12.472994210529487</v>
      </c>
      <c r="S1336">
        <v>12.611025430513319</v>
      </c>
      <c r="T1336">
        <v>1</v>
      </c>
      <c r="U1336">
        <v>2.5846278732052776</v>
      </c>
    </row>
    <row r="1337" spans="1:21">
      <c r="A1337">
        <v>0.87095005094441291</v>
      </c>
      <c r="B1337">
        <v>-0.93754745920554572</v>
      </c>
      <c r="C1337">
        <v>-0.28621545332007026</v>
      </c>
      <c r="D1337">
        <v>0.25138479283229098</v>
      </c>
      <c r="E1337">
        <v>0</v>
      </c>
      <c r="F1337">
        <v>0</v>
      </c>
      <c r="G1337">
        <v>0.90727591522485007</v>
      </c>
      <c r="H1337">
        <v>0.19402922905001019</v>
      </c>
      <c r="I1337">
        <v>8.5325995332435428E-2</v>
      </c>
      <c r="J1337">
        <v>0.25056415675630983</v>
      </c>
      <c r="L1337">
        <v>3.0895467801835332</v>
      </c>
      <c r="M1337">
        <v>0.8992216239519083</v>
      </c>
      <c r="N1337">
        <v>0.83546388602584853</v>
      </c>
      <c r="P1337">
        <v>3.6851592701149633E-12</v>
      </c>
      <c r="R1337">
        <v>12.472994210529487</v>
      </c>
      <c r="S1337">
        <v>12.611025430513319</v>
      </c>
      <c r="T1337">
        <v>1</v>
      </c>
      <c r="U1337">
        <v>2.5846278732052776</v>
      </c>
    </row>
    <row r="1338" spans="1:21">
      <c r="A1338">
        <v>0.90221298498804903</v>
      </c>
      <c r="B1338">
        <v>-0.9376999240139986</v>
      </c>
      <c r="C1338">
        <v>-0.22672146687551709</v>
      </c>
      <c r="D1338">
        <v>0</v>
      </c>
      <c r="E1338">
        <v>0</v>
      </c>
      <c r="F1338">
        <v>0.44139834220900115</v>
      </c>
      <c r="G1338">
        <v>0.47674422884302847</v>
      </c>
      <c r="H1338">
        <v>0.31759017230156689</v>
      </c>
      <c r="I1338">
        <v>0.54128576606149925</v>
      </c>
      <c r="J1338">
        <v>0.72335027603406854</v>
      </c>
      <c r="L1338">
        <v>3.0895468978564824</v>
      </c>
      <c r="M1338">
        <v>0.89922158745803638</v>
      </c>
      <c r="N1338">
        <v>0.83546393000559516</v>
      </c>
      <c r="P1338">
        <v>3.4843970431610879E-12</v>
      </c>
      <c r="R1338">
        <v>12.472994210529487</v>
      </c>
      <c r="S1338">
        <v>12.611025430513319</v>
      </c>
      <c r="T1338">
        <v>1</v>
      </c>
      <c r="U1338">
        <v>2.5846278732052776</v>
      </c>
    </row>
    <row r="1339" spans="1:21">
      <c r="A1339">
        <v>0.87462007768892691</v>
      </c>
      <c r="B1339">
        <v>-0.93398448217428198</v>
      </c>
      <c r="C1339">
        <v>-0.27062055305879062</v>
      </c>
      <c r="D1339">
        <v>0.25401992221974595</v>
      </c>
      <c r="E1339">
        <v>0</v>
      </c>
      <c r="F1339">
        <v>0.28215477243813036</v>
      </c>
      <c r="G1339">
        <v>0.78312727728140175</v>
      </c>
      <c r="H1339">
        <v>0.86885500035416063</v>
      </c>
      <c r="I1339">
        <v>0.37078806755236465</v>
      </c>
      <c r="J1339">
        <v>0.64387705277638085</v>
      </c>
      <c r="L1339">
        <v>3.0895469573355223</v>
      </c>
      <c r="M1339">
        <v>0.89922160946016427</v>
      </c>
      <c r="N1339">
        <v>0.83546399187927456</v>
      </c>
      <c r="P1339">
        <v>3.5919243813115884E-12</v>
      </c>
      <c r="R1339">
        <v>12.472994210529487</v>
      </c>
      <c r="S1339">
        <v>12.611025430513319</v>
      </c>
      <c r="T1339">
        <v>1</v>
      </c>
      <c r="U1339">
        <v>2.5846278732052776</v>
      </c>
    </row>
    <row r="1340" spans="1:21">
      <c r="A1340">
        <v>0.91410243837957006</v>
      </c>
      <c r="B1340">
        <v>-0.94212471104114115</v>
      </c>
      <c r="C1340">
        <v>-0.20285277082344522</v>
      </c>
      <c r="D1340">
        <v>0</v>
      </c>
      <c r="E1340">
        <v>0</v>
      </c>
      <c r="F1340">
        <v>0</v>
      </c>
      <c r="G1340">
        <v>0.47450094739195808</v>
      </c>
      <c r="H1340">
        <v>0.2248358432389411</v>
      </c>
      <c r="I1340">
        <v>0.61654538375877177</v>
      </c>
      <c r="J1340">
        <v>0.7583164336869237</v>
      </c>
      <c r="L1340">
        <v>3.0895469797724227</v>
      </c>
      <c r="M1340">
        <v>0.89922153405842964</v>
      </c>
      <c r="N1340">
        <v>0.83546396843075033</v>
      </c>
      <c r="P1340">
        <v>3.2963285732701132E-12</v>
      </c>
      <c r="R1340">
        <v>12.472994210529487</v>
      </c>
      <c r="S1340">
        <v>12.611025430513319</v>
      </c>
      <c r="T1340">
        <v>1</v>
      </c>
      <c r="U1340">
        <v>2.5846278732052776</v>
      </c>
    </row>
    <row r="1341" spans="1:21">
      <c r="A1341">
        <v>0.90273308283443365</v>
      </c>
      <c r="B1341">
        <v>-0.94429649288079986</v>
      </c>
      <c r="C1341">
        <v>-0.22743944816095188</v>
      </c>
      <c r="D1341">
        <v>0.742787595272139</v>
      </c>
      <c r="E1341">
        <v>0.3737773204810303</v>
      </c>
      <c r="F1341">
        <v>0</v>
      </c>
      <c r="G1341">
        <v>0.50125054235581479</v>
      </c>
      <c r="H1341">
        <v>0.15543807792388431</v>
      </c>
      <c r="I1341">
        <v>0.40666337571880196</v>
      </c>
      <c r="J1341">
        <v>0.47600747076411504</v>
      </c>
      <c r="L1341">
        <v>3.0895468671902258</v>
      </c>
      <c r="M1341">
        <v>0.89922154990223846</v>
      </c>
      <c r="N1341">
        <v>0.83546390915774715</v>
      </c>
      <c r="P1341">
        <v>3.3756450114004338E-12</v>
      </c>
      <c r="R1341">
        <v>12.472994210529487</v>
      </c>
      <c r="S1341">
        <v>12.611025430513319</v>
      </c>
      <c r="T1341">
        <v>1</v>
      </c>
      <c r="U1341">
        <v>2.5846278732052776</v>
      </c>
    </row>
    <row r="1342" spans="1:21">
      <c r="A1342">
        <v>0.9157295626319919</v>
      </c>
      <c r="B1342">
        <v>-0.93594759512680359</v>
      </c>
      <c r="C1342">
        <v>-0.2049737107670358</v>
      </c>
      <c r="D1342">
        <v>0.6293171461737328</v>
      </c>
      <c r="E1342">
        <v>8.6391213160086008E-2</v>
      </c>
      <c r="F1342">
        <v>0</v>
      </c>
      <c r="G1342">
        <v>9.7318770419444381E-2</v>
      </c>
      <c r="H1342">
        <v>0.71325239266618257</v>
      </c>
      <c r="I1342">
        <v>0.64936050557336011</v>
      </c>
      <c r="J1342">
        <v>0.11394671615795561</v>
      </c>
      <c r="L1342">
        <v>3.0895468062722098</v>
      </c>
      <c r="M1342">
        <v>0.8992215617755196</v>
      </c>
      <c r="N1342">
        <v>0.8354638508824348</v>
      </c>
      <c r="P1342">
        <v>3.3994996039201151E-12</v>
      </c>
      <c r="R1342">
        <v>12.472994210529487</v>
      </c>
      <c r="S1342">
        <v>12.611025430513319</v>
      </c>
      <c r="T1342">
        <v>1</v>
      </c>
      <c r="U1342">
        <v>2.5846278732052776</v>
      </c>
    </row>
    <row r="1343" spans="1:21">
      <c r="A1343">
        <v>0.89949925596979341</v>
      </c>
      <c r="B1343">
        <v>-0.93542399643967</v>
      </c>
      <c r="C1343">
        <v>-0.21695989993439346</v>
      </c>
      <c r="D1343">
        <v>0.35852800892651732</v>
      </c>
      <c r="E1343">
        <v>0.12683630946377544</v>
      </c>
      <c r="F1343">
        <v>0</v>
      </c>
      <c r="G1343">
        <v>0.12210666744655385</v>
      </c>
      <c r="H1343">
        <v>0.93542450748530936</v>
      </c>
      <c r="I1343">
        <v>0.3183891032409375</v>
      </c>
      <c r="J1343">
        <v>0.4676012040375736</v>
      </c>
      <c r="L1343">
        <v>3.0895468090133091</v>
      </c>
      <c r="M1343">
        <v>0.89922156608634807</v>
      </c>
      <c r="N1343">
        <v>0.83546383380793943</v>
      </c>
      <c r="P1343">
        <v>3.3813641152177528E-12</v>
      </c>
      <c r="R1343">
        <v>12.472994210529487</v>
      </c>
      <c r="S1343">
        <v>12.611025430513319</v>
      </c>
      <c r="T1343">
        <v>1</v>
      </c>
      <c r="U1343">
        <v>2.5846278732052776</v>
      </c>
    </row>
    <row r="1344" spans="1:21">
      <c r="A1344">
        <v>0.86336226512047021</v>
      </c>
      <c r="B1344">
        <v>-0.93862468663886567</v>
      </c>
      <c r="C1344">
        <v>-0.28444661486977829</v>
      </c>
      <c r="D1344">
        <v>0.22419345431017651</v>
      </c>
      <c r="E1344">
        <v>0.29445035747794346</v>
      </c>
      <c r="F1344">
        <v>0.15168755243322815</v>
      </c>
      <c r="G1344">
        <v>0.89219006611943319</v>
      </c>
      <c r="H1344">
        <v>0.50412125302270283</v>
      </c>
      <c r="I1344">
        <v>8.9346726554994538E-2</v>
      </c>
      <c r="J1344">
        <v>0.76724009502637525</v>
      </c>
      <c r="L1344">
        <v>3.0895468618902613</v>
      </c>
      <c r="M1344">
        <v>0.89922158028698207</v>
      </c>
      <c r="N1344">
        <v>0.83546393023892596</v>
      </c>
      <c r="P1344">
        <v>3.5102828352666712E-12</v>
      </c>
      <c r="R1344">
        <v>12.472994210529487</v>
      </c>
      <c r="S1344">
        <v>12.611025430513319</v>
      </c>
      <c r="T1344">
        <v>1</v>
      </c>
      <c r="U1344">
        <v>2.5846278732052776</v>
      </c>
    </row>
    <row r="1345" spans="1:21">
      <c r="A1345">
        <v>0.91267265181484303</v>
      </c>
      <c r="B1345">
        <v>-0.94272299790787106</v>
      </c>
      <c r="C1345">
        <v>-0.20266015583227193</v>
      </c>
      <c r="D1345">
        <v>0.12172758322957208</v>
      </c>
      <c r="E1345">
        <v>2.2043921544046462E-2</v>
      </c>
      <c r="F1345">
        <v>0</v>
      </c>
      <c r="G1345">
        <v>0.21916003058104341</v>
      </c>
      <c r="H1345">
        <v>3.00830827422662E-2</v>
      </c>
      <c r="I1345">
        <v>0.18169313608843043</v>
      </c>
      <c r="J1345">
        <v>0.55531687748951741</v>
      </c>
      <c r="L1345">
        <v>3.089546906741989</v>
      </c>
      <c r="M1345">
        <v>0.89922150231080156</v>
      </c>
      <c r="N1345">
        <v>0.83546392209641662</v>
      </c>
      <c r="P1345">
        <v>3.2080341076725452E-12</v>
      </c>
      <c r="R1345">
        <v>12.472994210529487</v>
      </c>
      <c r="S1345">
        <v>12.611025430513319</v>
      </c>
      <c r="T1345">
        <v>1</v>
      </c>
      <c r="U1345">
        <v>2.5846278732052776</v>
      </c>
    </row>
    <row r="1346" spans="1:21">
      <c r="A1346">
        <v>0.88243420436435238</v>
      </c>
      <c r="B1346">
        <v>-0.93558224823426261</v>
      </c>
      <c r="C1346">
        <v>-0.26588723481465382</v>
      </c>
      <c r="D1346">
        <v>0</v>
      </c>
      <c r="E1346">
        <v>0</v>
      </c>
      <c r="F1346">
        <v>0.18551839026269229</v>
      </c>
      <c r="G1346">
        <v>0.91749116585687374</v>
      </c>
      <c r="H1346">
        <v>0.46933663585670293</v>
      </c>
      <c r="I1346">
        <v>0.65074358873359595</v>
      </c>
      <c r="J1346">
        <v>0.54902436660092613</v>
      </c>
      <c r="L1346">
        <v>3.0895468050048995</v>
      </c>
      <c r="M1346">
        <v>0.89922163077199146</v>
      </c>
      <c r="N1346">
        <v>0.83546388807995997</v>
      </c>
      <c r="P1346">
        <v>3.6729407941142609E-12</v>
      </c>
      <c r="R1346">
        <v>12.472994210529487</v>
      </c>
      <c r="S1346">
        <v>12.611025430513319</v>
      </c>
      <c r="T1346">
        <v>1</v>
      </c>
      <c r="U1346">
        <v>2.5846278732052776</v>
      </c>
    </row>
    <row r="1347" spans="1:21">
      <c r="A1347">
        <v>0.89297784255315038</v>
      </c>
      <c r="B1347">
        <v>-0.93964523342561546</v>
      </c>
      <c r="C1347">
        <v>-0.23843456960923276</v>
      </c>
      <c r="D1347">
        <v>0.51484268644981701</v>
      </c>
      <c r="E1347">
        <v>0.47567972977664819</v>
      </c>
      <c r="F1347">
        <v>0</v>
      </c>
      <c r="G1347">
        <v>0.12999156761861533</v>
      </c>
      <c r="H1347">
        <v>7.6703790354344631E-2</v>
      </c>
      <c r="I1347">
        <v>2.5995181003313123E-2</v>
      </c>
      <c r="J1347">
        <v>7.33679346001396E-2</v>
      </c>
      <c r="L1347">
        <v>3.089546981458736</v>
      </c>
      <c r="M1347">
        <v>0.89922155783585356</v>
      </c>
      <c r="N1347">
        <v>0.8354639828767858</v>
      </c>
      <c r="P1347">
        <v>3.3913884789722357E-12</v>
      </c>
      <c r="R1347">
        <v>12.472994210529487</v>
      </c>
      <c r="S1347">
        <v>12.611025430513319</v>
      </c>
      <c r="T1347">
        <v>1</v>
      </c>
      <c r="U1347">
        <v>2.5846278732052776</v>
      </c>
    </row>
    <row r="1348" spans="1:21">
      <c r="A1348">
        <v>0.87320214070132762</v>
      </c>
      <c r="B1348">
        <v>-0.93431018841900215</v>
      </c>
      <c r="C1348">
        <v>-0.27825687408887201</v>
      </c>
      <c r="D1348">
        <v>0.23445518875577998</v>
      </c>
      <c r="E1348">
        <v>0.32821780459790201</v>
      </c>
      <c r="F1348">
        <v>0</v>
      </c>
      <c r="G1348">
        <v>1.0340230876870358</v>
      </c>
      <c r="H1348">
        <v>0.8788535280578581</v>
      </c>
      <c r="I1348">
        <v>0.93368170264867212</v>
      </c>
      <c r="J1348">
        <v>0.52805245851286964</v>
      </c>
      <c r="L1348">
        <v>3.0895465162603006</v>
      </c>
      <c r="M1348">
        <v>0.89922172413146584</v>
      </c>
      <c r="N1348">
        <v>0.83546343068678952</v>
      </c>
      <c r="P1348">
        <v>3.9220459592698911E-12</v>
      </c>
      <c r="R1348">
        <v>12.472994210529487</v>
      </c>
      <c r="S1348">
        <v>12.611025430513319</v>
      </c>
      <c r="T1348">
        <v>1</v>
      </c>
      <c r="U1348">
        <v>2.5846278732052776</v>
      </c>
    </row>
    <row r="1349" spans="1:21">
      <c r="A1349">
        <v>0.87459776502539599</v>
      </c>
      <c r="B1349">
        <v>-0.93683788964821035</v>
      </c>
      <c r="C1349">
        <v>-0.27571820725788609</v>
      </c>
      <c r="D1349">
        <v>0.16426249259704029</v>
      </c>
      <c r="E1349">
        <v>0.39254072464795658</v>
      </c>
      <c r="F1349">
        <v>0</v>
      </c>
      <c r="G1349">
        <v>0.73687292326444154</v>
      </c>
      <c r="H1349">
        <v>0.24380207945382792</v>
      </c>
      <c r="I1349">
        <v>0.40294802010763753</v>
      </c>
      <c r="J1349">
        <v>0.25331147733822423</v>
      </c>
      <c r="L1349">
        <v>3.089546822283221</v>
      </c>
      <c r="M1349">
        <v>0.89922156601970837</v>
      </c>
      <c r="N1349">
        <v>0.83546391928672648</v>
      </c>
      <c r="P1349">
        <v>3.5031999222302788E-12</v>
      </c>
      <c r="R1349">
        <v>12.472994210529487</v>
      </c>
      <c r="S1349">
        <v>12.611025430513319</v>
      </c>
      <c r="T1349">
        <v>1</v>
      </c>
      <c r="U1349">
        <v>2.5846278732052776</v>
      </c>
    </row>
    <row r="1350" spans="1:21">
      <c r="A1350">
        <v>0.90787910551225048</v>
      </c>
      <c r="B1350">
        <v>-0.93784268233465451</v>
      </c>
      <c r="C1350">
        <v>-0.20947929563345982</v>
      </c>
      <c r="D1350">
        <v>0</v>
      </c>
      <c r="E1350">
        <v>0</v>
      </c>
      <c r="F1350">
        <v>0.47533389838757495</v>
      </c>
      <c r="G1350">
        <v>0.21133920695494801</v>
      </c>
      <c r="H1350">
        <v>0.40323331185730688</v>
      </c>
      <c r="I1350">
        <v>0.38158334585258336</v>
      </c>
      <c r="J1350">
        <v>0.7984060156902778</v>
      </c>
      <c r="L1350">
        <v>3.0895468840856775</v>
      </c>
      <c r="M1350">
        <v>0.89922154597225401</v>
      </c>
      <c r="N1350">
        <v>0.83546390996699649</v>
      </c>
      <c r="P1350">
        <v>3.3431003067943205E-12</v>
      </c>
      <c r="R1350">
        <v>12.472994210529487</v>
      </c>
      <c r="S1350">
        <v>12.611025430513319</v>
      </c>
      <c r="T1350">
        <v>1</v>
      </c>
      <c r="U1350">
        <v>2.5846278732052776</v>
      </c>
    </row>
    <row r="1351" spans="1:21">
      <c r="A1351">
        <v>0.88279794149746205</v>
      </c>
      <c r="B1351">
        <v>-0.93535949441542832</v>
      </c>
      <c r="C1351">
        <v>-0.26232925885359237</v>
      </c>
      <c r="D1351">
        <v>0</v>
      </c>
      <c r="E1351">
        <v>0</v>
      </c>
      <c r="F1351">
        <v>0.12939135160275408</v>
      </c>
      <c r="G1351">
        <v>1.0288901449985981</v>
      </c>
      <c r="H1351">
        <v>0.75191214421167929</v>
      </c>
      <c r="I1351">
        <v>0.86488687096197836</v>
      </c>
      <c r="J1351">
        <v>0.7398451110835581</v>
      </c>
      <c r="L1351">
        <v>3.0895468353512583</v>
      </c>
      <c r="M1351">
        <v>0.89922215995521226</v>
      </c>
      <c r="N1351">
        <v>0.83546329745631975</v>
      </c>
      <c r="P1351">
        <v>4.9218860581768442E-12</v>
      </c>
      <c r="R1351">
        <v>12.472994210529487</v>
      </c>
      <c r="S1351">
        <v>12.611025430513319</v>
      </c>
      <c r="T1351">
        <v>1</v>
      </c>
      <c r="U1351">
        <v>2.5846278732052776</v>
      </c>
    </row>
    <row r="1352" spans="1:21">
      <c r="A1352">
        <v>0.92097479902570289</v>
      </c>
      <c r="B1352">
        <v>-0.9471752518985701</v>
      </c>
      <c r="C1352">
        <v>-0.18323195646149124</v>
      </c>
      <c r="D1352">
        <v>0.18993281233351575</v>
      </c>
      <c r="E1352">
        <v>0.32164394090754056</v>
      </c>
      <c r="F1352">
        <v>0</v>
      </c>
      <c r="G1352">
        <v>0.28934232158050632</v>
      </c>
      <c r="H1352">
        <v>7.2604667715748736E-2</v>
      </c>
      <c r="I1352">
        <v>0.52623862045026426</v>
      </c>
      <c r="J1352">
        <v>0.98633297898787287</v>
      </c>
      <c r="L1352">
        <v>3.0895469339436583</v>
      </c>
      <c r="M1352">
        <v>0.89922148210704267</v>
      </c>
      <c r="N1352">
        <v>0.83546391730078695</v>
      </c>
      <c r="P1352">
        <v>3.108718194807517E-12</v>
      </c>
      <c r="R1352">
        <v>12.472994210529487</v>
      </c>
      <c r="S1352">
        <v>12.611025430513319</v>
      </c>
      <c r="T1352">
        <v>1</v>
      </c>
      <c r="U1352">
        <v>2.5846278732052776</v>
      </c>
    </row>
    <row r="1353" spans="1:21">
      <c r="A1353">
        <v>0.87184747213503577</v>
      </c>
      <c r="B1353">
        <v>-0.93636584339208573</v>
      </c>
      <c r="C1353">
        <v>-0.2746025234295284</v>
      </c>
      <c r="D1353">
        <v>0</v>
      </c>
      <c r="E1353">
        <v>0.57957726936115184</v>
      </c>
      <c r="F1353">
        <v>0.61570479312861692</v>
      </c>
      <c r="G1353">
        <v>0.65659378398053769</v>
      </c>
      <c r="H1353">
        <v>0.26199101174045769</v>
      </c>
      <c r="I1353">
        <v>0.43903122567884406</v>
      </c>
      <c r="J1353">
        <v>0.75123672932512942</v>
      </c>
      <c r="L1353">
        <v>3.089547006338293</v>
      </c>
      <c r="M1353">
        <v>0.89922160070213275</v>
      </c>
      <c r="N1353">
        <v>0.83546401275824567</v>
      </c>
      <c r="P1353">
        <v>3.5504467327360922E-12</v>
      </c>
      <c r="R1353">
        <v>12.472994210529487</v>
      </c>
      <c r="S1353">
        <v>12.611025430513319</v>
      </c>
      <c r="T1353">
        <v>1</v>
      </c>
      <c r="U1353">
        <v>2.5846278732052776</v>
      </c>
    </row>
    <row r="1354" spans="1:21">
      <c r="A1354">
        <v>0.9314574443490935</v>
      </c>
      <c r="B1354">
        <v>-0.93881879648677569</v>
      </c>
      <c r="C1354">
        <v>-0.18049882101111173</v>
      </c>
      <c r="D1354">
        <v>0</v>
      </c>
      <c r="E1354">
        <v>0</v>
      </c>
      <c r="F1354">
        <v>0.30740421282102648</v>
      </c>
      <c r="G1354">
        <v>0.17964024307535795</v>
      </c>
      <c r="H1354">
        <v>0.24553627641249817</v>
      </c>
      <c r="I1354">
        <v>0.9833447463272067</v>
      </c>
      <c r="J1354">
        <v>0.58415011490958124</v>
      </c>
      <c r="L1354">
        <v>3.0895470070672464</v>
      </c>
      <c r="M1354">
        <v>0.89922154631001672</v>
      </c>
      <c r="N1354">
        <v>0.83546397710993303</v>
      </c>
      <c r="P1354">
        <v>3.318750311904627E-12</v>
      </c>
      <c r="R1354">
        <v>12.472994210529487</v>
      </c>
      <c r="S1354">
        <v>12.611025430513319</v>
      </c>
      <c r="T1354">
        <v>1</v>
      </c>
      <c r="U1354">
        <v>2.5846278732052776</v>
      </c>
    </row>
    <row r="1355" spans="1:21">
      <c r="A1355">
        <v>0.89569871095622899</v>
      </c>
      <c r="B1355">
        <v>-0.93024379006103808</v>
      </c>
      <c r="C1355">
        <v>-0.236957442948631</v>
      </c>
      <c r="D1355">
        <v>0</v>
      </c>
      <c r="E1355">
        <v>0</v>
      </c>
      <c r="F1355">
        <v>0</v>
      </c>
      <c r="G1355">
        <v>0.42929065963364171</v>
      </c>
      <c r="H1355">
        <v>0.94916205960896805</v>
      </c>
      <c r="I1355">
        <v>0.84464676097427926</v>
      </c>
      <c r="J1355">
        <v>0.21728085749383649</v>
      </c>
      <c r="L1355">
        <v>3.0895468472506971</v>
      </c>
      <c r="M1355">
        <v>0.89922159724962003</v>
      </c>
      <c r="N1355">
        <v>0.83546390718204988</v>
      </c>
      <c r="P1355">
        <v>3.5417586411170953E-12</v>
      </c>
      <c r="R1355">
        <v>12.472994210529487</v>
      </c>
      <c r="S1355">
        <v>12.611025430513319</v>
      </c>
      <c r="T1355">
        <v>1</v>
      </c>
      <c r="U1355">
        <v>2.5846278732052776</v>
      </c>
    </row>
    <row r="1356" spans="1:21">
      <c r="A1356">
        <v>0.87035892532561965</v>
      </c>
      <c r="B1356">
        <v>-0.93951386562124406</v>
      </c>
      <c r="C1356">
        <v>-0.27734358807809578</v>
      </c>
      <c r="D1356">
        <v>0.36921685557658596</v>
      </c>
      <c r="E1356">
        <v>0</v>
      </c>
      <c r="F1356">
        <v>0</v>
      </c>
      <c r="G1356">
        <v>1.035669656959054</v>
      </c>
      <c r="H1356">
        <v>0.62290128487462004</v>
      </c>
      <c r="I1356">
        <v>0.16579429905996976</v>
      </c>
      <c r="J1356">
        <v>0.75753231581433567</v>
      </c>
      <c r="L1356">
        <v>3.0895466802719462</v>
      </c>
      <c r="M1356">
        <v>0.89922172040617998</v>
      </c>
      <c r="N1356">
        <v>0.83546369735419745</v>
      </c>
      <c r="P1356">
        <v>3.8758106217774552E-12</v>
      </c>
      <c r="R1356">
        <v>12.472994210529487</v>
      </c>
      <c r="S1356">
        <v>12.611025430513319</v>
      </c>
      <c r="T1356">
        <v>1</v>
      </c>
      <c r="U1356">
        <v>2.5846278732052776</v>
      </c>
    </row>
    <row r="1357" spans="1:21">
      <c r="A1357">
        <v>0.90376519268922684</v>
      </c>
      <c r="B1357">
        <v>-0.93655385930277657</v>
      </c>
      <c r="C1357">
        <v>-0.21470669203338436</v>
      </c>
      <c r="D1357">
        <v>0</v>
      </c>
      <c r="E1357">
        <v>0</v>
      </c>
      <c r="F1357">
        <v>0</v>
      </c>
      <c r="G1357">
        <v>0.13168031705900243</v>
      </c>
      <c r="H1357">
        <v>0.43858104602863951</v>
      </c>
      <c r="I1357">
        <v>0.23802075191870126</v>
      </c>
      <c r="J1357">
        <v>0.37289353605193137</v>
      </c>
      <c r="L1357">
        <v>3.0895468922642104</v>
      </c>
      <c r="M1357">
        <v>0.89922153091130574</v>
      </c>
      <c r="N1357">
        <v>0.83546392324777852</v>
      </c>
      <c r="P1357">
        <v>3.3112501808720443E-12</v>
      </c>
      <c r="R1357">
        <v>12.472994210529487</v>
      </c>
      <c r="S1357">
        <v>12.611025430513319</v>
      </c>
      <c r="T1357">
        <v>1</v>
      </c>
      <c r="U1357">
        <v>2.5846278732052776</v>
      </c>
    </row>
    <row r="1358" spans="1:21">
      <c r="A1358">
        <v>0.86486648460629312</v>
      </c>
      <c r="B1358">
        <v>-0.92703030712398926</v>
      </c>
      <c r="C1358">
        <v>-0.2994873352570776</v>
      </c>
      <c r="D1358">
        <v>0.14364111700011326</v>
      </c>
      <c r="E1358">
        <v>0</v>
      </c>
      <c r="F1358">
        <v>0.59976058613859917</v>
      </c>
      <c r="G1358">
        <v>0.68704396487526231</v>
      </c>
      <c r="H1358">
        <v>0.7120236746090387</v>
      </c>
      <c r="I1358">
        <v>0.364718092595123</v>
      </c>
      <c r="J1358">
        <v>0.1077414653937827</v>
      </c>
      <c r="L1358">
        <v>3.0895467569068744</v>
      </c>
      <c r="M1358">
        <v>0.89922180428092047</v>
      </c>
      <c r="N1358">
        <v>0.8354637927511207</v>
      </c>
      <c r="P1358">
        <v>4.1669532470006746E-12</v>
      </c>
      <c r="R1358">
        <v>12.472994210529487</v>
      </c>
      <c r="S1358">
        <v>12.611025430513319</v>
      </c>
      <c r="T1358">
        <v>1</v>
      </c>
      <c r="U1358">
        <v>2.5846278732052776</v>
      </c>
    </row>
    <row r="1359" spans="1:21">
      <c r="A1359">
        <v>0.92967857769923157</v>
      </c>
      <c r="B1359">
        <v>-0.93858431449475543</v>
      </c>
      <c r="C1359">
        <v>-0.18298312684802492</v>
      </c>
      <c r="D1359">
        <v>0.79336532560229389</v>
      </c>
      <c r="E1359">
        <v>0</v>
      </c>
      <c r="F1359">
        <v>0.45035617574351144</v>
      </c>
      <c r="G1359">
        <v>0</v>
      </c>
      <c r="H1359">
        <v>0.63240928087453596</v>
      </c>
      <c r="I1359">
        <v>0.67985595949892974</v>
      </c>
      <c r="J1359">
        <v>0.47566699629809434</v>
      </c>
      <c r="L1359">
        <v>3.0895474819054547</v>
      </c>
      <c r="M1359">
        <v>0.89922024039051651</v>
      </c>
      <c r="N1359">
        <v>0.83546313424403484</v>
      </c>
      <c r="P1359">
        <v>3.9092784939499932E-14</v>
      </c>
      <c r="R1359">
        <v>12.472994210529487</v>
      </c>
      <c r="S1359">
        <v>12.611025430513319</v>
      </c>
      <c r="T1359">
        <v>1</v>
      </c>
      <c r="U1359">
        <v>2.5846278732052776</v>
      </c>
    </row>
    <row r="1360" spans="1:21">
      <c r="A1360">
        <v>0.88400343865281172</v>
      </c>
      <c r="B1360">
        <v>-0.94030965797113342</v>
      </c>
      <c r="C1360">
        <v>-0.25319274054440788</v>
      </c>
      <c r="D1360">
        <v>0.30526142776731219</v>
      </c>
      <c r="E1360">
        <v>0.51712130958554203</v>
      </c>
      <c r="F1360">
        <v>0.12463088099500513</v>
      </c>
      <c r="G1360">
        <v>0.56369040434903595</v>
      </c>
      <c r="H1360">
        <v>0.22294722626186897</v>
      </c>
      <c r="I1360">
        <v>0.35059197144802945</v>
      </c>
      <c r="J1360">
        <v>0.54618286560855056</v>
      </c>
      <c r="L1360">
        <v>3.0895467558906313</v>
      </c>
      <c r="M1360">
        <v>0.89922164289267603</v>
      </c>
      <c r="N1360">
        <v>0.83546379189627751</v>
      </c>
      <c r="P1360">
        <v>3.6333540566206292E-12</v>
      </c>
      <c r="R1360">
        <v>12.472994210529487</v>
      </c>
      <c r="S1360">
        <v>12.611025430513319</v>
      </c>
      <c r="T1360">
        <v>1</v>
      </c>
      <c r="U1360">
        <v>2.5846278732052776</v>
      </c>
    </row>
    <row r="1361" spans="1:21">
      <c r="A1361">
        <v>1.0606286813808226</v>
      </c>
      <c r="B1361">
        <v>-0.94052447779064108</v>
      </c>
      <c r="C1361">
        <v>-1.8454084550063442E-2</v>
      </c>
      <c r="D1361">
        <v>0.12448353120402536</v>
      </c>
      <c r="E1361">
        <v>0</v>
      </c>
      <c r="F1361">
        <v>0</v>
      </c>
      <c r="G1361">
        <v>0.14177013353162682</v>
      </c>
      <c r="H1361">
        <v>0.14738142451921935</v>
      </c>
      <c r="I1361">
        <v>0.38185877757430459</v>
      </c>
      <c r="J1361">
        <v>5.592504136413437E-2</v>
      </c>
      <c r="L1361">
        <v>3.0895480646628868</v>
      </c>
      <c r="M1361">
        <v>3.6313256525708337</v>
      </c>
      <c r="N1361">
        <v>0.83546299707734406</v>
      </c>
      <c r="P1361">
        <v>1.1782030719285979E-12</v>
      </c>
      <c r="R1361">
        <v>4.0494089055462936</v>
      </c>
      <c r="S1361">
        <v>4.0515953972785423</v>
      </c>
      <c r="T1361">
        <v>1</v>
      </c>
      <c r="U1361">
        <v>2.2583374167381618</v>
      </c>
    </row>
    <row r="1362" spans="1:21">
      <c r="A1362">
        <v>1.0598525979778186</v>
      </c>
      <c r="B1362">
        <v>-0.9367937945356678</v>
      </c>
      <c r="C1362">
        <v>-3.368612899416254E-2</v>
      </c>
      <c r="D1362">
        <v>0.13876515757935026</v>
      </c>
      <c r="E1362">
        <v>0</v>
      </c>
      <c r="F1362">
        <v>0.29769479082884559</v>
      </c>
      <c r="G1362">
        <v>0.4411475843445693</v>
      </c>
      <c r="H1362">
        <v>0.31763653670404274</v>
      </c>
      <c r="I1362">
        <v>0.90737978598143243</v>
      </c>
      <c r="J1362">
        <v>4.7573409225098569E-2</v>
      </c>
      <c r="L1362">
        <v>3.0895483535207426</v>
      </c>
      <c r="M1362">
        <v>3.6313253586256207</v>
      </c>
      <c r="N1362">
        <v>0.83546278365359994</v>
      </c>
      <c r="P1362">
        <v>2.278411678168088E-12</v>
      </c>
      <c r="R1362">
        <v>4.0494089055462936</v>
      </c>
      <c r="S1362">
        <v>4.0515953972785423</v>
      </c>
      <c r="T1362">
        <v>1</v>
      </c>
      <c r="U1362">
        <v>2.2583374167381618</v>
      </c>
    </row>
    <row r="1363" spans="1:21">
      <c r="A1363">
        <v>1.0689213413363865</v>
      </c>
      <c r="B1363">
        <v>-0.94343840987032868</v>
      </c>
      <c r="C1363">
        <v>-9.7346643316293825E-3</v>
      </c>
      <c r="D1363">
        <v>0</v>
      </c>
      <c r="E1363">
        <v>0.88370495261307869</v>
      </c>
      <c r="F1363">
        <v>7.9849681382629115E-2</v>
      </c>
      <c r="G1363">
        <v>0.57435501884851237</v>
      </c>
      <c r="H1363">
        <v>0.20033361976921399</v>
      </c>
      <c r="I1363">
        <v>0.39800349012628244</v>
      </c>
      <c r="J1363">
        <v>0.5485257544090808</v>
      </c>
      <c r="L1363">
        <v>3.0895488961659616</v>
      </c>
      <c r="M1363">
        <v>3.6313252787136809</v>
      </c>
      <c r="N1363">
        <v>0.83546209761495194</v>
      </c>
      <c r="P1363">
        <v>4.5020910977865577E-12</v>
      </c>
      <c r="R1363">
        <v>4.0494089055462936</v>
      </c>
      <c r="S1363">
        <v>4.0515953972785423</v>
      </c>
      <c r="T1363">
        <v>1</v>
      </c>
      <c r="U1363">
        <v>2.2583374167381618</v>
      </c>
    </row>
    <row r="1364" spans="1:21">
      <c r="A1364">
        <v>1.0622040425889536</v>
      </c>
      <c r="B1364">
        <v>-0.94060422827344425</v>
      </c>
      <c r="C1364">
        <v>-4.7644665489418297E-3</v>
      </c>
      <c r="D1364">
        <v>0</v>
      </c>
      <c r="E1364">
        <v>0.55615607413151524</v>
      </c>
      <c r="F1364">
        <v>0</v>
      </c>
      <c r="G1364">
        <v>0.50161965451459378</v>
      </c>
      <c r="H1364">
        <v>0.95454962739831151</v>
      </c>
      <c r="I1364">
        <v>0.95280091409476553</v>
      </c>
      <c r="J1364">
        <v>0.86622663699481406</v>
      </c>
      <c r="L1364">
        <v>3.089548604976907</v>
      </c>
      <c r="M1364">
        <v>3.6313252653406982</v>
      </c>
      <c r="N1364">
        <v>0.83546259058355365</v>
      </c>
      <c r="P1364">
        <v>3.1333840641729123E-12</v>
      </c>
      <c r="R1364">
        <v>4.0494089055462936</v>
      </c>
      <c r="S1364">
        <v>4.0515953972785423</v>
      </c>
      <c r="T1364">
        <v>1</v>
      </c>
      <c r="U1364">
        <v>2.2583374167381618</v>
      </c>
    </row>
    <row r="1365" spans="1:21">
      <c r="A1365">
        <v>1.0630749434290792</v>
      </c>
      <c r="B1365">
        <v>-0.9445414276116586</v>
      </c>
      <c r="C1365">
        <v>-1.1936201664711106E-2</v>
      </c>
      <c r="D1365">
        <v>0.67373464848195153</v>
      </c>
      <c r="E1365">
        <v>0</v>
      </c>
      <c r="F1365">
        <v>0</v>
      </c>
      <c r="G1365">
        <v>0.35970746307729656</v>
      </c>
      <c r="H1365">
        <v>0.53753581504651438</v>
      </c>
      <c r="I1365">
        <v>0.17943174251654614</v>
      </c>
      <c r="J1365">
        <v>0.46272727507705425</v>
      </c>
      <c r="L1365">
        <v>3.089548393497076</v>
      </c>
      <c r="M1365">
        <v>3.6313257230125915</v>
      </c>
      <c r="N1365">
        <v>0.83546157517500952</v>
      </c>
      <c r="P1365">
        <v>3.6804838665339554E-12</v>
      </c>
      <c r="R1365">
        <v>4.0494089055462936</v>
      </c>
      <c r="S1365">
        <v>4.0515953972785423</v>
      </c>
      <c r="T1365">
        <v>1</v>
      </c>
      <c r="U1365">
        <v>2.2583374167381618</v>
      </c>
    </row>
    <row r="1366" spans="1:21">
      <c r="A1366">
        <v>1.0567096792256949</v>
      </c>
      <c r="B1366">
        <v>-0.94015582759405392</v>
      </c>
      <c r="C1366">
        <v>-1.3439559699720717E-2</v>
      </c>
      <c r="D1366">
        <v>0</v>
      </c>
      <c r="E1366">
        <v>0.2854142682975519</v>
      </c>
      <c r="F1366">
        <v>0.16624269734443667</v>
      </c>
      <c r="G1366">
        <v>9.5391094197303655E-2</v>
      </c>
      <c r="H1366">
        <v>0.44374603176828437</v>
      </c>
      <c r="I1366">
        <v>0.94841182720970318</v>
      </c>
      <c r="J1366">
        <v>0.47412142544205915</v>
      </c>
      <c r="L1366">
        <v>3.0895473269028573</v>
      </c>
      <c r="M1366">
        <v>3.6313264389506528</v>
      </c>
      <c r="N1366">
        <v>0.83546262715116137</v>
      </c>
      <c r="P1366">
        <v>2.4889509676083522E-13</v>
      </c>
      <c r="R1366">
        <v>4.0494089055462936</v>
      </c>
      <c r="S1366">
        <v>4.0515953972785423</v>
      </c>
      <c r="T1366">
        <v>1</v>
      </c>
      <c r="U1366">
        <v>2.2583374167381618</v>
      </c>
    </row>
    <row r="1367" spans="1:21">
      <c r="A1367">
        <v>1.0672108645549716</v>
      </c>
      <c r="B1367">
        <v>-0.94364843155109435</v>
      </c>
      <c r="C1367">
        <v>-1.3562321533629384E-2</v>
      </c>
      <c r="D1367">
        <v>0.24269555163238313</v>
      </c>
      <c r="E1367">
        <v>0</v>
      </c>
      <c r="F1367">
        <v>0.11257406245924911</v>
      </c>
      <c r="G1367">
        <v>0.63258234510952682</v>
      </c>
      <c r="H1367">
        <v>0.35805352000006668</v>
      </c>
      <c r="I1367">
        <v>6.2054319496170844E-2</v>
      </c>
      <c r="J1367">
        <v>0.58289259309440444</v>
      </c>
      <c r="L1367">
        <v>3.0895488053242692</v>
      </c>
      <c r="M1367">
        <v>3.6313254641173658</v>
      </c>
      <c r="N1367">
        <v>0.83546171802070812</v>
      </c>
      <c r="P1367">
        <v>4.6758136052601382E-12</v>
      </c>
      <c r="R1367">
        <v>4.0494089055462936</v>
      </c>
      <c r="S1367">
        <v>4.0515953972785423</v>
      </c>
      <c r="T1367">
        <v>1</v>
      </c>
      <c r="U1367">
        <v>2.2583374167381618</v>
      </c>
    </row>
    <row r="1368" spans="1:21">
      <c r="A1368">
        <v>1.0656438505511816</v>
      </c>
      <c r="B1368">
        <v>-0.93502748731696173</v>
      </c>
      <c r="C1368">
        <v>-1.3037392034791295E-2</v>
      </c>
      <c r="D1368">
        <v>0.24102414441102762</v>
      </c>
      <c r="E1368">
        <v>0</v>
      </c>
      <c r="F1368">
        <v>0.16537150727322958</v>
      </c>
      <c r="G1368">
        <v>0.28468339729113784</v>
      </c>
      <c r="H1368">
        <v>0.9395764578382656</v>
      </c>
      <c r="I1368">
        <v>0.2583628150035977</v>
      </c>
      <c r="J1368">
        <v>0.21996615661341937</v>
      </c>
      <c r="L1368">
        <v>3.0895472568626108</v>
      </c>
      <c r="M1368">
        <v>3.6313263710880102</v>
      </c>
      <c r="N1368">
        <v>0.83546274821370603</v>
      </c>
      <c r="P1368">
        <v>2.2148105522155258E-13</v>
      </c>
      <c r="R1368">
        <v>4.0494089055462936</v>
      </c>
      <c r="S1368">
        <v>4.0515953972785423</v>
      </c>
      <c r="T1368">
        <v>1</v>
      </c>
      <c r="U1368">
        <v>2.2583374167381618</v>
      </c>
    </row>
    <row r="1369" spans="1:21">
      <c r="A1369">
        <v>1.0608058346475386</v>
      </c>
      <c r="B1369">
        <v>-0.94453013886168946</v>
      </c>
      <c r="C1369">
        <v>-2.9616105553153738E-2</v>
      </c>
      <c r="D1369">
        <v>0.64182167369196286</v>
      </c>
      <c r="E1369">
        <v>0</v>
      </c>
      <c r="F1369">
        <v>0</v>
      </c>
      <c r="G1369">
        <v>0.95424034311274541</v>
      </c>
      <c r="H1369">
        <v>0.61455338613228805</v>
      </c>
      <c r="I1369">
        <v>0.98981977685875411</v>
      </c>
      <c r="J1369">
        <v>0.60471734345653649</v>
      </c>
      <c r="L1369">
        <v>3.0895487329344489</v>
      </c>
      <c r="M1369">
        <v>3.6313253463984037</v>
      </c>
      <c r="N1369">
        <v>0.83546176199091482</v>
      </c>
      <c r="P1369">
        <v>4.6630610410412635E-12</v>
      </c>
      <c r="R1369">
        <v>4.0494089055462936</v>
      </c>
      <c r="S1369">
        <v>4.0515953972785423</v>
      </c>
      <c r="T1369">
        <v>1</v>
      </c>
      <c r="U1369">
        <v>2.2583374167381618</v>
      </c>
    </row>
    <row r="1370" spans="1:21">
      <c r="A1370">
        <v>1.0584346681193031</v>
      </c>
      <c r="B1370">
        <v>-0.94533867225216928</v>
      </c>
      <c r="C1370">
        <v>-2.4915961701316193E-2</v>
      </c>
      <c r="D1370">
        <v>0.65177953049727821</v>
      </c>
      <c r="E1370">
        <v>0</v>
      </c>
      <c r="F1370">
        <v>0</v>
      </c>
      <c r="G1370">
        <v>0.29743882735423899</v>
      </c>
      <c r="H1370">
        <v>7.0472202274705603E-2</v>
      </c>
      <c r="I1370">
        <v>0.54275810022073567</v>
      </c>
      <c r="J1370">
        <v>0.16124141257997437</v>
      </c>
      <c r="L1370">
        <v>3.0895487228050795</v>
      </c>
      <c r="M1370">
        <v>3.6313255044750137</v>
      </c>
      <c r="N1370">
        <v>0.83546170822207044</v>
      </c>
      <c r="P1370">
        <v>4.4093724933697019E-12</v>
      </c>
      <c r="R1370">
        <v>4.0494089055462936</v>
      </c>
      <c r="S1370">
        <v>4.0515953972785423</v>
      </c>
      <c r="T1370">
        <v>1</v>
      </c>
      <c r="U1370">
        <v>2.2583374167381618</v>
      </c>
    </row>
    <row r="1371" spans="1:21">
      <c r="A1371">
        <v>1.0567945465578497</v>
      </c>
      <c r="B1371">
        <v>-0.9449402557740465</v>
      </c>
      <c r="C1371">
        <v>-1.2292266024171923E-2</v>
      </c>
      <c r="D1371">
        <v>0.42500921306699618</v>
      </c>
      <c r="E1371">
        <v>0</v>
      </c>
      <c r="F1371">
        <v>0</v>
      </c>
      <c r="G1371">
        <v>0.43392193846856797</v>
      </c>
      <c r="H1371">
        <v>0.70661699878480122</v>
      </c>
      <c r="I1371">
        <v>0.89113675481542631</v>
      </c>
      <c r="J1371">
        <v>0.82973012408276259</v>
      </c>
      <c r="L1371">
        <v>3.0895481641970797</v>
      </c>
      <c r="M1371">
        <v>3.6313259897511538</v>
      </c>
      <c r="N1371">
        <v>0.83546171903617439</v>
      </c>
      <c r="P1371">
        <v>2.5397153343989364E-12</v>
      </c>
      <c r="R1371">
        <v>4.0494089055462936</v>
      </c>
      <c r="S1371">
        <v>4.0515953972785423</v>
      </c>
      <c r="T1371">
        <v>1</v>
      </c>
      <c r="U1371">
        <v>2.2583374167381618</v>
      </c>
    </row>
    <row r="1372" spans="1:21">
      <c r="A1372">
        <v>1.060263683860253</v>
      </c>
      <c r="B1372">
        <v>-0.93697574140886686</v>
      </c>
      <c r="C1372">
        <v>-1.0578126922139617E-2</v>
      </c>
      <c r="D1372">
        <v>0</v>
      </c>
      <c r="E1372">
        <v>0.18853886303834669</v>
      </c>
      <c r="F1372">
        <v>0</v>
      </c>
      <c r="G1372">
        <v>0.18949713061893261</v>
      </c>
      <c r="H1372">
        <v>0.82137959918731573</v>
      </c>
      <c r="I1372">
        <v>0.75886803935212965</v>
      </c>
      <c r="J1372">
        <v>0.36072760099664103</v>
      </c>
      <c r="L1372">
        <v>3.089548845833447</v>
      </c>
      <c r="M1372">
        <v>3.6313253929774758</v>
      </c>
      <c r="N1372">
        <v>0.83546179030202139</v>
      </c>
      <c r="P1372">
        <v>4.7593739225555839E-12</v>
      </c>
      <c r="R1372">
        <v>4.0494089055462936</v>
      </c>
      <c r="S1372">
        <v>4.0515953972785423</v>
      </c>
      <c r="T1372">
        <v>1</v>
      </c>
      <c r="U1372">
        <v>2.2583374167381618</v>
      </c>
    </row>
    <row r="1373" spans="1:21">
      <c r="A1373">
        <v>1.0612048100193632</v>
      </c>
      <c r="B1373">
        <v>-0.93558673157764449</v>
      </c>
      <c r="C1373">
        <v>-2.66557434654895E-2</v>
      </c>
      <c r="D1373">
        <v>0</v>
      </c>
      <c r="E1373">
        <v>3.0885605853465128E-2</v>
      </c>
      <c r="F1373">
        <v>0</v>
      </c>
      <c r="G1373">
        <v>0.55611194852124002</v>
      </c>
      <c r="H1373">
        <v>0.69558389829437617</v>
      </c>
      <c r="I1373">
        <v>0.96813603499582301</v>
      </c>
      <c r="J1373">
        <v>0.13999220135719881</v>
      </c>
      <c r="L1373">
        <v>3.0895487133768342</v>
      </c>
      <c r="M1373">
        <v>3.6313255500882917</v>
      </c>
      <c r="N1373">
        <v>0.8354617047669749</v>
      </c>
      <c r="P1373">
        <v>4.2985992548380387E-12</v>
      </c>
      <c r="R1373">
        <v>4.0494089055462936</v>
      </c>
      <c r="S1373">
        <v>4.0515953972785423</v>
      </c>
      <c r="T1373">
        <v>1</v>
      </c>
      <c r="U1373">
        <v>2.2583374167381618</v>
      </c>
    </row>
    <row r="1374" spans="1:21">
      <c r="A1374">
        <v>1.0620012217652604</v>
      </c>
      <c r="B1374">
        <v>-0.9403911402967069</v>
      </c>
      <c r="C1374">
        <v>-2.4991060867121662E-2</v>
      </c>
      <c r="D1374">
        <v>0</v>
      </c>
      <c r="E1374">
        <v>0.46777834826956366</v>
      </c>
      <c r="F1374">
        <v>0</v>
      </c>
      <c r="G1374">
        <v>0.59517196737229372</v>
      </c>
      <c r="H1374">
        <v>0.27070234053457615</v>
      </c>
      <c r="I1374">
        <v>0.98867859649199907</v>
      </c>
      <c r="J1374">
        <v>0.2633047481563261</v>
      </c>
      <c r="L1374">
        <v>3.08954886198245</v>
      </c>
      <c r="M1374">
        <v>3.6313252226540986</v>
      </c>
      <c r="N1374">
        <v>0.83546202384966384</v>
      </c>
      <c r="P1374">
        <v>4.7075225950311467E-12</v>
      </c>
      <c r="R1374">
        <v>4.0494089055462936</v>
      </c>
      <c r="S1374">
        <v>4.0515953972785423</v>
      </c>
      <c r="T1374">
        <v>1</v>
      </c>
      <c r="U1374">
        <v>2.2583374167381618</v>
      </c>
    </row>
    <row r="1375" spans="1:21">
      <c r="A1375">
        <v>1.0613552845791712</v>
      </c>
      <c r="B1375">
        <v>-0.94373465634746934</v>
      </c>
      <c r="C1375">
        <v>-3.6446435123790944E-3</v>
      </c>
      <c r="D1375">
        <v>0</v>
      </c>
      <c r="E1375">
        <v>4.4917365264744873E-2</v>
      </c>
      <c r="F1375">
        <v>0</v>
      </c>
      <c r="G1375">
        <v>0.28488459042590103</v>
      </c>
      <c r="H1375">
        <v>0.46105716159752341</v>
      </c>
      <c r="I1375">
        <v>0.36108284400159241</v>
      </c>
      <c r="J1375">
        <v>0.74244364065815971</v>
      </c>
      <c r="L1375">
        <v>3.0895488558012931</v>
      </c>
      <c r="M1375">
        <v>3.6313253297143366</v>
      </c>
      <c r="N1375">
        <v>0.83546184162947812</v>
      </c>
      <c r="P1375">
        <v>4.8154161163373885E-12</v>
      </c>
      <c r="R1375">
        <v>4.0494089055462936</v>
      </c>
      <c r="S1375">
        <v>4.0515953972785423</v>
      </c>
      <c r="T1375">
        <v>1</v>
      </c>
      <c r="U1375">
        <v>2.2583374167381618</v>
      </c>
    </row>
    <row r="1376" spans="1:21">
      <c r="A1376">
        <v>1.0662820861015063</v>
      </c>
      <c r="B1376">
        <v>-0.94060283355350949</v>
      </c>
      <c r="C1376">
        <v>-2.1355564335623557E-2</v>
      </c>
      <c r="D1376">
        <v>0</v>
      </c>
      <c r="E1376">
        <v>0</v>
      </c>
      <c r="F1376">
        <v>0.62376482839548031</v>
      </c>
      <c r="G1376">
        <v>0.68378719408472</v>
      </c>
      <c r="H1376">
        <v>0.28415618752311361</v>
      </c>
      <c r="I1376">
        <v>0.33370500665857616</v>
      </c>
      <c r="J1376">
        <v>0.72435007097614823</v>
      </c>
      <c r="L1376">
        <v>3.0895487212503205</v>
      </c>
      <c r="M1376">
        <v>3.631325280990604</v>
      </c>
      <c r="N1376">
        <v>0.83546242828737838</v>
      </c>
      <c r="P1376">
        <v>3.5297465729888917E-12</v>
      </c>
      <c r="R1376">
        <v>4.0494089055462936</v>
      </c>
      <c r="S1376">
        <v>4.0515953972785423</v>
      </c>
      <c r="T1376">
        <v>1</v>
      </c>
      <c r="U1376">
        <v>2.2583374167381618</v>
      </c>
    </row>
    <row r="1377" spans="1:21">
      <c r="A1377">
        <v>1.0624965100563701</v>
      </c>
      <c r="B1377">
        <v>-0.94503364976056248</v>
      </c>
      <c r="C1377">
        <v>-6.5804602845251905E-3</v>
      </c>
      <c r="D1377">
        <v>0.18331002054471288</v>
      </c>
      <c r="E1377">
        <v>0.17823400385260216</v>
      </c>
      <c r="F1377">
        <v>0</v>
      </c>
      <c r="G1377">
        <v>0.31343817726588913</v>
      </c>
      <c r="H1377">
        <v>0.31726991422935474</v>
      </c>
      <c r="I1377">
        <v>0.29230413522994286</v>
      </c>
      <c r="J1377">
        <v>0.63322812765828018</v>
      </c>
      <c r="L1377">
        <v>3.0895474301926051</v>
      </c>
      <c r="M1377">
        <v>3.6313263796490549</v>
      </c>
      <c r="N1377">
        <v>0.83546231346960065</v>
      </c>
      <c r="P1377">
        <v>6.0310892156732569E-13</v>
      </c>
      <c r="R1377">
        <v>4.0494089055462936</v>
      </c>
      <c r="S1377">
        <v>4.0515953972785423</v>
      </c>
      <c r="T1377">
        <v>1</v>
      </c>
      <c r="U1377">
        <v>2.2583374167381618</v>
      </c>
    </row>
    <row r="1378" spans="1:21">
      <c r="A1378">
        <v>1.0592304471976073</v>
      </c>
      <c r="B1378">
        <v>-0.94605297568781943</v>
      </c>
      <c r="C1378">
        <v>-1.7847049200964582E-2</v>
      </c>
      <c r="D1378">
        <v>0.66715946173965235</v>
      </c>
      <c r="E1378">
        <v>0.2162336140568793</v>
      </c>
      <c r="F1378">
        <v>0</v>
      </c>
      <c r="G1378">
        <v>0.1682611012046952</v>
      </c>
      <c r="H1378">
        <v>0.10267907653854062</v>
      </c>
      <c r="I1378">
        <v>0.4451634074720397</v>
      </c>
      <c r="J1378">
        <v>0.23884032805153152</v>
      </c>
      <c r="L1378">
        <v>3.0895487332464353</v>
      </c>
      <c r="M1378">
        <v>3.6313252935393412</v>
      </c>
      <c r="N1378">
        <v>0.83546242123592906</v>
      </c>
      <c r="P1378">
        <v>3.5342356646221525E-12</v>
      </c>
      <c r="R1378">
        <v>4.0494089055462936</v>
      </c>
      <c r="S1378">
        <v>4.0515953972785423</v>
      </c>
      <c r="T1378">
        <v>1</v>
      </c>
      <c r="U1378">
        <v>2.2583374167381618</v>
      </c>
    </row>
    <row r="1379" spans="1:21">
      <c r="A1379">
        <v>1.0620772220963284</v>
      </c>
      <c r="B1379">
        <v>-0.93836589108570334</v>
      </c>
      <c r="C1379">
        <v>-2.1044292912581627E-2</v>
      </c>
      <c r="D1379">
        <v>0.88488884806332657</v>
      </c>
      <c r="E1379">
        <v>0.70497980459447163</v>
      </c>
      <c r="F1379">
        <v>8.9723146012204755E-2</v>
      </c>
      <c r="G1379">
        <v>0.23810747269199539</v>
      </c>
      <c r="H1379">
        <v>0.86856127768932867</v>
      </c>
      <c r="I1379">
        <v>0.86533870829069237</v>
      </c>
      <c r="J1379">
        <v>3.9875516008203347E-2</v>
      </c>
      <c r="L1379">
        <v>3.0895484734357845</v>
      </c>
      <c r="M1379">
        <v>3.6313256912000633</v>
      </c>
      <c r="N1379">
        <v>0.83546159939893994</v>
      </c>
      <c r="P1379">
        <v>3.8098124053729202E-12</v>
      </c>
      <c r="R1379">
        <v>4.0494089055462936</v>
      </c>
      <c r="S1379">
        <v>4.0515953972785423</v>
      </c>
      <c r="T1379">
        <v>1</v>
      </c>
      <c r="U1379">
        <v>2.2583374167381618</v>
      </c>
    </row>
    <row r="1380" spans="1:21">
      <c r="A1380">
        <v>1.0593105430576919</v>
      </c>
      <c r="B1380">
        <v>-0.94173178309511507</v>
      </c>
      <c r="C1380">
        <v>-3.3843196643654386E-2</v>
      </c>
      <c r="D1380">
        <v>0.11256482559638777</v>
      </c>
      <c r="E1380">
        <v>0</v>
      </c>
      <c r="F1380">
        <v>0</v>
      </c>
      <c r="G1380">
        <v>0.66571507297513577</v>
      </c>
      <c r="H1380">
        <v>7.390773407782085E-2</v>
      </c>
      <c r="I1380">
        <v>0.9709549472181388</v>
      </c>
      <c r="J1380">
        <v>0.1708376848146401</v>
      </c>
      <c r="L1380">
        <v>3.08954845921494</v>
      </c>
      <c r="M1380">
        <v>3.6313253747945313</v>
      </c>
      <c r="N1380">
        <v>0.83546274562510936</v>
      </c>
      <c r="P1380">
        <v>2.4443214957619974E-12</v>
      </c>
      <c r="R1380">
        <v>4.0494089055462936</v>
      </c>
      <c r="S1380">
        <v>4.0515953972785423</v>
      </c>
      <c r="T1380">
        <v>1</v>
      </c>
      <c r="U1380">
        <v>2.2583374167381618</v>
      </c>
    </row>
    <row r="1381" spans="1:21">
      <c r="A1381">
        <v>1.0658380258163636</v>
      </c>
      <c r="B1381">
        <v>-0.93979066872403028</v>
      </c>
      <c r="C1381">
        <v>-3.3948746177676598E-2</v>
      </c>
      <c r="D1381">
        <v>0.41220395569425744</v>
      </c>
      <c r="E1381">
        <v>0.4878108711119804</v>
      </c>
      <c r="F1381">
        <v>0.23597819619099109</v>
      </c>
      <c r="G1381">
        <v>0.88814494645567699</v>
      </c>
      <c r="H1381">
        <v>0.42381154342117638</v>
      </c>
      <c r="I1381">
        <v>0.91017967375509101</v>
      </c>
      <c r="J1381">
        <v>0.24984189676058338</v>
      </c>
      <c r="L1381">
        <v>3.0895488809764426</v>
      </c>
      <c r="M1381">
        <v>3.6313252599999237</v>
      </c>
      <c r="N1381">
        <v>0.83546200209476407</v>
      </c>
      <c r="P1381">
        <v>4.7020051255230177E-12</v>
      </c>
      <c r="R1381">
        <v>4.0494089055462936</v>
      </c>
      <c r="S1381">
        <v>4.0515953972785423</v>
      </c>
      <c r="T1381">
        <v>1</v>
      </c>
      <c r="U1381">
        <v>2.2583374167381618</v>
      </c>
    </row>
    <row r="1382" spans="1:21">
      <c r="A1382">
        <v>1.0584185646131155</v>
      </c>
      <c r="B1382">
        <v>-0.94606780221464026</v>
      </c>
      <c r="C1382">
        <v>-6.8593696562703078E-3</v>
      </c>
      <c r="D1382">
        <v>0.43062015754013949</v>
      </c>
      <c r="E1382">
        <v>0.14677463534908988</v>
      </c>
      <c r="F1382">
        <v>0</v>
      </c>
      <c r="G1382">
        <v>6.9587906866680621E-2</v>
      </c>
      <c r="H1382">
        <v>0.29984914263725193</v>
      </c>
      <c r="I1382">
        <v>0.40368191902215123</v>
      </c>
      <c r="J1382">
        <v>0.55491776932548842</v>
      </c>
      <c r="L1382">
        <v>3.0895481754525402</v>
      </c>
      <c r="M1382">
        <v>3.6313255085860172</v>
      </c>
      <c r="N1382">
        <v>0.83546293219462275</v>
      </c>
      <c r="P1382">
        <v>1.6121006780533344E-12</v>
      </c>
      <c r="R1382">
        <v>4.0494089055462936</v>
      </c>
      <c r="S1382">
        <v>4.0515953972785423</v>
      </c>
      <c r="T1382">
        <v>1</v>
      </c>
      <c r="U1382">
        <v>2.2583374167381618</v>
      </c>
    </row>
    <row r="1383" spans="1:21">
      <c r="A1383">
        <v>1.0606611410325311</v>
      </c>
      <c r="B1383">
        <v>-0.93789707115799725</v>
      </c>
      <c r="C1383">
        <v>-1.803735643246555E-2</v>
      </c>
      <c r="D1383">
        <v>0</v>
      </c>
      <c r="E1383">
        <v>0.4463364943331346</v>
      </c>
      <c r="F1383">
        <v>0.46835975289634635</v>
      </c>
      <c r="G1383">
        <v>0.1949444337201979</v>
      </c>
      <c r="H1383">
        <v>0.40669205298670319</v>
      </c>
      <c r="I1383">
        <v>0.83198109352419392</v>
      </c>
      <c r="J1383">
        <v>0.41993520386714489</v>
      </c>
      <c r="L1383">
        <v>3.0895484532054156</v>
      </c>
      <c r="M1383">
        <v>3.6313254230494358</v>
      </c>
      <c r="N1383">
        <v>0.83546274470433934</v>
      </c>
      <c r="P1383">
        <v>2.318001068415849E-12</v>
      </c>
      <c r="R1383">
        <v>4.0494089055462936</v>
      </c>
      <c r="S1383">
        <v>4.0515953972785423</v>
      </c>
      <c r="T1383">
        <v>1</v>
      </c>
      <c r="U1383">
        <v>2.2583374167381618</v>
      </c>
    </row>
    <row r="1384" spans="1:21">
      <c r="A1384">
        <v>1.0683277130471291</v>
      </c>
      <c r="B1384">
        <v>-0.93607503093833255</v>
      </c>
      <c r="C1384">
        <v>-1.3939949518737581E-2</v>
      </c>
      <c r="D1384">
        <v>0.15815084224921444</v>
      </c>
      <c r="E1384">
        <v>0.14903649474968964</v>
      </c>
      <c r="F1384">
        <v>7.9858255075792445E-2</v>
      </c>
      <c r="G1384">
        <v>0.36185532189597164</v>
      </c>
      <c r="H1384">
        <v>0.68733686344289946</v>
      </c>
      <c r="I1384">
        <v>0.1025059238261469</v>
      </c>
      <c r="J1384">
        <v>0.10249409358419481</v>
      </c>
      <c r="L1384">
        <v>3.0895488796462334</v>
      </c>
      <c r="M1384">
        <v>3.6313253046685534</v>
      </c>
      <c r="N1384">
        <v>0.83546190409418786</v>
      </c>
      <c r="P1384">
        <v>4.7959664669308929E-12</v>
      </c>
      <c r="R1384">
        <v>4.0494089055462936</v>
      </c>
      <c r="S1384">
        <v>4.0515953972785423</v>
      </c>
      <c r="T1384">
        <v>1</v>
      </c>
      <c r="U1384">
        <v>2.2583374167381618</v>
      </c>
    </row>
    <row r="1385" spans="1:21">
      <c r="A1385">
        <v>1.0624841653392609</v>
      </c>
      <c r="B1385">
        <v>-0.94254786833758031</v>
      </c>
      <c r="C1385">
        <v>-2.0724018182071417E-2</v>
      </c>
      <c r="D1385">
        <v>0.32084950742978019</v>
      </c>
      <c r="E1385">
        <v>2.9752843848777678E-2</v>
      </c>
      <c r="F1385">
        <v>0</v>
      </c>
      <c r="G1385">
        <v>0.971534943352797</v>
      </c>
      <c r="H1385">
        <v>0.88151902825952888</v>
      </c>
      <c r="I1385">
        <v>0.95453723138943269</v>
      </c>
      <c r="J1385">
        <v>0.8355798346462574</v>
      </c>
      <c r="L1385">
        <v>3.0895479380572017</v>
      </c>
      <c r="M1385">
        <v>3.6313256758454653</v>
      </c>
      <c r="N1385">
        <v>0.8354630531848698</v>
      </c>
      <c r="P1385">
        <v>1.0139580165130111E-12</v>
      </c>
      <c r="R1385">
        <v>4.0494089055462936</v>
      </c>
      <c r="S1385">
        <v>4.0515953972785423</v>
      </c>
      <c r="T1385">
        <v>1</v>
      </c>
      <c r="U1385">
        <v>2.2583374167381618</v>
      </c>
    </row>
    <row r="1386" spans="1:21">
      <c r="A1386">
        <v>1.0633237658943275</v>
      </c>
      <c r="B1386">
        <v>-0.94425274045346241</v>
      </c>
      <c r="C1386">
        <v>-5.2140288907843585E-3</v>
      </c>
      <c r="D1386">
        <v>0.48058218293368932</v>
      </c>
      <c r="E1386">
        <v>0.26192580043454838</v>
      </c>
      <c r="F1386">
        <v>0.6310028688529401</v>
      </c>
      <c r="G1386">
        <v>4.1141038181720838E-2</v>
      </c>
      <c r="H1386">
        <v>0.30816112488516328</v>
      </c>
      <c r="I1386">
        <v>1.9822236127325484E-2</v>
      </c>
      <c r="J1386">
        <v>0.76708633869289111</v>
      </c>
      <c r="L1386">
        <v>3.0895481049503726</v>
      </c>
      <c r="M1386">
        <v>3.6313255715933606</v>
      </c>
      <c r="N1386">
        <v>0.83546297938206415</v>
      </c>
      <c r="P1386">
        <v>1.3844848231911956E-12</v>
      </c>
      <c r="R1386">
        <v>4.0494089055462936</v>
      </c>
      <c r="S1386">
        <v>4.0515953972785423</v>
      </c>
      <c r="T1386">
        <v>1</v>
      </c>
      <c r="U1386">
        <v>2.2583374167381618</v>
      </c>
    </row>
    <row r="1387" spans="1:21">
      <c r="A1387">
        <v>1.0645591216742132</v>
      </c>
      <c r="B1387">
        <v>-0.94285689702624931</v>
      </c>
      <c r="C1387">
        <v>-6.9849089979842592E-3</v>
      </c>
      <c r="D1387">
        <v>6.34297318310479E-2</v>
      </c>
      <c r="E1387">
        <v>0</v>
      </c>
      <c r="F1387">
        <v>0</v>
      </c>
      <c r="G1387">
        <v>0.47865681228569829</v>
      </c>
      <c r="H1387">
        <v>0.52913656543778242</v>
      </c>
      <c r="I1387">
        <v>0.22881036262202753</v>
      </c>
      <c r="J1387">
        <v>0.68003612528761592</v>
      </c>
      <c r="L1387">
        <v>3.089548132691966</v>
      </c>
      <c r="M1387">
        <v>3.6313258725286142</v>
      </c>
      <c r="N1387">
        <v>0.83546160629062283</v>
      </c>
      <c r="P1387">
        <v>2.9707419977627401E-12</v>
      </c>
      <c r="R1387">
        <v>4.0494089055462936</v>
      </c>
      <c r="S1387">
        <v>4.0515953972785423</v>
      </c>
      <c r="T1387">
        <v>1</v>
      </c>
      <c r="U1387">
        <v>2.2583374167381618</v>
      </c>
    </row>
    <row r="1388" spans="1:21">
      <c r="A1388">
        <v>1.0619707099080147</v>
      </c>
      <c r="B1388">
        <v>-0.94560543203754877</v>
      </c>
      <c r="C1388">
        <v>-9.7579179660474552E-3</v>
      </c>
      <c r="D1388">
        <v>0</v>
      </c>
      <c r="E1388">
        <v>0</v>
      </c>
      <c r="F1388">
        <v>0</v>
      </c>
      <c r="G1388">
        <v>0.59233891921124826</v>
      </c>
      <c r="H1388">
        <v>0.3508475039873486</v>
      </c>
      <c r="I1388">
        <v>0.48662986564081889</v>
      </c>
      <c r="J1388">
        <v>0.86225341337076911</v>
      </c>
      <c r="L1388">
        <v>3.0895488382748724</v>
      </c>
      <c r="M1388">
        <v>3.6313254841257314</v>
      </c>
      <c r="N1388">
        <v>0.83546175366382458</v>
      </c>
      <c r="P1388">
        <v>4.6217903670878571E-12</v>
      </c>
      <c r="R1388">
        <v>4.0494089055462936</v>
      </c>
      <c r="S1388">
        <v>4.0515953972785423</v>
      </c>
      <c r="T1388">
        <v>1</v>
      </c>
      <c r="U1388">
        <v>2.2583374167381618</v>
      </c>
    </row>
    <row r="1389" spans="1:21">
      <c r="A1389">
        <v>1.0590763226762729</v>
      </c>
      <c r="B1389">
        <v>-0.93891308092477355</v>
      </c>
      <c r="C1389">
        <v>-3.1255814355718448E-2</v>
      </c>
      <c r="D1389">
        <v>0</v>
      </c>
      <c r="E1389">
        <v>7.6489571763004513E-3</v>
      </c>
      <c r="F1389">
        <v>0.4494717252276666</v>
      </c>
      <c r="G1389">
        <v>0.4053702498886031</v>
      </c>
      <c r="H1389">
        <v>9.1475176973052436E-2</v>
      </c>
      <c r="I1389">
        <v>0.86637461362625878</v>
      </c>
      <c r="J1389">
        <v>0.26028978181020052</v>
      </c>
      <c r="L1389">
        <v>3.0895472706684659</v>
      </c>
      <c r="M1389">
        <v>3.6313263325375416</v>
      </c>
      <c r="N1389">
        <v>0.83546291950229001</v>
      </c>
      <c r="P1389">
        <v>1.5867678725536792E-13</v>
      </c>
      <c r="R1389">
        <v>4.0494089055462936</v>
      </c>
      <c r="S1389">
        <v>4.0515953972785423</v>
      </c>
      <c r="T1389">
        <v>1</v>
      </c>
      <c r="U1389">
        <v>2.2583374167381618</v>
      </c>
    </row>
    <row r="1390" spans="1:21">
      <c r="A1390">
        <v>1.0626796643915646</v>
      </c>
      <c r="B1390">
        <v>-0.9383327426977951</v>
      </c>
      <c r="C1390">
        <v>-2.2514430222124238E-2</v>
      </c>
      <c r="D1390">
        <v>0.38322691507836654</v>
      </c>
      <c r="E1390">
        <v>0</v>
      </c>
      <c r="F1390">
        <v>0</v>
      </c>
      <c r="G1390">
        <v>0.47367737807311661</v>
      </c>
      <c r="H1390">
        <v>0.69008322373181374</v>
      </c>
      <c r="I1390">
        <v>0.59563224557300865</v>
      </c>
      <c r="J1390">
        <v>0.159205224148421</v>
      </c>
      <c r="L1390">
        <v>3.0895486276612796</v>
      </c>
      <c r="M1390">
        <v>3.6313254575921508</v>
      </c>
      <c r="N1390">
        <v>0.83546170274918008</v>
      </c>
      <c r="P1390">
        <v>4.3121442360585561E-12</v>
      </c>
      <c r="R1390">
        <v>4.0494089055462936</v>
      </c>
      <c r="S1390">
        <v>4.0515953972785423</v>
      </c>
      <c r="T1390">
        <v>1</v>
      </c>
      <c r="U1390">
        <v>2.2583374167381618</v>
      </c>
    </row>
    <row r="1391" spans="1:21">
      <c r="A1391">
        <v>1.0130570721638854</v>
      </c>
      <c r="B1391">
        <v>-1.1455297531118864</v>
      </c>
      <c r="C1391">
        <v>1.5181302909332819</v>
      </c>
      <c r="D1391">
        <v>0</v>
      </c>
      <c r="E1391">
        <v>0.2955904159290062</v>
      </c>
      <c r="F1391">
        <v>0.33067147951388665</v>
      </c>
      <c r="G1391">
        <v>1.426069202755158</v>
      </c>
      <c r="H1391">
        <v>0.74788616883834536</v>
      </c>
      <c r="I1391">
        <v>7.9975449707472175E-3</v>
      </c>
      <c r="J1391">
        <v>0.27681454105527964</v>
      </c>
      <c r="L1391">
        <v>4.4543116311649777</v>
      </c>
      <c r="M1391">
        <v>0.89921689269966154</v>
      </c>
      <c r="N1391">
        <v>3.6313248812028407</v>
      </c>
      <c r="P1391">
        <v>1.7452968944101108E-11</v>
      </c>
      <c r="R1391">
        <v>72.982806835264654</v>
      </c>
      <c r="S1391">
        <v>84.872649675684883</v>
      </c>
      <c r="T1391">
        <v>1</v>
      </c>
      <c r="U1391">
        <v>2.6710695073474904</v>
      </c>
    </row>
    <row r="1392" spans="1:21">
      <c r="A1392">
        <v>1.0137906003422621</v>
      </c>
      <c r="B1392">
        <v>-1.1365721280799705</v>
      </c>
      <c r="C1392">
        <v>1.6974264158881605</v>
      </c>
      <c r="D1392">
        <v>0</v>
      </c>
      <c r="E1392">
        <v>0.27240521221151121</v>
      </c>
      <c r="F1392">
        <v>0.34117157141837917</v>
      </c>
      <c r="G1392">
        <v>0.5315397653419669</v>
      </c>
      <c r="H1392">
        <v>1.0882480533932983</v>
      </c>
      <c r="I1392">
        <v>0.59388468413729345</v>
      </c>
      <c r="J1392">
        <v>0</v>
      </c>
      <c r="L1392">
        <v>4.4543135329630665</v>
      </c>
      <c r="M1392">
        <v>0.89922251644078233</v>
      </c>
      <c r="N1392">
        <v>3.6313230305936299</v>
      </c>
      <c r="P1392">
        <v>3.4736438512739444E-11</v>
      </c>
      <c r="R1392">
        <v>72.982806835264654</v>
      </c>
      <c r="S1392">
        <v>84.872649675684883</v>
      </c>
      <c r="T1392">
        <v>1</v>
      </c>
      <c r="U1392">
        <v>2.6710695073474904</v>
      </c>
    </row>
    <row r="1393" spans="1:21">
      <c r="A1393">
        <v>1.0070060402843581</v>
      </c>
      <c r="B1393">
        <v>-1.154162462421491</v>
      </c>
      <c r="C1393">
        <v>1.8177820896278192</v>
      </c>
      <c r="D1393">
        <v>0</v>
      </c>
      <c r="E1393">
        <v>0.31444053318863818</v>
      </c>
      <c r="F1393">
        <v>0.35089078441041321</v>
      </c>
      <c r="G1393">
        <v>0.80324361032853153</v>
      </c>
      <c r="H1393">
        <v>0.53299165071534027</v>
      </c>
      <c r="I1393">
        <v>0.2989078426033388</v>
      </c>
      <c r="J1393">
        <v>0.40564871688716858</v>
      </c>
      <c r="L1393">
        <v>4.4543143490548376</v>
      </c>
      <c r="M1393">
        <v>0.89921595921535091</v>
      </c>
      <c r="N1393">
        <v>3.631325258570965</v>
      </c>
      <c r="P1393">
        <v>4.19035413350681E-11</v>
      </c>
      <c r="R1393">
        <v>72.982806835264654</v>
      </c>
      <c r="S1393">
        <v>84.872649675684883</v>
      </c>
      <c r="T1393">
        <v>1</v>
      </c>
      <c r="U1393">
        <v>2.6710695073474904</v>
      </c>
    </row>
    <row r="1394" spans="1:21">
      <c r="A1394">
        <v>1.0031634661211206</v>
      </c>
      <c r="B1394">
        <v>-1.1541720037823127</v>
      </c>
      <c r="C1394">
        <v>1.8845381423617726</v>
      </c>
      <c r="D1394">
        <v>0</v>
      </c>
      <c r="E1394">
        <v>0.40368570125907383</v>
      </c>
      <c r="F1394">
        <v>0.2609191757608631</v>
      </c>
      <c r="G1394">
        <v>0.53081518251358739</v>
      </c>
      <c r="H1394">
        <v>0.81302345496861383</v>
      </c>
      <c r="I1394">
        <v>0.33954372051831083</v>
      </c>
      <c r="J1394">
        <v>0.58444166391971575</v>
      </c>
      <c r="L1394">
        <v>4.4543129212594925</v>
      </c>
      <c r="M1394">
        <v>0.89921760156962383</v>
      </c>
      <c r="N1394">
        <v>3.6313194057793607</v>
      </c>
      <c r="P1394">
        <v>6.9326588539306795E-11</v>
      </c>
      <c r="R1394">
        <v>72.982806835264654</v>
      </c>
      <c r="S1394">
        <v>84.872649675684883</v>
      </c>
      <c r="T1394">
        <v>1</v>
      </c>
      <c r="U1394">
        <v>2.6710695073474904</v>
      </c>
    </row>
    <row r="1395" spans="1:21">
      <c r="A1395">
        <v>1.0125037359946372</v>
      </c>
      <c r="B1395">
        <v>-1.135426984897191</v>
      </c>
      <c r="C1395">
        <v>1.5983346173740132</v>
      </c>
      <c r="D1395">
        <v>0</v>
      </c>
      <c r="E1395">
        <v>0.22806672864487645</v>
      </c>
      <c r="F1395">
        <v>0.255144901763803</v>
      </c>
      <c r="G1395">
        <v>0.56592111892853003</v>
      </c>
      <c r="H1395">
        <v>1.1066701172808733</v>
      </c>
      <c r="I1395">
        <v>0</v>
      </c>
      <c r="J1395">
        <v>0</v>
      </c>
      <c r="L1395">
        <v>4.4543108278972996</v>
      </c>
      <c r="M1395">
        <v>0.89921757813516556</v>
      </c>
      <c r="N1395">
        <v>3.6313269194858351</v>
      </c>
      <c r="P1395">
        <v>7.9910128782182128E-12</v>
      </c>
      <c r="R1395">
        <v>72.982806835264654</v>
      </c>
      <c r="S1395">
        <v>84.872649675684883</v>
      </c>
      <c r="T1395">
        <v>1</v>
      </c>
      <c r="U1395">
        <v>2.6710695073474904</v>
      </c>
    </row>
    <row r="1396" spans="1:21">
      <c r="A1396">
        <v>1.0140765798910796</v>
      </c>
      <c r="B1396">
        <v>-1.1334576435946009</v>
      </c>
      <c r="C1396">
        <v>1.5327513579617835</v>
      </c>
      <c r="D1396">
        <v>0</v>
      </c>
      <c r="E1396">
        <v>0.23936603108257762</v>
      </c>
      <c r="F1396">
        <v>0.38324580588462431</v>
      </c>
      <c r="G1396">
        <v>0.35850118487722726</v>
      </c>
      <c r="H1396">
        <v>0.26403904107592524</v>
      </c>
      <c r="I1396">
        <v>0</v>
      </c>
      <c r="J1396">
        <v>0</v>
      </c>
      <c r="L1396">
        <v>4.446489111917213</v>
      </c>
      <c r="M1396">
        <v>0.90811364299152009</v>
      </c>
      <c r="N1396">
        <v>3.6388231778006603</v>
      </c>
      <c r="P1396">
        <v>1.9645329969686414E-4</v>
      </c>
      <c r="R1396">
        <v>72.982806835264654</v>
      </c>
      <c r="S1396">
        <v>84.872649675684883</v>
      </c>
      <c r="T1396">
        <v>1</v>
      </c>
      <c r="U1396">
        <v>2.6710695073474904</v>
      </c>
    </row>
    <row r="1397" spans="1:21">
      <c r="A1397">
        <v>1.0006362521370169</v>
      </c>
      <c r="B1397">
        <v>-1.1635129158908</v>
      </c>
      <c r="C1397">
        <v>1.8844990583487187</v>
      </c>
      <c r="D1397">
        <v>0.26057158680717102</v>
      </c>
      <c r="E1397">
        <v>0.7664490316652558</v>
      </c>
      <c r="F1397">
        <v>0.32864449538514556</v>
      </c>
      <c r="G1397">
        <v>0.61358332580134956</v>
      </c>
      <c r="H1397">
        <v>0.33250830266945447</v>
      </c>
      <c r="I1397">
        <v>0</v>
      </c>
      <c r="J1397">
        <v>0.5577406995453259</v>
      </c>
      <c r="L1397">
        <v>4.454313982453157</v>
      </c>
      <c r="M1397">
        <v>0.89921780238702642</v>
      </c>
      <c r="N1397">
        <v>3.6313230446128029</v>
      </c>
      <c r="P1397">
        <v>3.7588037128920965E-11</v>
      </c>
      <c r="R1397">
        <v>72.982806835264654</v>
      </c>
      <c r="S1397">
        <v>84.872649675684883</v>
      </c>
      <c r="T1397">
        <v>1</v>
      </c>
      <c r="U1397">
        <v>2.6710695073474904</v>
      </c>
    </row>
    <row r="1398" spans="1:21">
      <c r="A1398">
        <v>1.0090535609337543</v>
      </c>
      <c r="B1398">
        <v>-1.1485856616942864</v>
      </c>
      <c r="C1398">
        <v>1.6563276228301975</v>
      </c>
      <c r="D1398">
        <v>0</v>
      </c>
      <c r="E1398">
        <v>0.86797938767537575</v>
      </c>
      <c r="F1398">
        <v>0.28593267195894934</v>
      </c>
      <c r="G1398">
        <v>1.1042717063467971</v>
      </c>
      <c r="H1398">
        <v>0.84734287811625852</v>
      </c>
      <c r="I1398">
        <v>0.65467898678419345</v>
      </c>
      <c r="J1398">
        <v>0.43460690995262952</v>
      </c>
      <c r="L1398">
        <v>4.4543127599826189</v>
      </c>
      <c r="M1398">
        <v>0.89921745734996616</v>
      </c>
      <c r="N1398">
        <v>3.6313194491111234</v>
      </c>
      <c r="P1398">
        <v>6.8370209311901042E-11</v>
      </c>
      <c r="R1398">
        <v>72.982806835264654</v>
      </c>
      <c r="S1398">
        <v>84.872649675684883</v>
      </c>
      <c r="T1398">
        <v>1</v>
      </c>
      <c r="U1398">
        <v>2.6710695073474904</v>
      </c>
    </row>
    <row r="1399" spans="1:21">
      <c r="A1399">
        <v>1.013639836481484</v>
      </c>
      <c r="B1399">
        <v>-1.1362177036239463</v>
      </c>
      <c r="C1399">
        <v>1.4082885936522846</v>
      </c>
      <c r="D1399">
        <v>0.17988310101959926</v>
      </c>
      <c r="E1399">
        <v>0.69989066218231877</v>
      </c>
      <c r="F1399">
        <v>0.35317194838065707</v>
      </c>
      <c r="G1399">
        <v>1.1612675584304168</v>
      </c>
      <c r="H1399">
        <v>1.2268494895553603</v>
      </c>
      <c r="I1399">
        <v>0</v>
      </c>
      <c r="J1399">
        <v>0.19314288695849818</v>
      </c>
      <c r="L1399">
        <v>4.4543135526111968</v>
      </c>
      <c r="M1399">
        <v>0.89922094957324072</v>
      </c>
      <c r="N1399">
        <v>3.6313207857898706</v>
      </c>
      <c r="P1399">
        <v>5.074100709610535E-11</v>
      </c>
      <c r="R1399">
        <v>72.982806835264654</v>
      </c>
      <c r="S1399">
        <v>84.872649675684883</v>
      </c>
      <c r="T1399">
        <v>1</v>
      </c>
      <c r="U1399">
        <v>2.6710695073474904</v>
      </c>
    </row>
    <row r="1400" spans="1:21">
      <c r="A1400">
        <v>1.0150933894135137</v>
      </c>
      <c r="B1400">
        <v>-1.1416784362371795</v>
      </c>
      <c r="C1400">
        <v>1.5031448127496105</v>
      </c>
      <c r="D1400">
        <v>0</v>
      </c>
      <c r="E1400">
        <v>0.25364013725011364</v>
      </c>
      <c r="F1400">
        <v>0.43364693261137227</v>
      </c>
      <c r="G1400">
        <v>1.2775279430144346</v>
      </c>
      <c r="H1400">
        <v>0.72654367625795302</v>
      </c>
      <c r="I1400">
        <v>0</v>
      </c>
      <c r="J1400">
        <v>0.12564562265966958</v>
      </c>
      <c r="L1400">
        <v>4.4543152985065388</v>
      </c>
      <c r="M1400">
        <v>0.89922257111183035</v>
      </c>
      <c r="N1400">
        <v>3.6313252342348115</v>
      </c>
      <c r="P1400">
        <v>4.1383924295709941E-11</v>
      </c>
      <c r="R1400">
        <v>72.982806835264654</v>
      </c>
      <c r="S1400">
        <v>84.872649675684883</v>
      </c>
      <c r="T1400">
        <v>1</v>
      </c>
      <c r="U1400">
        <v>2.6710695073474904</v>
      </c>
    </row>
    <row r="1401" spans="1:21">
      <c r="A1401">
        <v>1.0206293135582187</v>
      </c>
      <c r="B1401">
        <v>-1.1373330810199691</v>
      </c>
      <c r="C1401">
        <v>1.4522887301510747</v>
      </c>
      <c r="D1401">
        <v>0</v>
      </c>
      <c r="E1401">
        <v>0.40174300208389047</v>
      </c>
      <c r="F1401">
        <v>0.67228070807661366</v>
      </c>
      <c r="G1401">
        <v>1.467168030041462</v>
      </c>
      <c r="H1401">
        <v>0.69994639420929572</v>
      </c>
      <c r="I1401">
        <v>0.5422157662744459</v>
      </c>
      <c r="J1401">
        <v>0</v>
      </c>
      <c r="L1401">
        <v>4.4543149828191311</v>
      </c>
      <c r="M1401">
        <v>0.89921763205666039</v>
      </c>
      <c r="N1401">
        <v>3.6313235471935785</v>
      </c>
      <c r="P1401">
        <v>4.4975850664920002E-11</v>
      </c>
      <c r="R1401">
        <v>72.982806835264654</v>
      </c>
      <c r="S1401">
        <v>84.872649675684883</v>
      </c>
      <c r="T1401">
        <v>1</v>
      </c>
      <c r="U1401">
        <v>2.6710695073474904</v>
      </c>
    </row>
    <row r="1402" spans="1:21">
      <c r="A1402">
        <v>1.0146636490371947</v>
      </c>
      <c r="B1402">
        <v>-1.1354407186926914</v>
      </c>
      <c r="C1402">
        <v>1.3922542932214585</v>
      </c>
      <c r="D1402">
        <v>0</v>
      </c>
      <c r="E1402">
        <v>1.0059150312100629</v>
      </c>
      <c r="F1402">
        <v>0.37252449821672118</v>
      </c>
      <c r="G1402">
        <v>1.0562711612196367</v>
      </c>
      <c r="H1402">
        <v>0.87013473500110916</v>
      </c>
      <c r="I1402">
        <v>0.10261832758209258</v>
      </c>
      <c r="J1402">
        <v>0</v>
      </c>
      <c r="L1402">
        <v>4.4543136833463546</v>
      </c>
      <c r="M1402">
        <v>0.89921686402877399</v>
      </c>
      <c r="N1402">
        <v>3.631322237838067</v>
      </c>
      <c r="P1402">
        <v>4.6535927366351607E-11</v>
      </c>
      <c r="R1402">
        <v>72.982806835264654</v>
      </c>
      <c r="S1402">
        <v>84.872649675684883</v>
      </c>
      <c r="T1402">
        <v>1</v>
      </c>
      <c r="U1402">
        <v>2.6710695073474904</v>
      </c>
    </row>
    <row r="1403" spans="1:21">
      <c r="A1403">
        <v>1.0126477712529274</v>
      </c>
      <c r="B1403">
        <v>-1.1446100062784041</v>
      </c>
      <c r="C1403">
        <v>1.5448067457741759</v>
      </c>
      <c r="D1403">
        <v>0</v>
      </c>
      <c r="E1403">
        <v>0.87728616575440621</v>
      </c>
      <c r="F1403">
        <v>0.33586201131591215</v>
      </c>
      <c r="G1403">
        <v>1.2781344068727087</v>
      </c>
      <c r="H1403">
        <v>0.7895563761484401</v>
      </c>
      <c r="I1403">
        <v>0.56633530517391961</v>
      </c>
      <c r="J1403">
        <v>0.25826976488199954</v>
      </c>
      <c r="L1403">
        <v>4.4543125956625662</v>
      </c>
      <c r="M1403">
        <v>0.89921735858014806</v>
      </c>
      <c r="N1403">
        <v>3.6313194911590809</v>
      </c>
      <c r="P1403">
        <v>6.7262308804721518E-11</v>
      </c>
      <c r="R1403">
        <v>72.982806835264654</v>
      </c>
      <c r="S1403">
        <v>84.872649675684883</v>
      </c>
      <c r="T1403">
        <v>1</v>
      </c>
      <c r="U1403">
        <v>2.6710695073474904</v>
      </c>
    </row>
    <row r="1404" spans="1:21">
      <c r="A1404">
        <v>1.0102429435544171</v>
      </c>
      <c r="B1404">
        <v>-1.1509367367724648</v>
      </c>
      <c r="C1404">
        <v>1.7869376201157752</v>
      </c>
      <c r="D1404">
        <v>0.43799384143425596</v>
      </c>
      <c r="E1404">
        <v>0.2537527231713726</v>
      </c>
      <c r="F1404">
        <v>0.6180266815800457</v>
      </c>
      <c r="G1404">
        <v>0.94622024110305591</v>
      </c>
      <c r="H1404">
        <v>0.99057829045926604</v>
      </c>
      <c r="I1404">
        <v>0.57518409922281366</v>
      </c>
      <c r="J1404">
        <v>0.4739458965350829</v>
      </c>
      <c r="L1404">
        <v>4.4543163611727232</v>
      </c>
      <c r="M1404">
        <v>0.89922081379464713</v>
      </c>
      <c r="N1404">
        <v>3.6313240130496758</v>
      </c>
      <c r="P1404">
        <v>5.3891224012693897E-11</v>
      </c>
      <c r="R1404">
        <v>72.982806835264654</v>
      </c>
      <c r="S1404">
        <v>84.872649675684883</v>
      </c>
      <c r="T1404">
        <v>1</v>
      </c>
      <c r="U1404">
        <v>2.6710695073474904</v>
      </c>
    </row>
    <row r="1405" spans="1:21">
      <c r="A1405">
        <v>1.0123610633245383</v>
      </c>
      <c r="B1405">
        <v>-1.1469833848568294</v>
      </c>
      <c r="C1405">
        <v>1.7544511227486141</v>
      </c>
      <c r="D1405">
        <v>0</v>
      </c>
      <c r="E1405">
        <v>0.43268991411013019</v>
      </c>
      <c r="F1405">
        <v>0.34207802297786033</v>
      </c>
      <c r="G1405">
        <v>0.74805012987012243</v>
      </c>
      <c r="H1405">
        <v>0.49809123742992739</v>
      </c>
      <c r="I1405">
        <v>0.58863035938998431</v>
      </c>
      <c r="J1405">
        <v>0</v>
      </c>
      <c r="L1405">
        <v>4.4543136701012713</v>
      </c>
      <c r="M1405">
        <v>0.89921671829089511</v>
      </c>
      <c r="N1405">
        <v>3.6313227345171839</v>
      </c>
      <c r="P1405">
        <v>4.3296106021745541E-11</v>
      </c>
      <c r="R1405">
        <v>72.982806835264654</v>
      </c>
      <c r="S1405">
        <v>84.872649675684883</v>
      </c>
      <c r="T1405">
        <v>1</v>
      </c>
      <c r="U1405">
        <v>2.6710695073474904</v>
      </c>
    </row>
    <row r="1406" spans="1:21">
      <c r="A1406">
        <v>1.0164110871606609</v>
      </c>
      <c r="B1406">
        <v>-1.1420352548614863</v>
      </c>
      <c r="C1406">
        <v>1.5266158005641879</v>
      </c>
      <c r="D1406">
        <v>0</v>
      </c>
      <c r="E1406">
        <v>0.66430873778416655</v>
      </c>
      <c r="F1406">
        <v>0.3558470241077264</v>
      </c>
      <c r="G1406">
        <v>1.3145411880524798</v>
      </c>
      <c r="H1406">
        <v>0.65714522627466676</v>
      </c>
      <c r="I1406">
        <v>0.59045065729304602</v>
      </c>
      <c r="J1406">
        <v>0</v>
      </c>
      <c r="L1406">
        <v>4.4543128987381575</v>
      </c>
      <c r="M1406">
        <v>0.89921643060413348</v>
      </c>
      <c r="N1406">
        <v>3.6313226995657719</v>
      </c>
      <c r="P1406">
        <v>3.978806357280095E-11</v>
      </c>
      <c r="R1406">
        <v>72.982806835264654</v>
      </c>
      <c r="S1406">
        <v>84.872649675684883</v>
      </c>
      <c r="T1406">
        <v>1</v>
      </c>
      <c r="U1406">
        <v>2.6710695073474904</v>
      </c>
    </row>
    <row r="1407" spans="1:21">
      <c r="A1407">
        <v>1.0135729477748388</v>
      </c>
      <c r="B1407">
        <v>-1.1362661760271919</v>
      </c>
      <c r="C1407">
        <v>1.6505261880639372</v>
      </c>
      <c r="D1407">
        <v>0</v>
      </c>
      <c r="E1407">
        <v>0.24402855907312523</v>
      </c>
      <c r="F1407">
        <v>0.3570539819109968</v>
      </c>
      <c r="G1407">
        <v>0.76451869698065489</v>
      </c>
      <c r="H1407">
        <v>1.3082699723938596</v>
      </c>
      <c r="I1407">
        <v>0.61612233594822063</v>
      </c>
      <c r="J1407">
        <v>0.20409641862580311</v>
      </c>
      <c r="L1407">
        <v>4.4543165106207105</v>
      </c>
      <c r="M1407">
        <v>0.89922080615916544</v>
      </c>
      <c r="N1407">
        <v>3.6313240499584825</v>
      </c>
      <c r="P1407">
        <v>5.5754200682218466E-11</v>
      </c>
      <c r="R1407">
        <v>72.982806835264654</v>
      </c>
      <c r="S1407">
        <v>84.872649675684883</v>
      </c>
      <c r="T1407">
        <v>1</v>
      </c>
      <c r="U1407">
        <v>2.6710695073474904</v>
      </c>
    </row>
    <row r="1408" spans="1:21">
      <c r="A1408">
        <v>1.0049762740759212</v>
      </c>
      <c r="B1408">
        <v>-1.1518277556634875</v>
      </c>
      <c r="C1408">
        <v>1.7449314808017578</v>
      </c>
      <c r="D1408">
        <v>0</v>
      </c>
      <c r="E1408">
        <v>1.0297388113464929</v>
      </c>
      <c r="F1408">
        <v>0.20274812601050363</v>
      </c>
      <c r="G1408">
        <v>0.49486239396890958</v>
      </c>
      <c r="H1408">
        <v>0.40665975919144054</v>
      </c>
      <c r="I1408">
        <v>0.15045411742321502</v>
      </c>
      <c r="J1408">
        <v>0.19296582170986709</v>
      </c>
      <c r="L1408">
        <v>4.4543134760019933</v>
      </c>
      <c r="M1408">
        <v>0.89921803176201598</v>
      </c>
      <c r="N1408">
        <v>3.6313192813456867</v>
      </c>
      <c r="P1408">
        <v>7.3263042943685589E-11</v>
      </c>
      <c r="R1408">
        <v>72.982806835264654</v>
      </c>
      <c r="S1408">
        <v>84.872649675684883</v>
      </c>
      <c r="T1408">
        <v>1</v>
      </c>
      <c r="U1408">
        <v>2.6710695073474904</v>
      </c>
    </row>
    <row r="1409" spans="1:21">
      <c r="A1409">
        <v>1.0119882688814361</v>
      </c>
      <c r="B1409">
        <v>-1.1414035779587148</v>
      </c>
      <c r="C1409">
        <v>1.5604285483358913</v>
      </c>
      <c r="D1409">
        <v>0.30472722294401094</v>
      </c>
      <c r="E1409">
        <v>0.57458175730199845</v>
      </c>
      <c r="F1409">
        <v>0.23666293485875411</v>
      </c>
      <c r="G1409">
        <v>0.85032099659552618</v>
      </c>
      <c r="H1409">
        <v>0.97301892211150642</v>
      </c>
      <c r="I1409">
        <v>0</v>
      </c>
      <c r="J1409">
        <v>0</v>
      </c>
      <c r="L1409">
        <v>4.4543133036691493</v>
      </c>
      <c r="M1409">
        <v>0.89921698627720836</v>
      </c>
      <c r="N1409">
        <v>3.6313220966605497</v>
      </c>
      <c r="P1409">
        <v>4.4009626349797416E-11</v>
      </c>
      <c r="R1409">
        <v>72.982806835264654</v>
      </c>
      <c r="S1409">
        <v>84.872649675684883</v>
      </c>
      <c r="T1409">
        <v>1</v>
      </c>
      <c r="U1409">
        <v>2.6710695073474904</v>
      </c>
    </row>
    <row r="1410" spans="1:21">
      <c r="A1410">
        <v>1.0174241071808932</v>
      </c>
      <c r="B1410">
        <v>-1.1273717911528462</v>
      </c>
      <c r="C1410">
        <v>1.3749799029668972</v>
      </c>
      <c r="D1410">
        <v>0</v>
      </c>
      <c r="E1410">
        <v>0.37968998478786026</v>
      </c>
      <c r="F1410">
        <v>0.42473069240613825</v>
      </c>
      <c r="G1410">
        <v>0.98103364052467545</v>
      </c>
      <c r="H1410">
        <v>1.3450203310473023</v>
      </c>
      <c r="I1410">
        <v>0</v>
      </c>
      <c r="J1410">
        <v>0</v>
      </c>
      <c r="L1410">
        <v>4.454314170711374</v>
      </c>
      <c r="M1410">
        <v>0.89921808796416647</v>
      </c>
      <c r="N1410">
        <v>3.6313210374367224</v>
      </c>
      <c r="P1410">
        <v>5.6383673261404813E-11</v>
      </c>
      <c r="R1410">
        <v>72.982806835264654</v>
      </c>
      <c r="S1410">
        <v>84.872649675684883</v>
      </c>
      <c r="T1410">
        <v>1</v>
      </c>
      <c r="U1410">
        <v>2.6710695073474904</v>
      </c>
    </row>
    <row r="1411" spans="1:21">
      <c r="A1411">
        <v>1.0141905314905797</v>
      </c>
      <c r="B1411">
        <v>-1.1408742496239916</v>
      </c>
      <c r="C1411">
        <v>1.5076102274702068</v>
      </c>
      <c r="D1411">
        <v>0</v>
      </c>
      <c r="E1411">
        <v>0.83452663894842694</v>
      </c>
      <c r="F1411">
        <v>0.47932565683939454</v>
      </c>
      <c r="G1411">
        <v>1.2414178067833805</v>
      </c>
      <c r="H1411">
        <v>0.88776895874638251</v>
      </c>
      <c r="I1411">
        <v>0.55298600544779974</v>
      </c>
      <c r="J1411">
        <v>0.25527342023711891</v>
      </c>
      <c r="L1411">
        <v>4.4543131835602896</v>
      </c>
      <c r="M1411">
        <v>0.89921706578522564</v>
      </c>
      <c r="N1411">
        <v>3.6313231189617681</v>
      </c>
      <c r="P1411">
        <v>3.447338687490573E-11</v>
      </c>
      <c r="R1411">
        <v>72.982806835264654</v>
      </c>
      <c r="S1411">
        <v>84.872649675684883</v>
      </c>
      <c r="T1411">
        <v>1</v>
      </c>
      <c r="U1411">
        <v>2.6710695073474904</v>
      </c>
    </row>
    <row r="1412" spans="1:21">
      <c r="A1412">
        <v>1.0147694086977259</v>
      </c>
      <c r="B1412">
        <v>-1.1358933641093234</v>
      </c>
      <c r="C1412">
        <v>1.4453783808462881</v>
      </c>
      <c r="D1412">
        <v>0</v>
      </c>
      <c r="E1412">
        <v>0.27056012707586158</v>
      </c>
      <c r="F1412">
        <v>0.7230405103628581</v>
      </c>
      <c r="G1412">
        <v>1.2252397087807165</v>
      </c>
      <c r="H1412">
        <v>1.1887684009093076</v>
      </c>
      <c r="I1412">
        <v>0</v>
      </c>
      <c r="J1412">
        <v>0.45025958077077199</v>
      </c>
      <c r="L1412">
        <v>4.4543140290037737</v>
      </c>
      <c r="M1412">
        <v>0.89921882167197809</v>
      </c>
      <c r="N1412">
        <v>3.6313213491310781</v>
      </c>
      <c r="P1412">
        <v>4.9349593919880877E-11</v>
      </c>
      <c r="R1412">
        <v>72.982806835264654</v>
      </c>
      <c r="S1412">
        <v>84.872649675684883</v>
      </c>
      <c r="T1412">
        <v>1</v>
      </c>
      <c r="U1412">
        <v>2.6710695073474904</v>
      </c>
    </row>
    <row r="1413" spans="1:21">
      <c r="A1413">
        <v>1.0168046956776478</v>
      </c>
      <c r="B1413">
        <v>-1.138836697803093</v>
      </c>
      <c r="C1413">
        <v>1.494051004672021</v>
      </c>
      <c r="D1413">
        <v>4.9800855002557723E-2</v>
      </c>
      <c r="E1413">
        <v>0.28533908498100596</v>
      </c>
      <c r="F1413">
        <v>0.59163611981055664</v>
      </c>
      <c r="G1413">
        <v>1.1212668077846855</v>
      </c>
      <c r="H1413">
        <v>0.67259096373344707</v>
      </c>
      <c r="I1413">
        <v>0</v>
      </c>
      <c r="J1413">
        <v>0</v>
      </c>
      <c r="L1413">
        <v>4.4543117916647095</v>
      </c>
      <c r="M1413">
        <v>0.89921625716955533</v>
      </c>
      <c r="N1413">
        <v>3.6313243393672368</v>
      </c>
      <c r="P1413">
        <v>2.4749744926092792E-11</v>
      </c>
      <c r="R1413">
        <v>72.982806835264654</v>
      </c>
      <c r="S1413">
        <v>84.872649675684883</v>
      </c>
      <c r="T1413">
        <v>1</v>
      </c>
      <c r="U1413">
        <v>2.6710695073474904</v>
      </c>
    </row>
    <row r="1414" spans="1:21">
      <c r="A1414">
        <v>1.0133793224740242</v>
      </c>
      <c r="B1414">
        <v>-1.1473205185552857</v>
      </c>
      <c r="C1414">
        <v>1.7162179628056613</v>
      </c>
      <c r="D1414">
        <v>0</v>
      </c>
      <c r="E1414">
        <v>0.20642284628447236</v>
      </c>
      <c r="F1414">
        <v>0.23021585183530519</v>
      </c>
      <c r="G1414">
        <v>1.1455672394301903</v>
      </c>
      <c r="H1414">
        <v>0.74558090027816515</v>
      </c>
      <c r="I1414">
        <v>0.70731054663716231</v>
      </c>
      <c r="J1414">
        <v>0.14719907914999711</v>
      </c>
      <c r="L1414">
        <v>4.4543151334774382</v>
      </c>
      <c r="M1414">
        <v>0.89921621435956156</v>
      </c>
      <c r="N1414">
        <v>3.6313209926274115</v>
      </c>
      <c r="P1414">
        <v>7.7680175762005425E-11</v>
      </c>
      <c r="R1414">
        <v>72.982806835264654</v>
      </c>
      <c r="S1414">
        <v>84.872649675684883</v>
      </c>
      <c r="T1414">
        <v>1</v>
      </c>
      <c r="U1414">
        <v>2.6710695073474904</v>
      </c>
    </row>
    <row r="1415" spans="1:21">
      <c r="A1415">
        <v>1.014847360565357</v>
      </c>
      <c r="B1415">
        <v>-1.1409868945361772</v>
      </c>
      <c r="C1415">
        <v>1.5664469577341704</v>
      </c>
      <c r="D1415">
        <v>0</v>
      </c>
      <c r="E1415">
        <v>0.60495670154565184</v>
      </c>
      <c r="F1415">
        <v>0.28680455762091867</v>
      </c>
      <c r="G1415">
        <v>1.0847814008775523</v>
      </c>
      <c r="H1415">
        <v>0.77709120553884814</v>
      </c>
      <c r="I1415">
        <v>0.5116998375790025</v>
      </c>
      <c r="J1415">
        <v>0</v>
      </c>
      <c r="L1415">
        <v>4.4543136879448335</v>
      </c>
      <c r="M1415">
        <v>0.8992168328080189</v>
      </c>
      <c r="N1415">
        <v>3.6313223347659203</v>
      </c>
      <c r="P1415">
        <v>4.5939213793232632E-11</v>
      </c>
      <c r="R1415">
        <v>72.982806835264654</v>
      </c>
      <c r="S1415">
        <v>84.872649675684883</v>
      </c>
      <c r="T1415">
        <v>1</v>
      </c>
      <c r="U1415">
        <v>2.6710695073474904</v>
      </c>
    </row>
    <row r="1416" spans="1:21">
      <c r="A1416">
        <v>1.0172616866622881</v>
      </c>
      <c r="B1416">
        <v>-1.1336297540462423</v>
      </c>
      <c r="C1416">
        <v>1.5966017124113132</v>
      </c>
      <c r="D1416">
        <v>0</v>
      </c>
      <c r="E1416">
        <v>0.22651210023173587</v>
      </c>
      <c r="F1416">
        <v>0.99205522087775255</v>
      </c>
      <c r="G1416">
        <v>0.52059659514064272</v>
      </c>
      <c r="H1416">
        <v>0.71639898653846468</v>
      </c>
      <c r="I1416">
        <v>0.16913452676319163</v>
      </c>
      <c r="J1416">
        <v>0</v>
      </c>
      <c r="L1416">
        <v>4.4543141088653879</v>
      </c>
      <c r="M1416">
        <v>0.89921728518763033</v>
      </c>
      <c r="N1416">
        <v>3.6313219556770675</v>
      </c>
      <c r="P1416">
        <v>5.0268837291081308E-11</v>
      </c>
      <c r="R1416">
        <v>72.982806835264654</v>
      </c>
      <c r="S1416">
        <v>84.872649675684883</v>
      </c>
      <c r="T1416">
        <v>1</v>
      </c>
      <c r="U1416">
        <v>2.6710695073474904</v>
      </c>
    </row>
    <row r="1417" spans="1:21">
      <c r="A1417">
        <v>1.0080663762949746</v>
      </c>
      <c r="B1417">
        <v>-1.1444112784003906</v>
      </c>
      <c r="C1417">
        <v>1.7578149889495187</v>
      </c>
      <c r="D1417">
        <v>0</v>
      </c>
      <c r="E1417">
        <v>0.24941834344432717</v>
      </c>
      <c r="F1417">
        <v>0.3085938840631216</v>
      </c>
      <c r="G1417">
        <v>0.66524507367436836</v>
      </c>
      <c r="H1417">
        <v>1.181491016137586</v>
      </c>
      <c r="I1417">
        <v>0.4273010735561914</v>
      </c>
      <c r="J1417">
        <v>0.46318944362273951</v>
      </c>
      <c r="L1417">
        <v>4.4543165167273022</v>
      </c>
      <c r="M1417">
        <v>0.89922089210474576</v>
      </c>
      <c r="N1417">
        <v>3.631323982116867</v>
      </c>
      <c r="P1417">
        <v>5.6323970399039944E-11</v>
      </c>
      <c r="R1417">
        <v>72.982806835264654</v>
      </c>
      <c r="S1417">
        <v>84.872649675684883</v>
      </c>
      <c r="T1417">
        <v>1</v>
      </c>
      <c r="U1417">
        <v>2.6710695073474904</v>
      </c>
    </row>
    <row r="1418" spans="1:21">
      <c r="A1418">
        <v>1.0113270006939701</v>
      </c>
      <c r="B1418">
        <v>-1.1413461950898258</v>
      </c>
      <c r="C1418">
        <v>1.4509290746518002</v>
      </c>
      <c r="D1418">
        <v>0</v>
      </c>
      <c r="E1418">
        <v>1.2004177093324091</v>
      </c>
      <c r="F1418">
        <v>0.304077686527855</v>
      </c>
      <c r="G1418">
        <v>0.96557378785731562</v>
      </c>
      <c r="H1418">
        <v>0.6215706806611504</v>
      </c>
      <c r="I1418">
        <v>0</v>
      </c>
      <c r="J1418">
        <v>4.7456159065118672E-2</v>
      </c>
      <c r="L1418">
        <v>4.4543136926546456</v>
      </c>
      <c r="M1418">
        <v>0.89922319517897709</v>
      </c>
      <c r="N1418">
        <v>3.6313224999819749</v>
      </c>
      <c r="P1418">
        <v>4.3890949321350209E-11</v>
      </c>
      <c r="R1418">
        <v>72.982806835264654</v>
      </c>
      <c r="S1418">
        <v>84.872649675684883</v>
      </c>
      <c r="T1418">
        <v>1</v>
      </c>
      <c r="U1418">
        <v>2.6710695073474904</v>
      </c>
    </row>
    <row r="1419" spans="1:21">
      <c r="A1419">
        <v>1.013608343544494</v>
      </c>
      <c r="B1419">
        <v>-1.1313492489443657</v>
      </c>
      <c r="C1419">
        <v>1.4483379202490221</v>
      </c>
      <c r="D1419">
        <v>0</v>
      </c>
      <c r="E1419">
        <v>0.57236970659174724</v>
      </c>
      <c r="F1419">
        <v>0.36666246087364285</v>
      </c>
      <c r="G1419">
        <v>0.79866946337705091</v>
      </c>
      <c r="H1419">
        <v>1.2994526889703266</v>
      </c>
      <c r="I1419">
        <v>0</v>
      </c>
      <c r="J1419">
        <v>0.12174653972890646</v>
      </c>
      <c r="L1419">
        <v>4.4543141028951547</v>
      </c>
      <c r="M1419">
        <v>0.8992176828579882</v>
      </c>
      <c r="N1419">
        <v>3.6313232507996203</v>
      </c>
      <c r="P1419">
        <v>3.7807810197499988E-11</v>
      </c>
      <c r="R1419">
        <v>72.982806835264654</v>
      </c>
      <c r="S1419">
        <v>84.872649675684883</v>
      </c>
      <c r="T1419">
        <v>1</v>
      </c>
      <c r="U1419">
        <v>2.6710695073474904</v>
      </c>
    </row>
    <row r="1420" spans="1:21">
      <c r="A1420">
        <v>1.0217933042677583</v>
      </c>
      <c r="B1420">
        <v>-1.1253452730660469</v>
      </c>
      <c r="C1420">
        <v>1.3049953270190739</v>
      </c>
      <c r="D1420">
        <v>0</v>
      </c>
      <c r="E1420">
        <v>0.31129033270829837</v>
      </c>
      <c r="F1420">
        <v>0.76503875781092523</v>
      </c>
      <c r="G1420">
        <v>1.2447859913025987</v>
      </c>
      <c r="H1420">
        <v>1.2182342697471782</v>
      </c>
      <c r="I1420">
        <v>0.11554184380315805</v>
      </c>
      <c r="J1420">
        <v>0</v>
      </c>
      <c r="L1420">
        <v>4.4543090506163345</v>
      </c>
      <c r="M1420">
        <v>0.8992222208553774</v>
      </c>
      <c r="N1420">
        <v>3.631325229445729</v>
      </c>
      <c r="P1420">
        <v>6.7351969781677557E-12</v>
      </c>
      <c r="R1420">
        <v>72.982806835264654</v>
      </c>
      <c r="S1420">
        <v>84.872649675684883</v>
      </c>
      <c r="T1420">
        <v>1</v>
      </c>
      <c r="U1420">
        <v>2.6710695073474904</v>
      </c>
    </row>
    <row r="1421" spans="1:21">
      <c r="A1421">
        <v>1.096628193602635</v>
      </c>
      <c r="B1421">
        <v>-1.0176210327018715</v>
      </c>
      <c r="C1421">
        <v>-9.0177876339100019E-3</v>
      </c>
      <c r="D1421">
        <v>7.5019993591841458E-2</v>
      </c>
      <c r="E1421">
        <v>0.17589791637189117</v>
      </c>
      <c r="F1421">
        <v>0</v>
      </c>
      <c r="G1421">
        <v>0.93721618431870224</v>
      </c>
      <c r="H1421">
        <v>0.93993632949463213</v>
      </c>
      <c r="I1421">
        <v>0.91148784221248902</v>
      </c>
      <c r="J1421">
        <v>0.53150382923362605</v>
      </c>
      <c r="L1421">
        <v>4.4543090938321788</v>
      </c>
      <c r="M1421">
        <v>0.89922335345220461</v>
      </c>
      <c r="N1421">
        <v>0.83546200518065106</v>
      </c>
      <c r="P1421">
        <v>1.20693721557684E-11</v>
      </c>
      <c r="R1421">
        <v>5.1467264236282633</v>
      </c>
      <c r="S1421">
        <v>5.155149298810846</v>
      </c>
      <c r="T1421">
        <v>1</v>
      </c>
      <c r="U1421">
        <v>2.6542403488348061</v>
      </c>
    </row>
    <row r="1422" spans="1:21">
      <c r="A1422">
        <v>1.0980709484563451</v>
      </c>
      <c r="B1422">
        <v>-1.0127552172180116</v>
      </c>
      <c r="C1422">
        <v>9.167090068184584E-3</v>
      </c>
      <c r="D1422">
        <v>0.19132561683821869</v>
      </c>
      <c r="E1422">
        <v>0</v>
      </c>
      <c r="F1422">
        <v>0</v>
      </c>
      <c r="G1422">
        <v>8.6606854252555848E-2</v>
      </c>
      <c r="H1422">
        <v>0.38373245337075268</v>
      </c>
      <c r="I1422">
        <v>3.3086254273287485E-2</v>
      </c>
      <c r="J1422">
        <v>0.10223356068052393</v>
      </c>
      <c r="L1422">
        <v>4.454309332655618</v>
      </c>
      <c r="M1422">
        <v>0.8992227896216376</v>
      </c>
      <c r="N1422">
        <v>0.83546138629007494</v>
      </c>
      <c r="P1422">
        <v>1.0209593493776279E-11</v>
      </c>
      <c r="R1422">
        <v>5.1467264236282633</v>
      </c>
      <c r="S1422">
        <v>5.155149298810846</v>
      </c>
      <c r="T1422">
        <v>1</v>
      </c>
      <c r="U1422">
        <v>2.6542403488348061</v>
      </c>
    </row>
    <row r="1423" spans="1:21">
      <c r="A1423">
        <v>1.0946898414665582</v>
      </c>
      <c r="B1423">
        <v>-1.0248796216981868</v>
      </c>
      <c r="C1423">
        <v>-1.7102823362341219E-2</v>
      </c>
      <c r="D1423">
        <v>0.14389996660181945</v>
      </c>
      <c r="E1423">
        <v>0.52210016114320723</v>
      </c>
      <c r="F1423">
        <v>0.44623613792269679</v>
      </c>
      <c r="G1423">
        <v>0.68919779711033269</v>
      </c>
      <c r="H1423">
        <v>2.3580630968342068E-2</v>
      </c>
      <c r="I1423">
        <v>0.19209009586829998</v>
      </c>
      <c r="J1423">
        <v>0.45730064873909088</v>
      </c>
      <c r="L1423">
        <v>4.4543094537248029</v>
      </c>
      <c r="M1423">
        <v>0.89922257327792843</v>
      </c>
      <c r="N1423">
        <v>0.83546126130519338</v>
      </c>
      <c r="P1423">
        <v>9.4777404942794275E-12</v>
      </c>
      <c r="R1423">
        <v>5.1467264236282633</v>
      </c>
      <c r="S1423">
        <v>5.155149298810846</v>
      </c>
      <c r="T1423">
        <v>1</v>
      </c>
      <c r="U1423">
        <v>2.6542403488348061</v>
      </c>
    </row>
    <row r="1424" spans="1:21">
      <c r="A1424">
        <v>1.0935523548449873</v>
      </c>
      <c r="B1424">
        <v>-1.0177247641417235</v>
      </c>
      <c r="C1424">
        <v>-1.0636215405851375E-3</v>
      </c>
      <c r="D1424">
        <v>0</v>
      </c>
      <c r="E1424">
        <v>0</v>
      </c>
      <c r="F1424">
        <v>0</v>
      </c>
      <c r="G1424">
        <v>0.65010423308738363</v>
      </c>
      <c r="H1424">
        <v>0.86282360298727923</v>
      </c>
      <c r="I1424">
        <v>0.30201604770435092</v>
      </c>
      <c r="J1424">
        <v>0.63768181028810111</v>
      </c>
      <c r="L1424">
        <v>4.4543090602161941</v>
      </c>
      <c r="M1424">
        <v>0.8992233100281376</v>
      </c>
      <c r="N1424">
        <v>0.83546194200955071</v>
      </c>
      <c r="P1424">
        <v>1.1952684665130878E-11</v>
      </c>
      <c r="R1424">
        <v>5.1467264236282633</v>
      </c>
      <c r="S1424">
        <v>5.155149298810846</v>
      </c>
      <c r="T1424">
        <v>1</v>
      </c>
      <c r="U1424">
        <v>2.6542403488348061</v>
      </c>
    </row>
    <row r="1425" spans="1:21">
      <c r="A1425">
        <v>1.1040236762404574</v>
      </c>
      <c r="B1425">
        <v>-1.0093846036757395</v>
      </c>
      <c r="C1425">
        <v>2.0721571986923069E-2</v>
      </c>
      <c r="D1425">
        <v>0</v>
      </c>
      <c r="E1425">
        <v>0</v>
      </c>
      <c r="F1425">
        <v>0.44484413620594121</v>
      </c>
      <c r="G1425">
        <v>0.16763268112501664</v>
      </c>
      <c r="H1425">
        <v>9.1805038189492733E-2</v>
      </c>
      <c r="I1425">
        <v>0.63057033188931277</v>
      </c>
      <c r="J1425">
        <v>0.58939314362250561</v>
      </c>
      <c r="L1425">
        <v>4.4543090997693406</v>
      </c>
      <c r="M1425">
        <v>0.89922335331629455</v>
      </c>
      <c r="N1425">
        <v>0.83546200434494966</v>
      </c>
      <c r="P1425">
        <v>1.2065070948564849E-11</v>
      </c>
      <c r="R1425">
        <v>5.1467264236282633</v>
      </c>
      <c r="S1425">
        <v>5.155149298810846</v>
      </c>
      <c r="T1425">
        <v>1</v>
      </c>
      <c r="U1425">
        <v>2.6542403488348061</v>
      </c>
    </row>
    <row r="1426" spans="1:21">
      <c r="A1426">
        <v>1.0993013723929677</v>
      </c>
      <c r="B1426">
        <v>-1.0218080346316489</v>
      </c>
      <c r="C1426">
        <v>3.3130602531997013E-3</v>
      </c>
      <c r="D1426">
        <v>0</v>
      </c>
      <c r="E1426">
        <v>0</v>
      </c>
      <c r="F1426">
        <v>6.7264026439374222E-2</v>
      </c>
      <c r="G1426">
        <v>0.93517816026096479</v>
      </c>
      <c r="H1426">
        <v>0.12824279310137832</v>
      </c>
      <c r="I1426">
        <v>0.55911910319351676</v>
      </c>
      <c r="J1426">
        <v>0.93717943609881693</v>
      </c>
      <c r="L1426">
        <v>4.454309338140586</v>
      </c>
      <c r="M1426">
        <v>0.89922137663655188</v>
      </c>
      <c r="N1426">
        <v>0.83546294766896279</v>
      </c>
      <c r="P1426">
        <v>1.7566225347519502E-12</v>
      </c>
      <c r="R1426">
        <v>5.1467264236282633</v>
      </c>
      <c r="S1426">
        <v>5.155149298810846</v>
      </c>
      <c r="T1426">
        <v>1</v>
      </c>
      <c r="U1426">
        <v>2.6542403488348061</v>
      </c>
    </row>
    <row r="1427" spans="1:21">
      <c r="A1427">
        <v>1.0895974300011686</v>
      </c>
      <c r="B1427">
        <v>-1.0202814332172885</v>
      </c>
      <c r="C1427">
        <v>-2.2702291032289396E-3</v>
      </c>
      <c r="D1427">
        <v>0</v>
      </c>
      <c r="E1427">
        <v>0.41768657451934788</v>
      </c>
      <c r="F1427">
        <v>0.21006510721890673</v>
      </c>
      <c r="G1427">
        <v>0.45428823258414341</v>
      </c>
      <c r="H1427">
        <v>0.75169284245922352</v>
      </c>
      <c r="I1427">
        <v>9.7434010116965342E-2</v>
      </c>
      <c r="J1427">
        <v>0.73782394549995656</v>
      </c>
      <c r="L1427">
        <v>4.454309289774887</v>
      </c>
      <c r="M1427">
        <v>0.89922297701798615</v>
      </c>
      <c r="N1427">
        <v>0.83546153225953745</v>
      </c>
      <c r="P1427">
        <v>1.0818415197374717E-11</v>
      </c>
      <c r="R1427">
        <v>5.1467264236282633</v>
      </c>
      <c r="S1427">
        <v>5.155149298810846</v>
      </c>
      <c r="T1427">
        <v>1</v>
      </c>
      <c r="U1427">
        <v>2.6542403488348061</v>
      </c>
    </row>
    <row r="1428" spans="1:21">
      <c r="A1428">
        <v>1.0967704149804516</v>
      </c>
      <c r="B1428">
        <v>-1.0166747720775922</v>
      </c>
      <c r="C1428">
        <v>4.9651462119121277E-3</v>
      </c>
      <c r="D1428">
        <v>0</v>
      </c>
      <c r="E1428">
        <v>0.39158692997624772</v>
      </c>
      <c r="F1428">
        <v>0</v>
      </c>
      <c r="G1428">
        <v>0.3985974612824259</v>
      </c>
      <c r="H1428">
        <v>0.31378413520627524</v>
      </c>
      <c r="I1428">
        <v>0.48623020951609919</v>
      </c>
      <c r="J1428">
        <v>0.40853548672292728</v>
      </c>
      <c r="L1428">
        <v>4.4543093016575339</v>
      </c>
      <c r="M1428">
        <v>0.89922286366188786</v>
      </c>
      <c r="N1428">
        <v>0.83546143319078647</v>
      </c>
      <c r="P1428">
        <v>1.0477201664739497E-11</v>
      </c>
      <c r="R1428">
        <v>5.1467264236282633</v>
      </c>
      <c r="S1428">
        <v>5.155149298810846</v>
      </c>
      <c r="T1428">
        <v>1</v>
      </c>
      <c r="U1428">
        <v>2.6542403488348061</v>
      </c>
    </row>
    <row r="1429" spans="1:21">
      <c r="A1429">
        <v>1.098980566534965</v>
      </c>
      <c r="B1429">
        <v>-1.0182416007524944</v>
      </c>
      <c r="C1429">
        <v>-3.0377895335307784E-2</v>
      </c>
      <c r="D1429">
        <v>0</v>
      </c>
      <c r="E1429">
        <v>0</v>
      </c>
      <c r="F1429">
        <v>0.81100082277526564</v>
      </c>
      <c r="G1429">
        <v>0.97562308077859461</v>
      </c>
      <c r="H1429">
        <v>0.52746810921261544</v>
      </c>
      <c r="I1429">
        <v>0.66708379983459687</v>
      </c>
      <c r="J1429">
        <v>0.27900006932664084</v>
      </c>
      <c r="L1429">
        <v>4.4543095943292483</v>
      </c>
      <c r="M1429">
        <v>0.89922048671754917</v>
      </c>
      <c r="N1429">
        <v>0.83546341082736619</v>
      </c>
      <c r="P1429">
        <v>3.0766520111531335E-13</v>
      </c>
      <c r="R1429">
        <v>5.1467264236282633</v>
      </c>
      <c r="S1429">
        <v>5.155149298810846</v>
      </c>
      <c r="T1429">
        <v>1</v>
      </c>
      <c r="U1429">
        <v>2.6542403488348061</v>
      </c>
    </row>
    <row r="1430" spans="1:21">
      <c r="A1430">
        <v>1.0941309893041351</v>
      </c>
      <c r="B1430">
        <v>-1.0152943860827954</v>
      </c>
      <c r="C1430">
        <v>-6.5209538209440475E-3</v>
      </c>
      <c r="D1430">
        <v>3.9934248456406932E-2</v>
      </c>
      <c r="E1430">
        <v>0</v>
      </c>
      <c r="F1430">
        <v>0</v>
      </c>
      <c r="G1430">
        <v>0.34068349859834746</v>
      </c>
      <c r="H1430">
        <v>0.69214508691423648</v>
      </c>
      <c r="I1430">
        <v>1.357181306413101E-2</v>
      </c>
      <c r="J1430">
        <v>4.5055650126368571E-2</v>
      </c>
      <c r="L1430">
        <v>4.4543093379875298</v>
      </c>
      <c r="M1430">
        <v>0.89922280182607961</v>
      </c>
      <c r="N1430">
        <v>0.8354613971993996</v>
      </c>
      <c r="P1430">
        <v>1.0237850715394676E-11</v>
      </c>
      <c r="R1430">
        <v>5.1467264236282633</v>
      </c>
      <c r="S1430">
        <v>5.155149298810846</v>
      </c>
      <c r="T1430">
        <v>1</v>
      </c>
      <c r="U1430">
        <v>2.6542403488348061</v>
      </c>
    </row>
    <row r="1431" spans="1:21">
      <c r="A1431">
        <v>1.0955151646100345</v>
      </c>
      <c r="B1431">
        <v>-1.026323491643407</v>
      </c>
      <c r="C1431">
        <v>-1.6537726161697273E-2</v>
      </c>
      <c r="D1431">
        <v>0.46768596938713058</v>
      </c>
      <c r="E1431">
        <v>0.58064978994868532</v>
      </c>
      <c r="F1431">
        <v>0.2759713262964274</v>
      </c>
      <c r="G1431">
        <v>0.76031917331951082</v>
      </c>
      <c r="H1431">
        <v>0.1203157648450506</v>
      </c>
      <c r="I1431">
        <v>0.25924291849262932</v>
      </c>
      <c r="J1431">
        <v>0.41769640814710485</v>
      </c>
      <c r="L1431">
        <v>4.4543092150986014</v>
      </c>
      <c r="M1431">
        <v>0.89922321408479433</v>
      </c>
      <c r="N1431">
        <v>0.83546176021881247</v>
      </c>
      <c r="P1431">
        <v>1.1654405508247858E-11</v>
      </c>
      <c r="R1431">
        <v>5.1467264236282633</v>
      </c>
      <c r="S1431">
        <v>5.155149298810846</v>
      </c>
      <c r="T1431">
        <v>1</v>
      </c>
      <c r="U1431">
        <v>2.6542403488348061</v>
      </c>
    </row>
    <row r="1432" spans="1:21">
      <c r="A1432">
        <v>1.0991122587519382</v>
      </c>
      <c r="B1432">
        <v>-1.0155690621543028</v>
      </c>
      <c r="C1432">
        <v>-1.8940544108618285E-2</v>
      </c>
      <c r="D1432">
        <v>0</v>
      </c>
      <c r="E1432">
        <v>0</v>
      </c>
      <c r="F1432">
        <v>0.34438509147412599</v>
      </c>
      <c r="G1432">
        <v>0.95971449584893642</v>
      </c>
      <c r="H1432">
        <v>0.8369664558556279</v>
      </c>
      <c r="I1432">
        <v>0.93456860302969591</v>
      </c>
      <c r="J1432">
        <v>0.30385654026491987</v>
      </c>
      <c r="L1432">
        <v>4.4543090403778214</v>
      </c>
      <c r="M1432">
        <v>0.8992233142030317</v>
      </c>
      <c r="N1432">
        <v>0.83546194152077602</v>
      </c>
      <c r="P1432">
        <v>1.1999921326084246E-11</v>
      </c>
      <c r="R1432">
        <v>5.1467264236282633</v>
      </c>
      <c r="S1432">
        <v>5.155149298810846</v>
      </c>
      <c r="T1432">
        <v>1</v>
      </c>
      <c r="U1432">
        <v>2.6542403488348061</v>
      </c>
    </row>
    <row r="1433" spans="1:21">
      <c r="A1433">
        <v>1.1035108112861711</v>
      </c>
      <c r="B1433">
        <v>-1.0137903516431415</v>
      </c>
      <c r="C1433">
        <v>7.7985598705794671E-3</v>
      </c>
      <c r="D1433">
        <v>0</v>
      </c>
      <c r="E1433">
        <v>8.0812050561105422E-2</v>
      </c>
      <c r="F1433">
        <v>0</v>
      </c>
      <c r="G1433">
        <v>0.5954120727056148</v>
      </c>
      <c r="H1433">
        <v>0.15628608331030805</v>
      </c>
      <c r="I1433">
        <v>0.88997005477905455</v>
      </c>
      <c r="J1433">
        <v>0.37844769817596735</v>
      </c>
      <c r="L1433">
        <v>4.4543091915208812</v>
      </c>
      <c r="M1433">
        <v>0.89922231737492053</v>
      </c>
      <c r="N1433">
        <v>0.83546205778481064</v>
      </c>
      <c r="P1433">
        <v>6.1547308249966501E-12</v>
      </c>
      <c r="R1433">
        <v>5.1467264236282633</v>
      </c>
      <c r="S1433">
        <v>5.155149298810846</v>
      </c>
      <c r="T1433">
        <v>1</v>
      </c>
      <c r="U1433">
        <v>2.6542403488348061</v>
      </c>
    </row>
    <row r="1434" spans="1:21">
      <c r="A1434">
        <v>1.1013167740406424</v>
      </c>
      <c r="B1434">
        <v>-1.0143433955979799</v>
      </c>
      <c r="C1434">
        <v>-1.5594256287365266E-2</v>
      </c>
      <c r="D1434">
        <v>0</v>
      </c>
      <c r="E1434">
        <v>4.2372706909477101E-2</v>
      </c>
      <c r="F1434">
        <v>0.60261729817909371</v>
      </c>
      <c r="G1434">
        <v>0.68092119875208057</v>
      </c>
      <c r="H1434">
        <v>0.37841755241437697</v>
      </c>
      <c r="I1434">
        <v>0.73069179207289303</v>
      </c>
      <c r="J1434">
        <v>0.1732464543081145</v>
      </c>
      <c r="L1434">
        <v>4.4543097539735905</v>
      </c>
      <c r="M1434">
        <v>0.89922071524928771</v>
      </c>
      <c r="N1434">
        <v>0.83546171732926267</v>
      </c>
      <c r="P1434">
        <v>2.245103324801894E-12</v>
      </c>
      <c r="R1434">
        <v>5.1467264236282633</v>
      </c>
      <c r="S1434">
        <v>5.155149298810846</v>
      </c>
      <c r="T1434">
        <v>1</v>
      </c>
      <c r="U1434">
        <v>2.6542403488348061</v>
      </c>
    </row>
    <row r="1435" spans="1:21">
      <c r="A1435">
        <v>1.0991369485614542</v>
      </c>
      <c r="B1435">
        <v>-1.0089680658132631</v>
      </c>
      <c r="C1435">
        <v>1.4708345146457023E-2</v>
      </c>
      <c r="D1435">
        <v>0</v>
      </c>
      <c r="E1435">
        <v>5.0612720440847362E-3</v>
      </c>
      <c r="F1435">
        <v>0</v>
      </c>
      <c r="G1435">
        <v>0.27733362462379069</v>
      </c>
      <c r="H1435">
        <v>0.81367601625146591</v>
      </c>
      <c r="I1435">
        <v>0.67961401369693297</v>
      </c>
      <c r="J1435">
        <v>0.41407580248522163</v>
      </c>
      <c r="L1435">
        <v>4.4543090689424121</v>
      </c>
      <c r="M1435">
        <v>0.89922335213962867</v>
      </c>
      <c r="N1435">
        <v>0.83546202724494345</v>
      </c>
      <c r="P1435">
        <v>1.2037480861570794E-11</v>
      </c>
      <c r="R1435">
        <v>5.1467264236282633</v>
      </c>
      <c r="S1435">
        <v>5.155149298810846</v>
      </c>
      <c r="T1435">
        <v>1</v>
      </c>
      <c r="U1435">
        <v>2.6542403488348061</v>
      </c>
    </row>
    <row r="1436" spans="1:21">
      <c r="A1436">
        <v>1.1019805154637183</v>
      </c>
      <c r="B1436">
        <v>-1.0087814424210608</v>
      </c>
      <c r="C1436">
        <v>6.6665206084389099E-3</v>
      </c>
      <c r="D1436">
        <v>0.36976287119739654</v>
      </c>
      <c r="E1436">
        <v>0</v>
      </c>
      <c r="F1436">
        <v>0.26701569667836067</v>
      </c>
      <c r="G1436">
        <v>0.15117043146479714</v>
      </c>
      <c r="H1436">
        <v>0.62661091340723341</v>
      </c>
      <c r="I1436">
        <v>0.51352077884031266</v>
      </c>
      <c r="J1436">
        <v>4.0085125655497447E-2</v>
      </c>
      <c r="L1436">
        <v>4.4543092352328051</v>
      </c>
      <c r="M1436">
        <v>0.8992229269431874</v>
      </c>
      <c r="N1436">
        <v>0.83546148516394814</v>
      </c>
      <c r="P1436">
        <v>1.0704290485025237E-11</v>
      </c>
      <c r="R1436">
        <v>5.1467264236282633</v>
      </c>
      <c r="S1436">
        <v>5.155149298810846</v>
      </c>
      <c r="T1436">
        <v>1</v>
      </c>
      <c r="U1436">
        <v>2.6542403488348061</v>
      </c>
    </row>
    <row r="1437" spans="1:21">
      <c r="A1437">
        <v>1.0965808024572139</v>
      </c>
      <c r="B1437">
        <v>-1.0140989992586447</v>
      </c>
      <c r="C1437">
        <v>1.9261391724601624E-2</v>
      </c>
      <c r="D1437">
        <v>5.6831856600798314E-2</v>
      </c>
      <c r="E1437">
        <v>0</v>
      </c>
      <c r="F1437">
        <v>0</v>
      </c>
      <c r="G1437">
        <v>0.24009515217788419</v>
      </c>
      <c r="H1437">
        <v>0.51717717283279174</v>
      </c>
      <c r="I1437">
        <v>0.18775055699161566</v>
      </c>
      <c r="J1437">
        <v>0.71453227021884613</v>
      </c>
      <c r="L1437">
        <v>4.4543091064157156</v>
      </c>
      <c r="M1437">
        <v>0.89922332501820579</v>
      </c>
      <c r="N1437">
        <v>0.83546196240999726</v>
      </c>
      <c r="P1437">
        <v>1.1963860031736799E-11</v>
      </c>
      <c r="R1437">
        <v>5.1467264236282633</v>
      </c>
      <c r="S1437">
        <v>5.155149298810846</v>
      </c>
      <c r="T1437">
        <v>1</v>
      </c>
      <c r="U1437">
        <v>2.6542403488348061</v>
      </c>
    </row>
    <row r="1438" spans="1:21">
      <c r="A1438">
        <v>1.0982855551155117</v>
      </c>
      <c r="B1438">
        <v>-1.0226946436000348</v>
      </c>
      <c r="C1438">
        <v>-1.7102216657071366E-2</v>
      </c>
      <c r="D1438">
        <v>0</v>
      </c>
      <c r="E1438">
        <v>0.21053583322796471</v>
      </c>
      <c r="F1438">
        <v>0</v>
      </c>
      <c r="G1438">
        <v>0.99227513507598553</v>
      </c>
      <c r="H1438">
        <v>0.15137739295843047</v>
      </c>
      <c r="I1438">
        <v>0.60690948184134064</v>
      </c>
      <c r="J1438">
        <v>0.29178083709171804</v>
      </c>
      <c r="L1438">
        <v>4.4543093574524528</v>
      </c>
      <c r="M1438">
        <v>0.89922254935078416</v>
      </c>
      <c r="N1438">
        <v>0.83546187481422796</v>
      </c>
      <c r="P1438">
        <v>7.5632050659279601E-12</v>
      </c>
      <c r="R1438">
        <v>5.1467264236282633</v>
      </c>
      <c r="S1438">
        <v>5.155149298810846</v>
      </c>
      <c r="T1438">
        <v>1</v>
      </c>
      <c r="U1438">
        <v>2.6542403488348061</v>
      </c>
    </row>
    <row r="1439" spans="1:21">
      <c r="A1439">
        <v>1.1067138436910775</v>
      </c>
      <c r="B1439">
        <v>-1.0053894684352114</v>
      </c>
      <c r="C1439">
        <v>3.1213612435756797E-2</v>
      </c>
      <c r="D1439">
        <v>0.3859614550423483</v>
      </c>
      <c r="E1439">
        <v>0</v>
      </c>
      <c r="F1439">
        <v>0.25218331239219938</v>
      </c>
      <c r="G1439">
        <v>7.8985893176764868E-2</v>
      </c>
      <c r="H1439">
        <v>0.4825836223554838</v>
      </c>
      <c r="I1439">
        <v>0.94619628934690814</v>
      </c>
      <c r="J1439">
        <v>0.55432897239641321</v>
      </c>
      <c r="L1439">
        <v>4.4543094064660709</v>
      </c>
      <c r="M1439">
        <v>0.89922248756598455</v>
      </c>
      <c r="N1439">
        <v>0.83546122739186812</v>
      </c>
      <c r="P1439">
        <v>9.1879499461909627E-12</v>
      </c>
      <c r="R1439">
        <v>5.1467264236282633</v>
      </c>
      <c r="S1439">
        <v>5.155149298810846</v>
      </c>
      <c r="T1439">
        <v>1</v>
      </c>
      <c r="U1439">
        <v>2.6542403488348061</v>
      </c>
    </row>
    <row r="1440" spans="1:21">
      <c r="A1440">
        <v>1.0904612065474164</v>
      </c>
      <c r="B1440">
        <v>-1.0280582460786221</v>
      </c>
      <c r="C1440">
        <v>-2.4963801490861449E-2</v>
      </c>
      <c r="D1440">
        <v>0.63921058300633904</v>
      </c>
      <c r="E1440">
        <v>0.63990159537135005</v>
      </c>
      <c r="F1440">
        <v>0</v>
      </c>
      <c r="G1440">
        <v>0.8465551751724254</v>
      </c>
      <c r="H1440">
        <v>0.7125266395780645</v>
      </c>
      <c r="I1440">
        <v>0.13356396112110708</v>
      </c>
      <c r="J1440">
        <v>0.28174728276311528</v>
      </c>
      <c r="L1440">
        <v>4.4543091085033826</v>
      </c>
      <c r="M1440">
        <v>0.89922335547351429</v>
      </c>
      <c r="N1440">
        <v>0.83546199302996249</v>
      </c>
      <c r="P1440">
        <v>1.2095596583303102E-11</v>
      </c>
      <c r="R1440">
        <v>5.1467264236282633</v>
      </c>
      <c r="S1440">
        <v>5.155149298810846</v>
      </c>
      <c r="T1440">
        <v>1</v>
      </c>
      <c r="U1440">
        <v>2.6542403488348061</v>
      </c>
    </row>
    <row r="1441" spans="1:21">
      <c r="A1441">
        <v>1.0950222512864998</v>
      </c>
      <c r="B1441">
        <v>-1.0177578033032</v>
      </c>
      <c r="C1441">
        <v>-2.8193321856640183E-2</v>
      </c>
      <c r="D1441">
        <v>0</v>
      </c>
      <c r="E1441">
        <v>0</v>
      </c>
      <c r="F1441">
        <v>0.44906475284422681</v>
      </c>
      <c r="G1441">
        <v>0.8049291104579841</v>
      </c>
      <c r="H1441">
        <v>0.81251950519378413</v>
      </c>
      <c r="I1441">
        <v>0.37892980726971842</v>
      </c>
      <c r="J1441">
        <v>9.4668246019327773E-2</v>
      </c>
      <c r="L1441">
        <v>4.4543094659125728</v>
      </c>
      <c r="M1441">
        <v>0.89922241865185581</v>
      </c>
      <c r="N1441">
        <v>0.83546120560629256</v>
      </c>
      <c r="P1441">
        <v>8.9280562238533694E-12</v>
      </c>
      <c r="R1441">
        <v>5.1467264236282633</v>
      </c>
      <c r="S1441">
        <v>5.155149298810846</v>
      </c>
      <c r="T1441">
        <v>1</v>
      </c>
      <c r="U1441">
        <v>2.6542403488348061</v>
      </c>
    </row>
    <row r="1442" spans="1:21">
      <c r="A1442">
        <v>1.0947083109161535</v>
      </c>
      <c r="B1442">
        <v>-1.0130287138451377</v>
      </c>
      <c r="C1442">
        <v>5.9271981289757865E-3</v>
      </c>
      <c r="D1442">
        <v>0.18131919630280285</v>
      </c>
      <c r="E1442">
        <v>0</v>
      </c>
      <c r="F1442">
        <v>9.0252549635484083E-2</v>
      </c>
      <c r="G1442">
        <v>0.27822834733611373</v>
      </c>
      <c r="H1442">
        <v>0.96149981661513573</v>
      </c>
      <c r="I1442">
        <v>0.19674490642275913</v>
      </c>
      <c r="J1442">
        <v>0.42301135916880694</v>
      </c>
      <c r="L1442">
        <v>4.4543096031111427</v>
      </c>
      <c r="M1442">
        <v>0.8992208882977939</v>
      </c>
      <c r="N1442">
        <v>0.83546331030574339</v>
      </c>
      <c r="P1442">
        <v>7.4299239455663107E-13</v>
      </c>
      <c r="R1442">
        <v>5.1467264236282633</v>
      </c>
      <c r="S1442">
        <v>5.155149298810846</v>
      </c>
      <c r="T1442">
        <v>1</v>
      </c>
      <c r="U1442">
        <v>2.6542403488348061</v>
      </c>
    </row>
    <row r="1443" spans="1:21">
      <c r="A1443">
        <v>1.0995036675990759</v>
      </c>
      <c r="B1443">
        <v>-1.0116700632457418</v>
      </c>
      <c r="C1443">
        <v>2.3625199804132406E-3</v>
      </c>
      <c r="D1443">
        <v>0.10377631113791953</v>
      </c>
      <c r="E1443">
        <v>2.1601268778255165E-2</v>
      </c>
      <c r="F1443">
        <v>0</v>
      </c>
      <c r="G1443">
        <v>0.49119819357177008</v>
      </c>
      <c r="H1443">
        <v>0.7840915659820783</v>
      </c>
      <c r="I1443">
        <v>0.7225095276109188</v>
      </c>
      <c r="J1443">
        <v>0.23168666986657735</v>
      </c>
      <c r="L1443">
        <v>4.4543091405810395</v>
      </c>
      <c r="M1443">
        <v>0.89922325413881299</v>
      </c>
      <c r="N1443">
        <v>0.83546184650632294</v>
      </c>
      <c r="P1443">
        <v>1.1745277461245161E-11</v>
      </c>
      <c r="R1443">
        <v>5.1467264236282633</v>
      </c>
      <c r="S1443">
        <v>5.155149298810846</v>
      </c>
      <c r="T1443">
        <v>1</v>
      </c>
      <c r="U1443">
        <v>2.6542403488348061</v>
      </c>
    </row>
    <row r="1444" spans="1:21">
      <c r="A1444">
        <v>1.1011784456814677</v>
      </c>
      <c r="B1444">
        <v>-1.0115716925110465</v>
      </c>
      <c r="C1444">
        <v>1.1993005609730673E-2</v>
      </c>
      <c r="D1444">
        <v>0.24447334032756465</v>
      </c>
      <c r="E1444">
        <v>0</v>
      </c>
      <c r="F1444">
        <v>0.48850418878030405</v>
      </c>
      <c r="G1444">
        <v>3.4933539607475084E-2</v>
      </c>
      <c r="H1444">
        <v>0.15629404379746775</v>
      </c>
      <c r="I1444">
        <v>0.13927645013777173</v>
      </c>
      <c r="J1444">
        <v>0.32314435863460789</v>
      </c>
      <c r="L1444">
        <v>4.4543090683807902</v>
      </c>
      <c r="M1444">
        <v>0.89922331073993256</v>
      </c>
      <c r="N1444">
        <v>0.83546193667290136</v>
      </c>
      <c r="P1444">
        <v>1.1961539723966106E-11</v>
      </c>
      <c r="R1444">
        <v>5.1467264236282633</v>
      </c>
      <c r="S1444">
        <v>5.155149298810846</v>
      </c>
      <c r="T1444">
        <v>1</v>
      </c>
      <c r="U1444">
        <v>2.6542403488348061</v>
      </c>
    </row>
    <row r="1445" spans="1:21">
      <c r="A1445">
        <v>1.0910429400837403</v>
      </c>
      <c r="B1445">
        <v>-1.0208137271118236</v>
      </c>
      <c r="C1445">
        <v>-3.8603383337549361E-3</v>
      </c>
      <c r="D1445">
        <v>0</v>
      </c>
      <c r="E1445">
        <v>0.65961775822680513</v>
      </c>
      <c r="F1445">
        <v>0.10808497601131035</v>
      </c>
      <c r="G1445">
        <v>0.37911696642234355</v>
      </c>
      <c r="H1445">
        <v>0.42471422756405974</v>
      </c>
      <c r="I1445">
        <v>0.18850808352198253</v>
      </c>
      <c r="J1445">
        <v>0.46694365822849498</v>
      </c>
      <c r="L1445">
        <v>4.4543094237938607</v>
      </c>
      <c r="M1445">
        <v>0.89922296911063049</v>
      </c>
      <c r="N1445">
        <v>0.83546153534343359</v>
      </c>
      <c r="P1445">
        <v>1.071641389899658E-11</v>
      </c>
      <c r="R1445">
        <v>5.1467264236282633</v>
      </c>
      <c r="S1445">
        <v>5.155149298810846</v>
      </c>
      <c r="T1445">
        <v>1</v>
      </c>
      <c r="U1445">
        <v>2.6542403488348061</v>
      </c>
    </row>
    <row r="1446" spans="1:21">
      <c r="A1446">
        <v>1.0916899464584298</v>
      </c>
      <c r="B1446">
        <v>-1.0214329444681247</v>
      </c>
      <c r="C1446">
        <v>-1.7799261880361298E-2</v>
      </c>
      <c r="D1446">
        <v>0.19434669433452459</v>
      </c>
      <c r="E1446">
        <v>0.32716705421297909</v>
      </c>
      <c r="F1446">
        <v>2.6414608334912958E-2</v>
      </c>
      <c r="G1446">
        <v>0.64998589091655057</v>
      </c>
      <c r="H1446">
        <v>0.74807272048412343</v>
      </c>
      <c r="I1446">
        <v>0.15516134714361271</v>
      </c>
      <c r="J1446">
        <v>0.19693867135536219</v>
      </c>
      <c r="L1446">
        <v>4.4543092481507536</v>
      </c>
      <c r="M1446">
        <v>0.89922304211256798</v>
      </c>
      <c r="N1446">
        <v>0.83546158563616957</v>
      </c>
      <c r="P1446">
        <v>1.1063739597033122E-11</v>
      </c>
      <c r="R1446">
        <v>5.1467264236282633</v>
      </c>
      <c r="S1446">
        <v>5.155149298810846</v>
      </c>
      <c r="T1446">
        <v>1</v>
      </c>
      <c r="U1446">
        <v>2.6542403488348061</v>
      </c>
    </row>
    <row r="1447" spans="1:21">
      <c r="A1447">
        <v>1.0975758894453036</v>
      </c>
      <c r="B1447">
        <v>-1.0178180345918795</v>
      </c>
      <c r="C1447">
        <v>-6.4320975701119805E-3</v>
      </c>
      <c r="D1447">
        <v>0.75734883225279315</v>
      </c>
      <c r="E1447">
        <v>0.19171797354805478</v>
      </c>
      <c r="F1447">
        <v>0</v>
      </c>
      <c r="G1447">
        <v>0.59499699757028324</v>
      </c>
      <c r="H1447">
        <v>0.92578606484703507</v>
      </c>
      <c r="I1447">
        <v>0.4439716513378727</v>
      </c>
      <c r="J1447">
        <v>0.20092123899366685</v>
      </c>
      <c r="L1447">
        <v>4.4543091932445993</v>
      </c>
      <c r="M1447">
        <v>0.89922316719421647</v>
      </c>
      <c r="N1447">
        <v>0.83546171761152543</v>
      </c>
      <c r="P1447">
        <v>1.1487785620663831E-11</v>
      </c>
      <c r="R1447">
        <v>5.1467264236282633</v>
      </c>
      <c r="S1447">
        <v>5.155149298810846</v>
      </c>
      <c r="T1447">
        <v>1</v>
      </c>
      <c r="U1447">
        <v>2.6542403488348061</v>
      </c>
    </row>
    <row r="1448" spans="1:21">
      <c r="A1448">
        <v>1.0993874044849954</v>
      </c>
      <c r="B1448">
        <v>-1.013007153806301</v>
      </c>
      <c r="C1448">
        <v>2.7549945809829338E-2</v>
      </c>
      <c r="D1448">
        <v>2.7103783543383442E-2</v>
      </c>
      <c r="E1448">
        <v>5.6541017538922773E-2</v>
      </c>
      <c r="F1448">
        <v>0</v>
      </c>
      <c r="G1448">
        <v>0.33661954106548037</v>
      </c>
      <c r="H1448">
        <v>0.45563338437163553</v>
      </c>
      <c r="I1448">
        <v>0.58705384362280999</v>
      </c>
      <c r="J1448">
        <v>0.97038029396223235</v>
      </c>
      <c r="L1448">
        <v>4.4543095870104183</v>
      </c>
      <c r="M1448">
        <v>0.89922016651744752</v>
      </c>
      <c r="N1448">
        <v>0.83546326346095734</v>
      </c>
      <c r="P1448">
        <v>5.7734772864217641E-14</v>
      </c>
      <c r="R1448">
        <v>5.1467264236282633</v>
      </c>
      <c r="S1448">
        <v>5.155149298810846</v>
      </c>
      <c r="T1448">
        <v>1</v>
      </c>
      <c r="U1448">
        <v>2.6542403488348061</v>
      </c>
    </row>
    <row r="1449" spans="1:21">
      <c r="A1449">
        <v>1.0893492659529933</v>
      </c>
      <c r="B1449">
        <v>-1.0230641835465546</v>
      </c>
      <c r="C1449">
        <v>-1.6953122573952505E-2</v>
      </c>
      <c r="D1449">
        <v>0</v>
      </c>
      <c r="E1449">
        <v>7.2915784144014506E-2</v>
      </c>
      <c r="F1449">
        <v>0</v>
      </c>
      <c r="G1449">
        <v>0.89918610800840892</v>
      </c>
      <c r="H1449">
        <v>0.99160043934421405</v>
      </c>
      <c r="I1449">
        <v>0.11366415599042665</v>
      </c>
      <c r="J1449">
        <v>0.61404701626881764</v>
      </c>
      <c r="L1449">
        <v>4.4543090726344525</v>
      </c>
      <c r="M1449">
        <v>0.89922334938451975</v>
      </c>
      <c r="N1449">
        <v>0.83546200769986789</v>
      </c>
      <c r="P1449">
        <v>1.2056397465853297E-11</v>
      </c>
      <c r="R1449">
        <v>5.1467264236282633</v>
      </c>
      <c r="S1449">
        <v>5.155149298810846</v>
      </c>
      <c r="T1449">
        <v>1</v>
      </c>
      <c r="U1449">
        <v>2.6542403488348061</v>
      </c>
    </row>
    <row r="1450" spans="1:21">
      <c r="A1450">
        <v>1.1037818060361475</v>
      </c>
      <c r="B1450">
        <v>-1.0213999161894467</v>
      </c>
      <c r="C1450">
        <v>1.1926069378578905E-2</v>
      </c>
      <c r="D1450">
        <v>0.36857952973253183</v>
      </c>
      <c r="E1450">
        <v>0</v>
      </c>
      <c r="F1450">
        <v>0</v>
      </c>
      <c r="G1450">
        <v>0.95563889423057324</v>
      </c>
      <c r="H1450">
        <v>2.4130783244108285E-2</v>
      </c>
      <c r="I1450">
        <v>0.78038113856094693</v>
      </c>
      <c r="J1450">
        <v>1.0037741811193621</v>
      </c>
      <c r="L1450">
        <v>4.454309312514332</v>
      </c>
      <c r="M1450">
        <v>0.8992228604294541</v>
      </c>
      <c r="N1450">
        <v>0.83546141045780642</v>
      </c>
      <c r="P1450">
        <v>1.0528350585563337E-11</v>
      </c>
      <c r="R1450">
        <v>5.1467264236282633</v>
      </c>
      <c r="S1450">
        <v>5.155149298810846</v>
      </c>
      <c r="T1450">
        <v>1</v>
      </c>
      <c r="U1450">
        <v>2.6542403488348061</v>
      </c>
    </row>
    <row r="1451" spans="1:21">
      <c r="A1451">
        <v>0.97441253135914196</v>
      </c>
      <c r="B1451">
        <v>-1.1322213843746425</v>
      </c>
      <c r="C1451">
        <v>-0.19790999074764726</v>
      </c>
      <c r="D1451">
        <v>9.5338709204664918E-2</v>
      </c>
      <c r="E1451">
        <v>0</v>
      </c>
      <c r="F1451">
        <v>0.46559877165889701</v>
      </c>
      <c r="G1451">
        <v>0.58491223390201119</v>
      </c>
      <c r="H1451">
        <v>0.35587789418243276</v>
      </c>
      <c r="I1451">
        <v>0.9628098069968114</v>
      </c>
      <c r="J1451">
        <v>0.87467313513844269</v>
      </c>
      <c r="L1451">
        <v>4.4543136838922681</v>
      </c>
      <c r="M1451">
        <v>3.6313213176728585</v>
      </c>
      <c r="N1451">
        <v>0.83546065770964317</v>
      </c>
      <c r="P1451">
        <v>5.0865784740391702E-11</v>
      </c>
      <c r="R1451">
        <v>8.4889458556593542</v>
      </c>
      <c r="S1451">
        <v>8.5031850746050246</v>
      </c>
      <c r="T1451">
        <v>1</v>
      </c>
      <c r="U1451">
        <v>2.37351231416958</v>
      </c>
    </row>
    <row r="1452" spans="1:21">
      <c r="A1452">
        <v>0.98392187559461131</v>
      </c>
      <c r="B1452">
        <v>-1.1243040564930913</v>
      </c>
      <c r="C1452">
        <v>-0.18838062577629405</v>
      </c>
      <c r="D1452">
        <v>0</v>
      </c>
      <c r="E1452">
        <v>2.0285351904335006E-2</v>
      </c>
      <c r="F1452">
        <v>0</v>
      </c>
      <c r="G1452">
        <v>0.48436135497942412</v>
      </c>
      <c r="H1452">
        <v>2.6788885224930989E-2</v>
      </c>
      <c r="I1452">
        <v>0.25149451638247661</v>
      </c>
      <c r="J1452">
        <v>0.23898584714749757</v>
      </c>
      <c r="L1452">
        <v>4.4543139483352441</v>
      </c>
      <c r="M1452">
        <v>3.6313207285289897</v>
      </c>
      <c r="N1452">
        <v>0.83546169695724515</v>
      </c>
      <c r="P1452">
        <v>5.5807953347930687E-11</v>
      </c>
      <c r="R1452">
        <v>8.4889458556593542</v>
      </c>
      <c r="S1452">
        <v>8.5031850746050246</v>
      </c>
      <c r="T1452">
        <v>1</v>
      </c>
      <c r="U1452">
        <v>2.37351231416958</v>
      </c>
    </row>
    <row r="1453" spans="1:21">
      <c r="A1453">
        <v>0.98638402401352876</v>
      </c>
      <c r="B1453">
        <v>-1.1172162340201837</v>
      </c>
      <c r="C1453">
        <v>-0.17893651696491417</v>
      </c>
      <c r="D1453">
        <v>0.25212026903624696</v>
      </c>
      <c r="E1453">
        <v>0</v>
      </c>
      <c r="F1453">
        <v>0.10467425802341924</v>
      </c>
      <c r="G1453">
        <v>0.63824130716119698</v>
      </c>
      <c r="H1453">
        <v>1.0062612928321051</v>
      </c>
      <c r="I1453">
        <v>0.47024008195556821</v>
      </c>
      <c r="J1453">
        <v>0.61492426338739103</v>
      </c>
      <c r="L1453">
        <v>4.454313970825722</v>
      </c>
      <c r="M1453">
        <v>3.6313206416153685</v>
      </c>
      <c r="N1453">
        <v>0.83546197033094383</v>
      </c>
      <c r="P1453">
        <v>5.6369634464274361E-11</v>
      </c>
      <c r="R1453">
        <v>8.4889458556593542</v>
      </c>
      <c r="S1453">
        <v>8.5031850746050246</v>
      </c>
      <c r="T1453">
        <v>1</v>
      </c>
      <c r="U1453">
        <v>2.37351231416958</v>
      </c>
    </row>
    <row r="1454" spans="1:21">
      <c r="A1454">
        <v>0.97824703270333668</v>
      </c>
      <c r="B1454">
        <v>-1.1266474652182015</v>
      </c>
      <c r="C1454">
        <v>-0.17897369699655066</v>
      </c>
      <c r="D1454">
        <v>0</v>
      </c>
      <c r="E1454">
        <v>0</v>
      </c>
      <c r="F1454">
        <v>0</v>
      </c>
      <c r="G1454">
        <v>0.43839885670942075</v>
      </c>
      <c r="H1454">
        <v>0.36141794020817486</v>
      </c>
      <c r="I1454">
        <v>0.694957552818253</v>
      </c>
      <c r="J1454">
        <v>0.81231921896739379</v>
      </c>
      <c r="L1454">
        <v>4.4543136183763359</v>
      </c>
      <c r="M1454">
        <v>3.6313213074418798</v>
      </c>
      <c r="N1454">
        <v>0.83546062092061812</v>
      </c>
      <c r="P1454">
        <v>5.0611540138178044E-11</v>
      </c>
      <c r="R1454">
        <v>8.4889458556593542</v>
      </c>
      <c r="S1454">
        <v>8.5031850746050246</v>
      </c>
      <c r="T1454">
        <v>1</v>
      </c>
      <c r="U1454">
        <v>2.37351231416958</v>
      </c>
    </row>
    <row r="1455" spans="1:21">
      <c r="A1455">
        <v>0.98708553041367464</v>
      </c>
      <c r="B1455">
        <v>-1.1214536045116514</v>
      </c>
      <c r="C1455">
        <v>-0.18173992744139297</v>
      </c>
      <c r="D1455">
        <v>0.84977008172172641</v>
      </c>
      <c r="E1455">
        <v>0.86909361424951859</v>
      </c>
      <c r="F1455">
        <v>0</v>
      </c>
      <c r="G1455">
        <v>0.42889436482083154</v>
      </c>
      <c r="H1455">
        <v>0.6388029010974674</v>
      </c>
      <c r="I1455">
        <v>0.53950619962956692</v>
      </c>
      <c r="J1455">
        <v>0.22996991250093968</v>
      </c>
      <c r="L1455">
        <v>4.4543087509577264</v>
      </c>
      <c r="M1455">
        <v>3.631325779095504</v>
      </c>
      <c r="N1455">
        <v>0.83546350364880251</v>
      </c>
      <c r="P1455">
        <v>1.4859307922784376E-12</v>
      </c>
      <c r="R1455">
        <v>8.4889458556593542</v>
      </c>
      <c r="S1455">
        <v>8.5031850746050246</v>
      </c>
      <c r="T1455">
        <v>1</v>
      </c>
      <c r="U1455">
        <v>2.37351231416958</v>
      </c>
    </row>
    <row r="1456" spans="1:21">
      <c r="A1456">
        <v>0.9962919150973818</v>
      </c>
      <c r="B1456">
        <v>-1.1120398800189308</v>
      </c>
      <c r="C1456">
        <v>-0.17159139375519605</v>
      </c>
      <c r="D1456">
        <v>0</v>
      </c>
      <c r="E1456">
        <v>0.90851935030868436</v>
      </c>
      <c r="F1456">
        <v>0</v>
      </c>
      <c r="G1456">
        <v>0.91336564303513135</v>
      </c>
      <c r="H1456">
        <v>0.6701547049860529</v>
      </c>
      <c r="I1456">
        <v>0.53287539416644025</v>
      </c>
      <c r="J1456">
        <v>0.58331751754448535</v>
      </c>
      <c r="L1456">
        <v>4.4543126147154224</v>
      </c>
      <c r="M1456">
        <v>3.6313227138560769</v>
      </c>
      <c r="N1456">
        <v>0.83545944385545567</v>
      </c>
      <c r="P1456">
        <v>3.7613990217771739E-11</v>
      </c>
      <c r="R1456">
        <v>8.4889458556593542</v>
      </c>
      <c r="S1456">
        <v>8.5031850746050246</v>
      </c>
      <c r="T1456">
        <v>1</v>
      </c>
      <c r="U1456">
        <v>2.37351231416958</v>
      </c>
    </row>
    <row r="1457" spans="1:21">
      <c r="A1457">
        <v>0.98617820558084146</v>
      </c>
      <c r="B1457">
        <v>-1.1234444642807664</v>
      </c>
      <c r="C1457">
        <v>-0.19872925202158823</v>
      </c>
      <c r="D1457">
        <v>0.28911352113834049</v>
      </c>
      <c r="E1457">
        <v>0</v>
      </c>
      <c r="F1457">
        <v>0.34076972625056012</v>
      </c>
      <c r="G1457">
        <v>0.56828594595550108</v>
      </c>
      <c r="H1457">
        <v>0.18506408504174637</v>
      </c>
      <c r="I1457">
        <v>0.10961924882737605</v>
      </c>
      <c r="J1457">
        <v>8.7023523619830415E-2</v>
      </c>
      <c r="L1457">
        <v>4.4543134036996808</v>
      </c>
      <c r="M1457">
        <v>3.6313217069448958</v>
      </c>
      <c r="N1457">
        <v>0.8354601472520683</v>
      </c>
      <c r="P1457">
        <v>4.7360686096349908E-11</v>
      </c>
      <c r="R1457">
        <v>8.4889458556593542</v>
      </c>
      <c r="S1457">
        <v>8.5031850746050246</v>
      </c>
      <c r="T1457">
        <v>1</v>
      </c>
      <c r="U1457">
        <v>2.37351231416958</v>
      </c>
    </row>
    <row r="1458" spans="1:21">
      <c r="A1458">
        <v>0.99144252472422745</v>
      </c>
      <c r="B1458">
        <v>-1.1078982344153108</v>
      </c>
      <c r="C1458">
        <v>-0.16922784794136597</v>
      </c>
      <c r="D1458">
        <v>0</v>
      </c>
      <c r="E1458">
        <v>0.67697942458508642</v>
      </c>
      <c r="F1458">
        <v>0</v>
      </c>
      <c r="G1458">
        <v>0.17772382573829659</v>
      </c>
      <c r="H1458">
        <v>0.74396524323650559</v>
      </c>
      <c r="I1458">
        <v>0.33512433177027773</v>
      </c>
      <c r="J1458">
        <v>2.5277866837293959E-2</v>
      </c>
      <c r="L1458">
        <v>4.4543139964406802</v>
      </c>
      <c r="M1458">
        <v>3.6313206968222622</v>
      </c>
      <c r="N1458">
        <v>0.83546190990851643</v>
      </c>
      <c r="P1458">
        <v>5.6077233693590518E-11</v>
      </c>
      <c r="R1458">
        <v>8.4889458556593542</v>
      </c>
      <c r="S1458">
        <v>8.5031850746050246</v>
      </c>
      <c r="T1458">
        <v>1</v>
      </c>
      <c r="U1458">
        <v>2.37351231416958</v>
      </c>
    </row>
    <row r="1459" spans="1:21">
      <c r="A1459">
        <v>0.98896083462669082</v>
      </c>
      <c r="B1459">
        <v>-1.1152222584474807</v>
      </c>
      <c r="C1459">
        <v>-0.17555315228600862</v>
      </c>
      <c r="D1459">
        <v>0</v>
      </c>
      <c r="E1459">
        <v>0</v>
      </c>
      <c r="F1459">
        <v>3.1599129308976015E-2</v>
      </c>
      <c r="G1459">
        <v>0.43607026284563721</v>
      </c>
      <c r="H1459">
        <v>0.49047030944521308</v>
      </c>
      <c r="I1459">
        <v>9.1247566712851544E-2</v>
      </c>
      <c r="J1459">
        <v>0.3150835122384037</v>
      </c>
      <c r="L1459">
        <v>4.4543130981008945</v>
      </c>
      <c r="M1459">
        <v>3.6313214139596757</v>
      </c>
      <c r="N1459">
        <v>0.83546021111475777</v>
      </c>
      <c r="P1459">
        <v>4.7672829927410488E-11</v>
      </c>
      <c r="R1459">
        <v>8.4889458556593542</v>
      </c>
      <c r="S1459">
        <v>8.5031850746050246</v>
      </c>
      <c r="T1459">
        <v>1</v>
      </c>
      <c r="U1459">
        <v>2.37351231416958</v>
      </c>
    </row>
    <row r="1460" spans="1:21">
      <c r="A1460">
        <v>0.97351669744381697</v>
      </c>
      <c r="B1460">
        <v>-1.1315660190940118</v>
      </c>
      <c r="C1460">
        <v>-0.19360608368363641</v>
      </c>
      <c r="D1460">
        <v>0</v>
      </c>
      <c r="E1460">
        <v>3.7636267399554516E-2</v>
      </c>
      <c r="F1460">
        <v>0</v>
      </c>
      <c r="G1460">
        <v>0.39249098554792411</v>
      </c>
      <c r="H1460">
        <v>0.21766533586126105</v>
      </c>
      <c r="I1460">
        <v>0.92125859898623919</v>
      </c>
      <c r="J1460">
        <v>0.52490535960382367</v>
      </c>
      <c r="L1460">
        <v>4.4543139558501217</v>
      </c>
      <c r="M1460">
        <v>3.6313206675752538</v>
      </c>
      <c r="N1460">
        <v>0.8354619139003705</v>
      </c>
      <c r="P1460">
        <v>5.6053386813970602E-11</v>
      </c>
      <c r="R1460">
        <v>8.4889458556593542</v>
      </c>
      <c r="S1460">
        <v>8.5031850746050246</v>
      </c>
      <c r="T1460">
        <v>1</v>
      </c>
      <c r="U1460">
        <v>2.37351231416958</v>
      </c>
    </row>
    <row r="1461" spans="1:21">
      <c r="A1461">
        <v>0.98367064265596604</v>
      </c>
      <c r="B1461">
        <v>-1.119774276074462</v>
      </c>
      <c r="C1461">
        <v>-0.15792388957626488</v>
      </c>
      <c r="D1461">
        <v>9.7745765016245184E-2</v>
      </c>
      <c r="E1461">
        <v>0.35536091085877869</v>
      </c>
      <c r="F1461">
        <v>0</v>
      </c>
      <c r="G1461">
        <v>0.14016207408043307</v>
      </c>
      <c r="H1461">
        <v>0.30445235502692675</v>
      </c>
      <c r="I1461">
        <v>0.39327825753442219</v>
      </c>
      <c r="J1461">
        <v>0.88807126767854316</v>
      </c>
      <c r="L1461">
        <v>4.4543138664821189</v>
      </c>
      <c r="M1461">
        <v>3.6313208580654699</v>
      </c>
      <c r="N1461">
        <v>0.83546140900038401</v>
      </c>
      <c r="P1461">
        <v>5.4450080229953294E-11</v>
      </c>
      <c r="R1461">
        <v>8.4889458556593542</v>
      </c>
      <c r="S1461">
        <v>8.5031850746050246</v>
      </c>
      <c r="T1461">
        <v>1</v>
      </c>
      <c r="U1461">
        <v>2.37351231416958</v>
      </c>
    </row>
    <row r="1462" spans="1:21">
      <c r="A1462">
        <v>0.9797620020728609</v>
      </c>
      <c r="B1462">
        <v>-1.1172194708427476</v>
      </c>
      <c r="C1462">
        <v>-0.16729401126411186</v>
      </c>
      <c r="D1462">
        <v>0</v>
      </c>
      <c r="E1462">
        <v>0</v>
      </c>
      <c r="F1462">
        <v>0.24760629551682997</v>
      </c>
      <c r="G1462">
        <v>1.6573652138558811E-2</v>
      </c>
      <c r="H1462">
        <v>0.77078394213961654</v>
      </c>
      <c r="I1462">
        <v>0.54971255919802808</v>
      </c>
      <c r="J1462">
        <v>0.74213630077371084</v>
      </c>
      <c r="L1462">
        <v>4.4543118709192866</v>
      </c>
      <c r="M1462">
        <v>3.6313233048531757</v>
      </c>
      <c r="N1462">
        <v>0.83545930012743042</v>
      </c>
      <c r="P1462">
        <v>3.0394600905732466E-11</v>
      </c>
      <c r="R1462">
        <v>8.4889458556593542</v>
      </c>
      <c r="S1462">
        <v>8.5031850746050246</v>
      </c>
      <c r="T1462">
        <v>1</v>
      </c>
      <c r="U1462">
        <v>2.37351231416958</v>
      </c>
    </row>
    <row r="1463" spans="1:21">
      <c r="A1463">
        <v>0.97980875552690483</v>
      </c>
      <c r="B1463">
        <v>-1.1281697793215548</v>
      </c>
      <c r="C1463">
        <v>-0.17774925799069505</v>
      </c>
      <c r="D1463">
        <v>0.5323005231905108</v>
      </c>
      <c r="E1463">
        <v>0</v>
      </c>
      <c r="F1463">
        <v>0</v>
      </c>
      <c r="G1463">
        <v>0.45056853526424756</v>
      </c>
      <c r="H1463">
        <v>0.46061426023486451</v>
      </c>
      <c r="I1463">
        <v>0.47853902996170217</v>
      </c>
      <c r="J1463">
        <v>0.81486527228866279</v>
      </c>
      <c r="L1463">
        <v>4.4543140070658991</v>
      </c>
      <c r="M1463">
        <v>3.6313207145263142</v>
      </c>
      <c r="N1463">
        <v>0.83546185130626127</v>
      </c>
      <c r="P1463">
        <v>5.6100726141611471E-11</v>
      </c>
      <c r="R1463">
        <v>8.4889458556593542</v>
      </c>
      <c r="S1463">
        <v>8.5031850746050246</v>
      </c>
      <c r="T1463">
        <v>1</v>
      </c>
      <c r="U1463">
        <v>2.37351231416958</v>
      </c>
    </row>
    <row r="1464" spans="1:21">
      <c r="A1464">
        <v>0.97917519900114969</v>
      </c>
      <c r="B1464">
        <v>-1.1236950795331515</v>
      </c>
      <c r="C1464">
        <v>-0.18998664605209553</v>
      </c>
      <c r="D1464">
        <v>0.11108174500511972</v>
      </c>
      <c r="E1464">
        <v>0</v>
      </c>
      <c r="F1464">
        <v>0</v>
      </c>
      <c r="G1464">
        <v>0.48634166783735799</v>
      </c>
      <c r="H1464">
        <v>0.71840099571518035</v>
      </c>
      <c r="I1464">
        <v>0.76012710367306724</v>
      </c>
      <c r="J1464">
        <v>0.3980058699098305</v>
      </c>
      <c r="L1464">
        <v>4.4543133562997461</v>
      </c>
      <c r="M1464">
        <v>3.6313210917192826</v>
      </c>
      <c r="N1464">
        <v>0.83546065234954081</v>
      </c>
      <c r="P1464">
        <v>5.071568388011114E-11</v>
      </c>
      <c r="R1464">
        <v>8.4889458556593542</v>
      </c>
      <c r="S1464">
        <v>8.5031850746050246</v>
      </c>
      <c r="T1464">
        <v>1</v>
      </c>
      <c r="U1464">
        <v>2.37351231416958</v>
      </c>
    </row>
    <row r="1465" spans="1:21">
      <c r="A1465">
        <v>0.98035324364814036</v>
      </c>
      <c r="B1465">
        <v>-1.127961209624055</v>
      </c>
      <c r="C1465">
        <v>-0.20854969342792504</v>
      </c>
      <c r="D1465">
        <v>0</v>
      </c>
      <c r="E1465">
        <v>0</v>
      </c>
      <c r="F1465">
        <v>0</v>
      </c>
      <c r="G1465">
        <v>0.89990327536506631</v>
      </c>
      <c r="H1465">
        <v>0.48302099135929405</v>
      </c>
      <c r="I1465">
        <v>0.83535380919783864</v>
      </c>
      <c r="J1465">
        <v>0.1992572509360335</v>
      </c>
      <c r="L1465">
        <v>4.4543096294812479</v>
      </c>
      <c r="M1465">
        <v>3.6313255232742851</v>
      </c>
      <c r="N1465">
        <v>0.8354606606251187</v>
      </c>
      <c r="P1465">
        <v>6.8803041591564363E-12</v>
      </c>
      <c r="R1465">
        <v>8.4889458556593542</v>
      </c>
      <c r="S1465">
        <v>8.5031850746050246</v>
      </c>
      <c r="T1465">
        <v>1</v>
      </c>
      <c r="U1465">
        <v>2.37351231416958</v>
      </c>
    </row>
    <row r="1466" spans="1:21">
      <c r="A1466">
        <v>0.97690671270878271</v>
      </c>
      <c r="B1466">
        <v>-1.1301033566726859</v>
      </c>
      <c r="C1466">
        <v>-0.17720319176875293</v>
      </c>
      <c r="D1466">
        <v>5.8107385486810013E-2</v>
      </c>
      <c r="E1466">
        <v>0</v>
      </c>
      <c r="F1466">
        <v>0</v>
      </c>
      <c r="G1466">
        <v>0.36544466460059755</v>
      </c>
      <c r="H1466">
        <v>6.8597934172769909E-2</v>
      </c>
      <c r="I1466">
        <v>0.6094069780986936</v>
      </c>
      <c r="J1466">
        <v>0.89807512588130833</v>
      </c>
      <c r="L1466">
        <v>4.4543138793779349</v>
      </c>
      <c r="M1466">
        <v>3.6313208859090356</v>
      </c>
      <c r="N1466">
        <v>0.83546136071264321</v>
      </c>
      <c r="P1466">
        <v>5.4404037604380786E-11</v>
      </c>
      <c r="R1466">
        <v>8.4889458556593542</v>
      </c>
      <c r="S1466">
        <v>8.5031850746050246</v>
      </c>
      <c r="T1466">
        <v>1</v>
      </c>
      <c r="U1466">
        <v>2.37351231416958</v>
      </c>
    </row>
    <row r="1467" spans="1:21">
      <c r="A1467">
        <v>0.98351704744157264</v>
      </c>
      <c r="B1467">
        <v>-1.1186636252584763</v>
      </c>
      <c r="C1467">
        <v>-0.1775213150869365</v>
      </c>
      <c r="D1467">
        <v>0</v>
      </c>
      <c r="E1467">
        <v>0.3919721331505146</v>
      </c>
      <c r="F1467">
        <v>8.3240253062453098E-2</v>
      </c>
      <c r="G1467">
        <v>0.16658061402988533</v>
      </c>
      <c r="H1467">
        <v>0.34565761469673217</v>
      </c>
      <c r="I1467">
        <v>0.47593171052924987</v>
      </c>
      <c r="J1467">
        <v>0.2771368644532255</v>
      </c>
      <c r="L1467">
        <v>4.4543137409102656</v>
      </c>
      <c r="M1467">
        <v>3.631321079457309</v>
      </c>
      <c r="N1467">
        <v>0.83546096366274614</v>
      </c>
      <c r="P1467">
        <v>5.2544764161850273E-11</v>
      </c>
      <c r="R1467">
        <v>8.4889458556593542</v>
      </c>
      <c r="S1467">
        <v>8.5031850746050246</v>
      </c>
      <c r="T1467">
        <v>1</v>
      </c>
      <c r="U1467">
        <v>2.37351231416958</v>
      </c>
    </row>
    <row r="1468" spans="1:21">
      <c r="A1468">
        <v>0.97455240451936664</v>
      </c>
      <c r="B1468">
        <v>-1.1302384774924119</v>
      </c>
      <c r="C1468">
        <v>-0.18500568231816672</v>
      </c>
      <c r="D1468">
        <v>0</v>
      </c>
      <c r="E1468">
        <v>0</v>
      </c>
      <c r="F1468">
        <v>0</v>
      </c>
      <c r="G1468">
        <v>0.36125482436552891</v>
      </c>
      <c r="H1468">
        <v>0.24092891495315549</v>
      </c>
      <c r="I1468">
        <v>0.83154179675216511</v>
      </c>
      <c r="J1468">
        <v>0.72930756213239933</v>
      </c>
      <c r="L1468">
        <v>4.4543136839018862</v>
      </c>
      <c r="M1468">
        <v>3.6313212730181044</v>
      </c>
      <c r="N1468">
        <v>0.83546070952464158</v>
      </c>
      <c r="P1468">
        <v>5.1094214749146375E-11</v>
      </c>
      <c r="R1468">
        <v>8.4889458556593542</v>
      </c>
      <c r="S1468">
        <v>8.5031850746050246</v>
      </c>
      <c r="T1468">
        <v>1</v>
      </c>
      <c r="U1468">
        <v>2.37351231416958</v>
      </c>
    </row>
    <row r="1469" spans="1:21">
      <c r="A1469">
        <v>0.99248050133111898</v>
      </c>
      <c r="B1469">
        <v>-1.1126379884100677</v>
      </c>
      <c r="C1469">
        <v>-0.1883741355498095</v>
      </c>
      <c r="D1469">
        <v>0</v>
      </c>
      <c r="E1469">
        <v>0.24701510095316062</v>
      </c>
      <c r="F1469">
        <v>0.12262278095348787</v>
      </c>
      <c r="G1469">
        <v>0.78600634465797803</v>
      </c>
      <c r="H1469">
        <v>0.81136601165955924</v>
      </c>
      <c r="I1469">
        <v>0.32901350411637825</v>
      </c>
      <c r="J1469">
        <v>0.1193055962232397</v>
      </c>
      <c r="L1469">
        <v>4.4543089332584431</v>
      </c>
      <c r="M1469">
        <v>3.6313247633977892</v>
      </c>
      <c r="N1469">
        <v>0.83546408480319723</v>
      </c>
      <c r="P1469">
        <v>4.7959838325074384E-12</v>
      </c>
      <c r="R1469">
        <v>8.4889458556593542</v>
      </c>
      <c r="S1469">
        <v>8.5031850746050246</v>
      </c>
      <c r="T1469">
        <v>1</v>
      </c>
      <c r="U1469">
        <v>2.37351231416958</v>
      </c>
    </row>
    <row r="1470" spans="1:21">
      <c r="A1470">
        <v>0.98462359797795507</v>
      </c>
      <c r="B1470">
        <v>-1.1123591431126012</v>
      </c>
      <c r="C1470">
        <v>-0.16291696806768247</v>
      </c>
      <c r="D1470">
        <v>2.4076347415990868E-2</v>
      </c>
      <c r="E1470">
        <v>0</v>
      </c>
      <c r="F1470">
        <v>0</v>
      </c>
      <c r="G1470">
        <v>0.14163622664075659</v>
      </c>
      <c r="H1470">
        <v>0.9843771674677686</v>
      </c>
      <c r="I1470">
        <v>0.39388652936018947</v>
      </c>
      <c r="J1470">
        <v>0.57921297734240651</v>
      </c>
      <c r="L1470">
        <v>4.454313104931054</v>
      </c>
      <c r="M1470">
        <v>3.631322167727105</v>
      </c>
      <c r="N1470">
        <v>0.83545981035936701</v>
      </c>
      <c r="P1470">
        <v>4.2909792300224221E-11</v>
      </c>
      <c r="R1470">
        <v>8.4889458556593542</v>
      </c>
      <c r="S1470">
        <v>8.5031850746050246</v>
      </c>
      <c r="T1470">
        <v>1</v>
      </c>
      <c r="U1470">
        <v>2.37351231416958</v>
      </c>
    </row>
    <row r="1471" spans="1:21">
      <c r="A1471">
        <v>0.97855283699165241</v>
      </c>
      <c r="B1471">
        <v>-1.1257888688908659</v>
      </c>
      <c r="C1471">
        <v>-0.18736777698033566</v>
      </c>
      <c r="D1471">
        <v>0.81812649718072228</v>
      </c>
      <c r="E1471">
        <v>0</v>
      </c>
      <c r="F1471">
        <v>0</v>
      </c>
      <c r="G1471">
        <v>0.16529232005100311</v>
      </c>
      <c r="H1471">
        <v>0.70830039974052239</v>
      </c>
      <c r="I1471">
        <v>0.41042818159192573</v>
      </c>
      <c r="J1471">
        <v>0.18813185896391393</v>
      </c>
      <c r="L1471">
        <v>4.4543125159423917</v>
      </c>
      <c r="M1471">
        <v>3.6313227765133989</v>
      </c>
      <c r="N1471">
        <v>0.83545943208957263</v>
      </c>
      <c r="P1471">
        <v>3.6616664922766016E-11</v>
      </c>
      <c r="R1471">
        <v>8.4889458556593542</v>
      </c>
      <c r="S1471">
        <v>8.5031850746050246</v>
      </c>
      <c r="T1471">
        <v>1</v>
      </c>
      <c r="U1471">
        <v>2.37351231416958</v>
      </c>
    </row>
    <row r="1472" spans="1:21">
      <c r="A1472">
        <v>0.9831652522084231</v>
      </c>
      <c r="B1472">
        <v>-1.1223395922869077</v>
      </c>
      <c r="C1472">
        <v>-0.16154776804605267</v>
      </c>
      <c r="D1472">
        <v>0</v>
      </c>
      <c r="E1472">
        <v>9.883231804429729E-2</v>
      </c>
      <c r="F1472">
        <v>6.4867015904760086E-2</v>
      </c>
      <c r="G1472">
        <v>0.27490567406963567</v>
      </c>
      <c r="H1472">
        <v>0.14891192995735847</v>
      </c>
      <c r="I1472">
        <v>0.30017653005569767</v>
      </c>
      <c r="J1472">
        <v>1.0093265285615551</v>
      </c>
      <c r="L1472">
        <v>4.4543139238731584</v>
      </c>
      <c r="M1472">
        <v>3.6313206598737051</v>
      </c>
      <c r="N1472">
        <v>0.83546185905040682</v>
      </c>
      <c r="P1472">
        <v>5.5990587657008068E-11</v>
      </c>
      <c r="R1472">
        <v>8.4889458556593542</v>
      </c>
      <c r="S1472">
        <v>8.5031850746050246</v>
      </c>
      <c r="T1472">
        <v>1</v>
      </c>
      <c r="U1472">
        <v>2.37351231416958</v>
      </c>
    </row>
    <row r="1473" spans="1:21">
      <c r="A1473">
        <v>0.99792897850639906</v>
      </c>
      <c r="B1473">
        <v>-1.1087847781965168</v>
      </c>
      <c r="C1473">
        <v>-0.18482230320413323</v>
      </c>
      <c r="D1473">
        <v>7.0692430248016219E-2</v>
      </c>
      <c r="E1473">
        <v>0.49001414918760433</v>
      </c>
      <c r="F1473">
        <v>0.6042884917463498</v>
      </c>
      <c r="G1473">
        <v>0.77843166286516241</v>
      </c>
      <c r="H1473">
        <v>0.70476889787021335</v>
      </c>
      <c r="I1473">
        <v>8.4394740532826446E-2</v>
      </c>
      <c r="J1473">
        <v>0.26854218056528256</v>
      </c>
      <c r="L1473">
        <v>4.4543131642537892</v>
      </c>
      <c r="M1473">
        <v>3.6313220094166954</v>
      </c>
      <c r="N1473">
        <v>0.83545986306695474</v>
      </c>
      <c r="P1473">
        <v>4.4426615155388663E-11</v>
      </c>
      <c r="R1473">
        <v>8.4889458556593542</v>
      </c>
      <c r="S1473">
        <v>8.5031850746050246</v>
      </c>
      <c r="T1473">
        <v>1</v>
      </c>
      <c r="U1473">
        <v>2.37351231416958</v>
      </c>
    </row>
    <row r="1474" spans="1:21">
      <c r="A1474">
        <v>0.99166429662949251</v>
      </c>
      <c r="B1474">
        <v>-1.1142486261725235</v>
      </c>
      <c r="C1474">
        <v>-0.16413281629249549</v>
      </c>
      <c r="D1474">
        <v>6.8343673775619507E-2</v>
      </c>
      <c r="E1474">
        <v>0</v>
      </c>
      <c r="F1474">
        <v>0</v>
      </c>
      <c r="G1474">
        <v>0.83011804692847257</v>
      </c>
      <c r="H1474">
        <v>0.90369237059009233</v>
      </c>
      <c r="I1474">
        <v>0.27155893484936511</v>
      </c>
      <c r="J1474">
        <v>0.99626990856064102</v>
      </c>
      <c r="L1474">
        <v>4.4543139348240546</v>
      </c>
      <c r="M1474">
        <v>3.631320819016024</v>
      </c>
      <c r="N1474">
        <v>0.83546150969032762</v>
      </c>
      <c r="P1474">
        <v>5.5176711062165801E-11</v>
      </c>
      <c r="R1474">
        <v>8.4889458556593542</v>
      </c>
      <c r="S1474">
        <v>8.5031850746050246</v>
      </c>
      <c r="T1474">
        <v>1</v>
      </c>
      <c r="U1474">
        <v>2.37351231416958</v>
      </c>
    </row>
    <row r="1475" spans="1:21">
      <c r="A1475">
        <v>0.99033085437698587</v>
      </c>
      <c r="B1475">
        <v>-1.1183196056910223</v>
      </c>
      <c r="C1475">
        <v>-0.16339657429291213</v>
      </c>
      <c r="D1475">
        <v>0.55709180317215368</v>
      </c>
      <c r="E1475">
        <v>0.76225151281442149</v>
      </c>
      <c r="F1475">
        <v>0</v>
      </c>
      <c r="G1475">
        <v>0.64643232232249681</v>
      </c>
      <c r="H1475">
        <v>0.74042817430949004</v>
      </c>
      <c r="I1475">
        <v>0.52475784133244596</v>
      </c>
      <c r="J1475">
        <v>0.92965050286027651</v>
      </c>
      <c r="L1475">
        <v>4.4543139313846449</v>
      </c>
      <c r="M1475">
        <v>3.6313208618051878</v>
      </c>
      <c r="N1475">
        <v>0.83546142743431939</v>
      </c>
      <c r="P1475">
        <v>5.4913928140223406E-11</v>
      </c>
      <c r="R1475">
        <v>8.4889458556593542</v>
      </c>
      <c r="S1475">
        <v>8.5031850746050246</v>
      </c>
      <c r="T1475">
        <v>1</v>
      </c>
      <c r="U1475">
        <v>2.37351231416958</v>
      </c>
    </row>
    <row r="1476" spans="1:21">
      <c r="A1476">
        <v>0.98468163543139287</v>
      </c>
      <c r="B1476">
        <v>-1.1265049792226041</v>
      </c>
      <c r="C1476">
        <v>-0.20621265553313017</v>
      </c>
      <c r="D1476">
        <v>4.8456886477803454E-2</v>
      </c>
      <c r="E1476">
        <v>0</v>
      </c>
      <c r="F1476">
        <v>0</v>
      </c>
      <c r="G1476">
        <v>0.86544745814760304</v>
      </c>
      <c r="H1476">
        <v>0.16740103774521239</v>
      </c>
      <c r="I1476">
        <v>0.41787163826751039</v>
      </c>
      <c r="J1476">
        <v>2.4312654026391885E-2</v>
      </c>
      <c r="L1476">
        <v>4.4543132803037091</v>
      </c>
      <c r="M1476">
        <v>3.6313218211924112</v>
      </c>
      <c r="N1476">
        <v>0.83546001215011834</v>
      </c>
      <c r="P1476">
        <v>4.6118246626050219E-11</v>
      </c>
      <c r="R1476">
        <v>8.4889458556593542</v>
      </c>
      <c r="S1476">
        <v>8.5031850746050246</v>
      </c>
      <c r="T1476">
        <v>1</v>
      </c>
      <c r="U1476">
        <v>2.37351231416958</v>
      </c>
    </row>
    <row r="1477" spans="1:21">
      <c r="A1477">
        <v>0.99006566092178916</v>
      </c>
      <c r="B1477">
        <v>-1.113409302744617</v>
      </c>
      <c r="C1477">
        <v>-0.17199440811161862</v>
      </c>
      <c r="D1477">
        <v>0.16588297675663091</v>
      </c>
      <c r="E1477">
        <v>0.36010433161070732</v>
      </c>
      <c r="F1477">
        <v>2.2872723833496617E-2</v>
      </c>
      <c r="G1477">
        <v>0.38304859490512139</v>
      </c>
      <c r="H1477">
        <v>0.65297713432479154</v>
      </c>
      <c r="I1477">
        <v>0.23637699016498465</v>
      </c>
      <c r="J1477">
        <v>0.30233962659725239</v>
      </c>
      <c r="L1477">
        <v>4.454313585632601</v>
      </c>
      <c r="M1477">
        <v>3.6313214811606342</v>
      </c>
      <c r="N1477">
        <v>0.83546044122590202</v>
      </c>
      <c r="P1477">
        <v>4.9442220366426317E-11</v>
      </c>
      <c r="R1477">
        <v>8.4889458556593542</v>
      </c>
      <c r="S1477">
        <v>8.5031850746050246</v>
      </c>
      <c r="T1477">
        <v>1</v>
      </c>
      <c r="U1477">
        <v>2.37351231416958</v>
      </c>
    </row>
    <row r="1478" spans="1:21">
      <c r="A1478">
        <v>0.99276417640844217</v>
      </c>
      <c r="B1478">
        <v>-1.1123070979795795</v>
      </c>
      <c r="C1478">
        <v>-0.18855077626598551</v>
      </c>
      <c r="D1478">
        <v>0</v>
      </c>
      <c r="E1478">
        <v>4.5850140669466161E-2</v>
      </c>
      <c r="F1478">
        <v>0</v>
      </c>
      <c r="G1478">
        <v>0.81887353283923781</v>
      </c>
      <c r="H1478">
        <v>0.86034122857010109</v>
      </c>
      <c r="I1478">
        <v>0.22020095949447999</v>
      </c>
      <c r="J1478">
        <v>4.7455900038068696E-2</v>
      </c>
      <c r="L1478">
        <v>4.4543120569287762</v>
      </c>
      <c r="M1478">
        <v>3.6313219489063244</v>
      </c>
      <c r="N1478">
        <v>0.83546024396763474</v>
      </c>
      <c r="P1478">
        <v>3.5882330206262976E-11</v>
      </c>
      <c r="R1478">
        <v>8.4889458556593542</v>
      </c>
      <c r="S1478">
        <v>8.5031850746050246</v>
      </c>
      <c r="T1478">
        <v>1</v>
      </c>
      <c r="U1478">
        <v>2.37351231416958</v>
      </c>
    </row>
    <row r="1479" spans="1:21">
      <c r="A1479">
        <v>0.97446121625957405</v>
      </c>
      <c r="B1479">
        <v>-1.1336203107486067</v>
      </c>
      <c r="C1479">
        <v>-0.19949161420943121</v>
      </c>
      <c r="D1479">
        <v>0.24352308068914591</v>
      </c>
      <c r="E1479">
        <v>0</v>
      </c>
      <c r="F1479">
        <v>0.21340691850886201</v>
      </c>
      <c r="G1479">
        <v>0.42934040051827038</v>
      </c>
      <c r="H1479">
        <v>0.10068056073738205</v>
      </c>
      <c r="I1479">
        <v>0.73488074742091736</v>
      </c>
      <c r="J1479">
        <v>0.48650441528954264</v>
      </c>
      <c r="L1479">
        <v>4.4543135535255072</v>
      </c>
      <c r="M1479">
        <v>3.6313216295291846</v>
      </c>
      <c r="N1479">
        <v>0.83546030988114572</v>
      </c>
      <c r="P1479">
        <v>4.8389023741157472E-11</v>
      </c>
      <c r="R1479">
        <v>8.4889458556593542</v>
      </c>
      <c r="S1479">
        <v>8.5031850746050246</v>
      </c>
      <c r="T1479">
        <v>1</v>
      </c>
      <c r="U1479">
        <v>2.37351231416958</v>
      </c>
    </row>
    <row r="1480" spans="1:21">
      <c r="A1480">
        <v>0.97821935555776895</v>
      </c>
      <c r="B1480">
        <v>-1.132615437478969</v>
      </c>
      <c r="C1480">
        <v>-0.20280243029978598</v>
      </c>
      <c r="D1480">
        <v>0.77605269293469337</v>
      </c>
      <c r="E1480">
        <v>0</v>
      </c>
      <c r="F1480">
        <v>0.40183543530692539</v>
      </c>
      <c r="G1480">
        <v>0.27891437826171728</v>
      </c>
      <c r="H1480">
        <v>2.0646232254348459E-2</v>
      </c>
      <c r="I1480">
        <v>0.22975518075903256</v>
      </c>
      <c r="J1480">
        <v>0.14578869887919199</v>
      </c>
      <c r="L1480">
        <v>4.4543139680364874</v>
      </c>
      <c r="M1480">
        <v>3.6313207719137988</v>
      </c>
      <c r="N1480">
        <v>0.83546162805740409</v>
      </c>
      <c r="P1480">
        <v>5.5666209955013611E-11</v>
      </c>
      <c r="R1480">
        <v>8.4889458556593542</v>
      </c>
      <c r="S1480">
        <v>8.5031850746050246</v>
      </c>
      <c r="T1480">
        <v>1</v>
      </c>
      <c r="U1480">
        <v>2.37351231416958</v>
      </c>
    </row>
    <row r="1481" spans="1:21">
      <c r="A1481">
        <v>1.0384704999363337</v>
      </c>
      <c r="B1481">
        <v>-0.99375756238946755</v>
      </c>
      <c r="C1481">
        <v>-7.2886163360260298E-2</v>
      </c>
      <c r="D1481">
        <v>0</v>
      </c>
      <c r="E1481">
        <v>0</v>
      </c>
      <c r="F1481">
        <v>0.81678066016027828</v>
      </c>
      <c r="G1481">
        <v>0.50444179472502748</v>
      </c>
      <c r="H1481">
        <v>0.25687473291685686</v>
      </c>
      <c r="I1481">
        <v>0.59257099712028871</v>
      </c>
      <c r="J1481">
        <v>0.77918644482116128</v>
      </c>
      <c r="L1481">
        <v>0.89922170966989601</v>
      </c>
      <c r="M1481">
        <v>3.6313256661536819</v>
      </c>
      <c r="N1481">
        <v>0.83546205041925548</v>
      </c>
      <c r="P1481">
        <v>4.5615307424059584E-12</v>
      </c>
      <c r="R1481">
        <v>4.1580276821227447</v>
      </c>
      <c r="S1481">
        <v>4.1630934361703984</v>
      </c>
      <c r="T1481">
        <v>1</v>
      </c>
      <c r="U1481">
        <v>2.5379345472028043</v>
      </c>
    </row>
    <row r="1482" spans="1:21">
      <c r="A1482">
        <v>1.0456124889491996</v>
      </c>
      <c r="B1482">
        <v>-1.0021015803040914</v>
      </c>
      <c r="C1482">
        <v>-6.8776193507915862E-2</v>
      </c>
      <c r="D1482">
        <v>0.18172267385773941</v>
      </c>
      <c r="E1482">
        <v>0.72793100817126788</v>
      </c>
      <c r="F1482">
        <v>0</v>
      </c>
      <c r="G1482">
        <v>0.8777120855624273</v>
      </c>
      <c r="H1482">
        <v>0.50428025773453999</v>
      </c>
      <c r="I1482">
        <v>0.32015870663262513</v>
      </c>
      <c r="J1482">
        <v>0.54315369493534515</v>
      </c>
      <c r="L1482">
        <v>0.89922176872504045</v>
      </c>
      <c r="M1482">
        <v>3.6313256628632109</v>
      </c>
      <c r="N1482">
        <v>0.83546207674432693</v>
      </c>
      <c r="P1482">
        <v>4.7129132584187E-12</v>
      </c>
      <c r="R1482">
        <v>4.1580276821227447</v>
      </c>
      <c r="S1482">
        <v>4.1630934361703984</v>
      </c>
      <c r="T1482">
        <v>1</v>
      </c>
      <c r="U1482">
        <v>2.5379345472028043</v>
      </c>
    </row>
    <row r="1483" spans="1:21">
      <c r="A1483">
        <v>1.0358910850156362</v>
      </c>
      <c r="B1483">
        <v>-1.0002115638630364</v>
      </c>
      <c r="C1483">
        <v>-6.6207948941353442E-2</v>
      </c>
      <c r="D1483">
        <v>0.66579207546288921</v>
      </c>
      <c r="E1483">
        <v>0</v>
      </c>
      <c r="F1483">
        <v>0</v>
      </c>
      <c r="G1483">
        <v>0.53973031586273013</v>
      </c>
      <c r="H1483">
        <v>0.39743834957815977</v>
      </c>
      <c r="I1483">
        <v>0.62039915161615844</v>
      </c>
      <c r="J1483">
        <v>0.68792843132494297</v>
      </c>
      <c r="L1483">
        <v>0.89922175725022013</v>
      </c>
      <c r="M1483">
        <v>3.6313256409578756</v>
      </c>
      <c r="N1483">
        <v>0.83546209573980057</v>
      </c>
      <c r="P1483">
        <v>4.6788937882588666E-12</v>
      </c>
      <c r="R1483">
        <v>4.1580276821227447</v>
      </c>
      <c r="S1483">
        <v>4.1630934361703984</v>
      </c>
      <c r="T1483">
        <v>1</v>
      </c>
      <c r="U1483">
        <v>2.5379345472028043</v>
      </c>
    </row>
    <row r="1484" spans="1:21">
      <c r="A1484">
        <v>1.0431179076115584</v>
      </c>
      <c r="B1484">
        <v>-1.0033831732826548</v>
      </c>
      <c r="C1484">
        <v>-8.8742983410318776E-2</v>
      </c>
      <c r="D1484">
        <v>0.27792072798790785</v>
      </c>
      <c r="E1484">
        <v>0</v>
      </c>
      <c r="F1484">
        <v>0</v>
      </c>
      <c r="G1484">
        <v>0.94502640584295416</v>
      </c>
      <c r="H1484">
        <v>0.40053420298842485</v>
      </c>
      <c r="I1484">
        <v>9.8570896613645945E-2</v>
      </c>
      <c r="J1484">
        <v>4.5095166420655725E-2</v>
      </c>
      <c r="L1484">
        <v>0.89922105035000732</v>
      </c>
      <c r="M1484">
        <v>3.6313254645050446</v>
      </c>
      <c r="N1484">
        <v>0.83546269599522205</v>
      </c>
      <c r="P1484">
        <v>2.3752803926495824E-12</v>
      </c>
      <c r="R1484">
        <v>4.1580276821227447</v>
      </c>
      <c r="S1484">
        <v>4.1630934361703984</v>
      </c>
      <c r="T1484">
        <v>1</v>
      </c>
      <c r="U1484">
        <v>2.5379345472028043</v>
      </c>
    </row>
    <row r="1485" spans="1:21">
      <c r="A1485">
        <v>1.0416711790319593</v>
      </c>
      <c r="B1485">
        <v>-0.99692772156680864</v>
      </c>
      <c r="C1485">
        <v>-7.378763528789091E-2</v>
      </c>
      <c r="D1485">
        <v>0.32303339521295865</v>
      </c>
      <c r="E1485">
        <v>0.62582776591920874</v>
      </c>
      <c r="F1485">
        <v>0</v>
      </c>
      <c r="G1485">
        <v>0.77972521292110952</v>
      </c>
      <c r="H1485">
        <v>0.77560065912310538</v>
      </c>
      <c r="I1485">
        <v>0.78986108131457122</v>
      </c>
      <c r="J1485">
        <v>0.37821605675763509</v>
      </c>
      <c r="L1485">
        <v>0.89922171024488873</v>
      </c>
      <c r="M1485">
        <v>3.6313256358603057</v>
      </c>
      <c r="N1485">
        <v>0.83546210599533777</v>
      </c>
      <c r="P1485">
        <v>4.5127400274261127E-12</v>
      </c>
      <c r="R1485">
        <v>4.1580276821227447</v>
      </c>
      <c r="S1485">
        <v>4.1630934361703984</v>
      </c>
      <c r="T1485">
        <v>1</v>
      </c>
      <c r="U1485">
        <v>2.5379345472028043</v>
      </c>
    </row>
    <row r="1486" spans="1:21">
      <c r="A1486">
        <v>1.0337582865512061</v>
      </c>
      <c r="B1486">
        <v>-0.98816065544693177</v>
      </c>
      <c r="C1486">
        <v>-5.0879149568567247E-2</v>
      </c>
      <c r="D1486">
        <v>0</v>
      </c>
      <c r="E1486">
        <v>0</v>
      </c>
      <c r="F1486">
        <v>6.6677267675286825E-2</v>
      </c>
      <c r="G1486">
        <v>5.6590995920375926E-2</v>
      </c>
      <c r="H1486">
        <v>7.9314389926323448E-2</v>
      </c>
      <c r="I1486">
        <v>0.91642947591475288</v>
      </c>
      <c r="J1486">
        <v>0.69140383481877832</v>
      </c>
      <c r="L1486">
        <v>0.899221322041727</v>
      </c>
      <c r="M1486">
        <v>3.6313258055872599</v>
      </c>
      <c r="N1486">
        <v>0.83546184945416235</v>
      </c>
      <c r="P1486">
        <v>3.6419921936194983E-12</v>
      </c>
      <c r="R1486">
        <v>4.1580276821227447</v>
      </c>
      <c r="S1486">
        <v>4.1630934361703984</v>
      </c>
      <c r="T1486">
        <v>1</v>
      </c>
      <c r="U1486">
        <v>2.5379345472028043</v>
      </c>
    </row>
    <row r="1487" spans="1:21">
      <c r="A1487">
        <v>1.0445213148937351</v>
      </c>
      <c r="B1487">
        <v>-0.99229140908714453</v>
      </c>
      <c r="C1487">
        <v>-7.1626663181097283E-2</v>
      </c>
      <c r="D1487">
        <v>0.13171444145051503</v>
      </c>
      <c r="E1487">
        <v>0.27220390331175143</v>
      </c>
      <c r="F1487">
        <v>0</v>
      </c>
      <c r="G1487">
        <v>0.58682544420305882</v>
      </c>
      <c r="H1487">
        <v>0.75992556189765981</v>
      </c>
      <c r="I1487">
        <v>0.28452645141513166</v>
      </c>
      <c r="J1487">
        <v>5.1360615107864542E-2</v>
      </c>
      <c r="L1487">
        <v>0.89922045583625987</v>
      </c>
      <c r="M1487">
        <v>3.6313256593209253</v>
      </c>
      <c r="N1487">
        <v>0.83546209762666901</v>
      </c>
      <c r="P1487">
        <v>1.9410715127605041E-12</v>
      </c>
      <c r="R1487">
        <v>4.1580276821227447</v>
      </c>
      <c r="S1487">
        <v>4.1630934361703984</v>
      </c>
      <c r="T1487">
        <v>1</v>
      </c>
      <c r="U1487">
        <v>2.5379345472028043</v>
      </c>
    </row>
    <row r="1488" spans="1:21">
      <c r="A1488">
        <v>1.0418876782770963</v>
      </c>
      <c r="B1488">
        <v>-0.98530737006777869</v>
      </c>
      <c r="C1488">
        <v>-4.4864167317826283E-2</v>
      </c>
      <c r="D1488">
        <v>0</v>
      </c>
      <c r="E1488">
        <v>0</v>
      </c>
      <c r="F1488">
        <v>0.3608363970806166</v>
      </c>
      <c r="G1488">
        <v>6.357005491801208E-3</v>
      </c>
      <c r="H1488">
        <v>0.45402745904255531</v>
      </c>
      <c r="I1488">
        <v>0.15530512452812692</v>
      </c>
      <c r="J1488">
        <v>0.63816349635467284</v>
      </c>
      <c r="L1488">
        <v>0.89922180485254322</v>
      </c>
      <c r="M1488">
        <v>3.6313256249392705</v>
      </c>
      <c r="N1488">
        <v>0.83546214562893817</v>
      </c>
      <c r="P1488">
        <v>4.7799828784933752E-12</v>
      </c>
      <c r="R1488">
        <v>4.1580276821227447</v>
      </c>
      <c r="S1488">
        <v>4.1630934361703984</v>
      </c>
      <c r="T1488">
        <v>1</v>
      </c>
      <c r="U1488">
        <v>2.5379345472028043</v>
      </c>
    </row>
    <row r="1489" spans="1:21">
      <c r="A1489">
        <v>1.0385963382561081</v>
      </c>
      <c r="B1489">
        <v>-0.98909033404636892</v>
      </c>
      <c r="C1489">
        <v>-8.8689973479342557E-2</v>
      </c>
      <c r="D1489">
        <v>0.16109404015410658</v>
      </c>
      <c r="E1489">
        <v>0</v>
      </c>
      <c r="F1489">
        <v>0.52905635425598208</v>
      </c>
      <c r="G1489">
        <v>0.71480432352622492</v>
      </c>
      <c r="H1489">
        <v>0.98071954295130959</v>
      </c>
      <c r="I1489">
        <v>0.97464007949856346</v>
      </c>
      <c r="J1489">
        <v>0.19396465771013943</v>
      </c>
      <c r="L1489">
        <v>0.89922168845156114</v>
      </c>
      <c r="M1489">
        <v>3.6313256872108917</v>
      </c>
      <c r="N1489">
        <v>0.83546203170238864</v>
      </c>
      <c r="P1489">
        <v>4.491332569102858E-12</v>
      </c>
      <c r="R1489">
        <v>4.1580276821227447</v>
      </c>
      <c r="S1489">
        <v>4.1630934361703984</v>
      </c>
      <c r="T1489">
        <v>1</v>
      </c>
      <c r="U1489">
        <v>2.5379345472028043</v>
      </c>
    </row>
    <row r="1490" spans="1:21">
      <c r="A1490">
        <v>1.0408125954063154</v>
      </c>
      <c r="B1490">
        <v>-0.99007627117346486</v>
      </c>
      <c r="C1490">
        <v>-5.1245953518971342E-2</v>
      </c>
      <c r="D1490">
        <v>0.68002229732548469</v>
      </c>
      <c r="E1490">
        <v>0</v>
      </c>
      <c r="F1490">
        <v>0</v>
      </c>
      <c r="G1490">
        <v>0.19638518901234517</v>
      </c>
      <c r="H1490">
        <v>0.91539664280398381</v>
      </c>
      <c r="I1490">
        <v>0.23654664962010374</v>
      </c>
      <c r="J1490">
        <v>0.48256976663685869</v>
      </c>
      <c r="L1490">
        <v>0.89922179493467114</v>
      </c>
      <c r="M1490">
        <v>3.6313256464452812</v>
      </c>
      <c r="N1490">
        <v>0.83546212466861003</v>
      </c>
      <c r="P1490">
        <v>4.7426111043933246E-12</v>
      </c>
      <c r="R1490">
        <v>4.1580276821227447</v>
      </c>
      <c r="S1490">
        <v>4.1630934361703984</v>
      </c>
      <c r="T1490">
        <v>1</v>
      </c>
      <c r="U1490">
        <v>2.5379345472028043</v>
      </c>
    </row>
    <row r="1491" spans="1:21">
      <c r="A1491">
        <v>1.0467219523296027</v>
      </c>
      <c r="B1491">
        <v>-0.98553578145558551</v>
      </c>
      <c r="C1491">
        <v>-4.9797064405372744E-2</v>
      </c>
      <c r="D1491">
        <v>0</v>
      </c>
      <c r="E1491">
        <v>0.32697046051184792</v>
      </c>
      <c r="F1491">
        <v>0.32519789435477564</v>
      </c>
      <c r="G1491">
        <v>0.2829957087394912</v>
      </c>
      <c r="H1491">
        <v>0.92014788149753524</v>
      </c>
      <c r="I1491">
        <v>0.11964205201708036</v>
      </c>
      <c r="J1491">
        <v>0.52450926873982195</v>
      </c>
      <c r="L1491">
        <v>0.89922177720782104</v>
      </c>
      <c r="M1491">
        <v>3.6313256532821132</v>
      </c>
      <c r="N1491">
        <v>0.83546209979088182</v>
      </c>
      <c r="P1491">
        <v>4.7154752030121989E-12</v>
      </c>
      <c r="R1491">
        <v>4.1580276821227447</v>
      </c>
      <c r="S1491">
        <v>4.1630934361703984</v>
      </c>
      <c r="T1491">
        <v>1</v>
      </c>
      <c r="U1491">
        <v>2.5379345472028043</v>
      </c>
    </row>
    <row r="1492" spans="1:21">
      <c r="A1492">
        <v>1.0408642319465158</v>
      </c>
      <c r="B1492">
        <v>-0.99167091484913628</v>
      </c>
      <c r="C1492">
        <v>-8.9436492050056646E-2</v>
      </c>
      <c r="D1492">
        <v>0</v>
      </c>
      <c r="E1492">
        <v>0.30096717442116622</v>
      </c>
      <c r="F1492">
        <v>0.29344112345102497</v>
      </c>
      <c r="G1492">
        <v>0.8817844931456702</v>
      </c>
      <c r="H1492">
        <v>0.9215173774380242</v>
      </c>
      <c r="I1492">
        <v>0.98096873107071558</v>
      </c>
      <c r="J1492">
        <v>0.11600225482874489</v>
      </c>
      <c r="L1492">
        <v>0.89922134936700915</v>
      </c>
      <c r="M1492">
        <v>3.6313257631898868</v>
      </c>
      <c r="N1492">
        <v>0.83546185536346751</v>
      </c>
      <c r="P1492">
        <v>3.7661074462423347E-12</v>
      </c>
      <c r="R1492">
        <v>4.1580276821227447</v>
      </c>
      <c r="S1492">
        <v>4.1630934361703984</v>
      </c>
      <c r="T1492">
        <v>1</v>
      </c>
      <c r="U1492">
        <v>2.5379345472028043</v>
      </c>
    </row>
    <row r="1493" spans="1:21">
      <c r="A1493">
        <v>1.0432175623806117</v>
      </c>
      <c r="B1493">
        <v>-0.98894210124855408</v>
      </c>
      <c r="C1493">
        <v>-4.5162676473689572E-2</v>
      </c>
      <c r="D1493">
        <v>0</v>
      </c>
      <c r="E1493">
        <v>0.3530209346971257</v>
      </c>
      <c r="F1493">
        <v>0.10597972012577067</v>
      </c>
      <c r="G1493">
        <v>0.21622604952993457</v>
      </c>
      <c r="H1493">
        <v>0.50472992555670537</v>
      </c>
      <c r="I1493">
        <v>0.28946734941147118</v>
      </c>
      <c r="J1493">
        <v>0.6667900936508302</v>
      </c>
      <c r="L1493">
        <v>0.89922179198491303</v>
      </c>
      <c r="M1493">
        <v>3.6313256533252836</v>
      </c>
      <c r="N1493">
        <v>0.83546211542241389</v>
      </c>
      <c r="P1493">
        <v>4.7365934107780374E-12</v>
      </c>
      <c r="R1493">
        <v>4.1580276821227447</v>
      </c>
      <c r="S1493">
        <v>4.1630934361703984</v>
      </c>
      <c r="T1493">
        <v>1</v>
      </c>
      <c r="U1493">
        <v>2.5379345472028043</v>
      </c>
    </row>
    <row r="1494" spans="1:21">
      <c r="A1494">
        <v>1.038698669033882</v>
      </c>
      <c r="B1494">
        <v>-0.98432261543270072</v>
      </c>
      <c r="C1494">
        <v>-6.5150939504265204E-2</v>
      </c>
      <c r="D1494">
        <v>0</v>
      </c>
      <c r="E1494">
        <v>0.18238308420814864</v>
      </c>
      <c r="F1494">
        <v>0</v>
      </c>
      <c r="G1494">
        <v>0.23547823632537765</v>
      </c>
      <c r="H1494">
        <v>0.662030095821181</v>
      </c>
      <c r="I1494">
        <v>0.84520374049494895</v>
      </c>
      <c r="J1494">
        <v>6.4009613767986417E-2</v>
      </c>
      <c r="L1494">
        <v>0.89922180887829317</v>
      </c>
      <c r="M1494">
        <v>3.6313256091515425</v>
      </c>
      <c r="N1494">
        <v>0.83546216451988431</v>
      </c>
      <c r="P1494">
        <v>4.7911330801572669E-12</v>
      </c>
      <c r="R1494">
        <v>4.1580276821227447</v>
      </c>
      <c r="S1494">
        <v>4.1630934361703984</v>
      </c>
      <c r="T1494">
        <v>1</v>
      </c>
      <c r="U1494">
        <v>2.5379345472028043</v>
      </c>
    </row>
    <row r="1495" spans="1:21">
      <c r="A1495">
        <v>1.0457542106331279</v>
      </c>
      <c r="B1495">
        <v>-0.99513936636405242</v>
      </c>
      <c r="C1495">
        <v>-6.9996960119597565E-2</v>
      </c>
      <c r="D1495">
        <v>0</v>
      </c>
      <c r="E1495">
        <v>0.35714379273481678</v>
      </c>
      <c r="F1495">
        <v>0</v>
      </c>
      <c r="G1495">
        <v>0.65284681936597022</v>
      </c>
      <c r="H1495">
        <v>0.55028859340350633</v>
      </c>
      <c r="I1495">
        <v>0.15212851563823487</v>
      </c>
      <c r="J1495">
        <v>0.15933263862044952</v>
      </c>
      <c r="L1495">
        <v>0.89922174220290774</v>
      </c>
      <c r="M1495">
        <v>3.6313256720239546</v>
      </c>
      <c r="N1495">
        <v>0.83546205835216614</v>
      </c>
      <c r="P1495">
        <v>4.6425831895115595E-12</v>
      </c>
      <c r="R1495">
        <v>4.1580276821227447</v>
      </c>
      <c r="S1495">
        <v>4.1630934361703984</v>
      </c>
      <c r="T1495">
        <v>1</v>
      </c>
      <c r="U1495">
        <v>2.5379345472028043</v>
      </c>
    </row>
    <row r="1496" spans="1:21">
      <c r="A1496">
        <v>1.0402510860286365</v>
      </c>
      <c r="B1496">
        <v>-0.99503540051604722</v>
      </c>
      <c r="C1496">
        <v>-6.0056220933071482E-2</v>
      </c>
      <c r="D1496">
        <v>0</v>
      </c>
      <c r="E1496">
        <v>0</v>
      </c>
      <c r="F1496">
        <v>0</v>
      </c>
      <c r="G1496">
        <v>0.74663355779597407</v>
      </c>
      <c r="H1496">
        <v>0.6396936301308227</v>
      </c>
      <c r="I1496">
        <v>0.61698822339030224</v>
      </c>
      <c r="J1496">
        <v>0.86910269618120339</v>
      </c>
      <c r="L1496">
        <v>0.89922167781021589</v>
      </c>
      <c r="M1496">
        <v>3.6313256102743017</v>
      </c>
      <c r="N1496">
        <v>0.83546217300381309</v>
      </c>
      <c r="P1496">
        <v>4.3351558743888217E-12</v>
      </c>
      <c r="R1496">
        <v>4.1580276821227447</v>
      </c>
      <c r="S1496">
        <v>4.1630934361703984</v>
      </c>
      <c r="T1496">
        <v>1</v>
      </c>
      <c r="U1496">
        <v>2.5379345472028043</v>
      </c>
    </row>
    <row r="1497" spans="1:21">
      <c r="A1497">
        <v>1.0445653592864275</v>
      </c>
      <c r="B1497">
        <v>-0.98968535824280768</v>
      </c>
      <c r="C1497">
        <v>-6.0774338035556492E-2</v>
      </c>
      <c r="D1497">
        <v>0</v>
      </c>
      <c r="E1497">
        <v>0.50261677509874469</v>
      </c>
      <c r="F1497">
        <v>0</v>
      </c>
      <c r="G1497">
        <v>0.37683475460481752</v>
      </c>
      <c r="H1497">
        <v>0.60870114732975389</v>
      </c>
      <c r="I1497">
        <v>0.34686419379994959</v>
      </c>
      <c r="J1497">
        <v>0.16739615547187645</v>
      </c>
      <c r="L1497">
        <v>0.89922180649729067</v>
      </c>
      <c r="M1497">
        <v>3.631325632989566</v>
      </c>
      <c r="N1497">
        <v>0.83546213406114378</v>
      </c>
      <c r="P1497">
        <v>4.7911528917231471E-12</v>
      </c>
      <c r="R1497">
        <v>4.1580276821227447</v>
      </c>
      <c r="S1497">
        <v>4.1630934361703984</v>
      </c>
      <c r="T1497">
        <v>1</v>
      </c>
      <c r="U1497">
        <v>2.5379345472028043</v>
      </c>
    </row>
    <row r="1498" spans="1:21">
      <c r="A1498">
        <v>1.0416856370076233</v>
      </c>
      <c r="B1498">
        <v>-0.99589687832136475</v>
      </c>
      <c r="C1498">
        <v>-6.0615213117191126E-2</v>
      </c>
      <c r="D1498">
        <v>0.55911257720512575</v>
      </c>
      <c r="E1498">
        <v>0.33320349925964987</v>
      </c>
      <c r="F1498">
        <v>0</v>
      </c>
      <c r="G1498">
        <v>0.16849257237583531</v>
      </c>
      <c r="H1498">
        <v>0.26027584564573053</v>
      </c>
      <c r="I1498">
        <v>5.194176027233418E-2</v>
      </c>
      <c r="J1498">
        <v>0.15095122079396231</v>
      </c>
      <c r="L1498">
        <v>0.899221805260354</v>
      </c>
      <c r="M1498">
        <v>3.6313256289885429</v>
      </c>
      <c r="N1498">
        <v>0.83546213482937781</v>
      </c>
      <c r="P1498">
        <v>4.7931954937669372E-12</v>
      </c>
      <c r="R1498">
        <v>4.1580276821227447</v>
      </c>
      <c r="S1498">
        <v>4.1630934361703984</v>
      </c>
      <c r="T1498">
        <v>1</v>
      </c>
      <c r="U1498">
        <v>2.5379345472028043</v>
      </c>
    </row>
    <row r="1499" spans="1:21">
      <c r="A1499">
        <v>1.0368356941529189</v>
      </c>
      <c r="B1499">
        <v>-0.98264500388380571</v>
      </c>
      <c r="C1499">
        <v>-5.8935489278972103E-2</v>
      </c>
      <c r="D1499">
        <v>0</v>
      </c>
      <c r="E1499">
        <v>0</v>
      </c>
      <c r="F1499">
        <v>3.4811743637586358E-2</v>
      </c>
      <c r="G1499">
        <v>0.13991037127338327</v>
      </c>
      <c r="H1499">
        <v>0.65317911034852216</v>
      </c>
      <c r="I1499">
        <v>0.9127622139455126</v>
      </c>
      <c r="J1499">
        <v>0.26757882607484906</v>
      </c>
      <c r="L1499">
        <v>0.8992215574010356</v>
      </c>
      <c r="M1499">
        <v>3.631325723426694</v>
      </c>
      <c r="N1499">
        <v>0.83546195181193894</v>
      </c>
      <c r="P1499">
        <v>4.1886602727970316E-12</v>
      </c>
      <c r="R1499">
        <v>4.1580276821227447</v>
      </c>
      <c r="S1499">
        <v>4.1630934361703984</v>
      </c>
      <c r="T1499">
        <v>1</v>
      </c>
      <c r="U1499">
        <v>2.5379345472028043</v>
      </c>
    </row>
    <row r="1500" spans="1:21">
      <c r="A1500">
        <v>1.0421955974632542</v>
      </c>
      <c r="B1500">
        <v>-0.98508779906679245</v>
      </c>
      <c r="C1500">
        <v>-4.8672624617288253E-2</v>
      </c>
      <c r="D1500">
        <v>0</v>
      </c>
      <c r="E1500">
        <v>0</v>
      </c>
      <c r="F1500">
        <v>0</v>
      </c>
      <c r="G1500">
        <v>0.10468847328725207</v>
      </c>
      <c r="H1500">
        <v>0.59788223045080435</v>
      </c>
      <c r="I1500">
        <v>0.22634445175057213</v>
      </c>
      <c r="J1500">
        <v>0.34666788602508186</v>
      </c>
      <c r="L1500">
        <v>0.89922153188136411</v>
      </c>
      <c r="M1500">
        <v>3.6313257217550738</v>
      </c>
      <c r="N1500">
        <v>0.83546193149703651</v>
      </c>
      <c r="P1500">
        <v>4.1613656496522545E-12</v>
      </c>
      <c r="R1500">
        <v>4.1580276821227447</v>
      </c>
      <c r="S1500">
        <v>4.1630934361703984</v>
      </c>
      <c r="T1500">
        <v>1</v>
      </c>
      <c r="U1500">
        <v>2.5379345472028043</v>
      </c>
    </row>
    <row r="1501" spans="1:21">
      <c r="A1501">
        <v>1.0362456810842795</v>
      </c>
      <c r="B1501">
        <v>-0.99237102088662321</v>
      </c>
      <c r="C1501">
        <v>-8.1711134720712078E-2</v>
      </c>
      <c r="D1501">
        <v>0</v>
      </c>
      <c r="E1501">
        <v>0</v>
      </c>
      <c r="F1501">
        <v>0.20939131822320373</v>
      </c>
      <c r="G1501">
        <v>0.47169943657325081</v>
      </c>
      <c r="H1501">
        <v>0.2086974936724513</v>
      </c>
      <c r="I1501">
        <v>0.83844202857970918</v>
      </c>
      <c r="J1501">
        <v>9.8496470736937833E-2</v>
      </c>
      <c r="L1501">
        <v>0.89922171598377099</v>
      </c>
      <c r="M1501">
        <v>3.6313256519349375</v>
      </c>
      <c r="N1501">
        <v>0.83546209625931844</v>
      </c>
      <c r="P1501">
        <v>4.5193922488591474E-12</v>
      </c>
      <c r="R1501">
        <v>4.1580276821227447</v>
      </c>
      <c r="S1501">
        <v>4.1630934361703984</v>
      </c>
      <c r="T1501">
        <v>1</v>
      </c>
      <c r="U1501">
        <v>2.5379345472028043</v>
      </c>
    </row>
    <row r="1502" spans="1:21">
      <c r="A1502">
        <v>1.0456765710292568</v>
      </c>
      <c r="B1502">
        <v>-1.0017273356393777</v>
      </c>
      <c r="C1502">
        <v>-8.5669388989756387E-2</v>
      </c>
      <c r="D1502">
        <v>0.90817445366626948</v>
      </c>
      <c r="E1502">
        <v>0.45167773894097218</v>
      </c>
      <c r="F1502">
        <v>0.40127558104112254</v>
      </c>
      <c r="G1502">
        <v>0.8164156551025723</v>
      </c>
      <c r="H1502">
        <v>0.99858433623508991</v>
      </c>
      <c r="I1502">
        <v>6.5412305257065276E-2</v>
      </c>
      <c r="J1502">
        <v>0.14878715309920473</v>
      </c>
      <c r="L1502">
        <v>0.89922172226242325</v>
      </c>
      <c r="M1502">
        <v>3.6313256272909977</v>
      </c>
      <c r="N1502">
        <v>0.83546210964602441</v>
      </c>
      <c r="P1502">
        <v>4.5620163528860694E-12</v>
      </c>
      <c r="R1502">
        <v>4.1580276821227447</v>
      </c>
      <c r="S1502">
        <v>4.1630934361703984</v>
      </c>
      <c r="T1502">
        <v>1</v>
      </c>
      <c r="U1502">
        <v>2.5379345472028043</v>
      </c>
    </row>
    <row r="1503" spans="1:21">
      <c r="A1503">
        <v>1.0378579328826067</v>
      </c>
      <c r="B1503">
        <v>-0.98311241937429683</v>
      </c>
      <c r="C1503">
        <v>-6.5940190206934632E-2</v>
      </c>
      <c r="D1503">
        <v>0.11470638008516436</v>
      </c>
      <c r="E1503">
        <v>0</v>
      </c>
      <c r="F1503">
        <v>0.31136190557643639</v>
      </c>
      <c r="G1503">
        <v>0.31648184322853701</v>
      </c>
      <c r="H1503">
        <v>0.95829067012410407</v>
      </c>
      <c r="I1503">
        <v>0.95264015152444315</v>
      </c>
      <c r="J1503">
        <v>0.36572664625197054</v>
      </c>
      <c r="L1503">
        <v>0.89922177736964348</v>
      </c>
      <c r="M1503">
        <v>3.6313256621179071</v>
      </c>
      <c r="N1503">
        <v>0.83546211454801456</v>
      </c>
      <c r="P1503">
        <v>4.6715398182594227E-12</v>
      </c>
      <c r="R1503">
        <v>4.1580276821227447</v>
      </c>
      <c r="S1503">
        <v>4.1630934361703984</v>
      </c>
      <c r="T1503">
        <v>1</v>
      </c>
      <c r="U1503">
        <v>2.5379345472028043</v>
      </c>
    </row>
    <row r="1504" spans="1:21">
      <c r="A1504">
        <v>1.0398042474925762</v>
      </c>
      <c r="B1504">
        <v>-0.98888501943821294</v>
      </c>
      <c r="C1504">
        <v>-5.7446378879507591E-2</v>
      </c>
      <c r="D1504">
        <v>6.5236885020027321E-2</v>
      </c>
      <c r="E1504">
        <v>0</v>
      </c>
      <c r="F1504">
        <v>0</v>
      </c>
      <c r="G1504">
        <v>0.38470135137717959</v>
      </c>
      <c r="H1504">
        <v>0.65849536010011478</v>
      </c>
      <c r="I1504">
        <v>0.57545057357955332</v>
      </c>
      <c r="J1504">
        <v>0.50542735902023295</v>
      </c>
      <c r="L1504">
        <v>0.89922141964723801</v>
      </c>
      <c r="M1504">
        <v>3.631325767050777</v>
      </c>
      <c r="N1504">
        <v>0.83546187739677047</v>
      </c>
      <c r="P1504">
        <v>3.8923157338118497E-12</v>
      </c>
      <c r="R1504">
        <v>4.1580276821227447</v>
      </c>
      <c r="S1504">
        <v>4.1630934361703984</v>
      </c>
      <c r="T1504">
        <v>1</v>
      </c>
      <c r="U1504">
        <v>2.5379345472028043</v>
      </c>
    </row>
    <row r="1505" spans="1:21">
      <c r="A1505">
        <v>1.039579737317482</v>
      </c>
      <c r="B1505">
        <v>-1.0045399408674451</v>
      </c>
      <c r="C1505">
        <v>-8.982128446969577E-2</v>
      </c>
      <c r="D1505">
        <v>0.79747318732229011</v>
      </c>
      <c r="E1505">
        <v>0.72769125482440855</v>
      </c>
      <c r="F1505">
        <v>7.974517122345913E-2</v>
      </c>
      <c r="G1505">
        <v>0.77243509411869671</v>
      </c>
      <c r="H1505">
        <v>0.44466418753117282</v>
      </c>
      <c r="I1505">
        <v>0.69814179922583541</v>
      </c>
      <c r="J1505">
        <v>4.913528964280215E-2</v>
      </c>
      <c r="L1505">
        <v>0.8992218120788682</v>
      </c>
      <c r="M1505">
        <v>3.631325624652427</v>
      </c>
      <c r="N1505">
        <v>0.83546213890058585</v>
      </c>
      <c r="P1505">
        <v>4.817902224664676E-12</v>
      </c>
      <c r="R1505">
        <v>4.1580276821227447</v>
      </c>
      <c r="S1505">
        <v>4.1630934361703984</v>
      </c>
      <c r="T1505">
        <v>1</v>
      </c>
      <c r="U1505">
        <v>2.5379345472028043</v>
      </c>
    </row>
    <row r="1506" spans="1:21">
      <c r="A1506">
        <v>1.0443365262591195</v>
      </c>
      <c r="B1506">
        <v>-0.98317142921171852</v>
      </c>
      <c r="C1506">
        <v>-5.4713660084860824E-2</v>
      </c>
      <c r="D1506">
        <v>0</v>
      </c>
      <c r="E1506">
        <v>9.2041483408362365E-2</v>
      </c>
      <c r="F1506">
        <v>0.34807047413737668</v>
      </c>
      <c r="G1506">
        <v>8.3944902801025116E-3</v>
      </c>
      <c r="H1506">
        <v>0.61477661040707421</v>
      </c>
      <c r="I1506">
        <v>3.8953914523654876E-2</v>
      </c>
      <c r="J1506">
        <v>0.14421380766278361</v>
      </c>
      <c r="L1506">
        <v>0.89922173125322857</v>
      </c>
      <c r="M1506">
        <v>3.6313256630443735</v>
      </c>
      <c r="N1506">
        <v>0.8354620661481994</v>
      </c>
      <c r="P1506">
        <v>4.6073850621314028E-12</v>
      </c>
      <c r="R1506">
        <v>4.1580276821227447</v>
      </c>
      <c r="S1506">
        <v>4.1630934361703984</v>
      </c>
      <c r="T1506">
        <v>1</v>
      </c>
      <c r="U1506">
        <v>2.5379345472028043</v>
      </c>
    </row>
    <row r="1507" spans="1:21">
      <c r="A1507">
        <v>1.0413792555840198</v>
      </c>
      <c r="B1507">
        <v>-0.98811258849948247</v>
      </c>
      <c r="C1507">
        <v>-4.0134138872946215E-2</v>
      </c>
      <c r="D1507">
        <v>0.46186659452484713</v>
      </c>
      <c r="E1507">
        <v>1.3659465053275163E-2</v>
      </c>
      <c r="F1507">
        <v>0</v>
      </c>
      <c r="G1507">
        <v>0.21798627359272393</v>
      </c>
      <c r="H1507">
        <v>0.98935526713294653</v>
      </c>
      <c r="I1507">
        <v>0.31426219395463517</v>
      </c>
      <c r="J1507">
        <v>0.84843785812259942</v>
      </c>
      <c r="L1507">
        <v>0.89922177612184506</v>
      </c>
      <c r="M1507">
        <v>3.6313256368927975</v>
      </c>
      <c r="N1507">
        <v>0.83546211376574064</v>
      </c>
      <c r="P1507">
        <v>4.7166488892239687E-12</v>
      </c>
      <c r="R1507">
        <v>4.1580276821227447</v>
      </c>
      <c r="S1507">
        <v>4.1630934361703984</v>
      </c>
      <c r="T1507">
        <v>1</v>
      </c>
      <c r="U1507">
        <v>2.5379345472028043</v>
      </c>
    </row>
    <row r="1508" spans="1:21">
      <c r="A1508">
        <v>1.0447730992407209</v>
      </c>
      <c r="B1508">
        <v>-0.9897148774954172</v>
      </c>
      <c r="C1508">
        <v>-6.3151450748835894E-2</v>
      </c>
      <c r="D1508">
        <v>0.1847401472905521</v>
      </c>
      <c r="E1508">
        <v>1.4421111849174946E-2</v>
      </c>
      <c r="F1508">
        <v>0.28390114343882922</v>
      </c>
      <c r="G1508">
        <v>0.40085810848968767</v>
      </c>
      <c r="H1508">
        <v>0.80011763015491044</v>
      </c>
      <c r="I1508">
        <v>3.623625599648355E-2</v>
      </c>
      <c r="J1508">
        <v>0.29709578502857464</v>
      </c>
      <c r="L1508">
        <v>0.89922008337618009</v>
      </c>
      <c r="M1508">
        <v>3.6313254226707956</v>
      </c>
      <c r="N1508">
        <v>0.83546281797891209</v>
      </c>
      <c r="P1508">
        <v>1.438284771013506E-12</v>
      </c>
      <c r="R1508">
        <v>4.1580276821227447</v>
      </c>
      <c r="S1508">
        <v>4.1630934361703984</v>
      </c>
      <c r="T1508">
        <v>1</v>
      </c>
      <c r="U1508">
        <v>2.5379345472028043</v>
      </c>
    </row>
    <row r="1509" spans="1:21">
      <c r="A1509">
        <v>1.0386788337862098</v>
      </c>
      <c r="B1509">
        <v>-0.99078426163761057</v>
      </c>
      <c r="C1509">
        <v>-4.7915203752967782E-2</v>
      </c>
      <c r="D1509">
        <v>0.24641041780020279</v>
      </c>
      <c r="E1509">
        <v>0</v>
      </c>
      <c r="F1509">
        <v>0</v>
      </c>
      <c r="G1509">
        <v>8.9055485909901241E-2</v>
      </c>
      <c r="H1509">
        <v>0.2771019041508701</v>
      </c>
      <c r="I1509">
        <v>0.32415648217020054</v>
      </c>
      <c r="J1509">
        <v>0.58877456344508783</v>
      </c>
      <c r="L1509">
        <v>0.89922175858851228</v>
      </c>
      <c r="M1509">
        <v>3.6313256530896467</v>
      </c>
      <c r="N1509">
        <v>0.83546209477105471</v>
      </c>
      <c r="P1509">
        <v>4.6621653590567919E-12</v>
      </c>
      <c r="R1509">
        <v>4.1580276821227447</v>
      </c>
      <c r="S1509">
        <v>4.1630934361703984</v>
      </c>
      <c r="T1509">
        <v>1</v>
      </c>
      <c r="U1509">
        <v>2.5379345472028043</v>
      </c>
    </row>
    <row r="1510" spans="1:21">
      <c r="A1510">
        <v>1.0428096657347108</v>
      </c>
      <c r="B1510">
        <v>-0.98684103708697357</v>
      </c>
      <c r="C1510">
        <v>-6.5203372490575839E-2</v>
      </c>
      <c r="D1510">
        <v>0</v>
      </c>
      <c r="E1510">
        <v>0</v>
      </c>
      <c r="F1510">
        <v>0</v>
      </c>
      <c r="G1510">
        <v>0.40640428252480032</v>
      </c>
      <c r="H1510">
        <v>0.80770013618220537</v>
      </c>
      <c r="I1510">
        <v>0.36233675424756862</v>
      </c>
      <c r="J1510">
        <v>9.1190498262631092E-2</v>
      </c>
      <c r="L1510">
        <v>0.89922167510558249</v>
      </c>
      <c r="M1510">
        <v>3.6313257117906801</v>
      </c>
      <c r="N1510">
        <v>0.83546200953521432</v>
      </c>
      <c r="P1510">
        <v>4.4497517243586227E-12</v>
      </c>
      <c r="R1510">
        <v>4.1580276821227447</v>
      </c>
      <c r="S1510">
        <v>4.1630934361703984</v>
      </c>
      <c r="T1510">
        <v>1</v>
      </c>
      <c r="U1510">
        <v>2.5379345472028043</v>
      </c>
    </row>
    <row r="1511" spans="1:21">
      <c r="A1511">
        <v>0.10768711827500259</v>
      </c>
      <c r="B1511">
        <v>-1.2146108188588212</v>
      </c>
      <c r="C1511">
        <v>0.96779403914987494</v>
      </c>
      <c r="D1511">
        <v>0.48781733767191371</v>
      </c>
      <c r="E1511">
        <v>0.75904825570949974</v>
      </c>
      <c r="F1511">
        <v>0.24903603674444771</v>
      </c>
      <c r="G1511">
        <v>0.6040247355989703</v>
      </c>
      <c r="H1511">
        <v>0.33319558136845001</v>
      </c>
      <c r="I1511">
        <v>0.87686761595164864</v>
      </c>
      <c r="J1511">
        <v>0.61229561125180065</v>
      </c>
      <c r="L1511">
        <v>2.8021430168664376</v>
      </c>
      <c r="M1511">
        <v>3.7169208996957708</v>
      </c>
      <c r="N1511">
        <v>2.364806642207038</v>
      </c>
      <c r="P1511">
        <v>6.6104403211613779E-12</v>
      </c>
      <c r="R1511">
        <v>5.8416513917462227</v>
      </c>
      <c r="S1511">
        <v>5.8454524208722907</v>
      </c>
      <c r="T1511">
        <v>1</v>
      </c>
      <c r="U1511">
        <v>2.4315416778728585</v>
      </c>
    </row>
    <row r="1512" spans="1:21">
      <c r="A1512">
        <v>0.11005006634273209</v>
      </c>
      <c r="B1512">
        <v>-1.206042038118162</v>
      </c>
      <c r="C1512">
        <v>0.97414274006040857</v>
      </c>
      <c r="D1512">
        <v>6.1520589967617487E-2</v>
      </c>
      <c r="E1512">
        <v>0.29665500643336412</v>
      </c>
      <c r="F1512">
        <v>0</v>
      </c>
      <c r="G1512">
        <v>0.26518851650221448</v>
      </c>
      <c r="H1512">
        <v>0.67287287621467418</v>
      </c>
      <c r="I1512">
        <v>0.84040347170424179</v>
      </c>
      <c r="J1512">
        <v>0.69226662718010412</v>
      </c>
      <c r="L1512">
        <v>2.8021433851000266</v>
      </c>
      <c r="M1512">
        <v>3.7169212408613777</v>
      </c>
      <c r="N1512">
        <v>2.3648059084837016</v>
      </c>
      <c r="P1512">
        <v>7.8936903684876715E-12</v>
      </c>
      <c r="R1512">
        <v>5.8416513917462227</v>
      </c>
      <c r="S1512">
        <v>5.8454524208722907</v>
      </c>
      <c r="T1512">
        <v>1</v>
      </c>
      <c r="U1512">
        <v>2.4315416778728585</v>
      </c>
    </row>
    <row r="1513" spans="1:21">
      <c r="A1513">
        <v>0.11066605145766095</v>
      </c>
      <c r="B1513">
        <v>-1.2157167134271447</v>
      </c>
      <c r="C1513">
        <v>0.97974304910613985</v>
      </c>
      <c r="D1513">
        <v>0</v>
      </c>
      <c r="E1513">
        <v>0.64529082068267929</v>
      </c>
      <c r="F1513">
        <v>0.30745355058793017</v>
      </c>
      <c r="G1513">
        <v>0.71900062068148363</v>
      </c>
      <c r="H1513">
        <v>0</v>
      </c>
      <c r="I1513">
        <v>0.14537797711988007</v>
      </c>
      <c r="J1513">
        <v>0.48471860395900068</v>
      </c>
      <c r="L1513">
        <v>2.8021414297412677</v>
      </c>
      <c r="M1513">
        <v>3.7169196936832458</v>
      </c>
      <c r="N1513">
        <v>2.3648048990354833</v>
      </c>
      <c r="P1513">
        <v>3.645145088533661E-13</v>
      </c>
      <c r="R1513">
        <v>5.8416513917462227</v>
      </c>
      <c r="S1513">
        <v>5.8454524208722907</v>
      </c>
      <c r="T1513">
        <v>1</v>
      </c>
      <c r="U1513">
        <v>2.4315416778728585</v>
      </c>
    </row>
    <row r="1514" spans="1:21">
      <c r="A1514">
        <v>0.10550590171612161</v>
      </c>
      <c r="B1514">
        <v>-1.2115170568766747</v>
      </c>
      <c r="C1514">
        <v>0.97310604437962922</v>
      </c>
      <c r="D1514">
        <v>0</v>
      </c>
      <c r="E1514">
        <v>1.5534622500624358E-3</v>
      </c>
      <c r="F1514">
        <v>0</v>
      </c>
      <c r="G1514">
        <v>0.88776015954729059</v>
      </c>
      <c r="H1514">
        <v>0.65686060759850506</v>
      </c>
      <c r="I1514">
        <v>0.92079326050760391</v>
      </c>
      <c r="J1514">
        <v>0.65733792881210584</v>
      </c>
      <c r="L1514">
        <v>2.8021430627915596</v>
      </c>
      <c r="M1514">
        <v>3.716921173938883</v>
      </c>
      <c r="N1514">
        <v>2.3648061902467767</v>
      </c>
      <c r="P1514">
        <v>6.7072897596221167E-12</v>
      </c>
      <c r="R1514">
        <v>5.8416513917462227</v>
      </c>
      <c r="S1514">
        <v>5.8454524208722907</v>
      </c>
      <c r="T1514">
        <v>1</v>
      </c>
      <c r="U1514">
        <v>2.4315416778728585</v>
      </c>
    </row>
    <row r="1515" spans="1:21">
      <c r="A1515">
        <v>0.10586998117492027</v>
      </c>
      <c r="B1515">
        <v>-1.2120691957235583</v>
      </c>
      <c r="C1515">
        <v>0.95649312104138551</v>
      </c>
      <c r="D1515">
        <v>0.36879565266926967</v>
      </c>
      <c r="E1515">
        <v>5.6051462263872316E-2</v>
      </c>
      <c r="F1515">
        <v>0</v>
      </c>
      <c r="G1515">
        <v>0.3009813539763041</v>
      </c>
      <c r="H1515">
        <v>0.18433763214559795</v>
      </c>
      <c r="I1515">
        <v>0.82040106529279766</v>
      </c>
      <c r="J1515">
        <v>0.52325931484041588</v>
      </c>
      <c r="L1515">
        <v>2.8021430747222831</v>
      </c>
      <c r="M1515">
        <v>3.7169208445108843</v>
      </c>
      <c r="N1515">
        <v>2.3648067025435711</v>
      </c>
      <c r="P1515">
        <v>6.8289118341369402E-12</v>
      </c>
      <c r="R1515">
        <v>5.8416513917462227</v>
      </c>
      <c r="S1515">
        <v>5.8454524208722907</v>
      </c>
      <c r="T1515">
        <v>1</v>
      </c>
      <c r="U1515">
        <v>2.4315416778728585</v>
      </c>
    </row>
    <row r="1516" spans="1:21">
      <c r="A1516">
        <v>0.10865795974446568</v>
      </c>
      <c r="B1516">
        <v>-1.2113306780930084</v>
      </c>
      <c r="C1516">
        <v>0.97112296388148889</v>
      </c>
      <c r="D1516">
        <v>9.9063217025418621E-2</v>
      </c>
      <c r="E1516">
        <v>0.29532085074788117</v>
      </c>
      <c r="F1516">
        <v>0</v>
      </c>
      <c r="G1516">
        <v>0.20508477927488192</v>
      </c>
      <c r="H1516">
        <v>1.08703929307646E-2</v>
      </c>
      <c r="I1516">
        <v>0.2762211935263143</v>
      </c>
      <c r="J1516">
        <v>0.11337865386915791</v>
      </c>
      <c r="L1516">
        <v>2.8021430653308621</v>
      </c>
      <c r="M1516">
        <v>3.7169211407058458</v>
      </c>
      <c r="N1516">
        <v>2.364806260902137</v>
      </c>
      <c r="P1516">
        <v>6.7218950675970444E-12</v>
      </c>
      <c r="R1516">
        <v>5.8416513917462227</v>
      </c>
      <c r="S1516">
        <v>5.8454524208722907</v>
      </c>
      <c r="T1516">
        <v>1</v>
      </c>
      <c r="U1516">
        <v>2.4315416778728585</v>
      </c>
    </row>
    <row r="1517" spans="1:21">
      <c r="A1517">
        <v>0.10941382221703547</v>
      </c>
      <c r="B1517">
        <v>-1.212329205838127</v>
      </c>
      <c r="C1517">
        <v>0.96044213110751386</v>
      </c>
      <c r="D1517">
        <v>0.59359446242181468</v>
      </c>
      <c r="E1517">
        <v>0</v>
      </c>
      <c r="F1517">
        <v>0.62134339375733461</v>
      </c>
      <c r="G1517">
        <v>4.4926573199089229E-2</v>
      </c>
      <c r="H1517">
        <v>5.4104375087425084E-2</v>
      </c>
      <c r="I1517">
        <v>8.4629847737262467E-2</v>
      </c>
      <c r="J1517">
        <v>0.86920823885079579</v>
      </c>
      <c r="L1517">
        <v>2.8021432168864204</v>
      </c>
      <c r="M1517">
        <v>3.7169208580131547</v>
      </c>
      <c r="N1517">
        <v>2.3648066837085584</v>
      </c>
      <c r="P1517">
        <v>7.3727230692434856E-12</v>
      </c>
      <c r="R1517">
        <v>5.8416513917462227</v>
      </c>
      <c r="S1517">
        <v>5.8454524208722907</v>
      </c>
      <c r="T1517">
        <v>1</v>
      </c>
      <c r="U1517">
        <v>2.4315416778728585</v>
      </c>
    </row>
    <row r="1518" spans="1:21">
      <c r="A1518">
        <v>0.10996094762052774</v>
      </c>
      <c r="B1518">
        <v>-1.21727095058992</v>
      </c>
      <c r="C1518">
        <v>0.95896127895130034</v>
      </c>
      <c r="D1518">
        <v>0.81563665466673219</v>
      </c>
      <c r="E1518">
        <v>0</v>
      </c>
      <c r="F1518">
        <v>0</v>
      </c>
      <c r="G1518">
        <v>0.7684533959000005</v>
      </c>
      <c r="H1518">
        <v>0.41042470290460792</v>
      </c>
      <c r="I1518">
        <v>0.31531145430897761</v>
      </c>
      <c r="J1518">
        <v>0.89598140162277939</v>
      </c>
      <c r="L1518">
        <v>2.8021429423683588</v>
      </c>
      <c r="M1518">
        <v>3.7169210347590709</v>
      </c>
      <c r="N1518">
        <v>2.3648064529533839</v>
      </c>
      <c r="P1518">
        <v>6.3046906866730729E-12</v>
      </c>
      <c r="R1518">
        <v>5.8416513917462227</v>
      </c>
      <c r="S1518">
        <v>5.8454524208722907</v>
      </c>
      <c r="T1518">
        <v>1</v>
      </c>
      <c r="U1518">
        <v>2.4315416778728585</v>
      </c>
    </row>
    <row r="1519" spans="1:21">
      <c r="A1519">
        <v>0.11181765374873741</v>
      </c>
      <c r="B1519">
        <v>-1.2081547580972105</v>
      </c>
      <c r="C1519">
        <v>0.97321388373958806</v>
      </c>
      <c r="D1519">
        <v>0</v>
      </c>
      <c r="E1519">
        <v>0</v>
      </c>
      <c r="F1519">
        <v>3.3752814906583765E-2</v>
      </c>
      <c r="G1519">
        <v>0.15813484505870937</v>
      </c>
      <c r="H1519">
        <v>0.26084383680546402</v>
      </c>
      <c r="I1519">
        <v>0.13266880806124201</v>
      </c>
      <c r="J1519">
        <v>0.56659494176894776</v>
      </c>
      <c r="L1519">
        <v>2.8021429070435087</v>
      </c>
      <c r="M1519">
        <v>3.7169210391489442</v>
      </c>
      <c r="N1519">
        <v>2.3648064183794011</v>
      </c>
      <c r="P1519">
        <v>6.1259460036944244E-12</v>
      </c>
      <c r="R1519">
        <v>5.8416513917462227</v>
      </c>
      <c r="S1519">
        <v>5.8454524208722907</v>
      </c>
      <c r="T1519">
        <v>1</v>
      </c>
      <c r="U1519">
        <v>2.4315416778728585</v>
      </c>
    </row>
    <row r="1520" spans="1:21">
      <c r="A1520">
        <v>0.10697590432219087</v>
      </c>
      <c r="B1520">
        <v>-1.2167503190549711</v>
      </c>
      <c r="C1520">
        <v>0.97341844849266546</v>
      </c>
      <c r="D1520">
        <v>0</v>
      </c>
      <c r="E1520">
        <v>0</v>
      </c>
      <c r="F1520">
        <v>0.37261632936131528</v>
      </c>
      <c r="G1520">
        <v>0.93204075517285279</v>
      </c>
      <c r="H1520">
        <v>9.2198100200961308E-2</v>
      </c>
      <c r="I1520">
        <v>0.19315620030671435</v>
      </c>
      <c r="J1520">
        <v>0.67224779909686649</v>
      </c>
      <c r="L1520">
        <v>2.8021431018764202</v>
      </c>
      <c r="M1520">
        <v>3.7169212866665893</v>
      </c>
      <c r="N1520">
        <v>2.3648058809838992</v>
      </c>
      <c r="P1520">
        <v>6.8618522119111229E-12</v>
      </c>
      <c r="R1520">
        <v>5.8416513917462227</v>
      </c>
      <c r="S1520">
        <v>5.8454524208722907</v>
      </c>
      <c r="T1520">
        <v>1</v>
      </c>
      <c r="U1520">
        <v>2.4315416778728585</v>
      </c>
    </row>
    <row r="1521" spans="1:21">
      <c r="A1521">
        <v>0.11385953300134394</v>
      </c>
      <c r="B1521">
        <v>-1.2123945349701315</v>
      </c>
      <c r="C1521">
        <v>0.98378134400563289</v>
      </c>
      <c r="D1521">
        <v>0</v>
      </c>
      <c r="E1521">
        <v>0.51023406861711429</v>
      </c>
      <c r="F1521">
        <v>0</v>
      </c>
      <c r="G1521">
        <v>0.84189041482956239</v>
      </c>
      <c r="H1521">
        <v>0.52833039677173621</v>
      </c>
      <c r="I1521">
        <v>0.27358505852930032</v>
      </c>
      <c r="J1521">
        <v>0.78890131864931423</v>
      </c>
      <c r="L1521">
        <v>2.8021431619580794</v>
      </c>
      <c r="M1521">
        <v>3.716921039218358</v>
      </c>
      <c r="N1521">
        <v>2.3648064481268483</v>
      </c>
      <c r="P1521">
        <v>7.1260297041153184E-12</v>
      </c>
      <c r="R1521">
        <v>5.8416513917462227</v>
      </c>
      <c r="S1521">
        <v>5.8454524208722907</v>
      </c>
      <c r="T1521">
        <v>1</v>
      </c>
      <c r="U1521">
        <v>2.4315416778728585</v>
      </c>
    </row>
    <row r="1522" spans="1:21">
      <c r="A1522">
        <v>0.10971737282286331</v>
      </c>
      <c r="B1522">
        <v>-1.2072669559254317</v>
      </c>
      <c r="C1522">
        <v>0.96670043370868664</v>
      </c>
      <c r="D1522">
        <v>0.51170089497024585</v>
      </c>
      <c r="E1522">
        <v>0.38852221051791935</v>
      </c>
      <c r="F1522">
        <v>0</v>
      </c>
      <c r="G1522">
        <v>8.8366632553308969E-2</v>
      </c>
      <c r="H1522">
        <v>0.65054417188692748</v>
      </c>
      <c r="I1522">
        <v>0.85242206730558068</v>
      </c>
      <c r="J1522">
        <v>0.61175410401528163</v>
      </c>
      <c r="L1522">
        <v>2.8021431388340377</v>
      </c>
      <c r="M1522">
        <v>3.7169212779977578</v>
      </c>
      <c r="N1522">
        <v>2.3648058527347389</v>
      </c>
      <c r="P1522">
        <v>6.9501503056857087E-12</v>
      </c>
      <c r="R1522">
        <v>5.8416513917462227</v>
      </c>
      <c r="S1522">
        <v>5.8454524208722907</v>
      </c>
      <c r="T1522">
        <v>1</v>
      </c>
      <c r="U1522">
        <v>2.4315416778728585</v>
      </c>
    </row>
    <row r="1523" spans="1:21">
      <c r="A1523">
        <v>0.11260607721872207</v>
      </c>
      <c r="B1523">
        <v>-1.2126574894928832</v>
      </c>
      <c r="C1523">
        <v>0.97872013263963675</v>
      </c>
      <c r="D1523">
        <v>0.4451883518526753</v>
      </c>
      <c r="E1523">
        <v>0.63130142480464924</v>
      </c>
      <c r="F1523">
        <v>0</v>
      </c>
      <c r="G1523">
        <v>0.49014345179376168</v>
      </c>
      <c r="H1523">
        <v>0.4360393632204258</v>
      </c>
      <c r="I1523">
        <v>0.19116752878784357</v>
      </c>
      <c r="J1523">
        <v>0.39395032177589451</v>
      </c>
      <c r="L1523">
        <v>2.8021431001996655</v>
      </c>
      <c r="M1523">
        <v>3.7169212807263996</v>
      </c>
      <c r="N1523">
        <v>2.3648058791663185</v>
      </c>
      <c r="P1523">
        <v>6.8332588646483917E-12</v>
      </c>
      <c r="R1523">
        <v>5.8416513917462227</v>
      </c>
      <c r="S1523">
        <v>5.8454524208722907</v>
      </c>
      <c r="T1523">
        <v>1</v>
      </c>
      <c r="U1523">
        <v>2.4315416778728585</v>
      </c>
    </row>
    <row r="1524" spans="1:21">
      <c r="A1524">
        <v>0.11220865590771623</v>
      </c>
      <c r="B1524">
        <v>-1.2082157696981757</v>
      </c>
      <c r="C1524">
        <v>0.97144806310262577</v>
      </c>
      <c r="D1524">
        <v>0.10224056477150063</v>
      </c>
      <c r="E1524">
        <v>0.10785590313783477</v>
      </c>
      <c r="F1524">
        <v>0</v>
      </c>
      <c r="G1524">
        <v>0.11802649843446998</v>
      </c>
      <c r="H1524">
        <v>0.28037595820788858</v>
      </c>
      <c r="I1524">
        <v>0.21021951770807487</v>
      </c>
      <c r="J1524">
        <v>0.58046252403966614</v>
      </c>
      <c r="L1524">
        <v>2.8021430282944291</v>
      </c>
      <c r="M1524">
        <v>3.7169207355256435</v>
      </c>
      <c r="N1524">
        <v>2.3648068078491327</v>
      </c>
      <c r="P1524">
        <v>6.6644208542151723E-12</v>
      </c>
      <c r="R1524">
        <v>5.8416513917462227</v>
      </c>
      <c r="S1524">
        <v>5.8454524208722907</v>
      </c>
      <c r="T1524">
        <v>1</v>
      </c>
      <c r="U1524">
        <v>2.4315416778728585</v>
      </c>
    </row>
    <row r="1525" spans="1:21">
      <c r="A1525">
        <v>0.10850141960272153</v>
      </c>
      <c r="B1525">
        <v>-1.2139886891917497</v>
      </c>
      <c r="C1525">
        <v>0.98965520455345324</v>
      </c>
      <c r="D1525">
        <v>0</v>
      </c>
      <c r="E1525">
        <v>0.67681455613988717</v>
      </c>
      <c r="F1525">
        <v>0.46686067184751467</v>
      </c>
      <c r="G1525">
        <v>0.98236725995772201</v>
      </c>
      <c r="H1525">
        <v>0.51771668095188306</v>
      </c>
      <c r="I1525">
        <v>0.45003359538836557</v>
      </c>
      <c r="J1525">
        <v>0.56461897439967657</v>
      </c>
      <c r="L1525">
        <v>2.8021429900573684</v>
      </c>
      <c r="M1525">
        <v>3.7169208427636824</v>
      </c>
      <c r="N1525">
        <v>2.3648067068088894</v>
      </c>
      <c r="P1525">
        <v>6.5232301967360656E-12</v>
      </c>
      <c r="R1525">
        <v>5.8416513917462227</v>
      </c>
      <c r="S1525">
        <v>5.8454524208722907</v>
      </c>
      <c r="T1525">
        <v>1</v>
      </c>
      <c r="U1525">
        <v>2.4315416778728585</v>
      </c>
    </row>
    <row r="1526" spans="1:21">
      <c r="A1526">
        <v>0.10507376943683319</v>
      </c>
      <c r="B1526">
        <v>-1.2074068418791344</v>
      </c>
      <c r="C1526">
        <v>0.98794070148731294</v>
      </c>
      <c r="D1526">
        <v>0</v>
      </c>
      <c r="E1526">
        <v>0</v>
      </c>
      <c r="F1526">
        <v>0.40260899927135335</v>
      </c>
      <c r="G1526">
        <v>0.6484156087361036</v>
      </c>
      <c r="H1526">
        <v>0.92782459648174631</v>
      </c>
      <c r="I1526">
        <v>0.63011979993918787</v>
      </c>
      <c r="J1526">
        <v>0.4672582200291816</v>
      </c>
      <c r="L1526">
        <v>2.8021429287114428</v>
      </c>
      <c r="M1526">
        <v>3.7169208729649279</v>
      </c>
      <c r="N1526">
        <v>2.3648066509813601</v>
      </c>
      <c r="P1526">
        <v>6.2460484073114296E-12</v>
      </c>
      <c r="R1526">
        <v>5.8416513917462227</v>
      </c>
      <c r="S1526">
        <v>5.8454524208722907</v>
      </c>
      <c r="T1526">
        <v>1</v>
      </c>
      <c r="U1526">
        <v>2.4315416778728585</v>
      </c>
    </row>
    <row r="1527" spans="1:21">
      <c r="A1527">
        <v>0.10409567216771906</v>
      </c>
      <c r="B1527">
        <v>-1.2135530905254048</v>
      </c>
      <c r="C1527">
        <v>0.96621039835699751</v>
      </c>
      <c r="D1527">
        <v>0.46710748341882968</v>
      </c>
      <c r="E1527">
        <v>0.31330118145306657</v>
      </c>
      <c r="F1527">
        <v>3.6680766435697995E-2</v>
      </c>
      <c r="G1527">
        <v>0.51270268738773017</v>
      </c>
      <c r="H1527">
        <v>0.34318457609923603</v>
      </c>
      <c r="I1527">
        <v>0.81406791986534754</v>
      </c>
      <c r="J1527">
        <v>0.15705652590921243</v>
      </c>
      <c r="L1527">
        <v>2.8021431217234034</v>
      </c>
      <c r="M1527">
        <v>3.7169205863181323</v>
      </c>
      <c r="N1527">
        <v>2.3648069452356193</v>
      </c>
      <c r="P1527">
        <v>7.0821084124467219E-12</v>
      </c>
      <c r="R1527">
        <v>5.8416513917462227</v>
      </c>
      <c r="S1527">
        <v>5.8454524208722907</v>
      </c>
      <c r="T1527">
        <v>1</v>
      </c>
      <c r="U1527">
        <v>2.4315416778728585</v>
      </c>
    </row>
    <row r="1528" spans="1:21">
      <c r="A1528">
        <v>0.10948271207553867</v>
      </c>
      <c r="B1528">
        <v>-1.2133208964338877</v>
      </c>
      <c r="C1528">
        <v>0.96003994213119204</v>
      </c>
      <c r="D1528">
        <v>0.19284235360553537</v>
      </c>
      <c r="E1528">
        <v>0.22981851516436705</v>
      </c>
      <c r="F1528">
        <v>0</v>
      </c>
      <c r="G1528">
        <v>0.39184266125989997</v>
      </c>
      <c r="H1528">
        <v>1.1872560135577801E-2</v>
      </c>
      <c r="I1528">
        <v>0.56034735430759774</v>
      </c>
      <c r="J1528">
        <v>0.68735453273229996</v>
      </c>
      <c r="L1528">
        <v>2.802143116675071</v>
      </c>
      <c r="M1528">
        <v>3.7169206047761416</v>
      </c>
      <c r="N1528">
        <v>2.3648069311927</v>
      </c>
      <c r="P1528">
        <v>7.0589033027634323E-12</v>
      </c>
      <c r="R1528">
        <v>5.8416513917462227</v>
      </c>
      <c r="S1528">
        <v>5.8454524208722907</v>
      </c>
      <c r="T1528">
        <v>1</v>
      </c>
      <c r="U1528">
        <v>2.4315416778728585</v>
      </c>
    </row>
    <row r="1529" spans="1:21">
      <c r="A1529">
        <v>0.10768323370966494</v>
      </c>
      <c r="B1529">
        <v>-1.2148571091735134</v>
      </c>
      <c r="C1529">
        <v>0.97055652467031495</v>
      </c>
      <c r="D1529">
        <v>0.22791061811050672</v>
      </c>
      <c r="E1529">
        <v>8.8190405835722324E-2</v>
      </c>
      <c r="F1529">
        <v>0</v>
      </c>
      <c r="G1529">
        <v>0.80029567426159665</v>
      </c>
      <c r="H1529">
        <v>0.33097594159999921</v>
      </c>
      <c r="I1529">
        <v>0.42549084342669136</v>
      </c>
      <c r="J1529">
        <v>0.50966262651396743</v>
      </c>
      <c r="L1529">
        <v>2.8021430245819925</v>
      </c>
      <c r="M1529">
        <v>3.7169212116568118</v>
      </c>
      <c r="N1529">
        <v>2.3648061056085319</v>
      </c>
      <c r="P1529">
        <v>6.5686308600159037E-12</v>
      </c>
      <c r="R1529">
        <v>5.8416513917462227</v>
      </c>
      <c r="S1529">
        <v>5.8454524208722907</v>
      </c>
      <c r="T1529">
        <v>1</v>
      </c>
      <c r="U1529">
        <v>2.4315416778728585</v>
      </c>
    </row>
    <row r="1530" spans="1:21">
      <c r="A1530">
        <v>0.10995733335888244</v>
      </c>
      <c r="B1530">
        <v>-1.2087711378220898</v>
      </c>
      <c r="C1530">
        <v>0.97271836508716003</v>
      </c>
      <c r="D1530">
        <v>0.30003564242083863</v>
      </c>
      <c r="E1530">
        <v>0.49181085894469739</v>
      </c>
      <c r="F1530">
        <v>0.16833943324935027</v>
      </c>
      <c r="G1530">
        <v>0.35746363924327157</v>
      </c>
      <c r="H1530">
        <v>0.62498024163965227</v>
      </c>
      <c r="I1530">
        <v>0.81146431624583171</v>
      </c>
      <c r="J1530">
        <v>0.7594673784783349</v>
      </c>
      <c r="L1530">
        <v>2.8021430003226007</v>
      </c>
      <c r="M1530">
        <v>3.7169208110959113</v>
      </c>
      <c r="N1530">
        <v>2.3648067305378198</v>
      </c>
      <c r="P1530">
        <v>6.5405176115697364E-12</v>
      </c>
      <c r="R1530">
        <v>5.8416513917462227</v>
      </c>
      <c r="S1530">
        <v>5.8454524208722907</v>
      </c>
      <c r="T1530">
        <v>1</v>
      </c>
      <c r="U1530">
        <v>2.4315416778728585</v>
      </c>
    </row>
    <row r="1531" spans="1:21">
      <c r="A1531">
        <v>0.11393339977965743</v>
      </c>
      <c r="B1531">
        <v>-1.2060325789555324</v>
      </c>
      <c r="C1531">
        <v>0.97147976550539772</v>
      </c>
      <c r="D1531">
        <v>0.42199487282305187</v>
      </c>
      <c r="E1531">
        <v>0.3211739654563841</v>
      </c>
      <c r="F1531">
        <v>0.12189043724574893</v>
      </c>
      <c r="G1531">
        <v>3.5972301945446081E-2</v>
      </c>
      <c r="H1531">
        <v>0.68197813519952044</v>
      </c>
      <c r="I1531">
        <v>0.47043929894943737</v>
      </c>
      <c r="J1531">
        <v>0.93516350872324094</v>
      </c>
      <c r="L1531">
        <v>2.8021430389735449</v>
      </c>
      <c r="M1531">
        <v>3.7169212493414316</v>
      </c>
      <c r="N1531">
        <v>2.3648059546940217</v>
      </c>
      <c r="P1531">
        <v>6.5684165165173646E-12</v>
      </c>
      <c r="R1531">
        <v>5.8416513917462227</v>
      </c>
      <c r="S1531">
        <v>5.8454524208722907</v>
      </c>
      <c r="T1531">
        <v>1</v>
      </c>
      <c r="U1531">
        <v>2.4315416778728585</v>
      </c>
    </row>
    <row r="1532" spans="1:21">
      <c r="A1532">
        <v>0.11007673198597714</v>
      </c>
      <c r="B1532">
        <v>-1.2107941975732008</v>
      </c>
      <c r="C1532">
        <v>0.95603402443032781</v>
      </c>
      <c r="D1532">
        <v>0.72335945574352012</v>
      </c>
      <c r="E1532">
        <v>0</v>
      </c>
      <c r="F1532">
        <v>8.7759129021607429E-2</v>
      </c>
      <c r="G1532">
        <v>9.3341788934026851E-2</v>
      </c>
      <c r="H1532">
        <v>0.36651296225869662</v>
      </c>
      <c r="I1532">
        <v>0.47208579300535297</v>
      </c>
      <c r="J1532">
        <v>0.82251891921150022</v>
      </c>
      <c r="L1532">
        <v>2.8021430991035787</v>
      </c>
      <c r="M1532">
        <v>3.7169212123892943</v>
      </c>
      <c r="N1532">
        <v>2.3648060890014042</v>
      </c>
      <c r="P1532">
        <v>6.828070861913964E-12</v>
      </c>
      <c r="R1532">
        <v>5.8416513917462227</v>
      </c>
      <c r="S1532">
        <v>5.8454524208722907</v>
      </c>
      <c r="T1532">
        <v>1</v>
      </c>
      <c r="U1532">
        <v>2.4315416778728585</v>
      </c>
    </row>
    <row r="1533" spans="1:21">
      <c r="A1533">
        <v>0.10751720426323061</v>
      </c>
      <c r="B1533">
        <v>-1.2050399566828556</v>
      </c>
      <c r="C1533">
        <v>0.98784204831530231</v>
      </c>
      <c r="D1533">
        <v>0</v>
      </c>
      <c r="E1533">
        <v>0</v>
      </c>
      <c r="F1533">
        <v>0</v>
      </c>
      <c r="G1533">
        <v>0.35693244911622807</v>
      </c>
      <c r="H1533">
        <v>0.88883386706972245</v>
      </c>
      <c r="I1533">
        <v>0.45901841239192254</v>
      </c>
      <c r="J1533">
        <v>0.1453094752072745</v>
      </c>
      <c r="L1533">
        <v>2.8021430470112967</v>
      </c>
      <c r="M1533">
        <v>3.7169208404492804</v>
      </c>
      <c r="N1533">
        <v>2.3648066945486135</v>
      </c>
      <c r="P1533">
        <v>6.6945298875477936E-12</v>
      </c>
      <c r="R1533">
        <v>5.8416513917462227</v>
      </c>
      <c r="S1533">
        <v>5.8454524208722907</v>
      </c>
      <c r="T1533">
        <v>1</v>
      </c>
      <c r="U1533">
        <v>2.4315416778728585</v>
      </c>
    </row>
    <row r="1534" spans="1:21">
      <c r="A1534">
        <v>0.10553764654107227</v>
      </c>
      <c r="B1534">
        <v>-1.2122295147346034</v>
      </c>
      <c r="C1534">
        <v>0.97338863009328747</v>
      </c>
      <c r="D1534">
        <v>0</v>
      </c>
      <c r="E1534">
        <v>0</v>
      </c>
      <c r="F1534">
        <v>0.11483025566827852</v>
      </c>
      <c r="G1534">
        <v>0.54648715508017853</v>
      </c>
      <c r="H1534">
        <v>0.20914606591877161</v>
      </c>
      <c r="I1534">
        <v>0.41359336482148173</v>
      </c>
      <c r="J1534">
        <v>0.23281940744401822</v>
      </c>
      <c r="L1534">
        <v>2.8021430799866445</v>
      </c>
      <c r="M1534">
        <v>3.7169206677753404</v>
      </c>
      <c r="N1534">
        <v>2.3648068777132711</v>
      </c>
      <c r="P1534">
        <v>6.898206158093292E-12</v>
      </c>
      <c r="R1534">
        <v>5.8416513917462227</v>
      </c>
      <c r="S1534">
        <v>5.8454524208722907</v>
      </c>
      <c r="T1534">
        <v>1</v>
      </c>
      <c r="U1534">
        <v>2.4315416778728585</v>
      </c>
    </row>
    <row r="1535" spans="1:21">
      <c r="A1535">
        <v>0.10220047778202494</v>
      </c>
      <c r="B1535">
        <v>-1.2169050272703623</v>
      </c>
      <c r="C1535">
        <v>0.96764727780648319</v>
      </c>
      <c r="D1535">
        <v>3.8041069378858296E-2</v>
      </c>
      <c r="E1535">
        <v>0.50353539332318442</v>
      </c>
      <c r="F1535">
        <v>0.40979215165752597</v>
      </c>
      <c r="G1535">
        <v>0.84793144062815384</v>
      </c>
      <c r="H1535">
        <v>0</v>
      </c>
      <c r="I1535">
        <v>0.97945794821007692</v>
      </c>
      <c r="J1535">
        <v>0.40877806209841988</v>
      </c>
      <c r="L1535">
        <v>2.802141318249038</v>
      </c>
      <c r="M1535">
        <v>3.7169195767569705</v>
      </c>
      <c r="N1535">
        <v>2.3648052644753337</v>
      </c>
      <c r="P1535">
        <v>4.6092308957312783E-14</v>
      </c>
      <c r="R1535">
        <v>5.8416513917462227</v>
      </c>
      <c r="S1535">
        <v>5.8454524208722907</v>
      </c>
      <c r="T1535">
        <v>1</v>
      </c>
      <c r="U1535">
        <v>2.4315416778728585</v>
      </c>
    </row>
    <row r="1536" spans="1:21">
      <c r="A1536">
        <v>0.10627329550638542</v>
      </c>
      <c r="B1536">
        <v>-1.2042748150968856</v>
      </c>
      <c r="C1536">
        <v>0.99212676481757445</v>
      </c>
      <c r="D1536">
        <v>0</v>
      </c>
      <c r="E1536">
        <v>0</v>
      </c>
      <c r="F1536">
        <v>0.71041874535814487</v>
      </c>
      <c r="G1536">
        <v>1.3989466355000997E-3</v>
      </c>
      <c r="H1536">
        <v>0.61261275043056251</v>
      </c>
      <c r="I1536">
        <v>4.8991034496854206E-2</v>
      </c>
      <c r="J1536">
        <v>0.12083053069923613</v>
      </c>
      <c r="L1536">
        <v>2.8021432316370829</v>
      </c>
      <c r="M1536">
        <v>3.7169206122454499</v>
      </c>
      <c r="N1536">
        <v>2.3648069051543756</v>
      </c>
      <c r="P1536">
        <v>7.4536760530664748E-12</v>
      </c>
      <c r="R1536">
        <v>5.8416513917462227</v>
      </c>
      <c r="S1536">
        <v>5.8454524208722907</v>
      </c>
      <c r="T1536">
        <v>1</v>
      </c>
      <c r="U1536">
        <v>2.4315416778728585</v>
      </c>
    </row>
    <row r="1537" spans="1:21">
      <c r="A1537">
        <v>0.10926494737402134</v>
      </c>
      <c r="B1537">
        <v>-1.2069195535536676</v>
      </c>
      <c r="C1537">
        <v>0.97868354356010101</v>
      </c>
      <c r="D1537">
        <v>0.43167904009110647</v>
      </c>
      <c r="E1537">
        <v>0.24171417580548565</v>
      </c>
      <c r="F1537">
        <v>0.49171204891322973</v>
      </c>
      <c r="G1537">
        <v>0.26885574192159967</v>
      </c>
      <c r="H1537">
        <v>0.86336551141014517</v>
      </c>
      <c r="I1537">
        <v>0.55711733528634599</v>
      </c>
      <c r="J1537">
        <v>0.81658991969828321</v>
      </c>
      <c r="L1537">
        <v>2.8021429528830617</v>
      </c>
      <c r="M1537">
        <v>3.7169210952085674</v>
      </c>
      <c r="N1537">
        <v>2.3648063256994547</v>
      </c>
      <c r="P1537">
        <v>6.2815649977512734E-12</v>
      </c>
      <c r="R1537">
        <v>5.8416513917462227</v>
      </c>
      <c r="S1537">
        <v>5.8454524208722907</v>
      </c>
      <c r="T1537">
        <v>1</v>
      </c>
      <c r="U1537">
        <v>2.4315416778728585</v>
      </c>
    </row>
    <row r="1538" spans="1:21">
      <c r="A1538">
        <v>0.10879153921340604</v>
      </c>
      <c r="B1538">
        <v>-1.2099737582237802</v>
      </c>
      <c r="C1538">
        <v>0.98156365139802082</v>
      </c>
      <c r="D1538">
        <v>0</v>
      </c>
      <c r="E1538">
        <v>0</v>
      </c>
      <c r="F1538">
        <v>0</v>
      </c>
      <c r="G1538">
        <v>0.81692787710499015</v>
      </c>
      <c r="H1538">
        <v>0.78372833313320156</v>
      </c>
      <c r="I1538">
        <v>0.52345329232924687</v>
      </c>
      <c r="J1538">
        <v>0.64732980831947751</v>
      </c>
      <c r="L1538">
        <v>2.8021430903636815</v>
      </c>
      <c r="M1538">
        <v>3.7169212647323695</v>
      </c>
      <c r="N1538">
        <v>2.3648059289392407</v>
      </c>
      <c r="P1538">
        <v>6.7874633290032021E-12</v>
      </c>
      <c r="R1538">
        <v>5.8416513917462227</v>
      </c>
      <c r="S1538">
        <v>5.8454524208722907</v>
      </c>
      <c r="T1538">
        <v>1</v>
      </c>
      <c r="U1538">
        <v>2.4315416778728585</v>
      </c>
    </row>
    <row r="1539" spans="1:21">
      <c r="A1539">
        <v>9.9511645048857914E-2</v>
      </c>
      <c r="B1539">
        <v>-1.2143713985499098</v>
      </c>
      <c r="C1539">
        <v>0.96958652925155164</v>
      </c>
      <c r="D1539">
        <v>0.36563005073925164</v>
      </c>
      <c r="E1539">
        <v>0</v>
      </c>
      <c r="F1539">
        <v>0.68829501489036227</v>
      </c>
      <c r="G1539">
        <v>0.76899371979217201</v>
      </c>
      <c r="H1539">
        <v>0.46330198692390012</v>
      </c>
      <c r="I1539">
        <v>0.889465866737852</v>
      </c>
      <c r="J1539">
        <v>0.49577730444679546</v>
      </c>
      <c r="L1539">
        <v>2.8021433575391375</v>
      </c>
      <c r="M1539">
        <v>3.7169212274524677</v>
      </c>
      <c r="N1539">
        <v>2.36480601580192</v>
      </c>
      <c r="P1539">
        <v>7.841531358194144E-12</v>
      </c>
      <c r="R1539">
        <v>5.8416513917462227</v>
      </c>
      <c r="S1539">
        <v>5.8454524208722907</v>
      </c>
      <c r="T1539">
        <v>1</v>
      </c>
      <c r="U1539">
        <v>2.4315416778728585</v>
      </c>
    </row>
    <row r="1540" spans="1:21">
      <c r="A1540">
        <v>0.11079358337864167</v>
      </c>
      <c r="B1540">
        <v>-1.2117377517611374</v>
      </c>
      <c r="C1540">
        <v>0.97360733637369234</v>
      </c>
      <c r="D1540">
        <v>0</v>
      </c>
      <c r="E1540">
        <v>0.48062050260638395</v>
      </c>
      <c r="F1540">
        <v>0</v>
      </c>
      <c r="G1540">
        <v>0.39768109656010742</v>
      </c>
      <c r="H1540">
        <v>0.10135056037315217</v>
      </c>
      <c r="I1540">
        <v>0.38090629372953849</v>
      </c>
      <c r="J1540">
        <v>0.41105562880887198</v>
      </c>
      <c r="L1540">
        <v>2.8021429188853815</v>
      </c>
      <c r="M1540">
        <v>3.7169209889054322</v>
      </c>
      <c r="N1540">
        <v>2.3648065065005284</v>
      </c>
      <c r="P1540">
        <v>6.2010185183438942E-12</v>
      </c>
      <c r="R1540">
        <v>5.8416513917462227</v>
      </c>
      <c r="S1540">
        <v>5.8454524208722907</v>
      </c>
      <c r="T1540">
        <v>1</v>
      </c>
      <c r="U1540">
        <v>2.4315416778728585</v>
      </c>
    </row>
    <row r="1541" spans="1:21">
      <c r="A1541">
        <v>-0.41418451089953479</v>
      </c>
      <c r="B1541">
        <v>-1.2382239247605633</v>
      </c>
      <c r="C1541">
        <v>1.666259702571887</v>
      </c>
      <c r="D1541">
        <v>0</v>
      </c>
      <c r="E1541">
        <v>7.2972920171592362E-2</v>
      </c>
      <c r="F1541">
        <v>0.33220740358771783</v>
      </c>
      <c r="G1541">
        <v>1.0233928241415418</v>
      </c>
      <c r="H1541">
        <v>0.51405505925241279</v>
      </c>
      <c r="I1541">
        <v>1.0887782378098907</v>
      </c>
      <c r="J1541">
        <v>0.19664988692893909</v>
      </c>
      <c r="L1541">
        <v>2.80214236989034</v>
      </c>
      <c r="M1541">
        <v>3.7169177306158416</v>
      </c>
      <c r="N1541">
        <v>2.217640235613934</v>
      </c>
      <c r="P1541">
        <v>7.209947582533233E-12</v>
      </c>
      <c r="R1541">
        <v>26.833965721266054</v>
      </c>
      <c r="S1541">
        <v>27.264608409535779</v>
      </c>
      <c r="T1541">
        <v>1</v>
      </c>
      <c r="U1541">
        <v>2.2345356407776027</v>
      </c>
    </row>
    <row r="1542" spans="1:21">
      <c r="A1542">
        <v>-0.42103840702321765</v>
      </c>
      <c r="B1542">
        <v>-1.2326887125177164</v>
      </c>
      <c r="C1542">
        <v>1.6730734724394221</v>
      </c>
      <c r="D1542">
        <v>0.16308272441931318</v>
      </c>
      <c r="E1542">
        <v>2.8895686035544571E-2</v>
      </c>
      <c r="F1542">
        <v>0.19803200703521923</v>
      </c>
      <c r="G1542">
        <v>0.32728203891461771</v>
      </c>
      <c r="H1542">
        <v>0.56598216522147715</v>
      </c>
      <c r="I1542">
        <v>1.0915160171875187</v>
      </c>
      <c r="J1542">
        <v>0</v>
      </c>
      <c r="L1542">
        <v>2.8021428933336185</v>
      </c>
      <c r="M1542">
        <v>3.716918443589269</v>
      </c>
      <c r="N1542">
        <v>2.2176408121086597</v>
      </c>
      <c r="P1542">
        <v>8.7840360568471874E-12</v>
      </c>
      <c r="R1542">
        <v>26.833965721266054</v>
      </c>
      <c r="S1542">
        <v>27.264608409535779</v>
      </c>
      <c r="T1542">
        <v>1</v>
      </c>
      <c r="U1542">
        <v>2.2345356407776027</v>
      </c>
    </row>
    <row r="1543" spans="1:21">
      <c r="A1543">
        <v>-0.47378908014663701</v>
      </c>
      <c r="B1543">
        <v>-1.2381764478810282</v>
      </c>
      <c r="C1543">
        <v>1.7516768652919508</v>
      </c>
      <c r="D1543">
        <v>0</v>
      </c>
      <c r="E1543">
        <v>9.6831990431402337E-2</v>
      </c>
      <c r="F1543">
        <v>0</v>
      </c>
      <c r="G1543">
        <v>0.6654456927845156</v>
      </c>
      <c r="H1543">
        <v>0.47970548123678092</v>
      </c>
      <c r="I1543">
        <v>0.86067918532515164</v>
      </c>
      <c r="J1543">
        <v>0.73574579439290444</v>
      </c>
      <c r="L1543">
        <v>2.8021423309464444</v>
      </c>
      <c r="M1543">
        <v>3.7169177357173604</v>
      </c>
      <c r="N1543">
        <v>2.2176401561284091</v>
      </c>
      <c r="P1543">
        <v>6.8560724629211013E-12</v>
      </c>
      <c r="R1543">
        <v>26.833965721266054</v>
      </c>
      <c r="S1543">
        <v>27.264608409535779</v>
      </c>
      <c r="T1543">
        <v>1</v>
      </c>
      <c r="U1543">
        <v>2.2345356407776027</v>
      </c>
    </row>
    <row r="1544" spans="1:21">
      <c r="A1544">
        <v>-0.45749494022601506</v>
      </c>
      <c r="B1544">
        <v>-1.2372534417886887</v>
      </c>
      <c r="C1544">
        <v>1.7312813028735685</v>
      </c>
      <c r="D1544">
        <v>8.0903202127105805E-2</v>
      </c>
      <c r="E1544">
        <v>0</v>
      </c>
      <c r="F1544">
        <v>0</v>
      </c>
      <c r="G1544">
        <v>0.78894692493505725</v>
      </c>
      <c r="H1544">
        <v>0.69508455007083392</v>
      </c>
      <c r="I1544">
        <v>0.88855429038085598</v>
      </c>
      <c r="J1544">
        <v>0.51641306223029659</v>
      </c>
      <c r="L1544">
        <v>2.802143984158715</v>
      </c>
      <c r="M1544">
        <v>3.7169186307381596</v>
      </c>
      <c r="N1544">
        <v>2.2176408114480251</v>
      </c>
      <c r="P1544">
        <v>1.3307475563779341E-11</v>
      </c>
      <c r="R1544">
        <v>26.833965721266054</v>
      </c>
      <c r="S1544">
        <v>27.264608409535779</v>
      </c>
      <c r="T1544">
        <v>1</v>
      </c>
      <c r="U1544">
        <v>2.2345356407776027</v>
      </c>
    </row>
    <row r="1545" spans="1:21">
      <c r="A1545">
        <v>-0.4861757444336553</v>
      </c>
      <c r="B1545">
        <v>-1.2349947971086992</v>
      </c>
      <c r="C1545">
        <v>1.7906286328112151</v>
      </c>
      <c r="D1545">
        <v>0.1010109416987575</v>
      </c>
      <c r="E1545">
        <v>0.5226880506795456</v>
      </c>
      <c r="F1545">
        <v>0.2159292497042454</v>
      </c>
      <c r="G1545">
        <v>0.50854269510451822</v>
      </c>
      <c r="H1545">
        <v>0.89602195467116774</v>
      </c>
      <c r="I1545">
        <v>0.65795943135122448</v>
      </c>
      <c r="J1545">
        <v>0.48142017613430371</v>
      </c>
      <c r="L1545">
        <v>2.8021424567365201</v>
      </c>
      <c r="M1545">
        <v>3.716917768725359</v>
      </c>
      <c r="N1545">
        <v>2.2176402931137886</v>
      </c>
      <c r="P1545">
        <v>7.4700859654457326E-12</v>
      </c>
      <c r="R1545">
        <v>26.833965721266054</v>
      </c>
      <c r="S1545">
        <v>27.264608409535779</v>
      </c>
      <c r="T1545">
        <v>1</v>
      </c>
      <c r="U1545">
        <v>2.2345356407776027</v>
      </c>
    </row>
    <row r="1546" spans="1:21">
      <c r="A1546">
        <v>-0.42436251590340496</v>
      </c>
      <c r="B1546">
        <v>-1.2345010352219423</v>
      </c>
      <c r="C1546">
        <v>1.6695746030880088</v>
      </c>
      <c r="D1546">
        <v>0</v>
      </c>
      <c r="E1546">
        <v>0</v>
      </c>
      <c r="F1546">
        <v>0.31697562016272213</v>
      </c>
      <c r="G1546">
        <v>0.15262925365210073</v>
      </c>
      <c r="H1546">
        <v>3.9866080342786242E-2</v>
      </c>
      <c r="I1546">
        <v>0.95315803189042247</v>
      </c>
      <c r="J1546">
        <v>0.12677882698260753</v>
      </c>
      <c r="L1546">
        <v>2.8021425554223263</v>
      </c>
      <c r="M1546">
        <v>3.7169179532200181</v>
      </c>
      <c r="N1546">
        <v>2.2176404743451923</v>
      </c>
      <c r="P1546">
        <v>7.7321761477065445E-12</v>
      </c>
      <c r="R1546">
        <v>26.833965721266054</v>
      </c>
      <c r="S1546">
        <v>27.264608409535779</v>
      </c>
      <c r="T1546">
        <v>1</v>
      </c>
      <c r="U1546">
        <v>2.2345356407776027</v>
      </c>
    </row>
    <row r="1547" spans="1:21">
      <c r="A1547">
        <v>-0.45276775952924941</v>
      </c>
      <c r="B1547">
        <v>-1.2445231682349367</v>
      </c>
      <c r="C1547">
        <v>1.7109275637001011</v>
      </c>
      <c r="D1547">
        <v>0.2722882660722975</v>
      </c>
      <c r="E1547">
        <v>0</v>
      </c>
      <c r="F1547">
        <v>0</v>
      </c>
      <c r="G1547">
        <v>0.86594160534066111</v>
      </c>
      <c r="H1547">
        <v>0</v>
      </c>
      <c r="I1547">
        <v>0.53965247177835685</v>
      </c>
      <c r="J1547">
        <v>0.51131727384569836</v>
      </c>
      <c r="L1547">
        <v>2.8021412342737042</v>
      </c>
      <c r="M1547">
        <v>3.7169191904404872</v>
      </c>
      <c r="N1547">
        <v>2.2176393510369956</v>
      </c>
      <c r="P1547">
        <v>6.1729205687358035E-13</v>
      </c>
      <c r="R1547">
        <v>26.833965721266054</v>
      </c>
      <c r="S1547">
        <v>27.264608409535779</v>
      </c>
      <c r="T1547">
        <v>1</v>
      </c>
      <c r="U1547">
        <v>2.2345356407776027</v>
      </c>
    </row>
    <row r="1548" spans="1:21">
      <c r="A1548">
        <v>-0.45235955722550775</v>
      </c>
      <c r="B1548">
        <v>-1.2415283318496306</v>
      </c>
      <c r="C1548">
        <v>1.7182227775142447</v>
      </c>
      <c r="D1548">
        <v>0.27483403399079009</v>
      </c>
      <c r="E1548">
        <v>0.30975150510535571</v>
      </c>
      <c r="F1548">
        <v>0.15639122193141489</v>
      </c>
      <c r="G1548">
        <v>1.0376174605832817</v>
      </c>
      <c r="H1548">
        <v>0.5579227587010368</v>
      </c>
      <c r="I1548">
        <v>1.0789374897775874</v>
      </c>
      <c r="J1548">
        <v>0.68560888509962947</v>
      </c>
      <c r="L1548">
        <v>2.8021425086210288</v>
      </c>
      <c r="M1548">
        <v>3.7169178998115275</v>
      </c>
      <c r="N1548">
        <v>2.2176403912934273</v>
      </c>
      <c r="P1548">
        <v>7.4849808864209102E-12</v>
      </c>
      <c r="R1548">
        <v>26.833965721266054</v>
      </c>
      <c r="S1548">
        <v>27.264608409535779</v>
      </c>
      <c r="T1548">
        <v>1</v>
      </c>
      <c r="U1548">
        <v>2.2345356407776027</v>
      </c>
    </row>
    <row r="1549" spans="1:21">
      <c r="A1549">
        <v>-0.44954642857807142</v>
      </c>
      <c r="B1549">
        <v>-1.2343300419475634</v>
      </c>
      <c r="C1549">
        <v>1.7109989060579098</v>
      </c>
      <c r="D1549">
        <v>0</v>
      </c>
      <c r="E1549">
        <v>0</v>
      </c>
      <c r="F1549">
        <v>0</v>
      </c>
      <c r="G1549">
        <v>0.29011411568756529</v>
      </c>
      <c r="H1549">
        <v>0.36883718647354136</v>
      </c>
      <c r="I1549">
        <v>1.0025502085040117</v>
      </c>
      <c r="J1549">
        <v>0.35224728867463156</v>
      </c>
      <c r="L1549">
        <v>2.8021424772811105</v>
      </c>
      <c r="M1549">
        <v>3.7169177129280895</v>
      </c>
      <c r="N1549">
        <v>2.2176402438027512</v>
      </c>
      <c r="P1549">
        <v>7.5656571053254985E-12</v>
      </c>
      <c r="R1549">
        <v>26.833965721266054</v>
      </c>
      <c r="S1549">
        <v>27.264608409535779</v>
      </c>
      <c r="T1549">
        <v>1</v>
      </c>
      <c r="U1549">
        <v>2.2345356407776027</v>
      </c>
    </row>
    <row r="1550" spans="1:21">
      <c r="A1550">
        <v>-0.42953203223129938</v>
      </c>
      <c r="B1550">
        <v>-1.2342134257082347</v>
      </c>
      <c r="C1550">
        <v>1.6856320923092458</v>
      </c>
      <c r="D1550">
        <v>0</v>
      </c>
      <c r="E1550">
        <v>0</v>
      </c>
      <c r="F1550">
        <v>0</v>
      </c>
      <c r="G1550">
        <v>0.43687632461814913</v>
      </c>
      <c r="H1550">
        <v>0.43471623134130027</v>
      </c>
      <c r="I1550">
        <v>1.0069822106528781</v>
      </c>
      <c r="J1550">
        <v>3.1242425512443776E-2</v>
      </c>
      <c r="L1550">
        <v>2.8021425281650196</v>
      </c>
      <c r="M1550">
        <v>3.7169177142466721</v>
      </c>
      <c r="N1550">
        <v>2.2176403013326018</v>
      </c>
      <c r="P1550">
        <v>7.8805070056973161E-12</v>
      </c>
      <c r="R1550">
        <v>26.833965721266054</v>
      </c>
      <c r="S1550">
        <v>27.264608409535779</v>
      </c>
      <c r="T1550">
        <v>1</v>
      </c>
      <c r="U1550">
        <v>2.2345356407776027</v>
      </c>
    </row>
    <row r="1551" spans="1:21">
      <c r="A1551">
        <v>-0.46201639031989855</v>
      </c>
      <c r="B1551">
        <v>-1.2368064356821515</v>
      </c>
      <c r="C1551">
        <v>1.734480207314353</v>
      </c>
      <c r="D1551">
        <v>0.65511341168485038</v>
      </c>
      <c r="E1551">
        <v>0</v>
      </c>
      <c r="F1551">
        <v>0</v>
      </c>
      <c r="G1551">
        <v>0.44787037811336672</v>
      </c>
      <c r="H1551">
        <v>0.8225298270974154</v>
      </c>
      <c r="I1551">
        <v>0.6850024312319043</v>
      </c>
      <c r="J1551">
        <v>0.4113821294848013</v>
      </c>
      <c r="L1551">
        <v>2.8021416814428082</v>
      </c>
      <c r="M1551">
        <v>3.7169200355649239</v>
      </c>
      <c r="N1551">
        <v>2.2176390168711295</v>
      </c>
      <c r="P1551">
        <v>6.0567120693944764E-13</v>
      </c>
      <c r="R1551">
        <v>26.833965721266054</v>
      </c>
      <c r="S1551">
        <v>27.264608409535779</v>
      </c>
      <c r="T1551">
        <v>1</v>
      </c>
      <c r="U1551">
        <v>2.2345356407776027</v>
      </c>
    </row>
    <row r="1552" spans="1:21">
      <c r="A1552">
        <v>-0.46752313570219545</v>
      </c>
      <c r="B1552">
        <v>-1.2365399323095383</v>
      </c>
      <c r="C1552">
        <v>1.7580127102938508</v>
      </c>
      <c r="D1552">
        <v>0.1618518362002124</v>
      </c>
      <c r="E1552">
        <v>0.25443538148816824</v>
      </c>
      <c r="F1552">
        <v>0.50558567317874614</v>
      </c>
      <c r="G1552">
        <v>0.69324039403241144</v>
      </c>
      <c r="H1552">
        <v>0.83236338475498994</v>
      </c>
      <c r="I1552">
        <v>0.62953584785767647</v>
      </c>
      <c r="J1552">
        <v>0.59074386849248706</v>
      </c>
      <c r="L1552">
        <v>2.8021423888885511</v>
      </c>
      <c r="M1552">
        <v>3.716917695895499</v>
      </c>
      <c r="N1552">
        <v>2.217640189861998</v>
      </c>
      <c r="P1552">
        <v>7.2403602616551414E-12</v>
      </c>
      <c r="R1552">
        <v>26.833965721266054</v>
      </c>
      <c r="S1552">
        <v>27.264608409535779</v>
      </c>
      <c r="T1552">
        <v>1</v>
      </c>
      <c r="U1552">
        <v>2.2345356407776027</v>
      </c>
    </row>
    <row r="1553" spans="1:21">
      <c r="A1553">
        <v>-0.42382370230029737</v>
      </c>
      <c r="B1553">
        <v>-1.2386954271714543</v>
      </c>
      <c r="C1553">
        <v>1.6770060296993825</v>
      </c>
      <c r="D1553">
        <v>0</v>
      </c>
      <c r="E1553">
        <v>6.3792314180518048E-2</v>
      </c>
      <c r="F1553">
        <v>0.41594773561169907</v>
      </c>
      <c r="G1553">
        <v>1.0028494936859786</v>
      </c>
      <c r="H1553">
        <v>0.48288245891265758</v>
      </c>
      <c r="I1553">
        <v>1.1403348127459079</v>
      </c>
      <c r="J1553">
        <v>0.47165223268187068</v>
      </c>
      <c r="L1553">
        <v>2.8021425168134484</v>
      </c>
      <c r="M1553">
        <v>3.7169177963200477</v>
      </c>
      <c r="N1553">
        <v>2.2176403596114822</v>
      </c>
      <c r="P1553">
        <v>7.7504784945143101E-12</v>
      </c>
      <c r="R1553">
        <v>26.833965721266054</v>
      </c>
      <c r="S1553">
        <v>27.264608409535779</v>
      </c>
      <c r="T1553">
        <v>1</v>
      </c>
      <c r="U1553">
        <v>2.2345356407776027</v>
      </c>
    </row>
    <row r="1554" spans="1:21">
      <c r="A1554">
        <v>-0.45477213991923471</v>
      </c>
      <c r="B1554">
        <v>-1.2377064365192605</v>
      </c>
      <c r="C1554">
        <v>1.7170027535994452</v>
      </c>
      <c r="D1554">
        <v>0.10945111674997485</v>
      </c>
      <c r="E1554">
        <v>0</v>
      </c>
      <c r="F1554">
        <v>0</v>
      </c>
      <c r="G1554">
        <v>0.66433997419753954</v>
      </c>
      <c r="H1554">
        <v>0.48152406547306997</v>
      </c>
      <c r="I1554">
        <v>1.073512899999332</v>
      </c>
      <c r="J1554">
        <v>0.64527407570059747</v>
      </c>
      <c r="L1554">
        <v>2.8021423619786945</v>
      </c>
      <c r="M1554">
        <v>3.7169176706814318</v>
      </c>
      <c r="N1554">
        <v>2.2176401028929207</v>
      </c>
      <c r="P1554">
        <v>7.01145548870271E-12</v>
      </c>
      <c r="R1554">
        <v>26.833965721266054</v>
      </c>
      <c r="S1554">
        <v>27.264608409535779</v>
      </c>
      <c r="T1554">
        <v>1</v>
      </c>
      <c r="U1554">
        <v>2.2345356407776027</v>
      </c>
    </row>
    <row r="1555" spans="1:21">
      <c r="A1555">
        <v>-0.47777550740864627</v>
      </c>
      <c r="B1555">
        <v>-1.2399360291020707</v>
      </c>
      <c r="C1555">
        <v>1.7660583007968753</v>
      </c>
      <c r="D1555">
        <v>0</v>
      </c>
      <c r="E1555">
        <v>4.3483952494765332E-2</v>
      </c>
      <c r="F1555">
        <v>0</v>
      </c>
      <c r="G1555">
        <v>0.82416905260821594</v>
      </c>
      <c r="H1555">
        <v>0.49432645552069332</v>
      </c>
      <c r="I1555">
        <v>0.45332252335898171</v>
      </c>
      <c r="J1555">
        <v>0.58965810703988231</v>
      </c>
      <c r="L1555">
        <v>2.8021423300677331</v>
      </c>
      <c r="M1555">
        <v>3.7169177153606943</v>
      </c>
      <c r="N1555">
        <v>2.2176401563686023</v>
      </c>
      <c r="P1555">
        <v>6.9291767657553111E-12</v>
      </c>
      <c r="R1555">
        <v>26.833965721266054</v>
      </c>
      <c r="S1555">
        <v>27.264608409535779</v>
      </c>
      <c r="T1555">
        <v>1</v>
      </c>
      <c r="U1555">
        <v>2.2345356407776027</v>
      </c>
    </row>
    <row r="1556" spans="1:21">
      <c r="A1556">
        <v>-0.44001232115448624</v>
      </c>
      <c r="B1556">
        <v>-1.2362716397443261</v>
      </c>
      <c r="C1556">
        <v>1.706433321850183</v>
      </c>
      <c r="D1556">
        <v>0.34052910855458707</v>
      </c>
      <c r="E1556">
        <v>0</v>
      </c>
      <c r="F1556">
        <v>0.59971592770391036</v>
      </c>
      <c r="G1556">
        <v>0.13646623063296889</v>
      </c>
      <c r="H1556">
        <v>0.20316255703937966</v>
      </c>
      <c r="I1556">
        <v>0.1940223244785613</v>
      </c>
      <c r="J1556">
        <v>3.271373285373004E-2</v>
      </c>
      <c r="L1556">
        <v>2.8021425373685913</v>
      </c>
      <c r="M1556">
        <v>3.7169179366649172</v>
      </c>
      <c r="N1556">
        <v>2.2176404609175973</v>
      </c>
      <c r="P1556">
        <v>7.6877532487331972E-12</v>
      </c>
      <c r="R1556">
        <v>26.833965721266054</v>
      </c>
      <c r="S1556">
        <v>27.264608409535779</v>
      </c>
      <c r="T1556">
        <v>1</v>
      </c>
      <c r="U1556">
        <v>2.2345356407776027</v>
      </c>
    </row>
    <row r="1557" spans="1:21">
      <c r="A1557">
        <v>-0.43522611595746274</v>
      </c>
      <c r="B1557">
        <v>-1.2380511051797431</v>
      </c>
      <c r="C1557">
        <v>1.6789595667594743</v>
      </c>
      <c r="D1557">
        <v>0.44835388110371799</v>
      </c>
      <c r="E1557">
        <v>0</v>
      </c>
      <c r="F1557">
        <v>0.47334054725712854</v>
      </c>
      <c r="G1557">
        <v>0.24935874731479052</v>
      </c>
      <c r="H1557">
        <v>0.10361795949600028</v>
      </c>
      <c r="I1557">
        <v>0.87170156030005508</v>
      </c>
      <c r="J1557">
        <v>0.50035163059809773</v>
      </c>
      <c r="L1557">
        <v>2.80214284648891</v>
      </c>
      <c r="M1557">
        <v>3.7169171441851021</v>
      </c>
      <c r="N1557">
        <v>2.2176396413257948</v>
      </c>
      <c r="P1557">
        <v>9.5176362017669923E-12</v>
      </c>
      <c r="R1557">
        <v>26.833965721266054</v>
      </c>
      <c r="S1557">
        <v>27.264608409535779</v>
      </c>
      <c r="T1557">
        <v>1</v>
      </c>
      <c r="U1557">
        <v>2.2345356407776027</v>
      </c>
    </row>
    <row r="1558" spans="1:21">
      <c r="A1558">
        <v>-0.47082899068988959</v>
      </c>
      <c r="B1558">
        <v>-1.2454327176983333</v>
      </c>
      <c r="C1558">
        <v>1.7475067441275254</v>
      </c>
      <c r="D1558">
        <v>0.32690441575677615</v>
      </c>
      <c r="E1558">
        <v>0.20395429186983677</v>
      </c>
      <c r="F1558">
        <v>0</v>
      </c>
      <c r="G1558">
        <v>1.0368534725472047</v>
      </c>
      <c r="H1558">
        <v>0.2548521910640924</v>
      </c>
      <c r="I1558">
        <v>0.42739601097935964</v>
      </c>
      <c r="J1558">
        <v>0.61517108010206578</v>
      </c>
      <c r="L1558">
        <v>2.8021425208102571</v>
      </c>
      <c r="M1558">
        <v>3.7169176470157055</v>
      </c>
      <c r="N1558">
        <v>2.2176401804162804</v>
      </c>
      <c r="P1558">
        <v>7.7291350435047923E-12</v>
      </c>
      <c r="R1558">
        <v>26.833965721266054</v>
      </c>
      <c r="S1558">
        <v>27.264608409535779</v>
      </c>
      <c r="T1558">
        <v>1</v>
      </c>
      <c r="U1558">
        <v>2.2345356407776027</v>
      </c>
    </row>
    <row r="1559" spans="1:21">
      <c r="A1559">
        <v>-0.47903726654968498</v>
      </c>
      <c r="B1559">
        <v>-1.2333721340166406</v>
      </c>
      <c r="C1559">
        <v>1.7728538879213336</v>
      </c>
      <c r="D1559">
        <v>0.41131561503422731</v>
      </c>
      <c r="E1559">
        <v>0.63256237201463295</v>
      </c>
      <c r="F1559">
        <v>0.58653816202762765</v>
      </c>
      <c r="G1559">
        <v>0.10180308114119442</v>
      </c>
      <c r="H1559">
        <v>0.81481387469516608</v>
      </c>
      <c r="I1559">
        <v>0.75040492645583379</v>
      </c>
      <c r="J1559">
        <v>0.5361891535283142</v>
      </c>
      <c r="L1559">
        <v>2.8021424887130384</v>
      </c>
      <c r="M1559">
        <v>3.7169178737819379</v>
      </c>
      <c r="N1559">
        <v>2.2176403781843468</v>
      </c>
      <c r="P1559">
        <v>7.4742467725684712E-12</v>
      </c>
      <c r="R1559">
        <v>26.833965721266054</v>
      </c>
      <c r="S1559">
        <v>27.264608409535779</v>
      </c>
      <c r="T1559">
        <v>1</v>
      </c>
      <c r="U1559">
        <v>2.2345356407776027</v>
      </c>
    </row>
    <row r="1560" spans="1:21">
      <c r="A1560">
        <v>-0.46925239376993227</v>
      </c>
      <c r="B1560">
        <v>-1.235904269417563</v>
      </c>
      <c r="C1560">
        <v>1.7504369379688667</v>
      </c>
      <c r="D1560">
        <v>0.19995250589209426</v>
      </c>
      <c r="E1560">
        <v>0</v>
      </c>
      <c r="F1560">
        <v>0</v>
      </c>
      <c r="G1560">
        <v>0.36505118299627731</v>
      </c>
      <c r="H1560">
        <v>0.56181450536273703</v>
      </c>
      <c r="I1560">
        <v>0.5111955618967452</v>
      </c>
      <c r="J1560">
        <v>0.34569249676945751</v>
      </c>
      <c r="L1560">
        <v>2.8021425620255012</v>
      </c>
      <c r="M1560">
        <v>3.7169180275595322</v>
      </c>
      <c r="N1560">
        <v>2.217640507600906</v>
      </c>
      <c r="P1560">
        <v>7.6400750180908021E-12</v>
      </c>
      <c r="R1560">
        <v>26.833965721266054</v>
      </c>
      <c r="S1560">
        <v>27.264608409535779</v>
      </c>
      <c r="T1560">
        <v>1</v>
      </c>
      <c r="U1560">
        <v>2.2345356407776027</v>
      </c>
    </row>
    <row r="1561" spans="1:21">
      <c r="A1561">
        <v>-0.49522544975202931</v>
      </c>
      <c r="B1561">
        <v>-1.2380277477828985</v>
      </c>
      <c r="C1561">
        <v>1.7923768132314997</v>
      </c>
      <c r="D1561">
        <v>0.12028976364240106</v>
      </c>
      <c r="E1561">
        <v>0</v>
      </c>
      <c r="F1561">
        <v>0</v>
      </c>
      <c r="G1561">
        <v>0.55916891090549625</v>
      </c>
      <c r="H1561">
        <v>0.6271224371531251</v>
      </c>
      <c r="I1561">
        <v>0.35405170069568487</v>
      </c>
      <c r="J1561">
        <v>0.72804906782604173</v>
      </c>
      <c r="L1561">
        <v>2.8021425243514901</v>
      </c>
      <c r="M1561">
        <v>3.7169179932982224</v>
      </c>
      <c r="N1561">
        <v>2.2176404579822449</v>
      </c>
      <c r="P1561">
        <v>7.46241801974392E-12</v>
      </c>
      <c r="R1561">
        <v>26.833965721266054</v>
      </c>
      <c r="S1561">
        <v>27.264608409535779</v>
      </c>
      <c r="T1561">
        <v>1</v>
      </c>
      <c r="U1561">
        <v>2.2345356407776027</v>
      </c>
    </row>
    <row r="1562" spans="1:21">
      <c r="A1562">
        <v>-0.46837980337232682</v>
      </c>
      <c r="B1562">
        <v>-1.2329297764599465</v>
      </c>
      <c r="C1562">
        <v>1.7564544873825458</v>
      </c>
      <c r="D1562">
        <v>7.2047977564448834E-2</v>
      </c>
      <c r="E1562">
        <v>0.18847460885147529</v>
      </c>
      <c r="F1562">
        <v>0.18132364481280164</v>
      </c>
      <c r="G1562">
        <v>0</v>
      </c>
      <c r="H1562">
        <v>0.44159339781575091</v>
      </c>
      <c r="I1562">
        <v>0.34189802446950973</v>
      </c>
      <c r="J1562">
        <v>5.4770977929522867E-2</v>
      </c>
      <c r="L1562">
        <v>2.8021423949397057</v>
      </c>
      <c r="M1562">
        <v>3.716917669220289</v>
      </c>
      <c r="N1562">
        <v>2.2176401788606084</v>
      </c>
      <c r="P1562">
        <v>7.3210341934956651E-12</v>
      </c>
      <c r="R1562">
        <v>26.833965721266054</v>
      </c>
      <c r="S1562">
        <v>27.264608409535779</v>
      </c>
      <c r="T1562">
        <v>1</v>
      </c>
      <c r="U1562">
        <v>2.2345356407776027</v>
      </c>
    </row>
    <row r="1563" spans="1:21">
      <c r="A1563">
        <v>-0.42013815177721792</v>
      </c>
      <c r="B1563">
        <v>-1.2407189314027094</v>
      </c>
      <c r="C1563">
        <v>1.6733830420064804</v>
      </c>
      <c r="D1563">
        <v>0.64067728168713522</v>
      </c>
      <c r="E1563">
        <v>0</v>
      </c>
      <c r="F1563">
        <v>0</v>
      </c>
      <c r="G1563">
        <v>1.0252913298784854</v>
      </c>
      <c r="H1563">
        <v>0.72857656800976489</v>
      </c>
      <c r="I1563">
        <v>0.77764286763666901</v>
      </c>
      <c r="J1563">
        <v>0</v>
      </c>
      <c r="L1563">
        <v>2.8021442082267574</v>
      </c>
      <c r="M1563">
        <v>3.7169194126075507</v>
      </c>
      <c r="N1563">
        <v>2.21764076919382</v>
      </c>
      <c r="P1563">
        <v>1.359918242149339E-11</v>
      </c>
      <c r="R1563">
        <v>26.833965721266054</v>
      </c>
      <c r="S1563">
        <v>27.264608409535779</v>
      </c>
      <c r="T1563">
        <v>1</v>
      </c>
      <c r="U1563">
        <v>2.2345356407776027</v>
      </c>
    </row>
    <row r="1564" spans="1:21">
      <c r="A1564">
        <v>-0.41507657345154791</v>
      </c>
      <c r="B1564">
        <v>-1.2403540064091765</v>
      </c>
      <c r="C1564">
        <v>1.6594302793220579</v>
      </c>
      <c r="D1564">
        <v>0</v>
      </c>
      <c r="E1564">
        <v>0</v>
      </c>
      <c r="F1564">
        <v>0.70795183585738819</v>
      </c>
      <c r="G1564">
        <v>0.79459689632085184</v>
      </c>
      <c r="H1564">
        <v>0</v>
      </c>
      <c r="I1564">
        <v>0.79714762225268321</v>
      </c>
      <c r="J1564">
        <v>0.36978280067985564</v>
      </c>
      <c r="L1564">
        <v>2.802142448588524</v>
      </c>
      <c r="M1564">
        <v>3.7169191332644456</v>
      </c>
      <c r="N1564">
        <v>2.2176392414282353</v>
      </c>
      <c r="P1564">
        <v>2.1040047473098219E-12</v>
      </c>
      <c r="R1564">
        <v>26.833965721266054</v>
      </c>
      <c r="S1564">
        <v>27.264608409535779</v>
      </c>
      <c r="T1564">
        <v>1</v>
      </c>
      <c r="U1564">
        <v>2.2345356407776027</v>
      </c>
    </row>
    <row r="1565" spans="1:21">
      <c r="A1565">
        <v>-0.424965929200885</v>
      </c>
      <c r="B1565">
        <v>-1.2366712113907625</v>
      </c>
      <c r="C1565">
        <v>1.6932522691828831</v>
      </c>
      <c r="D1565">
        <v>0</v>
      </c>
      <c r="E1565">
        <v>0</v>
      </c>
      <c r="F1565">
        <v>0.9607322695420647</v>
      </c>
      <c r="G1565">
        <v>0.98157758627294101</v>
      </c>
      <c r="H1565">
        <v>0.74901252606187985</v>
      </c>
      <c r="I1565">
        <v>0.77033698807185291</v>
      </c>
      <c r="J1565">
        <v>0.48308716339505059</v>
      </c>
      <c r="L1565">
        <v>2.8021425088920946</v>
      </c>
      <c r="M1565">
        <v>3.7169177436855696</v>
      </c>
      <c r="N1565">
        <v>2.2176403570857688</v>
      </c>
      <c r="P1565">
        <v>7.9085726956091816E-12</v>
      </c>
      <c r="R1565">
        <v>26.833965721266054</v>
      </c>
      <c r="S1565">
        <v>27.264608409535779</v>
      </c>
      <c r="T1565">
        <v>1</v>
      </c>
      <c r="U1565">
        <v>2.2345356407776027</v>
      </c>
    </row>
    <row r="1566" spans="1:21">
      <c r="A1566">
        <v>-0.46671372342154532</v>
      </c>
      <c r="B1566">
        <v>-1.2402234598441539</v>
      </c>
      <c r="C1566">
        <v>1.7383392058431861</v>
      </c>
      <c r="D1566">
        <v>0</v>
      </c>
      <c r="E1566">
        <v>0</v>
      </c>
      <c r="F1566">
        <v>0</v>
      </c>
      <c r="G1566">
        <v>0.82431337121616299</v>
      </c>
      <c r="H1566">
        <v>0.35991074518717714</v>
      </c>
      <c r="I1566">
        <v>0.80488351193698737</v>
      </c>
      <c r="J1566">
        <v>0.7371004653765898</v>
      </c>
      <c r="L1566">
        <v>2.8021424592799873</v>
      </c>
      <c r="M1566">
        <v>3.7169178198805604</v>
      </c>
      <c r="N1566">
        <v>2.2176403134333245</v>
      </c>
      <c r="P1566">
        <v>7.3636136922384541E-12</v>
      </c>
      <c r="R1566">
        <v>26.833965721266054</v>
      </c>
      <c r="S1566">
        <v>27.264608409535779</v>
      </c>
      <c r="T1566">
        <v>1</v>
      </c>
      <c r="U1566">
        <v>2.2345356407776027</v>
      </c>
    </row>
    <row r="1567" spans="1:21">
      <c r="A1567">
        <v>-0.45345696181194439</v>
      </c>
      <c r="B1567">
        <v>-1.2319058878185669</v>
      </c>
      <c r="C1567">
        <v>1.7390800840678931</v>
      </c>
      <c r="D1567">
        <v>0</v>
      </c>
      <c r="E1567">
        <v>0</v>
      </c>
      <c r="F1567">
        <v>0.54706397251715488</v>
      </c>
      <c r="G1567">
        <v>0.22138277798349248</v>
      </c>
      <c r="H1567">
        <v>0.67153532065768429</v>
      </c>
      <c r="I1567">
        <v>0.3867608222214991</v>
      </c>
      <c r="J1567">
        <v>0.15360170197958367</v>
      </c>
      <c r="L1567">
        <v>2.8021423939053269</v>
      </c>
      <c r="M1567">
        <v>3.7169177238775184</v>
      </c>
      <c r="N1567">
        <v>2.217640258945861</v>
      </c>
      <c r="P1567">
        <v>7.3660938929271211E-12</v>
      </c>
      <c r="R1567">
        <v>26.833965721266054</v>
      </c>
      <c r="S1567">
        <v>27.264608409535779</v>
      </c>
      <c r="T1567">
        <v>1</v>
      </c>
      <c r="U1567">
        <v>2.2345356407776027</v>
      </c>
    </row>
    <row r="1568" spans="1:21">
      <c r="A1568">
        <v>-0.47507136980588066</v>
      </c>
      <c r="B1568">
        <v>-1.2366977073590637</v>
      </c>
      <c r="C1568">
        <v>1.7683639034847694</v>
      </c>
      <c r="D1568">
        <v>0</v>
      </c>
      <c r="E1568">
        <v>0.18802023320915101</v>
      </c>
      <c r="F1568">
        <v>0.5110910853739854</v>
      </c>
      <c r="G1568">
        <v>0.60047052193099715</v>
      </c>
      <c r="H1568">
        <v>0.6370303910287245</v>
      </c>
      <c r="I1568">
        <v>0.48520435750664132</v>
      </c>
      <c r="J1568">
        <v>0.65073140946293895</v>
      </c>
      <c r="L1568">
        <v>2.8021449167111561</v>
      </c>
      <c r="M1568">
        <v>3.7169175308113758</v>
      </c>
      <c r="N1568">
        <v>2.2176381025486069</v>
      </c>
      <c r="P1568">
        <v>1.8283093632419663E-11</v>
      </c>
      <c r="R1568">
        <v>26.833965721266054</v>
      </c>
      <c r="S1568">
        <v>27.264608409535779</v>
      </c>
      <c r="T1568">
        <v>1</v>
      </c>
      <c r="U1568">
        <v>2.2345356407776027</v>
      </c>
    </row>
    <row r="1569" spans="1:21">
      <c r="A1569">
        <v>-0.46222874185300705</v>
      </c>
      <c r="B1569">
        <v>-1.23874590314435</v>
      </c>
      <c r="C1569">
        <v>1.7347099640085535</v>
      </c>
      <c r="D1569">
        <v>0.35129253012681666</v>
      </c>
      <c r="E1569">
        <v>0.36406267844192558</v>
      </c>
      <c r="F1569">
        <v>0</v>
      </c>
      <c r="G1569">
        <v>0.10897585190185727</v>
      </c>
      <c r="H1569">
        <v>9.6377001556504881E-3</v>
      </c>
      <c r="I1569">
        <v>0.33333147331340812</v>
      </c>
      <c r="J1569">
        <v>0</v>
      </c>
      <c r="L1569">
        <v>2.8021454939337613</v>
      </c>
      <c r="M1569">
        <v>3.7169187070105707</v>
      </c>
      <c r="N1569">
        <v>2.2176392631708683</v>
      </c>
      <c r="P1569">
        <v>1.9610129414595512E-11</v>
      </c>
      <c r="R1569">
        <v>26.833965721266054</v>
      </c>
      <c r="S1569">
        <v>27.264608409535779</v>
      </c>
      <c r="T1569">
        <v>1</v>
      </c>
      <c r="U1569">
        <v>2.2345356407776027</v>
      </c>
    </row>
    <row r="1570" spans="1:21">
      <c r="A1570">
        <v>-0.49747606842387621</v>
      </c>
      <c r="B1570">
        <v>-1.2376698972007507</v>
      </c>
      <c r="C1570">
        <v>1.7976450818132039</v>
      </c>
      <c r="D1570">
        <v>6.5035334862093855E-2</v>
      </c>
      <c r="E1570">
        <v>0</v>
      </c>
      <c r="F1570">
        <v>0.42794748085889167</v>
      </c>
      <c r="G1570">
        <v>0.42476448503527642</v>
      </c>
      <c r="H1570">
        <v>0.50353022135992676</v>
      </c>
      <c r="I1570">
        <v>0.17087704765135595</v>
      </c>
      <c r="J1570">
        <v>0.87336818150094697</v>
      </c>
      <c r="L1570">
        <v>2.8021423615910632</v>
      </c>
      <c r="M1570">
        <v>3.7169176787301601</v>
      </c>
      <c r="N1570">
        <v>2.2176401233333904</v>
      </c>
      <c r="P1570">
        <v>7.0399154581937542E-12</v>
      </c>
      <c r="R1570">
        <v>26.833965721266054</v>
      </c>
      <c r="S1570">
        <v>27.264608409535779</v>
      </c>
      <c r="T1570">
        <v>1</v>
      </c>
      <c r="U1570">
        <v>2.2345356407776027</v>
      </c>
    </row>
    <row r="1571" spans="1:21">
      <c r="A1571">
        <v>0.16847005362693651</v>
      </c>
      <c r="B1571">
        <v>-1.2067693383377642</v>
      </c>
      <c r="C1571">
        <v>0.90514978902981158</v>
      </c>
      <c r="D1571">
        <v>0</v>
      </c>
      <c r="E1571">
        <v>0</v>
      </c>
      <c r="F1571">
        <v>0.53152253073997346</v>
      </c>
      <c r="G1571">
        <v>0.51621680016086424</v>
      </c>
      <c r="H1571">
        <v>0.52089599224607119</v>
      </c>
      <c r="I1571">
        <v>7.200153662088693E-2</v>
      </c>
      <c r="J1571">
        <v>0.75314469959836772</v>
      </c>
      <c r="L1571">
        <v>2.8021422224451267</v>
      </c>
      <c r="M1571">
        <v>3.7169207246950826</v>
      </c>
      <c r="N1571">
        <v>0.83913059896045172</v>
      </c>
      <c r="P1571">
        <v>2.5321837921017491E-12</v>
      </c>
      <c r="R1571">
        <v>4.3630689631436432</v>
      </c>
      <c r="S1571">
        <v>4.3649803826438793</v>
      </c>
      <c r="T1571">
        <v>1</v>
      </c>
      <c r="U1571">
        <v>2.2377123891448218</v>
      </c>
    </row>
    <row r="1572" spans="1:21">
      <c r="A1572">
        <v>0.15875741823421419</v>
      </c>
      <c r="B1572">
        <v>-1.2121559216556028</v>
      </c>
      <c r="C1572">
        <v>0.88428686035902049</v>
      </c>
      <c r="D1572">
        <v>0.26414137543943761</v>
      </c>
      <c r="E1572">
        <v>0</v>
      </c>
      <c r="F1572">
        <v>0</v>
      </c>
      <c r="G1572">
        <v>0.55893433841970397</v>
      </c>
      <c r="H1572">
        <v>7.9572359171314971E-2</v>
      </c>
      <c r="I1572">
        <v>0.78123746746481038</v>
      </c>
      <c r="J1572">
        <v>0.65787033546753171</v>
      </c>
      <c r="L1572">
        <v>2.8021427115456028</v>
      </c>
      <c r="M1572">
        <v>3.7169203343697554</v>
      </c>
      <c r="N1572">
        <v>0.8391300770393022</v>
      </c>
      <c r="P1572">
        <v>2.9744117872237866E-12</v>
      </c>
      <c r="R1572">
        <v>4.3630689631436432</v>
      </c>
      <c r="S1572">
        <v>4.3649803826438793</v>
      </c>
      <c r="T1572">
        <v>1</v>
      </c>
      <c r="U1572">
        <v>2.2377123891448218</v>
      </c>
    </row>
    <row r="1573" spans="1:21">
      <c r="A1573">
        <v>0.1709884756170896</v>
      </c>
      <c r="B1573">
        <v>-1.2034230401494648</v>
      </c>
      <c r="C1573">
        <v>0.90664507839442354</v>
      </c>
      <c r="D1573">
        <v>0.18850444927527688</v>
      </c>
      <c r="E1573">
        <v>4.470763476523483E-2</v>
      </c>
      <c r="F1573">
        <v>0</v>
      </c>
      <c r="G1573">
        <v>0.24138969776297395</v>
      </c>
      <c r="H1573">
        <v>0.75847937731818527</v>
      </c>
      <c r="I1573">
        <v>1.8806672260044226E-2</v>
      </c>
      <c r="J1573">
        <v>0.26956735168840151</v>
      </c>
      <c r="L1573">
        <v>2.8021422768872664</v>
      </c>
      <c r="M1573">
        <v>3.7169208082126866</v>
      </c>
      <c r="N1573">
        <v>0.83913049801951878</v>
      </c>
      <c r="P1573">
        <v>2.7992296829430141E-12</v>
      </c>
      <c r="R1573">
        <v>4.3630689631436432</v>
      </c>
      <c r="S1573">
        <v>4.3649803826438793</v>
      </c>
      <c r="T1573">
        <v>1</v>
      </c>
      <c r="U1573">
        <v>2.2377123891448218</v>
      </c>
    </row>
    <row r="1574" spans="1:21">
      <c r="A1574">
        <v>0.16922363533076079</v>
      </c>
      <c r="B1574">
        <v>-1.2022709032534387</v>
      </c>
      <c r="C1574">
        <v>0.91734249167496174</v>
      </c>
      <c r="D1574">
        <v>0</v>
      </c>
      <c r="E1574">
        <v>0.65990785312165456</v>
      </c>
      <c r="F1574">
        <v>0.19224854148134785</v>
      </c>
      <c r="G1574">
        <v>0.39859975528215341</v>
      </c>
      <c r="H1574">
        <v>0.95773799750351196</v>
      </c>
      <c r="I1574">
        <v>0.54389936761712798</v>
      </c>
      <c r="J1574">
        <v>0.12952227020009396</v>
      </c>
      <c r="L1574">
        <v>2.8021423365134028</v>
      </c>
      <c r="M1574">
        <v>3.7169206187276553</v>
      </c>
      <c r="N1574">
        <v>0.83913088685181192</v>
      </c>
      <c r="P1574">
        <v>2.801299618006776E-12</v>
      </c>
      <c r="R1574">
        <v>4.3630689631436432</v>
      </c>
      <c r="S1574">
        <v>4.3649803826438793</v>
      </c>
      <c r="T1574">
        <v>1</v>
      </c>
      <c r="U1574">
        <v>2.2377123891448218</v>
      </c>
    </row>
    <row r="1575" spans="1:21">
      <c r="A1575">
        <v>0.17136382747989962</v>
      </c>
      <c r="B1575">
        <v>-1.2078774542646724</v>
      </c>
      <c r="C1575">
        <v>0.91421504760495875</v>
      </c>
      <c r="D1575">
        <v>0</v>
      </c>
      <c r="E1575">
        <v>0.60747874601921448</v>
      </c>
      <c r="F1575">
        <v>0.26904504725338835</v>
      </c>
      <c r="G1575">
        <v>0.68467723589045637</v>
      </c>
      <c r="H1575">
        <v>0.59667587876842099</v>
      </c>
      <c r="I1575">
        <v>0.10332192459146262</v>
      </c>
      <c r="J1575">
        <v>0.56269419841736301</v>
      </c>
      <c r="L1575">
        <v>2.8021421947467839</v>
      </c>
      <c r="M1575">
        <v>3.7169207226321586</v>
      </c>
      <c r="N1575">
        <v>0.8391303283811915</v>
      </c>
      <c r="P1575">
        <v>2.379831221042746E-12</v>
      </c>
      <c r="R1575">
        <v>4.3630689631436432</v>
      </c>
      <c r="S1575">
        <v>4.3649803826438793</v>
      </c>
      <c r="T1575">
        <v>1</v>
      </c>
      <c r="U1575">
        <v>2.2377123891448218</v>
      </c>
    </row>
    <row r="1576" spans="1:21">
      <c r="A1576">
        <v>0.15321023579857818</v>
      </c>
      <c r="B1576">
        <v>-1.2088449947465367</v>
      </c>
      <c r="C1576">
        <v>0.90186269256095186</v>
      </c>
      <c r="D1576">
        <v>0.26674647758124548</v>
      </c>
      <c r="E1576">
        <v>0</v>
      </c>
      <c r="F1576">
        <v>0.35354479576086412</v>
      </c>
      <c r="G1576">
        <v>0.62726188324433652</v>
      </c>
      <c r="H1576">
        <v>0.60352004153083627</v>
      </c>
      <c r="I1576">
        <v>0.939028691546275</v>
      </c>
      <c r="J1576">
        <v>0.18470480843278783</v>
      </c>
      <c r="L1576">
        <v>2.8021422707537651</v>
      </c>
      <c r="M1576">
        <v>3.7169207346477231</v>
      </c>
      <c r="N1576">
        <v>0.83913065031700762</v>
      </c>
      <c r="P1576">
        <v>2.6915379077367371E-12</v>
      </c>
      <c r="R1576">
        <v>4.3630689631436432</v>
      </c>
      <c r="S1576">
        <v>4.3649803826438793</v>
      </c>
      <c r="T1576">
        <v>1</v>
      </c>
      <c r="U1576">
        <v>2.2377123891448218</v>
      </c>
    </row>
    <row r="1577" spans="1:21">
      <c r="A1577">
        <v>0.17618704897809756</v>
      </c>
      <c r="B1577">
        <v>-1.2025914482224416</v>
      </c>
      <c r="C1577">
        <v>0.89901960238424661</v>
      </c>
      <c r="D1577">
        <v>0.14511293349843291</v>
      </c>
      <c r="E1577">
        <v>0</v>
      </c>
      <c r="F1577">
        <v>4.7470425428855934E-2</v>
      </c>
      <c r="G1577">
        <v>0.3903156982155091</v>
      </c>
      <c r="H1577">
        <v>0.95244215541015209</v>
      </c>
      <c r="I1577">
        <v>0.25782346819078233</v>
      </c>
      <c r="J1577">
        <v>0.90235399977072706</v>
      </c>
      <c r="L1577">
        <v>2.8021422276770407</v>
      </c>
      <c r="M1577">
        <v>3.7169207669802682</v>
      </c>
      <c r="N1577">
        <v>0.83913026269365809</v>
      </c>
      <c r="P1577">
        <v>2.552816883053238E-12</v>
      </c>
      <c r="R1577">
        <v>4.3630689631436432</v>
      </c>
      <c r="S1577">
        <v>4.3649803826438793</v>
      </c>
      <c r="T1577">
        <v>1</v>
      </c>
      <c r="U1577">
        <v>2.2377123891448218</v>
      </c>
    </row>
    <row r="1578" spans="1:21">
      <c r="A1578">
        <v>0.16542335077588574</v>
      </c>
      <c r="B1578">
        <v>-1.2064598754315592</v>
      </c>
      <c r="C1578">
        <v>0.90198864402555501</v>
      </c>
      <c r="D1578">
        <v>0</v>
      </c>
      <c r="E1578">
        <v>0.15118257133313648</v>
      </c>
      <c r="F1578">
        <v>0.24963115506008399</v>
      </c>
      <c r="G1578">
        <v>0.45131280054707634</v>
      </c>
      <c r="H1578">
        <v>0.48145679757996945</v>
      </c>
      <c r="I1578">
        <v>0.45580290576343691</v>
      </c>
      <c r="J1578">
        <v>0.49547453681960169</v>
      </c>
      <c r="L1578">
        <v>2.8021423945662436</v>
      </c>
      <c r="M1578">
        <v>3.7169205515212487</v>
      </c>
      <c r="N1578">
        <v>0.83913098128792252</v>
      </c>
      <c r="P1578">
        <v>2.9196657801786521E-12</v>
      </c>
      <c r="R1578">
        <v>4.3630689631436432</v>
      </c>
      <c r="S1578">
        <v>4.3649803826438793</v>
      </c>
      <c r="T1578">
        <v>1</v>
      </c>
      <c r="U1578">
        <v>2.2377123891448218</v>
      </c>
    </row>
    <row r="1579" spans="1:21">
      <c r="A1579">
        <v>0.16219355576631478</v>
      </c>
      <c r="B1579">
        <v>-1.2085635007178273</v>
      </c>
      <c r="C1579">
        <v>0.89393155672368885</v>
      </c>
      <c r="D1579">
        <v>8.4346871056896297E-2</v>
      </c>
      <c r="E1579">
        <v>0</v>
      </c>
      <c r="F1579">
        <v>0.22931321920870298</v>
      </c>
      <c r="G1579">
        <v>0.65110581323317351</v>
      </c>
      <c r="H1579">
        <v>0.49078547933753486</v>
      </c>
      <c r="I1579">
        <v>0.78909590289538623</v>
      </c>
      <c r="J1579">
        <v>0.7603358038482767</v>
      </c>
      <c r="L1579">
        <v>2.8021422655305726</v>
      </c>
      <c r="M1579">
        <v>3.7169207219192213</v>
      </c>
      <c r="N1579">
        <v>0.83913002813811766</v>
      </c>
      <c r="P1579">
        <v>2.5957556650646611E-12</v>
      </c>
      <c r="R1579">
        <v>4.3630689631436432</v>
      </c>
      <c r="S1579">
        <v>4.3649803826438793</v>
      </c>
      <c r="T1579">
        <v>1</v>
      </c>
      <c r="U1579">
        <v>2.2377123891448218</v>
      </c>
    </row>
    <row r="1580" spans="1:21">
      <c r="A1580">
        <v>0.16347046798401618</v>
      </c>
      <c r="B1580">
        <v>-1.2051315852946631</v>
      </c>
      <c r="C1580">
        <v>0.90309939862581756</v>
      </c>
      <c r="D1580">
        <v>0</v>
      </c>
      <c r="E1580">
        <v>0</v>
      </c>
      <c r="F1580">
        <v>0</v>
      </c>
      <c r="G1580">
        <v>0.38749540607768224</v>
      </c>
      <c r="H1580">
        <v>0.5742078262259146</v>
      </c>
      <c r="I1580">
        <v>0.5014800882261925</v>
      </c>
      <c r="J1580">
        <v>0.18007179102953949</v>
      </c>
      <c r="L1580">
        <v>2.8021422624534895</v>
      </c>
      <c r="M1580">
        <v>3.7169207135529034</v>
      </c>
      <c r="N1580">
        <v>0.83913066456119922</v>
      </c>
      <c r="P1580">
        <v>2.6345547946372183E-12</v>
      </c>
      <c r="R1580">
        <v>4.3630689631436432</v>
      </c>
      <c r="S1580">
        <v>4.3649803826438793</v>
      </c>
      <c r="T1580">
        <v>1</v>
      </c>
      <c r="U1580">
        <v>2.2377123891448218</v>
      </c>
    </row>
    <row r="1581" spans="1:21">
      <c r="A1581">
        <v>0.15878595800374151</v>
      </c>
      <c r="B1581">
        <v>-1.2114305909895569</v>
      </c>
      <c r="C1581">
        <v>0.89072533109459739</v>
      </c>
      <c r="D1581">
        <v>0</v>
      </c>
      <c r="E1581">
        <v>0</v>
      </c>
      <c r="F1581">
        <v>0.40295397037156461</v>
      </c>
      <c r="G1581">
        <v>0.70306248436263163</v>
      </c>
      <c r="H1581">
        <v>0.14338697755611224</v>
      </c>
      <c r="I1581">
        <v>0.79632973625576464</v>
      </c>
      <c r="J1581">
        <v>0.84291310281629173</v>
      </c>
      <c r="L1581">
        <v>2.8021427108462582</v>
      </c>
      <c r="M1581">
        <v>3.7169202996585122</v>
      </c>
      <c r="N1581">
        <v>0.83913011803925408</v>
      </c>
      <c r="P1581">
        <v>2.9029989362328484E-12</v>
      </c>
      <c r="R1581">
        <v>4.3630689631436432</v>
      </c>
      <c r="S1581">
        <v>4.3649803826438793</v>
      </c>
      <c r="T1581">
        <v>1</v>
      </c>
      <c r="U1581">
        <v>2.2377123891448218</v>
      </c>
    </row>
    <row r="1582" spans="1:21">
      <c r="A1582">
        <v>0.17945348346415502</v>
      </c>
      <c r="B1582">
        <v>-1.2055445165803822</v>
      </c>
      <c r="C1582">
        <v>0.9014539431719687</v>
      </c>
      <c r="D1582">
        <v>0</v>
      </c>
      <c r="E1582">
        <v>0.60551969938673766</v>
      </c>
      <c r="F1582">
        <v>0</v>
      </c>
      <c r="G1582">
        <v>0.42851789484019159</v>
      </c>
      <c r="H1582">
        <v>0.54465244310738004</v>
      </c>
      <c r="I1582">
        <v>0.127137955917631</v>
      </c>
      <c r="J1582">
        <v>0.93455663937719546</v>
      </c>
      <c r="L1582">
        <v>2.8021423551347322</v>
      </c>
      <c r="M1582">
        <v>3.7169205400459542</v>
      </c>
      <c r="N1582">
        <v>0.83913097508903023</v>
      </c>
      <c r="P1582">
        <v>2.7949516735533787E-12</v>
      </c>
      <c r="R1582">
        <v>4.3630689631436432</v>
      </c>
      <c r="S1582">
        <v>4.3649803826438793</v>
      </c>
      <c r="T1582">
        <v>1</v>
      </c>
      <c r="U1582">
        <v>2.2377123891448218</v>
      </c>
    </row>
    <row r="1583" spans="1:21">
      <c r="A1583">
        <v>0.16003810143354325</v>
      </c>
      <c r="B1583">
        <v>-1.2055158844240961</v>
      </c>
      <c r="C1583">
        <v>0.90914296262813332</v>
      </c>
      <c r="D1583">
        <v>0.19553565544438484</v>
      </c>
      <c r="E1583">
        <v>0</v>
      </c>
      <c r="F1583">
        <v>0</v>
      </c>
      <c r="G1583">
        <v>0.58426434129350935</v>
      </c>
      <c r="H1583">
        <v>0.90790445266493514</v>
      </c>
      <c r="I1583">
        <v>0.64871791859934258</v>
      </c>
      <c r="J1583">
        <v>1.7229750445538507E-2</v>
      </c>
      <c r="L1583">
        <v>2.8021418074676365</v>
      </c>
      <c r="M1583">
        <v>3.7169193027586829</v>
      </c>
      <c r="N1583">
        <v>0.83913096589039216</v>
      </c>
      <c r="P1583">
        <v>8.9355805862645534E-13</v>
      </c>
      <c r="R1583">
        <v>4.3630689631436432</v>
      </c>
      <c r="S1583">
        <v>4.3649803826438793</v>
      </c>
      <c r="T1583">
        <v>1</v>
      </c>
      <c r="U1583">
        <v>2.2377123891448218</v>
      </c>
    </row>
    <row r="1584" spans="1:21">
      <c r="A1584">
        <v>0.15877566711061578</v>
      </c>
      <c r="B1584">
        <v>-1.2121223151940355</v>
      </c>
      <c r="C1584">
        <v>0.9011865486337618</v>
      </c>
      <c r="D1584">
        <v>0.34396176608528722</v>
      </c>
      <c r="E1584">
        <v>0</v>
      </c>
      <c r="F1584">
        <v>0</v>
      </c>
      <c r="G1584">
        <v>0.46684558016670402</v>
      </c>
      <c r="H1584">
        <v>9.7050402544415243E-2</v>
      </c>
      <c r="I1584">
        <v>2.8577885057430721E-2</v>
      </c>
      <c r="J1584">
        <v>3.9231632556419815E-2</v>
      </c>
      <c r="L1584">
        <v>2.8021428680529108</v>
      </c>
      <c r="M1584">
        <v>3.7169201039249531</v>
      </c>
      <c r="N1584">
        <v>0.83913051170713415</v>
      </c>
      <c r="P1584">
        <v>3.167194723835727E-12</v>
      </c>
      <c r="R1584">
        <v>4.3630689631436432</v>
      </c>
      <c r="S1584">
        <v>4.3649803826438793</v>
      </c>
      <c r="T1584">
        <v>1</v>
      </c>
      <c r="U1584">
        <v>2.2377123891448218</v>
      </c>
    </row>
    <row r="1585" spans="1:21">
      <c r="A1585">
        <v>0.15405649687009082</v>
      </c>
      <c r="B1585">
        <v>-1.2105520600590578</v>
      </c>
      <c r="C1585">
        <v>0.89307895668751813</v>
      </c>
      <c r="D1585">
        <v>0.38076375588070877</v>
      </c>
      <c r="E1585">
        <v>0.16835046577000168</v>
      </c>
      <c r="F1585">
        <v>0.238934264275009</v>
      </c>
      <c r="G1585">
        <v>0.43766390623753987</v>
      </c>
      <c r="H1585">
        <v>0.25684756796220509</v>
      </c>
      <c r="I1585">
        <v>0.91864210712011873</v>
      </c>
      <c r="J1585">
        <v>0.23856427208962852</v>
      </c>
      <c r="L1585">
        <v>2.8021422827578766</v>
      </c>
      <c r="M1585">
        <v>3.7169207034801475</v>
      </c>
      <c r="N1585">
        <v>0.83913071500523817</v>
      </c>
      <c r="P1585">
        <v>2.6950330260825341E-12</v>
      </c>
      <c r="R1585">
        <v>4.3630689631436432</v>
      </c>
      <c r="S1585">
        <v>4.3649803826438793</v>
      </c>
      <c r="T1585">
        <v>1</v>
      </c>
      <c r="U1585">
        <v>2.2377123891448218</v>
      </c>
    </row>
    <row r="1586" spans="1:21">
      <c r="A1586">
        <v>0.16237837349482243</v>
      </c>
      <c r="B1586">
        <v>-1.2055214615461667</v>
      </c>
      <c r="C1586">
        <v>0.91355210649814711</v>
      </c>
      <c r="D1586">
        <v>0</v>
      </c>
      <c r="E1586">
        <v>0.46325443902954433</v>
      </c>
      <c r="F1586">
        <v>0</v>
      </c>
      <c r="G1586">
        <v>0.64321846758049395</v>
      </c>
      <c r="H1586">
        <v>0.83666941187866384</v>
      </c>
      <c r="I1586">
        <v>0.78870570275830887</v>
      </c>
      <c r="J1586">
        <v>2.8250601076775662E-2</v>
      </c>
      <c r="L1586">
        <v>2.8021424224788181</v>
      </c>
      <c r="M1586">
        <v>3.7169205385451702</v>
      </c>
      <c r="N1586">
        <v>0.83913100596069012</v>
      </c>
      <c r="P1586">
        <v>2.9964023375105253E-12</v>
      </c>
      <c r="R1586">
        <v>4.3630689631436432</v>
      </c>
      <c r="S1586">
        <v>4.3649803826438793</v>
      </c>
      <c r="T1586">
        <v>1</v>
      </c>
      <c r="U1586">
        <v>2.2377123891448218</v>
      </c>
    </row>
    <row r="1587" spans="1:21">
      <c r="A1587">
        <v>0.15956246481924038</v>
      </c>
      <c r="B1587">
        <v>-1.2077207543550941</v>
      </c>
      <c r="C1587">
        <v>0.90108863198492772</v>
      </c>
      <c r="D1587">
        <v>0</v>
      </c>
      <c r="E1587">
        <v>0</v>
      </c>
      <c r="F1587">
        <v>0.34140307772745881</v>
      </c>
      <c r="G1587">
        <v>0.84290422616832872</v>
      </c>
      <c r="H1587">
        <v>0.75794677203100824</v>
      </c>
      <c r="I1587">
        <v>1.0014160320312155</v>
      </c>
      <c r="J1587">
        <v>0.67433728785084657</v>
      </c>
      <c r="L1587">
        <v>2.8021422625443826</v>
      </c>
      <c r="M1587">
        <v>3.7169206811218323</v>
      </c>
      <c r="N1587">
        <v>0.83912997007148027</v>
      </c>
      <c r="P1587">
        <v>2.5300032937173147E-12</v>
      </c>
      <c r="R1587">
        <v>4.3630689631436432</v>
      </c>
      <c r="S1587">
        <v>4.3649803826438793</v>
      </c>
      <c r="T1587">
        <v>1</v>
      </c>
      <c r="U1587">
        <v>2.2377123891448218</v>
      </c>
    </row>
    <row r="1588" spans="1:21">
      <c r="A1588">
        <v>0.17090764818722026</v>
      </c>
      <c r="B1588">
        <v>-1.2026867793867644</v>
      </c>
      <c r="C1588">
        <v>0.90819278744849341</v>
      </c>
      <c r="D1588">
        <v>0</v>
      </c>
      <c r="E1588">
        <v>0.59613414420134125</v>
      </c>
      <c r="F1588">
        <v>0.64835111183007532</v>
      </c>
      <c r="G1588">
        <v>0</v>
      </c>
      <c r="H1588">
        <v>0.45157084543000292</v>
      </c>
      <c r="I1588">
        <v>0.2238651373652546</v>
      </c>
      <c r="J1588">
        <v>0.41108428951422993</v>
      </c>
      <c r="L1588">
        <v>2.8021423234762022</v>
      </c>
      <c r="M1588">
        <v>3.7169207519350924</v>
      </c>
      <c r="N1588">
        <v>0.83913074709341751</v>
      </c>
      <c r="P1588">
        <v>2.927532182839518E-12</v>
      </c>
      <c r="R1588">
        <v>4.3630689631436432</v>
      </c>
      <c r="S1588">
        <v>4.3649803826438793</v>
      </c>
      <c r="T1588">
        <v>1</v>
      </c>
      <c r="U1588">
        <v>2.2377123891448218</v>
      </c>
    </row>
    <row r="1589" spans="1:21">
      <c r="A1589">
        <v>0.15487899279636202</v>
      </c>
      <c r="B1589">
        <v>-1.21251209282271</v>
      </c>
      <c r="C1589">
        <v>0.89870406722080565</v>
      </c>
      <c r="D1589">
        <v>0.3840799597403658</v>
      </c>
      <c r="E1589">
        <v>0</v>
      </c>
      <c r="F1589">
        <v>0.332168728300614</v>
      </c>
      <c r="G1589">
        <v>0.87422062574220738</v>
      </c>
      <c r="H1589">
        <v>0.51439427415019034</v>
      </c>
      <c r="I1589">
        <v>0.77602160292570166</v>
      </c>
      <c r="J1589">
        <v>0.52397384524918922</v>
      </c>
      <c r="L1589">
        <v>2.802142381724781</v>
      </c>
      <c r="M1589">
        <v>3.7169205778439345</v>
      </c>
      <c r="N1589">
        <v>0.83912985912555615</v>
      </c>
      <c r="P1589">
        <v>2.661966341177988E-12</v>
      </c>
      <c r="R1589">
        <v>4.3630689631436432</v>
      </c>
      <c r="S1589">
        <v>4.3649803826438793</v>
      </c>
      <c r="T1589">
        <v>1</v>
      </c>
      <c r="U1589">
        <v>2.2377123891448218</v>
      </c>
    </row>
    <row r="1590" spans="1:21">
      <c r="A1590">
        <v>0.17193814144117103</v>
      </c>
      <c r="B1590">
        <v>-1.2050994173158494</v>
      </c>
      <c r="C1590">
        <v>0.90030125517247783</v>
      </c>
      <c r="D1590">
        <v>0.43473773077230454</v>
      </c>
      <c r="E1590">
        <v>0.66552981318752424</v>
      </c>
      <c r="F1590">
        <v>0.48576797003421918</v>
      </c>
      <c r="G1590">
        <v>0.43440045290502155</v>
      </c>
      <c r="H1590">
        <v>0.93036725847960888</v>
      </c>
      <c r="I1590">
        <v>0.71871735155902583</v>
      </c>
      <c r="J1590">
        <v>0.9686042845584093</v>
      </c>
      <c r="L1590">
        <v>2.8021428425395869</v>
      </c>
      <c r="M1590">
        <v>3.7169201308261939</v>
      </c>
      <c r="N1590">
        <v>0.83913066486048671</v>
      </c>
      <c r="P1590">
        <v>3.2023193394429169E-12</v>
      </c>
      <c r="R1590">
        <v>4.3630689631436432</v>
      </c>
      <c r="S1590">
        <v>4.3649803826438793</v>
      </c>
      <c r="T1590">
        <v>1</v>
      </c>
      <c r="U1590">
        <v>2.2377123891448218</v>
      </c>
    </row>
    <row r="1591" spans="1:21">
      <c r="A1591">
        <v>0.15525512538078448</v>
      </c>
      <c r="B1591">
        <v>-1.2084750234512875</v>
      </c>
      <c r="C1591">
        <v>0.89569255940539871</v>
      </c>
      <c r="D1591">
        <v>0.19451224536068251</v>
      </c>
      <c r="E1591">
        <v>0</v>
      </c>
      <c r="F1591">
        <v>0.32338822533588613</v>
      </c>
      <c r="G1591">
        <v>0.40419204959620603</v>
      </c>
      <c r="H1591">
        <v>0.33252568027436386</v>
      </c>
      <c r="I1591">
        <v>0.843940526102547</v>
      </c>
      <c r="J1591">
        <v>0.25081307987753604</v>
      </c>
      <c r="L1591">
        <v>2.8021422574840966</v>
      </c>
      <c r="M1591">
        <v>3.7169207063818845</v>
      </c>
      <c r="N1591">
        <v>0.83913003092477945</v>
      </c>
      <c r="P1591">
        <v>2.5409342737356712E-12</v>
      </c>
      <c r="R1591">
        <v>4.3630689631436432</v>
      </c>
      <c r="S1591">
        <v>4.3649803826438793</v>
      </c>
      <c r="T1591">
        <v>1</v>
      </c>
      <c r="U1591">
        <v>2.2377123891448218</v>
      </c>
    </row>
    <row r="1592" spans="1:21">
      <c r="A1592">
        <v>0.15322021848741935</v>
      </c>
      <c r="B1592">
        <v>-1.2111976569951606</v>
      </c>
      <c r="C1592">
        <v>0.9036983011456754</v>
      </c>
      <c r="D1592">
        <v>0.13762987503524485</v>
      </c>
      <c r="E1592">
        <v>0</v>
      </c>
      <c r="F1592">
        <v>0.10588796033193057</v>
      </c>
      <c r="G1592">
        <v>0.7379449938560767</v>
      </c>
      <c r="H1592">
        <v>0.3575103134229991</v>
      </c>
      <c r="I1592">
        <v>0.69155448889295057</v>
      </c>
      <c r="J1592">
        <v>4.6690981674297936E-2</v>
      </c>
      <c r="L1592">
        <v>2.8021427924599807</v>
      </c>
      <c r="M1592">
        <v>3.7169201793013102</v>
      </c>
      <c r="N1592">
        <v>0.83913027998674794</v>
      </c>
      <c r="P1592">
        <v>2.9613994439556547E-12</v>
      </c>
      <c r="R1592">
        <v>4.3630689631436432</v>
      </c>
      <c r="S1592">
        <v>4.3649803826438793</v>
      </c>
      <c r="T1592">
        <v>1</v>
      </c>
      <c r="U1592">
        <v>2.2377123891448218</v>
      </c>
    </row>
    <row r="1593" spans="1:21">
      <c r="A1593">
        <v>0.16646474937039737</v>
      </c>
      <c r="B1593">
        <v>-1.2095119222236181</v>
      </c>
      <c r="C1593">
        <v>0.8888492719714276</v>
      </c>
      <c r="D1593">
        <v>0.22316223926437581</v>
      </c>
      <c r="E1593">
        <v>0.54060033559948262</v>
      </c>
      <c r="F1593">
        <v>0.40450125851277763</v>
      </c>
      <c r="G1593">
        <v>0.39290820385826664</v>
      </c>
      <c r="H1593">
        <v>0.18495677871945063</v>
      </c>
      <c r="I1593">
        <v>0.74918551485932061</v>
      </c>
      <c r="J1593">
        <v>0.96697975524232926</v>
      </c>
      <c r="L1593">
        <v>2.8021424115054061</v>
      </c>
      <c r="M1593">
        <v>3.7169205237078344</v>
      </c>
      <c r="N1593">
        <v>0.83913102896284231</v>
      </c>
      <c r="P1593">
        <v>2.973653690798491E-12</v>
      </c>
      <c r="R1593">
        <v>4.3630689631436432</v>
      </c>
      <c r="S1593">
        <v>4.3649803826438793</v>
      </c>
      <c r="T1593">
        <v>1</v>
      </c>
      <c r="U1593">
        <v>2.2377123891448218</v>
      </c>
    </row>
    <row r="1594" spans="1:21">
      <c r="A1594">
        <v>0.16494501810592621</v>
      </c>
      <c r="B1594">
        <v>-1.2107661836453867</v>
      </c>
      <c r="C1594">
        <v>0.90219156811083079</v>
      </c>
      <c r="D1594">
        <v>0</v>
      </c>
      <c r="E1594">
        <v>6.7077627208964527E-2</v>
      </c>
      <c r="F1594">
        <v>0</v>
      </c>
      <c r="G1594">
        <v>0.67607114759459785</v>
      </c>
      <c r="H1594">
        <v>0.22036799560667358</v>
      </c>
      <c r="I1594">
        <v>0.11040793694759338</v>
      </c>
      <c r="J1594">
        <v>0.46899301212145272</v>
      </c>
      <c r="L1594">
        <v>2.8021423608095941</v>
      </c>
      <c r="M1594">
        <v>3.716920702781767</v>
      </c>
      <c r="N1594">
        <v>0.83912990304661872</v>
      </c>
      <c r="P1594">
        <v>2.8479347384476031E-12</v>
      </c>
      <c r="R1594">
        <v>4.3630689631436432</v>
      </c>
      <c r="S1594">
        <v>4.3649803826438793</v>
      </c>
      <c r="T1594">
        <v>1</v>
      </c>
      <c r="U1594">
        <v>2.2377123891448218</v>
      </c>
    </row>
    <row r="1595" spans="1:21">
      <c r="A1595">
        <v>0.17394664592232906</v>
      </c>
      <c r="B1595">
        <v>-1.2037800438014663</v>
      </c>
      <c r="C1595">
        <v>0.90000224731142942</v>
      </c>
      <c r="D1595">
        <v>0</v>
      </c>
      <c r="E1595">
        <v>0</v>
      </c>
      <c r="F1595">
        <v>0</v>
      </c>
      <c r="G1595">
        <v>0.22929626019000598</v>
      </c>
      <c r="H1595">
        <v>0.53980385783837803</v>
      </c>
      <c r="I1595">
        <v>5.7562977050669706E-3</v>
      </c>
      <c r="J1595">
        <v>0.58978951349144981</v>
      </c>
      <c r="L1595">
        <v>2.8021423116893462</v>
      </c>
      <c r="M1595">
        <v>3.7169206308104394</v>
      </c>
      <c r="N1595">
        <v>0.83913084726484466</v>
      </c>
      <c r="P1595">
        <v>2.7256288655474434E-12</v>
      </c>
      <c r="R1595">
        <v>4.3630689631436432</v>
      </c>
      <c r="S1595">
        <v>4.3649803826438793</v>
      </c>
      <c r="T1595">
        <v>1</v>
      </c>
      <c r="U1595">
        <v>2.2377123891448218</v>
      </c>
    </row>
    <row r="1596" spans="1:21">
      <c r="A1596">
        <v>0.16303875203395762</v>
      </c>
      <c r="B1596">
        <v>-1.2087873305757657</v>
      </c>
      <c r="C1596">
        <v>0.89360075925664961</v>
      </c>
      <c r="D1596">
        <v>0.31099175811385193</v>
      </c>
      <c r="E1596">
        <v>0</v>
      </c>
      <c r="F1596">
        <v>0.4469991048154599</v>
      </c>
      <c r="G1596">
        <v>0.53926649728752873</v>
      </c>
      <c r="H1596">
        <v>0.5104686532229693</v>
      </c>
      <c r="I1596">
        <v>0.59259471838580524</v>
      </c>
      <c r="J1596">
        <v>0.83858151992240537</v>
      </c>
      <c r="L1596">
        <v>2.8021422697415965</v>
      </c>
      <c r="M1596">
        <v>3.7169206943937239</v>
      </c>
      <c r="N1596">
        <v>0.83913071249779814</v>
      </c>
      <c r="P1596">
        <v>2.6438208834304092E-12</v>
      </c>
      <c r="R1596">
        <v>4.3630689631436432</v>
      </c>
      <c r="S1596">
        <v>4.3649803826438793</v>
      </c>
      <c r="T1596">
        <v>1</v>
      </c>
      <c r="U1596">
        <v>2.2377123891448218</v>
      </c>
    </row>
    <row r="1597" spans="1:21">
      <c r="A1597">
        <v>0.17006761409288682</v>
      </c>
      <c r="B1597">
        <v>-1.2122763907819325</v>
      </c>
      <c r="C1597">
        <v>0.8837298326288634</v>
      </c>
      <c r="D1597">
        <v>0.83052515228769097</v>
      </c>
      <c r="E1597">
        <v>0.56555411588335303</v>
      </c>
      <c r="F1597">
        <v>0</v>
      </c>
      <c r="G1597">
        <v>0.16520991735031748</v>
      </c>
      <c r="H1597">
        <v>4.6990630779837443E-2</v>
      </c>
      <c r="I1597">
        <v>0.13049755014727502</v>
      </c>
      <c r="J1597">
        <v>0.79373457545565063</v>
      </c>
      <c r="L1597">
        <v>2.8021423172091624</v>
      </c>
      <c r="M1597">
        <v>3.7169206522507348</v>
      </c>
      <c r="N1597">
        <v>0.83913083171003555</v>
      </c>
      <c r="P1597">
        <v>2.7678084536987317E-12</v>
      </c>
      <c r="R1597">
        <v>4.3630689631436432</v>
      </c>
      <c r="S1597">
        <v>4.3649803826438793</v>
      </c>
      <c r="T1597">
        <v>1</v>
      </c>
      <c r="U1597">
        <v>2.2377123891448218</v>
      </c>
    </row>
    <row r="1598" spans="1:21">
      <c r="A1598">
        <v>0.1580842380467378</v>
      </c>
      <c r="B1598">
        <v>-1.2118248300828816</v>
      </c>
      <c r="C1598">
        <v>0.89489936077455878</v>
      </c>
      <c r="D1598">
        <v>0.16192432375388191</v>
      </c>
      <c r="E1598">
        <v>0</v>
      </c>
      <c r="F1598">
        <v>0.560254453539483</v>
      </c>
      <c r="G1598">
        <v>0.89325706525957571</v>
      </c>
      <c r="H1598">
        <v>0.43473232091941172</v>
      </c>
      <c r="I1598">
        <v>0.84866620259661207</v>
      </c>
      <c r="J1598">
        <v>0.94570901755878145</v>
      </c>
      <c r="L1598">
        <v>2.8021425993928313</v>
      </c>
      <c r="M1598">
        <v>3.7169204036002972</v>
      </c>
      <c r="N1598">
        <v>0.83912999557017776</v>
      </c>
      <c r="P1598">
        <v>2.8008968628378533E-12</v>
      </c>
      <c r="R1598">
        <v>4.3630689631436432</v>
      </c>
      <c r="S1598">
        <v>4.3649803826438793</v>
      </c>
      <c r="T1598">
        <v>1</v>
      </c>
      <c r="U1598">
        <v>2.2377123891448218</v>
      </c>
    </row>
    <row r="1599" spans="1:21">
      <c r="A1599">
        <v>0.16135976954551021</v>
      </c>
      <c r="B1599">
        <v>-1.2044102255060292</v>
      </c>
      <c r="C1599">
        <v>0.89416745434304068</v>
      </c>
      <c r="D1599">
        <v>0</v>
      </c>
      <c r="E1599">
        <v>0</v>
      </c>
      <c r="F1599">
        <v>0.13844734997691097</v>
      </c>
      <c r="G1599">
        <v>0.16544967345437528</v>
      </c>
      <c r="H1599">
        <v>0.3953218504873387</v>
      </c>
      <c r="I1599">
        <v>0.79915479350839669</v>
      </c>
      <c r="J1599">
        <v>0.26944326897230386</v>
      </c>
      <c r="L1599">
        <v>2.8021421935013189</v>
      </c>
      <c r="M1599">
        <v>3.7169207253875585</v>
      </c>
      <c r="N1599">
        <v>0.8391303344635066</v>
      </c>
      <c r="P1599">
        <v>2.3842233740583514E-12</v>
      </c>
      <c r="R1599">
        <v>4.3630689631436432</v>
      </c>
      <c r="S1599">
        <v>4.3649803826438793</v>
      </c>
      <c r="T1599">
        <v>1</v>
      </c>
      <c r="U1599">
        <v>2.2377123891448218</v>
      </c>
    </row>
    <row r="1600" spans="1:21">
      <c r="A1600">
        <v>0.16315233115851524</v>
      </c>
      <c r="B1600">
        <v>-1.2096612181687019</v>
      </c>
      <c r="C1600">
        <v>0.88617068856849546</v>
      </c>
      <c r="D1600">
        <v>0.53152354096744092</v>
      </c>
      <c r="E1600">
        <v>0</v>
      </c>
      <c r="F1600">
        <v>4.0187610552171855E-2</v>
      </c>
      <c r="G1600">
        <v>0.51902875121293135</v>
      </c>
      <c r="H1600">
        <v>0.52640747127898513</v>
      </c>
      <c r="I1600">
        <v>0.73331759624939796</v>
      </c>
      <c r="J1600">
        <v>0.79853583050077315</v>
      </c>
      <c r="L1600">
        <v>2.8021427891442441</v>
      </c>
      <c r="M1600">
        <v>3.7169201799662202</v>
      </c>
      <c r="N1600">
        <v>0.83913098203455905</v>
      </c>
      <c r="P1600">
        <v>3.4229049051052512E-12</v>
      </c>
      <c r="R1600">
        <v>4.3630689631436432</v>
      </c>
      <c r="S1600">
        <v>4.3649803826438793</v>
      </c>
      <c r="T1600">
        <v>1</v>
      </c>
      <c r="U1600">
        <v>2.2377123891448218</v>
      </c>
    </row>
    <row r="1601" spans="1:21">
      <c r="A1601">
        <v>3.0105404817357066E-2</v>
      </c>
      <c r="B1601">
        <v>-1.206082740665547</v>
      </c>
      <c r="C1601">
        <v>0.82455495066346673</v>
      </c>
      <c r="D1601">
        <v>0</v>
      </c>
      <c r="E1601">
        <v>0</v>
      </c>
      <c r="F1601">
        <v>0.41648523543956012</v>
      </c>
      <c r="G1601">
        <v>0.72880604987077524</v>
      </c>
      <c r="H1601">
        <v>0.74922414103639401</v>
      </c>
      <c r="I1601">
        <v>0.56945766188926272</v>
      </c>
      <c r="J1601">
        <v>3.5243680165622134E-2</v>
      </c>
      <c r="L1601">
        <v>2.8021423207384326</v>
      </c>
      <c r="M1601">
        <v>2.3648063652212965</v>
      </c>
      <c r="N1601">
        <v>2.2176391892589287</v>
      </c>
      <c r="P1601">
        <v>2.4298105376267497E-12</v>
      </c>
      <c r="R1601">
        <v>4.1530484770606648</v>
      </c>
      <c r="S1601">
        <v>4.155062022143496</v>
      </c>
      <c r="T1601">
        <v>1</v>
      </c>
      <c r="U1601">
        <v>2.3843550787233352</v>
      </c>
    </row>
    <row r="1602" spans="1:21">
      <c r="A1602">
        <v>2.8315647187518941E-2</v>
      </c>
      <c r="B1602">
        <v>-1.209115640217421</v>
      </c>
      <c r="C1602">
        <v>0.8086964698745932</v>
      </c>
      <c r="D1602">
        <v>0</v>
      </c>
      <c r="E1602">
        <v>0</v>
      </c>
      <c r="F1602">
        <v>0.52740383158097803</v>
      </c>
      <c r="G1602">
        <v>0.48678804537770093</v>
      </c>
      <c r="H1602">
        <v>8.8322373478826571E-2</v>
      </c>
      <c r="I1602">
        <v>0.44561763135792171</v>
      </c>
      <c r="J1602">
        <v>0.3101685697651837</v>
      </c>
      <c r="L1602">
        <v>2.8021423508539844</v>
      </c>
      <c r="M1602">
        <v>2.3648064270266924</v>
      </c>
      <c r="N1602">
        <v>2.2176390896524749</v>
      </c>
      <c r="P1602">
        <v>2.5212028408541094E-12</v>
      </c>
      <c r="R1602">
        <v>4.1530484770606648</v>
      </c>
      <c r="S1602">
        <v>4.155062022143496</v>
      </c>
      <c r="T1602">
        <v>1</v>
      </c>
      <c r="U1602">
        <v>2.3843550787233352</v>
      </c>
    </row>
    <row r="1603" spans="1:21">
      <c r="A1603">
        <v>2.5410401600671172E-2</v>
      </c>
      <c r="B1603">
        <v>-1.205044181124282</v>
      </c>
      <c r="C1603">
        <v>0.81419081011987837</v>
      </c>
      <c r="D1603">
        <v>0.11233786942135009</v>
      </c>
      <c r="E1603">
        <v>0.51498318317220249</v>
      </c>
      <c r="F1603">
        <v>0.25952677179726774</v>
      </c>
      <c r="G1603">
        <v>0.50094854370249553</v>
      </c>
      <c r="H1603">
        <v>0.68301191172927689</v>
      </c>
      <c r="I1603">
        <v>0.8585914014963768</v>
      </c>
      <c r="J1603">
        <v>0.39255773635923608</v>
      </c>
      <c r="L1603">
        <v>2.802142318443273</v>
      </c>
      <c r="M1603">
        <v>2.3648061955035864</v>
      </c>
      <c r="N1603">
        <v>2.2176393876304497</v>
      </c>
      <c r="P1603">
        <v>2.3888306347591152E-12</v>
      </c>
      <c r="R1603">
        <v>4.1530484770606648</v>
      </c>
      <c r="S1603">
        <v>4.155062022143496</v>
      </c>
      <c r="T1603">
        <v>1</v>
      </c>
      <c r="U1603">
        <v>2.3843550787233352</v>
      </c>
    </row>
    <row r="1604" spans="1:21">
      <c r="A1604">
        <v>2.1128346814804411E-2</v>
      </c>
      <c r="B1604">
        <v>-1.205577471402369</v>
      </c>
      <c r="C1604">
        <v>0.79626887801558177</v>
      </c>
      <c r="D1604">
        <v>0</v>
      </c>
      <c r="E1604">
        <v>0</v>
      </c>
      <c r="F1604">
        <v>0</v>
      </c>
      <c r="G1604">
        <v>0.46812774224754378</v>
      </c>
      <c r="H1604">
        <v>0.45154878605699172</v>
      </c>
      <c r="I1604">
        <v>0.65012696367901446</v>
      </c>
      <c r="J1604">
        <v>0.98099420639475965</v>
      </c>
      <c r="L1604">
        <v>2.8021423224295039</v>
      </c>
      <c r="M1604">
        <v>2.3648061738347628</v>
      </c>
      <c r="N1604">
        <v>2.2176394023559234</v>
      </c>
      <c r="P1604">
        <v>2.3871336549963278E-12</v>
      </c>
      <c r="R1604">
        <v>4.1530484770606648</v>
      </c>
      <c r="S1604">
        <v>4.155062022143496</v>
      </c>
      <c r="T1604">
        <v>1</v>
      </c>
      <c r="U1604">
        <v>2.3843550787233352</v>
      </c>
    </row>
    <row r="1605" spans="1:21">
      <c r="A1605">
        <v>2.6714713792552643E-2</v>
      </c>
      <c r="B1605">
        <v>-1.2135533659990563</v>
      </c>
      <c r="C1605">
        <v>0.80369634163184522</v>
      </c>
      <c r="D1605">
        <v>0.32971680284970323</v>
      </c>
      <c r="E1605">
        <v>0</v>
      </c>
      <c r="F1605">
        <v>0.83105438298416145</v>
      </c>
      <c r="G1605">
        <v>0.92634322853298667</v>
      </c>
      <c r="H1605">
        <v>0.27080147803001098</v>
      </c>
      <c r="I1605">
        <v>0.67368812061154892</v>
      </c>
      <c r="J1605">
        <v>0.90749802236226107</v>
      </c>
      <c r="L1605">
        <v>2.8021423441997655</v>
      </c>
      <c r="M1605">
        <v>2.364806397278898</v>
      </c>
      <c r="N1605">
        <v>2.2176391454241076</v>
      </c>
      <c r="P1605">
        <v>2.4992131407087681E-12</v>
      </c>
      <c r="R1605">
        <v>4.1530484770606648</v>
      </c>
      <c r="S1605">
        <v>4.155062022143496</v>
      </c>
      <c r="T1605">
        <v>1</v>
      </c>
      <c r="U1605">
        <v>2.3843550787233352</v>
      </c>
    </row>
    <row r="1606" spans="1:21">
      <c r="A1606">
        <v>2.4009814757280638E-2</v>
      </c>
      <c r="B1606">
        <v>-1.2040639739181707</v>
      </c>
      <c r="C1606">
        <v>0.82308793735689834</v>
      </c>
      <c r="D1606">
        <v>0</v>
      </c>
      <c r="E1606">
        <v>0.4155453402033456</v>
      </c>
      <c r="F1606">
        <v>0</v>
      </c>
      <c r="G1606">
        <v>0.50242382916580408</v>
      </c>
      <c r="H1606">
        <v>0.74569428904463542</v>
      </c>
      <c r="I1606">
        <v>0.38673777125064324</v>
      </c>
      <c r="J1606">
        <v>9.9534681062913619E-2</v>
      </c>
      <c r="L1606">
        <v>2.8021423739018654</v>
      </c>
      <c r="M1606">
        <v>2.3648064310313806</v>
      </c>
      <c r="N1606">
        <v>2.2176391373644524</v>
      </c>
      <c r="P1606">
        <v>2.626944784726184E-12</v>
      </c>
      <c r="R1606">
        <v>4.1530484770606648</v>
      </c>
      <c r="S1606">
        <v>4.155062022143496</v>
      </c>
      <c r="T1606">
        <v>1</v>
      </c>
      <c r="U1606">
        <v>2.3843550787233352</v>
      </c>
    </row>
    <row r="1607" spans="1:21">
      <c r="A1607">
        <v>2.5615523032891666E-2</v>
      </c>
      <c r="B1607">
        <v>-1.2065487294602344</v>
      </c>
      <c r="C1607">
        <v>0.80056500883612358</v>
      </c>
      <c r="D1607">
        <v>0</v>
      </c>
      <c r="E1607">
        <v>0</v>
      </c>
      <c r="F1607">
        <v>0.29179778831530268</v>
      </c>
      <c r="G1607">
        <v>0.15310153367526336</v>
      </c>
      <c r="H1607">
        <v>8.7242189498195292E-3</v>
      </c>
      <c r="I1607">
        <v>0.3450716646750539</v>
      </c>
      <c r="J1607">
        <v>0.41496811233080511</v>
      </c>
      <c r="L1607">
        <v>2.8021423636418308</v>
      </c>
      <c r="M1607">
        <v>2.3648060594174587</v>
      </c>
      <c r="N1607">
        <v>2.217639493568945</v>
      </c>
      <c r="P1607">
        <v>2.4707766974767342E-12</v>
      </c>
      <c r="R1607">
        <v>4.1530484770606648</v>
      </c>
      <c r="S1607">
        <v>4.155062022143496</v>
      </c>
      <c r="T1607">
        <v>1</v>
      </c>
      <c r="U1607">
        <v>2.3843550787233352</v>
      </c>
    </row>
    <row r="1608" spans="1:21">
      <c r="A1608">
        <v>3.2894970934371721E-2</v>
      </c>
      <c r="B1608">
        <v>-1.2133910820864513</v>
      </c>
      <c r="C1608">
        <v>0.81420978084243245</v>
      </c>
      <c r="D1608">
        <v>0</v>
      </c>
      <c r="E1608">
        <v>0</v>
      </c>
      <c r="F1608">
        <v>0.73971781217740373</v>
      </c>
      <c r="G1608">
        <v>0.87502566358208411</v>
      </c>
      <c r="H1608">
        <v>1.6188349669434086E-2</v>
      </c>
      <c r="I1608">
        <v>0.7199637287977626</v>
      </c>
      <c r="J1608">
        <v>0.10921608965998804</v>
      </c>
      <c r="L1608">
        <v>2.8021423241534094</v>
      </c>
      <c r="M1608">
        <v>2.3648063407068438</v>
      </c>
      <c r="N1608">
        <v>2.2176392469560176</v>
      </c>
      <c r="P1608">
        <v>2.457480787084787E-12</v>
      </c>
      <c r="R1608">
        <v>4.1530484770606648</v>
      </c>
      <c r="S1608">
        <v>4.155062022143496</v>
      </c>
      <c r="T1608">
        <v>1</v>
      </c>
      <c r="U1608">
        <v>2.3843550787233352</v>
      </c>
    </row>
    <row r="1609" spans="1:21">
      <c r="A1609">
        <v>2.7182919345673531E-2</v>
      </c>
      <c r="B1609">
        <v>-1.2098668789305451</v>
      </c>
      <c r="C1609">
        <v>0.81557955274744987</v>
      </c>
      <c r="D1609">
        <v>2.1913178190895867E-2</v>
      </c>
      <c r="E1609">
        <v>7.0144206774043994E-3</v>
      </c>
      <c r="F1609">
        <v>0</v>
      </c>
      <c r="G1609">
        <v>0.86471660506350412</v>
      </c>
      <c r="H1609">
        <v>0.44444185856774765</v>
      </c>
      <c r="I1609">
        <v>0.5107564271467987</v>
      </c>
      <c r="J1609">
        <v>0.14040503683458422</v>
      </c>
      <c r="L1609">
        <v>2.8021423212217131</v>
      </c>
      <c r="M1609">
        <v>2.3648063055836173</v>
      </c>
      <c r="N1609">
        <v>2.2176392945228756</v>
      </c>
      <c r="P1609">
        <v>2.4469898828636137E-12</v>
      </c>
      <c r="R1609">
        <v>4.1530484770606648</v>
      </c>
      <c r="S1609">
        <v>4.155062022143496</v>
      </c>
      <c r="T1609">
        <v>1</v>
      </c>
      <c r="U1609">
        <v>2.3843550787233352</v>
      </c>
    </row>
    <row r="1610" spans="1:21">
      <c r="A1610">
        <v>2.0409094063594476E-2</v>
      </c>
      <c r="B1610">
        <v>-1.2037585989197253</v>
      </c>
      <c r="C1610">
        <v>0.82634912612665667</v>
      </c>
      <c r="D1610">
        <v>0</v>
      </c>
      <c r="E1610">
        <v>0.44689819452906121</v>
      </c>
      <c r="F1610">
        <v>8.0589908561474646E-2</v>
      </c>
      <c r="G1610">
        <v>0.59621096527810602</v>
      </c>
      <c r="H1610">
        <v>0.89653839793818191</v>
      </c>
      <c r="I1610">
        <v>0.13432540896478062</v>
      </c>
      <c r="J1610">
        <v>0.37584271520251389</v>
      </c>
      <c r="L1610">
        <v>2.8021424062190863</v>
      </c>
      <c r="M1610">
        <v>2.3648064106003237</v>
      </c>
      <c r="N1610">
        <v>2.217639194303203</v>
      </c>
      <c r="P1610">
        <v>2.7223758056180051E-12</v>
      </c>
      <c r="R1610">
        <v>4.1530484770606648</v>
      </c>
      <c r="S1610">
        <v>4.155062022143496</v>
      </c>
      <c r="T1610">
        <v>1</v>
      </c>
      <c r="U1610">
        <v>2.3843550787233352</v>
      </c>
    </row>
    <row r="1611" spans="1:21">
      <c r="A1611">
        <v>2.1031302996583269E-2</v>
      </c>
      <c r="B1611">
        <v>-1.2069741611122862</v>
      </c>
      <c r="C1611">
        <v>0.82083501599869035</v>
      </c>
      <c r="D1611">
        <v>0</v>
      </c>
      <c r="E1611">
        <v>0.5724644156053903</v>
      </c>
      <c r="F1611">
        <v>0</v>
      </c>
      <c r="G1611">
        <v>0.97086604793077036</v>
      </c>
      <c r="H1611">
        <v>0.90396143987826605</v>
      </c>
      <c r="I1611">
        <v>0.71591962118496122</v>
      </c>
      <c r="J1611">
        <v>0.61794458130365382</v>
      </c>
      <c r="L1611">
        <v>2.802142298296471</v>
      </c>
      <c r="M1611">
        <v>2.3648062635135081</v>
      </c>
      <c r="N1611">
        <v>2.2176393049372298</v>
      </c>
      <c r="P1611">
        <v>2.3375667230436292E-12</v>
      </c>
      <c r="R1611">
        <v>4.1530484770606648</v>
      </c>
      <c r="S1611">
        <v>4.155062022143496</v>
      </c>
      <c r="T1611">
        <v>1</v>
      </c>
      <c r="U1611">
        <v>2.3843550787233352</v>
      </c>
    </row>
    <row r="1612" spans="1:21">
      <c r="A1612">
        <v>2.2736160686037774E-2</v>
      </c>
      <c r="B1612">
        <v>-1.2148304348182795</v>
      </c>
      <c r="C1612">
        <v>0.79022323955011253</v>
      </c>
      <c r="D1612">
        <v>0.55507600079747654</v>
      </c>
      <c r="E1612">
        <v>0</v>
      </c>
      <c r="F1612">
        <v>0</v>
      </c>
      <c r="G1612">
        <v>0.69611071284587045</v>
      </c>
      <c r="H1612">
        <v>4.5348073101921611E-3</v>
      </c>
      <c r="I1612">
        <v>0.45190349260173535</v>
      </c>
      <c r="J1612">
        <v>0.75903104055065096</v>
      </c>
      <c r="L1612">
        <v>2.802142347858342</v>
      </c>
      <c r="M1612">
        <v>2.3648062556000786</v>
      </c>
      <c r="N1612">
        <v>2.2176393635557474</v>
      </c>
      <c r="P1612">
        <v>2.5164503342179691E-12</v>
      </c>
      <c r="R1612">
        <v>4.1530484770606648</v>
      </c>
      <c r="S1612">
        <v>4.155062022143496</v>
      </c>
      <c r="T1612">
        <v>1</v>
      </c>
      <c r="U1612">
        <v>2.3843550787233352</v>
      </c>
    </row>
    <row r="1613" spans="1:21">
      <c r="A1613">
        <v>2.5722207813870808E-2</v>
      </c>
      <c r="B1613">
        <v>-1.2028052260183284</v>
      </c>
      <c r="C1613">
        <v>0.80908930753377806</v>
      </c>
      <c r="D1613">
        <v>0</v>
      </c>
      <c r="E1613">
        <v>4.0994443389760576E-2</v>
      </c>
      <c r="F1613">
        <v>0</v>
      </c>
      <c r="G1613">
        <v>0</v>
      </c>
      <c r="H1613">
        <v>0.30868252125454498</v>
      </c>
      <c r="I1613">
        <v>0.20166468692343092</v>
      </c>
      <c r="J1613">
        <v>3.2665957542826175E-2</v>
      </c>
      <c r="L1613">
        <v>2.8021422860143668</v>
      </c>
      <c r="M1613">
        <v>2.3648061382399987</v>
      </c>
      <c r="N1613">
        <v>2.2176393372592007</v>
      </c>
      <c r="P1613">
        <v>2.1615970374137146E-12</v>
      </c>
      <c r="R1613">
        <v>4.1530484770606648</v>
      </c>
      <c r="S1613">
        <v>4.155062022143496</v>
      </c>
      <c r="T1613">
        <v>1</v>
      </c>
      <c r="U1613">
        <v>2.3843550787233352</v>
      </c>
    </row>
    <row r="1614" spans="1:21">
      <c r="A1614">
        <v>2.6787964678056726E-2</v>
      </c>
      <c r="B1614">
        <v>-1.2043651189162892</v>
      </c>
      <c r="C1614">
        <v>0.81218200079765268</v>
      </c>
      <c r="D1614">
        <v>0.34580875625910956</v>
      </c>
      <c r="E1614">
        <v>0.61472614805484072</v>
      </c>
      <c r="F1614">
        <v>0</v>
      </c>
      <c r="G1614">
        <v>0.27511867955943325</v>
      </c>
      <c r="H1614">
        <v>0.68522075813227301</v>
      </c>
      <c r="I1614">
        <v>0.91157206480825981</v>
      </c>
      <c r="J1614">
        <v>3.6700788940964464E-2</v>
      </c>
      <c r="L1614">
        <v>2.8021423538004488</v>
      </c>
      <c r="M1614">
        <v>2.3648060786866663</v>
      </c>
      <c r="N1614">
        <v>2.2176394769463252</v>
      </c>
      <c r="P1614">
        <v>2.4446181096190699E-12</v>
      </c>
      <c r="R1614">
        <v>4.1530484770606648</v>
      </c>
      <c r="S1614">
        <v>4.155062022143496</v>
      </c>
      <c r="T1614">
        <v>1</v>
      </c>
      <c r="U1614">
        <v>2.3843550787233352</v>
      </c>
    </row>
    <row r="1615" spans="1:21">
      <c r="A1615">
        <v>2.5597280412367921E-2</v>
      </c>
      <c r="B1615">
        <v>-1.2119307071807202</v>
      </c>
      <c r="C1615">
        <v>0.8050160223071271</v>
      </c>
      <c r="D1615">
        <v>0.72134668365144394</v>
      </c>
      <c r="E1615">
        <v>0.39302856039467421</v>
      </c>
      <c r="F1615">
        <v>0</v>
      </c>
      <c r="G1615">
        <v>0.54364282733638791</v>
      </c>
      <c r="H1615">
        <v>0.345866505904668</v>
      </c>
      <c r="I1615">
        <v>0.53295783153379261</v>
      </c>
      <c r="J1615">
        <v>0.15282102437242426</v>
      </c>
      <c r="L1615">
        <v>2.8021423994570598</v>
      </c>
      <c r="M1615">
        <v>2.3648063861355606</v>
      </c>
      <c r="N1615">
        <v>2.2176391733671976</v>
      </c>
      <c r="P1615">
        <v>2.6366917654341627E-12</v>
      </c>
      <c r="R1615">
        <v>4.1530484770606648</v>
      </c>
      <c r="S1615">
        <v>4.155062022143496</v>
      </c>
      <c r="T1615">
        <v>1</v>
      </c>
      <c r="U1615">
        <v>2.3843550787233352</v>
      </c>
    </row>
    <row r="1616" spans="1:21">
      <c r="A1616">
        <v>2.8734211636435428E-2</v>
      </c>
      <c r="B1616">
        <v>-1.2053237351866806</v>
      </c>
      <c r="C1616">
        <v>0.81596540397415185</v>
      </c>
      <c r="D1616">
        <v>0.20512750167799884</v>
      </c>
      <c r="E1616">
        <v>0.17998444258822507</v>
      </c>
      <c r="F1616">
        <v>0</v>
      </c>
      <c r="G1616">
        <v>0.64526262918184296</v>
      </c>
      <c r="H1616">
        <v>0.87490408846371137</v>
      </c>
      <c r="I1616">
        <v>0.9253233029735366</v>
      </c>
      <c r="J1616">
        <v>8.5512960721350034E-2</v>
      </c>
      <c r="L1616">
        <v>2.8021423958285183</v>
      </c>
      <c r="M1616">
        <v>2.3648060579229329</v>
      </c>
      <c r="N1616">
        <v>2.2176394875132686</v>
      </c>
      <c r="P1616">
        <v>2.5353947570580269E-12</v>
      </c>
      <c r="R1616">
        <v>4.1530484770606648</v>
      </c>
      <c r="S1616">
        <v>4.155062022143496</v>
      </c>
      <c r="T1616">
        <v>1</v>
      </c>
      <c r="U1616">
        <v>2.3843550787233352</v>
      </c>
    </row>
    <row r="1617" spans="1:21">
      <c r="A1617">
        <v>2.4750308800201907E-2</v>
      </c>
      <c r="B1617">
        <v>-1.2063028748633384</v>
      </c>
      <c r="C1617">
        <v>0.82066315510545296</v>
      </c>
      <c r="D1617">
        <v>0</v>
      </c>
      <c r="E1617">
        <v>0</v>
      </c>
      <c r="F1617">
        <v>0</v>
      </c>
      <c r="G1617">
        <v>0.61091408650284762</v>
      </c>
      <c r="H1617">
        <v>0.59179916698839297</v>
      </c>
      <c r="I1617">
        <v>9.6325271907165402E-2</v>
      </c>
      <c r="J1617">
        <v>0.10218754444745527</v>
      </c>
      <c r="L1617">
        <v>2.8021422940741898</v>
      </c>
      <c r="M1617">
        <v>2.3648063941696469</v>
      </c>
      <c r="N1617">
        <v>2.2176390674984194</v>
      </c>
      <c r="P1617">
        <v>2.309700134395589E-12</v>
      </c>
      <c r="R1617">
        <v>4.1530484770606648</v>
      </c>
      <c r="S1617">
        <v>4.155062022143496</v>
      </c>
      <c r="T1617">
        <v>1</v>
      </c>
      <c r="U1617">
        <v>2.3843550787233352</v>
      </c>
    </row>
    <row r="1618" spans="1:21">
      <c r="A1618">
        <v>1.8018988352484538E-2</v>
      </c>
      <c r="B1618">
        <v>-1.2016450668154632</v>
      </c>
      <c r="C1618">
        <v>0.80866985694933335</v>
      </c>
      <c r="D1618">
        <v>0.220905354400797</v>
      </c>
      <c r="E1618">
        <v>0.74744612026464297</v>
      </c>
      <c r="F1618">
        <v>0.11303779186506882</v>
      </c>
      <c r="G1618">
        <v>1.7254961819975486E-2</v>
      </c>
      <c r="H1618">
        <v>0.63442733401820917</v>
      </c>
      <c r="I1618">
        <v>0.35052355155728693</v>
      </c>
      <c r="J1618">
        <v>0.67300361749083315</v>
      </c>
      <c r="L1618">
        <v>2.8021423756142378</v>
      </c>
      <c r="M1618">
        <v>2.3648059939110961</v>
      </c>
      <c r="N1618">
        <v>2.2176394898661664</v>
      </c>
      <c r="P1618">
        <v>2.4152928716947688E-12</v>
      </c>
      <c r="R1618">
        <v>4.1530484770606648</v>
      </c>
      <c r="S1618">
        <v>4.155062022143496</v>
      </c>
      <c r="T1618">
        <v>1</v>
      </c>
      <c r="U1618">
        <v>2.3843550787233352</v>
      </c>
    </row>
    <row r="1619" spans="1:21">
      <c r="A1619">
        <v>2.5615494766502815E-2</v>
      </c>
      <c r="B1619">
        <v>-1.2043607500121529</v>
      </c>
      <c r="C1619">
        <v>0.8009309189174787</v>
      </c>
      <c r="D1619">
        <v>0</v>
      </c>
      <c r="E1619">
        <v>0</v>
      </c>
      <c r="F1619">
        <v>0</v>
      </c>
      <c r="G1619">
        <v>0.43434568825176129</v>
      </c>
      <c r="H1619">
        <v>0.56650719947732353</v>
      </c>
      <c r="I1619">
        <v>0.91225004033308776</v>
      </c>
      <c r="J1619">
        <v>0.59836396768394839</v>
      </c>
      <c r="L1619">
        <v>2.8021424558712829</v>
      </c>
      <c r="M1619">
        <v>2.3648063785897566</v>
      </c>
      <c r="N1619">
        <v>2.2176390335991778</v>
      </c>
      <c r="P1619">
        <v>2.63675971209026E-12</v>
      </c>
      <c r="R1619">
        <v>4.1530484770606648</v>
      </c>
      <c r="S1619">
        <v>4.155062022143496</v>
      </c>
      <c r="T1619">
        <v>1</v>
      </c>
      <c r="U1619">
        <v>2.3843550787233352</v>
      </c>
    </row>
    <row r="1620" spans="1:21">
      <c r="A1620">
        <v>2.1751502680931196E-2</v>
      </c>
      <c r="B1620">
        <v>-1.2031991397604096</v>
      </c>
      <c r="C1620">
        <v>0.81729611480593145</v>
      </c>
      <c r="D1620">
        <v>0</v>
      </c>
      <c r="E1620">
        <v>0.19811010904983276</v>
      </c>
      <c r="F1620">
        <v>0.3362590430501447</v>
      </c>
      <c r="G1620">
        <v>0.36240120220497457</v>
      </c>
      <c r="H1620">
        <v>0.68143001740703035</v>
      </c>
      <c r="I1620">
        <v>0.12533521847343318</v>
      </c>
      <c r="J1620">
        <v>0.54840491506247246</v>
      </c>
      <c r="L1620">
        <v>2.8021423158344039</v>
      </c>
      <c r="M1620">
        <v>2.3648063037150737</v>
      </c>
      <c r="N1620">
        <v>2.2176392840994907</v>
      </c>
      <c r="P1620">
        <v>2.4183596785656848E-12</v>
      </c>
      <c r="R1620">
        <v>4.1530484770606648</v>
      </c>
      <c r="S1620">
        <v>4.155062022143496</v>
      </c>
      <c r="T1620">
        <v>1</v>
      </c>
      <c r="U1620">
        <v>2.3843550787233352</v>
      </c>
    </row>
    <row r="1621" spans="1:21">
      <c r="A1621">
        <v>2.2332124502682824E-2</v>
      </c>
      <c r="B1621">
        <v>-1.2119749562833166</v>
      </c>
      <c r="C1621">
        <v>0.79921394178073646</v>
      </c>
      <c r="D1621">
        <v>0.64636238513774302</v>
      </c>
      <c r="E1621">
        <v>0</v>
      </c>
      <c r="F1621">
        <v>0.34956075946418042</v>
      </c>
      <c r="G1621">
        <v>0.75835578166448936</v>
      </c>
      <c r="H1621">
        <v>0.50095934721871282</v>
      </c>
      <c r="I1621">
        <v>0.41077638489814433</v>
      </c>
      <c r="J1621">
        <v>0.94586208565138119</v>
      </c>
      <c r="L1621">
        <v>2.8021423473947102</v>
      </c>
      <c r="M1621">
        <v>2.3648061276899934</v>
      </c>
      <c r="N1621">
        <v>2.217639439906002</v>
      </c>
      <c r="P1621">
        <v>2.4357521015394752E-12</v>
      </c>
      <c r="R1621">
        <v>4.1530484770606648</v>
      </c>
      <c r="S1621">
        <v>4.155062022143496</v>
      </c>
      <c r="T1621">
        <v>1</v>
      </c>
      <c r="U1621">
        <v>2.3843550787233352</v>
      </c>
    </row>
    <row r="1622" spans="1:21">
      <c r="A1622">
        <v>2.5270411159012875E-2</v>
      </c>
      <c r="B1622">
        <v>-1.2041962437211358</v>
      </c>
      <c r="C1622">
        <v>0.79894062232489482</v>
      </c>
      <c r="D1622">
        <v>0.7722495236430057</v>
      </c>
      <c r="E1622">
        <v>0.22500114498807294</v>
      </c>
      <c r="F1622">
        <v>0.27468426985090261</v>
      </c>
      <c r="G1622">
        <v>0.27261251189415447</v>
      </c>
      <c r="H1622">
        <v>0.97800647550089059</v>
      </c>
      <c r="I1622">
        <v>0.97041302716707889</v>
      </c>
      <c r="J1622">
        <v>0.71527559788866013</v>
      </c>
      <c r="L1622">
        <v>2.8021423307872655</v>
      </c>
      <c r="M1622">
        <v>2.3648061488291909</v>
      </c>
      <c r="N1622">
        <v>2.2176394333063114</v>
      </c>
      <c r="P1622">
        <v>2.4170060856109067E-12</v>
      </c>
      <c r="R1622">
        <v>4.1530484770606648</v>
      </c>
      <c r="S1622">
        <v>4.155062022143496</v>
      </c>
      <c r="T1622">
        <v>1</v>
      </c>
      <c r="U1622">
        <v>2.3843550787233352</v>
      </c>
    </row>
    <row r="1623" spans="1:21">
      <c r="A1623">
        <v>2.9337541588933428E-2</v>
      </c>
      <c r="B1623">
        <v>-1.2079034762190759</v>
      </c>
      <c r="C1623">
        <v>0.82054037142795688</v>
      </c>
      <c r="D1623">
        <v>0.52970098776371155</v>
      </c>
      <c r="E1623">
        <v>0</v>
      </c>
      <c r="F1623">
        <v>0.4978675778898306</v>
      </c>
      <c r="G1623">
        <v>0.63744185150090871</v>
      </c>
      <c r="H1623">
        <v>0.81896034884541669</v>
      </c>
      <c r="I1623">
        <v>0.37141516872595037</v>
      </c>
      <c r="J1623">
        <v>7.1770251370131891E-2</v>
      </c>
      <c r="L1623">
        <v>2.8021425043921089</v>
      </c>
      <c r="M1623">
        <v>2.3648063790526046</v>
      </c>
      <c r="N1623">
        <v>2.2176390418615761</v>
      </c>
      <c r="P1623">
        <v>2.769168568633484E-12</v>
      </c>
      <c r="R1623">
        <v>4.1530484770606648</v>
      </c>
      <c r="S1623">
        <v>4.155062022143496</v>
      </c>
      <c r="T1623">
        <v>1</v>
      </c>
      <c r="U1623">
        <v>2.3843550787233352</v>
      </c>
    </row>
    <row r="1624" spans="1:21">
      <c r="A1624">
        <v>2.0775934042100857E-2</v>
      </c>
      <c r="B1624">
        <v>-1.2051203002476276</v>
      </c>
      <c r="C1624">
        <v>0.81570716982535485</v>
      </c>
      <c r="D1624">
        <v>0</v>
      </c>
      <c r="E1624">
        <v>0.65263048393442236</v>
      </c>
      <c r="F1624">
        <v>0</v>
      </c>
      <c r="G1624">
        <v>0.23125043232820625</v>
      </c>
      <c r="H1624">
        <v>0.31288004637945627</v>
      </c>
      <c r="I1624">
        <v>0.16729063431361335</v>
      </c>
      <c r="J1624">
        <v>0.21825646948444855</v>
      </c>
      <c r="L1624">
        <v>2.8021423092186422</v>
      </c>
      <c r="M1624">
        <v>2.3648062749620307</v>
      </c>
      <c r="N1624">
        <v>2.2176393146173536</v>
      </c>
      <c r="P1624">
        <v>2.3936776872041131E-12</v>
      </c>
      <c r="R1624">
        <v>4.1530484770606648</v>
      </c>
      <c r="S1624">
        <v>4.155062022143496</v>
      </c>
      <c r="T1624">
        <v>1</v>
      </c>
      <c r="U1624">
        <v>2.3843550787233352</v>
      </c>
    </row>
    <row r="1625" spans="1:21">
      <c r="A1625">
        <v>2.0233742311734651E-2</v>
      </c>
      <c r="B1625">
        <v>-1.2040871826689756</v>
      </c>
      <c r="C1625">
        <v>0.80163592184169741</v>
      </c>
      <c r="D1625">
        <v>0</v>
      </c>
      <c r="E1625">
        <v>0.28948190917641475</v>
      </c>
      <c r="F1625">
        <v>0</v>
      </c>
      <c r="G1625">
        <v>0.27513534649589544</v>
      </c>
      <c r="H1625">
        <v>0.43698858582733519</v>
      </c>
      <c r="I1625">
        <v>0.51004100003718633</v>
      </c>
      <c r="J1625">
        <v>0.77911904054620362</v>
      </c>
      <c r="L1625">
        <v>2.802142434892644</v>
      </c>
      <c r="M1625">
        <v>2.3648064514500216</v>
      </c>
      <c r="N1625">
        <v>2.2176390748604136</v>
      </c>
      <c r="P1625">
        <v>2.7598400805943082E-12</v>
      </c>
      <c r="R1625">
        <v>4.1530484770606648</v>
      </c>
      <c r="S1625">
        <v>4.155062022143496</v>
      </c>
      <c r="T1625">
        <v>1</v>
      </c>
      <c r="U1625">
        <v>2.3843550787233352</v>
      </c>
    </row>
    <row r="1626" spans="1:21">
      <c r="A1626">
        <v>2.4740370413073563E-2</v>
      </c>
      <c r="B1626">
        <v>-1.2071840988524551</v>
      </c>
      <c r="C1626">
        <v>0.80952937979204631</v>
      </c>
      <c r="D1626">
        <v>0</v>
      </c>
      <c r="E1626">
        <v>1.3544344123575044E-2</v>
      </c>
      <c r="F1626">
        <v>1.0385291006796646E-2</v>
      </c>
      <c r="G1626">
        <v>0.71916494655265373</v>
      </c>
      <c r="H1626">
        <v>0.56979353599847471</v>
      </c>
      <c r="I1626">
        <v>0.61541062304539462</v>
      </c>
      <c r="J1626">
        <v>0.49915407954864349</v>
      </c>
      <c r="L1626">
        <v>2.8021423327439798</v>
      </c>
      <c r="M1626">
        <v>2.3648063978789606</v>
      </c>
      <c r="N1626">
        <v>2.2176391656241243</v>
      </c>
      <c r="P1626">
        <v>2.4942620245891815E-12</v>
      </c>
      <c r="R1626">
        <v>4.1530484770606648</v>
      </c>
      <c r="S1626">
        <v>4.155062022143496</v>
      </c>
      <c r="T1626">
        <v>1</v>
      </c>
      <c r="U1626">
        <v>2.3843550787233352</v>
      </c>
    </row>
    <row r="1627" spans="1:21">
      <c r="A1627">
        <v>2.7442037924078878E-2</v>
      </c>
      <c r="B1627">
        <v>-1.2035959409906221</v>
      </c>
      <c r="C1627">
        <v>0.81753679905798982</v>
      </c>
      <c r="D1627">
        <v>0.6060455189459506</v>
      </c>
      <c r="E1627">
        <v>0.31078247254694841</v>
      </c>
      <c r="F1627">
        <v>0.36035181679108452</v>
      </c>
      <c r="G1627">
        <v>0.2059008514020601</v>
      </c>
      <c r="H1627">
        <v>0.90946576310047034</v>
      </c>
      <c r="I1627">
        <v>0.45358398311513182</v>
      </c>
      <c r="J1627">
        <v>3.9760809228709552E-2</v>
      </c>
      <c r="L1627">
        <v>2.8021423673389871</v>
      </c>
      <c r="M1627">
        <v>2.3648059936106494</v>
      </c>
      <c r="N1627">
        <v>2.2176394598690083</v>
      </c>
      <c r="P1627">
        <v>2.3462276017705615E-12</v>
      </c>
      <c r="R1627">
        <v>4.1530484770606648</v>
      </c>
      <c r="S1627">
        <v>4.155062022143496</v>
      </c>
      <c r="T1627">
        <v>1</v>
      </c>
      <c r="U1627">
        <v>2.3843550787233352</v>
      </c>
    </row>
    <row r="1628" spans="1:21">
      <c r="A1628">
        <v>2.609261034293069E-2</v>
      </c>
      <c r="B1628">
        <v>-1.2118714035747844</v>
      </c>
      <c r="C1628">
        <v>0.79551076143734678</v>
      </c>
      <c r="D1628">
        <v>0.26033923717752266</v>
      </c>
      <c r="E1628">
        <v>0</v>
      </c>
      <c r="F1628">
        <v>0</v>
      </c>
      <c r="G1628">
        <v>0.82548120351533238</v>
      </c>
      <c r="H1628">
        <v>0.28300868085081082</v>
      </c>
      <c r="I1628">
        <v>0.97598801320958439</v>
      </c>
      <c r="J1628">
        <v>0.67318504121532818</v>
      </c>
      <c r="L1628">
        <v>2.8021425379710769</v>
      </c>
      <c r="M1628">
        <v>2.3648061994781204</v>
      </c>
      <c r="N1628">
        <v>2.2176392093422983</v>
      </c>
      <c r="P1628">
        <v>2.7092547203464841E-12</v>
      </c>
      <c r="R1628">
        <v>4.1530484770606648</v>
      </c>
      <c r="S1628">
        <v>4.155062022143496</v>
      </c>
      <c r="T1628">
        <v>1</v>
      </c>
      <c r="U1628">
        <v>2.3843550787233352</v>
      </c>
    </row>
    <row r="1629" spans="1:21">
      <c r="A1629">
        <v>2.318851974191816E-2</v>
      </c>
      <c r="B1629">
        <v>-1.2003330049608789</v>
      </c>
      <c r="C1629">
        <v>0.80272640485644919</v>
      </c>
      <c r="D1629">
        <v>0</v>
      </c>
      <c r="E1629">
        <v>0</v>
      </c>
      <c r="F1629">
        <v>0</v>
      </c>
      <c r="G1629">
        <v>0.29228839253466543</v>
      </c>
      <c r="H1629">
        <v>0.8935209397038042</v>
      </c>
      <c r="I1629">
        <v>0.82946928897058758</v>
      </c>
      <c r="J1629">
        <v>0.78811817462619616</v>
      </c>
      <c r="L1629">
        <v>2.8021423332611075</v>
      </c>
      <c r="M1629">
        <v>2.3648061693737121</v>
      </c>
      <c r="N1629">
        <v>2.2176394218111191</v>
      </c>
      <c r="P1629">
        <v>2.4346619838754214E-12</v>
      </c>
      <c r="R1629">
        <v>4.1530484770606648</v>
      </c>
      <c r="S1629">
        <v>4.155062022143496</v>
      </c>
      <c r="T1629">
        <v>1</v>
      </c>
      <c r="U1629">
        <v>2.3843550787233352</v>
      </c>
    </row>
    <row r="1630" spans="1:21">
      <c r="A1630">
        <v>2.3927096577977362E-2</v>
      </c>
      <c r="B1630">
        <v>-1.2097317350491095</v>
      </c>
      <c r="C1630">
        <v>0.8051179344324898</v>
      </c>
      <c r="D1630">
        <v>0</v>
      </c>
      <c r="E1630">
        <v>0.29751610890194941</v>
      </c>
      <c r="F1630">
        <v>0.27686037256430701</v>
      </c>
      <c r="G1630">
        <v>0.50577944366073035</v>
      </c>
      <c r="H1630">
        <v>3.0970999116677108E-2</v>
      </c>
      <c r="I1630">
        <v>0.45896073715094426</v>
      </c>
      <c r="J1630">
        <v>0.51549023774989899</v>
      </c>
      <c r="L1630">
        <v>2.8021424532260735</v>
      </c>
      <c r="M1630">
        <v>2.3648060990480615</v>
      </c>
      <c r="N1630">
        <v>2.2176393731907575</v>
      </c>
      <c r="P1630">
        <v>2.5528531321648197E-12</v>
      </c>
      <c r="R1630">
        <v>4.1530484770606648</v>
      </c>
      <c r="S1630">
        <v>4.155062022143496</v>
      </c>
      <c r="T1630">
        <v>1</v>
      </c>
      <c r="U1630">
        <v>2.3843550787233352</v>
      </c>
    </row>
    <row r="1631" spans="1:21">
      <c r="A1631">
        <v>-9.6265567214690761E-2</v>
      </c>
      <c r="B1631">
        <v>-1.2015159622676213</v>
      </c>
      <c r="C1631">
        <v>0.57557895104563173</v>
      </c>
      <c r="D1631">
        <v>6.5390914124440801E-3</v>
      </c>
      <c r="E1631">
        <v>0</v>
      </c>
      <c r="F1631">
        <v>0</v>
      </c>
      <c r="G1631">
        <v>0.73504267476812291</v>
      </c>
      <c r="H1631">
        <v>0.67035522827298433</v>
      </c>
      <c r="I1631">
        <v>0.35288592050131912</v>
      </c>
      <c r="J1631">
        <v>5.2898387548304969E-2</v>
      </c>
      <c r="L1631">
        <v>2.8021409592565147</v>
      </c>
      <c r="M1631">
        <v>2.3648059262959849</v>
      </c>
      <c r="N1631">
        <v>0.83912974262434048</v>
      </c>
      <c r="P1631">
        <v>6.0022430542634955E-13</v>
      </c>
      <c r="R1631">
        <v>17.166377579770497</v>
      </c>
      <c r="S1631">
        <v>17.378066776989606</v>
      </c>
      <c r="T1631">
        <v>1</v>
      </c>
      <c r="U1631">
        <v>2.3865406241812805</v>
      </c>
    </row>
    <row r="1632" spans="1:21">
      <c r="A1632">
        <v>-0.10838050605015848</v>
      </c>
      <c r="B1632">
        <v>-1.1987796538483302</v>
      </c>
      <c r="C1632">
        <v>0.54275934975965556</v>
      </c>
      <c r="D1632">
        <v>0.16174050936876089</v>
      </c>
      <c r="E1632">
        <v>0.14178687265382425</v>
      </c>
      <c r="F1632">
        <v>0.55239328816092159</v>
      </c>
      <c r="G1632">
        <v>0.21927034284597249</v>
      </c>
      <c r="H1632">
        <v>0.46465753710726942</v>
      </c>
      <c r="I1632">
        <v>0.35426501879908695</v>
      </c>
      <c r="J1632">
        <v>0.49698977378645481</v>
      </c>
      <c r="L1632">
        <v>2.8021409799637733</v>
      </c>
      <c r="M1632">
        <v>2.3648059791078055</v>
      </c>
      <c r="N1632">
        <v>0.83912984001685376</v>
      </c>
      <c r="P1632">
        <v>5.4762686629573369E-13</v>
      </c>
      <c r="R1632">
        <v>17.166377579770497</v>
      </c>
      <c r="S1632">
        <v>17.378066776989606</v>
      </c>
      <c r="T1632">
        <v>1</v>
      </c>
      <c r="U1632">
        <v>2.3865406241812805</v>
      </c>
    </row>
    <row r="1633" spans="1:21">
      <c r="A1633">
        <v>-0.11641220734224736</v>
      </c>
      <c r="B1633">
        <v>-1.200697627819775</v>
      </c>
      <c r="C1633">
        <v>0.54023120415659265</v>
      </c>
      <c r="D1633">
        <v>0</v>
      </c>
      <c r="E1633">
        <v>0.16078016665405118</v>
      </c>
      <c r="F1633">
        <v>0.4761607333078901</v>
      </c>
      <c r="G1633">
        <v>0.9533675520364252</v>
      </c>
      <c r="H1633">
        <v>0.90904957546827225</v>
      </c>
      <c r="I1633">
        <v>0.58886853761503155</v>
      </c>
      <c r="J1633">
        <v>0.8333388213043047</v>
      </c>
      <c r="L1633">
        <v>2.802140976181537</v>
      </c>
      <c r="M1633">
        <v>2.3648060166895175</v>
      </c>
      <c r="N1633">
        <v>0.83912981566960576</v>
      </c>
      <c r="P1633">
        <v>6.143172511924081E-13</v>
      </c>
      <c r="R1633">
        <v>17.166377579770497</v>
      </c>
      <c r="S1633">
        <v>17.378066776989606</v>
      </c>
      <c r="T1633">
        <v>1</v>
      </c>
      <c r="U1633">
        <v>2.3865406241812805</v>
      </c>
    </row>
    <row r="1634" spans="1:21">
      <c r="A1634">
        <v>-0.12554936784106938</v>
      </c>
      <c r="B1634">
        <v>-1.195997621615265</v>
      </c>
      <c r="C1634">
        <v>0.5184964233702074</v>
      </c>
      <c r="D1634">
        <v>0.14792094315706139</v>
      </c>
      <c r="E1634">
        <v>0</v>
      </c>
      <c r="F1634">
        <v>0.32636331727568052</v>
      </c>
      <c r="G1634">
        <v>0.41731233138390339</v>
      </c>
      <c r="H1634">
        <v>0.93669008499977802</v>
      </c>
      <c r="I1634">
        <v>0.27797625977848484</v>
      </c>
      <c r="J1634">
        <v>0.61637021987605634</v>
      </c>
      <c r="L1634">
        <v>2.8021409712743743</v>
      </c>
      <c r="M1634">
        <v>2.3648058514777714</v>
      </c>
      <c r="N1634">
        <v>0.83912970690976496</v>
      </c>
      <c r="P1634">
        <v>5.6763827340585606E-13</v>
      </c>
      <c r="R1634">
        <v>17.166377579770497</v>
      </c>
      <c r="S1634">
        <v>17.378066776989606</v>
      </c>
      <c r="T1634">
        <v>1</v>
      </c>
      <c r="U1634">
        <v>2.3865406241812805</v>
      </c>
    </row>
    <row r="1635" spans="1:21">
      <c r="A1635">
        <v>-0.10969394440245284</v>
      </c>
      <c r="B1635">
        <v>-1.1942153569523581</v>
      </c>
      <c r="C1635">
        <v>0.53761285248046053</v>
      </c>
      <c r="D1635">
        <v>8.5294982594207966E-2</v>
      </c>
      <c r="E1635">
        <v>0</v>
      </c>
      <c r="F1635">
        <v>4.994338029007625E-2</v>
      </c>
      <c r="G1635">
        <v>0.10809870762285308</v>
      </c>
      <c r="H1635">
        <v>0.80764373943786305</v>
      </c>
      <c r="I1635">
        <v>0.60626544779394331</v>
      </c>
      <c r="J1635">
        <v>0.24256734537150268</v>
      </c>
      <c r="L1635">
        <v>2.8021409895622029</v>
      </c>
      <c r="M1635">
        <v>2.3648058009377833</v>
      </c>
      <c r="N1635">
        <v>0.83912964178383198</v>
      </c>
      <c r="P1635">
        <v>6.0130539704210932E-13</v>
      </c>
      <c r="R1635">
        <v>17.166377579770497</v>
      </c>
      <c r="S1635">
        <v>17.378066776989606</v>
      </c>
      <c r="T1635">
        <v>1</v>
      </c>
      <c r="U1635">
        <v>2.3865406241812805</v>
      </c>
    </row>
    <row r="1636" spans="1:21">
      <c r="A1636">
        <v>-0.10869780911279328</v>
      </c>
      <c r="B1636">
        <v>-1.2017739692911302</v>
      </c>
      <c r="C1636">
        <v>0.5324740977852247</v>
      </c>
      <c r="D1636">
        <v>0.30665755680297474</v>
      </c>
      <c r="E1636">
        <v>0</v>
      </c>
      <c r="F1636">
        <v>0.26711058458729992</v>
      </c>
      <c r="G1636">
        <v>7.0736468363197358E-2</v>
      </c>
      <c r="H1636">
        <v>3.1206483454628738E-2</v>
      </c>
      <c r="I1636">
        <v>0.12841497473137384</v>
      </c>
      <c r="J1636">
        <v>0.46652026623576481</v>
      </c>
      <c r="L1636">
        <v>2.8021409911777617</v>
      </c>
      <c r="M1636">
        <v>2.3648058057016663</v>
      </c>
      <c r="N1636">
        <v>0.83912968230801077</v>
      </c>
      <c r="P1636">
        <v>5.5284310425823721E-13</v>
      </c>
      <c r="R1636">
        <v>17.166377579770497</v>
      </c>
      <c r="S1636">
        <v>17.378066776989606</v>
      </c>
      <c r="T1636">
        <v>1</v>
      </c>
      <c r="U1636">
        <v>2.3865406241812805</v>
      </c>
    </row>
    <row r="1637" spans="1:21">
      <c r="A1637">
        <v>-0.1283481423790202</v>
      </c>
      <c r="B1637">
        <v>-1.2006916404428962</v>
      </c>
      <c r="C1637">
        <v>0.51280221383832802</v>
      </c>
      <c r="D1637">
        <v>0.48369693521124879</v>
      </c>
      <c r="E1637">
        <v>0</v>
      </c>
      <c r="F1637">
        <v>0</v>
      </c>
      <c r="G1637">
        <v>0.73843683252010184</v>
      </c>
      <c r="H1637">
        <v>0.96625528347652434</v>
      </c>
      <c r="I1637">
        <v>0.25108881118632825</v>
      </c>
      <c r="J1637">
        <v>0.71483938527707769</v>
      </c>
      <c r="L1637">
        <v>2.8021409807847149</v>
      </c>
      <c r="M1637">
        <v>2.3648060338691157</v>
      </c>
      <c r="N1637">
        <v>0.8391298784250022</v>
      </c>
      <c r="P1637">
        <v>5.7639173008968403E-13</v>
      </c>
      <c r="R1637">
        <v>17.166377579770497</v>
      </c>
      <c r="S1637">
        <v>17.378066776989606</v>
      </c>
      <c r="T1637">
        <v>1</v>
      </c>
      <c r="U1637">
        <v>2.3865406241812805</v>
      </c>
    </row>
    <row r="1638" spans="1:21">
      <c r="A1638">
        <v>-0.12571614675985976</v>
      </c>
      <c r="B1638">
        <v>-1.1955190403564853</v>
      </c>
      <c r="C1638">
        <v>0.49708908259877504</v>
      </c>
      <c r="D1638">
        <v>5.8284806105551874E-2</v>
      </c>
      <c r="E1638">
        <v>0</v>
      </c>
      <c r="F1638">
        <v>0.54408946326357877</v>
      </c>
      <c r="G1638">
        <v>2.701551548200639E-2</v>
      </c>
      <c r="H1638">
        <v>0.44137960169275814</v>
      </c>
      <c r="I1638">
        <v>0.65087691975494544</v>
      </c>
      <c r="J1638">
        <v>1.0787109635498993</v>
      </c>
      <c r="L1638">
        <v>2.8021410583328548</v>
      </c>
      <c r="M1638">
        <v>2.3648056417956806</v>
      </c>
      <c r="N1638">
        <v>0.83912951472580011</v>
      </c>
      <c r="P1638">
        <v>6.6951453212196573E-13</v>
      </c>
      <c r="R1638">
        <v>17.166377579770497</v>
      </c>
      <c r="S1638">
        <v>17.378066776989606</v>
      </c>
      <c r="T1638">
        <v>1</v>
      </c>
      <c r="U1638">
        <v>2.3865406241812805</v>
      </c>
    </row>
    <row r="1639" spans="1:21">
      <c r="A1639">
        <v>-0.13093186126947265</v>
      </c>
      <c r="B1639">
        <v>-1.1956298679245385</v>
      </c>
      <c r="C1639">
        <v>0.49882508883534193</v>
      </c>
      <c r="D1639">
        <v>9.0799592579077659E-2</v>
      </c>
      <c r="E1639">
        <v>0</v>
      </c>
      <c r="F1639">
        <v>0</v>
      </c>
      <c r="G1639">
        <v>0.24446081425655428</v>
      </c>
      <c r="H1639">
        <v>0.69728093209521047</v>
      </c>
      <c r="I1639">
        <v>0.41946988342228686</v>
      </c>
      <c r="J1639">
        <v>0.66107519568994955</v>
      </c>
      <c r="L1639">
        <v>2.8021409817655392</v>
      </c>
      <c r="M1639">
        <v>2.3648058438140489</v>
      </c>
      <c r="N1639">
        <v>0.83912968403834853</v>
      </c>
      <c r="P1639">
        <v>5.8427562258979634E-13</v>
      </c>
      <c r="R1639">
        <v>17.166377579770497</v>
      </c>
      <c r="S1639">
        <v>17.378066776989606</v>
      </c>
      <c r="T1639">
        <v>1</v>
      </c>
      <c r="U1639">
        <v>2.3865406241812805</v>
      </c>
    </row>
    <row r="1640" spans="1:21">
      <c r="A1640">
        <v>-0.12197367383242917</v>
      </c>
      <c r="B1640">
        <v>-1.1953705855027226</v>
      </c>
      <c r="C1640">
        <v>0.51143286525646225</v>
      </c>
      <c r="D1640">
        <v>0.25249145268881568</v>
      </c>
      <c r="E1640">
        <v>0.47527196530015925</v>
      </c>
      <c r="F1640">
        <v>0</v>
      </c>
      <c r="G1640">
        <v>0.14024604838033122</v>
      </c>
      <c r="H1640">
        <v>0.76397140188669277</v>
      </c>
      <c r="I1640">
        <v>0.99142412657163792</v>
      </c>
      <c r="J1640">
        <v>0.54494619222539153</v>
      </c>
      <c r="L1640">
        <v>2.8021409863645328</v>
      </c>
      <c r="M1640">
        <v>2.3648060059495624</v>
      </c>
      <c r="N1640">
        <v>0.83912984304468685</v>
      </c>
      <c r="P1640">
        <v>5.7217324021468482E-13</v>
      </c>
      <c r="R1640">
        <v>17.166377579770497</v>
      </c>
      <c r="S1640">
        <v>17.378066776989606</v>
      </c>
      <c r="T1640">
        <v>1</v>
      </c>
      <c r="U1640">
        <v>2.3865406241812805</v>
      </c>
    </row>
    <row r="1641" spans="1:21">
      <c r="A1641">
        <v>-9.1132178051206769E-2</v>
      </c>
      <c r="B1641">
        <v>-1.2067051428523872</v>
      </c>
      <c r="C1641">
        <v>0.56645818935349379</v>
      </c>
      <c r="D1641">
        <v>0.44174430997423508</v>
      </c>
      <c r="E1641">
        <v>0.60575583897214824</v>
      </c>
      <c r="F1641">
        <v>0.23552745783022314</v>
      </c>
      <c r="G1641">
        <v>0.49836811562001737</v>
      </c>
      <c r="H1641">
        <v>9.7748911473609174E-2</v>
      </c>
      <c r="I1641">
        <v>0.90089391220428094</v>
      </c>
      <c r="J1641">
        <v>0.43455153615959013</v>
      </c>
      <c r="L1641">
        <v>2.8021409732040032</v>
      </c>
      <c r="M1641">
        <v>2.3648058641989458</v>
      </c>
      <c r="N1641">
        <v>0.83912970647976315</v>
      </c>
      <c r="P1641">
        <v>5.7806755562614767E-13</v>
      </c>
      <c r="R1641">
        <v>17.166377579770497</v>
      </c>
      <c r="S1641">
        <v>17.378066776989606</v>
      </c>
      <c r="T1641">
        <v>1</v>
      </c>
      <c r="U1641">
        <v>2.3865406241812805</v>
      </c>
    </row>
    <row r="1642" spans="1:21">
      <c r="A1642">
        <v>-8.7325502415701667E-2</v>
      </c>
      <c r="B1642">
        <v>-1.204323196029891</v>
      </c>
      <c r="C1642">
        <v>0.56944350778649055</v>
      </c>
      <c r="D1642">
        <v>0.31490703517521818</v>
      </c>
      <c r="E1642">
        <v>0</v>
      </c>
      <c r="F1642">
        <v>0</v>
      </c>
      <c r="G1642">
        <v>0.45134244752958497</v>
      </c>
      <c r="H1642">
        <v>0.23637139108814645</v>
      </c>
      <c r="I1642">
        <v>0.70983814415397251</v>
      </c>
      <c r="J1642">
        <v>0.33636272212553514</v>
      </c>
      <c r="L1642">
        <v>2.8021409666851875</v>
      </c>
      <c r="M1642">
        <v>2.3648059486701754</v>
      </c>
      <c r="N1642">
        <v>0.83912975521909838</v>
      </c>
      <c r="P1642">
        <v>6.0558314231914993E-13</v>
      </c>
      <c r="R1642">
        <v>17.166377579770497</v>
      </c>
      <c r="S1642">
        <v>17.378066776989606</v>
      </c>
      <c r="T1642">
        <v>1</v>
      </c>
      <c r="U1642">
        <v>2.3865406241812805</v>
      </c>
    </row>
    <row r="1643" spans="1:21">
      <c r="A1643">
        <v>-0.11206959185717259</v>
      </c>
      <c r="B1643">
        <v>-1.196244477062242</v>
      </c>
      <c r="C1643">
        <v>0.53951706996668636</v>
      </c>
      <c r="D1643">
        <v>0</v>
      </c>
      <c r="E1643">
        <v>0</v>
      </c>
      <c r="F1643">
        <v>0</v>
      </c>
      <c r="G1643">
        <v>0.27698130517173053</v>
      </c>
      <c r="H1643">
        <v>0.69734167798085278</v>
      </c>
      <c r="I1643">
        <v>0.36076952109415339</v>
      </c>
      <c r="J1643">
        <v>0.18138392005059323</v>
      </c>
      <c r="L1643">
        <v>2.8021412143726465</v>
      </c>
      <c r="M1643">
        <v>2.3648054243413772</v>
      </c>
      <c r="N1643">
        <v>0.83913023908625828</v>
      </c>
      <c r="P1643">
        <v>3.8793474751787376E-15</v>
      </c>
      <c r="R1643">
        <v>17.166377579770497</v>
      </c>
      <c r="S1643">
        <v>17.378066776989606</v>
      </c>
      <c r="T1643">
        <v>1</v>
      </c>
      <c r="U1643">
        <v>2.3865406241812805</v>
      </c>
    </row>
    <row r="1644" spans="1:21">
      <c r="A1644">
        <v>-9.5480974387265688E-2</v>
      </c>
      <c r="B1644">
        <v>-1.2035040824769838</v>
      </c>
      <c r="C1644">
        <v>0.56225728797437258</v>
      </c>
      <c r="D1644">
        <v>0</v>
      </c>
      <c r="E1644">
        <v>0</v>
      </c>
      <c r="F1644">
        <v>0.2933803208466611</v>
      </c>
      <c r="G1644">
        <v>0.67015423333246915</v>
      </c>
      <c r="H1644">
        <v>0.32100438614364118</v>
      </c>
      <c r="I1644">
        <v>0.67911269279628139</v>
      </c>
      <c r="J1644">
        <v>0.61137755600339372</v>
      </c>
      <c r="L1644">
        <v>2.8021409803221351</v>
      </c>
      <c r="M1644">
        <v>2.3648058352502281</v>
      </c>
      <c r="N1644">
        <v>0.83912967260817095</v>
      </c>
      <c r="P1644">
        <v>5.9205208256362691E-13</v>
      </c>
      <c r="R1644">
        <v>17.166377579770497</v>
      </c>
      <c r="S1644">
        <v>17.378066776989606</v>
      </c>
      <c r="T1644">
        <v>1</v>
      </c>
      <c r="U1644">
        <v>2.3865406241812805</v>
      </c>
    </row>
    <row r="1645" spans="1:21">
      <c r="A1645">
        <v>-0.1024861503786595</v>
      </c>
      <c r="B1645">
        <v>-1.1974195654210253</v>
      </c>
      <c r="C1645">
        <v>0.5415593627841494</v>
      </c>
      <c r="D1645">
        <v>0</v>
      </c>
      <c r="E1645">
        <v>0</v>
      </c>
      <c r="F1645">
        <v>0</v>
      </c>
      <c r="G1645">
        <v>0</v>
      </c>
      <c r="H1645">
        <v>0.25795313925885727</v>
      </c>
      <c r="I1645">
        <v>0.60752913953564469</v>
      </c>
      <c r="J1645">
        <v>0.25588197081777764</v>
      </c>
      <c r="L1645">
        <v>2.8021412066740394</v>
      </c>
      <c r="M1645">
        <v>2.3648054356675221</v>
      </c>
      <c r="N1645">
        <v>0.8391302259681872</v>
      </c>
      <c r="P1645">
        <v>5.0999341409369294E-15</v>
      </c>
      <c r="R1645">
        <v>17.166377579770497</v>
      </c>
      <c r="S1645">
        <v>17.378066776989606</v>
      </c>
      <c r="T1645">
        <v>1</v>
      </c>
      <c r="U1645">
        <v>2.3865406241812805</v>
      </c>
    </row>
    <row r="1646" spans="1:21">
      <c r="A1646">
        <v>-0.14880923246133965</v>
      </c>
      <c r="B1646">
        <v>-1.1995736118082894</v>
      </c>
      <c r="C1646">
        <v>0.47298599879987951</v>
      </c>
      <c r="D1646">
        <v>0</v>
      </c>
      <c r="E1646">
        <v>0.31407398826695992</v>
      </c>
      <c r="F1646">
        <v>0</v>
      </c>
      <c r="G1646">
        <v>0.59461054147229708</v>
      </c>
      <c r="H1646">
        <v>0.48571700123661626</v>
      </c>
      <c r="I1646">
        <v>0.32799623664046629</v>
      </c>
      <c r="J1646">
        <v>1.0049880765663166</v>
      </c>
      <c r="L1646">
        <v>2.8021427842221285</v>
      </c>
      <c r="M1646">
        <v>2.364805507312119</v>
      </c>
      <c r="N1646">
        <v>0.83912933120669253</v>
      </c>
      <c r="P1646">
        <v>3.4769823416710091E-12</v>
      </c>
      <c r="R1646">
        <v>17.166377579770497</v>
      </c>
      <c r="S1646">
        <v>17.378066776989606</v>
      </c>
      <c r="T1646">
        <v>1</v>
      </c>
      <c r="U1646">
        <v>2.3865406241812805</v>
      </c>
    </row>
    <row r="1647" spans="1:21">
      <c r="A1647">
        <v>-0.10476092299909086</v>
      </c>
      <c r="B1647">
        <v>-1.196257781026399</v>
      </c>
      <c r="C1647">
        <v>0.53752101763495719</v>
      </c>
      <c r="D1647">
        <v>0.33795802904137279</v>
      </c>
      <c r="E1647">
        <v>0</v>
      </c>
      <c r="F1647">
        <v>0.739855482585837</v>
      </c>
      <c r="G1647">
        <v>0</v>
      </c>
      <c r="H1647">
        <v>0.63379585339403299</v>
      </c>
      <c r="I1647">
        <v>0.68834258757326372</v>
      </c>
      <c r="J1647">
        <v>0.7618049366423022</v>
      </c>
      <c r="L1647">
        <v>2.8021409949337563</v>
      </c>
      <c r="M1647">
        <v>2.3648057884617875</v>
      </c>
      <c r="N1647">
        <v>0.83912968613247452</v>
      </c>
      <c r="P1647">
        <v>5.3419965002326575E-13</v>
      </c>
      <c r="R1647">
        <v>17.166377579770497</v>
      </c>
      <c r="S1647">
        <v>17.378066776989606</v>
      </c>
      <c r="T1647">
        <v>1</v>
      </c>
      <c r="U1647">
        <v>2.3865406241812805</v>
      </c>
    </row>
    <row r="1648" spans="1:21">
      <c r="A1648">
        <v>-0.12070008378929711</v>
      </c>
      <c r="B1648">
        <v>-1.1975844926362977</v>
      </c>
      <c r="C1648">
        <v>0.5082462834210274</v>
      </c>
      <c r="D1648">
        <v>3.3110825331348341E-2</v>
      </c>
      <c r="E1648">
        <v>0</v>
      </c>
      <c r="F1648">
        <v>0.10374110199028734</v>
      </c>
      <c r="G1648">
        <v>1.8114709760353242E-2</v>
      </c>
      <c r="H1648">
        <v>0.20075781597765816</v>
      </c>
      <c r="I1648">
        <v>0.41760933284695528</v>
      </c>
      <c r="J1648">
        <v>0.62995913480288379</v>
      </c>
      <c r="L1648">
        <v>2.8021409921594431</v>
      </c>
      <c r="M1648">
        <v>2.3648060010787559</v>
      </c>
      <c r="N1648">
        <v>0.83912987066134725</v>
      </c>
      <c r="P1648">
        <v>5.4008875955112431E-13</v>
      </c>
      <c r="R1648">
        <v>17.166377579770497</v>
      </c>
      <c r="S1648">
        <v>17.378066776989606</v>
      </c>
      <c r="T1648">
        <v>1</v>
      </c>
      <c r="U1648">
        <v>2.3865406241812805</v>
      </c>
    </row>
    <row r="1649" spans="1:21">
      <c r="A1649">
        <v>-0.11122516078427162</v>
      </c>
      <c r="B1649">
        <v>-1.1984187717254098</v>
      </c>
      <c r="C1649">
        <v>0.55273742794053249</v>
      </c>
      <c r="D1649">
        <v>0</v>
      </c>
      <c r="E1649">
        <v>6.0033377952759655E-2</v>
      </c>
      <c r="F1649">
        <v>0</v>
      </c>
      <c r="G1649">
        <v>0.60760458099391179</v>
      </c>
      <c r="H1649">
        <v>0.83782723711948004</v>
      </c>
      <c r="I1649">
        <v>0.18863843470183117</v>
      </c>
      <c r="J1649">
        <v>7.0717515807133063E-2</v>
      </c>
      <c r="L1649">
        <v>2.8021409703276201</v>
      </c>
      <c r="M1649">
        <v>2.3648060129730717</v>
      </c>
      <c r="N1649">
        <v>0.83912979965032786</v>
      </c>
      <c r="P1649">
        <v>6.2816662551883017E-13</v>
      </c>
      <c r="R1649">
        <v>17.166377579770497</v>
      </c>
      <c r="S1649">
        <v>17.378066776989606</v>
      </c>
      <c r="T1649">
        <v>1</v>
      </c>
      <c r="U1649">
        <v>2.3865406241812805</v>
      </c>
    </row>
    <row r="1650" spans="1:21">
      <c r="A1650">
        <v>-0.10306829665657537</v>
      </c>
      <c r="B1650">
        <v>-1.2044141545467468</v>
      </c>
      <c r="C1650">
        <v>0.54853023823107105</v>
      </c>
      <c r="D1650">
        <v>0</v>
      </c>
      <c r="E1650">
        <v>0.19064937143756253</v>
      </c>
      <c r="F1650">
        <v>0.26347737565922524</v>
      </c>
      <c r="G1650">
        <v>0.58522580713695727</v>
      </c>
      <c r="H1650">
        <v>9.0186722926840782E-2</v>
      </c>
      <c r="I1650">
        <v>0.56613359046896594</v>
      </c>
      <c r="J1650">
        <v>0.62451162617083755</v>
      </c>
      <c r="L1650">
        <v>2.802140980928701</v>
      </c>
      <c r="M1650">
        <v>2.3648059089896321</v>
      </c>
      <c r="N1650">
        <v>0.83912977603799166</v>
      </c>
      <c r="P1650">
        <v>5.3816745178381626E-13</v>
      </c>
      <c r="R1650">
        <v>17.166377579770497</v>
      </c>
      <c r="S1650">
        <v>17.378066776989606</v>
      </c>
      <c r="T1650">
        <v>1</v>
      </c>
      <c r="U1650">
        <v>2.3865406241812805</v>
      </c>
    </row>
    <row r="1651" spans="1:21">
      <c r="A1651">
        <v>-0.12417050109787035</v>
      </c>
      <c r="B1651">
        <v>-1.1965946706032196</v>
      </c>
      <c r="C1651">
        <v>0.52337827404057247</v>
      </c>
      <c r="D1651">
        <v>0</v>
      </c>
      <c r="E1651">
        <v>0.68473161688452322</v>
      </c>
      <c r="F1651">
        <v>0</v>
      </c>
      <c r="G1651">
        <v>0.4887113583383878</v>
      </c>
      <c r="H1651">
        <v>0.84758488763558004</v>
      </c>
      <c r="I1651">
        <v>0.86515753518708238</v>
      </c>
      <c r="J1651">
        <v>0.37379442556234882</v>
      </c>
      <c r="L1651">
        <v>2.8021409910966266</v>
      </c>
      <c r="M1651">
        <v>2.364806094851351</v>
      </c>
      <c r="N1651">
        <v>0.83912985899034798</v>
      </c>
      <c r="P1651">
        <v>6.6555282949082649E-13</v>
      </c>
      <c r="R1651">
        <v>17.166377579770497</v>
      </c>
      <c r="S1651">
        <v>17.378066776989606</v>
      </c>
      <c r="T1651">
        <v>1</v>
      </c>
      <c r="U1651">
        <v>2.3865406241812805</v>
      </c>
    </row>
    <row r="1652" spans="1:21">
      <c r="A1652">
        <v>-0.14860110309334593</v>
      </c>
      <c r="B1652">
        <v>-1.1952502999677996</v>
      </c>
      <c r="C1652">
        <v>0.47788626265461659</v>
      </c>
      <c r="D1652">
        <v>0</v>
      </c>
      <c r="E1652">
        <v>0.40338551510289999</v>
      </c>
      <c r="F1652">
        <v>0</v>
      </c>
      <c r="G1652">
        <v>0.23257838788341473</v>
      </c>
      <c r="H1652">
        <v>0.61811755801285229</v>
      </c>
      <c r="I1652">
        <v>0.16060637418316395</v>
      </c>
      <c r="J1652">
        <v>0.57927645433419772</v>
      </c>
      <c r="L1652">
        <v>2.8021409784273148</v>
      </c>
      <c r="M1652">
        <v>2.3648058451637204</v>
      </c>
      <c r="N1652">
        <v>0.83912966419954704</v>
      </c>
      <c r="P1652">
        <v>6.1143090887934804E-13</v>
      </c>
      <c r="R1652">
        <v>17.166377579770497</v>
      </c>
      <c r="S1652">
        <v>17.378066776989606</v>
      </c>
      <c r="T1652">
        <v>1</v>
      </c>
      <c r="U1652">
        <v>2.3865406241812805</v>
      </c>
    </row>
    <row r="1653" spans="1:21">
      <c r="A1653">
        <v>-9.6055485228401946E-2</v>
      </c>
      <c r="B1653">
        <v>-1.1979539925749136</v>
      </c>
      <c r="C1653">
        <v>0.55462600288120667</v>
      </c>
      <c r="D1653">
        <v>0.60807535062765139</v>
      </c>
      <c r="E1653">
        <v>0</v>
      </c>
      <c r="F1653">
        <v>0.67401543738162273</v>
      </c>
      <c r="G1653">
        <v>0.28627198967852624</v>
      </c>
      <c r="H1653">
        <v>0.98479562192632897</v>
      </c>
      <c r="I1653">
        <v>0.95481642403466471</v>
      </c>
      <c r="J1653">
        <v>0.78148979764048665</v>
      </c>
      <c r="L1653">
        <v>2.8021409802161794</v>
      </c>
      <c r="M1653">
        <v>2.3648058415355071</v>
      </c>
      <c r="N1653">
        <v>0.8391297016121767</v>
      </c>
      <c r="P1653">
        <v>5.6188644560505068E-13</v>
      </c>
      <c r="R1653">
        <v>17.166377579770497</v>
      </c>
      <c r="S1653">
        <v>17.378066776989606</v>
      </c>
      <c r="T1653">
        <v>1</v>
      </c>
      <c r="U1653">
        <v>2.3865406241812805</v>
      </c>
    </row>
    <row r="1654" spans="1:21">
      <c r="A1654">
        <v>-0.10660255100499089</v>
      </c>
      <c r="B1654">
        <v>-1.1967361069158087</v>
      </c>
      <c r="C1654">
        <v>0.54720160837220055</v>
      </c>
      <c r="D1654">
        <v>0</v>
      </c>
      <c r="E1654">
        <v>0</v>
      </c>
      <c r="F1654">
        <v>0</v>
      </c>
      <c r="G1654">
        <v>0.25730770357165739</v>
      </c>
      <c r="H1654">
        <v>0.63613339023219795</v>
      </c>
      <c r="I1654">
        <v>0.44043455105619617</v>
      </c>
      <c r="J1654">
        <v>0.14324702621798954</v>
      </c>
      <c r="L1654">
        <v>2.8021410240523785</v>
      </c>
      <c r="M1654">
        <v>2.3648056916465081</v>
      </c>
      <c r="N1654">
        <v>0.8391295313062509</v>
      </c>
      <c r="P1654">
        <v>6.7721397657023192E-13</v>
      </c>
      <c r="R1654">
        <v>17.166377579770497</v>
      </c>
      <c r="S1654">
        <v>17.378066776989606</v>
      </c>
      <c r="T1654">
        <v>1</v>
      </c>
      <c r="U1654">
        <v>2.3865406241812805</v>
      </c>
    </row>
    <row r="1655" spans="1:21">
      <c r="A1655">
        <v>-9.8297779861189302E-2</v>
      </c>
      <c r="B1655">
        <v>-1.2012220940356089</v>
      </c>
      <c r="C1655">
        <v>0.56726486353984795</v>
      </c>
      <c r="D1655">
        <v>0.49902651941826254</v>
      </c>
      <c r="E1655">
        <v>0.12959069669168763</v>
      </c>
      <c r="F1655">
        <v>0</v>
      </c>
      <c r="G1655">
        <v>0.58962859448193217</v>
      </c>
      <c r="H1655">
        <v>0.8897379525640905</v>
      </c>
      <c r="I1655">
        <v>0.4691840009857261</v>
      </c>
      <c r="J1655">
        <v>0.10414585207600535</v>
      </c>
      <c r="L1655">
        <v>2.8021409877110814</v>
      </c>
      <c r="M1655">
        <v>2.3648060761433887</v>
      </c>
      <c r="N1655">
        <v>0.83912984849949379</v>
      </c>
      <c r="P1655">
        <v>6.5182973673492933E-13</v>
      </c>
      <c r="R1655">
        <v>17.166377579770497</v>
      </c>
      <c r="S1655">
        <v>17.378066776989606</v>
      </c>
      <c r="T1655">
        <v>1</v>
      </c>
      <c r="U1655">
        <v>2.3865406241812805</v>
      </c>
    </row>
    <row r="1656" spans="1:21">
      <c r="A1656">
        <v>-0.12808254158351023</v>
      </c>
      <c r="B1656">
        <v>-1.1944253416196198</v>
      </c>
      <c r="C1656">
        <v>0.50943689893637678</v>
      </c>
      <c r="D1656">
        <v>0</v>
      </c>
      <c r="E1656">
        <v>0</v>
      </c>
      <c r="F1656">
        <v>0.11785978252023233</v>
      </c>
      <c r="G1656">
        <v>0.42421122800695338</v>
      </c>
      <c r="H1656">
        <v>0.99299618078475882</v>
      </c>
      <c r="I1656">
        <v>0.58694849188340625</v>
      </c>
      <c r="J1656">
        <v>0.6916834890155974</v>
      </c>
      <c r="L1656">
        <v>2.8021409832648421</v>
      </c>
      <c r="M1656">
        <v>2.364806028245531</v>
      </c>
      <c r="N1656">
        <v>0.8391298470275419</v>
      </c>
      <c r="P1656">
        <v>5.9582207506318063E-13</v>
      </c>
      <c r="R1656">
        <v>17.166377579770497</v>
      </c>
      <c r="S1656">
        <v>17.378066776989606</v>
      </c>
      <c r="T1656">
        <v>1</v>
      </c>
      <c r="U1656">
        <v>2.3865406241812805</v>
      </c>
    </row>
    <row r="1657" spans="1:21">
      <c r="A1657">
        <v>-0.11403348594446219</v>
      </c>
      <c r="B1657">
        <v>-1.202060270480994</v>
      </c>
      <c r="C1657">
        <v>0.53713936768887982</v>
      </c>
      <c r="D1657">
        <v>0</v>
      </c>
      <c r="E1657">
        <v>0.62990908337335705</v>
      </c>
      <c r="F1657">
        <v>0.49140075748224038</v>
      </c>
      <c r="G1657">
        <v>0.52157330649659828</v>
      </c>
      <c r="H1657">
        <v>0.27493596394263131</v>
      </c>
      <c r="I1657">
        <v>0.64119777351889407</v>
      </c>
      <c r="J1657">
        <v>0.63706526124176632</v>
      </c>
      <c r="L1657">
        <v>2.8021409739353604</v>
      </c>
      <c r="M1657">
        <v>2.3648058959398655</v>
      </c>
      <c r="N1657">
        <v>0.83912975087903952</v>
      </c>
      <c r="P1657">
        <v>5.5569658652047719E-13</v>
      </c>
      <c r="R1657">
        <v>17.166377579770497</v>
      </c>
      <c r="S1657">
        <v>17.378066776989606</v>
      </c>
      <c r="T1657">
        <v>1</v>
      </c>
      <c r="U1657">
        <v>2.3865406241812805</v>
      </c>
    </row>
    <row r="1658" spans="1:21">
      <c r="A1658">
        <v>-8.192275842818976E-2</v>
      </c>
      <c r="B1658">
        <v>-1.2049845043366065</v>
      </c>
      <c r="C1658">
        <v>0.57785532912750659</v>
      </c>
      <c r="D1658">
        <v>0.34670036176382502</v>
      </c>
      <c r="E1658">
        <v>6.9746782263776244E-2</v>
      </c>
      <c r="F1658">
        <v>0.1410769264029175</v>
      </c>
      <c r="G1658">
        <v>0.31011487560485174</v>
      </c>
      <c r="H1658">
        <v>5.1109447878228936E-2</v>
      </c>
      <c r="I1658">
        <v>0.6412003494473284</v>
      </c>
      <c r="J1658">
        <v>0.24893099329194981</v>
      </c>
      <c r="L1658">
        <v>2.8021409714926802</v>
      </c>
      <c r="M1658">
        <v>2.3648060301720162</v>
      </c>
      <c r="N1658">
        <v>0.83912980023362216</v>
      </c>
      <c r="P1658">
        <v>6.4726182506761561E-13</v>
      </c>
      <c r="R1658">
        <v>17.166377579770497</v>
      </c>
      <c r="S1658">
        <v>17.378066776989606</v>
      </c>
      <c r="T1658">
        <v>1</v>
      </c>
      <c r="U1658">
        <v>2.3865406241812805</v>
      </c>
    </row>
    <row r="1659" spans="1:21">
      <c r="A1659">
        <v>-0.11651361860626909</v>
      </c>
      <c r="B1659">
        <v>-1.1975189009095009</v>
      </c>
      <c r="C1659">
        <v>0.52416568756053794</v>
      </c>
      <c r="D1659">
        <v>2.9576317703116379E-2</v>
      </c>
      <c r="E1659">
        <v>0.44050181055610349</v>
      </c>
      <c r="F1659">
        <v>0</v>
      </c>
      <c r="G1659">
        <v>0.25794809629580295</v>
      </c>
      <c r="H1659">
        <v>0.50734053403946267</v>
      </c>
      <c r="I1659">
        <v>0.86071211059805397</v>
      </c>
      <c r="J1659">
        <v>0.45179048061708549</v>
      </c>
      <c r="L1659">
        <v>2.8021412133033561</v>
      </c>
      <c r="M1659">
        <v>2.3648054553499414</v>
      </c>
      <c r="N1659">
        <v>0.83913016092677428</v>
      </c>
      <c r="P1659">
        <v>1.9045174446122576E-14</v>
      </c>
      <c r="R1659">
        <v>17.166377579770497</v>
      </c>
      <c r="S1659">
        <v>17.378066776989606</v>
      </c>
      <c r="T1659">
        <v>1</v>
      </c>
      <c r="U1659">
        <v>2.3865406241812805</v>
      </c>
    </row>
    <row r="1660" spans="1:21">
      <c r="A1660">
        <v>-9.5559005781759132E-2</v>
      </c>
      <c r="B1660">
        <v>-1.1996652776592458</v>
      </c>
      <c r="C1660">
        <v>0.57845060210950339</v>
      </c>
      <c r="D1660">
        <v>0</v>
      </c>
      <c r="E1660">
        <v>0.30974288801572936</v>
      </c>
      <c r="F1660">
        <v>0.30517004445877172</v>
      </c>
      <c r="G1660">
        <v>0.75928751082576318</v>
      </c>
      <c r="H1660">
        <v>0.91577182405333168</v>
      </c>
      <c r="I1660">
        <v>0.78977252490850225</v>
      </c>
      <c r="J1660">
        <v>0.22318396223392689</v>
      </c>
      <c r="L1660">
        <v>2.8021412761780584</v>
      </c>
      <c r="M1660">
        <v>2.3648056634062034</v>
      </c>
      <c r="N1660">
        <v>0.83913004833449922</v>
      </c>
      <c r="P1660">
        <v>1.207332790748682E-13</v>
      </c>
      <c r="R1660">
        <v>17.166377579770497</v>
      </c>
      <c r="S1660">
        <v>17.378066776989606</v>
      </c>
      <c r="T1660">
        <v>1</v>
      </c>
      <c r="U1660">
        <v>2.3865406241812805</v>
      </c>
    </row>
    <row r="1661" spans="1:21">
      <c r="A1661">
        <v>4.7809667453685915E-2</v>
      </c>
      <c r="B1661">
        <v>-1.2035662455842384</v>
      </c>
      <c r="C1661">
        <v>0.74490370637442549</v>
      </c>
      <c r="D1661">
        <v>0</v>
      </c>
      <c r="E1661">
        <v>0</v>
      </c>
      <c r="F1661">
        <v>0.84777295569469535</v>
      </c>
      <c r="G1661">
        <v>0.30714202244592992</v>
      </c>
      <c r="H1661">
        <v>0.31915231275995792</v>
      </c>
      <c r="I1661">
        <v>0.86672899444218254</v>
      </c>
      <c r="J1661">
        <v>0.83106262931578412</v>
      </c>
      <c r="L1661">
        <v>2.8021421748267739</v>
      </c>
      <c r="M1661">
        <v>2.2176389022825935</v>
      </c>
      <c r="N1661">
        <v>0.83913066310841589</v>
      </c>
      <c r="P1661">
        <v>1.1665158952167599E-12</v>
      </c>
      <c r="R1661">
        <v>2.9236518285351805</v>
      </c>
      <c r="S1661">
        <v>2.9250187817951137</v>
      </c>
      <c r="T1661">
        <v>1</v>
      </c>
      <c r="U1661">
        <v>2.0496460330402932</v>
      </c>
    </row>
    <row r="1662" spans="1:21">
      <c r="A1662">
        <v>5.8481030823886802E-2</v>
      </c>
      <c r="B1662">
        <v>-1.2090010438541197</v>
      </c>
      <c r="C1662">
        <v>0.75885461881346261</v>
      </c>
      <c r="D1662">
        <v>0</v>
      </c>
      <c r="E1662">
        <v>0.27699229783768292</v>
      </c>
      <c r="F1662">
        <v>0.33447277016078197</v>
      </c>
      <c r="G1662">
        <v>0.79376805065966038</v>
      </c>
      <c r="H1662">
        <v>0.23580331256002232</v>
      </c>
      <c r="I1662">
        <v>9.7846389028342223E-2</v>
      </c>
      <c r="J1662">
        <v>0.89452685663423681</v>
      </c>
      <c r="L1662">
        <v>2.8021420482627728</v>
      </c>
      <c r="M1662">
        <v>2.2176390705482167</v>
      </c>
      <c r="N1662">
        <v>0.83913061841091008</v>
      </c>
      <c r="P1662">
        <v>1.0137695707900025E-12</v>
      </c>
      <c r="R1662">
        <v>2.9236518285351805</v>
      </c>
      <c r="S1662">
        <v>2.9250187817951137</v>
      </c>
      <c r="T1662">
        <v>1</v>
      </c>
      <c r="U1662">
        <v>2.0496460330402932</v>
      </c>
    </row>
    <row r="1663" spans="1:21">
      <c r="A1663">
        <v>5.8111270447843082E-2</v>
      </c>
      <c r="B1663">
        <v>-1.1992137040240889</v>
      </c>
      <c r="C1663">
        <v>0.74085949213377256</v>
      </c>
      <c r="D1663">
        <v>0</v>
      </c>
      <c r="E1663">
        <v>0.41620146125596408</v>
      </c>
      <c r="F1663">
        <v>0</v>
      </c>
      <c r="G1663">
        <v>0.26212087747808149</v>
      </c>
      <c r="H1663">
        <v>0.75363066497268139</v>
      </c>
      <c r="I1663">
        <v>0.81790534611042853</v>
      </c>
      <c r="J1663">
        <v>0.87075424514101341</v>
      </c>
      <c r="L1663">
        <v>2.8021418496791206</v>
      </c>
      <c r="M1663">
        <v>2.2176391918006488</v>
      </c>
      <c r="N1663">
        <v>0.83913030271802469</v>
      </c>
      <c r="P1663">
        <v>7.2336147881842131E-13</v>
      </c>
      <c r="R1663">
        <v>2.9236518285351805</v>
      </c>
      <c r="S1663">
        <v>2.9250187817951137</v>
      </c>
      <c r="T1663">
        <v>1</v>
      </c>
      <c r="U1663">
        <v>2.0496460330402932</v>
      </c>
    </row>
    <row r="1664" spans="1:21">
      <c r="A1664">
        <v>5.2235338924464123E-2</v>
      </c>
      <c r="B1664">
        <v>-1.2012507366538485</v>
      </c>
      <c r="C1664">
        <v>0.75797103146510536</v>
      </c>
      <c r="D1664">
        <v>0</v>
      </c>
      <c r="E1664">
        <v>0</v>
      </c>
      <c r="F1664">
        <v>0.30773638089648159</v>
      </c>
      <c r="G1664">
        <v>0.5368218581767269</v>
      </c>
      <c r="H1664">
        <v>0.87097011278329373</v>
      </c>
      <c r="I1664">
        <v>0.53298656355180563</v>
      </c>
      <c r="J1664">
        <v>0.49748919541194847</v>
      </c>
      <c r="L1664">
        <v>2.8021420113594009</v>
      </c>
      <c r="M1664">
        <v>2.2176390052964612</v>
      </c>
      <c r="N1664">
        <v>0.83913062655309101</v>
      </c>
      <c r="P1664">
        <v>9.0715924685206867E-13</v>
      </c>
      <c r="R1664">
        <v>2.9236518285351805</v>
      </c>
      <c r="S1664">
        <v>2.9250187817951137</v>
      </c>
      <c r="T1664">
        <v>1</v>
      </c>
      <c r="U1664">
        <v>2.0496460330402932</v>
      </c>
    </row>
    <row r="1665" spans="1:21">
      <c r="A1665">
        <v>5.1701345704965117E-2</v>
      </c>
      <c r="B1665">
        <v>-1.2004138607517654</v>
      </c>
      <c r="C1665">
        <v>0.76297139630010169</v>
      </c>
      <c r="D1665">
        <v>0</v>
      </c>
      <c r="E1665">
        <v>0.69265947513224446</v>
      </c>
      <c r="F1665">
        <v>0</v>
      </c>
      <c r="G1665">
        <v>0.48773482208209279</v>
      </c>
      <c r="H1665">
        <v>0.93253580925156854</v>
      </c>
      <c r="I1665">
        <v>0.85208153846751</v>
      </c>
      <c r="J1665">
        <v>8.9729405768146878E-2</v>
      </c>
      <c r="L1665">
        <v>2.8021418235190287</v>
      </c>
      <c r="M1665">
        <v>2.2176391526723753</v>
      </c>
      <c r="N1665">
        <v>0.83913034283097887</v>
      </c>
      <c r="P1665">
        <v>6.5126362646315524E-13</v>
      </c>
      <c r="R1665">
        <v>2.9236518285351805</v>
      </c>
      <c r="S1665">
        <v>2.9250187817951137</v>
      </c>
      <c r="T1665">
        <v>1</v>
      </c>
      <c r="U1665">
        <v>2.0496460330402932</v>
      </c>
    </row>
    <row r="1666" spans="1:21">
      <c r="A1666">
        <v>4.5835280569520784E-2</v>
      </c>
      <c r="B1666">
        <v>-1.2139368074488734</v>
      </c>
      <c r="C1666">
        <v>0.7494732769118444</v>
      </c>
      <c r="D1666">
        <v>0.84688622086075793</v>
      </c>
      <c r="E1666">
        <v>0.37720755243256071</v>
      </c>
      <c r="F1666">
        <v>0.59172016953786322</v>
      </c>
      <c r="G1666">
        <v>0.82960699650636804</v>
      </c>
      <c r="H1666">
        <v>0.31058407962148116</v>
      </c>
      <c r="I1666">
        <v>0.98646001888372481</v>
      </c>
      <c r="J1666">
        <v>0.80104990641523632</v>
      </c>
      <c r="L1666">
        <v>2.8021419927467974</v>
      </c>
      <c r="M1666">
        <v>2.2176389448172125</v>
      </c>
      <c r="N1666">
        <v>0.83913017085494812</v>
      </c>
      <c r="P1666">
        <v>7.4405103133993139E-13</v>
      </c>
      <c r="R1666">
        <v>2.9236518285351805</v>
      </c>
      <c r="S1666">
        <v>2.9250187817951137</v>
      </c>
      <c r="T1666">
        <v>1</v>
      </c>
      <c r="U1666">
        <v>2.0496460330402932</v>
      </c>
    </row>
    <row r="1667" spans="1:21">
      <c r="A1667">
        <v>5.2218900608022971E-2</v>
      </c>
      <c r="B1667">
        <v>-1.1977479637966992</v>
      </c>
      <c r="C1667">
        <v>0.7528268376447147</v>
      </c>
      <c r="D1667">
        <v>0</v>
      </c>
      <c r="E1667">
        <v>0</v>
      </c>
      <c r="F1667">
        <v>0</v>
      </c>
      <c r="G1667">
        <v>0.13942169791284248</v>
      </c>
      <c r="H1667">
        <v>0.83848162565693329</v>
      </c>
      <c r="I1667">
        <v>0.5233782254465339</v>
      </c>
      <c r="J1667">
        <v>0.14918919673332481</v>
      </c>
      <c r="L1667">
        <v>2.8021420487480468</v>
      </c>
      <c r="M1667">
        <v>2.2176390344352179</v>
      </c>
      <c r="N1667">
        <v>0.83913061784430754</v>
      </c>
      <c r="P1667">
        <v>9.8554616322045592E-13</v>
      </c>
      <c r="R1667">
        <v>2.9236518285351805</v>
      </c>
      <c r="S1667">
        <v>2.9250187817951137</v>
      </c>
      <c r="T1667">
        <v>1</v>
      </c>
      <c r="U1667">
        <v>2.0496460330402932</v>
      </c>
    </row>
    <row r="1668" spans="1:21">
      <c r="A1668">
        <v>6.0658442870230839E-2</v>
      </c>
      <c r="B1668">
        <v>-1.2016754434796191</v>
      </c>
      <c r="C1668">
        <v>0.75412989031643252</v>
      </c>
      <c r="D1668">
        <v>0</v>
      </c>
      <c r="E1668">
        <v>0</v>
      </c>
      <c r="F1668">
        <v>1.8607721326356401E-2</v>
      </c>
      <c r="G1668">
        <v>0.70696070136066858</v>
      </c>
      <c r="H1668">
        <v>0.98086578639970479</v>
      </c>
      <c r="I1668">
        <v>0.26171193500130757</v>
      </c>
      <c r="J1668">
        <v>0.94116231937001604</v>
      </c>
      <c r="L1668">
        <v>2.8021421488500158</v>
      </c>
      <c r="M1668">
        <v>2.2176389131704064</v>
      </c>
      <c r="N1668">
        <v>0.839130656429523</v>
      </c>
      <c r="P1668">
        <v>1.1166458494731152E-12</v>
      </c>
      <c r="R1668">
        <v>2.9236518285351805</v>
      </c>
      <c r="S1668">
        <v>2.9250187817951137</v>
      </c>
      <c r="T1668">
        <v>1</v>
      </c>
      <c r="U1668">
        <v>2.0496460330402932</v>
      </c>
    </row>
    <row r="1669" spans="1:21">
      <c r="A1669">
        <v>4.9664755192998504E-2</v>
      </c>
      <c r="B1669">
        <v>-1.2073357480870766</v>
      </c>
      <c r="C1669">
        <v>0.75354701668548296</v>
      </c>
      <c r="D1669">
        <v>0.27705161160304415</v>
      </c>
      <c r="E1669">
        <v>0.32582612679443551</v>
      </c>
      <c r="F1669">
        <v>0.19302808301309363</v>
      </c>
      <c r="G1669">
        <v>0.67055143166477915</v>
      </c>
      <c r="H1669">
        <v>0.49772535500277953</v>
      </c>
      <c r="I1669">
        <v>0.81558607776409386</v>
      </c>
      <c r="J1669">
        <v>0.51292970875756849</v>
      </c>
      <c r="L1669">
        <v>2.8021420313576364</v>
      </c>
      <c r="M1669">
        <v>2.2176390589950801</v>
      </c>
      <c r="N1669">
        <v>0.83913061265925681</v>
      </c>
      <c r="P1669">
        <v>9.7188537581939325E-13</v>
      </c>
      <c r="R1669">
        <v>2.9236518285351805</v>
      </c>
      <c r="S1669">
        <v>2.9250187817951137</v>
      </c>
      <c r="T1669">
        <v>1</v>
      </c>
      <c r="U1669">
        <v>2.0496460330402932</v>
      </c>
    </row>
    <row r="1670" spans="1:21">
      <c r="A1670">
        <v>5.333162684134133E-2</v>
      </c>
      <c r="B1670">
        <v>-1.2015840930208792</v>
      </c>
      <c r="C1670">
        <v>0.75884783104137243</v>
      </c>
      <c r="D1670">
        <v>0</v>
      </c>
      <c r="E1670">
        <v>0</v>
      </c>
      <c r="F1670">
        <v>0.42064661223313943</v>
      </c>
      <c r="G1670">
        <v>0.42754185675745709</v>
      </c>
      <c r="H1670">
        <v>0.71642546626515502</v>
      </c>
      <c r="I1670">
        <v>0.32013813553951337</v>
      </c>
      <c r="J1670">
        <v>0.48378815121701069</v>
      </c>
      <c r="L1670">
        <v>2.8021420443940399</v>
      </c>
      <c r="M1670">
        <v>2.2176390403807269</v>
      </c>
      <c r="N1670">
        <v>0.83913061777790998</v>
      </c>
      <c r="P1670">
        <v>9.8258691121851547E-13</v>
      </c>
      <c r="R1670">
        <v>2.9236518285351805</v>
      </c>
      <c r="S1670">
        <v>2.9250187817951137</v>
      </c>
      <c r="T1670">
        <v>1</v>
      </c>
      <c r="U1670">
        <v>2.0496460330402932</v>
      </c>
    </row>
    <row r="1671" spans="1:21">
      <c r="A1671">
        <v>5.8866572619077462E-2</v>
      </c>
      <c r="B1671">
        <v>-1.2024469792629877</v>
      </c>
      <c r="C1671">
        <v>0.74963655730865841</v>
      </c>
      <c r="D1671">
        <v>0</v>
      </c>
      <c r="E1671">
        <v>0</v>
      </c>
      <c r="F1671">
        <v>0</v>
      </c>
      <c r="G1671">
        <v>0.5835240393108726</v>
      </c>
      <c r="H1671">
        <v>0.74672832123453248</v>
      </c>
      <c r="I1671">
        <v>0.35394224730806012</v>
      </c>
      <c r="J1671">
        <v>0.87765919658332137</v>
      </c>
      <c r="L1671">
        <v>2.8021419124449269</v>
      </c>
      <c r="M1671">
        <v>2.2176391095560737</v>
      </c>
      <c r="N1671">
        <v>0.83913015951737668</v>
      </c>
      <c r="P1671">
        <v>7.4704121024498823E-13</v>
      </c>
      <c r="R1671">
        <v>2.9236518285351805</v>
      </c>
      <c r="S1671">
        <v>2.9250187817951137</v>
      </c>
      <c r="T1671">
        <v>1</v>
      </c>
      <c r="U1671">
        <v>2.0496460330402932</v>
      </c>
    </row>
    <row r="1672" spans="1:21">
      <c r="A1672">
        <v>4.9468085202247825E-2</v>
      </c>
      <c r="B1672">
        <v>-1.2075877522885474</v>
      </c>
      <c r="C1672">
        <v>0.75969639325889382</v>
      </c>
      <c r="D1672">
        <v>0</v>
      </c>
      <c r="E1672">
        <v>0.32483755580241164</v>
      </c>
      <c r="F1672">
        <v>0.18819618437619715</v>
      </c>
      <c r="G1672">
        <v>0.48497975860576092</v>
      </c>
      <c r="H1672">
        <v>8.4256496250466911E-2</v>
      </c>
      <c r="I1672">
        <v>0.45581526632844016</v>
      </c>
      <c r="J1672">
        <v>0.13649524092381535</v>
      </c>
      <c r="L1672">
        <v>2.8021420629055775</v>
      </c>
      <c r="M1672">
        <v>2.2176391127429884</v>
      </c>
      <c r="N1672">
        <v>0.83913072170790437</v>
      </c>
      <c r="P1672">
        <v>1.1533623480311548E-12</v>
      </c>
      <c r="R1672">
        <v>2.9236518285351805</v>
      </c>
      <c r="S1672">
        <v>2.9250187817951137</v>
      </c>
      <c r="T1672">
        <v>1</v>
      </c>
      <c r="U1672">
        <v>2.0496460330402932</v>
      </c>
    </row>
    <row r="1673" spans="1:21">
      <c r="A1673">
        <v>5.6404892892285154E-2</v>
      </c>
      <c r="B1673">
        <v>-1.2025213288165577</v>
      </c>
      <c r="C1673">
        <v>0.73831121807431055</v>
      </c>
      <c r="D1673">
        <v>0.18155985648640427</v>
      </c>
      <c r="E1673">
        <v>0</v>
      </c>
      <c r="F1673">
        <v>0.36196840416529813</v>
      </c>
      <c r="G1673">
        <v>0.18783283402138498</v>
      </c>
      <c r="H1673">
        <v>0.41624107208713429</v>
      </c>
      <c r="I1673">
        <v>0.48644341089008364</v>
      </c>
      <c r="J1673">
        <v>1.0024098938138071</v>
      </c>
      <c r="L1673">
        <v>2.8021419318007426</v>
      </c>
      <c r="M1673">
        <v>2.2176392348549627</v>
      </c>
      <c r="N1673">
        <v>0.83913041771322106</v>
      </c>
      <c r="P1673">
        <v>9.0145573187629905E-13</v>
      </c>
      <c r="R1673">
        <v>2.9236518285351805</v>
      </c>
      <c r="S1673">
        <v>2.9250187817951137</v>
      </c>
      <c r="T1673">
        <v>1</v>
      </c>
      <c r="U1673">
        <v>2.0496460330402932</v>
      </c>
    </row>
    <row r="1674" spans="1:21">
      <c r="A1674">
        <v>5.415572173849352E-2</v>
      </c>
      <c r="B1674">
        <v>-1.207288773891092</v>
      </c>
      <c r="C1674">
        <v>0.74681955166847624</v>
      </c>
      <c r="D1674">
        <v>0</v>
      </c>
      <c r="E1674">
        <v>0.10239609291853945</v>
      </c>
      <c r="F1674">
        <v>6.0484830629589301E-2</v>
      </c>
      <c r="G1674">
        <v>0.62833747747968949</v>
      </c>
      <c r="H1674">
        <v>0.22629343433173141</v>
      </c>
      <c r="I1674">
        <v>0.56675209373306967</v>
      </c>
      <c r="J1674">
        <v>0.79488801731668868</v>
      </c>
      <c r="L1674">
        <v>2.8021420840432385</v>
      </c>
      <c r="M1674">
        <v>2.2176390042126415</v>
      </c>
      <c r="N1674">
        <v>0.83913064069755716</v>
      </c>
      <c r="P1674">
        <v>1.0406800413076866E-12</v>
      </c>
      <c r="R1674">
        <v>2.9236518285351805</v>
      </c>
      <c r="S1674">
        <v>2.9250187817951137</v>
      </c>
      <c r="T1674">
        <v>1</v>
      </c>
      <c r="U1674">
        <v>2.0496460330402932</v>
      </c>
    </row>
    <row r="1675" spans="1:21">
      <c r="A1675">
        <v>4.3587831636988726E-2</v>
      </c>
      <c r="B1675">
        <v>-1.2127697118618839</v>
      </c>
      <c r="C1675">
        <v>0.76203682156115737</v>
      </c>
      <c r="D1675">
        <v>7.4100926668532657E-2</v>
      </c>
      <c r="E1675">
        <v>0.15959960023060246</v>
      </c>
      <c r="F1675">
        <v>0</v>
      </c>
      <c r="G1675">
        <v>0.91011081233393942</v>
      </c>
      <c r="H1675">
        <v>3.7253042019819416E-3</v>
      </c>
      <c r="I1675">
        <v>0.7428104593008481</v>
      </c>
      <c r="J1675">
        <v>2.4851293283215482E-2</v>
      </c>
      <c r="L1675">
        <v>2.8021419671455683</v>
      </c>
      <c r="M1675">
        <v>2.2176391994452014</v>
      </c>
      <c r="N1675">
        <v>0.83913049622332847</v>
      </c>
      <c r="P1675">
        <v>9.4073854813770025E-13</v>
      </c>
      <c r="R1675">
        <v>2.9236518285351805</v>
      </c>
      <c r="S1675">
        <v>2.9250187817951137</v>
      </c>
      <c r="T1675">
        <v>1</v>
      </c>
      <c r="U1675">
        <v>2.0496460330402932</v>
      </c>
    </row>
    <row r="1676" spans="1:21">
      <c r="A1676">
        <v>5.645802954005117E-2</v>
      </c>
      <c r="B1676">
        <v>-1.1991030523617559</v>
      </c>
      <c r="C1676">
        <v>0.73813986415238053</v>
      </c>
      <c r="D1676">
        <v>0.42279926572329901</v>
      </c>
      <c r="E1676">
        <v>7.1513462585854046E-2</v>
      </c>
      <c r="F1676">
        <v>0</v>
      </c>
      <c r="G1676">
        <v>3.4681628685539832E-2</v>
      </c>
      <c r="H1676">
        <v>0.82936348756400413</v>
      </c>
      <c r="I1676">
        <v>0.58408990124249605</v>
      </c>
      <c r="J1676">
        <v>0.68429185408452253</v>
      </c>
      <c r="L1676">
        <v>2.8021420195544362</v>
      </c>
      <c r="M1676">
        <v>2.2176390549548519</v>
      </c>
      <c r="N1676">
        <v>0.83913015450939721</v>
      </c>
      <c r="P1676">
        <v>8.6807087853744653E-13</v>
      </c>
      <c r="R1676">
        <v>2.9236518285351805</v>
      </c>
      <c r="S1676">
        <v>2.9250187817951137</v>
      </c>
      <c r="T1676">
        <v>1</v>
      </c>
      <c r="U1676">
        <v>2.0496460330402932</v>
      </c>
    </row>
    <row r="1677" spans="1:21">
      <c r="A1677">
        <v>5.1766281149521115E-2</v>
      </c>
      <c r="B1677">
        <v>-1.2029184051431787</v>
      </c>
      <c r="C1677">
        <v>0.74431108019699432</v>
      </c>
      <c r="D1677">
        <v>0</v>
      </c>
      <c r="E1677">
        <v>0</v>
      </c>
      <c r="F1677">
        <v>0</v>
      </c>
      <c r="G1677">
        <v>9.2034151489444396E-2</v>
      </c>
      <c r="H1677">
        <v>0.15769464173947909</v>
      </c>
      <c r="I1677">
        <v>0.48010849585846821</v>
      </c>
      <c r="J1677">
        <v>0.30164676343497704</v>
      </c>
      <c r="L1677">
        <v>2.8021421519345679</v>
      </c>
      <c r="M1677">
        <v>2.2176389026782761</v>
      </c>
      <c r="N1677">
        <v>0.83913066167607042</v>
      </c>
      <c r="P1677">
        <v>1.1210859007174268E-12</v>
      </c>
      <c r="R1677">
        <v>2.9236518285351805</v>
      </c>
      <c r="S1677">
        <v>2.9250187817951137</v>
      </c>
      <c r="T1677">
        <v>1</v>
      </c>
      <c r="U1677">
        <v>2.0496460330402932</v>
      </c>
    </row>
    <row r="1678" spans="1:21">
      <c r="A1678">
        <v>5.4068691936452216E-2</v>
      </c>
      <c r="B1678">
        <v>-1.2079899326161465</v>
      </c>
      <c r="C1678">
        <v>0.74706876945418665</v>
      </c>
      <c r="D1678">
        <v>0.13690672466411347</v>
      </c>
      <c r="E1678">
        <v>0</v>
      </c>
      <c r="F1678">
        <v>0</v>
      </c>
      <c r="G1678">
        <v>0.60497350986500475</v>
      </c>
      <c r="H1678">
        <v>0.22155611230873104</v>
      </c>
      <c r="I1678">
        <v>0.43952183181180787</v>
      </c>
      <c r="J1678">
        <v>0.71700050510131474</v>
      </c>
      <c r="L1678">
        <v>2.8021420462441275</v>
      </c>
      <c r="M1678">
        <v>2.2176391281982033</v>
      </c>
      <c r="N1678">
        <v>0.83913057779201938</v>
      </c>
      <c r="P1678">
        <v>1.0369207983445968E-12</v>
      </c>
      <c r="R1678">
        <v>2.9236518285351805</v>
      </c>
      <c r="S1678">
        <v>2.9250187817951137</v>
      </c>
      <c r="T1678">
        <v>1</v>
      </c>
      <c r="U1678">
        <v>2.0496460330402932</v>
      </c>
    </row>
    <row r="1679" spans="1:21">
      <c r="A1679">
        <v>5.4384424037730215E-2</v>
      </c>
      <c r="B1679">
        <v>-1.2092235270762504</v>
      </c>
      <c r="C1679">
        <v>0.76541250046076093</v>
      </c>
      <c r="D1679">
        <v>0</v>
      </c>
      <c r="E1679">
        <v>0.57793436501320616</v>
      </c>
      <c r="F1679">
        <v>0</v>
      </c>
      <c r="G1679">
        <v>0.64555607715925722</v>
      </c>
      <c r="H1679">
        <v>7.6909159236311725E-2</v>
      </c>
      <c r="I1679">
        <v>0.19273330071515257</v>
      </c>
      <c r="J1679">
        <v>0.17055671306330283</v>
      </c>
      <c r="L1679">
        <v>2.8021421498286458</v>
      </c>
      <c r="M1679">
        <v>2.2176387509579825</v>
      </c>
      <c r="N1679">
        <v>0.83913055986261298</v>
      </c>
      <c r="P1679">
        <v>1.0007515965051472E-12</v>
      </c>
      <c r="R1679">
        <v>2.9236518285351805</v>
      </c>
      <c r="S1679">
        <v>2.9250187817951137</v>
      </c>
      <c r="T1679">
        <v>1</v>
      </c>
      <c r="U1679">
        <v>2.0496460330402932</v>
      </c>
    </row>
    <row r="1680" spans="1:21">
      <c r="A1680">
        <v>6.0262424615810758E-2</v>
      </c>
      <c r="B1680">
        <v>-1.1996423358386543</v>
      </c>
      <c r="C1680">
        <v>0.75146233659953487</v>
      </c>
      <c r="D1680">
        <v>0.20936421518487358</v>
      </c>
      <c r="E1680">
        <v>0</v>
      </c>
      <c r="F1680">
        <v>0</v>
      </c>
      <c r="G1680">
        <v>0.28095305673648036</v>
      </c>
      <c r="H1680">
        <v>0.90923729448660184</v>
      </c>
      <c r="I1680">
        <v>9.1907737111537713E-2</v>
      </c>
      <c r="J1680">
        <v>0.63635320870704215</v>
      </c>
      <c r="L1680">
        <v>2.8021421435178206</v>
      </c>
      <c r="M1680">
        <v>2.2176387690695205</v>
      </c>
      <c r="N1680">
        <v>0.83913056497227556</v>
      </c>
      <c r="P1680">
        <v>9.9519841350114555E-13</v>
      </c>
      <c r="R1680">
        <v>2.9236518285351805</v>
      </c>
      <c r="S1680">
        <v>2.9250187817951137</v>
      </c>
      <c r="T1680">
        <v>1</v>
      </c>
      <c r="U1680">
        <v>2.0496460330402932</v>
      </c>
    </row>
    <row r="1681" spans="1:21">
      <c r="A1681">
        <v>6.1916931196790849E-2</v>
      </c>
      <c r="B1681">
        <v>-1.1967246370214728</v>
      </c>
      <c r="C1681">
        <v>0.74210934005412088</v>
      </c>
      <c r="D1681">
        <v>0.16072235552216554</v>
      </c>
      <c r="E1681">
        <v>0</v>
      </c>
      <c r="F1681">
        <v>0</v>
      </c>
      <c r="G1681">
        <v>2.8235032854391929E-2</v>
      </c>
      <c r="H1681">
        <v>0.91199580561956151</v>
      </c>
      <c r="I1681">
        <v>0.207154897909542</v>
      </c>
      <c r="J1681">
        <v>0.80712363961035127</v>
      </c>
      <c r="L1681">
        <v>2.8021420939263391</v>
      </c>
      <c r="M1681">
        <v>2.2176389515748673</v>
      </c>
      <c r="N1681">
        <v>0.83913064979910001</v>
      </c>
      <c r="P1681">
        <v>1.0308560263420741E-12</v>
      </c>
      <c r="R1681">
        <v>2.9236518285351805</v>
      </c>
      <c r="S1681">
        <v>2.9250187817951137</v>
      </c>
      <c r="T1681">
        <v>1</v>
      </c>
      <c r="U1681">
        <v>2.0496460330402932</v>
      </c>
    </row>
    <row r="1682" spans="1:21">
      <c r="A1682">
        <v>5.4556596781941712E-2</v>
      </c>
      <c r="B1682">
        <v>-1.2065560420365631</v>
      </c>
      <c r="C1682">
        <v>0.76409376858715627</v>
      </c>
      <c r="D1682">
        <v>0.17543373807111876</v>
      </c>
      <c r="E1682">
        <v>0.23599905140002478</v>
      </c>
      <c r="F1682">
        <v>0.51882860180800339</v>
      </c>
      <c r="G1682">
        <v>0.8898862083038882</v>
      </c>
      <c r="H1682">
        <v>0.77543391892752411</v>
      </c>
      <c r="I1682">
        <v>0.37834573335796418</v>
      </c>
      <c r="J1682">
        <v>0.79156500459676582</v>
      </c>
      <c r="L1682">
        <v>2.8021421253073746</v>
      </c>
      <c r="M1682">
        <v>2.2176389884403882</v>
      </c>
      <c r="N1682">
        <v>0.83913065903287865</v>
      </c>
      <c r="P1682">
        <v>1.1184229902547642E-12</v>
      </c>
      <c r="R1682">
        <v>2.9236518285351805</v>
      </c>
      <c r="S1682">
        <v>2.9250187817951137</v>
      </c>
      <c r="T1682">
        <v>1</v>
      </c>
      <c r="U1682">
        <v>2.0496460330402932</v>
      </c>
    </row>
    <row r="1683" spans="1:21">
      <c r="A1683">
        <v>5.4491640133776893E-2</v>
      </c>
      <c r="B1683">
        <v>-1.2036427566806487</v>
      </c>
      <c r="C1683">
        <v>0.75260500693379895</v>
      </c>
      <c r="D1683">
        <v>0.24069336727884952</v>
      </c>
      <c r="E1683">
        <v>0</v>
      </c>
      <c r="F1683">
        <v>0</v>
      </c>
      <c r="G1683">
        <v>0.58512614626768389</v>
      </c>
      <c r="H1683">
        <v>0.80165891048909366</v>
      </c>
      <c r="I1683">
        <v>0.46835990897432173</v>
      </c>
      <c r="J1683">
        <v>0.58841383712181472</v>
      </c>
      <c r="L1683">
        <v>2.8021418971872332</v>
      </c>
      <c r="M1683">
        <v>2.217639068454242</v>
      </c>
      <c r="N1683">
        <v>0.83913015385701906</v>
      </c>
      <c r="P1683">
        <v>6.9113636887172282E-13</v>
      </c>
      <c r="R1683">
        <v>2.9236518285351805</v>
      </c>
      <c r="S1683">
        <v>2.9250187817951137</v>
      </c>
      <c r="T1683">
        <v>1</v>
      </c>
      <c r="U1683">
        <v>2.0496460330402932</v>
      </c>
    </row>
    <row r="1684" spans="1:21">
      <c r="A1684">
        <v>5.7632019034681889E-2</v>
      </c>
      <c r="B1684">
        <v>-1.2050183097325413</v>
      </c>
      <c r="C1684">
        <v>0.76081593221093269</v>
      </c>
      <c r="D1684">
        <v>0</v>
      </c>
      <c r="E1684">
        <v>0.40303341884312283</v>
      </c>
      <c r="F1684">
        <v>0.47288939376512462</v>
      </c>
      <c r="G1684">
        <v>0.8170645273869378</v>
      </c>
      <c r="H1684">
        <v>0.73312665340436589</v>
      </c>
      <c r="I1684">
        <v>0.41305274049489205</v>
      </c>
      <c r="J1684">
        <v>0.94720811363081725</v>
      </c>
      <c r="L1684">
        <v>2.8021420519181275</v>
      </c>
      <c r="M1684">
        <v>2.2176390371908634</v>
      </c>
      <c r="N1684">
        <v>0.83913062129550686</v>
      </c>
      <c r="P1684">
        <v>9.9533722064456964E-13</v>
      </c>
      <c r="R1684">
        <v>2.9236518285351805</v>
      </c>
      <c r="S1684">
        <v>2.9250187817951137</v>
      </c>
      <c r="T1684">
        <v>1</v>
      </c>
      <c r="U1684">
        <v>2.0496460330402932</v>
      </c>
    </row>
    <row r="1685" spans="1:21">
      <c r="A1685">
        <v>5.6111180804948528E-2</v>
      </c>
      <c r="B1685">
        <v>-1.2069268292601047</v>
      </c>
      <c r="C1685">
        <v>0.76355888256042903</v>
      </c>
      <c r="D1685">
        <v>0</v>
      </c>
      <c r="E1685">
        <v>0.40555928338216413</v>
      </c>
      <c r="F1685">
        <v>0</v>
      </c>
      <c r="G1685">
        <v>0.50994438457193814</v>
      </c>
      <c r="H1685">
        <v>0.19196163475655473</v>
      </c>
      <c r="I1685">
        <v>3.8060892765121965E-2</v>
      </c>
      <c r="J1685">
        <v>0.20477038529892577</v>
      </c>
      <c r="L1685">
        <v>2.8021419698791892</v>
      </c>
      <c r="M1685">
        <v>2.2176391145118539</v>
      </c>
      <c r="N1685">
        <v>0.83913054271684884</v>
      </c>
      <c r="P1685">
        <v>8.8060876441190996E-13</v>
      </c>
      <c r="R1685">
        <v>2.9236518285351805</v>
      </c>
      <c r="S1685">
        <v>2.9250187817951137</v>
      </c>
      <c r="T1685">
        <v>1</v>
      </c>
      <c r="U1685">
        <v>2.0496460330402932</v>
      </c>
    </row>
    <row r="1686" spans="1:21">
      <c r="A1686">
        <v>5.1671721280772603E-2</v>
      </c>
      <c r="B1686">
        <v>-1.2031439928623382</v>
      </c>
      <c r="C1686">
        <v>0.74546352973623997</v>
      </c>
      <c r="D1686">
        <v>9.4018455073787505E-2</v>
      </c>
      <c r="E1686">
        <v>0</v>
      </c>
      <c r="F1686">
        <v>0.30335050837838529</v>
      </c>
      <c r="G1686">
        <v>0.41123034580474199</v>
      </c>
      <c r="H1686">
        <v>0.54634591879699435</v>
      </c>
      <c r="I1686">
        <v>0.72965581050034067</v>
      </c>
      <c r="J1686">
        <v>0.73473044448526492</v>
      </c>
      <c r="L1686">
        <v>2.8021419426403269</v>
      </c>
      <c r="M1686">
        <v>2.2176391452082456</v>
      </c>
      <c r="N1686">
        <v>0.83913049725375366</v>
      </c>
      <c r="P1686">
        <v>8.4756751484572243E-13</v>
      </c>
      <c r="R1686">
        <v>2.9236518285351805</v>
      </c>
      <c r="S1686">
        <v>2.9250187817951137</v>
      </c>
      <c r="T1686">
        <v>1</v>
      </c>
      <c r="U1686">
        <v>2.0496460330402932</v>
      </c>
    </row>
    <row r="1687" spans="1:21">
      <c r="A1687">
        <v>5.4088379779310143E-2</v>
      </c>
      <c r="B1687">
        <v>-1.2078886518953043</v>
      </c>
      <c r="C1687">
        <v>0.74326282437553925</v>
      </c>
      <c r="D1687">
        <v>0.59662507516172025</v>
      </c>
      <c r="E1687">
        <v>0</v>
      </c>
      <c r="F1687">
        <v>0</v>
      </c>
      <c r="G1687">
        <v>0.14197904405836442</v>
      </c>
      <c r="H1687">
        <v>6.5792797949721399E-2</v>
      </c>
      <c r="I1687">
        <v>0.13742438367730295</v>
      </c>
      <c r="J1687">
        <v>0.42295569183818138</v>
      </c>
      <c r="L1687">
        <v>2.8021418119490362</v>
      </c>
      <c r="M1687">
        <v>2.2176391649958287</v>
      </c>
      <c r="N1687">
        <v>0.83913031602355681</v>
      </c>
      <c r="P1687">
        <v>6.473186727243655E-13</v>
      </c>
      <c r="R1687">
        <v>2.9236518285351805</v>
      </c>
      <c r="S1687">
        <v>2.9250187817951137</v>
      </c>
      <c r="T1687">
        <v>1</v>
      </c>
      <c r="U1687">
        <v>2.0496460330402932</v>
      </c>
    </row>
    <row r="1688" spans="1:21">
      <c r="A1688">
        <v>5.7803331234180286E-2</v>
      </c>
      <c r="B1688">
        <v>-1.2045515310963362</v>
      </c>
      <c r="C1688">
        <v>0.75245363118993724</v>
      </c>
      <c r="D1688">
        <v>0</v>
      </c>
      <c r="E1688">
        <v>0</v>
      </c>
      <c r="F1688">
        <v>0</v>
      </c>
      <c r="G1688">
        <v>0.41824058852111046</v>
      </c>
      <c r="H1688">
        <v>0.33417932444177456</v>
      </c>
      <c r="I1688">
        <v>6.5408000121355114E-2</v>
      </c>
      <c r="J1688">
        <v>0.57181956149078328</v>
      </c>
      <c r="L1688">
        <v>2.8021419924524364</v>
      </c>
      <c r="M1688">
        <v>2.2176389091690196</v>
      </c>
      <c r="N1688">
        <v>0.83913018238445425</v>
      </c>
      <c r="P1688">
        <v>7.2146625910432919E-13</v>
      </c>
      <c r="R1688">
        <v>2.9236518285351805</v>
      </c>
      <c r="S1688">
        <v>2.9250187817951137</v>
      </c>
      <c r="T1688">
        <v>1</v>
      </c>
      <c r="U1688">
        <v>2.0496460330402932</v>
      </c>
    </row>
    <row r="1689" spans="1:21">
      <c r="A1689">
        <v>5.1206138822974707E-2</v>
      </c>
      <c r="B1689">
        <v>-1.2046438191392408</v>
      </c>
      <c r="C1689">
        <v>0.73924735680272513</v>
      </c>
      <c r="D1689">
        <v>0.41876190048625456</v>
      </c>
      <c r="E1689">
        <v>0.23514278744280251</v>
      </c>
      <c r="F1689">
        <v>9.9303857660877237E-2</v>
      </c>
      <c r="G1689">
        <v>0.39857072107013553</v>
      </c>
      <c r="H1689">
        <v>0.57889662570229372</v>
      </c>
      <c r="I1689">
        <v>1.0015145643454417</v>
      </c>
      <c r="J1689">
        <v>0.75797770394101771</v>
      </c>
      <c r="L1689">
        <v>2.8021419062129769</v>
      </c>
      <c r="M1689">
        <v>2.2176391674588971</v>
      </c>
      <c r="N1689">
        <v>0.83913044684332772</v>
      </c>
      <c r="P1689">
        <v>7.985321756366551E-13</v>
      </c>
      <c r="R1689">
        <v>2.9236518285351805</v>
      </c>
      <c r="S1689">
        <v>2.9250187817951137</v>
      </c>
      <c r="T1689">
        <v>1</v>
      </c>
      <c r="U1689">
        <v>2.0496460330402932</v>
      </c>
    </row>
    <row r="1690" spans="1:21">
      <c r="A1690">
        <v>5.1180710334583712E-2</v>
      </c>
      <c r="B1690">
        <v>-1.2054166415985341</v>
      </c>
      <c r="C1690">
        <v>0.7328387361097124</v>
      </c>
      <c r="D1690">
        <v>0.22459844431642362</v>
      </c>
      <c r="E1690">
        <v>0</v>
      </c>
      <c r="F1690">
        <v>0</v>
      </c>
      <c r="G1690">
        <v>0.27260175648875867</v>
      </c>
      <c r="H1690">
        <v>0.19004283425753968</v>
      </c>
      <c r="I1690">
        <v>0.89237691456984714</v>
      </c>
      <c r="J1690">
        <v>0.77686653339638689</v>
      </c>
      <c r="L1690">
        <v>2.8021419194331014</v>
      </c>
      <c r="M1690">
        <v>2.217639140858366</v>
      </c>
      <c r="N1690">
        <v>0.83913049017686392</v>
      </c>
      <c r="P1690">
        <v>8.0611295548319628E-13</v>
      </c>
      <c r="R1690">
        <v>2.9236518285351805</v>
      </c>
      <c r="S1690">
        <v>2.9250187817951137</v>
      </c>
      <c r="T1690">
        <v>1</v>
      </c>
      <c r="U1690">
        <v>2.0496460330402932</v>
      </c>
    </row>
    <row r="1691" spans="1:21">
      <c r="A1691">
        <v>4.7618564517866238E-2</v>
      </c>
      <c r="B1691">
        <v>-1.4069366173281961</v>
      </c>
      <c r="C1691">
        <v>0.41410686602257768</v>
      </c>
      <c r="D1691">
        <v>4.7232976816882523E-2</v>
      </c>
      <c r="E1691">
        <v>0.63307677464130241</v>
      </c>
      <c r="F1691">
        <v>0</v>
      </c>
      <c r="G1691">
        <v>0.73088382745534741</v>
      </c>
      <c r="H1691">
        <v>9.8794480201864029E-2</v>
      </c>
      <c r="I1691">
        <v>2.5945265112443109E-2</v>
      </c>
      <c r="J1691">
        <v>3.8962985315801689E-2</v>
      </c>
      <c r="L1691">
        <v>3.716926208938478</v>
      </c>
      <c r="M1691">
        <v>2.3648085285271634</v>
      </c>
      <c r="N1691">
        <v>2.2176356450398331</v>
      </c>
      <c r="P1691">
        <v>6.2938558225306033E-11</v>
      </c>
      <c r="R1691">
        <v>12.04767696135765</v>
      </c>
      <c r="S1691">
        <v>12.100449578887144</v>
      </c>
      <c r="T1691">
        <v>1</v>
      </c>
      <c r="U1691">
        <v>2.4595968111776454</v>
      </c>
    </row>
    <row r="1692" spans="1:21">
      <c r="A1692">
        <v>5.039226770308864E-2</v>
      </c>
      <c r="B1692">
        <v>-1.4055293997007017</v>
      </c>
      <c r="C1692">
        <v>0.39437088756288408</v>
      </c>
      <c r="D1692">
        <v>0</v>
      </c>
      <c r="E1692">
        <v>9.433382365891485E-2</v>
      </c>
      <c r="F1692">
        <v>0.67117130482905196</v>
      </c>
      <c r="G1692">
        <v>0.68929129194809624</v>
      </c>
      <c r="H1692">
        <v>0.79113133189987217</v>
      </c>
      <c r="I1692">
        <v>0.63653066399253699</v>
      </c>
      <c r="J1692">
        <v>0.93441489635369601</v>
      </c>
      <c r="L1692">
        <v>3.7169201944073853</v>
      </c>
      <c r="M1692">
        <v>2.3648036526658802</v>
      </c>
      <c r="N1692">
        <v>2.2176387248297544</v>
      </c>
      <c r="P1692">
        <v>3.5927447996708983E-12</v>
      </c>
      <c r="R1692">
        <v>12.04767696135765</v>
      </c>
      <c r="S1692">
        <v>12.100449578887144</v>
      </c>
      <c r="T1692">
        <v>1</v>
      </c>
      <c r="U1692">
        <v>2.4595968111776454</v>
      </c>
    </row>
    <row r="1693" spans="1:21">
      <c r="A1693">
        <v>4.7789565307044771E-2</v>
      </c>
      <c r="B1693">
        <v>-1.3985897267185743</v>
      </c>
      <c r="C1693">
        <v>0.40557481978240917</v>
      </c>
      <c r="D1693">
        <v>0</v>
      </c>
      <c r="E1693">
        <v>0.40514545994498719</v>
      </c>
      <c r="F1693">
        <v>0</v>
      </c>
      <c r="G1693">
        <v>0.26548566261608497</v>
      </c>
      <c r="H1693">
        <v>0.91858772648675768</v>
      </c>
      <c r="I1693">
        <v>0.34901392915335167</v>
      </c>
      <c r="J1693">
        <v>0.32900962668379036</v>
      </c>
      <c r="L1693">
        <v>3.7169263715406404</v>
      </c>
      <c r="M1693">
        <v>2.3648083287128197</v>
      </c>
      <c r="N1693">
        <v>2.2176355557573348</v>
      </c>
      <c r="P1693">
        <v>6.4478729846209388E-11</v>
      </c>
      <c r="R1693">
        <v>12.04767696135765</v>
      </c>
      <c r="S1693">
        <v>12.100449578887144</v>
      </c>
      <c r="T1693">
        <v>1</v>
      </c>
      <c r="U1693">
        <v>2.4595968111776454</v>
      </c>
    </row>
    <row r="1694" spans="1:21">
      <c r="A1694">
        <v>5.3781191938488869E-2</v>
      </c>
      <c r="B1694">
        <v>-1.4035489803467847</v>
      </c>
      <c r="C1694">
        <v>0.39005133139963721</v>
      </c>
      <c r="D1694">
        <v>0</v>
      </c>
      <c r="E1694">
        <v>0.3041425353820949</v>
      </c>
      <c r="F1694">
        <v>0.81745144878491516</v>
      </c>
      <c r="G1694">
        <v>0.30367205760895843</v>
      </c>
      <c r="H1694">
        <v>0.56677663928171462</v>
      </c>
      <c r="I1694">
        <v>0.96486944963282928</v>
      </c>
      <c r="J1694">
        <v>0.70740725511286284</v>
      </c>
      <c r="L1694">
        <v>3.7169257312620907</v>
      </c>
      <c r="M1694">
        <v>2.3648088012310056</v>
      </c>
      <c r="N1694">
        <v>2.2176360588131403</v>
      </c>
      <c r="P1694">
        <v>5.6249452082859548E-11</v>
      </c>
      <c r="R1694">
        <v>12.04767696135765</v>
      </c>
      <c r="S1694">
        <v>12.100449578887144</v>
      </c>
      <c r="T1694">
        <v>1</v>
      </c>
      <c r="U1694">
        <v>2.4595968111776454</v>
      </c>
    </row>
    <row r="1695" spans="1:21">
      <c r="A1695">
        <v>4.8458374340523643E-2</v>
      </c>
      <c r="B1695">
        <v>-1.4276175768173391</v>
      </c>
      <c r="C1695">
        <v>0.33646971584410779</v>
      </c>
      <c r="D1695">
        <v>0.65620432640726811</v>
      </c>
      <c r="E1695">
        <v>0.53457342292558596</v>
      </c>
      <c r="F1695">
        <v>0.12356255591901796</v>
      </c>
      <c r="G1695">
        <v>8.47266010324359E-2</v>
      </c>
      <c r="H1695">
        <v>6.9175423576386688E-2</v>
      </c>
      <c r="I1695">
        <v>0.30073957127422241</v>
      </c>
      <c r="J1695">
        <v>0.6940884970588439</v>
      </c>
      <c r="L1695">
        <v>3.7169263510970816</v>
      </c>
      <c r="M1695">
        <v>2.3648083766723618</v>
      </c>
      <c r="N1695">
        <v>2.2176354625062058</v>
      </c>
      <c r="P1695">
        <v>6.506698178747616E-11</v>
      </c>
      <c r="R1695">
        <v>12.04767696135765</v>
      </c>
      <c r="S1695">
        <v>12.100449578887144</v>
      </c>
      <c r="T1695">
        <v>1</v>
      </c>
      <c r="U1695">
        <v>2.4595968111776454</v>
      </c>
    </row>
    <row r="1696" spans="1:21">
      <c r="A1696">
        <v>4.9374881482071947E-2</v>
      </c>
      <c r="B1696">
        <v>-1.4236360376850599</v>
      </c>
      <c r="C1696">
        <v>0.3605655280715479</v>
      </c>
      <c r="D1696">
        <v>0</v>
      </c>
      <c r="E1696">
        <v>0.46254164805588521</v>
      </c>
      <c r="F1696">
        <v>0</v>
      </c>
      <c r="G1696">
        <v>0.939885625698611</v>
      </c>
      <c r="H1696">
        <v>8.2367623173148913E-2</v>
      </c>
      <c r="I1696">
        <v>0.85889268478059833</v>
      </c>
      <c r="J1696">
        <v>0.82626125617788304</v>
      </c>
      <c r="L1696">
        <v>3.7169261578681962</v>
      </c>
      <c r="M1696">
        <v>2.3648085818639206</v>
      </c>
      <c r="N1696">
        <v>2.2176356823635262</v>
      </c>
      <c r="P1696">
        <v>6.237084026293733E-11</v>
      </c>
      <c r="R1696">
        <v>12.04767696135765</v>
      </c>
      <c r="S1696">
        <v>12.100449578887144</v>
      </c>
      <c r="T1696">
        <v>1</v>
      </c>
      <c r="U1696">
        <v>2.4595968111776454</v>
      </c>
    </row>
    <row r="1697" spans="1:21">
      <c r="A1697">
        <v>5.0841357057791026E-2</v>
      </c>
      <c r="B1697">
        <v>-1.4144816042678861</v>
      </c>
      <c r="C1697">
        <v>0.35895367360850033</v>
      </c>
      <c r="D1697">
        <v>0.48883783219240901</v>
      </c>
      <c r="E1697">
        <v>0</v>
      </c>
      <c r="F1697">
        <v>0</v>
      </c>
      <c r="G1697">
        <v>0.17757648031552475</v>
      </c>
      <c r="H1697">
        <v>0.75348716761568402</v>
      </c>
      <c r="I1697">
        <v>0.47987123725437708</v>
      </c>
      <c r="J1697">
        <v>0.59880149493429091</v>
      </c>
      <c r="L1697">
        <v>3.7169266107382204</v>
      </c>
      <c r="M1697">
        <v>2.3648080791395256</v>
      </c>
      <c r="N1697">
        <v>2.2176353921494352</v>
      </c>
      <c r="P1697">
        <v>6.7456846638071131E-11</v>
      </c>
      <c r="R1697">
        <v>12.04767696135765</v>
      </c>
      <c r="S1697">
        <v>12.100449578887144</v>
      </c>
      <c r="T1697">
        <v>1</v>
      </c>
      <c r="U1697">
        <v>2.4595968111776454</v>
      </c>
    </row>
    <row r="1698" spans="1:21">
      <c r="A1698">
        <v>5.2404716072162238E-2</v>
      </c>
      <c r="B1698">
        <v>-1.4138742463274638</v>
      </c>
      <c r="C1698">
        <v>0.37322362355560124</v>
      </c>
      <c r="D1698">
        <v>0.26963750349074672</v>
      </c>
      <c r="E1698">
        <v>0</v>
      </c>
      <c r="F1698">
        <v>0.25576147051425613</v>
      </c>
      <c r="G1698">
        <v>0.7544398037928336</v>
      </c>
      <c r="H1698">
        <v>0.69438757014879238</v>
      </c>
      <c r="I1698">
        <v>0.86288742587241318</v>
      </c>
      <c r="J1698">
        <v>0.78837190995650308</v>
      </c>
      <c r="L1698">
        <v>3.7169259986867971</v>
      </c>
      <c r="M1698">
        <v>2.3648086497900875</v>
      </c>
      <c r="N1698">
        <v>2.2176358478032143</v>
      </c>
      <c r="P1698">
        <v>5.9769175141547663E-11</v>
      </c>
      <c r="R1698">
        <v>12.04767696135765</v>
      </c>
      <c r="S1698">
        <v>12.100449578887144</v>
      </c>
      <c r="T1698">
        <v>1</v>
      </c>
      <c r="U1698">
        <v>2.4595968111776454</v>
      </c>
    </row>
    <row r="1699" spans="1:21">
      <c r="A1699">
        <v>5.0541715886154026E-2</v>
      </c>
      <c r="B1699">
        <v>-1.4161543710711886</v>
      </c>
      <c r="C1699">
        <v>0.36197559976048199</v>
      </c>
      <c r="D1699">
        <v>9.9389971884791178E-2</v>
      </c>
      <c r="E1699">
        <v>0</v>
      </c>
      <c r="F1699">
        <v>0</v>
      </c>
      <c r="G1699">
        <v>0.6692054060652356</v>
      </c>
      <c r="H1699">
        <v>0.69819371742620584</v>
      </c>
      <c r="I1699">
        <v>0.82755988957722126</v>
      </c>
      <c r="J1699">
        <v>0.88074997817008482</v>
      </c>
      <c r="L1699">
        <v>3.7169260843510235</v>
      </c>
      <c r="M1699">
        <v>2.3648085974107977</v>
      </c>
      <c r="N1699">
        <v>2.2176356390903398</v>
      </c>
      <c r="P1699">
        <v>6.1762312179535202E-11</v>
      </c>
      <c r="R1699">
        <v>12.04767696135765</v>
      </c>
      <c r="S1699">
        <v>12.100449578887144</v>
      </c>
      <c r="T1699">
        <v>1</v>
      </c>
      <c r="U1699">
        <v>2.4595968111776454</v>
      </c>
    </row>
    <row r="1700" spans="1:21">
      <c r="A1700">
        <v>5.3953464101738811E-2</v>
      </c>
      <c r="B1700">
        <v>-1.4068694484365332</v>
      </c>
      <c r="C1700">
        <v>0.38680950974386769</v>
      </c>
      <c r="D1700">
        <v>0</v>
      </c>
      <c r="E1700">
        <v>0</v>
      </c>
      <c r="F1700">
        <v>0</v>
      </c>
      <c r="G1700">
        <v>0.51858586319385613</v>
      </c>
      <c r="H1700">
        <v>0.50091622196923924</v>
      </c>
      <c r="I1700">
        <v>0.80024843819125868</v>
      </c>
      <c r="J1700">
        <v>0.29126893738446491</v>
      </c>
      <c r="L1700">
        <v>3.7169260068902794</v>
      </c>
      <c r="M1700">
        <v>2.3648086455092567</v>
      </c>
      <c r="N1700">
        <v>2.2176358359911683</v>
      </c>
      <c r="P1700">
        <v>5.9913958023805289E-11</v>
      </c>
      <c r="R1700">
        <v>12.04767696135765</v>
      </c>
      <c r="S1700">
        <v>12.100449578887144</v>
      </c>
      <c r="T1700">
        <v>1</v>
      </c>
      <c r="U1700">
        <v>2.4595968111776454</v>
      </c>
    </row>
    <row r="1701" spans="1:21">
      <c r="A1701">
        <v>5.12829086966793E-2</v>
      </c>
      <c r="B1701">
        <v>-1.4098113511203003</v>
      </c>
      <c r="C1701">
        <v>0.37973510698088742</v>
      </c>
      <c r="D1701">
        <v>0.52766654821669334</v>
      </c>
      <c r="E1701">
        <v>0</v>
      </c>
      <c r="F1701">
        <v>0.27962359982404739</v>
      </c>
      <c r="G1701">
        <v>0.19306899585303686</v>
      </c>
      <c r="H1701">
        <v>0.58909885279045893</v>
      </c>
      <c r="I1701">
        <v>0.14674921542386621</v>
      </c>
      <c r="J1701">
        <v>0.38757819491927309</v>
      </c>
      <c r="L1701">
        <v>3.7169263835845583</v>
      </c>
      <c r="M1701">
        <v>2.3648083184310584</v>
      </c>
      <c r="N1701">
        <v>2.2176355050051288</v>
      </c>
      <c r="P1701">
        <v>6.490091227110135E-11</v>
      </c>
      <c r="R1701">
        <v>12.04767696135765</v>
      </c>
      <c r="S1701">
        <v>12.100449578887144</v>
      </c>
      <c r="T1701">
        <v>1</v>
      </c>
      <c r="U1701">
        <v>2.4595968111776454</v>
      </c>
    </row>
    <row r="1702" spans="1:21">
      <c r="A1702">
        <v>4.8013471991718445E-2</v>
      </c>
      <c r="B1702">
        <v>-1.4124131038369125</v>
      </c>
      <c r="C1702">
        <v>0.36790428286724258</v>
      </c>
      <c r="D1702">
        <v>0</v>
      </c>
      <c r="E1702">
        <v>0.52876839212487325</v>
      </c>
      <c r="F1702">
        <v>0</v>
      </c>
      <c r="G1702">
        <v>0</v>
      </c>
      <c r="H1702">
        <v>0.23820655644816199</v>
      </c>
      <c r="I1702">
        <v>0.32787428687841919</v>
      </c>
      <c r="J1702">
        <v>0.45323560195473672</v>
      </c>
      <c r="L1702">
        <v>3.7169262265541825</v>
      </c>
      <c r="M1702">
        <v>2.3648083776184903</v>
      </c>
      <c r="N1702">
        <v>2.2176363445448488</v>
      </c>
      <c r="P1702">
        <v>5.8540406742947183E-11</v>
      </c>
      <c r="R1702">
        <v>12.04767696135765</v>
      </c>
      <c r="S1702">
        <v>12.100449578887144</v>
      </c>
      <c r="T1702">
        <v>1</v>
      </c>
      <c r="U1702">
        <v>2.4595968111776454</v>
      </c>
    </row>
    <row r="1703" spans="1:21">
      <c r="A1703">
        <v>5.1807295746242481E-2</v>
      </c>
      <c r="B1703">
        <v>-1.3988394002063018</v>
      </c>
      <c r="C1703">
        <v>0.39965959766170428</v>
      </c>
      <c r="D1703">
        <v>0</v>
      </c>
      <c r="E1703">
        <v>5.703510755425327E-2</v>
      </c>
      <c r="F1703">
        <v>0</v>
      </c>
      <c r="G1703">
        <v>0.19346631396887853</v>
      </c>
      <c r="H1703">
        <v>0.79637891446266251</v>
      </c>
      <c r="I1703">
        <v>0.48656549791891662</v>
      </c>
      <c r="J1703">
        <v>0.18189994932189346</v>
      </c>
      <c r="L1703">
        <v>3.7169262273048869</v>
      </c>
      <c r="M1703">
        <v>2.3648080253519086</v>
      </c>
      <c r="N1703">
        <v>2.217637197591694</v>
      </c>
      <c r="P1703">
        <v>5.3386622999887553E-11</v>
      </c>
      <c r="R1703">
        <v>12.04767696135765</v>
      </c>
      <c r="S1703">
        <v>12.100449578887144</v>
      </c>
      <c r="T1703">
        <v>1</v>
      </c>
      <c r="U1703">
        <v>2.4595968111776454</v>
      </c>
    </row>
    <row r="1704" spans="1:21">
      <c r="A1704">
        <v>4.7389092684380206E-2</v>
      </c>
      <c r="B1704">
        <v>-1.4173301855610045</v>
      </c>
      <c r="C1704">
        <v>0.35049389985525436</v>
      </c>
      <c r="D1704">
        <v>0</v>
      </c>
      <c r="E1704">
        <v>0</v>
      </c>
      <c r="F1704">
        <v>0</v>
      </c>
      <c r="G1704">
        <v>0.21327370932043482</v>
      </c>
      <c r="H1704">
        <v>0.55168294840197374</v>
      </c>
      <c r="I1704">
        <v>0.30509514087296019</v>
      </c>
      <c r="J1704">
        <v>0.94433171744322741</v>
      </c>
      <c r="L1704">
        <v>3.7169262295760626</v>
      </c>
      <c r="M1704">
        <v>2.3648084709256061</v>
      </c>
      <c r="N1704">
        <v>2.2176356091417979</v>
      </c>
      <c r="P1704">
        <v>6.3078046154878092E-11</v>
      </c>
      <c r="R1704">
        <v>12.04767696135765</v>
      </c>
      <c r="S1704">
        <v>12.100449578887144</v>
      </c>
      <c r="T1704">
        <v>1</v>
      </c>
      <c r="U1704">
        <v>2.4595968111776454</v>
      </c>
    </row>
    <row r="1705" spans="1:21">
      <c r="A1705">
        <v>5.5101964341022387E-2</v>
      </c>
      <c r="B1705">
        <v>-1.4144640178107812</v>
      </c>
      <c r="C1705">
        <v>0.36478215021999133</v>
      </c>
      <c r="D1705">
        <v>0.3354443090016288</v>
      </c>
      <c r="E1705">
        <v>1.3972966691469791E-2</v>
      </c>
      <c r="F1705">
        <v>0.16928430229347297</v>
      </c>
      <c r="G1705">
        <v>0.34346194308200373</v>
      </c>
      <c r="H1705">
        <v>0.35661495220625078</v>
      </c>
      <c r="I1705">
        <v>0.84019736422481139</v>
      </c>
      <c r="J1705">
        <v>0.41688078479673346</v>
      </c>
      <c r="L1705">
        <v>3.7169264045879253</v>
      </c>
      <c r="M1705">
        <v>2.3648082964678911</v>
      </c>
      <c r="N1705">
        <v>2.217635424303511</v>
      </c>
      <c r="P1705">
        <v>6.5577086978423601E-11</v>
      </c>
      <c r="R1705">
        <v>12.04767696135765</v>
      </c>
      <c r="S1705">
        <v>12.100449578887144</v>
      </c>
      <c r="T1705">
        <v>1</v>
      </c>
      <c r="U1705">
        <v>2.4595968111776454</v>
      </c>
    </row>
    <row r="1706" spans="1:21">
      <c r="A1706">
        <v>4.760137481956727E-2</v>
      </c>
      <c r="B1706">
        <v>-1.4138889704728168</v>
      </c>
      <c r="C1706">
        <v>0.36743301451464166</v>
      </c>
      <c r="D1706">
        <v>0.59323295586860814</v>
      </c>
      <c r="E1706">
        <v>0</v>
      </c>
      <c r="F1706">
        <v>0</v>
      </c>
      <c r="G1706">
        <v>0.2870749713400963</v>
      </c>
      <c r="H1706">
        <v>0.90574126539194699</v>
      </c>
      <c r="I1706">
        <v>6.764949435420349E-2</v>
      </c>
      <c r="J1706">
        <v>0.6729717146941262</v>
      </c>
      <c r="L1706">
        <v>3.7169260816966205</v>
      </c>
      <c r="M1706">
        <v>2.3648085899496381</v>
      </c>
      <c r="N1706">
        <v>2.2176357603604266</v>
      </c>
      <c r="P1706">
        <v>6.0963672213523843E-11</v>
      </c>
      <c r="R1706">
        <v>12.04767696135765</v>
      </c>
      <c r="S1706">
        <v>12.100449578887144</v>
      </c>
      <c r="T1706">
        <v>1</v>
      </c>
      <c r="U1706">
        <v>2.4595968111776454</v>
      </c>
    </row>
    <row r="1707" spans="1:21">
      <c r="A1707">
        <v>5.0687350371646379E-2</v>
      </c>
      <c r="B1707">
        <v>-1.4114705384119877</v>
      </c>
      <c r="C1707">
        <v>0.37508770172851108</v>
      </c>
      <c r="D1707">
        <v>0</v>
      </c>
      <c r="E1707">
        <v>0.58637108172819807</v>
      </c>
      <c r="F1707">
        <v>0.70021412080921797</v>
      </c>
      <c r="G1707">
        <v>0.42032563568281134</v>
      </c>
      <c r="H1707">
        <v>0.42438489471182955</v>
      </c>
      <c r="I1707">
        <v>0.96607917270377686</v>
      </c>
      <c r="J1707">
        <v>0.94675912172790677</v>
      </c>
      <c r="L1707">
        <v>3.7169257707895889</v>
      </c>
      <c r="M1707">
        <v>2.364808823592345</v>
      </c>
      <c r="N1707">
        <v>2.2176357277874126</v>
      </c>
      <c r="P1707">
        <v>5.8719073603802252E-11</v>
      </c>
      <c r="R1707">
        <v>12.04767696135765</v>
      </c>
      <c r="S1707">
        <v>12.100449578887144</v>
      </c>
      <c r="T1707">
        <v>1</v>
      </c>
      <c r="U1707">
        <v>2.4595968111776454</v>
      </c>
    </row>
    <row r="1708" spans="1:21">
      <c r="A1708">
        <v>5.1794728024004248E-2</v>
      </c>
      <c r="B1708">
        <v>-1.3973048403855515</v>
      </c>
      <c r="C1708">
        <v>0.4027574722116754</v>
      </c>
      <c r="D1708">
        <v>0</v>
      </c>
      <c r="E1708">
        <v>0.4217776835047774</v>
      </c>
      <c r="F1708">
        <v>1.7633946581001252E-2</v>
      </c>
      <c r="G1708">
        <v>0.16714295663738485</v>
      </c>
      <c r="H1708">
        <v>0.84728047969102616</v>
      </c>
      <c r="I1708">
        <v>0.80696228863664266</v>
      </c>
      <c r="J1708">
        <v>0.16057572876264919</v>
      </c>
      <c r="L1708">
        <v>3.7169261445078887</v>
      </c>
      <c r="M1708">
        <v>2.3648085085400585</v>
      </c>
      <c r="N1708">
        <v>2.2176356757200733</v>
      </c>
      <c r="P1708">
        <v>6.1777936831387411E-11</v>
      </c>
      <c r="R1708">
        <v>12.04767696135765</v>
      </c>
      <c r="S1708">
        <v>12.100449578887144</v>
      </c>
      <c r="T1708">
        <v>1</v>
      </c>
      <c r="U1708">
        <v>2.4595968111776454</v>
      </c>
    </row>
    <row r="1709" spans="1:21">
      <c r="A1709">
        <v>5.2539893348151512E-2</v>
      </c>
      <c r="B1709">
        <v>-1.3985664099936275</v>
      </c>
      <c r="C1709">
        <v>0.40244135001718129</v>
      </c>
      <c r="D1709">
        <v>0</v>
      </c>
      <c r="E1709">
        <v>0</v>
      </c>
      <c r="F1709">
        <v>0.10909713206307467</v>
      </c>
      <c r="G1709">
        <v>0.42947056434319186</v>
      </c>
      <c r="H1709">
        <v>0.95992124838554715</v>
      </c>
      <c r="I1709">
        <v>0.72389160437363476</v>
      </c>
      <c r="J1709">
        <v>0.35116346465295517</v>
      </c>
      <c r="L1709">
        <v>3.7169261644314768</v>
      </c>
      <c r="M1709">
        <v>2.3648084996336793</v>
      </c>
      <c r="N1709">
        <v>2.2176356513657787</v>
      </c>
      <c r="P1709">
        <v>6.2132050282726188E-11</v>
      </c>
      <c r="R1709">
        <v>12.04767696135765</v>
      </c>
      <c r="S1709">
        <v>12.100449578887144</v>
      </c>
      <c r="T1709">
        <v>1</v>
      </c>
      <c r="U1709">
        <v>2.4595968111776454</v>
      </c>
    </row>
    <row r="1710" spans="1:21">
      <c r="A1710">
        <v>5.048844868211444E-2</v>
      </c>
      <c r="B1710">
        <v>-1.4063723998428896</v>
      </c>
      <c r="C1710">
        <v>0.38057311950537243</v>
      </c>
      <c r="D1710">
        <v>0</v>
      </c>
      <c r="E1710">
        <v>0</v>
      </c>
      <c r="F1710">
        <v>0.22382004995048832</v>
      </c>
      <c r="G1710">
        <v>4.7266913570488782E-2</v>
      </c>
      <c r="H1710">
        <v>0.45175586717856381</v>
      </c>
      <c r="I1710">
        <v>0.17922201335947238</v>
      </c>
      <c r="J1710">
        <v>0.43426281398023203</v>
      </c>
      <c r="L1710">
        <v>3.7169267513060054</v>
      </c>
      <c r="M1710">
        <v>2.3648078203638745</v>
      </c>
      <c r="N1710">
        <v>2.2176347994400376</v>
      </c>
      <c r="P1710">
        <v>7.2378723230381167E-11</v>
      </c>
      <c r="R1710">
        <v>12.04767696135765</v>
      </c>
      <c r="S1710">
        <v>12.100449578887144</v>
      </c>
      <c r="T1710">
        <v>1</v>
      </c>
      <c r="U1710">
        <v>2.4595968111776454</v>
      </c>
    </row>
    <row r="1711" spans="1:21">
      <c r="A1711">
        <v>4.9976520011334874E-2</v>
      </c>
      <c r="B1711">
        <v>-1.4013867418019168</v>
      </c>
      <c r="C1711">
        <v>0.40130583751610205</v>
      </c>
      <c r="D1711">
        <v>0</v>
      </c>
      <c r="E1711">
        <v>0.63390667595704919</v>
      </c>
      <c r="F1711">
        <v>0.81149829081061164</v>
      </c>
      <c r="G1711">
        <v>0.17138793126183824</v>
      </c>
      <c r="H1711">
        <v>0.48129895142356749</v>
      </c>
      <c r="I1711">
        <v>0.52419634087052458</v>
      </c>
      <c r="J1711">
        <v>0.59459184563378875</v>
      </c>
      <c r="L1711">
        <v>3.7169257093566674</v>
      </c>
      <c r="M1711">
        <v>2.364808828109886</v>
      </c>
      <c r="N1711">
        <v>2.217636008521628</v>
      </c>
      <c r="P1711">
        <v>5.6424622215700298E-11</v>
      </c>
      <c r="R1711">
        <v>12.04767696135765</v>
      </c>
      <c r="S1711">
        <v>12.100449578887144</v>
      </c>
      <c r="T1711">
        <v>1</v>
      </c>
      <c r="U1711">
        <v>2.4595968111776454</v>
      </c>
    </row>
    <row r="1712" spans="1:21">
      <c r="A1712">
        <v>4.8084411559532192E-2</v>
      </c>
      <c r="B1712">
        <v>-1.4044268085500498</v>
      </c>
      <c r="C1712">
        <v>0.38602585375478771</v>
      </c>
      <c r="D1712">
        <v>0</v>
      </c>
      <c r="E1712">
        <v>0</v>
      </c>
      <c r="F1712">
        <v>0</v>
      </c>
      <c r="G1712">
        <v>0.22950837817048833</v>
      </c>
      <c r="H1712">
        <v>0.84869481887005171</v>
      </c>
      <c r="I1712">
        <v>0.18450006250886511</v>
      </c>
      <c r="J1712">
        <v>0.54982060573652447</v>
      </c>
      <c r="L1712">
        <v>3.7169263892538349</v>
      </c>
      <c r="M1712">
        <v>2.3648083088178833</v>
      </c>
      <c r="N1712">
        <v>2.2176353710422365</v>
      </c>
      <c r="P1712">
        <v>6.5785026671488818E-11</v>
      </c>
      <c r="R1712">
        <v>12.04767696135765</v>
      </c>
      <c r="S1712">
        <v>12.100449578887144</v>
      </c>
      <c r="T1712">
        <v>1</v>
      </c>
      <c r="U1712">
        <v>2.4595968111776454</v>
      </c>
    </row>
    <row r="1713" spans="1:21">
      <c r="A1713">
        <v>5.1000258466963114E-2</v>
      </c>
      <c r="B1713">
        <v>-1.4147407553223597</v>
      </c>
      <c r="C1713">
        <v>0.3861140764231375</v>
      </c>
      <c r="D1713">
        <v>0</v>
      </c>
      <c r="E1713">
        <v>7.1518136855264577E-2</v>
      </c>
      <c r="F1713">
        <v>2.5402874332684237E-2</v>
      </c>
      <c r="G1713">
        <v>0.84594161286268077</v>
      </c>
      <c r="H1713">
        <v>5.7179077622162573E-2</v>
      </c>
      <c r="I1713">
        <v>0.33128159523572892</v>
      </c>
      <c r="J1713">
        <v>0.37135108978955422</v>
      </c>
      <c r="L1713">
        <v>3.716926094450677</v>
      </c>
      <c r="M1713">
        <v>2.3648086231132561</v>
      </c>
      <c r="N1713">
        <v>2.2176354875791482</v>
      </c>
      <c r="P1713">
        <v>6.2994503620601627E-11</v>
      </c>
      <c r="R1713">
        <v>12.04767696135765</v>
      </c>
      <c r="S1713">
        <v>12.100449578887144</v>
      </c>
      <c r="T1713">
        <v>1</v>
      </c>
      <c r="U1713">
        <v>2.4595968111776454</v>
      </c>
    </row>
    <row r="1714" spans="1:21">
      <c r="A1714">
        <v>4.9396727846480387E-2</v>
      </c>
      <c r="B1714">
        <v>-1.4237338716407575</v>
      </c>
      <c r="C1714">
        <v>0.34198044641957814</v>
      </c>
      <c r="D1714">
        <v>0</v>
      </c>
      <c r="E1714">
        <v>0.54132281631181967</v>
      </c>
      <c r="F1714">
        <v>0</v>
      </c>
      <c r="G1714">
        <v>0.28332489864607391</v>
      </c>
      <c r="H1714">
        <v>1.0466864056498142E-2</v>
      </c>
      <c r="I1714">
        <v>0.79793455250581469</v>
      </c>
      <c r="J1714">
        <v>0.78755603896145232</v>
      </c>
      <c r="L1714">
        <v>3.7169264936462794</v>
      </c>
      <c r="M1714">
        <v>2.3648082422251804</v>
      </c>
      <c r="N1714">
        <v>2.2176354210694957</v>
      </c>
      <c r="P1714">
        <v>6.6518865338094169E-11</v>
      </c>
      <c r="R1714">
        <v>12.04767696135765</v>
      </c>
      <c r="S1714">
        <v>12.100449578887144</v>
      </c>
      <c r="T1714">
        <v>1</v>
      </c>
      <c r="U1714">
        <v>2.4595968111776454</v>
      </c>
    </row>
    <row r="1715" spans="1:21">
      <c r="A1715">
        <v>4.6601549933536553E-2</v>
      </c>
      <c r="B1715">
        <v>-1.4156808113192618</v>
      </c>
      <c r="C1715">
        <v>0.37872299631544687</v>
      </c>
      <c r="D1715">
        <v>5.2499585273795342E-2</v>
      </c>
      <c r="E1715">
        <v>0</v>
      </c>
      <c r="F1715">
        <v>0</v>
      </c>
      <c r="G1715">
        <v>0.81508759474035386</v>
      </c>
      <c r="H1715">
        <v>0.47844494572642243</v>
      </c>
      <c r="I1715">
        <v>6.1005601691965686E-2</v>
      </c>
      <c r="J1715">
        <v>0.77223588035484247</v>
      </c>
      <c r="L1715">
        <v>3.7169262237927416</v>
      </c>
      <c r="M1715">
        <v>2.3648084821106665</v>
      </c>
      <c r="N1715">
        <v>2.2176359306548212</v>
      </c>
      <c r="P1715">
        <v>6.1213535810132413E-11</v>
      </c>
      <c r="R1715">
        <v>12.04767696135765</v>
      </c>
      <c r="S1715">
        <v>12.100449578887144</v>
      </c>
      <c r="T1715">
        <v>1</v>
      </c>
      <c r="U1715">
        <v>2.4595968111776454</v>
      </c>
    </row>
    <row r="1716" spans="1:21">
      <c r="A1716">
        <v>4.9160810321754317E-2</v>
      </c>
      <c r="B1716">
        <v>-1.4095864605699733</v>
      </c>
      <c r="C1716">
        <v>0.36108070293296823</v>
      </c>
      <c r="D1716">
        <v>0</v>
      </c>
      <c r="E1716">
        <v>0</v>
      </c>
      <c r="F1716">
        <v>0</v>
      </c>
      <c r="G1716">
        <v>7.4917328088444424E-2</v>
      </c>
      <c r="H1716">
        <v>0.88926831584799304</v>
      </c>
      <c r="I1716">
        <v>0.58139579919897522</v>
      </c>
      <c r="J1716">
        <v>0.81671242885242756</v>
      </c>
      <c r="L1716">
        <v>3.7169204128832227</v>
      </c>
      <c r="M1716">
        <v>2.3648045029716243</v>
      </c>
      <c r="N1716">
        <v>2.2176379695854354</v>
      </c>
      <c r="P1716">
        <v>2.0784656190575935E-12</v>
      </c>
      <c r="R1716">
        <v>12.04767696135765</v>
      </c>
      <c r="S1716">
        <v>12.100449578887144</v>
      </c>
      <c r="T1716">
        <v>1</v>
      </c>
      <c r="U1716">
        <v>2.4595968111776454</v>
      </c>
    </row>
    <row r="1717" spans="1:21">
      <c r="A1717">
        <v>5.4854497843683847E-2</v>
      </c>
      <c r="B1717">
        <v>-1.3979504693885625</v>
      </c>
      <c r="C1717">
        <v>0.41973797225128318</v>
      </c>
      <c r="D1717">
        <v>0.22916245966698226</v>
      </c>
      <c r="E1717">
        <v>0.21920779841802093</v>
      </c>
      <c r="F1717">
        <v>0.69915958084161733</v>
      </c>
      <c r="G1717">
        <v>0.79100848460303541</v>
      </c>
      <c r="H1717">
        <v>0.85345913643705329</v>
      </c>
      <c r="I1717">
        <v>0.9645525207762724</v>
      </c>
      <c r="J1717">
        <v>0.41667930499934452</v>
      </c>
      <c r="L1717">
        <v>3.7169266388976849</v>
      </c>
      <c r="M1717">
        <v>2.3648079834846265</v>
      </c>
      <c r="N1717">
        <v>2.2176361620989025</v>
      </c>
      <c r="P1717">
        <v>6.2926382283368957E-11</v>
      </c>
      <c r="R1717">
        <v>12.04767696135765</v>
      </c>
      <c r="S1717">
        <v>12.100449578887144</v>
      </c>
      <c r="T1717">
        <v>1</v>
      </c>
      <c r="U1717">
        <v>2.4595968111776454</v>
      </c>
    </row>
    <row r="1718" spans="1:21">
      <c r="A1718">
        <v>5.325213040021063E-2</v>
      </c>
      <c r="B1718">
        <v>-1.3994668104856962</v>
      </c>
      <c r="C1718">
        <v>0.41298723401491627</v>
      </c>
      <c r="D1718">
        <v>0.43326418406556627</v>
      </c>
      <c r="E1718">
        <v>0</v>
      </c>
      <c r="F1718">
        <v>0.35503819062998448</v>
      </c>
      <c r="G1718">
        <v>0.62382552891595244</v>
      </c>
      <c r="H1718">
        <v>0.97657666712914126</v>
      </c>
      <c r="I1718">
        <v>0.53294221555522836</v>
      </c>
      <c r="J1718">
        <v>0.26758018436107789</v>
      </c>
      <c r="L1718">
        <v>3.7169256969791085</v>
      </c>
      <c r="M1718">
        <v>2.364808830651687</v>
      </c>
      <c r="N1718">
        <v>2.2176360531474235</v>
      </c>
      <c r="P1718">
        <v>5.6055388709000606E-11</v>
      </c>
      <c r="R1718">
        <v>12.04767696135765</v>
      </c>
      <c r="S1718">
        <v>12.100449578887144</v>
      </c>
      <c r="T1718">
        <v>1</v>
      </c>
      <c r="U1718">
        <v>2.4595968111776454</v>
      </c>
    </row>
    <row r="1719" spans="1:21">
      <c r="A1719">
        <v>5.4532595520047841E-2</v>
      </c>
      <c r="B1719">
        <v>-1.4029060043868988</v>
      </c>
      <c r="C1719">
        <v>0.39571911049758268</v>
      </c>
      <c r="D1719">
        <v>0</v>
      </c>
      <c r="E1719">
        <v>0</v>
      </c>
      <c r="F1719">
        <v>0</v>
      </c>
      <c r="G1719">
        <v>0.35270943409714373</v>
      </c>
      <c r="H1719">
        <v>0.447405979109117</v>
      </c>
      <c r="I1719">
        <v>0.6474913712228757</v>
      </c>
      <c r="J1719">
        <v>5.2720046278918541E-2</v>
      </c>
      <c r="L1719">
        <v>3.7169262902063558</v>
      </c>
      <c r="M1719">
        <v>2.3648083908488204</v>
      </c>
      <c r="N1719">
        <v>2.2176359045961274</v>
      </c>
      <c r="P1719">
        <v>6.1698858515939177E-11</v>
      </c>
      <c r="R1719">
        <v>12.04767696135765</v>
      </c>
      <c r="S1719">
        <v>12.100449578887144</v>
      </c>
      <c r="T1719">
        <v>1</v>
      </c>
      <c r="U1719">
        <v>2.4595968111776454</v>
      </c>
    </row>
    <row r="1720" spans="1:21">
      <c r="A1720">
        <v>5.3142719964198053E-2</v>
      </c>
      <c r="B1720">
        <v>-1.4059023420500993</v>
      </c>
      <c r="C1720">
        <v>0.38710653772449549</v>
      </c>
      <c r="D1720">
        <v>0.10821500761442668</v>
      </c>
      <c r="E1720">
        <v>6.9119643611638901E-2</v>
      </c>
      <c r="F1720">
        <v>0</v>
      </c>
      <c r="G1720">
        <v>0.18005670591120329</v>
      </c>
      <c r="H1720">
        <v>0.35278388598467786</v>
      </c>
      <c r="I1720">
        <v>0.4253788567809858</v>
      </c>
      <c r="J1720">
        <v>7.7029938514150034E-2</v>
      </c>
      <c r="L1720">
        <v>3.7169262039453241</v>
      </c>
      <c r="M1720">
        <v>2.364808479947734</v>
      </c>
      <c r="N1720">
        <v>2.2176356630280512</v>
      </c>
      <c r="P1720">
        <v>6.2465916752228459E-11</v>
      </c>
      <c r="R1720">
        <v>12.04767696135765</v>
      </c>
      <c r="S1720">
        <v>12.100449578887144</v>
      </c>
      <c r="T1720">
        <v>1</v>
      </c>
      <c r="U1720">
        <v>2.4595968111776454</v>
      </c>
    </row>
    <row r="1721" spans="1:21">
      <c r="A1721">
        <v>9.1270857005314024E-2</v>
      </c>
      <c r="B1721">
        <v>-1.2772865619932314</v>
      </c>
      <c r="C1721">
        <v>0.7825335247508507</v>
      </c>
      <c r="D1721">
        <v>0</v>
      </c>
      <c r="E1721">
        <v>0</v>
      </c>
      <c r="F1721">
        <v>0</v>
      </c>
      <c r="G1721">
        <v>0.49627337242500008</v>
      </c>
      <c r="H1721">
        <v>2.3476593385299376E-2</v>
      </c>
      <c r="I1721">
        <v>0.33980260845756538</v>
      </c>
      <c r="J1721">
        <v>0.29496130161731154</v>
      </c>
      <c r="L1721">
        <v>3.7169219496861312</v>
      </c>
      <c r="M1721">
        <v>2.3648074129954701</v>
      </c>
      <c r="N1721">
        <v>0.83912979472659421</v>
      </c>
      <c r="P1721">
        <v>9.9095938574198983E-12</v>
      </c>
      <c r="R1721">
        <v>6.7072021575193475</v>
      </c>
      <c r="S1721">
        <v>6.7197741867997447</v>
      </c>
      <c r="T1721">
        <v>1</v>
      </c>
      <c r="U1721">
        <v>2.4636098946514116</v>
      </c>
    </row>
    <row r="1722" spans="1:21">
      <c r="A1722">
        <v>8.8679702873125127E-2</v>
      </c>
      <c r="B1722">
        <v>-1.2713994587835249</v>
      </c>
      <c r="C1722">
        <v>0.77818146774122265</v>
      </c>
      <c r="D1722">
        <v>0</v>
      </c>
      <c r="E1722">
        <v>0</v>
      </c>
      <c r="F1722">
        <v>0.18811924525512383</v>
      </c>
      <c r="G1722">
        <v>2.4919483351759409E-2</v>
      </c>
      <c r="H1722">
        <v>0.55346613963273639</v>
      </c>
      <c r="I1722">
        <v>0.22936756480219234</v>
      </c>
      <c r="J1722">
        <v>8.1522036200313439E-2</v>
      </c>
      <c r="L1722">
        <v>3.7169220778705943</v>
      </c>
      <c r="M1722">
        <v>2.3648078358945179</v>
      </c>
      <c r="N1722">
        <v>0.83912942135157187</v>
      </c>
      <c r="P1722">
        <v>1.2905789873892222E-11</v>
      </c>
      <c r="R1722">
        <v>6.7072021575193475</v>
      </c>
      <c r="S1722">
        <v>6.7197741867997447</v>
      </c>
      <c r="T1722">
        <v>1</v>
      </c>
      <c r="U1722">
        <v>2.4636098946514116</v>
      </c>
    </row>
    <row r="1723" spans="1:21">
      <c r="A1723">
        <v>8.7259382639794408E-2</v>
      </c>
      <c r="B1723">
        <v>-1.2781277143393617</v>
      </c>
      <c r="C1723">
        <v>0.7712098386343238</v>
      </c>
      <c r="D1723">
        <v>0</v>
      </c>
      <c r="E1723">
        <v>0</v>
      </c>
      <c r="F1723">
        <v>0.10652127885547659</v>
      </c>
      <c r="G1723">
        <v>0.67624858681647415</v>
      </c>
      <c r="H1723">
        <v>0.79087198708955997</v>
      </c>
      <c r="I1723">
        <v>0.61557045637175534</v>
      </c>
      <c r="J1723">
        <v>0.70570477864697068</v>
      </c>
      <c r="L1723">
        <v>3.7169221999722</v>
      </c>
      <c r="M1723">
        <v>2.3648077934929357</v>
      </c>
      <c r="N1723">
        <v>0.83912919511502571</v>
      </c>
      <c r="P1723">
        <v>1.3782190829268947E-11</v>
      </c>
      <c r="R1723">
        <v>6.7072021575193475</v>
      </c>
      <c r="S1723">
        <v>6.7197741867997447</v>
      </c>
      <c r="T1723">
        <v>1</v>
      </c>
      <c r="U1723">
        <v>2.4636098946514116</v>
      </c>
    </row>
    <row r="1724" spans="1:21">
      <c r="A1724">
        <v>8.866626788302745E-2</v>
      </c>
      <c r="B1724">
        <v>-1.2837915652885838</v>
      </c>
      <c r="C1724">
        <v>0.75775186417444573</v>
      </c>
      <c r="D1724">
        <v>0.66428213751211285</v>
      </c>
      <c r="E1724">
        <v>0.52408791469298122</v>
      </c>
      <c r="F1724">
        <v>5.931824811038465E-2</v>
      </c>
      <c r="G1724">
        <v>0.3089239831929308</v>
      </c>
      <c r="H1724">
        <v>0.59561308198023977</v>
      </c>
      <c r="I1724">
        <v>0.7296004842276953</v>
      </c>
      <c r="J1724">
        <v>0.77027610448440276</v>
      </c>
      <c r="L1724">
        <v>3.7169221792886162</v>
      </c>
      <c r="M1724">
        <v>2.3648075931567383</v>
      </c>
      <c r="N1724">
        <v>0.83912935449877946</v>
      </c>
      <c r="P1724">
        <v>1.2442865581592151E-11</v>
      </c>
      <c r="R1724">
        <v>6.7072021575193475</v>
      </c>
      <c r="S1724">
        <v>6.7197741867997447</v>
      </c>
      <c r="T1724">
        <v>1</v>
      </c>
      <c r="U1724">
        <v>2.4636098946514116</v>
      </c>
    </row>
    <row r="1725" spans="1:21">
      <c r="A1725">
        <v>9.2477520693209581E-2</v>
      </c>
      <c r="B1725">
        <v>-1.2755217806367207</v>
      </c>
      <c r="C1725">
        <v>0.78865290160052948</v>
      </c>
      <c r="D1725">
        <v>0</v>
      </c>
      <c r="E1725">
        <v>0</v>
      </c>
      <c r="F1725">
        <v>0</v>
      </c>
      <c r="G1725">
        <v>0.6830340762780579</v>
      </c>
      <c r="H1725">
        <v>0.16818325491715627</v>
      </c>
      <c r="I1725">
        <v>0.61178016024403092</v>
      </c>
      <c r="J1725">
        <v>0.33853577731242235</v>
      </c>
      <c r="L1725">
        <v>3.7169220743809674</v>
      </c>
      <c r="M1725">
        <v>2.3648075951710457</v>
      </c>
      <c r="N1725">
        <v>0.83912955650341803</v>
      </c>
      <c r="P1725">
        <v>1.1572152259681186E-11</v>
      </c>
      <c r="R1725">
        <v>6.7072021575193475</v>
      </c>
      <c r="S1725">
        <v>6.7197741867997447</v>
      </c>
      <c r="T1725">
        <v>1</v>
      </c>
      <c r="U1725">
        <v>2.4636098946514116</v>
      </c>
    </row>
    <row r="1726" spans="1:21">
      <c r="A1726">
        <v>8.7744248937639255E-2</v>
      </c>
      <c r="B1726">
        <v>-1.2771775310586277</v>
      </c>
      <c r="C1726">
        <v>0.78344012692297404</v>
      </c>
      <c r="D1726">
        <v>0</v>
      </c>
      <c r="E1726">
        <v>6.9780184963718905E-2</v>
      </c>
      <c r="F1726">
        <v>0.64970958287521285</v>
      </c>
      <c r="G1726">
        <v>0.66809093101036898</v>
      </c>
      <c r="H1726">
        <v>0.40812362747399311</v>
      </c>
      <c r="I1726">
        <v>0.30865941959821475</v>
      </c>
      <c r="J1726">
        <v>0.67847727250064593</v>
      </c>
      <c r="L1726">
        <v>3.7169216573243382</v>
      </c>
      <c r="M1726">
        <v>2.3648084417373889</v>
      </c>
      <c r="N1726">
        <v>0.83912967533006833</v>
      </c>
      <c r="P1726">
        <v>1.3855654710030252E-11</v>
      </c>
      <c r="R1726">
        <v>6.7072021575193475</v>
      </c>
      <c r="S1726">
        <v>6.7197741867997447</v>
      </c>
      <c r="T1726">
        <v>1</v>
      </c>
      <c r="U1726">
        <v>2.4636098946514116</v>
      </c>
    </row>
    <row r="1727" spans="1:21">
      <c r="A1727">
        <v>8.2774920091483933E-2</v>
      </c>
      <c r="B1727">
        <v>-1.2907495177384809</v>
      </c>
      <c r="C1727">
        <v>0.74934934240056894</v>
      </c>
      <c r="D1727">
        <v>0</v>
      </c>
      <c r="E1727">
        <v>0.37500313076304204</v>
      </c>
      <c r="F1727">
        <v>7.4615583825740087E-2</v>
      </c>
      <c r="G1727">
        <v>0.49168498225213286</v>
      </c>
      <c r="H1727">
        <v>2.7620871634479252E-2</v>
      </c>
      <c r="I1727">
        <v>1.4439972756568506E-2</v>
      </c>
      <c r="J1727">
        <v>0.88846262883745475</v>
      </c>
      <c r="L1727">
        <v>3.7169220697952197</v>
      </c>
      <c r="M1727">
        <v>2.3648072196096108</v>
      </c>
      <c r="N1727">
        <v>0.83912964532430423</v>
      </c>
      <c r="P1727">
        <v>9.944036654980014E-12</v>
      </c>
      <c r="R1727">
        <v>6.7072021575193475</v>
      </c>
      <c r="S1727">
        <v>6.7197741867997447</v>
      </c>
      <c r="T1727">
        <v>1</v>
      </c>
      <c r="U1727">
        <v>2.4636098946514116</v>
      </c>
    </row>
    <row r="1728" spans="1:21">
      <c r="A1728">
        <v>8.8936981399872522E-2</v>
      </c>
      <c r="B1728">
        <v>-1.2790317196820646</v>
      </c>
      <c r="C1728">
        <v>0.78308757731994161</v>
      </c>
      <c r="D1728">
        <v>0</v>
      </c>
      <c r="E1728">
        <v>0.25871102010478819</v>
      </c>
      <c r="F1728">
        <v>0</v>
      </c>
      <c r="G1728">
        <v>0.80327211857685488</v>
      </c>
      <c r="H1728">
        <v>0.26998281065492236</v>
      </c>
      <c r="I1728">
        <v>0.60030578804459256</v>
      </c>
      <c r="J1728">
        <v>0.43688719884536442</v>
      </c>
      <c r="L1728">
        <v>3.7169223223791721</v>
      </c>
      <c r="M1728">
        <v>2.3648077351279722</v>
      </c>
      <c r="N1728">
        <v>0.83912888037774014</v>
      </c>
      <c r="P1728">
        <v>1.4964987418309506E-11</v>
      </c>
      <c r="R1728">
        <v>6.7072021575193475</v>
      </c>
      <c r="S1728">
        <v>6.7197741867997447</v>
      </c>
      <c r="T1728">
        <v>1</v>
      </c>
      <c r="U1728">
        <v>2.4636098946514116</v>
      </c>
    </row>
    <row r="1729" spans="1:21">
      <c r="A1729">
        <v>8.5484166277809776E-2</v>
      </c>
      <c r="B1729">
        <v>-1.2690284081580108</v>
      </c>
      <c r="C1729">
        <v>0.79526283095624228</v>
      </c>
      <c r="D1729">
        <v>4.0861542448276909E-2</v>
      </c>
      <c r="E1729">
        <v>0.11298483155640275</v>
      </c>
      <c r="F1729">
        <v>0.79072313900402869</v>
      </c>
      <c r="G1729">
        <v>0.39402773823511578</v>
      </c>
      <c r="H1729">
        <v>0.85810780028671607</v>
      </c>
      <c r="I1729">
        <v>9.311493925695552E-2</v>
      </c>
      <c r="J1729">
        <v>0.13810671912355962</v>
      </c>
      <c r="L1729">
        <v>3.716921994887926</v>
      </c>
      <c r="M1729">
        <v>2.3648075812018403</v>
      </c>
      <c r="N1729">
        <v>0.83912967531149874</v>
      </c>
      <c r="P1729">
        <v>1.0955941685766435E-11</v>
      </c>
      <c r="R1729">
        <v>6.7072021575193475</v>
      </c>
      <c r="S1729">
        <v>6.7197741867997447</v>
      </c>
      <c r="T1729">
        <v>1</v>
      </c>
      <c r="U1729">
        <v>2.4636098946514116</v>
      </c>
    </row>
    <row r="1730" spans="1:21">
      <c r="A1730">
        <v>8.9671240465889729E-2</v>
      </c>
      <c r="B1730">
        <v>-1.2778867729962524</v>
      </c>
      <c r="C1730">
        <v>0.7476260873028685</v>
      </c>
      <c r="D1730">
        <v>0</v>
      </c>
      <c r="E1730">
        <v>0</v>
      </c>
      <c r="F1730">
        <v>4.4095926416071268E-2</v>
      </c>
      <c r="G1730">
        <v>0</v>
      </c>
      <c r="H1730">
        <v>0.7936175003121394</v>
      </c>
      <c r="I1730">
        <v>0.89085931972373578</v>
      </c>
      <c r="J1730">
        <v>0.91091401717055887</v>
      </c>
      <c r="L1730">
        <v>3.7169220552563771</v>
      </c>
      <c r="M1730">
        <v>2.3648074897969305</v>
      </c>
      <c r="N1730">
        <v>0.83912959922431163</v>
      </c>
      <c r="P1730">
        <v>1.0970572549886395E-11</v>
      </c>
      <c r="R1730">
        <v>6.7072021575193475</v>
      </c>
      <c r="S1730">
        <v>6.7197741867997447</v>
      </c>
      <c r="T1730">
        <v>1</v>
      </c>
      <c r="U1730">
        <v>2.4636098946514116</v>
      </c>
    </row>
    <row r="1731" spans="1:21">
      <c r="A1731">
        <v>8.5175176611808845E-2</v>
      </c>
      <c r="B1731">
        <v>-1.2798678110087114</v>
      </c>
      <c r="C1731">
        <v>0.77598828333429082</v>
      </c>
      <c r="D1731">
        <v>0</v>
      </c>
      <c r="E1731">
        <v>9.7401533925252595E-2</v>
      </c>
      <c r="F1731">
        <v>0.19649198697793696</v>
      </c>
      <c r="G1731">
        <v>0.80954128766215083</v>
      </c>
      <c r="H1731">
        <v>0.65780340567453199</v>
      </c>
      <c r="I1731">
        <v>0.34880729372744862</v>
      </c>
      <c r="J1731">
        <v>0.62357456598477445</v>
      </c>
      <c r="L1731">
        <v>3.7169220642992453</v>
      </c>
      <c r="M1731">
        <v>2.3648074876237541</v>
      </c>
      <c r="N1731">
        <v>0.83912960537399195</v>
      </c>
      <c r="P1731">
        <v>1.0998464604461137E-11</v>
      </c>
      <c r="R1731">
        <v>6.7072021575193475</v>
      </c>
      <c r="S1731">
        <v>6.7197741867997447</v>
      </c>
      <c r="T1731">
        <v>1</v>
      </c>
      <c r="U1731">
        <v>2.4636098946514116</v>
      </c>
    </row>
    <row r="1732" spans="1:21">
      <c r="A1732">
        <v>8.5632157773501444E-2</v>
      </c>
      <c r="B1732">
        <v>-1.2847447457342946</v>
      </c>
      <c r="C1732">
        <v>0.74834879541085642</v>
      </c>
      <c r="D1732">
        <v>0</v>
      </c>
      <c r="E1732">
        <v>0</v>
      </c>
      <c r="F1732">
        <v>3.8396796220617153E-2</v>
      </c>
      <c r="G1732">
        <v>0.45759688293027295</v>
      </c>
      <c r="H1732">
        <v>0.6429840901021503</v>
      </c>
      <c r="I1732">
        <v>0.47710636779548304</v>
      </c>
      <c r="J1732">
        <v>1.0522914308990674</v>
      </c>
      <c r="L1732">
        <v>3.7169219463949652</v>
      </c>
      <c r="M1732">
        <v>2.3648082909699872</v>
      </c>
      <c r="N1732">
        <v>0.83912934866354216</v>
      </c>
      <c r="P1732">
        <v>1.4783848246860258E-11</v>
      </c>
      <c r="R1732">
        <v>6.7072021575193475</v>
      </c>
      <c r="S1732">
        <v>6.7197741867997447</v>
      </c>
      <c r="T1732">
        <v>1</v>
      </c>
      <c r="U1732">
        <v>2.4636098946514116</v>
      </c>
    </row>
    <row r="1733" spans="1:21">
      <c r="A1733">
        <v>8.765074845982819E-2</v>
      </c>
      <c r="B1733">
        <v>-1.2835992960643536</v>
      </c>
      <c r="C1733">
        <v>0.75725521238611593</v>
      </c>
      <c r="D1733">
        <v>0.53944321568906772</v>
      </c>
      <c r="E1733">
        <v>0</v>
      </c>
      <c r="F1733">
        <v>0.38836263169622687</v>
      </c>
      <c r="G1733">
        <v>0.33393684466699713</v>
      </c>
      <c r="H1733">
        <v>0.62644327343290218</v>
      </c>
      <c r="I1733">
        <v>0.23406132345438149</v>
      </c>
      <c r="J1733">
        <v>0.9728427745331959</v>
      </c>
      <c r="L1733">
        <v>3.7169220539269858</v>
      </c>
      <c r="M1733">
        <v>2.3648074704714399</v>
      </c>
      <c r="N1733">
        <v>0.83912962714943828</v>
      </c>
      <c r="P1733">
        <v>1.0846767429053405E-11</v>
      </c>
      <c r="R1733">
        <v>6.7072021575193475</v>
      </c>
      <c r="S1733">
        <v>6.7197741867997447</v>
      </c>
      <c r="T1733">
        <v>1</v>
      </c>
      <c r="U1733">
        <v>2.4636098946514116</v>
      </c>
    </row>
    <row r="1734" spans="1:21">
      <c r="A1734">
        <v>9.1322680965314276E-2</v>
      </c>
      <c r="B1734">
        <v>-1.2720956221973314</v>
      </c>
      <c r="C1734">
        <v>0.79569329153038948</v>
      </c>
      <c r="D1734">
        <v>0</v>
      </c>
      <c r="E1734">
        <v>0</v>
      </c>
      <c r="F1734">
        <v>0</v>
      </c>
      <c r="G1734">
        <v>0.65873725760560775</v>
      </c>
      <c r="H1734">
        <v>0.38256592127109651</v>
      </c>
      <c r="I1734">
        <v>0.52498232570179226</v>
      </c>
      <c r="J1734">
        <v>8.2008277800330945E-2</v>
      </c>
      <c r="L1734">
        <v>3.7169214981868968</v>
      </c>
      <c r="M1734">
        <v>2.3648086875531429</v>
      </c>
      <c r="N1734">
        <v>0.83912963622464742</v>
      </c>
      <c r="P1734">
        <v>1.4799860872414231E-11</v>
      </c>
      <c r="R1734">
        <v>6.7072021575193475</v>
      </c>
      <c r="S1734">
        <v>6.7197741867997447</v>
      </c>
      <c r="T1734">
        <v>1</v>
      </c>
      <c r="U1734">
        <v>2.4636098946514116</v>
      </c>
    </row>
    <row r="1735" spans="1:21">
      <c r="A1735">
        <v>8.3098447124088703E-2</v>
      </c>
      <c r="B1735">
        <v>-1.2762259628573949</v>
      </c>
      <c r="C1735">
        <v>0.78404031748273539</v>
      </c>
      <c r="D1735">
        <v>3.3816177301324345E-3</v>
      </c>
      <c r="E1735">
        <v>3.6281121419198301E-2</v>
      </c>
      <c r="F1735">
        <v>0</v>
      </c>
      <c r="G1735">
        <v>0.73077677128601581</v>
      </c>
      <c r="H1735">
        <v>0.85356751561118249</v>
      </c>
      <c r="I1735">
        <v>3.5474722408699651E-2</v>
      </c>
      <c r="J1735">
        <v>0.12734455088425764</v>
      </c>
      <c r="L1735">
        <v>3.7169220000653409</v>
      </c>
      <c r="M1735">
        <v>2.364807432328456</v>
      </c>
      <c r="N1735">
        <v>0.83912971548191961</v>
      </c>
      <c r="P1735">
        <v>1.0316139598565274E-11</v>
      </c>
      <c r="R1735">
        <v>6.7072021575193475</v>
      </c>
      <c r="S1735">
        <v>6.7197741867997447</v>
      </c>
      <c r="T1735">
        <v>1</v>
      </c>
      <c r="U1735">
        <v>2.4636098946514116</v>
      </c>
    </row>
    <row r="1736" spans="1:21">
      <c r="A1736">
        <v>9.5845440296222287E-2</v>
      </c>
      <c r="B1736">
        <v>-1.2720657427505997</v>
      </c>
      <c r="C1736">
        <v>0.79409692734655113</v>
      </c>
      <c r="D1736">
        <v>0.41571116876274961</v>
      </c>
      <c r="E1736">
        <v>0</v>
      </c>
      <c r="F1736">
        <v>2.5806786365794106E-3</v>
      </c>
      <c r="G1736">
        <v>0.6203085487431178</v>
      </c>
      <c r="H1736">
        <v>0.47856593956740573</v>
      </c>
      <c r="I1736">
        <v>0.92249209370342089</v>
      </c>
      <c r="J1736">
        <v>0.28954704955260474</v>
      </c>
      <c r="L1736">
        <v>3.7169223332122434</v>
      </c>
      <c r="M1736">
        <v>2.3648076836926002</v>
      </c>
      <c r="N1736">
        <v>0.83912884491381512</v>
      </c>
      <c r="P1736">
        <v>1.4892743932270151E-11</v>
      </c>
      <c r="R1736">
        <v>6.7072021575193475</v>
      </c>
      <c r="S1736">
        <v>6.7197741867997447</v>
      </c>
      <c r="T1736">
        <v>1</v>
      </c>
      <c r="U1736">
        <v>2.4636098946514116</v>
      </c>
    </row>
    <row r="1737" spans="1:21">
      <c r="A1737">
        <v>8.6318448059906183E-2</v>
      </c>
      <c r="B1737">
        <v>-1.2756630403368407</v>
      </c>
      <c r="C1737">
        <v>0.77184590908606376</v>
      </c>
      <c r="D1737">
        <v>8.4466702654257222E-2</v>
      </c>
      <c r="E1737">
        <v>0.51123097816307728</v>
      </c>
      <c r="F1737">
        <v>0</v>
      </c>
      <c r="G1737">
        <v>0.24839497310909447</v>
      </c>
      <c r="H1737">
        <v>0.70819693824299945</v>
      </c>
      <c r="I1737">
        <v>0.64581668035353312</v>
      </c>
      <c r="J1737">
        <v>0.22145922506810126</v>
      </c>
      <c r="L1737">
        <v>3.7169222628797356</v>
      </c>
      <c r="M1737">
        <v>2.3648078255813312</v>
      </c>
      <c r="N1737">
        <v>0.83912897429357391</v>
      </c>
      <c r="P1737">
        <v>1.4806299354386183E-11</v>
      </c>
      <c r="R1737">
        <v>6.7072021575193475</v>
      </c>
      <c r="S1737">
        <v>6.7197741867997447</v>
      </c>
      <c r="T1737">
        <v>1</v>
      </c>
      <c r="U1737">
        <v>2.4636098946514116</v>
      </c>
    </row>
    <row r="1738" spans="1:21">
      <c r="A1738">
        <v>8.7712422688808231E-2</v>
      </c>
      <c r="B1738">
        <v>-1.2724781233079929</v>
      </c>
      <c r="C1738">
        <v>0.77105318984250271</v>
      </c>
      <c r="D1738">
        <v>0</v>
      </c>
      <c r="E1738">
        <v>0</v>
      </c>
      <c r="F1738">
        <v>0</v>
      </c>
      <c r="G1738">
        <v>0.18412212824388222</v>
      </c>
      <c r="H1738">
        <v>0.92894223929948128</v>
      </c>
      <c r="I1738">
        <v>0.54319118057567661</v>
      </c>
      <c r="J1738">
        <v>0.28198272833158938</v>
      </c>
      <c r="L1738">
        <v>3.7169220180554876</v>
      </c>
      <c r="M1738">
        <v>2.3648074165780102</v>
      </c>
      <c r="N1738">
        <v>0.83912967548036432</v>
      </c>
      <c r="P1738">
        <v>1.0389838463387693E-11</v>
      </c>
      <c r="R1738">
        <v>6.7072021575193475</v>
      </c>
      <c r="S1738">
        <v>6.7197741867997447</v>
      </c>
      <c r="T1738">
        <v>1</v>
      </c>
      <c r="U1738">
        <v>2.4636098946514116</v>
      </c>
    </row>
    <row r="1739" spans="1:21">
      <c r="A1739">
        <v>8.0935547518183812E-2</v>
      </c>
      <c r="B1739">
        <v>-1.2824898443878767</v>
      </c>
      <c r="C1739">
        <v>0.76668738399767544</v>
      </c>
      <c r="D1739">
        <v>0</v>
      </c>
      <c r="E1739">
        <v>0.17568024206196825</v>
      </c>
      <c r="F1739">
        <v>0</v>
      </c>
      <c r="G1739">
        <v>0.7884660021833092</v>
      </c>
      <c r="H1739">
        <v>0.89296928873513159</v>
      </c>
      <c r="I1739">
        <v>0.15933916613171883</v>
      </c>
      <c r="J1739">
        <v>0.57154169207643613</v>
      </c>
      <c r="L1739">
        <v>3.7169220577339974</v>
      </c>
      <c r="M1739">
        <v>2.3648074781694022</v>
      </c>
      <c r="N1739">
        <v>0.83912962200188301</v>
      </c>
      <c r="P1739">
        <v>1.0904132522313107E-11</v>
      </c>
      <c r="R1739">
        <v>6.7072021575193475</v>
      </c>
      <c r="S1739">
        <v>6.7197741867997447</v>
      </c>
      <c r="T1739">
        <v>1</v>
      </c>
      <c r="U1739">
        <v>2.4636098946514116</v>
      </c>
    </row>
    <row r="1740" spans="1:21">
      <c r="A1740">
        <v>8.8045308301962388E-2</v>
      </c>
      <c r="B1740">
        <v>-1.2758979594704707</v>
      </c>
      <c r="C1740">
        <v>0.78503820122405843</v>
      </c>
      <c r="D1740">
        <v>0.34605229018848055</v>
      </c>
      <c r="E1740">
        <v>0.19273367716276862</v>
      </c>
      <c r="F1740">
        <v>0.9041352581823342</v>
      </c>
      <c r="G1740">
        <v>0.45164275504368545</v>
      </c>
      <c r="H1740">
        <v>0.52271903621435678</v>
      </c>
      <c r="I1740">
        <v>0.21673745606865458</v>
      </c>
      <c r="J1740">
        <v>0.61768772335936861</v>
      </c>
      <c r="L1740">
        <v>3.7169219396597657</v>
      </c>
      <c r="M1740">
        <v>2.3648081676800987</v>
      </c>
      <c r="N1740">
        <v>0.83912947251414849</v>
      </c>
      <c r="P1740">
        <v>1.3843420962813334E-11</v>
      </c>
      <c r="R1740">
        <v>6.7072021575193475</v>
      </c>
      <c r="S1740">
        <v>6.7197741867997447</v>
      </c>
      <c r="T1740">
        <v>1</v>
      </c>
      <c r="U1740">
        <v>2.4636098946514116</v>
      </c>
    </row>
    <row r="1741" spans="1:21">
      <c r="A1741">
        <v>8.1319955486228113E-2</v>
      </c>
      <c r="B1741">
        <v>-1.2818837734926143</v>
      </c>
      <c r="C1741">
        <v>0.77531968230230452</v>
      </c>
      <c r="D1741">
        <v>0.43852018787570529</v>
      </c>
      <c r="E1741">
        <v>0.77889942714472848</v>
      </c>
      <c r="F1741">
        <v>0.11409107681642594</v>
      </c>
      <c r="G1741">
        <v>0.56018236188462267</v>
      </c>
      <c r="H1741">
        <v>0.70643648076803256</v>
      </c>
      <c r="I1741">
        <v>0.15310998393373892</v>
      </c>
      <c r="J1741">
        <v>0.18547122495831808</v>
      </c>
      <c r="L1741">
        <v>3.7169220530766487</v>
      </c>
      <c r="M1741">
        <v>2.3648075616576314</v>
      </c>
      <c r="N1741">
        <v>0.83912961058817048</v>
      </c>
      <c r="P1741">
        <v>1.1244483751395765E-11</v>
      </c>
      <c r="R1741">
        <v>6.7072021575193475</v>
      </c>
      <c r="S1741">
        <v>6.7197741867997447</v>
      </c>
      <c r="T1741">
        <v>1</v>
      </c>
      <c r="U1741">
        <v>2.4636098946514116</v>
      </c>
    </row>
    <row r="1742" spans="1:21">
      <c r="A1742">
        <v>8.2462026360233531E-2</v>
      </c>
      <c r="B1742">
        <v>-1.2812900329353514</v>
      </c>
      <c r="C1742">
        <v>0.75835444148306053</v>
      </c>
      <c r="D1742">
        <v>0</v>
      </c>
      <c r="E1742">
        <v>0.17531113259289188</v>
      </c>
      <c r="F1742">
        <v>0</v>
      </c>
      <c r="G1742">
        <v>0.50348051911320868</v>
      </c>
      <c r="H1742">
        <v>0.946151272151732</v>
      </c>
      <c r="I1742">
        <v>0.35793339687454317</v>
      </c>
      <c r="J1742">
        <v>0.65671736438480732</v>
      </c>
      <c r="L1742">
        <v>3.7169222340690506</v>
      </c>
      <c r="M1742">
        <v>2.3648068376914733</v>
      </c>
      <c r="N1742">
        <v>0.83912925317396136</v>
      </c>
      <c r="P1742">
        <v>1.0244197862672678E-11</v>
      </c>
      <c r="R1742">
        <v>6.7072021575193475</v>
      </c>
      <c r="S1742">
        <v>6.7197741867997447</v>
      </c>
      <c r="T1742">
        <v>1</v>
      </c>
      <c r="U1742">
        <v>2.4636098946514116</v>
      </c>
    </row>
    <row r="1743" spans="1:21">
      <c r="A1743">
        <v>8.6985882047583771E-2</v>
      </c>
      <c r="B1743">
        <v>-1.2757333545449923</v>
      </c>
      <c r="C1743">
        <v>0.77056743805881411</v>
      </c>
      <c r="D1743">
        <v>0</v>
      </c>
      <c r="E1743">
        <v>0</v>
      </c>
      <c r="F1743">
        <v>0</v>
      </c>
      <c r="G1743">
        <v>0.40798660698871769</v>
      </c>
      <c r="H1743">
        <v>0.82829494712245155</v>
      </c>
      <c r="I1743">
        <v>0.48941106651661292</v>
      </c>
      <c r="J1743">
        <v>0.43299592804928733</v>
      </c>
      <c r="L1743">
        <v>3.716922045999254</v>
      </c>
      <c r="M1743">
        <v>2.3648074959464598</v>
      </c>
      <c r="N1743">
        <v>0.83912962208061115</v>
      </c>
      <c r="P1743">
        <v>1.0918336936472738E-11</v>
      </c>
      <c r="R1743">
        <v>6.7072021575193475</v>
      </c>
      <c r="S1743">
        <v>6.7197741867997447</v>
      </c>
      <c r="T1743">
        <v>1</v>
      </c>
      <c r="U1743">
        <v>2.4636098946514116</v>
      </c>
    </row>
    <row r="1744" spans="1:21">
      <c r="A1744">
        <v>9.4160756743209756E-2</v>
      </c>
      <c r="B1744">
        <v>-1.2701223667940951</v>
      </c>
      <c r="C1744">
        <v>0.78462365699651615</v>
      </c>
      <c r="D1744">
        <v>0</v>
      </c>
      <c r="E1744">
        <v>0</v>
      </c>
      <c r="F1744">
        <v>0.31957405732186828</v>
      </c>
      <c r="G1744">
        <v>0.34085537232415841</v>
      </c>
      <c r="H1744">
        <v>0.52708178550220142</v>
      </c>
      <c r="I1744">
        <v>0.97439065970421113</v>
      </c>
      <c r="J1744">
        <v>0.48673906777987996</v>
      </c>
      <c r="L1744">
        <v>3.716921988317071</v>
      </c>
      <c r="M1744">
        <v>2.3648080452213143</v>
      </c>
      <c r="N1744">
        <v>0.83912945756657831</v>
      </c>
      <c r="P1744">
        <v>1.3448571028584881E-11</v>
      </c>
      <c r="R1744">
        <v>6.7072021575193475</v>
      </c>
      <c r="S1744">
        <v>6.7197741867997447</v>
      </c>
      <c r="T1744">
        <v>1</v>
      </c>
      <c r="U1744">
        <v>2.4636098946514116</v>
      </c>
    </row>
    <row r="1745" spans="1:21">
      <c r="A1745">
        <v>8.7116391580365354E-2</v>
      </c>
      <c r="B1745">
        <v>-1.2760756073693058</v>
      </c>
      <c r="C1745">
        <v>0.78203037303246437</v>
      </c>
      <c r="D1745">
        <v>0.12020290575898099</v>
      </c>
      <c r="E1745">
        <v>0.18976510910072228</v>
      </c>
      <c r="F1745">
        <v>7.2450039799426186E-2</v>
      </c>
      <c r="G1745">
        <v>0.38459798057691658</v>
      </c>
      <c r="H1745">
        <v>0.40673877537650344</v>
      </c>
      <c r="I1745">
        <v>0.15045363509927309</v>
      </c>
      <c r="J1745">
        <v>9.4584052913409947E-2</v>
      </c>
      <c r="L1745">
        <v>3.7169220735477153</v>
      </c>
      <c r="M1745">
        <v>2.3648076319385285</v>
      </c>
      <c r="N1745">
        <v>0.83912954017828978</v>
      </c>
      <c r="P1745">
        <v>1.1752554329210144E-11</v>
      </c>
      <c r="R1745">
        <v>6.7072021575193475</v>
      </c>
      <c r="S1745">
        <v>6.7197741867997447</v>
      </c>
      <c r="T1745">
        <v>1</v>
      </c>
      <c r="U1745">
        <v>2.4636098946514116</v>
      </c>
    </row>
    <row r="1746" spans="1:21">
      <c r="A1746">
        <v>8.6011017788329952E-2</v>
      </c>
      <c r="B1746">
        <v>-1.2810117733502699</v>
      </c>
      <c r="C1746">
        <v>0.76302279232993608</v>
      </c>
      <c r="D1746">
        <v>0.11610759775175643</v>
      </c>
      <c r="E1746">
        <v>0</v>
      </c>
      <c r="F1746">
        <v>0</v>
      </c>
      <c r="G1746">
        <v>0.39468238068198686</v>
      </c>
      <c r="H1746">
        <v>0.56496459759297613</v>
      </c>
      <c r="I1746">
        <v>0.19072205689153701</v>
      </c>
      <c r="J1746">
        <v>0.56223984469991184</v>
      </c>
      <c r="L1746">
        <v>3.7169217840191586</v>
      </c>
      <c r="M1746">
        <v>2.3648076379881702</v>
      </c>
      <c r="N1746">
        <v>0.83912995989738803</v>
      </c>
      <c r="P1746">
        <v>9.9454972357128836E-12</v>
      </c>
      <c r="R1746">
        <v>6.7072021575193475</v>
      </c>
      <c r="S1746">
        <v>6.7197741867997447</v>
      </c>
      <c r="T1746">
        <v>1</v>
      </c>
      <c r="U1746">
        <v>2.4636098946514116</v>
      </c>
    </row>
    <row r="1747" spans="1:21">
      <c r="A1747">
        <v>8.5814311802723309E-2</v>
      </c>
      <c r="B1747">
        <v>-1.2800749193614442</v>
      </c>
      <c r="C1747">
        <v>0.75869628959512236</v>
      </c>
      <c r="D1747">
        <v>7.1114039975895904E-3</v>
      </c>
      <c r="E1747">
        <v>9.6913961012452823E-2</v>
      </c>
      <c r="F1747">
        <v>0</v>
      </c>
      <c r="G1747">
        <v>0.15219912879791375</v>
      </c>
      <c r="H1747">
        <v>0.49128637924633717</v>
      </c>
      <c r="I1747">
        <v>0.20378446425960281</v>
      </c>
      <c r="J1747">
        <v>0.48332747842634399</v>
      </c>
      <c r="L1747">
        <v>3.7169219926604797</v>
      </c>
      <c r="M1747">
        <v>2.3648077361510107</v>
      </c>
      <c r="N1747">
        <v>0.83912963592562995</v>
      </c>
      <c r="P1747">
        <v>1.168463106471341E-11</v>
      </c>
      <c r="R1747">
        <v>6.7072021575193475</v>
      </c>
      <c r="S1747">
        <v>6.7197741867997447</v>
      </c>
      <c r="T1747">
        <v>1</v>
      </c>
      <c r="U1747">
        <v>2.4636098946514116</v>
      </c>
    </row>
    <row r="1748" spans="1:21">
      <c r="A1748">
        <v>8.786831997037528E-2</v>
      </c>
      <c r="B1748">
        <v>-1.2725820175479585</v>
      </c>
      <c r="C1748">
        <v>0.79909953344303664</v>
      </c>
      <c r="D1748">
        <v>0.43545026780042145</v>
      </c>
      <c r="E1748">
        <v>0</v>
      </c>
      <c r="F1748">
        <v>0.75397608024361851</v>
      </c>
      <c r="G1748">
        <v>0.8227623714086385</v>
      </c>
      <c r="H1748">
        <v>0.93364797622729045</v>
      </c>
      <c r="I1748">
        <v>0.26830018163054059</v>
      </c>
      <c r="J1748">
        <v>0.44049658043161893</v>
      </c>
      <c r="L1748">
        <v>3.7169220738875715</v>
      </c>
      <c r="M1748">
        <v>2.3648076330037453</v>
      </c>
      <c r="N1748">
        <v>0.83912954090241021</v>
      </c>
      <c r="P1748">
        <v>1.1757856730053443E-11</v>
      </c>
      <c r="R1748">
        <v>6.7072021575193475</v>
      </c>
      <c r="S1748">
        <v>6.7197741867997447</v>
      </c>
      <c r="T1748">
        <v>1</v>
      </c>
      <c r="U1748">
        <v>2.4636098946514116</v>
      </c>
    </row>
    <row r="1749" spans="1:21">
      <c r="A1749">
        <v>9.1808778306127242E-2</v>
      </c>
      <c r="B1749">
        <v>-1.2738939009879435</v>
      </c>
      <c r="C1749">
        <v>0.7758863418339117</v>
      </c>
      <c r="D1749">
        <v>0</v>
      </c>
      <c r="E1749">
        <v>0.18533102156400327</v>
      </c>
      <c r="F1749">
        <v>0.24423989050201358</v>
      </c>
      <c r="G1749">
        <v>9.8506826434540215E-2</v>
      </c>
      <c r="H1749">
        <v>0.2223212865164825</v>
      </c>
      <c r="I1749">
        <v>0.6164197234060742</v>
      </c>
      <c r="J1749">
        <v>0.35950568923459286</v>
      </c>
      <c r="L1749">
        <v>3.7169221160873125</v>
      </c>
      <c r="M1749">
        <v>2.3648071052199793</v>
      </c>
      <c r="N1749">
        <v>0.8391295342410896</v>
      </c>
      <c r="P1749">
        <v>9.940743247847837E-12</v>
      </c>
      <c r="R1749">
        <v>6.7072021575193475</v>
      </c>
      <c r="S1749">
        <v>6.7197741867997447</v>
      </c>
      <c r="T1749">
        <v>1</v>
      </c>
      <c r="U1749">
        <v>2.4636098946514116</v>
      </c>
    </row>
    <row r="1750" spans="1:21">
      <c r="A1750">
        <v>9.9408296366434459E-2</v>
      </c>
      <c r="B1750">
        <v>-1.2733461971348126</v>
      </c>
      <c r="C1750">
        <v>0.78652931558997485</v>
      </c>
      <c r="D1750">
        <v>0.92001246361104883</v>
      </c>
      <c r="E1750">
        <v>0</v>
      </c>
      <c r="F1750">
        <v>0</v>
      </c>
      <c r="G1750">
        <v>0.14430785866748155</v>
      </c>
      <c r="H1750">
        <v>0.24654352588324208</v>
      </c>
      <c r="I1750">
        <v>0.77287366060072915</v>
      </c>
      <c r="J1750">
        <v>0.23513356067483435</v>
      </c>
      <c r="L1750">
        <v>3.7169214269112687</v>
      </c>
      <c r="M1750">
        <v>2.364808557583467</v>
      </c>
      <c r="N1750">
        <v>0.83912983931433438</v>
      </c>
      <c r="P1750">
        <v>1.347249948353614E-11</v>
      </c>
      <c r="R1750">
        <v>6.7072021575193475</v>
      </c>
      <c r="S1750">
        <v>6.7197741867997447</v>
      </c>
      <c r="T1750">
        <v>1</v>
      </c>
      <c r="U1750">
        <v>2.4636098946514116</v>
      </c>
    </row>
    <row r="1751" spans="1:21">
      <c r="A1751">
        <v>-3.0436966767649828E-2</v>
      </c>
      <c r="B1751">
        <v>-1.3901812888266618</v>
      </c>
      <c r="C1751">
        <v>0.5945908690264613</v>
      </c>
      <c r="D1751">
        <v>0</v>
      </c>
      <c r="E1751">
        <v>0</v>
      </c>
      <c r="F1751">
        <v>0</v>
      </c>
      <c r="G1751">
        <v>0.97002625629450223</v>
      </c>
      <c r="H1751">
        <v>0.10974538852127137</v>
      </c>
      <c r="I1751">
        <v>0.4999594691129664</v>
      </c>
      <c r="J1751">
        <v>0.35967876174408991</v>
      </c>
      <c r="L1751">
        <v>3.7169215663218984</v>
      </c>
      <c r="M1751">
        <v>2.2176386308147036</v>
      </c>
      <c r="N1751">
        <v>0.83913215898443161</v>
      </c>
      <c r="P1751">
        <v>7.5285608921047583E-12</v>
      </c>
      <c r="R1751">
        <v>6.5618842641529671</v>
      </c>
      <c r="S1751">
        <v>6.5721137062563466</v>
      </c>
      <c r="T1751">
        <v>1</v>
      </c>
      <c r="U1751">
        <v>2.1596403910349697</v>
      </c>
    </row>
    <row r="1752" spans="1:21">
      <c r="A1752">
        <v>-2.5373640474483011E-2</v>
      </c>
      <c r="B1752">
        <v>-1.3919021399701468</v>
      </c>
      <c r="C1752">
        <v>0.57280420428657519</v>
      </c>
      <c r="D1752">
        <v>0.88411225258303183</v>
      </c>
      <c r="E1752">
        <v>0.18505700147524945</v>
      </c>
      <c r="F1752">
        <v>0</v>
      </c>
      <c r="G1752">
        <v>0.59611105016929189</v>
      </c>
      <c r="H1752">
        <v>0.70670186578133032</v>
      </c>
      <c r="I1752">
        <v>0.53207872464260364</v>
      </c>
      <c r="J1752">
        <v>0.90852532914786055</v>
      </c>
      <c r="L1752">
        <v>3.7169218900607821</v>
      </c>
      <c r="M1752">
        <v>2.2176387646572957</v>
      </c>
      <c r="N1752">
        <v>0.83913205243317235</v>
      </c>
      <c r="P1752">
        <v>8.5627552014423378E-12</v>
      </c>
      <c r="R1752">
        <v>6.5618842641529671</v>
      </c>
      <c r="S1752">
        <v>6.5721137062563466</v>
      </c>
      <c r="T1752">
        <v>1</v>
      </c>
      <c r="U1752">
        <v>2.1596403910349697</v>
      </c>
    </row>
    <row r="1753" spans="1:21">
      <c r="A1753">
        <v>-2.9903473363243963E-2</v>
      </c>
      <c r="B1753">
        <v>-1.3880962136747004</v>
      </c>
      <c r="C1753">
        <v>0.5614513078435438</v>
      </c>
      <c r="D1753">
        <v>0</v>
      </c>
      <c r="E1753">
        <v>0</v>
      </c>
      <c r="F1753">
        <v>8.9301954766785749E-2</v>
      </c>
      <c r="G1753">
        <v>0.12260885683146601</v>
      </c>
      <c r="H1753">
        <v>0.62662907864294093</v>
      </c>
      <c r="I1753">
        <v>0.82148172631805338</v>
      </c>
      <c r="J1753">
        <v>0.75015635519295987</v>
      </c>
      <c r="L1753">
        <v>3.7169222567533322</v>
      </c>
      <c r="M1753">
        <v>2.2176379387951157</v>
      </c>
      <c r="N1753">
        <v>0.83913258845727257</v>
      </c>
      <c r="P1753">
        <v>1.3083770147529023E-11</v>
      </c>
      <c r="R1753">
        <v>6.5618842641529671</v>
      </c>
      <c r="S1753">
        <v>6.5721137062563466</v>
      </c>
      <c r="T1753">
        <v>1</v>
      </c>
      <c r="U1753">
        <v>2.1596403910349697</v>
      </c>
    </row>
    <row r="1754" spans="1:21">
      <c r="A1754">
        <v>-2.9962778616918772E-2</v>
      </c>
      <c r="B1754">
        <v>-1.3863247404823706</v>
      </c>
      <c r="C1754">
        <v>0.57481109486600679</v>
      </c>
      <c r="D1754">
        <v>0</v>
      </c>
      <c r="E1754">
        <v>0</v>
      </c>
      <c r="F1754">
        <v>0</v>
      </c>
      <c r="G1754">
        <v>0.30437123262471649</v>
      </c>
      <c r="H1754">
        <v>0.56182009513494624</v>
      </c>
      <c r="I1754">
        <v>0.68180036882641004</v>
      </c>
      <c r="J1754">
        <v>0.45067133557474215</v>
      </c>
      <c r="L1754">
        <v>3.7169219366933079</v>
      </c>
      <c r="M1754">
        <v>2.2176386373267771</v>
      </c>
      <c r="N1754">
        <v>0.83913216096864129</v>
      </c>
      <c r="P1754">
        <v>9.1644698802504433E-12</v>
      </c>
      <c r="R1754">
        <v>6.5618842641529671</v>
      </c>
      <c r="S1754">
        <v>6.5721137062563466</v>
      </c>
      <c r="T1754">
        <v>1</v>
      </c>
      <c r="U1754">
        <v>2.1596403910349697</v>
      </c>
    </row>
    <row r="1755" spans="1:21">
      <c r="A1755">
        <v>-3.1969979864211177E-2</v>
      </c>
      <c r="B1755">
        <v>-1.3895192729189749</v>
      </c>
      <c r="C1755">
        <v>0.59131595227459777</v>
      </c>
      <c r="D1755">
        <v>0</v>
      </c>
      <c r="E1755">
        <v>0</v>
      </c>
      <c r="F1755">
        <v>0</v>
      </c>
      <c r="G1755">
        <v>0.98989648994252488</v>
      </c>
      <c r="H1755">
        <v>0.43333577950796798</v>
      </c>
      <c r="I1755">
        <v>0.74969328908365618</v>
      </c>
      <c r="J1755">
        <v>0.42459530973331244</v>
      </c>
      <c r="L1755">
        <v>3.7169215967286906</v>
      </c>
      <c r="M1755">
        <v>2.2176385786020436</v>
      </c>
      <c r="N1755">
        <v>0.83913220596725568</v>
      </c>
      <c r="P1755">
        <v>7.8345461313160864E-12</v>
      </c>
      <c r="R1755">
        <v>6.5618842641529671</v>
      </c>
      <c r="S1755">
        <v>6.5721137062563466</v>
      </c>
      <c r="T1755">
        <v>1</v>
      </c>
      <c r="U1755">
        <v>2.1596403910349697</v>
      </c>
    </row>
    <row r="1756" spans="1:21">
      <c r="A1756">
        <v>-1.5399890100161658E-2</v>
      </c>
      <c r="B1756">
        <v>-1.3743513386522921</v>
      </c>
      <c r="C1756">
        <v>0.59052390258649023</v>
      </c>
      <c r="D1756">
        <v>0</v>
      </c>
      <c r="E1756">
        <v>0</v>
      </c>
      <c r="F1756">
        <v>0</v>
      </c>
      <c r="G1756">
        <v>0.54315006547516254</v>
      </c>
      <c r="H1756">
        <v>0.95806303292782946</v>
      </c>
      <c r="I1756">
        <v>0.18743107519217211</v>
      </c>
      <c r="J1756">
        <v>0.90745619913992293</v>
      </c>
      <c r="L1756">
        <v>3.7169216742984523</v>
      </c>
      <c r="M1756">
        <v>2.2176386586502117</v>
      </c>
      <c r="N1756">
        <v>0.83913212558223893</v>
      </c>
      <c r="P1756">
        <v>7.8511093953321355E-12</v>
      </c>
      <c r="R1756">
        <v>6.5618842641529671</v>
      </c>
      <c r="S1756">
        <v>6.5721137062563466</v>
      </c>
      <c r="T1756">
        <v>1</v>
      </c>
      <c r="U1756">
        <v>2.1596403910349697</v>
      </c>
    </row>
    <row r="1757" spans="1:21">
      <c r="A1757">
        <v>-2.6232344979093651E-2</v>
      </c>
      <c r="B1757">
        <v>-1.3909690834174755</v>
      </c>
      <c r="C1757">
        <v>0.56815124003718676</v>
      </c>
      <c r="D1757">
        <v>0.26822571710285431</v>
      </c>
      <c r="E1757">
        <v>0.10454962111492726</v>
      </c>
      <c r="F1757">
        <v>0</v>
      </c>
      <c r="G1757">
        <v>0.22229740370780599</v>
      </c>
      <c r="H1757">
        <v>0.11816072448517428</v>
      </c>
      <c r="I1757">
        <v>0.38707969617624222</v>
      </c>
      <c r="J1757">
        <v>0.69396534263119991</v>
      </c>
      <c r="L1757">
        <v>3.7169222104756576</v>
      </c>
      <c r="M1757">
        <v>2.2176387751821598</v>
      </c>
      <c r="N1757">
        <v>0.83913200824578915</v>
      </c>
      <c r="P1757">
        <v>1.0012386048104553E-11</v>
      </c>
      <c r="R1757">
        <v>6.5618842641529671</v>
      </c>
      <c r="S1757">
        <v>6.5721137062563466</v>
      </c>
      <c r="T1757">
        <v>1</v>
      </c>
      <c r="U1757">
        <v>2.1596403910349697</v>
      </c>
    </row>
    <row r="1758" spans="1:21">
      <c r="A1758">
        <v>-2.1811511140542583E-2</v>
      </c>
      <c r="B1758">
        <v>-1.3838326044492393</v>
      </c>
      <c r="C1758">
        <v>0.58349596178234386</v>
      </c>
      <c r="D1758">
        <v>0.42411364756333836</v>
      </c>
      <c r="E1758">
        <v>0.98704817933981026</v>
      </c>
      <c r="F1758">
        <v>0</v>
      </c>
      <c r="G1758">
        <v>0.22782407304977326</v>
      </c>
      <c r="H1758">
        <v>0.33683258307060693</v>
      </c>
      <c r="I1758">
        <v>0.60476413367729986</v>
      </c>
      <c r="J1758">
        <v>0.47462963808149944</v>
      </c>
      <c r="L1758">
        <v>3.7169215864637164</v>
      </c>
      <c r="M1758">
        <v>2.2176386564801085</v>
      </c>
      <c r="N1758">
        <v>0.83913213108662699</v>
      </c>
      <c r="P1758">
        <v>7.5062849052107978E-12</v>
      </c>
      <c r="R1758">
        <v>6.5618842641529671</v>
      </c>
      <c r="S1758">
        <v>6.5721137062563466</v>
      </c>
      <c r="T1758">
        <v>1</v>
      </c>
      <c r="U1758">
        <v>2.1596403910349697</v>
      </c>
    </row>
    <row r="1759" spans="1:21">
      <c r="A1759">
        <v>-2.8536276516436112E-2</v>
      </c>
      <c r="B1759">
        <v>-1.3875108194810144</v>
      </c>
      <c r="C1759">
        <v>0.57006629528573283</v>
      </c>
      <c r="D1759">
        <v>0</v>
      </c>
      <c r="E1759">
        <v>0</v>
      </c>
      <c r="F1759">
        <v>0</v>
      </c>
      <c r="G1759">
        <v>0.1399675042377424</v>
      </c>
      <c r="H1759">
        <v>0.31401715578631773</v>
      </c>
      <c r="I1759">
        <v>0.52237491084915111</v>
      </c>
      <c r="J1759">
        <v>0.50022170336416394</v>
      </c>
      <c r="L1759">
        <v>3.7169223347271694</v>
      </c>
      <c r="M1759">
        <v>2.2176378429558579</v>
      </c>
      <c r="N1759">
        <v>0.83913246129766095</v>
      </c>
      <c r="P1759">
        <v>1.3091052957502647E-11</v>
      </c>
      <c r="R1759">
        <v>6.5618842641529671</v>
      </c>
      <c r="S1759">
        <v>6.5721137062563466</v>
      </c>
      <c r="T1759">
        <v>1</v>
      </c>
      <c r="U1759">
        <v>2.1596403910349697</v>
      </c>
    </row>
    <row r="1760" spans="1:21">
      <c r="A1760">
        <v>-2.2455337343952293E-2</v>
      </c>
      <c r="B1760">
        <v>-1.3762469761921867</v>
      </c>
      <c r="C1760">
        <v>0.58935761437727219</v>
      </c>
      <c r="D1760">
        <v>4.0600949598088291E-2</v>
      </c>
      <c r="E1760">
        <v>0</v>
      </c>
      <c r="F1760">
        <v>0</v>
      </c>
      <c r="G1760">
        <v>0.13235225773869325</v>
      </c>
      <c r="H1760">
        <v>0.7141274901506679</v>
      </c>
      <c r="I1760">
        <v>0.17814474940089178</v>
      </c>
      <c r="J1760">
        <v>0.25828252455851869</v>
      </c>
      <c r="L1760">
        <v>3.7169217710377009</v>
      </c>
      <c r="M1760">
        <v>2.2176385707561037</v>
      </c>
      <c r="N1760">
        <v>0.83913220626417795</v>
      </c>
      <c r="P1760">
        <v>8.5799301836676576E-12</v>
      </c>
      <c r="R1760">
        <v>6.5618842641529671</v>
      </c>
      <c r="S1760">
        <v>6.5721137062563466</v>
      </c>
      <c r="T1760">
        <v>1</v>
      </c>
      <c r="U1760">
        <v>2.1596403910349697</v>
      </c>
    </row>
    <row r="1761" spans="1:21">
      <c r="A1761">
        <v>-2.317538351211694E-2</v>
      </c>
      <c r="B1761">
        <v>-1.3789339172171502</v>
      </c>
      <c r="C1761">
        <v>0.57635864968892447</v>
      </c>
      <c r="D1761">
        <v>0.26156776358299405</v>
      </c>
      <c r="E1761">
        <v>3.6914416612353618E-2</v>
      </c>
      <c r="F1761">
        <v>5.7059184911580317E-2</v>
      </c>
      <c r="G1761">
        <v>4.9135930800753243E-2</v>
      </c>
      <c r="H1761">
        <v>0.98566688596459973</v>
      </c>
      <c r="I1761">
        <v>0.4172527965325733</v>
      </c>
      <c r="J1761">
        <v>0.57230200667541953</v>
      </c>
      <c r="L1761">
        <v>3.7169217402307106</v>
      </c>
      <c r="M1761">
        <v>2.2176386477062202</v>
      </c>
      <c r="N1761">
        <v>0.83913214330219255</v>
      </c>
      <c r="P1761">
        <v>8.2004484889075874E-12</v>
      </c>
      <c r="R1761">
        <v>6.5618842641529671</v>
      </c>
      <c r="S1761">
        <v>6.5721137062563466</v>
      </c>
      <c r="T1761">
        <v>1</v>
      </c>
      <c r="U1761">
        <v>2.1596403910349697</v>
      </c>
    </row>
    <row r="1762" spans="1:21">
      <c r="A1762">
        <v>-2.9246743073998219E-2</v>
      </c>
      <c r="B1762">
        <v>-1.3865541880335497</v>
      </c>
      <c r="C1762">
        <v>0.58282173760181566</v>
      </c>
      <c r="D1762">
        <v>0.17992071936593024</v>
      </c>
      <c r="E1762">
        <v>3.9584889316435744E-2</v>
      </c>
      <c r="F1762">
        <v>0.77581721770484369</v>
      </c>
      <c r="G1762">
        <v>0.50944749491142138</v>
      </c>
      <c r="H1762">
        <v>0.56999991461480404</v>
      </c>
      <c r="I1762">
        <v>0.59236647622963123</v>
      </c>
      <c r="J1762">
        <v>0.89100459156286171</v>
      </c>
      <c r="L1762">
        <v>3.7169216277497448</v>
      </c>
      <c r="M1762">
        <v>2.2176386673335453</v>
      </c>
      <c r="N1762">
        <v>0.83913212846283058</v>
      </c>
      <c r="P1762">
        <v>7.6664435062192994E-12</v>
      </c>
      <c r="R1762">
        <v>6.5618842641529671</v>
      </c>
      <c r="S1762">
        <v>6.5721137062563466</v>
      </c>
      <c r="T1762">
        <v>1</v>
      </c>
      <c r="U1762">
        <v>2.1596403910349697</v>
      </c>
    </row>
    <row r="1763" spans="1:21">
      <c r="A1763">
        <v>-2.5407131246594078E-2</v>
      </c>
      <c r="B1763">
        <v>-1.3841415179206897</v>
      </c>
      <c r="C1763">
        <v>0.57936221334227844</v>
      </c>
      <c r="D1763">
        <v>0</v>
      </c>
      <c r="E1763">
        <v>0</v>
      </c>
      <c r="F1763">
        <v>0</v>
      </c>
      <c r="G1763">
        <v>0.32652082344126637</v>
      </c>
      <c r="H1763">
        <v>0.43462999788407247</v>
      </c>
      <c r="I1763">
        <v>0.40325464176317111</v>
      </c>
      <c r="J1763">
        <v>0.5407714505293677</v>
      </c>
      <c r="L1763">
        <v>3.7169220263677856</v>
      </c>
      <c r="M1763">
        <v>2.2176386038726146</v>
      </c>
      <c r="N1763">
        <v>0.83913218063056239</v>
      </c>
      <c r="P1763">
        <v>9.6761545043549257E-12</v>
      </c>
      <c r="R1763">
        <v>6.5618842641529671</v>
      </c>
      <c r="S1763">
        <v>6.5721137062563466</v>
      </c>
      <c r="T1763">
        <v>1</v>
      </c>
      <c r="U1763">
        <v>2.1596403910349697</v>
      </c>
    </row>
    <row r="1764" spans="1:21">
      <c r="A1764">
        <v>-3.7192040846996413E-2</v>
      </c>
      <c r="B1764">
        <v>-1.39306337570052</v>
      </c>
      <c r="C1764">
        <v>0.57139780240254001</v>
      </c>
      <c r="D1764">
        <v>0.32280071449537084</v>
      </c>
      <c r="E1764">
        <v>6.531375006765823E-2</v>
      </c>
      <c r="F1764">
        <v>0.41930782691742763</v>
      </c>
      <c r="G1764">
        <v>0.21122624976022181</v>
      </c>
      <c r="H1764">
        <v>0.38492297382213359</v>
      </c>
      <c r="I1764">
        <v>0.8133461222344559</v>
      </c>
      <c r="J1764">
        <v>0.35960686563078376</v>
      </c>
      <c r="L1764">
        <v>3.7169214670279676</v>
      </c>
      <c r="M1764">
        <v>2.2176386208623549</v>
      </c>
      <c r="N1764">
        <v>0.83913215757922721</v>
      </c>
      <c r="P1764">
        <v>7.1338799935796457E-12</v>
      </c>
      <c r="R1764">
        <v>6.5618842641529671</v>
      </c>
      <c r="S1764">
        <v>6.5721137062563466</v>
      </c>
      <c r="T1764">
        <v>1</v>
      </c>
      <c r="U1764">
        <v>2.1596403910349697</v>
      </c>
    </row>
    <row r="1765" spans="1:21">
      <c r="A1765">
        <v>-2.3486837234226055E-2</v>
      </c>
      <c r="B1765">
        <v>-1.381218426220209</v>
      </c>
      <c r="C1765">
        <v>0.60130687219210888</v>
      </c>
      <c r="D1765">
        <v>0</v>
      </c>
      <c r="E1765">
        <v>0.82339768444656636</v>
      </c>
      <c r="F1765">
        <v>0</v>
      </c>
      <c r="G1765">
        <v>0.95855098971404185</v>
      </c>
      <c r="H1765">
        <v>0.60473656252596575</v>
      </c>
      <c r="I1765">
        <v>0.87388259330528761</v>
      </c>
      <c r="J1765">
        <v>0.52507723635418602</v>
      </c>
      <c r="L1765">
        <v>3.7169216994513143</v>
      </c>
      <c r="M1765">
        <v>2.2176385987262903</v>
      </c>
      <c r="N1765">
        <v>0.83913218658074507</v>
      </c>
      <c r="P1765">
        <v>8.1886592525945775E-12</v>
      </c>
      <c r="R1765">
        <v>6.5618842641529671</v>
      </c>
      <c r="S1765">
        <v>6.5721137062563466</v>
      </c>
      <c r="T1765">
        <v>1</v>
      </c>
      <c r="U1765">
        <v>2.1596403910349697</v>
      </c>
    </row>
    <row r="1766" spans="1:21">
      <c r="A1766">
        <v>-1.6038764977899075E-2</v>
      </c>
      <c r="B1766">
        <v>-1.3784855980661268</v>
      </c>
      <c r="C1766">
        <v>0.6019415912642565</v>
      </c>
      <c r="D1766">
        <v>8.9559006731199986E-2</v>
      </c>
      <c r="E1766">
        <v>0.47929227659156493</v>
      </c>
      <c r="F1766">
        <v>0</v>
      </c>
      <c r="G1766">
        <v>0.62524418752030186</v>
      </c>
      <c r="H1766">
        <v>0.1878005028604906</v>
      </c>
      <c r="I1766">
        <v>2.5219536813960233E-2</v>
      </c>
      <c r="J1766">
        <v>0.54676000881679343</v>
      </c>
      <c r="L1766">
        <v>3.716922080993994</v>
      </c>
      <c r="M1766">
        <v>2.2176383719971584</v>
      </c>
      <c r="N1766">
        <v>0.839132345777861</v>
      </c>
      <c r="P1766">
        <v>1.0676960186714431E-11</v>
      </c>
      <c r="R1766">
        <v>6.5618842641529671</v>
      </c>
      <c r="S1766">
        <v>6.5721137062563466</v>
      </c>
      <c r="T1766">
        <v>1</v>
      </c>
      <c r="U1766">
        <v>2.1596403910349697</v>
      </c>
    </row>
    <row r="1767" spans="1:21">
      <c r="A1767">
        <v>-2.8356720123847285E-2</v>
      </c>
      <c r="B1767">
        <v>-1.3909777964188454</v>
      </c>
      <c r="C1767">
        <v>0.584336869458846</v>
      </c>
      <c r="D1767">
        <v>0</v>
      </c>
      <c r="E1767">
        <v>7.9284886028087503E-2</v>
      </c>
      <c r="F1767">
        <v>0</v>
      </c>
      <c r="G1767">
        <v>0.75937895320332849</v>
      </c>
      <c r="H1767">
        <v>3.1861995681438958E-2</v>
      </c>
      <c r="I1767">
        <v>0.49796993880157897</v>
      </c>
      <c r="J1767">
        <v>0.57421942779506951</v>
      </c>
      <c r="L1767">
        <v>3.7169216087858556</v>
      </c>
      <c r="M1767">
        <v>2.2176391785490988</v>
      </c>
      <c r="N1767">
        <v>0.83913154206455909</v>
      </c>
      <c r="P1767">
        <v>6.0557971578568208E-12</v>
      </c>
      <c r="R1767">
        <v>6.5618842641529671</v>
      </c>
      <c r="S1767">
        <v>6.5721137062563466</v>
      </c>
      <c r="T1767">
        <v>1</v>
      </c>
      <c r="U1767">
        <v>2.1596403910349697</v>
      </c>
    </row>
    <row r="1768" spans="1:21">
      <c r="A1768">
        <v>-1.586391001647575E-2</v>
      </c>
      <c r="B1768">
        <v>-1.3754810206273498</v>
      </c>
      <c r="C1768">
        <v>0.5854014824504884</v>
      </c>
      <c r="D1768">
        <v>0.17258235552642048</v>
      </c>
      <c r="E1768">
        <v>0.17245035981662546</v>
      </c>
      <c r="F1768">
        <v>0</v>
      </c>
      <c r="G1768">
        <v>0.28152787133163992</v>
      </c>
      <c r="H1768">
        <v>0.86704952015389813</v>
      </c>
      <c r="I1768">
        <v>0.17952564653778769</v>
      </c>
      <c r="J1768">
        <v>0.80284600960922292</v>
      </c>
      <c r="L1768">
        <v>3.7169214851990735</v>
      </c>
      <c r="M1768">
        <v>2.2176387319221771</v>
      </c>
      <c r="N1768">
        <v>0.83913203969342509</v>
      </c>
      <c r="P1768">
        <v>6.7833166245403565E-12</v>
      </c>
      <c r="R1768">
        <v>6.5618842641529671</v>
      </c>
      <c r="S1768">
        <v>6.5721137062563466</v>
      </c>
      <c r="T1768">
        <v>1</v>
      </c>
      <c r="U1768">
        <v>2.1596403910349697</v>
      </c>
    </row>
    <row r="1769" spans="1:21">
      <c r="A1769">
        <v>-2.0055758673379508E-2</v>
      </c>
      <c r="B1769">
        <v>-1.3837913020594139</v>
      </c>
      <c r="C1769">
        <v>0.59251276841436573</v>
      </c>
      <c r="D1769">
        <v>0.68480263566426336</v>
      </c>
      <c r="E1769">
        <v>0.32701541005677071</v>
      </c>
      <c r="F1769">
        <v>0.11244955142792853</v>
      </c>
      <c r="G1769">
        <v>0.820271586746813</v>
      </c>
      <c r="H1769">
        <v>0.80175502841763724</v>
      </c>
      <c r="I1769">
        <v>0.34774465297387558</v>
      </c>
      <c r="J1769">
        <v>0.86560810208900518</v>
      </c>
      <c r="L1769">
        <v>3.7169219361786383</v>
      </c>
      <c r="M1769">
        <v>2.2176383396357289</v>
      </c>
      <c r="N1769">
        <v>0.83913238581338789</v>
      </c>
      <c r="P1769">
        <v>1.0150809114581446E-11</v>
      </c>
      <c r="R1769">
        <v>6.5618842641529671</v>
      </c>
      <c r="S1769">
        <v>6.5721137062563466</v>
      </c>
      <c r="T1769">
        <v>1</v>
      </c>
      <c r="U1769">
        <v>2.1596403910349697</v>
      </c>
    </row>
    <row r="1770" spans="1:21">
      <c r="A1770">
        <v>-2.2032204748869123E-2</v>
      </c>
      <c r="B1770">
        <v>-1.3704685181241916</v>
      </c>
      <c r="C1770">
        <v>0.60144668610791652</v>
      </c>
      <c r="D1770">
        <v>0</v>
      </c>
      <c r="E1770">
        <v>0</v>
      </c>
      <c r="F1770">
        <v>8.0377260606768836E-2</v>
      </c>
      <c r="G1770">
        <v>0.15785538866047646</v>
      </c>
      <c r="H1770">
        <v>0.97572049416382456</v>
      </c>
      <c r="I1770">
        <v>0.12798824720376878</v>
      </c>
      <c r="J1770">
        <v>2.8008648072715005E-2</v>
      </c>
      <c r="L1770">
        <v>3.7169216767908537</v>
      </c>
      <c r="M1770">
        <v>2.217638661273643</v>
      </c>
      <c r="N1770">
        <v>0.83913211854285852</v>
      </c>
      <c r="P1770">
        <v>7.835998563076093E-12</v>
      </c>
      <c r="R1770">
        <v>6.5618842641529671</v>
      </c>
      <c r="S1770">
        <v>6.5721137062563466</v>
      </c>
      <c r="T1770">
        <v>1</v>
      </c>
      <c r="U1770">
        <v>2.1596403910349697</v>
      </c>
    </row>
    <row r="1771" spans="1:21">
      <c r="A1771">
        <v>-2.2260833261567515E-2</v>
      </c>
      <c r="B1771">
        <v>-1.3837833612220645</v>
      </c>
      <c r="C1771">
        <v>0.58310247693409178</v>
      </c>
      <c r="D1771">
        <v>0</v>
      </c>
      <c r="E1771">
        <v>2.3173232658620813E-2</v>
      </c>
      <c r="F1771">
        <v>0</v>
      </c>
      <c r="G1771">
        <v>0.40810483778807305</v>
      </c>
      <c r="H1771">
        <v>0.25194603913309105</v>
      </c>
      <c r="I1771">
        <v>0.20375040433726219</v>
      </c>
      <c r="J1771">
        <v>0.63116068659296309</v>
      </c>
      <c r="L1771">
        <v>3.7169217074312773</v>
      </c>
      <c r="M1771">
        <v>2.2176386607804797</v>
      </c>
      <c r="N1771">
        <v>0.83913213667386022</v>
      </c>
      <c r="P1771">
        <v>8.0335417021065329E-12</v>
      </c>
      <c r="R1771">
        <v>6.5618842641529671</v>
      </c>
      <c r="S1771">
        <v>6.5721137062563466</v>
      </c>
      <c r="T1771">
        <v>1</v>
      </c>
      <c r="U1771">
        <v>2.1596403910349697</v>
      </c>
    </row>
    <row r="1772" spans="1:21">
      <c r="A1772">
        <v>-3.3570601802288026E-2</v>
      </c>
      <c r="B1772">
        <v>-1.3956873566651793</v>
      </c>
      <c r="C1772">
        <v>0.59254432568985216</v>
      </c>
      <c r="D1772">
        <v>0.6809149930154581</v>
      </c>
      <c r="E1772">
        <v>0.75314066668526469</v>
      </c>
      <c r="F1772">
        <v>0</v>
      </c>
      <c r="G1772">
        <v>0.8023490532375448</v>
      </c>
      <c r="H1772">
        <v>7.4481107064893496E-3</v>
      </c>
      <c r="I1772">
        <v>0.77136800494489943</v>
      </c>
      <c r="J1772">
        <v>8.2300206169901025E-2</v>
      </c>
      <c r="L1772">
        <v>3.7169217200953151</v>
      </c>
      <c r="M1772">
        <v>2.2176386518382292</v>
      </c>
      <c r="N1772">
        <v>0.83913215920049278</v>
      </c>
      <c r="P1772">
        <v>8.1717242841813287E-12</v>
      </c>
      <c r="R1772">
        <v>6.5618842641529671</v>
      </c>
      <c r="S1772">
        <v>6.5721137062563466</v>
      </c>
      <c r="T1772">
        <v>1</v>
      </c>
      <c r="U1772">
        <v>2.1596403910349697</v>
      </c>
    </row>
    <row r="1773" spans="1:21">
      <c r="A1773">
        <v>-2.3597232429314961E-2</v>
      </c>
      <c r="B1773">
        <v>-1.3777431042995416</v>
      </c>
      <c r="C1773">
        <v>0.60593900552113533</v>
      </c>
      <c r="D1773">
        <v>0.22943917933079866</v>
      </c>
      <c r="E1773">
        <v>0.33267731196621003</v>
      </c>
      <c r="F1773">
        <v>0.30869969942364855</v>
      </c>
      <c r="G1773">
        <v>0.59394795719754812</v>
      </c>
      <c r="H1773">
        <v>0.64431972282032868</v>
      </c>
      <c r="I1773">
        <v>0.29026349457944978</v>
      </c>
      <c r="J1773">
        <v>0.27502440715713206</v>
      </c>
      <c r="L1773">
        <v>3.7169223326183247</v>
      </c>
      <c r="M1773">
        <v>2.2176378065053495</v>
      </c>
      <c r="N1773">
        <v>0.83913262254903054</v>
      </c>
      <c r="P1773">
        <v>1.3864392846668913E-11</v>
      </c>
      <c r="R1773">
        <v>6.5618842641529671</v>
      </c>
      <c r="S1773">
        <v>6.5721137062563466</v>
      </c>
      <c r="T1773">
        <v>1</v>
      </c>
      <c r="U1773">
        <v>2.1596403910349697</v>
      </c>
    </row>
    <row r="1774" spans="1:21">
      <c r="A1774">
        <v>-2.3367984194231309E-2</v>
      </c>
      <c r="B1774">
        <v>-1.3783153486729047</v>
      </c>
      <c r="C1774">
        <v>0.60073407967506731</v>
      </c>
      <c r="D1774">
        <v>0</v>
      </c>
      <c r="E1774">
        <v>0</v>
      </c>
      <c r="F1774">
        <v>0</v>
      </c>
      <c r="G1774">
        <v>0.56985995372866594</v>
      </c>
      <c r="H1774">
        <v>0.54177136720134267</v>
      </c>
      <c r="I1774">
        <v>0.171334166789538</v>
      </c>
      <c r="J1774">
        <v>0.22997000178910559</v>
      </c>
      <c r="L1774">
        <v>3.716921587844543</v>
      </c>
      <c r="M1774">
        <v>2.2176386790904359</v>
      </c>
      <c r="N1774">
        <v>0.83913210474091215</v>
      </c>
      <c r="P1774">
        <v>7.4164371829649474E-12</v>
      </c>
      <c r="R1774">
        <v>6.5618842641529671</v>
      </c>
      <c r="S1774">
        <v>6.5721137062563466</v>
      </c>
      <c r="T1774">
        <v>1</v>
      </c>
      <c r="U1774">
        <v>2.1596403910349697</v>
      </c>
    </row>
    <row r="1775" spans="1:21">
      <c r="A1775">
        <v>-2.1660339507254971E-2</v>
      </c>
      <c r="B1775">
        <v>-1.3829441944519827</v>
      </c>
      <c r="C1775">
        <v>0.5828758684226909</v>
      </c>
      <c r="D1775">
        <v>0.19211102922879825</v>
      </c>
      <c r="E1775">
        <v>0.43352683053681601</v>
      </c>
      <c r="F1775">
        <v>0.35420790905611699</v>
      </c>
      <c r="G1775">
        <v>0.16216418857900614</v>
      </c>
      <c r="H1775">
        <v>0.20241267977987967</v>
      </c>
      <c r="I1775">
        <v>0.25466421307333081</v>
      </c>
      <c r="J1775">
        <v>0.67161187346215545</v>
      </c>
      <c r="L1775">
        <v>3.7169216600208963</v>
      </c>
      <c r="M1775">
        <v>2.2176386393140883</v>
      </c>
      <c r="N1775">
        <v>0.83913215144297426</v>
      </c>
      <c r="P1775">
        <v>7.8863025766353735E-12</v>
      </c>
      <c r="R1775">
        <v>6.5618842641529671</v>
      </c>
      <c r="S1775">
        <v>6.5721137062563466</v>
      </c>
      <c r="T1775">
        <v>1</v>
      </c>
      <c r="U1775">
        <v>2.1596403910349697</v>
      </c>
    </row>
    <row r="1776" spans="1:21">
      <c r="A1776">
        <v>-2.2379441336447901E-2</v>
      </c>
      <c r="B1776">
        <v>-1.3851429153304053</v>
      </c>
      <c r="C1776">
        <v>0.59914972147831902</v>
      </c>
      <c r="D1776">
        <v>0.57788395992667818</v>
      </c>
      <c r="E1776">
        <v>0</v>
      </c>
      <c r="F1776">
        <v>0.2480062398869318</v>
      </c>
      <c r="G1776">
        <v>0.96316140758777502</v>
      </c>
      <c r="H1776">
        <v>0.58640688827383525</v>
      </c>
      <c r="I1776">
        <v>0.13743707447960007</v>
      </c>
      <c r="J1776">
        <v>0.75561624296874841</v>
      </c>
      <c r="L1776">
        <v>3.7169215738279511</v>
      </c>
      <c r="M1776">
        <v>2.2176386587452384</v>
      </c>
      <c r="N1776">
        <v>0.83913212909876211</v>
      </c>
      <c r="P1776">
        <v>7.4477633600084222E-12</v>
      </c>
      <c r="R1776">
        <v>6.5618842641529671</v>
      </c>
      <c r="S1776">
        <v>6.5721137062563466</v>
      </c>
      <c r="T1776">
        <v>1</v>
      </c>
      <c r="U1776">
        <v>2.1596403910349697</v>
      </c>
    </row>
    <row r="1777" spans="1:21">
      <c r="A1777">
        <v>-2.5287743766039341E-2</v>
      </c>
      <c r="B1777">
        <v>-1.3812054428545133</v>
      </c>
      <c r="C1777">
        <v>0.57570728749739863</v>
      </c>
      <c r="D1777">
        <v>0</v>
      </c>
      <c r="E1777">
        <v>0</v>
      </c>
      <c r="F1777">
        <v>0.11297399189095197</v>
      </c>
      <c r="G1777">
        <v>0.20477518816543219</v>
      </c>
      <c r="H1777">
        <v>0.80736213001331703</v>
      </c>
      <c r="I1777">
        <v>0.55988164673787155</v>
      </c>
      <c r="J1777">
        <v>0.65461693067426996</v>
      </c>
      <c r="L1777">
        <v>3.7169222796786441</v>
      </c>
      <c r="M1777">
        <v>2.2176380782254981</v>
      </c>
      <c r="N1777">
        <v>0.83913250349755153</v>
      </c>
      <c r="P1777">
        <v>1.2645505513318671E-11</v>
      </c>
      <c r="R1777">
        <v>6.5618842641529671</v>
      </c>
      <c r="S1777">
        <v>6.5721137062563466</v>
      </c>
      <c r="T1777">
        <v>1</v>
      </c>
      <c r="U1777">
        <v>2.1596403910349697</v>
      </c>
    </row>
    <row r="1778" spans="1:21">
      <c r="A1778">
        <v>-1.6533199658528175E-2</v>
      </c>
      <c r="B1778">
        <v>-1.3795049657609539</v>
      </c>
      <c r="C1778">
        <v>0.59300854926876678</v>
      </c>
      <c r="D1778">
        <v>0</v>
      </c>
      <c r="E1778">
        <v>0.15193087591115323</v>
      </c>
      <c r="F1778">
        <v>0</v>
      </c>
      <c r="G1778">
        <v>0.7383181012210569</v>
      </c>
      <c r="H1778">
        <v>0.48611843549050349</v>
      </c>
      <c r="I1778">
        <v>0.16850481908419715</v>
      </c>
      <c r="J1778">
        <v>0.90051071465288113</v>
      </c>
      <c r="L1778">
        <v>3.7169215320233975</v>
      </c>
      <c r="M1778">
        <v>2.2176383459399194</v>
      </c>
      <c r="N1778">
        <v>0.83913236286674242</v>
      </c>
      <c r="P1778">
        <v>8.2881713532727762E-12</v>
      </c>
      <c r="R1778">
        <v>6.5618842641529671</v>
      </c>
      <c r="S1778">
        <v>6.5721137062563466</v>
      </c>
      <c r="T1778">
        <v>1</v>
      </c>
      <c r="U1778">
        <v>2.1596403910349697</v>
      </c>
    </row>
    <row r="1779" spans="1:21">
      <c r="A1779">
        <v>-2.2763042218864112E-2</v>
      </c>
      <c r="B1779">
        <v>-1.376056207998454</v>
      </c>
      <c r="C1779">
        <v>0.61414693785511265</v>
      </c>
      <c r="D1779">
        <v>0</v>
      </c>
      <c r="E1779">
        <v>0</v>
      </c>
      <c r="F1779">
        <v>0.5130520247053878</v>
      </c>
      <c r="G1779">
        <v>0.90520093146283209</v>
      </c>
      <c r="H1779">
        <v>0.68028548960752178</v>
      </c>
      <c r="I1779">
        <v>0.15641185916020889</v>
      </c>
      <c r="J1779">
        <v>0.47491954899983968</v>
      </c>
      <c r="L1779">
        <v>3.7169209699257677</v>
      </c>
      <c r="M1779">
        <v>2.2176395731805143</v>
      </c>
      <c r="N1779">
        <v>0.83913001488197292</v>
      </c>
      <c r="P1779">
        <v>2.9299199604858767E-12</v>
      </c>
      <c r="R1779">
        <v>6.5618842641529671</v>
      </c>
      <c r="S1779">
        <v>6.5721137062563466</v>
      </c>
      <c r="T1779">
        <v>1</v>
      </c>
      <c r="U1779">
        <v>2.1596403910349697</v>
      </c>
    </row>
    <row r="1780" spans="1:21">
      <c r="A1780">
        <v>-2.5090945375915219E-2</v>
      </c>
      <c r="B1780">
        <v>-1.382238054796679</v>
      </c>
      <c r="C1780">
        <v>0.57872187593051228</v>
      </c>
      <c r="D1780">
        <v>0</v>
      </c>
      <c r="E1780">
        <v>0</v>
      </c>
      <c r="F1780">
        <v>4.6200827719494048E-3</v>
      </c>
      <c r="G1780">
        <v>0.37740901386162162</v>
      </c>
      <c r="H1780">
        <v>0.74850457643912338</v>
      </c>
      <c r="I1780">
        <v>0.55577963694435606</v>
      </c>
      <c r="J1780">
        <v>0.64384058668312927</v>
      </c>
      <c r="L1780">
        <v>3.7169217867720858</v>
      </c>
      <c r="M1780">
        <v>2.2176384463114487</v>
      </c>
      <c r="N1780">
        <v>0.83913231135140498</v>
      </c>
      <c r="P1780">
        <v>9.0991711487499598E-12</v>
      </c>
      <c r="R1780">
        <v>6.5618842641529671</v>
      </c>
      <c r="S1780">
        <v>6.5721137062563466</v>
      </c>
      <c r="T1780">
        <v>1</v>
      </c>
      <c r="U1780">
        <v>2.1596403910349697</v>
      </c>
    </row>
    <row r="1781" spans="1:21">
      <c r="A1781">
        <v>2.5267949765597805E-2</v>
      </c>
      <c r="B1781">
        <v>-1.263702187041928</v>
      </c>
      <c r="C1781">
        <v>0.67204919822338316</v>
      </c>
      <c r="D1781">
        <v>0.19280570955723558</v>
      </c>
      <c r="E1781">
        <v>0</v>
      </c>
      <c r="F1781">
        <v>0</v>
      </c>
      <c r="G1781">
        <v>9.7558358274622364E-2</v>
      </c>
      <c r="H1781">
        <v>0.14860044333338859</v>
      </c>
      <c r="I1781">
        <v>0.942769963322869</v>
      </c>
      <c r="J1781">
        <v>0.82830859441412708</v>
      </c>
      <c r="L1781">
        <v>2.3648066528797425</v>
      </c>
      <c r="M1781">
        <v>2.2176395500482671</v>
      </c>
      <c r="N1781">
        <v>0.83913041807727484</v>
      </c>
      <c r="P1781">
        <v>2.2994021134209579E-12</v>
      </c>
      <c r="R1781">
        <v>4.4241834035873655</v>
      </c>
      <c r="S1781">
        <v>4.4300562065933597</v>
      </c>
      <c r="T1781">
        <v>1</v>
      </c>
      <c r="U1781">
        <v>2.3119110805889882</v>
      </c>
    </row>
    <row r="1782" spans="1:21">
      <c r="A1782">
        <v>2.9718016062790079E-2</v>
      </c>
      <c r="B1782">
        <v>-1.2514370800761248</v>
      </c>
      <c r="C1782">
        <v>0.70481153573012101</v>
      </c>
      <c r="D1782">
        <v>7.7802811458042437E-2</v>
      </c>
      <c r="E1782">
        <v>0</v>
      </c>
      <c r="F1782">
        <v>0</v>
      </c>
      <c r="G1782">
        <v>0.27102549618663724</v>
      </c>
      <c r="H1782">
        <v>0.49883953452545654</v>
      </c>
      <c r="I1782">
        <v>0.50894959854988231</v>
      </c>
      <c r="J1782">
        <v>0.2640575281412969</v>
      </c>
      <c r="L1782">
        <v>2.3648068157622339</v>
      </c>
      <c r="M1782">
        <v>2.2176396263118443</v>
      </c>
      <c r="N1782">
        <v>0.83913033028806661</v>
      </c>
      <c r="P1782">
        <v>2.8511925732013228E-12</v>
      </c>
      <c r="R1782">
        <v>4.4241834035873655</v>
      </c>
      <c r="S1782">
        <v>4.4300562065933597</v>
      </c>
      <c r="T1782">
        <v>1</v>
      </c>
      <c r="U1782">
        <v>2.3119110805889882</v>
      </c>
    </row>
    <row r="1783" spans="1:21">
      <c r="A1783">
        <v>3.0895605504472245E-2</v>
      </c>
      <c r="B1783">
        <v>-1.2603331242490332</v>
      </c>
      <c r="C1783">
        <v>0.70732958540565805</v>
      </c>
      <c r="D1783">
        <v>0.19922210245105679</v>
      </c>
      <c r="E1783">
        <v>0</v>
      </c>
      <c r="F1783">
        <v>0</v>
      </c>
      <c r="G1783">
        <v>0.78576923088012518</v>
      </c>
      <c r="H1783">
        <v>0.44676024302385264</v>
      </c>
      <c r="I1783">
        <v>0.33373910510560106</v>
      </c>
      <c r="J1783">
        <v>0.59977127735566138</v>
      </c>
      <c r="L1783">
        <v>2.3648065707087227</v>
      </c>
      <c r="M1783">
        <v>2.2176395739335168</v>
      </c>
      <c r="N1783">
        <v>0.83913040976747011</v>
      </c>
      <c r="P1783">
        <v>2.1473198448259405E-12</v>
      </c>
      <c r="R1783">
        <v>4.4241834035873655</v>
      </c>
      <c r="S1783">
        <v>4.4300562065933597</v>
      </c>
      <c r="T1783">
        <v>1</v>
      </c>
      <c r="U1783">
        <v>2.3119110805889882</v>
      </c>
    </row>
    <row r="1784" spans="1:21">
      <c r="A1784">
        <v>2.7536125507302046E-2</v>
      </c>
      <c r="B1784">
        <v>-1.2648404603189936</v>
      </c>
      <c r="C1784">
        <v>0.69538764862748026</v>
      </c>
      <c r="D1784">
        <v>0</v>
      </c>
      <c r="E1784">
        <v>0</v>
      </c>
      <c r="F1784">
        <v>0.19142243764466568</v>
      </c>
      <c r="G1784">
        <v>0.85143295574280475</v>
      </c>
      <c r="H1784">
        <v>0.11884184007762115</v>
      </c>
      <c r="I1784">
        <v>0.71483691258355309</v>
      </c>
      <c r="J1784">
        <v>0.96737827185461678</v>
      </c>
      <c r="L1784">
        <v>2.3648064261762567</v>
      </c>
      <c r="M1784">
        <v>2.2176395933557069</v>
      </c>
      <c r="N1784">
        <v>0.8391304001434019</v>
      </c>
      <c r="P1784">
        <v>1.8738157608494634E-12</v>
      </c>
      <c r="R1784">
        <v>4.4241834035873655</v>
      </c>
      <c r="S1784">
        <v>4.4300562065933597</v>
      </c>
      <c r="T1784">
        <v>1</v>
      </c>
      <c r="U1784">
        <v>2.3119110805889882</v>
      </c>
    </row>
    <row r="1785" spans="1:21">
      <c r="A1785">
        <v>2.8087989826833814E-2</v>
      </c>
      <c r="B1785">
        <v>-1.2681530263621776</v>
      </c>
      <c r="C1785">
        <v>0.68882900298206229</v>
      </c>
      <c r="D1785">
        <v>0.55897759496607058</v>
      </c>
      <c r="E1785">
        <v>0</v>
      </c>
      <c r="F1785">
        <v>0.1846693529007721</v>
      </c>
      <c r="G1785">
        <v>0.65125663729899286</v>
      </c>
      <c r="H1785">
        <v>0.36128989514493404</v>
      </c>
      <c r="I1785">
        <v>0.51373895180735851</v>
      </c>
      <c r="J1785">
        <v>0.97826448090801943</v>
      </c>
      <c r="L1785">
        <v>2.364806637963393</v>
      </c>
      <c r="M1785">
        <v>2.2176395600699776</v>
      </c>
      <c r="N1785">
        <v>0.83913041689540313</v>
      </c>
      <c r="P1785">
        <v>2.2810329909655198E-12</v>
      </c>
      <c r="R1785">
        <v>4.4241834035873655</v>
      </c>
      <c r="S1785">
        <v>4.4300562065933597</v>
      </c>
      <c r="T1785">
        <v>1</v>
      </c>
      <c r="U1785">
        <v>2.3119110805889882</v>
      </c>
    </row>
    <row r="1786" spans="1:21">
      <c r="A1786">
        <v>3.1395266810150091E-2</v>
      </c>
      <c r="B1786">
        <v>-1.2646659020198572</v>
      </c>
      <c r="C1786">
        <v>0.69196733682422251</v>
      </c>
      <c r="D1786">
        <v>0</v>
      </c>
      <c r="E1786">
        <v>0.59506905645613151</v>
      </c>
      <c r="F1786">
        <v>0</v>
      </c>
      <c r="G1786">
        <v>0.47379930475513016</v>
      </c>
      <c r="H1786">
        <v>9.6635190935773191E-2</v>
      </c>
      <c r="I1786">
        <v>0.6212732944605458</v>
      </c>
      <c r="J1786">
        <v>0.78055470431358154</v>
      </c>
      <c r="L1786">
        <v>2.3648067325441904</v>
      </c>
      <c r="M1786">
        <v>2.217639415922521</v>
      </c>
      <c r="N1786">
        <v>0.83913048355633846</v>
      </c>
      <c r="P1786">
        <v>2.2981392858490102E-12</v>
      </c>
      <c r="R1786">
        <v>4.4241834035873655</v>
      </c>
      <c r="S1786">
        <v>4.4300562065933597</v>
      </c>
      <c r="T1786">
        <v>1</v>
      </c>
      <c r="U1786">
        <v>2.3119110805889882</v>
      </c>
    </row>
    <row r="1787" spans="1:21">
      <c r="A1787">
        <v>2.5418984691056752E-2</v>
      </c>
      <c r="B1787">
        <v>-1.2481077764945212</v>
      </c>
      <c r="C1787">
        <v>0.7226330638700833</v>
      </c>
      <c r="D1787">
        <v>0.51078852788286466</v>
      </c>
      <c r="E1787">
        <v>0</v>
      </c>
      <c r="F1787">
        <v>0.11599482178405654</v>
      </c>
      <c r="G1787">
        <v>0.85148719724831345</v>
      </c>
      <c r="H1787">
        <v>0.90565496812388457</v>
      </c>
      <c r="I1787">
        <v>0.94568660336597543</v>
      </c>
      <c r="J1787">
        <v>0.14889836324236688</v>
      </c>
      <c r="L1787">
        <v>2.3648066550983642</v>
      </c>
      <c r="M1787">
        <v>2.2176395212000353</v>
      </c>
      <c r="N1787">
        <v>0.83913042814131966</v>
      </c>
      <c r="P1787">
        <v>2.256588909266622E-12</v>
      </c>
      <c r="R1787">
        <v>4.4241834035873655</v>
      </c>
      <c r="S1787">
        <v>4.4300562065933597</v>
      </c>
      <c r="T1787">
        <v>1</v>
      </c>
      <c r="U1787">
        <v>2.3119110805889882</v>
      </c>
    </row>
    <row r="1788" spans="1:21">
      <c r="A1788">
        <v>2.4699018567412242E-2</v>
      </c>
      <c r="B1788">
        <v>-1.2535242747485391</v>
      </c>
      <c r="C1788">
        <v>0.70419681268408996</v>
      </c>
      <c r="D1788">
        <v>0.56171323337207879</v>
      </c>
      <c r="E1788">
        <v>0</v>
      </c>
      <c r="F1788">
        <v>3.7797136231039873E-3</v>
      </c>
      <c r="G1788">
        <v>0.38922639635034467</v>
      </c>
      <c r="H1788">
        <v>0.50307150306406534</v>
      </c>
      <c r="I1788">
        <v>0.82939167832364191</v>
      </c>
      <c r="J1788">
        <v>0.15925930251937562</v>
      </c>
      <c r="L1788">
        <v>2.3648069458702294</v>
      </c>
      <c r="M1788">
        <v>2.2176395340978199</v>
      </c>
      <c r="N1788">
        <v>0.83913035558154492</v>
      </c>
      <c r="P1788">
        <v>3.0592846882016723E-12</v>
      </c>
      <c r="R1788">
        <v>4.4241834035873655</v>
      </c>
      <c r="S1788">
        <v>4.4300562065933597</v>
      </c>
      <c r="T1788">
        <v>1</v>
      </c>
      <c r="U1788">
        <v>2.3119110805889882</v>
      </c>
    </row>
    <row r="1789" spans="1:21">
      <c r="A1789">
        <v>2.7453935150423353E-2</v>
      </c>
      <c r="B1789">
        <v>-1.2506702143906996</v>
      </c>
      <c r="C1789">
        <v>0.70618123742522243</v>
      </c>
      <c r="D1789">
        <v>0</v>
      </c>
      <c r="E1789">
        <v>0</v>
      </c>
      <c r="F1789">
        <v>8.3150412992118533E-2</v>
      </c>
      <c r="G1789">
        <v>0.21839839265961838</v>
      </c>
      <c r="H1789">
        <v>0.18426468361981896</v>
      </c>
      <c r="I1789">
        <v>0.60163240408949614</v>
      </c>
      <c r="J1789">
        <v>0.13838477324546208</v>
      </c>
      <c r="L1789">
        <v>2.3648068744836643</v>
      </c>
      <c r="M1789">
        <v>2.217639644216169</v>
      </c>
      <c r="N1789">
        <v>0.83913030000381006</v>
      </c>
      <c r="P1789">
        <v>3.0507175378958164E-12</v>
      </c>
      <c r="R1789">
        <v>4.4241834035873655</v>
      </c>
      <c r="S1789">
        <v>4.4300562065933597</v>
      </c>
      <c r="T1789">
        <v>1</v>
      </c>
      <c r="U1789">
        <v>2.3119110805889882</v>
      </c>
    </row>
    <row r="1790" spans="1:21">
      <c r="A1790">
        <v>2.8535303881678752E-2</v>
      </c>
      <c r="B1790">
        <v>-1.2516950875971384</v>
      </c>
      <c r="C1790">
        <v>0.69471180628683926</v>
      </c>
      <c r="D1790">
        <v>0.13473538388119946</v>
      </c>
      <c r="E1790">
        <v>0</v>
      </c>
      <c r="F1790">
        <v>0.1499003849311013</v>
      </c>
      <c r="G1790">
        <v>0.29587872673860949</v>
      </c>
      <c r="H1790">
        <v>0.86567305539430306</v>
      </c>
      <c r="I1790">
        <v>0.89878451584078034</v>
      </c>
      <c r="J1790">
        <v>0.64816701216989114</v>
      </c>
      <c r="L1790">
        <v>2.3648068737555312</v>
      </c>
      <c r="M1790">
        <v>2.2176396015124342</v>
      </c>
      <c r="N1790">
        <v>0.83913033074422039</v>
      </c>
      <c r="P1790">
        <v>2.9672108061697236E-12</v>
      </c>
      <c r="R1790">
        <v>4.4241834035873655</v>
      </c>
      <c r="S1790">
        <v>4.4300562065933597</v>
      </c>
      <c r="T1790">
        <v>1</v>
      </c>
      <c r="U1790">
        <v>2.3119110805889882</v>
      </c>
    </row>
    <row r="1791" spans="1:21">
      <c r="A1791">
        <v>3.1367715106166399E-2</v>
      </c>
      <c r="B1791">
        <v>-1.2545917643577802</v>
      </c>
      <c r="C1791">
        <v>0.69550384817906652</v>
      </c>
      <c r="D1791">
        <v>0</v>
      </c>
      <c r="E1791">
        <v>0.35189165378185383</v>
      </c>
      <c r="F1791">
        <v>0</v>
      </c>
      <c r="G1791">
        <v>0</v>
      </c>
      <c r="H1791">
        <v>0.28039603268319152</v>
      </c>
      <c r="I1791">
        <v>0.49013445155113655</v>
      </c>
      <c r="J1791">
        <v>0.35040779521956328</v>
      </c>
      <c r="L1791">
        <v>2.3648065648366932</v>
      </c>
      <c r="M1791">
        <v>2.2176398395117696</v>
      </c>
      <c r="N1791">
        <v>0.83913019232750719</v>
      </c>
      <c r="P1791">
        <v>2.690035570503846E-12</v>
      </c>
      <c r="R1791">
        <v>4.4241834035873655</v>
      </c>
      <c r="S1791">
        <v>4.4300562065933597</v>
      </c>
      <c r="T1791">
        <v>1</v>
      </c>
      <c r="U1791">
        <v>2.3119110805889882</v>
      </c>
    </row>
    <row r="1792" spans="1:21">
      <c r="A1792">
        <v>3.3327527627554213E-2</v>
      </c>
      <c r="B1792">
        <v>-1.250489579257013</v>
      </c>
      <c r="C1792">
        <v>0.70260528302022451</v>
      </c>
      <c r="D1792">
        <v>0.27415323124794949</v>
      </c>
      <c r="E1792">
        <v>0.26224279189550331</v>
      </c>
      <c r="F1792">
        <v>0</v>
      </c>
      <c r="G1792">
        <v>0.12048782811219723</v>
      </c>
      <c r="H1792">
        <v>0.96241307181647429</v>
      </c>
      <c r="I1792">
        <v>0.43415852757267986</v>
      </c>
      <c r="J1792">
        <v>0.36020944634612206</v>
      </c>
      <c r="L1792">
        <v>2.364806537089748</v>
      </c>
      <c r="M1792">
        <v>2.2176395062673677</v>
      </c>
      <c r="N1792">
        <v>0.83913044709541174</v>
      </c>
      <c r="P1792">
        <v>1.9622610555408681E-12</v>
      </c>
      <c r="R1792">
        <v>4.4241834035873655</v>
      </c>
      <c r="S1792">
        <v>4.4300562065933597</v>
      </c>
      <c r="T1792">
        <v>1</v>
      </c>
      <c r="U1792">
        <v>2.3119110805889882</v>
      </c>
    </row>
    <row r="1793" spans="1:21">
      <c r="A1793">
        <v>3.0767297507493001E-2</v>
      </c>
      <c r="B1793">
        <v>-1.2543471264346628</v>
      </c>
      <c r="C1793">
        <v>0.71172763239647463</v>
      </c>
      <c r="D1793">
        <v>2.4041974761206356E-2</v>
      </c>
      <c r="E1793">
        <v>0.74212307833068103</v>
      </c>
      <c r="F1793">
        <v>0.24169217056188391</v>
      </c>
      <c r="G1793">
        <v>0.33075424742784576</v>
      </c>
      <c r="H1793">
        <v>6.273320909297643E-2</v>
      </c>
      <c r="I1793">
        <v>0.59356521336378221</v>
      </c>
      <c r="J1793">
        <v>0.26069858516409317</v>
      </c>
      <c r="L1793">
        <v>2.3648063011693825</v>
      </c>
      <c r="M1793">
        <v>2.217639570017329</v>
      </c>
      <c r="N1793">
        <v>0.83913039885215734</v>
      </c>
      <c r="P1793">
        <v>1.5980766586756836E-12</v>
      </c>
      <c r="R1793">
        <v>4.4241834035873655</v>
      </c>
      <c r="S1793">
        <v>4.4300562065933597</v>
      </c>
      <c r="T1793">
        <v>1</v>
      </c>
      <c r="U1793">
        <v>2.3119110805889882</v>
      </c>
    </row>
    <row r="1794" spans="1:21">
      <c r="A1794">
        <v>2.8114342183792412E-2</v>
      </c>
      <c r="B1794">
        <v>-1.2544455494843383</v>
      </c>
      <c r="C1794">
        <v>0.68474679853397313</v>
      </c>
      <c r="D1794">
        <v>0.28815626714435749</v>
      </c>
      <c r="E1794">
        <v>2.1988881367865296E-2</v>
      </c>
      <c r="F1794">
        <v>0</v>
      </c>
      <c r="G1794">
        <v>0.1882814359630961</v>
      </c>
      <c r="H1794">
        <v>0.9669060108453007</v>
      </c>
      <c r="I1794">
        <v>0.99153837404801493</v>
      </c>
      <c r="J1794">
        <v>0.72693487329724149</v>
      </c>
      <c r="L1794">
        <v>2.3648064168891318</v>
      </c>
      <c r="M1794">
        <v>2.2176396702078014</v>
      </c>
      <c r="N1794">
        <v>0.839130339332814</v>
      </c>
      <c r="P1794">
        <v>1.9965387456407343E-12</v>
      </c>
      <c r="R1794">
        <v>4.4241834035873655</v>
      </c>
      <c r="S1794">
        <v>4.4300562065933597</v>
      </c>
      <c r="T1794">
        <v>1</v>
      </c>
      <c r="U1794">
        <v>2.3119110805889882</v>
      </c>
    </row>
    <row r="1795" spans="1:21">
      <c r="A1795">
        <v>3.4604376337998656E-2</v>
      </c>
      <c r="B1795">
        <v>-1.2543663829920315</v>
      </c>
      <c r="C1795">
        <v>0.71135904373405223</v>
      </c>
      <c r="D1795">
        <v>0</v>
      </c>
      <c r="E1795">
        <v>0.59639548049176772</v>
      </c>
      <c r="F1795">
        <v>0.39345299804144773</v>
      </c>
      <c r="G1795">
        <v>0.73797489797071558</v>
      </c>
      <c r="H1795">
        <v>0.9186876326503618</v>
      </c>
      <c r="I1795">
        <v>0.64663166497481228</v>
      </c>
      <c r="J1795">
        <v>0.8940636436547279</v>
      </c>
      <c r="L1795">
        <v>2.3648064381592637</v>
      </c>
      <c r="M1795">
        <v>2.2176395659602681</v>
      </c>
      <c r="N1795">
        <v>0.83913041310517866</v>
      </c>
      <c r="P1795">
        <v>1.8499537264099135E-12</v>
      </c>
      <c r="R1795">
        <v>4.4241834035873655</v>
      </c>
      <c r="S1795">
        <v>4.4300562065933597</v>
      </c>
      <c r="T1795">
        <v>1</v>
      </c>
      <c r="U1795">
        <v>2.3119110805889882</v>
      </c>
    </row>
    <row r="1796" spans="1:21">
      <c r="A1796">
        <v>2.5522665970611164E-2</v>
      </c>
      <c r="B1796">
        <v>-1.2603051180387606</v>
      </c>
      <c r="C1796">
        <v>0.68876915919778947</v>
      </c>
      <c r="D1796">
        <v>0</v>
      </c>
      <c r="E1796">
        <v>0</v>
      </c>
      <c r="F1796">
        <v>0</v>
      </c>
      <c r="G1796">
        <v>0.48613136569345322</v>
      </c>
      <c r="H1796">
        <v>0.16062744972629078</v>
      </c>
      <c r="I1796">
        <v>0.96043543415596111</v>
      </c>
      <c r="J1796">
        <v>0.69476790870955352</v>
      </c>
      <c r="L1796">
        <v>2.3648064923082281</v>
      </c>
      <c r="M1796">
        <v>2.2176395015342263</v>
      </c>
      <c r="N1796">
        <v>0.83913045572957978</v>
      </c>
      <c r="P1796">
        <v>1.8602046257872873E-12</v>
      </c>
      <c r="R1796">
        <v>4.4241834035873655</v>
      </c>
      <c r="S1796">
        <v>4.4300562065933597</v>
      </c>
      <c r="T1796">
        <v>1</v>
      </c>
      <c r="U1796">
        <v>2.3119110805889882</v>
      </c>
    </row>
    <row r="1797" spans="1:21">
      <c r="A1797">
        <v>3.2723290723316575E-2</v>
      </c>
      <c r="B1797">
        <v>-1.2564079526186516</v>
      </c>
      <c r="C1797">
        <v>0.71070834929487881</v>
      </c>
      <c r="D1797">
        <v>0.22827884840911308</v>
      </c>
      <c r="E1797">
        <v>0.58419051125483168</v>
      </c>
      <c r="F1797">
        <v>4.7356625200983514E-2</v>
      </c>
      <c r="G1797">
        <v>0.37002824136605433</v>
      </c>
      <c r="H1797">
        <v>0.3125529528412076</v>
      </c>
      <c r="I1797">
        <v>0.32529097289110681</v>
      </c>
      <c r="J1797">
        <v>0.26700401822356062</v>
      </c>
      <c r="L1797">
        <v>2.3648062136627011</v>
      </c>
      <c r="M1797">
        <v>2.2176396342873077</v>
      </c>
      <c r="N1797">
        <v>0.83913034102491058</v>
      </c>
      <c r="P1797">
        <v>1.5671994590969195E-12</v>
      </c>
      <c r="R1797">
        <v>4.4241834035873655</v>
      </c>
      <c r="S1797">
        <v>4.4300562065933597</v>
      </c>
      <c r="T1797">
        <v>1</v>
      </c>
      <c r="U1797">
        <v>2.3119110805889882</v>
      </c>
    </row>
    <row r="1798" spans="1:21">
      <c r="A1798">
        <v>2.7641176927851216E-2</v>
      </c>
      <c r="B1798">
        <v>-1.2532744788587418</v>
      </c>
      <c r="C1798">
        <v>0.70619238364441128</v>
      </c>
      <c r="D1798">
        <v>0</v>
      </c>
      <c r="E1798">
        <v>0.2735641896251923</v>
      </c>
      <c r="F1798">
        <v>0</v>
      </c>
      <c r="G1798">
        <v>0.29910718041875745</v>
      </c>
      <c r="H1798">
        <v>5.9211750760766582E-2</v>
      </c>
      <c r="I1798">
        <v>0.69094430475099755</v>
      </c>
      <c r="J1798">
        <v>0.13838838529565251</v>
      </c>
      <c r="L1798">
        <v>2.3648062392425695</v>
      </c>
      <c r="M1798">
        <v>2.2176396217299228</v>
      </c>
      <c r="N1798">
        <v>0.83913035366518862</v>
      </c>
      <c r="P1798">
        <v>1.5845831293693492E-12</v>
      </c>
      <c r="R1798">
        <v>4.4241834035873655</v>
      </c>
      <c r="S1798">
        <v>4.4300562065933597</v>
      </c>
      <c r="T1798">
        <v>1</v>
      </c>
      <c r="U1798">
        <v>2.3119110805889882</v>
      </c>
    </row>
    <row r="1799" spans="1:21">
      <c r="A1799">
        <v>3.0907117470351676E-2</v>
      </c>
      <c r="B1799">
        <v>-1.2601090643420625</v>
      </c>
      <c r="C1799">
        <v>0.69630759583137691</v>
      </c>
      <c r="D1799">
        <v>0.2027315184062117</v>
      </c>
      <c r="E1799">
        <v>2.7942400565365419E-3</v>
      </c>
      <c r="F1799">
        <v>0</v>
      </c>
      <c r="G1799">
        <v>0.40452559058997939</v>
      </c>
      <c r="H1799">
        <v>0.4084452654797599</v>
      </c>
      <c r="I1799">
        <v>0.33578456587284539</v>
      </c>
      <c r="J1799">
        <v>0.60958295954950481</v>
      </c>
      <c r="L1799">
        <v>2.3648065487036325</v>
      </c>
      <c r="M1799">
        <v>2.2176395768818828</v>
      </c>
      <c r="N1799">
        <v>0.83913040847408848</v>
      </c>
      <c r="P1799">
        <v>2.1029448207053771E-12</v>
      </c>
      <c r="R1799">
        <v>4.4241834035873655</v>
      </c>
      <c r="S1799">
        <v>4.4300562065933597</v>
      </c>
      <c r="T1799">
        <v>1</v>
      </c>
      <c r="U1799">
        <v>2.3119110805889882</v>
      </c>
    </row>
    <row r="1800" spans="1:21">
      <c r="A1800">
        <v>2.5846437480395168E-2</v>
      </c>
      <c r="B1800">
        <v>-1.2412009447881696</v>
      </c>
      <c r="C1800">
        <v>0.73066668528036682</v>
      </c>
      <c r="D1800">
        <v>8.0827736288504967E-2</v>
      </c>
      <c r="E1800">
        <v>0.33249167729916301</v>
      </c>
      <c r="F1800">
        <v>0.86736429552719874</v>
      </c>
      <c r="G1800">
        <v>0.49163437815026906</v>
      </c>
      <c r="H1800">
        <v>0.40247218404564838</v>
      </c>
      <c r="I1800">
        <v>0.93989380091873254</v>
      </c>
      <c r="J1800">
        <v>0.13044113984330866</v>
      </c>
      <c r="L1800">
        <v>2.3648061115426402</v>
      </c>
      <c r="M1800">
        <v>2.2176396551936843</v>
      </c>
      <c r="N1800">
        <v>0.8391302927761185</v>
      </c>
      <c r="P1800">
        <v>1.4578504702741766E-12</v>
      </c>
      <c r="R1800">
        <v>4.4241834035873655</v>
      </c>
      <c r="S1800">
        <v>4.4300562065933597</v>
      </c>
      <c r="T1800">
        <v>1</v>
      </c>
      <c r="U1800">
        <v>2.3119110805889882</v>
      </c>
    </row>
    <row r="1801" spans="1:21">
      <c r="A1801">
        <v>2.9295326778895004E-2</v>
      </c>
      <c r="B1801">
        <v>-1.2655391212660334</v>
      </c>
      <c r="C1801">
        <v>0.68009548199257452</v>
      </c>
      <c r="D1801">
        <v>0.82486185503979736</v>
      </c>
      <c r="E1801">
        <v>0</v>
      </c>
      <c r="F1801">
        <v>9.3209740753968442E-2</v>
      </c>
      <c r="G1801">
        <v>0</v>
      </c>
      <c r="H1801">
        <v>0.44123031651352612</v>
      </c>
      <c r="I1801">
        <v>0.25684779835430732</v>
      </c>
      <c r="J1801">
        <v>0.69154679257142471</v>
      </c>
      <c r="L1801">
        <v>2.364806159955426</v>
      </c>
      <c r="M1801">
        <v>2.2176395901685173</v>
      </c>
      <c r="N1801">
        <v>0.83913014498600524</v>
      </c>
      <c r="P1801">
        <v>1.4225093341153013E-12</v>
      </c>
      <c r="R1801">
        <v>4.4241834035873655</v>
      </c>
      <c r="S1801">
        <v>4.4300562065933597</v>
      </c>
      <c r="T1801">
        <v>1</v>
      </c>
      <c r="U1801">
        <v>2.3119110805889882</v>
      </c>
    </row>
    <row r="1802" spans="1:21">
      <c r="A1802">
        <v>3.0609751663130846E-2</v>
      </c>
      <c r="B1802">
        <v>-1.2560021888678787</v>
      </c>
      <c r="C1802">
        <v>0.70950539892296249</v>
      </c>
      <c r="D1802">
        <v>5.6592120492307676E-2</v>
      </c>
      <c r="E1802">
        <v>0</v>
      </c>
      <c r="F1802">
        <v>1.8315505033996829E-2</v>
      </c>
      <c r="G1802">
        <v>0.54542528265443702</v>
      </c>
      <c r="H1802">
        <v>0.29658787836396289</v>
      </c>
      <c r="I1802">
        <v>0.3067494781424</v>
      </c>
      <c r="J1802">
        <v>0.36094177871285354</v>
      </c>
      <c r="L1802">
        <v>2.3648064774154651</v>
      </c>
      <c r="M1802">
        <v>2.217639525416971</v>
      </c>
      <c r="N1802">
        <v>0.83913043965241474</v>
      </c>
      <c r="P1802">
        <v>1.865023738621103E-12</v>
      </c>
      <c r="R1802">
        <v>4.4241834035873655</v>
      </c>
      <c r="S1802">
        <v>4.4300562065933597</v>
      </c>
      <c r="T1802">
        <v>1</v>
      </c>
      <c r="U1802">
        <v>2.3119110805889882</v>
      </c>
    </row>
    <row r="1803" spans="1:21">
      <c r="A1803">
        <v>3.3677768652295992E-2</v>
      </c>
      <c r="B1803">
        <v>-1.2663735692100637</v>
      </c>
      <c r="C1803">
        <v>0.69501268841249764</v>
      </c>
      <c r="D1803">
        <v>0.17526520004617885</v>
      </c>
      <c r="E1803">
        <v>0.4009155155962742</v>
      </c>
      <c r="F1803">
        <v>0</v>
      </c>
      <c r="G1803">
        <v>0.68520487780536654</v>
      </c>
      <c r="H1803">
        <v>0.44642416337778318</v>
      </c>
      <c r="I1803">
        <v>0.36270357302677481</v>
      </c>
      <c r="J1803">
        <v>0.95114957801184619</v>
      </c>
      <c r="L1803">
        <v>2.3648064883814133</v>
      </c>
      <c r="M1803">
        <v>2.2176398835866618</v>
      </c>
      <c r="N1803">
        <v>0.83913015981369099</v>
      </c>
      <c r="P1803">
        <v>2.637180568226921E-12</v>
      </c>
      <c r="R1803">
        <v>4.4241834035873655</v>
      </c>
      <c r="S1803">
        <v>4.4300562065933597</v>
      </c>
      <c r="T1803">
        <v>1</v>
      </c>
      <c r="U1803">
        <v>2.3119110805889882</v>
      </c>
    </row>
    <row r="1804" spans="1:21">
      <c r="A1804">
        <v>3.3278204302445186E-2</v>
      </c>
      <c r="B1804">
        <v>-1.2513776173766062</v>
      </c>
      <c r="C1804">
        <v>0.70152561293032478</v>
      </c>
      <c r="D1804">
        <v>0</v>
      </c>
      <c r="E1804">
        <v>4.2348828267909679E-2</v>
      </c>
      <c r="F1804">
        <v>0</v>
      </c>
      <c r="G1804">
        <v>0.24389234816468977</v>
      </c>
      <c r="H1804">
        <v>0.82944792532075184</v>
      </c>
      <c r="I1804">
        <v>0.39465130732719605</v>
      </c>
      <c r="J1804">
        <v>0.4938579503518109</v>
      </c>
      <c r="L1804">
        <v>2.3648068007214329</v>
      </c>
      <c r="M1804">
        <v>2.2176395039304388</v>
      </c>
      <c r="N1804">
        <v>0.83913041419660139</v>
      </c>
      <c r="P1804">
        <v>2.6000780591761993E-12</v>
      </c>
      <c r="R1804">
        <v>4.4241834035873655</v>
      </c>
      <c r="S1804">
        <v>4.4300562065933597</v>
      </c>
      <c r="T1804">
        <v>1</v>
      </c>
      <c r="U1804">
        <v>2.3119110805889882</v>
      </c>
    </row>
    <row r="1805" spans="1:21">
      <c r="A1805">
        <v>3.0399992113307638E-2</v>
      </c>
      <c r="B1805">
        <v>-1.2422885473744267</v>
      </c>
      <c r="C1805">
        <v>0.71171640410041526</v>
      </c>
      <c r="D1805">
        <v>0</v>
      </c>
      <c r="E1805">
        <v>0.21613604918314958</v>
      </c>
      <c r="F1805">
        <v>0.1344513136374576</v>
      </c>
      <c r="G1805">
        <v>0.12405335615913435</v>
      </c>
      <c r="H1805">
        <v>0.88203513308716608</v>
      </c>
      <c r="I1805">
        <v>0.76775045920287344</v>
      </c>
      <c r="J1805">
        <v>0.12446723034923585</v>
      </c>
      <c r="L1805">
        <v>2.3648064598274852</v>
      </c>
      <c r="M1805">
        <v>2.2176395210769693</v>
      </c>
      <c r="N1805">
        <v>0.83913043514676311</v>
      </c>
      <c r="P1805">
        <v>1.8198444258501524E-12</v>
      </c>
      <c r="R1805">
        <v>4.4241834035873655</v>
      </c>
      <c r="S1805">
        <v>4.4300562065933597</v>
      </c>
      <c r="T1805">
        <v>1</v>
      </c>
      <c r="U1805">
        <v>2.3119110805889882</v>
      </c>
    </row>
    <row r="1806" spans="1:21">
      <c r="A1806">
        <v>3.1189284474048038E-2</v>
      </c>
      <c r="B1806">
        <v>-1.2583368232232057</v>
      </c>
      <c r="C1806">
        <v>0.69997168376086116</v>
      </c>
      <c r="D1806">
        <v>6.4822038133709237E-2</v>
      </c>
      <c r="E1806">
        <v>0</v>
      </c>
      <c r="F1806">
        <v>0.13899870747636076</v>
      </c>
      <c r="G1806">
        <v>0.2167005591322099</v>
      </c>
      <c r="H1806">
        <v>7.7220594986750213E-2</v>
      </c>
      <c r="I1806">
        <v>0.13191202778250599</v>
      </c>
      <c r="J1806">
        <v>0.4417112555219998</v>
      </c>
      <c r="L1806">
        <v>2.3648062224417323</v>
      </c>
      <c r="M1806">
        <v>2.2176396406459595</v>
      </c>
      <c r="N1806">
        <v>0.83913033915877933</v>
      </c>
      <c r="P1806">
        <v>1.5932757498231855E-12</v>
      </c>
      <c r="R1806">
        <v>4.4241834035873655</v>
      </c>
      <c r="S1806">
        <v>4.4300562065933597</v>
      </c>
      <c r="T1806">
        <v>1</v>
      </c>
      <c r="U1806">
        <v>2.3119110805889882</v>
      </c>
    </row>
    <row r="1807" spans="1:21">
      <c r="A1807">
        <v>3.3435977280721105E-2</v>
      </c>
      <c r="B1807">
        <v>-1.2539994098697385</v>
      </c>
      <c r="C1807">
        <v>0.70552001885828997</v>
      </c>
      <c r="D1807">
        <v>0</v>
      </c>
      <c r="E1807">
        <v>0.18343151063505295</v>
      </c>
      <c r="F1807">
        <v>0</v>
      </c>
      <c r="G1807">
        <v>0.43651673384960615</v>
      </c>
      <c r="H1807">
        <v>0.68893620149110835</v>
      </c>
      <c r="I1807">
        <v>0.38176893613337881</v>
      </c>
      <c r="J1807">
        <v>0.51838261805601971</v>
      </c>
      <c r="L1807">
        <v>2.3648062949446129</v>
      </c>
      <c r="M1807">
        <v>2.2176397948327575</v>
      </c>
      <c r="N1807">
        <v>0.83913022300808571</v>
      </c>
      <c r="P1807">
        <v>2.0437018780744148E-12</v>
      </c>
      <c r="R1807">
        <v>4.4241834035873655</v>
      </c>
      <c r="S1807">
        <v>4.4300562065933597</v>
      </c>
      <c r="T1807">
        <v>1</v>
      </c>
      <c r="U1807">
        <v>2.3119110805889882</v>
      </c>
    </row>
    <row r="1808" spans="1:21">
      <c r="A1808">
        <v>3.1088061787650237E-2</v>
      </c>
      <c r="B1808">
        <v>-1.2503869637824159</v>
      </c>
      <c r="C1808">
        <v>0.69754787271526553</v>
      </c>
      <c r="D1808">
        <v>6.2690366383788526E-2</v>
      </c>
      <c r="E1808">
        <v>0</v>
      </c>
      <c r="F1808">
        <v>0</v>
      </c>
      <c r="G1808">
        <v>0.17830529080844254</v>
      </c>
      <c r="H1808">
        <v>0.8690453559895247</v>
      </c>
      <c r="I1808">
        <v>0.62001199383964789</v>
      </c>
      <c r="J1808">
        <v>0.48019735598161201</v>
      </c>
      <c r="L1808">
        <v>2.36480633027243</v>
      </c>
      <c r="M1808">
        <v>2.2176398144477449</v>
      </c>
      <c r="N1808">
        <v>0.8391302065274141</v>
      </c>
      <c r="P1808">
        <v>2.1534697645895879E-12</v>
      </c>
      <c r="R1808">
        <v>4.4241834035873655</v>
      </c>
      <c r="S1808">
        <v>4.4300562065933597</v>
      </c>
      <c r="T1808">
        <v>1</v>
      </c>
      <c r="U1808">
        <v>2.3119110805889882</v>
      </c>
    </row>
    <row r="1809" spans="1:21">
      <c r="A1809">
        <v>2.4123681567055619E-2</v>
      </c>
      <c r="B1809">
        <v>-1.2559086002183726</v>
      </c>
      <c r="C1809">
        <v>0.7118911596305485</v>
      </c>
      <c r="D1809">
        <v>0.47493189956428378</v>
      </c>
      <c r="E1809">
        <v>0</v>
      </c>
      <c r="F1809">
        <v>0</v>
      </c>
      <c r="G1809">
        <v>0.65462545137999761</v>
      </c>
      <c r="H1809">
        <v>0.1916199026052493</v>
      </c>
      <c r="I1809">
        <v>0.73945217050289502</v>
      </c>
      <c r="J1809">
        <v>0.10129331462709064</v>
      </c>
      <c r="L1809">
        <v>2.3648063638957568</v>
      </c>
      <c r="M1809">
        <v>2.2176397310247551</v>
      </c>
      <c r="N1809">
        <v>0.83913028909219534</v>
      </c>
      <c r="P1809">
        <v>2.0205174315711766E-12</v>
      </c>
      <c r="R1809">
        <v>4.4241834035873655</v>
      </c>
      <c r="S1809">
        <v>4.4300562065933597</v>
      </c>
      <c r="T1809">
        <v>1</v>
      </c>
      <c r="U1809">
        <v>2.3119110805889882</v>
      </c>
    </row>
    <row r="1810" spans="1:21">
      <c r="A1810">
        <v>3.2534859414827123E-2</v>
      </c>
      <c r="B1810">
        <v>-1.2570942043395319</v>
      </c>
      <c r="C1810">
        <v>0.71243988527323909</v>
      </c>
      <c r="D1810">
        <v>0.19931458853499642</v>
      </c>
      <c r="E1810">
        <v>0</v>
      </c>
      <c r="F1810">
        <v>0.49290139518527998</v>
      </c>
      <c r="G1810">
        <v>0.90774992917123942</v>
      </c>
      <c r="H1810">
        <v>0.84991972705847296</v>
      </c>
      <c r="I1810">
        <v>0.36822683939703837</v>
      </c>
      <c r="J1810">
        <v>0.95795849294546354</v>
      </c>
      <c r="L1810">
        <v>2.3648062455032988</v>
      </c>
      <c r="M1810">
        <v>2.2176396200852491</v>
      </c>
      <c r="N1810">
        <v>0.83913035764665511</v>
      </c>
      <c r="P1810">
        <v>1.5919987033086937E-12</v>
      </c>
      <c r="R1810">
        <v>4.4241834035873655</v>
      </c>
      <c r="S1810">
        <v>4.4300562065933597</v>
      </c>
      <c r="T1810">
        <v>1</v>
      </c>
      <c r="U1810">
        <v>2.3119110805889882</v>
      </c>
    </row>
  </sheetData>
  <mergeCells count="2">
    <mergeCell ref="L6:N6"/>
    <mergeCell ref="L10:N10"/>
  </mergeCells>
  <conditionalFormatting sqref="AC11:AC70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C9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AB65"/>
  <sheetViews>
    <sheetView zoomScale="70" zoomScaleNormal="70" workbookViewId="0">
      <selection activeCell="F62" sqref="F62"/>
    </sheetView>
  </sheetViews>
  <sheetFormatPr baseColWidth="10" defaultRowHeight="15"/>
  <sheetData>
    <row r="1" spans="1:28">
      <c r="L1" t="s">
        <v>307</v>
      </c>
      <c r="M1" t="s">
        <v>308</v>
      </c>
    </row>
    <row r="2" spans="1:28">
      <c r="O2" s="14"/>
      <c r="P2">
        <v>1.155</v>
      </c>
      <c r="Q2">
        <v>1.883</v>
      </c>
      <c r="R2">
        <v>2.105</v>
      </c>
      <c r="S2">
        <v>1.806</v>
      </c>
      <c r="T2">
        <v>2.0550000000000002</v>
      </c>
      <c r="U2">
        <v>1.5740000000000001</v>
      </c>
    </row>
    <row r="3" spans="1:28">
      <c r="O3" s="14"/>
      <c r="P3">
        <v>1.1299999999999999</v>
      </c>
      <c r="Q3">
        <v>2.2000000000000002</v>
      </c>
      <c r="R3">
        <v>1.9059999999999999</v>
      </c>
      <c r="S3">
        <v>2.0489999999999999</v>
      </c>
      <c r="T3">
        <v>1.857</v>
      </c>
      <c r="U3">
        <v>2.0920000000000001</v>
      </c>
      <c r="V3">
        <v>1.762</v>
      </c>
      <c r="W3">
        <v>1.51</v>
      </c>
    </row>
    <row r="4" spans="1:28">
      <c r="O4" s="14"/>
    </row>
    <row r="5" spans="1:28">
      <c r="A5" s="13" t="s">
        <v>296</v>
      </c>
      <c r="B5" s="13" t="s">
        <v>297</v>
      </c>
      <c r="C5" s="13" t="s">
        <v>298</v>
      </c>
      <c r="D5" s="13" t="s">
        <v>299</v>
      </c>
      <c r="E5" s="13" t="s">
        <v>300</v>
      </c>
      <c r="F5" s="13" t="s">
        <v>301</v>
      </c>
      <c r="G5" s="13" t="s">
        <v>302</v>
      </c>
      <c r="H5" s="13" t="s">
        <v>303</v>
      </c>
      <c r="I5" s="13" t="s">
        <v>304</v>
      </c>
      <c r="J5" s="13" t="s">
        <v>305</v>
      </c>
      <c r="K5" s="13"/>
      <c r="L5" s="34" t="s">
        <v>306</v>
      </c>
      <c r="M5" s="34"/>
      <c r="N5" s="34"/>
      <c r="O5" s="13"/>
      <c r="P5" s="13" t="s">
        <v>311</v>
      </c>
      <c r="Q5" s="13"/>
      <c r="R5" s="13" t="s">
        <v>310</v>
      </c>
      <c r="T5" s="13" t="s">
        <v>312</v>
      </c>
      <c r="U5" s="13" t="s">
        <v>313</v>
      </c>
      <c r="W5" s="26" t="s">
        <v>314</v>
      </c>
    </row>
    <row r="6" spans="1:28">
      <c r="A6">
        <v>1.0724104064506711E-2</v>
      </c>
      <c r="B6">
        <v>0.95624317825173255</v>
      </c>
      <c r="C6">
        <v>1.1207239543371705</v>
      </c>
      <c r="D6">
        <v>0.11821554212165145</v>
      </c>
      <c r="E6">
        <v>0.70756936839598594</v>
      </c>
      <c r="F6">
        <v>0.23022728466028106</v>
      </c>
      <c r="G6">
        <v>0.694797224757571</v>
      </c>
      <c r="H6">
        <v>0.11314860398852343</v>
      </c>
      <c r="I6">
        <v>0.72956951786824797</v>
      </c>
      <c r="J6">
        <v>0.34208653684353185</v>
      </c>
      <c r="L6">
        <v>0.54681499690939905</v>
      </c>
      <c r="M6">
        <v>1.2301958991851523</v>
      </c>
      <c r="N6">
        <v>1.6224844023701235</v>
      </c>
      <c r="P6">
        <v>4.2824283318551783E-13</v>
      </c>
      <c r="R6">
        <v>4.0558045796411992</v>
      </c>
      <c r="S6" s="16"/>
      <c r="T6">
        <v>1.1299999999999999</v>
      </c>
      <c r="U6">
        <f>(A6^2+B6^2+C6^2)</f>
        <v>2.1705382041861054</v>
      </c>
      <c r="V6" s="14">
        <f>ABS(1-U6/T6)</f>
        <v>0.920830269191244</v>
      </c>
      <c r="W6">
        <f>ABS(T6-U6)</f>
        <v>1.0405382041861055</v>
      </c>
      <c r="Y6" s="14">
        <v>0.19775922395344936</v>
      </c>
      <c r="Z6" s="14">
        <v>0.26496251404532645</v>
      </c>
      <c r="AA6" s="14">
        <v>9.2258266352408524E-2</v>
      </c>
      <c r="AB6" s="14">
        <v>0.92712056178642865</v>
      </c>
    </row>
    <row r="7" spans="1:28">
      <c r="A7">
        <v>5.2595719437840915E-2</v>
      </c>
      <c r="B7">
        <v>1.0683192287737655</v>
      </c>
      <c r="C7">
        <v>1.088908482926962</v>
      </c>
      <c r="D7">
        <v>0.61710875625624284</v>
      </c>
      <c r="E7">
        <v>0.7185110620651709</v>
      </c>
      <c r="F7">
        <v>0.582704004053611</v>
      </c>
      <c r="G7">
        <v>0.71808404896650313</v>
      </c>
      <c r="H7">
        <v>0.94120656921907553</v>
      </c>
      <c r="I7">
        <v>0.44218731997169447</v>
      </c>
      <c r="J7">
        <v>0.57849495134868656</v>
      </c>
      <c r="L7">
        <v>0.54681381471708079</v>
      </c>
      <c r="M7">
        <v>1.2301960608931637</v>
      </c>
      <c r="N7">
        <v>3.2924930936893717</v>
      </c>
      <c r="P7">
        <v>2.9063759675996211E-12</v>
      </c>
      <c r="R7">
        <v>4.5699603488478573</v>
      </c>
      <c r="S7" s="16"/>
      <c r="T7">
        <v>1.1299999999999999</v>
      </c>
      <c r="U7">
        <f t="shared" ref="U7:U65" si="0">(A7^2+B7^2+C7^2)</f>
        <v>2.3297939684612547</v>
      </c>
      <c r="V7" s="14">
        <f t="shared" ref="V7:V65" si="1">ABS(1-U7/T7)</f>
        <v>1.0617645738595178</v>
      </c>
      <c r="W7">
        <f t="shared" ref="W7:W65" si="2">ABS(T7-U7)</f>
        <v>1.1997939684612549</v>
      </c>
      <c r="Y7" s="14">
        <v>1.1187660284884831</v>
      </c>
      <c r="Z7" s="14">
        <v>1.2215492630669389</v>
      </c>
      <c r="AA7" s="14">
        <v>0.93351745542497278</v>
      </c>
      <c r="AB7" s="14">
        <v>1.0428138998657999</v>
      </c>
    </row>
    <row r="8" spans="1:28">
      <c r="A8">
        <v>8.3415605464329357E-2</v>
      </c>
      <c r="B8">
        <v>1.1561994828998923</v>
      </c>
      <c r="C8">
        <v>1.0336830785506597</v>
      </c>
      <c r="D8">
        <v>0.88419974318123329</v>
      </c>
      <c r="E8">
        <v>0.52493897261152722</v>
      </c>
      <c r="F8">
        <v>0.92973372362532281</v>
      </c>
      <c r="G8">
        <v>0.66004939909131233</v>
      </c>
      <c r="H8">
        <v>0.87557905558736027</v>
      </c>
      <c r="I8">
        <v>1.9188294010855034E-2</v>
      </c>
      <c r="J8">
        <v>0.61615402814243947</v>
      </c>
      <c r="L8">
        <v>0.54681467597521183</v>
      </c>
      <c r="M8">
        <v>1.2301960748283456</v>
      </c>
      <c r="N8">
        <v>2.5853647786391458</v>
      </c>
      <c r="P8">
        <v>6.6220149660554258E-13</v>
      </c>
      <c r="R8">
        <v>2.5476891434358335</v>
      </c>
      <c r="S8" s="16"/>
      <c r="T8">
        <v>1.1299999999999999</v>
      </c>
      <c r="U8">
        <f t="shared" si="0"/>
        <v>2.4122561143749284</v>
      </c>
      <c r="V8" s="14">
        <f t="shared" si="1"/>
        <v>1.1347399242256007</v>
      </c>
      <c r="W8">
        <f t="shared" si="2"/>
        <v>1.2822561143749285</v>
      </c>
      <c r="Y8" s="14">
        <v>0.33278800433489297</v>
      </c>
      <c r="Z8" s="14">
        <v>0.35723748751742757</v>
      </c>
      <c r="AA8" s="14">
        <v>0.29334456200417436</v>
      </c>
      <c r="AB8" s="14">
        <v>1.1475920202620249</v>
      </c>
    </row>
    <row r="9" spans="1:28">
      <c r="A9">
        <v>-6.098058035706181E-2</v>
      </c>
      <c r="B9">
        <v>0.9560248440198772</v>
      </c>
      <c r="C9">
        <v>1.2250561690332487</v>
      </c>
      <c r="D9">
        <v>0.71526004834365131</v>
      </c>
      <c r="E9">
        <v>0.17705225672249469</v>
      </c>
      <c r="F9">
        <v>0.18021684121980816</v>
      </c>
      <c r="G9">
        <v>0.81471215201786629</v>
      </c>
      <c r="H9">
        <v>0.2963595257500059</v>
      </c>
      <c r="I9">
        <v>0.47764157174020189</v>
      </c>
      <c r="J9">
        <v>1.0564556099715072</v>
      </c>
      <c r="L9">
        <v>0.54681584915123582</v>
      </c>
      <c r="M9">
        <v>1.6224835753626847</v>
      </c>
      <c r="N9">
        <v>3.2924937987937506</v>
      </c>
      <c r="P9">
        <v>3.232881481290912E-12</v>
      </c>
      <c r="R9">
        <v>5.9331495657374385</v>
      </c>
      <c r="S9" s="16"/>
      <c r="T9">
        <v>1.1299999999999999</v>
      </c>
      <c r="U9">
        <f t="shared" si="0"/>
        <v>2.4184647508503341</v>
      </c>
      <c r="V9" s="14">
        <f t="shared" si="1"/>
        <v>1.1402342927879063</v>
      </c>
      <c r="W9">
        <f t="shared" si="2"/>
        <v>1.2884647508503342</v>
      </c>
      <c r="Y9" s="14">
        <v>0.83139305103271566</v>
      </c>
      <c r="Z9" s="14">
        <v>0.8700511491407632</v>
      </c>
      <c r="AA9" s="14">
        <v>0.69867164048087216</v>
      </c>
      <c r="AB9" s="14">
        <v>1.1173248303023873</v>
      </c>
    </row>
    <row r="10" spans="1:28">
      <c r="A10">
        <v>-0.48857791009278861</v>
      </c>
      <c r="B10">
        <v>1.1275800575966226</v>
      </c>
      <c r="C10">
        <v>1.8057989529662364</v>
      </c>
      <c r="D10">
        <v>0.4328261149772562</v>
      </c>
      <c r="E10">
        <v>1.0212070049265611</v>
      </c>
      <c r="F10">
        <v>0.85020251234951494</v>
      </c>
      <c r="G10">
        <v>1.4776923526328833</v>
      </c>
      <c r="H10">
        <v>0.57087569792091786</v>
      </c>
      <c r="I10">
        <v>8.2171801166258371E-2</v>
      </c>
      <c r="J10">
        <v>0</v>
      </c>
      <c r="L10">
        <v>0.54681393397163669</v>
      </c>
      <c r="M10">
        <v>1.6224849048889527</v>
      </c>
      <c r="N10">
        <v>2.5853650374758632</v>
      </c>
      <c r="P10">
        <v>1.1685439821839538E-12</v>
      </c>
      <c r="R10">
        <v>15.515618278394411</v>
      </c>
      <c r="S10" s="16"/>
      <c r="T10">
        <v>1.1299999999999999</v>
      </c>
      <c r="U10">
        <f t="shared" si="0"/>
        <v>4.7710550190541952</v>
      </c>
      <c r="V10" s="14">
        <f t="shared" si="1"/>
        <v>3.2221725832338013</v>
      </c>
      <c r="W10">
        <f t="shared" si="2"/>
        <v>3.6410550190541953</v>
      </c>
      <c r="Y10" s="14">
        <v>0.74381602179238415</v>
      </c>
      <c r="Z10" s="14">
        <v>0.48690671556109311</v>
      </c>
      <c r="AA10" s="14">
        <v>0.61632963309521038</v>
      </c>
      <c r="AB10" s="14">
        <v>3.281777200850895</v>
      </c>
    </row>
    <row r="11" spans="1:28">
      <c r="A11">
        <v>0.13835307872919717</v>
      </c>
      <c r="B11">
        <v>1.1554335104455022</v>
      </c>
      <c r="C11">
        <v>0.96504111391958025</v>
      </c>
      <c r="D11">
        <v>0.36543119369342508</v>
      </c>
      <c r="E11">
        <v>7.4578404966768527E-2</v>
      </c>
      <c r="F11">
        <v>0.18925283257941683</v>
      </c>
      <c r="G11">
        <v>1.1442800967967559</v>
      </c>
      <c r="H11">
        <v>0.24738143251386574</v>
      </c>
      <c r="I11">
        <v>0.4807993661236144</v>
      </c>
      <c r="J11">
        <v>0.94135853631251953</v>
      </c>
      <c r="L11">
        <v>0.54681488521634525</v>
      </c>
      <c r="M11">
        <v>3.2924935431382854</v>
      </c>
      <c r="N11">
        <v>2.5853647556041137</v>
      </c>
      <c r="P11">
        <v>1.3913846943449623E-12</v>
      </c>
      <c r="R11">
        <v>3.8381597751755665</v>
      </c>
      <c r="S11" s="16"/>
      <c r="T11">
        <v>1.1299999999999999</v>
      </c>
      <c r="U11">
        <f t="shared" si="0"/>
        <v>2.2854725230094082</v>
      </c>
      <c r="V11" s="14">
        <f t="shared" si="1"/>
        <v>1.0225420557605385</v>
      </c>
      <c r="W11">
        <f t="shared" si="2"/>
        <v>1.1554725230094083</v>
      </c>
      <c r="Y11" s="14">
        <v>0.8514034832680859</v>
      </c>
      <c r="Z11" s="14">
        <v>0.90435627955499953</v>
      </c>
      <c r="AA11" s="14">
        <v>0.75675905853767822</v>
      </c>
      <c r="AB11" s="14">
        <v>1.0260616469557156</v>
      </c>
    </row>
    <row r="12" spans="1:28">
      <c r="A12">
        <v>6.7493267739688408E-4</v>
      </c>
      <c r="B12">
        <v>1.1016741900210913</v>
      </c>
      <c r="C12">
        <v>0.93004878233456201</v>
      </c>
      <c r="D12">
        <v>0.52782074328755602</v>
      </c>
      <c r="E12">
        <v>0.12427474154701101</v>
      </c>
      <c r="F12">
        <v>0.13524097375555347</v>
      </c>
      <c r="G12">
        <v>0</v>
      </c>
      <c r="H12">
        <v>0.24135362278548944</v>
      </c>
      <c r="I12">
        <v>0.6485064367169987</v>
      </c>
      <c r="J12">
        <v>1.174476520846949</v>
      </c>
      <c r="L12">
        <v>1.2301968192577621</v>
      </c>
      <c r="M12">
        <v>1.6224859910898808</v>
      </c>
      <c r="N12">
        <v>3.2924937354060533</v>
      </c>
      <c r="P12">
        <v>1.8788915179644346E-12</v>
      </c>
      <c r="R12">
        <v>7.0306647552872095</v>
      </c>
      <c r="S12" s="16"/>
      <c r="T12">
        <v>1.1299999999999999</v>
      </c>
      <c r="U12">
        <f t="shared" si="0"/>
        <v>2.0786772140147485</v>
      </c>
      <c r="V12" s="14">
        <f t="shared" si="1"/>
        <v>0.83953735753517589</v>
      </c>
      <c r="W12">
        <f t="shared" si="2"/>
        <v>0.94867721401474858</v>
      </c>
      <c r="Y12" s="14">
        <v>1.0944351910261303</v>
      </c>
      <c r="Z12" s="14">
        <v>1.1268920100729622</v>
      </c>
      <c r="AA12" s="14">
        <v>0.92993621940905613</v>
      </c>
      <c r="AB12" s="14">
        <v>0.85909237216562007</v>
      </c>
    </row>
    <row r="13" spans="1:28">
      <c r="A13">
        <v>2.2716640132585796E-3</v>
      </c>
      <c r="B13">
        <v>1.1661620723448376</v>
      </c>
      <c r="C13">
        <v>0.86383901331786717</v>
      </c>
      <c r="D13">
        <v>0.23531273098696392</v>
      </c>
      <c r="E13">
        <v>0.40516252438926637</v>
      </c>
      <c r="F13">
        <v>0.86943780203031873</v>
      </c>
      <c r="G13">
        <v>0.42191109924284675</v>
      </c>
      <c r="H13">
        <v>9.1376931244376652E-2</v>
      </c>
      <c r="I13">
        <v>7.5377436894132149E-2</v>
      </c>
      <c r="J13">
        <v>0.5480252552575493</v>
      </c>
      <c r="L13">
        <v>1.2301958986120611</v>
      </c>
      <c r="M13">
        <v>1.6224845543275748</v>
      </c>
      <c r="N13">
        <v>2.5853647669197861</v>
      </c>
      <c r="P13">
        <v>8.8555501742173713E-13</v>
      </c>
      <c r="R13">
        <v>3.1513272772219252</v>
      </c>
      <c r="S13" s="16"/>
      <c r="T13">
        <v>1.1299999999999999</v>
      </c>
      <c r="U13">
        <f t="shared" si="0"/>
        <v>2.1061569803629818</v>
      </c>
      <c r="V13" s="14">
        <f t="shared" si="1"/>
        <v>0.86385573483449729</v>
      </c>
      <c r="W13">
        <f t="shared" si="2"/>
        <v>0.97615698036298193</v>
      </c>
      <c r="Y13" s="14">
        <v>0.25034610567801474</v>
      </c>
      <c r="Z13" s="14">
        <v>0.28154869190813181</v>
      </c>
      <c r="AA13" s="14">
        <v>0.17576448312762705</v>
      </c>
      <c r="AB13" s="14">
        <v>0.86181097509331139</v>
      </c>
    </row>
    <row r="14" spans="1:28">
      <c r="A14">
        <v>-0.17529442216064106</v>
      </c>
      <c r="B14">
        <v>1.1702510252069209</v>
      </c>
      <c r="C14">
        <v>0.53066704345755533</v>
      </c>
      <c r="D14">
        <v>0.83029357210586352</v>
      </c>
      <c r="E14">
        <v>4.7974120584746656E-2</v>
      </c>
      <c r="F14">
        <v>1.0204797988954826</v>
      </c>
      <c r="G14">
        <v>0.49739189035090187</v>
      </c>
      <c r="H14">
        <v>0.80539096363183782</v>
      </c>
      <c r="I14">
        <v>1.6995097489446194</v>
      </c>
      <c r="J14">
        <v>1.242698185514896</v>
      </c>
      <c r="L14">
        <v>1.2301981727262632</v>
      </c>
      <c r="M14">
        <v>3.2924919079303021</v>
      </c>
      <c r="N14">
        <v>2.5853664262099869</v>
      </c>
      <c r="P14">
        <v>1.0855154296882018E-11</v>
      </c>
      <c r="R14">
        <v>16.370704876991407</v>
      </c>
      <c r="S14" s="16"/>
      <c r="T14">
        <v>1.1299999999999999</v>
      </c>
      <c r="U14">
        <f t="shared" si="0"/>
        <v>1.6818231074504653</v>
      </c>
      <c r="V14" s="14">
        <f t="shared" si="1"/>
        <v>0.48833903314200477</v>
      </c>
      <c r="W14">
        <f t="shared" si="2"/>
        <v>0.55182310745046537</v>
      </c>
      <c r="Y14" s="14">
        <v>2.9627218416549237</v>
      </c>
      <c r="Z14" s="14">
        <v>3.1601135617219764</v>
      </c>
      <c r="AA14" s="14">
        <v>1.9850476183695815</v>
      </c>
      <c r="AB14" s="14">
        <v>0.53379094337063626</v>
      </c>
    </row>
    <row r="15" spans="1:28">
      <c r="A15">
        <v>2.6302683983248708E-2</v>
      </c>
      <c r="B15">
        <v>1.1672144068635943</v>
      </c>
      <c r="C15">
        <v>0.81379470070076354</v>
      </c>
      <c r="D15">
        <v>0.38311797861190883</v>
      </c>
      <c r="E15">
        <v>0.14525234596317979</v>
      </c>
      <c r="F15">
        <v>0.43699341946315473</v>
      </c>
      <c r="G15">
        <v>0.72869622607850981</v>
      </c>
      <c r="H15">
        <v>1.0151298612680062</v>
      </c>
      <c r="I15">
        <v>0.63638497098677294</v>
      </c>
      <c r="J15">
        <v>0.69499760242479547</v>
      </c>
      <c r="L15">
        <v>1.6224841549305149</v>
      </c>
      <c r="M15">
        <v>3.2924935969714828</v>
      </c>
      <c r="N15">
        <v>2.585364455665927</v>
      </c>
      <c r="P15">
        <v>2.519320982563731E-12</v>
      </c>
      <c r="R15">
        <v>4.6656532234419226</v>
      </c>
      <c r="S15" s="16"/>
      <c r="T15">
        <v>1.1299999999999999</v>
      </c>
      <c r="U15">
        <f t="shared" si="0"/>
        <v>2.0253431176633003</v>
      </c>
      <c r="V15" s="14">
        <f t="shared" si="1"/>
        <v>0.79233904217991191</v>
      </c>
      <c r="W15">
        <f t="shared" si="2"/>
        <v>0.89534311766330044</v>
      </c>
      <c r="Y15" s="14">
        <v>0.84093524192898417</v>
      </c>
      <c r="Z15" s="14">
        <v>0.85538459218923713</v>
      </c>
      <c r="AA15" s="14">
        <v>0.66619198832382742</v>
      </c>
      <c r="AB15" s="14">
        <v>0.78125840988164508</v>
      </c>
    </row>
    <row r="16" spans="1:28">
      <c r="A16">
        <v>-1.029552231816911</v>
      </c>
      <c r="B16">
        <v>0.99473744200248826</v>
      </c>
      <c r="C16">
        <v>0.33865165622416948</v>
      </c>
      <c r="D16">
        <v>0.38081268482270408</v>
      </c>
      <c r="E16">
        <v>5.2606272319784944E-2</v>
      </c>
      <c r="F16">
        <v>0.25417643865159251</v>
      </c>
      <c r="G16">
        <v>9.6930934577330305E-2</v>
      </c>
      <c r="H16">
        <v>0.85775559563504533</v>
      </c>
      <c r="I16">
        <v>0.91200845586530266</v>
      </c>
      <c r="J16">
        <v>0.36677692312770949</v>
      </c>
      <c r="L16">
        <v>1.1371646039665564</v>
      </c>
      <c r="M16">
        <v>3.3063890171082337</v>
      </c>
      <c r="N16">
        <v>0.68994378818646074</v>
      </c>
      <c r="P16">
        <v>4.2175965643603996E-12</v>
      </c>
      <c r="R16">
        <v>4.1377112672316807</v>
      </c>
      <c r="S16" s="16"/>
      <c r="T16">
        <v>1.9059999999999999</v>
      </c>
      <c r="U16">
        <f t="shared" si="0"/>
        <v>2.1641653208242095</v>
      </c>
      <c r="V16" s="14">
        <f t="shared" si="1"/>
        <v>0.13544875174407633</v>
      </c>
      <c r="W16">
        <f t="shared" si="2"/>
        <v>0.25816532082420962</v>
      </c>
      <c r="Y16" s="14">
        <v>4.7600207284819618E-2</v>
      </c>
      <c r="Z16" s="14">
        <v>4.7028476123193386E-2</v>
      </c>
      <c r="AA16" s="14">
        <v>2.1631035731909387E-2</v>
      </c>
      <c r="AB16" s="14">
        <v>0.14349194284703204</v>
      </c>
    </row>
    <row r="17" spans="1:28">
      <c r="A17">
        <v>-0.98640601792433058</v>
      </c>
      <c r="B17">
        <v>1.1239748378275531</v>
      </c>
      <c r="C17">
        <v>0.30447460975557911</v>
      </c>
      <c r="D17">
        <v>0.84346911829461513</v>
      </c>
      <c r="E17">
        <v>0.11495388363646686</v>
      </c>
      <c r="F17">
        <v>0.36407894685774606</v>
      </c>
      <c r="G17">
        <v>0.8699811517686139</v>
      </c>
      <c r="H17">
        <v>0.65342276763268214</v>
      </c>
      <c r="I17">
        <v>0.39490650806747268</v>
      </c>
      <c r="J17">
        <v>0.4421720173534599</v>
      </c>
      <c r="L17">
        <v>1.1371651753211396</v>
      </c>
      <c r="M17">
        <v>3.3063930390470628</v>
      </c>
      <c r="N17">
        <v>4.9535757765798296</v>
      </c>
      <c r="P17">
        <v>4.2027230328262613E-11</v>
      </c>
      <c r="R17">
        <v>7.1412636962530271</v>
      </c>
      <c r="S17" s="16"/>
      <c r="T17">
        <v>1.9059999999999999</v>
      </c>
      <c r="U17">
        <f t="shared" si="0"/>
        <v>2.3290210562526212</v>
      </c>
      <c r="V17" s="14">
        <f t="shared" si="1"/>
        <v>0.22194179236758727</v>
      </c>
      <c r="W17">
        <f t="shared" si="2"/>
        <v>0.42302105625262132</v>
      </c>
      <c r="Y17" s="14">
        <v>0.58604463358356296</v>
      </c>
      <c r="Z17" s="14">
        <v>0.637622841973565</v>
      </c>
      <c r="AA17" s="14">
        <v>0.48654872620242062</v>
      </c>
      <c r="AB17" s="14">
        <v>0.21071638423276173</v>
      </c>
    </row>
    <row r="18" spans="1:28">
      <c r="A18">
        <v>-0.95832728252075072</v>
      </c>
      <c r="B18">
        <v>1.2015073038263062</v>
      </c>
      <c r="C18">
        <v>0.27196940238827205</v>
      </c>
      <c r="D18">
        <v>0.6631739016331476</v>
      </c>
      <c r="E18">
        <v>0.38030984879969704</v>
      </c>
      <c r="F18">
        <v>0.87155324072202955</v>
      </c>
      <c r="G18">
        <v>0.51845304054179353</v>
      </c>
      <c r="H18">
        <v>0.32889985126270882</v>
      </c>
      <c r="I18">
        <v>3.0539479751912325E-2</v>
      </c>
      <c r="J18">
        <v>0.92856889080731875</v>
      </c>
      <c r="L18">
        <v>1.1371644730901156</v>
      </c>
      <c r="M18">
        <v>3.3063897928458394</v>
      </c>
      <c r="N18">
        <v>3.7964655247859236</v>
      </c>
      <c r="P18">
        <v>6.2286029322750192E-12</v>
      </c>
      <c r="R18">
        <v>4.7257601672330285</v>
      </c>
      <c r="S18" s="16"/>
      <c r="T18">
        <v>1.9059999999999999</v>
      </c>
      <c r="U18">
        <f t="shared" si="0"/>
        <v>2.4359783374070001</v>
      </c>
      <c r="V18" s="14">
        <f t="shared" si="1"/>
        <v>0.27805788951049326</v>
      </c>
      <c r="W18">
        <f t="shared" si="2"/>
        <v>0.52997833740700018</v>
      </c>
      <c r="Y18" s="14">
        <v>0.14395980935315289</v>
      </c>
      <c r="Z18" s="14">
        <v>0.15205912530746923</v>
      </c>
      <c r="AA18" s="14">
        <v>0.13631453802143767</v>
      </c>
      <c r="AB18" s="14">
        <v>0.27299318046083343</v>
      </c>
    </row>
    <row r="19" spans="1:28">
      <c r="A19">
        <v>-1.0986624622084173</v>
      </c>
      <c r="B19">
        <v>1.0053705733462905</v>
      </c>
      <c r="C19">
        <v>0.45529228670716737</v>
      </c>
      <c r="D19">
        <v>0.11712827515913887</v>
      </c>
      <c r="E19">
        <v>0.6039251221133739</v>
      </c>
      <c r="F19">
        <v>0.57265101790092687</v>
      </c>
      <c r="G19">
        <v>0.19873326160475555</v>
      </c>
      <c r="H19">
        <v>0.74395993000153182</v>
      </c>
      <c r="I19">
        <v>0.31104800015360451</v>
      </c>
      <c r="J19">
        <v>0.26790576393565718</v>
      </c>
      <c r="L19">
        <v>1.1371661590292104</v>
      </c>
      <c r="M19">
        <v>0.68994304919862193</v>
      </c>
      <c r="N19">
        <v>4.9535795987870905</v>
      </c>
      <c r="P19">
        <v>1.0687608342704205E-11</v>
      </c>
      <c r="R19">
        <v>5.331400769841836</v>
      </c>
      <c r="S19" s="16"/>
      <c r="T19">
        <v>1.9059999999999999</v>
      </c>
      <c r="U19">
        <f t="shared" si="0"/>
        <v>2.4251202619515526</v>
      </c>
      <c r="V19" s="14">
        <f t="shared" si="1"/>
        <v>0.27236110280774017</v>
      </c>
      <c r="W19">
        <f t="shared" si="2"/>
        <v>0.5191202619515527</v>
      </c>
      <c r="Y19" s="14">
        <v>0.44711025698899731</v>
      </c>
      <c r="Z19" s="14">
        <v>0.46941815397565967</v>
      </c>
      <c r="AA19" s="14">
        <v>0.38862538122503798</v>
      </c>
      <c r="AB19" s="14">
        <v>0.25946742983395366</v>
      </c>
    </row>
    <row r="20" spans="1:28">
      <c r="A20">
        <v>-1.5132112716066648</v>
      </c>
      <c r="B20">
        <v>1.172130448754185</v>
      </c>
      <c r="C20">
        <v>1.0148646032112449</v>
      </c>
      <c r="D20">
        <v>0.35281732109911762</v>
      </c>
      <c r="E20">
        <v>0.88110943473640513</v>
      </c>
      <c r="F20">
        <v>0.91885021700661695</v>
      </c>
      <c r="G20">
        <v>5.3908879119846834E-2</v>
      </c>
      <c r="H20">
        <v>1.1036617227321153</v>
      </c>
      <c r="I20">
        <v>0.77927592755220376</v>
      </c>
      <c r="J20">
        <v>0.30456517943261679</v>
      </c>
      <c r="L20">
        <v>1.1371631582951238</v>
      </c>
      <c r="M20">
        <v>0.68994334367257115</v>
      </c>
      <c r="N20">
        <v>3.7964684737785688</v>
      </c>
      <c r="P20">
        <v>6.7644555922714079E-12</v>
      </c>
      <c r="R20">
        <v>12.909335115425273</v>
      </c>
      <c r="S20" s="16"/>
      <c r="T20">
        <v>1.9059999999999999</v>
      </c>
      <c r="U20">
        <f t="shared" si="0"/>
        <v>4.6936483042652641</v>
      </c>
      <c r="V20" s="14">
        <f t="shared" si="1"/>
        <v>1.4625646926890159</v>
      </c>
      <c r="W20">
        <f t="shared" si="2"/>
        <v>2.7876483042652644</v>
      </c>
      <c r="Y20" s="14">
        <v>0.40963387294650233</v>
      </c>
      <c r="Z20" s="14">
        <v>0.34232339516960919</v>
      </c>
      <c r="AA20" s="14">
        <v>0.43497021782320244</v>
      </c>
      <c r="AB20" s="14">
        <v>1.5394285946414188</v>
      </c>
    </row>
    <row r="21" spans="1:28">
      <c r="A21">
        <v>-0.89794193295566738</v>
      </c>
      <c r="B21">
        <v>1.2035502928326876</v>
      </c>
      <c r="C21">
        <v>0.18179265085513607</v>
      </c>
      <c r="D21">
        <v>0.73704822081653554</v>
      </c>
      <c r="E21">
        <v>0.73915455056504831</v>
      </c>
      <c r="F21">
        <v>0.85125517100563175</v>
      </c>
      <c r="G21">
        <v>0.41685181173685737</v>
      </c>
      <c r="H21">
        <v>0.4589095892704268</v>
      </c>
      <c r="I21">
        <v>0.96778762250059014</v>
      </c>
      <c r="J21">
        <v>0.81001233405688622</v>
      </c>
      <c r="L21">
        <v>1.1371647249282988</v>
      </c>
      <c r="M21">
        <v>4.9535809571354088</v>
      </c>
      <c r="N21">
        <v>3.7964648634223641</v>
      </c>
      <c r="P21">
        <v>7.6674510430086531E-12</v>
      </c>
      <c r="R21">
        <v>4.6448608378922902</v>
      </c>
      <c r="S21" s="16"/>
      <c r="T21">
        <v>1.9059999999999999</v>
      </c>
      <c r="U21">
        <f t="shared" si="0"/>
        <v>2.2878815902427454</v>
      </c>
      <c r="V21" s="14">
        <f t="shared" si="1"/>
        <v>0.20035760243585798</v>
      </c>
      <c r="W21">
        <f t="shared" si="2"/>
        <v>0.38188159024274548</v>
      </c>
      <c r="Y21" s="14">
        <v>0.44862616085817186</v>
      </c>
      <c r="Z21" s="14">
        <v>0.45178849497892504</v>
      </c>
      <c r="AA21" s="14">
        <v>0.39592177387425087</v>
      </c>
      <c r="AB21" s="14">
        <v>0.19948071127450295</v>
      </c>
    </row>
    <row r="22" spans="1:28">
      <c r="A22">
        <v>-1.0523700896495065</v>
      </c>
      <c r="B22">
        <v>1.0203728566175054</v>
      </c>
      <c r="C22">
        <v>1.3862543020201172</v>
      </c>
      <c r="D22">
        <v>1.1733209018415518</v>
      </c>
      <c r="E22">
        <v>1.1743075316781417</v>
      </c>
      <c r="F22">
        <v>0.53480558654385024</v>
      </c>
      <c r="G22">
        <v>0</v>
      </c>
      <c r="H22">
        <v>1.1815391617577076</v>
      </c>
      <c r="I22">
        <v>0</v>
      </c>
      <c r="J22">
        <v>2.9639150519756279</v>
      </c>
      <c r="L22">
        <v>3.3063869355490914</v>
      </c>
      <c r="M22">
        <v>0.68994413301394264</v>
      </c>
      <c r="N22">
        <v>4.9535809209149164</v>
      </c>
      <c r="P22">
        <v>4.4563674048585205E-12</v>
      </c>
      <c r="R22">
        <v>30.757697169835161</v>
      </c>
      <c r="S22" s="16"/>
      <c r="T22">
        <v>1.9059999999999999</v>
      </c>
      <c r="U22">
        <f t="shared" si="0"/>
        <v>4.0703445619799616</v>
      </c>
      <c r="V22" s="14">
        <f t="shared" si="1"/>
        <v>1.135542792224534</v>
      </c>
      <c r="W22">
        <f t="shared" si="2"/>
        <v>2.1643445619799619</v>
      </c>
      <c r="Y22" s="14">
        <v>1.5507935348704454</v>
      </c>
      <c r="Z22" s="14">
        <v>0.90182221832019294</v>
      </c>
      <c r="AA22" s="14">
        <v>0.93720961812825809</v>
      </c>
      <c r="AB22" s="14">
        <v>2.0515811808494897</v>
      </c>
    </row>
    <row r="23" spans="1:28">
      <c r="A23">
        <v>-1.0204140818618732</v>
      </c>
      <c r="B23">
        <v>0.99504062618225309</v>
      </c>
      <c r="C23">
        <v>-0.30622941139416227</v>
      </c>
      <c r="D23">
        <v>0.86270856845138899</v>
      </c>
      <c r="E23">
        <v>0.77720234135843647</v>
      </c>
      <c r="F23">
        <v>0.48411175940498308</v>
      </c>
      <c r="G23">
        <v>0.73352083485354369</v>
      </c>
      <c r="H23">
        <v>0.58939489501575804</v>
      </c>
      <c r="I23">
        <v>0.68596151016519558</v>
      </c>
      <c r="J23">
        <v>9.5097129923104456E-2</v>
      </c>
      <c r="L23">
        <v>3.3063876618059762</v>
      </c>
      <c r="M23">
        <v>0.68994200587679388</v>
      </c>
      <c r="N23">
        <v>3.7964682785139989</v>
      </c>
      <c r="P23">
        <v>1.3276212765819785E-11</v>
      </c>
      <c r="R23">
        <v>10.20719112079408</v>
      </c>
      <c r="S23" s="16"/>
      <c r="T23">
        <v>1.9059999999999999</v>
      </c>
      <c r="U23">
        <f t="shared" si="0"/>
        <v>2.1251271986179954</v>
      </c>
      <c r="V23" s="14">
        <f t="shared" si="1"/>
        <v>0.11496705069149815</v>
      </c>
      <c r="W23">
        <f t="shared" si="2"/>
        <v>0.21912719861799546</v>
      </c>
      <c r="Y23" s="14">
        <v>0.16576026609867767</v>
      </c>
      <c r="Z23" s="14">
        <v>0.16297992944133188</v>
      </c>
      <c r="AA23" s="14">
        <v>0.19218804588870197</v>
      </c>
      <c r="AB23" s="14">
        <v>0.1214164933398838</v>
      </c>
    </row>
    <row r="24" spans="1:28">
      <c r="A24">
        <v>-0.97669526042172661</v>
      </c>
      <c r="B24">
        <v>1.1325545523588973</v>
      </c>
      <c r="C24">
        <v>6.3013418862033738E-2</v>
      </c>
      <c r="D24">
        <v>0.90342635007705663</v>
      </c>
      <c r="E24">
        <v>0.39542596546027131</v>
      </c>
      <c r="F24">
        <v>0.17835032411356549</v>
      </c>
      <c r="G24">
        <v>0.81563074519300949</v>
      </c>
      <c r="H24">
        <v>0.24417875795353294</v>
      </c>
      <c r="I24">
        <v>0.57214591458237152</v>
      </c>
      <c r="J24">
        <v>0.59725558552249491</v>
      </c>
      <c r="L24">
        <v>3.3063948957588387</v>
      </c>
      <c r="M24">
        <v>4.9535756784120037</v>
      </c>
      <c r="N24">
        <v>3.7964647747237499</v>
      </c>
      <c r="P24">
        <v>6.9360334530352762E-11</v>
      </c>
      <c r="R24">
        <v>10.332458522530761</v>
      </c>
      <c r="S24" s="16"/>
      <c r="T24">
        <v>1.9059999999999999</v>
      </c>
      <c r="U24">
        <f t="shared" si="0"/>
        <v>2.2405841367558086</v>
      </c>
      <c r="V24" s="14">
        <f t="shared" si="1"/>
        <v>0.17554256912686705</v>
      </c>
      <c r="W24">
        <f t="shared" si="2"/>
        <v>0.33458413675580867</v>
      </c>
      <c r="Y24" s="14">
        <v>0.65868589726003357</v>
      </c>
      <c r="Z24" s="14">
        <v>0.73631215918135529</v>
      </c>
      <c r="AA24" s="14">
        <v>0.57145056897081781</v>
      </c>
      <c r="AB24" s="14">
        <v>0.17261248623241476</v>
      </c>
    </row>
    <row r="25" spans="1:28">
      <c r="A25">
        <v>-1.0994097349508491</v>
      </c>
      <c r="B25">
        <v>1.0169877712048108</v>
      </c>
      <c r="C25">
        <v>-0.14318454971613853</v>
      </c>
      <c r="D25">
        <v>0.49942930267702229</v>
      </c>
      <c r="E25">
        <v>0.73183522340349461</v>
      </c>
      <c r="F25">
        <v>0.65335453547866817</v>
      </c>
      <c r="G25">
        <v>0.13995271300675879</v>
      </c>
      <c r="H25">
        <v>0.17396364942224676</v>
      </c>
      <c r="I25">
        <v>0.32723131394770644</v>
      </c>
      <c r="J25">
        <v>0.33298488821143429</v>
      </c>
      <c r="L25">
        <v>0.68993905776516284</v>
      </c>
      <c r="M25">
        <v>4.9535798905310013</v>
      </c>
      <c r="N25">
        <v>3.7964674948361568</v>
      </c>
      <c r="P25">
        <v>4.125040422079629E-11</v>
      </c>
      <c r="R25">
        <v>7.9327180390097585</v>
      </c>
      <c r="S25" s="16"/>
      <c r="T25">
        <v>1.9059999999999999</v>
      </c>
      <c r="U25">
        <f t="shared" si="0"/>
        <v>2.263467707362238</v>
      </c>
      <c r="V25" s="14">
        <f t="shared" si="1"/>
        <v>0.187548639749338</v>
      </c>
      <c r="W25">
        <f t="shared" si="2"/>
        <v>0.3574677073622381</v>
      </c>
      <c r="Y25" s="14">
        <v>0.45008984902399862</v>
      </c>
      <c r="Z25" s="14">
        <v>0.45900468633680114</v>
      </c>
      <c r="AA25" s="14">
        <v>0.3733936557901254</v>
      </c>
      <c r="AB25" s="14">
        <v>0.185366913027182</v>
      </c>
    </row>
    <row r="26" spans="1:28">
      <c r="A26">
        <v>1.4115098973047822</v>
      </c>
      <c r="B26">
        <v>0.130220529621632</v>
      </c>
      <c r="C26">
        <v>0.41538671945022931</v>
      </c>
      <c r="D26">
        <v>0.37442147859505287</v>
      </c>
      <c r="E26">
        <v>0.16735602177864758</v>
      </c>
      <c r="F26">
        <v>0.17562333705422217</v>
      </c>
      <c r="G26">
        <v>0.20933794622132981</v>
      </c>
      <c r="H26">
        <v>0.32500256879796485</v>
      </c>
      <c r="I26">
        <v>2.0237789547454695E-2</v>
      </c>
      <c r="J26">
        <v>0.58096813609376519</v>
      </c>
      <c r="L26">
        <v>1.9192678644876835</v>
      </c>
      <c r="M26">
        <v>3.4051128662958594</v>
      </c>
      <c r="N26">
        <v>4.1469654165432912</v>
      </c>
      <c r="P26">
        <v>6.7613904612627999E-12</v>
      </c>
      <c r="R26">
        <v>8.0961388202889726</v>
      </c>
      <c r="S26" s="16"/>
      <c r="T26">
        <v>2.0489999999999999</v>
      </c>
      <c r="U26">
        <f t="shared" si="0"/>
        <v>2.1818637032199182</v>
      </c>
      <c r="V26" s="14">
        <f t="shared" si="1"/>
        <v>6.4843193372336794E-2</v>
      </c>
      <c r="W26">
        <f t="shared" si="2"/>
        <v>0.13286370321991825</v>
      </c>
      <c r="Y26" s="14">
        <v>2.5172759568247827E-2</v>
      </c>
      <c r="Z26" s="14">
        <v>3.0021018632500729E-2</v>
      </c>
      <c r="AA26" s="14">
        <v>8.9597124813518558E-3</v>
      </c>
      <c r="AB26" s="14">
        <v>6.0866411866277392E-2</v>
      </c>
    </row>
    <row r="27" spans="1:28">
      <c r="A27">
        <v>1.4531149986918512</v>
      </c>
      <c r="B27">
        <v>0.25128235607852706</v>
      </c>
      <c r="C27">
        <v>0.36246390415045932</v>
      </c>
      <c r="D27">
        <v>0.48035876588608023</v>
      </c>
      <c r="E27">
        <v>0.16971143470122083</v>
      </c>
      <c r="F27">
        <v>0.22340167449796622</v>
      </c>
      <c r="G27">
        <v>0.23098556366480069</v>
      </c>
      <c r="H27">
        <v>0.44006447333303333</v>
      </c>
      <c r="I27">
        <v>0.60284692725452294</v>
      </c>
      <c r="J27">
        <v>0.81820955631745129</v>
      </c>
      <c r="L27">
        <v>1.9192704966469261</v>
      </c>
      <c r="M27">
        <v>3.4051106892090521</v>
      </c>
      <c r="N27">
        <v>1.4491097298259454</v>
      </c>
      <c r="P27">
        <v>3.4047246967838825E-12</v>
      </c>
      <c r="R27">
        <v>5.0234099792323708</v>
      </c>
      <c r="S27" s="16"/>
      <c r="T27">
        <v>2.0489999999999999</v>
      </c>
      <c r="U27">
        <f t="shared" si="0"/>
        <v>2.3060661037115877</v>
      </c>
      <c r="V27" s="14">
        <f t="shared" si="1"/>
        <v>0.12545929902956954</v>
      </c>
      <c r="W27">
        <f t="shared" si="2"/>
        <v>0.25706610371158778</v>
      </c>
      <c r="Y27" s="14">
        <v>0.53569817711134116</v>
      </c>
      <c r="Z27" s="14">
        <v>0.57428898720793042</v>
      </c>
      <c r="AA27" s="14">
        <v>0.46048743182478091</v>
      </c>
      <c r="AB27" s="14">
        <v>0.12523825062535621</v>
      </c>
    </row>
    <row r="28" spans="1:28">
      <c r="A28">
        <v>1.4824727309795735</v>
      </c>
      <c r="B28">
        <v>0.33762039531613441</v>
      </c>
      <c r="C28">
        <v>0.30957873528078911</v>
      </c>
      <c r="D28">
        <v>8.8562475489547654E-2</v>
      </c>
      <c r="E28">
        <v>5.0338986557353221E-2</v>
      </c>
      <c r="F28">
        <v>0.42225419403306569</v>
      </c>
      <c r="G28">
        <v>0.65692563801936266</v>
      </c>
      <c r="H28">
        <v>0.6543794074387792</v>
      </c>
      <c r="I28">
        <v>0.92956484545638685</v>
      </c>
      <c r="J28">
        <v>0.59463122136096624</v>
      </c>
      <c r="L28">
        <v>1.919268445472547</v>
      </c>
      <c r="M28">
        <v>3.405110656549156</v>
      </c>
      <c r="N28">
        <v>2.4949716971622342</v>
      </c>
      <c r="P28">
        <v>4.8028476532616908E-12</v>
      </c>
      <c r="R28">
        <v>4.6377357157712202</v>
      </c>
      <c r="S28" s="16"/>
      <c r="T28">
        <v>2.0489999999999999</v>
      </c>
      <c r="U28">
        <f t="shared" si="0"/>
        <v>2.4075519227695108</v>
      </c>
      <c r="V28" s="14">
        <f t="shared" si="1"/>
        <v>0.17498873732040554</v>
      </c>
      <c r="W28">
        <f t="shared" si="2"/>
        <v>0.35855192276951087</v>
      </c>
      <c r="Y28" s="14">
        <v>0.11325473095437699</v>
      </c>
      <c r="Z28" s="14">
        <v>0.10590128591981318</v>
      </c>
      <c r="AA28" s="14">
        <v>0.12059511275848878</v>
      </c>
      <c r="AB28" s="14">
        <v>0.1829205130819278</v>
      </c>
    </row>
    <row r="29" spans="1:28">
      <c r="A29">
        <v>1.402730603159253</v>
      </c>
      <c r="B29">
        <v>0.27558427009710884</v>
      </c>
      <c r="C29">
        <v>0.23958025914649417</v>
      </c>
      <c r="D29">
        <v>0.30255845845700519</v>
      </c>
      <c r="E29">
        <v>0.35802394565463769</v>
      </c>
      <c r="F29">
        <v>0.74009867522674855</v>
      </c>
      <c r="G29">
        <v>0.60373223573995272</v>
      </c>
      <c r="H29">
        <v>5.1072696352126655E-2</v>
      </c>
      <c r="I29">
        <v>0.25430522571241215</v>
      </c>
      <c r="J29">
        <v>1.2932713745953652</v>
      </c>
      <c r="L29">
        <v>1.9192706300532634</v>
      </c>
      <c r="M29">
        <v>4.146965672444396</v>
      </c>
      <c r="N29">
        <v>1.4491100360576963</v>
      </c>
      <c r="P29">
        <v>4.0675511878334514E-12</v>
      </c>
      <c r="R29">
        <v>6.4970766430591498</v>
      </c>
      <c r="S29" s="16"/>
      <c r="T29">
        <v>2.0489999999999999</v>
      </c>
      <c r="U29">
        <f t="shared" si="0"/>
        <v>2.1009985355371792</v>
      </c>
      <c r="V29" s="14">
        <f t="shared" si="1"/>
        <v>2.5377518563777013E-2</v>
      </c>
      <c r="W29">
        <f t="shared" si="2"/>
        <v>5.1998535537179258E-2</v>
      </c>
      <c r="Y29" s="14">
        <v>0.48344327669134635</v>
      </c>
      <c r="Z29" s="14">
        <v>0.46338591856218603</v>
      </c>
      <c r="AA29" s="14">
        <v>0.42672461454619026</v>
      </c>
      <c r="AB29" s="14">
        <v>2.6897494410939693E-2</v>
      </c>
    </row>
    <row r="30" spans="1:28">
      <c r="A30">
        <v>1.399857076033882</v>
      </c>
      <c r="B30">
        <v>0.34512585669766416</v>
      </c>
      <c r="C30">
        <v>0.14364004458217922</v>
      </c>
      <c r="D30">
        <v>0.43726525389637044</v>
      </c>
      <c r="E30">
        <v>0.39534937933482056</v>
      </c>
      <c r="F30">
        <v>0.73292911318134657</v>
      </c>
      <c r="G30">
        <v>0.13178235411229666</v>
      </c>
      <c r="H30">
        <v>0.31896227894537993</v>
      </c>
      <c r="I30">
        <v>0.44967275284625979</v>
      </c>
      <c r="J30">
        <v>0.7165404876264938</v>
      </c>
      <c r="L30">
        <v>1.9192684867001124</v>
      </c>
      <c r="M30">
        <v>4.1469657552232331</v>
      </c>
      <c r="N30">
        <v>2.4949724149877475</v>
      </c>
      <c r="P30">
        <v>3.681056639293503E-12</v>
      </c>
      <c r="R30">
        <v>4.2513676215724487</v>
      </c>
      <c r="S30" s="16"/>
      <c r="T30">
        <v>2.0489999999999999</v>
      </c>
      <c r="U30">
        <f t="shared" si="0"/>
        <v>2.0993441526909966</v>
      </c>
      <c r="V30" s="14">
        <f t="shared" si="1"/>
        <v>2.4570108682770542E-2</v>
      </c>
      <c r="W30">
        <f t="shared" si="2"/>
        <v>5.034415269099668E-2</v>
      </c>
      <c r="Y30" s="14">
        <v>5.6004630593689875E-2</v>
      </c>
      <c r="Z30" s="14">
        <v>5.6452475253901735E-2</v>
      </c>
      <c r="AA30" s="14">
        <v>5.8460162531013271E-2</v>
      </c>
      <c r="AB30" s="14">
        <v>2.6642870502165517E-2</v>
      </c>
    </row>
    <row r="31" spans="1:28">
      <c r="A31">
        <v>1.2512593261296057</v>
      </c>
      <c r="B31">
        <v>0.35412455828185219</v>
      </c>
      <c r="C31">
        <v>-0.13849300517312885</v>
      </c>
      <c r="D31">
        <v>2.9148399512009537E-2</v>
      </c>
      <c r="E31">
        <v>6.5082842055062845E-2</v>
      </c>
      <c r="F31">
        <v>0.69858218132341454</v>
      </c>
      <c r="G31">
        <v>0.37970746228829222</v>
      </c>
      <c r="H31">
        <v>0.38743618491119097</v>
      </c>
      <c r="I31">
        <v>2.0565859217885247</v>
      </c>
      <c r="J31">
        <v>0.68459757085213147</v>
      </c>
      <c r="L31">
        <v>1.9192659540891261</v>
      </c>
      <c r="M31">
        <v>1.4491065351047199</v>
      </c>
      <c r="N31">
        <v>2.4949720256507413</v>
      </c>
      <c r="P31">
        <v>2.4958533163854792E-11</v>
      </c>
      <c r="R31">
        <v>10.060050508823425</v>
      </c>
      <c r="S31" s="16"/>
      <c r="T31">
        <v>2.0489999999999999</v>
      </c>
      <c r="U31">
        <f t="shared" si="0"/>
        <v>1.7102344164865162</v>
      </c>
      <c r="V31" s="14">
        <f t="shared" si="1"/>
        <v>0.1653321539841307</v>
      </c>
      <c r="W31">
        <f t="shared" si="2"/>
        <v>0.33876558351348374</v>
      </c>
      <c r="Y31" s="14">
        <v>1.6188435269124772</v>
      </c>
      <c r="Z31" s="14">
        <v>1.3093967230413619</v>
      </c>
      <c r="AA31" s="14">
        <v>1.1063084288561131</v>
      </c>
      <c r="AB31" s="14">
        <v>0.16004521792284532</v>
      </c>
    </row>
    <row r="32" spans="1:28">
      <c r="A32">
        <v>1.3793660754024362</v>
      </c>
      <c r="B32">
        <v>0.15021626940425412</v>
      </c>
      <c r="C32">
        <v>1.7210250786171397</v>
      </c>
      <c r="D32">
        <v>0.5437043730459058</v>
      </c>
      <c r="E32">
        <v>0.67440218909973781</v>
      </c>
      <c r="F32">
        <v>0.18521799541632519</v>
      </c>
      <c r="G32">
        <v>1.0627071053957413</v>
      </c>
      <c r="H32">
        <v>0</v>
      </c>
      <c r="I32">
        <v>0</v>
      </c>
      <c r="J32">
        <v>3.037839391192398</v>
      </c>
      <c r="L32">
        <v>3.4051121165513178</v>
      </c>
      <c r="M32">
        <v>4.1469666190946342</v>
      </c>
      <c r="N32">
        <v>1.4491100667249821</v>
      </c>
      <c r="P32">
        <v>5.3555391426622227E-13</v>
      </c>
      <c r="R32">
        <v>31.715787663182244</v>
      </c>
      <c r="S32" s="16"/>
      <c r="T32">
        <v>2.0489999999999999</v>
      </c>
      <c r="U32">
        <f t="shared" si="0"/>
        <v>4.8871430187939824</v>
      </c>
      <c r="V32" s="14">
        <f t="shared" si="1"/>
        <v>1.3851356851117531</v>
      </c>
      <c r="W32">
        <f t="shared" si="2"/>
        <v>2.8381430187939825</v>
      </c>
      <c r="Y32" s="14">
        <v>1.1237665864940896</v>
      </c>
      <c r="Z32" s="14">
        <v>0.7686039808200229</v>
      </c>
      <c r="AA32" s="14">
        <v>0.74001394090910222</v>
      </c>
      <c r="AB32" s="14">
        <v>1.9130508749388331</v>
      </c>
    </row>
    <row r="33" spans="1:28">
      <c r="A33">
        <v>1.4239503543356129</v>
      </c>
      <c r="B33">
        <v>0.13919992483571553</v>
      </c>
      <c r="C33">
        <v>-0.27994648765409758</v>
      </c>
      <c r="D33">
        <v>0.81988851343432545</v>
      </c>
      <c r="E33">
        <v>0.62488899363892103</v>
      </c>
      <c r="F33">
        <v>0.7275525685966393</v>
      </c>
      <c r="G33">
        <v>0.26135676525131402</v>
      </c>
      <c r="H33">
        <v>0.64470274006981088</v>
      </c>
      <c r="I33">
        <v>0.74382472533489319</v>
      </c>
      <c r="J33">
        <v>0.34182711334297444</v>
      </c>
      <c r="L33">
        <v>3.405113086809116</v>
      </c>
      <c r="M33">
        <v>4.146966004838248</v>
      </c>
      <c r="N33">
        <v>2.4949734977687661</v>
      </c>
      <c r="P33">
        <v>2.9861805924083032E-12</v>
      </c>
      <c r="R33">
        <v>13.877176818824898</v>
      </c>
      <c r="S33" s="16"/>
      <c r="T33">
        <v>2.0489999999999999</v>
      </c>
      <c r="U33">
        <f t="shared" si="0"/>
        <v>2.1253812666366523</v>
      </c>
      <c r="V33" s="14">
        <f t="shared" si="1"/>
        <v>3.7277338524476455E-2</v>
      </c>
      <c r="W33">
        <f t="shared" si="2"/>
        <v>7.6381266636652345E-2</v>
      </c>
      <c r="Y33" s="14">
        <v>0.14983753913044939</v>
      </c>
      <c r="Z33" s="14">
        <v>0.1062625246365152</v>
      </c>
      <c r="AA33" s="14">
        <v>0.17717548365027191</v>
      </c>
      <c r="AB33" s="14">
        <v>4.2783370909130314E-2</v>
      </c>
    </row>
    <row r="34" spans="1:28">
      <c r="A34">
        <v>1.4638932398833511</v>
      </c>
      <c r="B34">
        <v>0.26971964299510975</v>
      </c>
      <c r="C34">
        <v>9.3669055248509991E-2</v>
      </c>
      <c r="D34">
        <v>0.89044924896603384</v>
      </c>
      <c r="E34">
        <v>0.65116229160105044</v>
      </c>
      <c r="F34">
        <v>0.23715351172846677</v>
      </c>
      <c r="G34">
        <v>0.93696678862202898</v>
      </c>
      <c r="H34">
        <v>0.15314752014023131</v>
      </c>
      <c r="I34">
        <v>0.34486604741484783</v>
      </c>
      <c r="J34">
        <v>0.5179466639517456</v>
      </c>
      <c r="L34">
        <v>3.4051104699499652</v>
      </c>
      <c r="M34">
        <v>1.44910782379856</v>
      </c>
      <c r="N34">
        <v>2.4949728752033424</v>
      </c>
      <c r="P34">
        <v>7.6689557416890248E-12</v>
      </c>
      <c r="R34">
        <v>5.9179297597412575</v>
      </c>
      <c r="S34" s="16"/>
      <c r="T34">
        <v>2.0489999999999999</v>
      </c>
      <c r="U34">
        <f t="shared" si="0"/>
        <v>2.2245059955047326</v>
      </c>
      <c r="V34" s="14">
        <f t="shared" si="1"/>
        <v>8.5654463399088776E-2</v>
      </c>
      <c r="W34">
        <f t="shared" si="2"/>
        <v>0.17550599550473267</v>
      </c>
      <c r="Y34" s="14">
        <v>0.61291578684764136</v>
      </c>
      <c r="Z34" s="14">
        <v>0.70121855764650354</v>
      </c>
      <c r="AA34" s="14">
        <v>0.52024662543177502</v>
      </c>
      <c r="AB34" s="14">
        <v>9.1651658054434426E-2</v>
      </c>
    </row>
    <row r="35" spans="1:28">
      <c r="A35">
        <v>1.4113293901062633</v>
      </c>
      <c r="B35">
        <v>0.28801416466074203</v>
      </c>
      <c r="C35">
        <v>4.725175449924867E-2</v>
      </c>
      <c r="D35">
        <v>0.86344581995378489</v>
      </c>
      <c r="E35">
        <v>0.39065887980365327</v>
      </c>
      <c r="F35">
        <v>0.76886881068240165</v>
      </c>
      <c r="G35">
        <v>0.1895906293590173</v>
      </c>
      <c r="H35">
        <v>0.77111219196873626</v>
      </c>
      <c r="I35">
        <v>0.53168100905675098</v>
      </c>
      <c r="J35">
        <v>0.11273969898351117</v>
      </c>
      <c r="L35">
        <v>4.146966055751812</v>
      </c>
      <c r="M35">
        <v>1.4491090581080939</v>
      </c>
      <c r="N35">
        <v>2.4949736637518498</v>
      </c>
      <c r="P35">
        <v>3.1841152482004101E-12</v>
      </c>
      <c r="R35">
        <v>6.4702327617735902</v>
      </c>
      <c r="S35" s="16"/>
      <c r="T35">
        <v>2.0489999999999999</v>
      </c>
      <c r="U35">
        <f t="shared" si="0"/>
        <v>2.0770355347261993</v>
      </c>
      <c r="V35" s="14">
        <f t="shared" si="1"/>
        <v>1.3682545010346159E-2</v>
      </c>
      <c r="W35">
        <f t="shared" si="2"/>
        <v>2.8035534726199351E-2</v>
      </c>
      <c r="Y35" s="14">
        <v>0.27876510416381306</v>
      </c>
      <c r="Z35" s="14">
        <v>0.37105118751659405</v>
      </c>
      <c r="AA35" s="14">
        <v>0.23248680634731511</v>
      </c>
      <c r="AB35" s="14">
        <v>9.9964031856007995E-3</v>
      </c>
    </row>
    <row r="36" spans="1:28">
      <c r="A36">
        <v>-1.4312817257646493</v>
      </c>
      <c r="B36">
        <v>-9.8535391514717158E-2</v>
      </c>
      <c r="C36">
        <v>0.35238871195002891</v>
      </c>
      <c r="D36">
        <v>0.22406013215933757</v>
      </c>
      <c r="E36">
        <v>0.9777151507448395</v>
      </c>
      <c r="F36">
        <v>0.90246802654239455</v>
      </c>
      <c r="G36">
        <v>0.29645204445765339</v>
      </c>
      <c r="H36">
        <v>0.48962710842390933</v>
      </c>
      <c r="I36">
        <v>0.1354039900496895</v>
      </c>
      <c r="J36">
        <v>0.97836568477779984</v>
      </c>
      <c r="L36">
        <v>2.1684475119666167</v>
      </c>
      <c r="M36">
        <v>0.64556076190401701</v>
      </c>
      <c r="N36">
        <v>4.0038586942506615</v>
      </c>
      <c r="P36">
        <v>2.9730640225756057E-12</v>
      </c>
      <c r="R36">
        <v>6.4625517574347677</v>
      </c>
      <c r="S36" s="16"/>
      <c r="T36">
        <v>1.857</v>
      </c>
      <c r="U36">
        <f t="shared" si="0"/>
        <v>2.182454406198592</v>
      </c>
      <c r="V36" s="14">
        <f t="shared" si="1"/>
        <v>0.17525816165783081</v>
      </c>
      <c r="W36">
        <f t="shared" si="2"/>
        <v>0.32545440619859201</v>
      </c>
      <c r="Y36" s="14">
        <v>7.0709564556173721E-2</v>
      </c>
      <c r="Z36" s="14">
        <v>6.7213373759518191E-2</v>
      </c>
      <c r="AA36" s="14">
        <v>9.0384488844169386E-2</v>
      </c>
      <c r="AB36" s="14">
        <v>0.17544046650002021</v>
      </c>
    </row>
    <row r="37" spans="1:28">
      <c r="A37">
        <v>-1.4925351940378602</v>
      </c>
      <c r="B37">
        <v>-7.1855632242749407E-2</v>
      </c>
      <c r="C37">
        <v>0.42134580771505803</v>
      </c>
      <c r="D37">
        <v>0.29817347471588523</v>
      </c>
      <c r="E37">
        <v>0.57854855330497268</v>
      </c>
      <c r="F37">
        <v>0.37505561998377696</v>
      </c>
      <c r="G37">
        <v>0.883899787483577</v>
      </c>
      <c r="H37">
        <v>0.14235930351138676</v>
      </c>
      <c r="I37">
        <v>0</v>
      </c>
      <c r="J37">
        <v>0.28586620592818657</v>
      </c>
      <c r="L37">
        <v>2.1684484911403219</v>
      </c>
      <c r="M37">
        <v>0.6455604815346162</v>
      </c>
      <c r="N37">
        <v>4.1046886251237149</v>
      </c>
      <c r="P37">
        <v>3.7470253385189763E-13</v>
      </c>
      <c r="R37">
        <v>6.5450400958961117</v>
      </c>
      <c r="S37" s="16"/>
      <c r="T37">
        <v>1.857</v>
      </c>
      <c r="U37">
        <f t="shared" si="0"/>
        <v>2.410356827005693</v>
      </c>
      <c r="V37" s="14">
        <f t="shared" si="1"/>
        <v>0.29798429025616202</v>
      </c>
      <c r="W37">
        <f t="shared" si="2"/>
        <v>0.553356827005693</v>
      </c>
      <c r="Y37" s="14">
        <v>0.49966801385006465</v>
      </c>
      <c r="Z37" s="14">
        <v>0.43735482548849336</v>
      </c>
      <c r="AA37" s="14">
        <v>0.47544445831295756</v>
      </c>
      <c r="AB37" s="14">
        <v>0.29508665054353078</v>
      </c>
    </row>
    <row r="38" spans="1:28">
      <c r="A38">
        <v>-1.8999761027320548</v>
      </c>
      <c r="B38">
        <v>8.6933853018618557E-2</v>
      </c>
      <c r="C38">
        <v>0.9465127330991121</v>
      </c>
      <c r="D38">
        <v>0.7386845915876783</v>
      </c>
      <c r="E38">
        <v>0.76015139707256796</v>
      </c>
      <c r="F38">
        <v>0.572412674911293</v>
      </c>
      <c r="G38">
        <v>1.3019370278897985E-2</v>
      </c>
      <c r="H38">
        <v>1.0574703087052384</v>
      </c>
      <c r="I38">
        <v>0.31066628161251736</v>
      </c>
      <c r="J38">
        <v>0.52422714610800403</v>
      </c>
      <c r="L38">
        <v>2.1673591980979561</v>
      </c>
      <c r="M38">
        <v>0.64615675207668688</v>
      </c>
      <c r="N38">
        <v>2.272511499083393</v>
      </c>
      <c r="P38">
        <v>3.0636592714696427E-6</v>
      </c>
      <c r="R38">
        <v>12.09499281642225</v>
      </c>
      <c r="S38" s="16"/>
      <c r="T38">
        <v>1.857</v>
      </c>
      <c r="U38">
        <f t="shared" si="0"/>
        <v>4.5133530396723014</v>
      </c>
      <c r="V38" s="14">
        <f t="shared" si="1"/>
        <v>1.4304539793604207</v>
      </c>
      <c r="W38">
        <f t="shared" si="2"/>
        <v>2.6563530396723012</v>
      </c>
      <c r="Y38" s="14">
        <v>0.48635876513938148</v>
      </c>
      <c r="Z38" s="14">
        <v>0.37517360268133393</v>
      </c>
      <c r="AA38" s="14">
        <v>0.35812899610183058</v>
      </c>
      <c r="AB38" s="14">
        <v>1.6149439315945795</v>
      </c>
    </row>
    <row r="39" spans="1:28">
      <c r="A39">
        <v>-1.4378349180727303</v>
      </c>
      <c r="B39">
        <v>5.0830554961556064E-2</v>
      </c>
      <c r="C39">
        <v>0.18567640693767468</v>
      </c>
      <c r="D39">
        <v>0.90135005322704187</v>
      </c>
      <c r="E39">
        <v>1.0105646699630717</v>
      </c>
      <c r="F39">
        <v>0.32877401888231134</v>
      </c>
      <c r="G39">
        <v>0.81324297024162984</v>
      </c>
      <c r="H39">
        <v>9.1670031161698778E-2</v>
      </c>
      <c r="I39">
        <v>0.3925045214710467</v>
      </c>
      <c r="J39">
        <v>1.1114509491654707</v>
      </c>
      <c r="L39">
        <v>2.1684475243376138</v>
      </c>
      <c r="M39">
        <v>4.0038609127547824</v>
      </c>
      <c r="N39">
        <v>4.1046878620967071</v>
      </c>
      <c r="P39">
        <v>1.2859694006531167E-11</v>
      </c>
      <c r="R39">
        <v>10.437429487371462</v>
      </c>
      <c r="S39" s="16"/>
      <c r="T39">
        <v>1.857</v>
      </c>
      <c r="U39">
        <f t="shared" si="0"/>
        <v>2.1044287250401994</v>
      </c>
      <c r="V39" s="14">
        <f t="shared" si="1"/>
        <v>0.13324110126020439</v>
      </c>
      <c r="W39">
        <f t="shared" si="2"/>
        <v>0.24742872504019942</v>
      </c>
      <c r="Y39" s="14">
        <v>0.67818328895518776</v>
      </c>
      <c r="Z39" s="14">
        <v>0.62043855491707012</v>
      </c>
      <c r="AA39" s="14">
        <v>0.58540516938847298</v>
      </c>
      <c r="AB39" s="14">
        <v>0.13183897740443551</v>
      </c>
    </row>
    <row r="40" spans="1:28">
      <c r="A40">
        <v>-1.4447026316543172</v>
      </c>
      <c r="B40">
        <v>0.11512697347871373</v>
      </c>
      <c r="C40">
        <v>8.6103997980136973E-2</v>
      </c>
      <c r="D40">
        <v>0.18399101871163814</v>
      </c>
      <c r="E40">
        <v>0.12873842788521866</v>
      </c>
      <c r="F40">
        <v>0.1396055759445409</v>
      </c>
      <c r="G40">
        <v>0.6493933855476508</v>
      </c>
      <c r="H40">
        <v>0.71430313798905654</v>
      </c>
      <c r="I40">
        <v>0.47980670502416989</v>
      </c>
      <c r="J40">
        <v>0.2677414072436084</v>
      </c>
      <c r="L40">
        <v>2.1684492922302732</v>
      </c>
      <c r="M40">
        <v>4.0038590480109066</v>
      </c>
      <c r="N40">
        <v>2.2712790866747596</v>
      </c>
      <c r="P40">
        <v>3.6730035125704519E-12</v>
      </c>
      <c r="R40">
        <v>4.4076310827027747</v>
      </c>
      <c r="S40" s="16"/>
      <c r="T40">
        <v>1.857</v>
      </c>
      <c r="U40">
        <f t="shared" si="0"/>
        <v>2.1078338123994418</v>
      </c>
      <c r="V40" s="14">
        <f t="shared" si="1"/>
        <v>0.13507475088822929</v>
      </c>
      <c r="W40">
        <f t="shared" si="2"/>
        <v>0.2508338123994418</v>
      </c>
      <c r="Y40" s="14">
        <v>0.11343304181302716</v>
      </c>
      <c r="Z40" s="14">
        <v>8.786677216907357E-2</v>
      </c>
      <c r="AA40" s="14">
        <v>0.138214478478766</v>
      </c>
      <c r="AB40" s="14">
        <v>0.13323518242929011</v>
      </c>
    </row>
    <row r="41" spans="1:28">
      <c r="A41">
        <v>-1.4159485659959508</v>
      </c>
      <c r="B41">
        <v>0.12029900951084563</v>
      </c>
      <c r="C41">
        <v>1.7414352781289708E-2</v>
      </c>
      <c r="D41">
        <v>0.76204391550449135</v>
      </c>
      <c r="E41">
        <v>0.29739605449397971</v>
      </c>
      <c r="F41">
        <v>0.30640042325552447</v>
      </c>
      <c r="G41">
        <v>0.23601601759139965</v>
      </c>
      <c r="H41">
        <v>0.40232923459404696</v>
      </c>
      <c r="I41">
        <v>0.83332185707360207</v>
      </c>
      <c r="J41">
        <v>0.51853309043042184</v>
      </c>
      <c r="L41">
        <v>2.1684502683064526</v>
      </c>
      <c r="M41">
        <v>4.1046899875435203</v>
      </c>
      <c r="N41">
        <v>2.2712789099393182</v>
      </c>
      <c r="P41">
        <v>5.4244534177243168E-12</v>
      </c>
      <c r="R41">
        <v>4.5186197815099183</v>
      </c>
      <c r="S41" s="16"/>
      <c r="T41">
        <v>1.857</v>
      </c>
      <c r="U41">
        <f t="shared" si="0"/>
        <v>2.019685452918071</v>
      </c>
      <c r="V41" s="14">
        <f t="shared" si="1"/>
        <v>8.7606598232671473E-2</v>
      </c>
      <c r="W41">
        <f t="shared" si="2"/>
        <v>0.16268545291807102</v>
      </c>
      <c r="Y41" s="14">
        <v>0.44874595740324641</v>
      </c>
      <c r="Z41" s="14">
        <v>0.4788187463979634</v>
      </c>
      <c r="AA41" s="14">
        <v>0.42533607947853946</v>
      </c>
      <c r="AB41" s="14">
        <v>8.7303747508959972E-2</v>
      </c>
    </row>
    <row r="42" spans="1:28">
      <c r="A42">
        <v>-1.4638458684440048</v>
      </c>
      <c r="B42">
        <v>-8.0210022235867734E-2</v>
      </c>
      <c r="C42">
        <v>1.6559987300002972</v>
      </c>
      <c r="D42">
        <v>0.21091902488872144</v>
      </c>
      <c r="E42">
        <v>0.63637008515926741</v>
      </c>
      <c r="F42">
        <v>0.76718178297759188</v>
      </c>
      <c r="G42">
        <v>0</v>
      </c>
      <c r="H42">
        <v>0</v>
      </c>
      <c r="I42">
        <v>0.70480729187733604</v>
      </c>
      <c r="J42">
        <v>2.8140251188949099</v>
      </c>
      <c r="L42">
        <v>0.64555851648038942</v>
      </c>
      <c r="M42">
        <v>4.0038585856800299</v>
      </c>
      <c r="N42">
        <v>4.1046879402721483</v>
      </c>
      <c r="P42">
        <v>3.4916907667407572E-12</v>
      </c>
      <c r="R42">
        <v>30.856778499857583</v>
      </c>
      <c r="S42" s="16"/>
      <c r="T42">
        <v>1.857</v>
      </c>
      <c r="U42">
        <f t="shared" si="0"/>
        <v>4.8916101679902582</v>
      </c>
      <c r="V42" s="14">
        <f t="shared" si="1"/>
        <v>1.6341465632688519</v>
      </c>
      <c r="W42">
        <f t="shared" si="2"/>
        <v>3.034610167990258</v>
      </c>
      <c r="Y42" s="14">
        <v>1.2645811318417794</v>
      </c>
      <c r="Z42" s="14">
        <v>1.0393743674122962</v>
      </c>
      <c r="AA42" s="14">
        <v>0.98722780809194588</v>
      </c>
      <c r="AB42" s="14">
        <v>2.1855805065744938</v>
      </c>
    </row>
    <row r="43" spans="1:28">
      <c r="A43">
        <v>-1.4167266360156567</v>
      </c>
      <c r="B43">
        <v>-8.7541198204051901E-2</v>
      </c>
      <c r="C43">
        <v>-0.36425730884369434</v>
      </c>
      <c r="D43">
        <v>0.9571695657776107</v>
      </c>
      <c r="E43">
        <v>0.71103529591463632</v>
      </c>
      <c r="F43">
        <v>0.95904438266023428</v>
      </c>
      <c r="G43">
        <v>4.0412119710814633E-2</v>
      </c>
      <c r="H43">
        <v>0.6750855155150961</v>
      </c>
      <c r="I43">
        <v>0.48639167240550013</v>
      </c>
      <c r="J43">
        <v>0.76062885213406284</v>
      </c>
      <c r="L43">
        <v>0.64555857359068503</v>
      </c>
      <c r="M43">
        <v>4.0038586886534402</v>
      </c>
      <c r="N43">
        <v>2.2712775051138352</v>
      </c>
      <c r="P43">
        <v>3.529145783824865E-12</v>
      </c>
      <c r="R43">
        <v>8.7276599879112595</v>
      </c>
      <c r="S43" s="16"/>
      <c r="T43">
        <v>1.857</v>
      </c>
      <c r="U43">
        <f t="shared" si="0"/>
        <v>2.1474612096252907</v>
      </c>
      <c r="V43" s="14">
        <f t="shared" si="1"/>
        <v>0.15641422166143815</v>
      </c>
      <c r="W43">
        <f t="shared" si="2"/>
        <v>0.29046120962529076</v>
      </c>
      <c r="Y43" s="14">
        <v>0.19081017566098857</v>
      </c>
      <c r="Z43" s="14">
        <v>0.14458009544302963</v>
      </c>
      <c r="AA43" s="14">
        <v>0.2504707863311364</v>
      </c>
      <c r="AB43" s="14">
        <v>0.15140774567370063</v>
      </c>
    </row>
    <row r="44" spans="1:28">
      <c r="A44">
        <v>-1.4928577507627949</v>
      </c>
      <c r="B44">
        <v>-5.4255314303079796E-2</v>
      </c>
      <c r="C44">
        <v>-0.14463549894002814</v>
      </c>
      <c r="D44">
        <v>0.68012291651432843</v>
      </c>
      <c r="E44">
        <v>0.91063016040562006</v>
      </c>
      <c r="F44">
        <v>4.239509388898866E-3</v>
      </c>
      <c r="G44">
        <v>0.75678086406323941</v>
      </c>
      <c r="H44">
        <v>0.36431882492776413</v>
      </c>
      <c r="I44">
        <v>9.6393547935057194E-2</v>
      </c>
      <c r="J44">
        <v>0.76192076822177357</v>
      </c>
      <c r="L44">
        <v>0.64555987869548492</v>
      </c>
      <c r="M44">
        <v>4.1046890512317171</v>
      </c>
      <c r="N44">
        <v>2.2712791650200397</v>
      </c>
      <c r="P44">
        <v>9.8230147374716126E-13</v>
      </c>
      <c r="R44">
        <v>5.8295554412789983</v>
      </c>
      <c r="S44" s="16"/>
      <c r="T44">
        <v>1.857</v>
      </c>
      <c r="U44">
        <f t="shared" si="0"/>
        <v>2.252487330696308</v>
      </c>
      <c r="V44" s="14">
        <f t="shared" si="1"/>
        <v>0.21297109892100585</v>
      </c>
      <c r="W44">
        <f t="shared" si="2"/>
        <v>0.39548733069630804</v>
      </c>
      <c r="Y44" s="14">
        <v>0.46394503438544654</v>
      </c>
      <c r="Z44" s="14">
        <v>0.46635280382474464</v>
      </c>
      <c r="AA44" s="14">
        <v>0.4562413448032554</v>
      </c>
      <c r="AB44" s="14">
        <v>0.21504828744397875</v>
      </c>
    </row>
    <row r="45" spans="1:28">
      <c r="A45">
        <v>-1.4354793257272078</v>
      </c>
      <c r="B45">
        <v>7.3404407938941929E-2</v>
      </c>
      <c r="C45">
        <v>1.1755429211242889E-2</v>
      </c>
      <c r="D45">
        <v>0.38412772419599867</v>
      </c>
      <c r="E45">
        <v>0.2789476926320108</v>
      </c>
      <c r="F45">
        <v>0.54354840298704488</v>
      </c>
      <c r="G45">
        <v>0.29692578014446208</v>
      </c>
      <c r="H45">
        <v>1.4210732506662006E-2</v>
      </c>
      <c r="I45">
        <v>0.28688832419774551</v>
      </c>
      <c r="J45">
        <v>0.30964536625833511</v>
      </c>
      <c r="L45">
        <v>4.0038590073173257</v>
      </c>
      <c r="M45">
        <v>4.1046876707041502</v>
      </c>
      <c r="N45">
        <v>2.271279596091806</v>
      </c>
      <c r="P45">
        <v>5.0187337273470265E-12</v>
      </c>
      <c r="R45">
        <v>8.3719770420780453</v>
      </c>
      <c r="S45" s="16"/>
      <c r="T45">
        <v>1.857</v>
      </c>
      <c r="U45">
        <f t="shared" si="0"/>
        <v>2.0661272918110463</v>
      </c>
      <c r="V45" s="14">
        <f t="shared" si="1"/>
        <v>0.11261566602641149</v>
      </c>
      <c r="W45">
        <f t="shared" si="2"/>
        <v>0.20912729181104628</v>
      </c>
      <c r="Y45" s="14">
        <v>0.35173190982575364</v>
      </c>
      <c r="Z45" s="14">
        <v>0.3767373614102778</v>
      </c>
      <c r="AA45" s="14">
        <v>0.28514998092883537</v>
      </c>
      <c r="AB45" s="14">
        <v>0.11598254889557613</v>
      </c>
    </row>
    <row r="46" spans="1:28">
      <c r="A46">
        <v>1.0899481667797288</v>
      </c>
      <c r="B46">
        <v>-1.0303644242582459</v>
      </c>
      <c r="C46">
        <v>0.24395129124609166</v>
      </c>
      <c r="D46">
        <v>0.2358603809531756</v>
      </c>
      <c r="E46">
        <v>0.75946704134910858</v>
      </c>
      <c r="F46">
        <v>0.17206209935046107</v>
      </c>
      <c r="G46">
        <v>0.6291156423055515</v>
      </c>
      <c r="H46">
        <v>0.42313397460446733</v>
      </c>
      <c r="I46">
        <v>0.34756531779652233</v>
      </c>
      <c r="J46">
        <v>0.77304307570182118</v>
      </c>
      <c r="L46">
        <v>2.892268214749584</v>
      </c>
      <c r="M46">
        <v>3.9630064762045585</v>
      </c>
      <c r="N46">
        <v>0.35981600363282218</v>
      </c>
      <c r="P46">
        <v>1.7644038302738952E-11</v>
      </c>
      <c r="R46">
        <v>7.2373727186673094</v>
      </c>
      <c r="S46" s="16"/>
      <c r="T46">
        <v>1.762</v>
      </c>
      <c r="U46">
        <f t="shared" si="0"/>
        <v>2.3091500855441538</v>
      </c>
      <c r="V46" s="14">
        <f t="shared" si="1"/>
        <v>0.31052785785706805</v>
      </c>
      <c r="W46">
        <f t="shared" si="2"/>
        <v>0.54715008554415379</v>
      </c>
      <c r="Y46" s="14">
        <v>0.20958540311081397</v>
      </c>
      <c r="Z46" s="14">
        <v>0.18317532679233861</v>
      </c>
      <c r="AA46" s="14">
        <v>0.23155072148132372</v>
      </c>
      <c r="AB46" s="14">
        <v>0.31095758778726545</v>
      </c>
    </row>
    <row r="47" spans="1:28">
      <c r="A47">
        <v>0.99188300645056948</v>
      </c>
      <c r="B47">
        <v>-1.1179492548450831</v>
      </c>
      <c r="C47">
        <v>0.35193706540986469</v>
      </c>
      <c r="D47">
        <v>0.96664435047407149</v>
      </c>
      <c r="E47">
        <v>0.27380384864194973</v>
      </c>
      <c r="F47">
        <v>0.44274955761875406</v>
      </c>
      <c r="G47">
        <v>0.17535087317999004</v>
      </c>
      <c r="H47">
        <v>0.86349842293488732</v>
      </c>
      <c r="I47">
        <v>0.6047737977456501</v>
      </c>
      <c r="J47">
        <v>7.4082585629206194E-2</v>
      </c>
      <c r="L47">
        <v>2.892268779819251</v>
      </c>
      <c r="M47">
        <v>3.9630061505497416</v>
      </c>
      <c r="N47">
        <v>3.1585005353175979</v>
      </c>
      <c r="P47">
        <v>1.2474054913602244E-12</v>
      </c>
      <c r="R47">
        <v>11.15600865815151</v>
      </c>
      <c r="S47" s="16"/>
      <c r="T47">
        <v>1.762</v>
      </c>
      <c r="U47">
        <f t="shared" si="0"/>
        <v>2.3575021329034045</v>
      </c>
      <c r="V47" s="14">
        <f t="shared" si="1"/>
        <v>0.33796942843553035</v>
      </c>
      <c r="W47">
        <f t="shared" si="2"/>
        <v>0.59550213290340448</v>
      </c>
      <c r="Y47" s="14">
        <v>5.4418513873213614E-2</v>
      </c>
      <c r="Z47" s="14">
        <v>6.0513929989820525E-3</v>
      </c>
      <c r="AA47" s="14">
        <v>0.10805831528845711</v>
      </c>
      <c r="AB47" s="14">
        <v>0.35904637303616171</v>
      </c>
    </row>
    <row r="48" spans="1:28">
      <c r="A48">
        <v>1.1724926128535151</v>
      </c>
      <c r="B48">
        <v>-0.94173517670884244</v>
      </c>
      <c r="C48">
        <v>0.1362466829566702</v>
      </c>
      <c r="D48">
        <v>0.42254376446479452</v>
      </c>
      <c r="E48">
        <v>0.2588728216085095</v>
      </c>
      <c r="F48">
        <v>0.34261361558491638</v>
      </c>
      <c r="G48">
        <v>0.54581918216287728</v>
      </c>
      <c r="H48">
        <v>0.17393346437262078</v>
      </c>
      <c r="I48">
        <v>0.79609560278315583</v>
      </c>
      <c r="J48">
        <v>0.48620100623978824</v>
      </c>
      <c r="L48">
        <v>2.8922702947593102</v>
      </c>
      <c r="M48">
        <v>3.9630062279459173</v>
      </c>
      <c r="N48">
        <v>0.41940801534261923</v>
      </c>
      <c r="P48">
        <v>2.3933112609064162E-13</v>
      </c>
      <c r="R48">
        <v>4.5980629981288983</v>
      </c>
      <c r="S48" s="16"/>
      <c r="T48">
        <v>1.762</v>
      </c>
      <c r="U48">
        <f t="shared" si="0"/>
        <v>2.2801672288635926</v>
      </c>
      <c r="V48" s="14">
        <f t="shared" si="1"/>
        <v>0.29407901751622734</v>
      </c>
      <c r="W48">
        <f t="shared" si="2"/>
        <v>0.51816722886359257</v>
      </c>
      <c r="Y48" s="14">
        <v>4.0233354048720082E-2</v>
      </c>
      <c r="Z48" s="14">
        <v>4.0987569293457371E-2</v>
      </c>
      <c r="AA48" s="14">
        <v>6.5714478151841282E-2</v>
      </c>
      <c r="AB48" s="14">
        <v>0.29792538119545342</v>
      </c>
    </row>
    <row r="49" spans="1:28">
      <c r="A49">
        <v>1.0374675819957044</v>
      </c>
      <c r="B49">
        <v>-1.0054149549290967</v>
      </c>
      <c r="C49">
        <v>0.11186869946008909</v>
      </c>
      <c r="D49">
        <v>0.8489054197129724</v>
      </c>
      <c r="E49">
        <v>0.77651469405050999</v>
      </c>
      <c r="F49">
        <v>0.21174075273745055</v>
      </c>
      <c r="G49">
        <v>0.72388748808534942</v>
      </c>
      <c r="H49">
        <v>0.53628997838244319</v>
      </c>
      <c r="I49">
        <v>0.42360526595449594</v>
      </c>
      <c r="J49">
        <v>0.16881153312664501</v>
      </c>
      <c r="L49">
        <v>2.8922690885142375</v>
      </c>
      <c r="M49">
        <v>0.35981409444173962</v>
      </c>
      <c r="N49">
        <v>3.1585009122931886</v>
      </c>
      <c r="P49">
        <v>4.3976028409934166E-12</v>
      </c>
      <c r="R49">
        <v>8.2999524143243288</v>
      </c>
      <c r="S49" s="16"/>
      <c r="T49">
        <v>1.762</v>
      </c>
      <c r="U49">
        <f t="shared" si="0"/>
        <v>2.099712821205983</v>
      </c>
      <c r="V49" s="14">
        <f t="shared" si="1"/>
        <v>0.19166448422587012</v>
      </c>
      <c r="W49">
        <f t="shared" si="2"/>
        <v>0.337712821205983</v>
      </c>
      <c r="Y49" s="14">
        <v>0.23843182446777078</v>
      </c>
      <c r="Z49" s="14">
        <v>0.1896459549250602</v>
      </c>
      <c r="AA49" s="14">
        <v>0.24100452073040657</v>
      </c>
      <c r="AB49" s="14">
        <v>0.19251417392082804</v>
      </c>
    </row>
    <row r="50" spans="1:28">
      <c r="A50">
        <v>0.8991299480948225</v>
      </c>
      <c r="B50">
        <v>-0.93850857953408084</v>
      </c>
      <c r="C50">
        <v>-0.22914399018282636</v>
      </c>
      <c r="D50">
        <v>0.40024400433372892</v>
      </c>
      <c r="E50">
        <v>0.21637143711155574</v>
      </c>
      <c r="F50">
        <v>1.0013586076176002</v>
      </c>
      <c r="G50">
        <v>1.3822762130403361</v>
      </c>
      <c r="H50">
        <v>0.26041079348864221</v>
      </c>
      <c r="I50">
        <v>0.70013933929164196</v>
      </c>
      <c r="J50">
        <v>0.5705816607514903</v>
      </c>
      <c r="L50">
        <v>2.8922688268387158</v>
      </c>
      <c r="M50">
        <v>0.35981556871758297</v>
      </c>
      <c r="N50">
        <v>0.4194087953658216</v>
      </c>
      <c r="P50">
        <v>1.3712321767552066E-11</v>
      </c>
      <c r="R50">
        <v>9.7223430478825072</v>
      </c>
      <c r="S50" s="16"/>
      <c r="T50">
        <v>1.762</v>
      </c>
      <c r="U50">
        <f t="shared" si="0"/>
        <v>1.7417399856569835</v>
      </c>
      <c r="V50" s="14">
        <f t="shared" si="1"/>
        <v>1.1498305529521247E-2</v>
      </c>
      <c r="W50">
        <f t="shared" si="2"/>
        <v>2.0260014343016497E-2</v>
      </c>
      <c r="Y50" s="14">
        <v>1.7279188672696972</v>
      </c>
      <c r="Z50" s="14">
        <v>1.6250420677382635</v>
      </c>
      <c r="AA50" s="14">
        <v>1.3401272142495055</v>
      </c>
      <c r="AB50" s="14">
        <v>1.0088741742160567E-2</v>
      </c>
    </row>
    <row r="51" spans="1:28">
      <c r="A51">
        <v>1.0607883535619202</v>
      </c>
      <c r="B51">
        <v>-0.94041214932199124</v>
      </c>
      <c r="C51">
        <v>-1.6882613477005353E-2</v>
      </c>
      <c r="D51">
        <v>4.7519973136657234E-2</v>
      </c>
      <c r="E51">
        <v>5.9771186506278079E-2</v>
      </c>
      <c r="F51">
        <v>0.79923881677336617</v>
      </c>
      <c r="G51">
        <v>0.62761705728051631</v>
      </c>
      <c r="H51">
        <v>0.69011785164577311</v>
      </c>
      <c r="I51">
        <v>0.14481962370189985</v>
      </c>
      <c r="J51">
        <v>0.65701332634334053</v>
      </c>
      <c r="L51">
        <v>2.8922710966415348</v>
      </c>
      <c r="M51">
        <v>3.158499783052692</v>
      </c>
      <c r="N51">
        <v>0.41940658152854471</v>
      </c>
      <c r="P51">
        <v>3.714673376913301E-12</v>
      </c>
      <c r="R51">
        <v>4.0116761353740298</v>
      </c>
      <c r="S51" s="16"/>
      <c r="T51">
        <v>1.762</v>
      </c>
      <c r="U51">
        <f t="shared" si="0"/>
        <v>2.0099319642828308</v>
      </c>
      <c r="V51" s="14">
        <f t="shared" si="1"/>
        <v>0.14071053591534088</v>
      </c>
      <c r="W51">
        <f t="shared" si="2"/>
        <v>0.24793196428283082</v>
      </c>
      <c r="Y51" s="14">
        <v>1.9478431142724961E-2</v>
      </c>
      <c r="Z51" s="14">
        <v>3.8225209107592306E-2</v>
      </c>
      <c r="AA51" s="14">
        <v>1.249836735580967E-2</v>
      </c>
      <c r="AB51" s="14">
        <v>0.1422903025022626</v>
      </c>
    </row>
    <row r="52" spans="1:28">
      <c r="A52">
        <v>1.0187966829903639</v>
      </c>
      <c r="B52">
        <v>-1.127249325623574</v>
      </c>
      <c r="C52">
        <v>1.4269834603388309</v>
      </c>
      <c r="D52">
        <v>0.38452825680913377</v>
      </c>
      <c r="E52">
        <v>0.79127706718390312</v>
      </c>
      <c r="F52">
        <v>0.93910362478485332</v>
      </c>
      <c r="G52">
        <v>2.9384025686255648</v>
      </c>
      <c r="H52">
        <v>0</v>
      </c>
      <c r="I52">
        <v>0.82021186474580798</v>
      </c>
      <c r="J52">
        <v>0</v>
      </c>
      <c r="L52">
        <v>3.9630099350225554</v>
      </c>
      <c r="M52">
        <v>0.35981145227242417</v>
      </c>
      <c r="N52">
        <v>3.1584993864441078</v>
      </c>
      <c r="P52">
        <v>1.6918856846084986E-11</v>
      </c>
      <c r="R52">
        <v>33.773458957217059</v>
      </c>
      <c r="S52" s="16"/>
      <c r="T52">
        <v>1.762</v>
      </c>
      <c r="U52">
        <f t="shared" si="0"/>
        <v>4.3449195194715546</v>
      </c>
      <c r="V52" s="14">
        <f t="shared" si="1"/>
        <v>1.4659021109373183</v>
      </c>
      <c r="W52">
        <f t="shared" si="2"/>
        <v>2.5829195194715546</v>
      </c>
      <c r="Y52" s="14">
        <v>1.6575273875280141</v>
      </c>
      <c r="Z52" s="14">
        <v>0.84373249585831034</v>
      </c>
      <c r="AA52" s="14">
        <v>1.0083878916377249</v>
      </c>
      <c r="AB52" s="14">
        <v>2.3775889498552374</v>
      </c>
    </row>
    <row r="53" spans="1:28">
      <c r="A53">
        <v>1.0950585046104651</v>
      </c>
      <c r="B53">
        <v>-1.0174485296549298</v>
      </c>
      <c r="C53">
        <v>1.0416977374353714E-2</v>
      </c>
      <c r="D53">
        <v>0.59734863790762305</v>
      </c>
      <c r="E53">
        <v>0.11268361653302053</v>
      </c>
      <c r="F53">
        <v>0.60154284074587272</v>
      </c>
      <c r="G53">
        <v>0.73224943492857208</v>
      </c>
      <c r="H53">
        <v>0.59145969989011815</v>
      </c>
      <c r="I53">
        <v>0.14080281204485481</v>
      </c>
      <c r="J53">
        <v>0.7846488387202597</v>
      </c>
      <c r="L53">
        <v>3.963005874305372</v>
      </c>
      <c r="M53">
        <v>0.35981242419837056</v>
      </c>
      <c r="N53">
        <v>0.41940808381703376</v>
      </c>
      <c r="P53">
        <v>2.0710150128925979E-13</v>
      </c>
      <c r="R53">
        <v>4.8975545484624536</v>
      </c>
      <c r="S53" s="16"/>
      <c r="T53">
        <v>1.762</v>
      </c>
      <c r="U53">
        <f t="shared" si="0"/>
        <v>2.2344631524343042</v>
      </c>
      <c r="V53" s="14">
        <f t="shared" si="1"/>
        <v>0.26814026812389558</v>
      </c>
      <c r="W53">
        <f t="shared" si="2"/>
        <v>0.47246315243430415</v>
      </c>
      <c r="Y53" s="14">
        <v>0.38813120133049672</v>
      </c>
      <c r="Z53" s="14">
        <v>0.48610473632996376</v>
      </c>
      <c r="AA53" s="14">
        <v>0.34379440878615175</v>
      </c>
      <c r="AB53" s="14">
        <v>0.26874269336638257</v>
      </c>
    </row>
    <row r="54" spans="1:28">
      <c r="A54">
        <v>0.97954456871556206</v>
      </c>
      <c r="B54">
        <v>-1.1198088538191431</v>
      </c>
      <c r="C54">
        <v>-0.18870245781374895</v>
      </c>
      <c r="D54">
        <v>0.35577923429615887</v>
      </c>
      <c r="E54">
        <v>6.1359490261016558E-2</v>
      </c>
      <c r="F54">
        <v>0.11293627371290446</v>
      </c>
      <c r="G54">
        <v>0.89026052208651762</v>
      </c>
      <c r="H54">
        <v>0.67598671358729712</v>
      </c>
      <c r="I54">
        <v>0.26177060287722093</v>
      </c>
      <c r="J54">
        <v>0.99406401936567779</v>
      </c>
      <c r="L54">
        <v>3.9630093667165438</v>
      </c>
      <c r="M54">
        <v>3.1584967470291434</v>
      </c>
      <c r="N54">
        <v>0.41940474054406313</v>
      </c>
      <c r="P54">
        <v>3.5421244797489507E-11</v>
      </c>
      <c r="R54">
        <v>8.3533330021981307</v>
      </c>
      <c r="S54" s="16"/>
      <c r="T54">
        <v>1.762</v>
      </c>
      <c r="U54">
        <f t="shared" si="0"/>
        <v>2.2490880487768492</v>
      </c>
      <c r="V54" s="14">
        <f t="shared" si="1"/>
        <v>0.2764404363092221</v>
      </c>
      <c r="W54">
        <f t="shared" si="2"/>
        <v>0.48708804877684919</v>
      </c>
      <c r="Y54" s="14">
        <v>4.8207155261958956E-2</v>
      </c>
      <c r="Z54" s="14">
        <v>3.7251766543626053E-2</v>
      </c>
      <c r="AA54" s="14">
        <v>7.5138671700305082E-2</v>
      </c>
      <c r="AB54" s="14">
        <v>0.28341950576052821</v>
      </c>
    </row>
    <row r="55" spans="1:28">
      <c r="A55">
        <v>1.0394259066045124</v>
      </c>
      <c r="B55">
        <v>-0.98545229359064268</v>
      </c>
      <c r="C55">
        <v>-6.544420356751135E-2</v>
      </c>
      <c r="D55">
        <v>0.78317840905834579</v>
      </c>
      <c r="E55">
        <v>0.78897313021382687</v>
      </c>
      <c r="F55">
        <v>0.51607611658240871</v>
      </c>
      <c r="G55">
        <v>0.51896306091076361</v>
      </c>
      <c r="H55">
        <v>3.2353025947212913E-2</v>
      </c>
      <c r="I55">
        <v>0.18953288832941323</v>
      </c>
      <c r="J55">
        <v>0.72045651938757671</v>
      </c>
      <c r="L55">
        <v>0.35981277318214794</v>
      </c>
      <c r="M55">
        <v>3.1584999277632555</v>
      </c>
      <c r="N55">
        <v>0.41940683781065519</v>
      </c>
      <c r="P55">
        <v>1.8253302729458004E-12</v>
      </c>
      <c r="R55">
        <v>4.0145579374007854</v>
      </c>
      <c r="S55" s="16"/>
      <c r="T55">
        <v>1.762</v>
      </c>
      <c r="U55">
        <f t="shared" si="0"/>
        <v>2.0558053820442566</v>
      </c>
      <c r="V55" s="14">
        <f t="shared" si="1"/>
        <v>0.16674539276064504</v>
      </c>
      <c r="W55">
        <f t="shared" si="2"/>
        <v>0.29380538204425655</v>
      </c>
      <c r="Y55" s="14">
        <v>4.4678645488505864E-2</v>
      </c>
      <c r="Z55" s="14">
        <v>1.2693169496909018E-2</v>
      </c>
      <c r="AA55" s="14">
        <v>7.1675642790044791E-2</v>
      </c>
      <c r="AB55" s="14">
        <v>0.17396668713448382</v>
      </c>
    </row>
    <row r="56" spans="1:28">
      <c r="A56">
        <v>0.1093525037254989</v>
      </c>
      <c r="B56">
        <v>-1.2121166567290114</v>
      </c>
      <c r="C56">
        <v>0.96522298363402581</v>
      </c>
      <c r="D56">
        <v>0.78164782993321014</v>
      </c>
      <c r="E56">
        <v>0.69895738991575163</v>
      </c>
      <c r="F56">
        <v>2.3161552753680925E-2</v>
      </c>
      <c r="G56">
        <v>0.35934628073853259</v>
      </c>
      <c r="H56">
        <v>0.63204033175942587</v>
      </c>
      <c r="I56">
        <v>0</v>
      </c>
      <c r="J56">
        <v>0.8596315323998388</v>
      </c>
      <c r="L56">
        <v>3.0209192488277719</v>
      </c>
      <c r="M56">
        <v>3.641670985171761</v>
      </c>
      <c r="N56">
        <v>2.2414528260329982</v>
      </c>
      <c r="P56">
        <v>3.5679332144688318E-13</v>
      </c>
      <c r="R56">
        <v>5.7541507801085308</v>
      </c>
      <c r="S56" s="16"/>
      <c r="T56">
        <v>1.51</v>
      </c>
      <c r="U56">
        <f t="shared" si="0"/>
        <v>2.4128401677263223</v>
      </c>
      <c r="V56" s="14">
        <f t="shared" si="1"/>
        <v>0.59790739584524655</v>
      </c>
      <c r="W56">
        <f t="shared" si="2"/>
        <v>0.90284016772632225</v>
      </c>
      <c r="Y56" s="14">
        <v>0.32186388096546881</v>
      </c>
      <c r="Z56" s="14">
        <v>0.3464435591700985</v>
      </c>
      <c r="AA56" s="14">
        <v>0.29555972408338738</v>
      </c>
      <c r="AB56" s="14">
        <v>0.6077952157860349</v>
      </c>
    </row>
    <row r="57" spans="1:28">
      <c r="A57">
        <v>-0.45951823871089958</v>
      </c>
      <c r="B57">
        <v>-1.2367359553930615</v>
      </c>
      <c r="C57">
        <v>1.7258269419232317</v>
      </c>
      <c r="D57">
        <v>0.50021091912298898</v>
      </c>
      <c r="E57">
        <v>0</v>
      </c>
      <c r="F57">
        <v>0.1632537262992142</v>
      </c>
      <c r="G57">
        <v>0.16912628163832399</v>
      </c>
      <c r="H57">
        <v>0.56872034293820528</v>
      </c>
      <c r="I57">
        <v>0.29070568075971959</v>
      </c>
      <c r="J57">
        <v>4.5369901316689415E-2</v>
      </c>
      <c r="L57">
        <v>3.0209188364392436</v>
      </c>
      <c r="M57">
        <v>3.6416722851092631</v>
      </c>
      <c r="N57">
        <v>2.1608681379341883</v>
      </c>
      <c r="P57">
        <v>8.198759082143624E-13</v>
      </c>
      <c r="R57">
        <v>23.374271882936494</v>
      </c>
      <c r="S57" s="16"/>
      <c r="T57">
        <v>1.51</v>
      </c>
      <c r="U57">
        <f t="shared" si="0"/>
        <v>4.7191514685380493</v>
      </c>
      <c r="V57" s="14">
        <f t="shared" si="1"/>
        <v>2.1252658732040062</v>
      </c>
      <c r="W57">
        <f t="shared" si="2"/>
        <v>3.2091514685380496</v>
      </c>
      <c r="Y57" s="14">
        <v>0.67361721140803166</v>
      </c>
      <c r="Z57" s="14">
        <v>0.64080363054988343</v>
      </c>
      <c r="AA57" s="14">
        <v>0.62083520479426468</v>
      </c>
      <c r="AB57" s="14">
        <v>2.2212525946597319</v>
      </c>
    </row>
    <row r="58" spans="1:28">
      <c r="A58">
        <v>0.17257562755687442</v>
      </c>
      <c r="B58">
        <v>-1.2080820661977847</v>
      </c>
      <c r="C58">
        <v>0.90478601206423126</v>
      </c>
      <c r="D58">
        <v>0.58139758749639781</v>
      </c>
      <c r="E58">
        <v>0.19051670363842849</v>
      </c>
      <c r="F58">
        <v>0.52587135484968306</v>
      </c>
      <c r="G58">
        <v>0.15827945626722845</v>
      </c>
      <c r="H58">
        <v>0.55028484269985711</v>
      </c>
      <c r="I58">
        <v>0.55680589030305816</v>
      </c>
      <c r="J58">
        <v>0.94019095951588694</v>
      </c>
      <c r="L58">
        <v>3.0209199868712018</v>
      </c>
      <c r="M58">
        <v>3.6416726231040215</v>
      </c>
      <c r="N58">
        <v>1.255186040390331</v>
      </c>
      <c r="P58">
        <v>3.1342544936176045E-12</v>
      </c>
      <c r="R58">
        <v>4.3151949362995765</v>
      </c>
      <c r="S58" s="16"/>
      <c r="T58">
        <v>1.51</v>
      </c>
      <c r="U58">
        <f t="shared" si="0"/>
        <v>2.3078823535224529</v>
      </c>
      <c r="V58" s="14">
        <f t="shared" si="1"/>
        <v>0.52839890961751834</v>
      </c>
      <c r="W58">
        <f t="shared" si="2"/>
        <v>0.79788235352245285</v>
      </c>
      <c r="Y58" s="14">
        <v>0.68854264661157516</v>
      </c>
      <c r="Z58" s="14">
        <v>0.71944864832968602</v>
      </c>
      <c r="AA58" s="14">
        <v>0.62465305686204919</v>
      </c>
      <c r="AB58" s="14">
        <v>0.51517732772800762</v>
      </c>
    </row>
    <row r="59" spans="1:28">
      <c r="A59">
        <v>2.3948431382723817E-2</v>
      </c>
      <c r="B59">
        <v>-1.2065628759454863</v>
      </c>
      <c r="C59">
        <v>0.79491377346690961</v>
      </c>
      <c r="D59">
        <v>0.44244582641495189</v>
      </c>
      <c r="E59">
        <v>0.48607386147337162</v>
      </c>
      <c r="F59">
        <v>8.650705049997609E-2</v>
      </c>
      <c r="G59">
        <v>0.72642591875314355</v>
      </c>
      <c r="H59">
        <v>0.20819501881329824</v>
      </c>
      <c r="I59">
        <v>0.7942831706614194</v>
      </c>
      <c r="J59">
        <v>0.25077754219293785</v>
      </c>
      <c r="L59">
        <v>3.0209200535473602</v>
      </c>
      <c r="M59">
        <v>2.241453808501451</v>
      </c>
      <c r="N59">
        <v>2.1608686165749567</v>
      </c>
      <c r="P59">
        <v>2.9260864357709163E-12</v>
      </c>
      <c r="R59">
        <v>4.1190863833220419</v>
      </c>
      <c r="S59" s="16"/>
      <c r="T59">
        <v>1.51</v>
      </c>
      <c r="U59">
        <f t="shared" si="0"/>
        <v>2.0882554082229374</v>
      </c>
      <c r="V59" s="14">
        <f t="shared" si="1"/>
        <v>0.38295060147214399</v>
      </c>
      <c r="W59">
        <f t="shared" si="2"/>
        <v>0.57825540822293742</v>
      </c>
      <c r="Y59" s="14">
        <v>0.2489450543464129</v>
      </c>
      <c r="Z59" s="14">
        <v>0.24895338455804916</v>
      </c>
      <c r="AA59" s="14">
        <v>0.22620894162204386</v>
      </c>
      <c r="AB59" s="14">
        <v>0.39674644366095402</v>
      </c>
    </row>
    <row r="60" spans="1:28">
      <c r="A60">
        <v>-0.13544074523281308</v>
      </c>
      <c r="B60">
        <v>-1.1955981076565629</v>
      </c>
      <c r="C60">
        <v>0.50061719257969706</v>
      </c>
      <c r="D60">
        <v>0.21195804463109369</v>
      </c>
      <c r="E60">
        <v>0.95814198913608351</v>
      </c>
      <c r="F60">
        <v>0</v>
      </c>
      <c r="G60">
        <v>0.84898627746402633</v>
      </c>
      <c r="H60">
        <v>2.2178936904465557E-7</v>
      </c>
      <c r="I60">
        <v>0.98255061191820292</v>
      </c>
      <c r="J60">
        <v>1.6177385098846626</v>
      </c>
      <c r="L60">
        <v>3.0209198141760658</v>
      </c>
      <c r="M60">
        <v>2.2414549523837293</v>
      </c>
      <c r="N60">
        <v>1.2551832274987769</v>
      </c>
      <c r="P60">
        <v>1.1091493838041048E-11</v>
      </c>
      <c r="R60">
        <v>13.308254012159706</v>
      </c>
      <c r="S60" s="16"/>
      <c r="T60">
        <v>1.51</v>
      </c>
      <c r="U60">
        <f t="shared" si="0"/>
        <v>1.6984166040075515</v>
      </c>
      <c r="V60" s="14">
        <f t="shared" si="1"/>
        <v>0.12477920795202091</v>
      </c>
      <c r="W60">
        <f t="shared" si="2"/>
        <v>0.18841660400755145</v>
      </c>
      <c r="Y60" s="14">
        <v>1.9938067654089777</v>
      </c>
      <c r="Z60" s="14">
        <v>2.3286427243881014</v>
      </c>
      <c r="AA60" s="14">
        <v>1.5027960637360041</v>
      </c>
      <c r="AB60" s="14">
        <v>0.15033099940383332</v>
      </c>
    </row>
    <row r="61" spans="1:28">
      <c r="A61">
        <v>5.276477173082722E-2</v>
      </c>
      <c r="B61">
        <v>-1.2031272314829278</v>
      </c>
      <c r="C61">
        <v>0.75181660175060228</v>
      </c>
      <c r="D61">
        <v>0.95864803986443636</v>
      </c>
      <c r="E61">
        <v>0.20696472813891459</v>
      </c>
      <c r="F61">
        <v>0.380861162641495</v>
      </c>
      <c r="G61">
        <v>0.35601593418813321</v>
      </c>
      <c r="H61">
        <v>0.28237819215021975</v>
      </c>
      <c r="I61">
        <v>0.1990913328528475</v>
      </c>
      <c r="J61">
        <v>0.70037935941460017</v>
      </c>
      <c r="L61">
        <v>3.0209196884444514</v>
      </c>
      <c r="M61">
        <v>2.1608684397179676</v>
      </c>
      <c r="N61">
        <v>1.2551858964691975</v>
      </c>
      <c r="P61">
        <v>1.0675831621438824E-12</v>
      </c>
      <c r="R61">
        <v>2.8871776874718753</v>
      </c>
      <c r="S61" s="16"/>
      <c r="T61">
        <v>1.51</v>
      </c>
      <c r="U61">
        <f t="shared" si="0"/>
        <v>2.0155274589394043</v>
      </c>
      <c r="V61" s="14">
        <f t="shared" si="1"/>
        <v>0.33478639664861221</v>
      </c>
      <c r="W61">
        <f t="shared" si="2"/>
        <v>0.50552745893940432</v>
      </c>
      <c r="Y61" s="14">
        <v>0.67000479528817314</v>
      </c>
      <c r="Z61" s="14">
        <v>0.7372810511411565</v>
      </c>
      <c r="AA61" s="14">
        <v>0.53297212731393828</v>
      </c>
      <c r="AB61" s="14">
        <v>0.33460252233771026</v>
      </c>
    </row>
    <row r="62" spans="1:28">
      <c r="A62">
        <v>5.2620452067128343E-2</v>
      </c>
      <c r="B62">
        <v>-1.4153683818397038</v>
      </c>
      <c r="C62">
        <v>0.37070049346196554</v>
      </c>
      <c r="D62">
        <v>1.0305437283946096E-2</v>
      </c>
      <c r="E62">
        <v>0.83060796897779354</v>
      </c>
      <c r="F62">
        <v>0.34876169124090062</v>
      </c>
      <c r="G62">
        <v>0.86149394328321438</v>
      </c>
      <c r="H62">
        <v>0</v>
      </c>
      <c r="I62">
        <v>0.67963009800543639</v>
      </c>
      <c r="J62">
        <v>0.1557994196121269</v>
      </c>
      <c r="L62">
        <v>3.6416722269912847</v>
      </c>
      <c r="M62">
        <v>2.2414520795358017</v>
      </c>
      <c r="N62">
        <v>2.1608672392702615</v>
      </c>
      <c r="P62">
        <v>1.819060372631321E-12</v>
      </c>
      <c r="R62">
        <v>11.747542235675285</v>
      </c>
      <c r="S62" s="16"/>
      <c r="T62">
        <v>1.51</v>
      </c>
      <c r="U62">
        <f t="shared" si="0"/>
        <v>2.1434554241402353</v>
      </c>
      <c r="V62" s="14">
        <f t="shared" si="1"/>
        <v>0.41950690340412922</v>
      </c>
      <c r="W62">
        <f t="shared" si="2"/>
        <v>0.63345542414023526</v>
      </c>
      <c r="Y62" s="14">
        <v>0.36316340062240449</v>
      </c>
      <c r="Z62" s="14">
        <v>0.3340597810798791</v>
      </c>
      <c r="AA62" s="14">
        <v>0.38922874682900566</v>
      </c>
      <c r="AB62" s="14">
        <v>0.41421514936275439</v>
      </c>
    </row>
    <row r="63" spans="1:28">
      <c r="A63">
        <v>8.4062997781254353E-2</v>
      </c>
      <c r="B63">
        <v>-1.2856431567226623</v>
      </c>
      <c r="C63">
        <v>0.7401189100663923</v>
      </c>
      <c r="D63">
        <v>0.41562643215796036</v>
      </c>
      <c r="E63">
        <v>0.10978311110946092</v>
      </c>
      <c r="F63">
        <v>0.14134265781632596</v>
      </c>
      <c r="G63">
        <v>0.25762414341363699</v>
      </c>
      <c r="H63">
        <v>0.53500645063233454</v>
      </c>
      <c r="I63">
        <v>0.29474305057873329</v>
      </c>
      <c r="J63">
        <v>1.2144465182968331</v>
      </c>
      <c r="L63">
        <v>3.6416738197351108</v>
      </c>
      <c r="M63">
        <v>2.2414547472037198</v>
      </c>
      <c r="N63">
        <v>1.2551844685194082</v>
      </c>
      <c r="P63">
        <v>1.0887167968804304E-11</v>
      </c>
      <c r="R63">
        <v>6.3597255087991584</v>
      </c>
      <c r="S63" s="16"/>
      <c r="T63">
        <v>1.51</v>
      </c>
      <c r="U63">
        <f t="shared" si="0"/>
        <v>2.2077209150616479</v>
      </c>
      <c r="V63" s="14">
        <f t="shared" si="1"/>
        <v>0.46206683116665426</v>
      </c>
      <c r="W63">
        <f t="shared" si="2"/>
        <v>0.69772091506164791</v>
      </c>
      <c r="Y63" s="14">
        <v>1.0081116020352101</v>
      </c>
      <c r="Z63" s="14">
        <v>0.99575716924555513</v>
      </c>
      <c r="AA63" s="14">
        <v>0.77850435088932168</v>
      </c>
      <c r="AB63" s="14">
        <v>0.48071909263916957</v>
      </c>
    </row>
    <row r="64" spans="1:28">
      <c r="A64">
        <v>-2.0328119046607265E-2</v>
      </c>
      <c r="B64">
        <v>-1.3890763621586986</v>
      </c>
      <c r="C64">
        <v>0.56931207538362161</v>
      </c>
      <c r="D64">
        <v>0.42302749810043622</v>
      </c>
      <c r="E64">
        <v>0.12146558388434193</v>
      </c>
      <c r="F64">
        <v>0.46697903786594613</v>
      </c>
      <c r="G64">
        <v>0.75244773474231585</v>
      </c>
      <c r="H64">
        <v>0.17655251494160326</v>
      </c>
      <c r="I64">
        <v>0.29227221821977134</v>
      </c>
      <c r="J64">
        <v>0.31460588234221581</v>
      </c>
      <c r="L64">
        <v>3.641673157188011</v>
      </c>
      <c r="M64">
        <v>2.1608681519253539</v>
      </c>
      <c r="N64">
        <v>1.2551872098870949</v>
      </c>
      <c r="P64">
        <v>5.8503906517117247E-12</v>
      </c>
      <c r="R64">
        <v>6.4539055799489597</v>
      </c>
      <c r="S64" s="16"/>
      <c r="T64">
        <v>1.51</v>
      </c>
      <c r="U64">
        <f t="shared" si="0"/>
        <v>2.2540626115096236</v>
      </c>
      <c r="V64" s="14">
        <f t="shared" si="1"/>
        <v>0.49275669636398911</v>
      </c>
      <c r="W64">
        <f t="shared" si="2"/>
        <v>0.74406261150962361</v>
      </c>
      <c r="Y64" s="14">
        <v>0.71296579133441584</v>
      </c>
      <c r="Z64" s="14">
        <v>0.78382952526989413</v>
      </c>
      <c r="AA64" s="14">
        <v>0.58664809798312834</v>
      </c>
      <c r="AB64" s="14">
        <v>0.49881516029111483</v>
      </c>
    </row>
    <row r="65" spans="1:28">
      <c r="A65">
        <v>3.2542912672302228E-2</v>
      </c>
      <c r="B65">
        <v>-1.2467233929170893</v>
      </c>
      <c r="C65">
        <v>0.71012641242250618</v>
      </c>
      <c r="D65">
        <v>0.76975840114123928</v>
      </c>
      <c r="E65">
        <v>0.20414593551973623</v>
      </c>
      <c r="F65">
        <v>0.53571517731593377</v>
      </c>
      <c r="G65">
        <v>0.97316229007886268</v>
      </c>
      <c r="H65">
        <v>0.34556691797464673</v>
      </c>
      <c r="I65">
        <v>0.33496084050964242</v>
      </c>
      <c r="J65">
        <v>0.96464336880285073</v>
      </c>
      <c r="L65">
        <v>2.2414535649228684</v>
      </c>
      <c r="M65">
        <v>2.1608685914635641</v>
      </c>
      <c r="N65">
        <v>1.255185725239512</v>
      </c>
      <c r="P65">
        <v>9.4396740414070739E-13</v>
      </c>
      <c r="R65">
        <v>4.2498711157524944</v>
      </c>
      <c r="S65" s="16"/>
      <c r="T65">
        <v>1.51</v>
      </c>
      <c r="U65">
        <f t="shared" si="0"/>
        <v>2.0596577812319556</v>
      </c>
      <c r="V65" s="14">
        <f t="shared" si="1"/>
        <v>0.36401177565030185</v>
      </c>
      <c r="W65">
        <f t="shared" si="2"/>
        <v>0.54965778123195563</v>
      </c>
      <c r="Y65" s="14">
        <v>0.58786346922832489</v>
      </c>
      <c r="Z65" s="14">
        <v>0.55984860871317843</v>
      </c>
      <c r="AA65" s="14">
        <v>0.39285316166329753</v>
      </c>
      <c r="AB65" s="14">
        <v>0.37073107136772032</v>
      </c>
    </row>
  </sheetData>
  <mergeCells count="1">
    <mergeCell ref="L5:N5"/>
  </mergeCells>
  <conditionalFormatting sqref="V6:V65">
    <cfRule type="iconSet" priority="5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Z6:Z65">
    <cfRule type="iconSet" priority="4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Y6:Y65">
    <cfRule type="iconSet" priority="3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A6:AA65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B6:AB65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2:U18"/>
  <sheetViews>
    <sheetView workbookViewId="0">
      <selection activeCell="Q11" sqref="Q11:Q18"/>
    </sheetView>
  </sheetViews>
  <sheetFormatPr baseColWidth="10" defaultRowHeight="15"/>
  <sheetData>
    <row r="2" spans="1:21">
      <c r="A2">
        <v>1</v>
      </c>
      <c r="B2" s="16">
        <v>-30.441860465116278</v>
      </c>
      <c r="C2" s="16">
        <v>-16.380549682875266</v>
      </c>
      <c r="D2">
        <v>3.7</v>
      </c>
      <c r="E2">
        <f>100/SQRT(B2^2+(C2*$D$2)^2)</f>
        <v>1.4744130496404566</v>
      </c>
      <c r="F2">
        <f>B2*E2</f>
        <v>-44.88387632510134</v>
      </c>
      <c r="G2">
        <f>C2*E2</f>
        <v>-24.151696212715134</v>
      </c>
      <c r="I2">
        <f>ASIN(F2/100)</f>
        <v>-0.46546542890213205</v>
      </c>
      <c r="J2">
        <f>ASIN(G2/100)</f>
        <v>-0.2439287870210983</v>
      </c>
      <c r="L2">
        <f>IF(F2&gt;0,(I2*-1)+(PI()/2),I2+(1.5*PI()))</f>
        <v>4.2469235514825581</v>
      </c>
      <c r="M2">
        <f>IF(G2&gt;0,(J2*-1)+(PI()/2),J2+(1.5*PI()))</f>
        <v>4.4684601933635912</v>
      </c>
      <c r="O2" t="str">
        <f>COMPLEX(B2,C2*$D$2)</f>
        <v>-30,4418604651163-60,6080338266385i</v>
      </c>
      <c r="P2">
        <f>IMARGUMENT(O2)</f>
        <v>-2.0362617556970291</v>
      </c>
      <c r="Q2">
        <f>IF( AND($B2&gt;0, $C2&gt;0),$P2,IF( AND($B2&lt;0,$C2&gt;0),$P2+PI()/2,IF( AND($B2&gt;0,$C2&lt;0),$P2+2*PI(),IF( AND($B2&lt;0,$C2&lt;0),$P2+2*PI(),0))))/(2*PI())</f>
        <v>0.67591887615183643</v>
      </c>
      <c r="R2" t="str">
        <f>IF( AND($B2&gt;0, $C2&gt;0),"Q1",IF( AND($B2&lt;0,$C2&gt;0),"Q2",IF( AND($B2&lt;0,$C2&lt;0),"Q3",IF( AND($B2&gt;0,$C2&lt;0),"Q4",0))))</f>
        <v>Q3</v>
      </c>
      <c r="S2">
        <f t="shared" ref="S2" si="0">PI()/2</f>
        <v>1.5707963267948966</v>
      </c>
      <c r="U2" s="29">
        <f>IF(AND($B2&gt;0,$C2&gt;0),$P2,IF(AND($B2&lt;0,$C2&gt;0),$P2+PI()/2,IF(AND($B2&gt;0,$C2&lt;0),$P2+2*PI(),IF(AND($B2&lt;0,$C2&lt;0),$P2+2*PI(),0))))</f>
        <v>4.2469235514825572</v>
      </c>
    </row>
    <row r="3" spans="1:21">
      <c r="A3">
        <v>2</v>
      </c>
      <c r="B3" s="16" t="e">
        <v>#N/A</v>
      </c>
      <c r="C3" s="16" t="e">
        <v>#N/A</v>
      </c>
      <c r="E3">
        <v>0</v>
      </c>
      <c r="F3" t="e">
        <f t="shared" ref="F3:F9" si="1">B3*E3</f>
        <v>#N/A</v>
      </c>
      <c r="G3" t="e">
        <f t="shared" ref="G3:G9" si="2">C3*E3</f>
        <v>#N/A</v>
      </c>
      <c r="I3" t="e">
        <f t="shared" ref="I3:I9" si="3">ASIN(F3/100)</f>
        <v>#N/A</v>
      </c>
      <c r="J3" t="e">
        <f t="shared" ref="J3:J9" si="4">ASIN(G3/100)</f>
        <v>#N/A</v>
      </c>
      <c r="L3" t="e">
        <f t="shared" ref="L3:L9" si="5">IF(F3&gt;0,(I3*-1)+(PI()/2),I3+(1.5*PI()))</f>
        <v>#N/A</v>
      </c>
      <c r="M3" t="e">
        <f t="shared" ref="M3:M9" si="6">IF(G3&gt;0,(J3*-1)+(PI()/2),J3+(1.5*PI()))</f>
        <v>#N/A</v>
      </c>
      <c r="O3" t="e">
        <f t="shared" ref="O3:O9" si="7">COMPLEX(B3,C3*$D$2)</f>
        <v>#N/A</v>
      </c>
      <c r="P3" t="e">
        <f t="shared" ref="P3:P9" si="8">IMARGUMENT(O3)</f>
        <v>#N/A</v>
      </c>
      <c r="Q3" t="e">
        <f t="shared" ref="Q3:Q9" si="9">IF( AND($B3&gt;0, $C3&gt;0),$P3,IF( AND($B3&lt;0,$C3&gt;0),$P3+PI()/2,IF( AND($B3&gt;0,$C3&lt;0),$P3+2*PI(),IF( AND($B3&lt;0,$C3&lt;0),$P3+2*PI(),0))))/(2*PI())</f>
        <v>#N/A</v>
      </c>
      <c r="R3" t="e">
        <f t="shared" ref="R3:R9" si="10">IF( AND($B3&gt;0, $C3&gt;0),"Q1",IF( AND($B3&lt;0,$C3&gt;0),"Q2",IF( AND($B3&lt;0,$C3&lt;0),"Q3",IF( AND($B3&gt;0,$C3&lt;0),"Q4",0))))</f>
        <v>#N/A</v>
      </c>
      <c r="S3">
        <f>PI()/1</f>
        <v>3.1415926535897931</v>
      </c>
      <c r="U3" s="29" t="e">
        <f t="shared" ref="U3:U9" si="11">IF(AND($B3&gt;0,$C3&gt;0),$P3,IF(AND($B3&lt;0,$C3&gt;0),$P3+PI()/2,IF(AND($B3&gt;0,$C3&lt;0),$P3+2*PI(),IF(AND($B3&lt;0,$C3&lt;0),$P3+2*PI(),0))))</f>
        <v>#N/A</v>
      </c>
    </row>
    <row r="4" spans="1:21">
      <c r="A4">
        <v>3</v>
      </c>
      <c r="B4" s="16">
        <v>-12.232758620689655</v>
      </c>
      <c r="C4" s="16">
        <v>3.6724137931034484</v>
      </c>
      <c r="E4">
        <f t="shared" ref="E4:E9" si="12">100/SQRT(B4^2+(C4*$D$2)^2)</f>
        <v>5.4695278188531802</v>
      </c>
      <c r="F4">
        <f t="shared" si="1"/>
        <v>-66.907413577178119</v>
      </c>
      <c r="G4">
        <f t="shared" si="2"/>
        <v>20.086369403719438</v>
      </c>
      <c r="I4">
        <f t="shared" si="3"/>
        <v>-0.73296229976672811</v>
      </c>
      <c r="J4">
        <f t="shared" si="4"/>
        <v>0.20223950426150231</v>
      </c>
      <c r="L4">
        <f t="shared" si="5"/>
        <v>3.9794266806179617</v>
      </c>
      <c r="M4">
        <f t="shared" si="6"/>
        <v>1.3685568225333942</v>
      </c>
      <c r="O4" t="str">
        <f t="shared" si="7"/>
        <v>-12,2327586206897+13,5879310344828i</v>
      </c>
      <c r="P4">
        <f t="shared" si="8"/>
        <v>2.303758626561625</v>
      </c>
      <c r="Q4">
        <f t="shared" si="9"/>
        <v>0.61665457310787841</v>
      </c>
      <c r="R4" t="str">
        <f t="shared" si="10"/>
        <v>Q2</v>
      </c>
      <c r="S4">
        <f>S2+S3</f>
        <v>4.7123889803846897</v>
      </c>
      <c r="U4" s="29">
        <f t="shared" si="11"/>
        <v>3.8745549533565216</v>
      </c>
    </row>
    <row r="5" spans="1:21">
      <c r="A5">
        <v>4</v>
      </c>
      <c r="B5" s="16">
        <v>-4.4375</v>
      </c>
      <c r="C5" s="16">
        <v>-0.34375</v>
      </c>
      <c r="E5">
        <f t="shared" si="12"/>
        <v>21.66295656252726</v>
      </c>
      <c r="F5">
        <f t="shared" si="1"/>
        <v>-96.129369746214721</v>
      </c>
      <c r="G5">
        <f t="shared" si="2"/>
        <v>-7.4466413183687452</v>
      </c>
      <c r="I5">
        <f t="shared" si="3"/>
        <v>-1.2916597700867156</v>
      </c>
      <c r="J5">
        <f t="shared" si="4"/>
        <v>-7.4535407928091865E-2</v>
      </c>
      <c r="L5">
        <f t="shared" si="5"/>
        <v>3.4207292102979743</v>
      </c>
      <c r="M5">
        <f t="shared" si="6"/>
        <v>4.6378535724565975</v>
      </c>
      <c r="O5" t="str">
        <f t="shared" si="7"/>
        <v>-4,4375-1,271875i</v>
      </c>
      <c r="P5">
        <f t="shared" si="8"/>
        <v>-2.8624560968816124</v>
      </c>
      <c r="Q5">
        <f t="shared" si="9"/>
        <v>0.54442596279775812</v>
      </c>
      <c r="R5" t="str">
        <f t="shared" si="10"/>
        <v>Q3</v>
      </c>
      <c r="S5">
        <f>PI()/0.5</f>
        <v>6.2831853071795862</v>
      </c>
      <c r="U5" s="29">
        <f t="shared" si="11"/>
        <v>3.4207292102979738</v>
      </c>
    </row>
    <row r="6" spans="1:21">
      <c r="A6">
        <v>5</v>
      </c>
      <c r="B6" s="16">
        <v>14.42443729903537</v>
      </c>
      <c r="C6" s="16">
        <v>-14.260450160771704</v>
      </c>
      <c r="E6">
        <f t="shared" si="12"/>
        <v>1.8281600419752557</v>
      </c>
      <c r="F6">
        <f t="shared" si="1"/>
        <v>26.370179898073946</v>
      </c>
      <c r="G6">
        <f t="shared" si="2"/>
        <v>-26.07038516450244</v>
      </c>
      <c r="I6">
        <f t="shared" si="3"/>
        <v>0.26685783627795612</v>
      </c>
      <c r="J6">
        <f t="shared" si="4"/>
        <v>-0.26375119473934089</v>
      </c>
      <c r="L6">
        <f t="shared" si="5"/>
        <v>1.3039384905169404</v>
      </c>
      <c r="M6">
        <f t="shared" si="6"/>
        <v>4.4486377856453485</v>
      </c>
      <c r="O6" t="str">
        <f t="shared" si="7"/>
        <v>14,4244372990354-52,7636655948553i</v>
      </c>
      <c r="P6">
        <f t="shared" si="8"/>
        <v>-1.30393849051694</v>
      </c>
      <c r="Q6">
        <f t="shared" si="9"/>
        <v>0.79247174374644458</v>
      </c>
      <c r="R6" t="str">
        <f t="shared" si="10"/>
        <v>Q4</v>
      </c>
      <c r="U6" s="29">
        <f t="shared" si="11"/>
        <v>4.9792468166626467</v>
      </c>
    </row>
    <row r="7" spans="1:21">
      <c r="A7">
        <v>6</v>
      </c>
      <c r="B7" s="16">
        <v>38.125</v>
      </c>
      <c r="C7" s="16">
        <v>-29.387681159420289</v>
      </c>
      <c r="E7">
        <f t="shared" si="12"/>
        <v>0.86787083912676255</v>
      </c>
      <c r="F7">
        <f t="shared" si="1"/>
        <v>33.087575741707823</v>
      </c>
      <c r="G7">
        <f t="shared" si="2"/>
        <v>-25.504711507815838</v>
      </c>
      <c r="I7">
        <f t="shared" si="3"/>
        <v>0.33723145364304968</v>
      </c>
      <c r="J7">
        <f t="shared" si="4"/>
        <v>-0.25789642942544172</v>
      </c>
      <c r="L7">
        <f t="shared" si="5"/>
        <v>1.2335648731518469</v>
      </c>
      <c r="M7">
        <f t="shared" si="6"/>
        <v>4.4544925509592481</v>
      </c>
      <c r="O7" t="str">
        <f t="shared" si="7"/>
        <v>38,125-108,734420289855i</v>
      </c>
      <c r="P7">
        <f t="shared" si="8"/>
        <v>-1.2335648731518467</v>
      </c>
      <c r="Q7">
        <f t="shared" si="9"/>
        <v>0.80367205281335663</v>
      </c>
      <c r="R7" t="str">
        <f t="shared" si="10"/>
        <v>Q4</v>
      </c>
      <c r="U7" s="29">
        <f t="shared" si="11"/>
        <v>5.0496204340277391</v>
      </c>
    </row>
    <row r="8" spans="1:21">
      <c r="A8">
        <v>7</v>
      </c>
      <c r="B8" s="16" t="e">
        <v>#N/A</v>
      </c>
      <c r="C8" s="16" t="e">
        <v>#N/A</v>
      </c>
      <c r="E8">
        <v>0</v>
      </c>
      <c r="F8" t="e">
        <f t="shared" si="1"/>
        <v>#N/A</v>
      </c>
      <c r="G8" t="e">
        <f t="shared" si="2"/>
        <v>#N/A</v>
      </c>
      <c r="I8" t="e">
        <f t="shared" si="3"/>
        <v>#N/A</v>
      </c>
      <c r="J8" t="e">
        <f t="shared" si="4"/>
        <v>#N/A</v>
      </c>
      <c r="L8" t="e">
        <f t="shared" si="5"/>
        <v>#N/A</v>
      </c>
      <c r="M8" t="e">
        <f t="shared" si="6"/>
        <v>#N/A</v>
      </c>
      <c r="O8" t="e">
        <f t="shared" si="7"/>
        <v>#N/A</v>
      </c>
      <c r="P8" t="e">
        <f t="shared" si="8"/>
        <v>#N/A</v>
      </c>
      <c r="Q8" t="e">
        <f t="shared" si="9"/>
        <v>#N/A</v>
      </c>
      <c r="R8" t="e">
        <f t="shared" si="10"/>
        <v>#N/A</v>
      </c>
      <c r="U8" s="29" t="e">
        <f t="shared" si="11"/>
        <v>#N/A</v>
      </c>
    </row>
    <row r="9" spans="1:21">
      <c r="A9">
        <v>8</v>
      </c>
      <c r="B9" s="16">
        <v>-18.798816568047336</v>
      </c>
      <c r="C9" s="16">
        <v>-30.363905325443788</v>
      </c>
      <c r="E9">
        <f t="shared" si="12"/>
        <v>0.87789849399406761</v>
      </c>
      <c r="F9">
        <f t="shared" si="1"/>
        <v>-16.503452753959483</v>
      </c>
      <c r="G9">
        <f t="shared" si="2"/>
        <v>-26.65642675698555</v>
      </c>
      <c r="I9">
        <f t="shared" si="3"/>
        <v>-0.16579301877774696</v>
      </c>
      <c r="J9">
        <f t="shared" si="4"/>
        <v>-0.26982655099028685</v>
      </c>
      <c r="L9">
        <f t="shared" si="5"/>
        <v>4.5465959616069425</v>
      </c>
      <c r="M9">
        <f t="shared" si="6"/>
        <v>4.4425624293944033</v>
      </c>
      <c r="O9" t="str">
        <f t="shared" si="7"/>
        <v>-18,7988165680473-112,346449704142i</v>
      </c>
      <c r="P9">
        <f t="shared" si="8"/>
        <v>-1.7365893455726431</v>
      </c>
      <c r="Q9">
        <f t="shared" si="9"/>
        <v>0.72361322153139429</v>
      </c>
      <c r="R9" t="str">
        <f t="shared" si="10"/>
        <v>Q3</v>
      </c>
      <c r="U9" s="29">
        <f t="shared" si="11"/>
        <v>4.5465959616069433</v>
      </c>
    </row>
    <row r="11" spans="1:21">
      <c r="O11" t="str">
        <f>COMPLEX(C2,B2*$D$2)</f>
        <v>-16,3805496828753-112,63488372093i</v>
      </c>
      <c r="P11">
        <f>IMARGUMENT(O11)</f>
        <v>-1.7152143771771666</v>
      </c>
      <c r="Q11" s="28">
        <f>IF( AND($C2&gt;0, $B2&gt;0),$P11,IF( AND($C2&lt;0,$B2&gt;0),$P11+PI()/2,IF( AND($C2&gt;0,$B2&lt;0),$P11+2*PI(),IF( AND($C2&lt;0,$B2&lt;0),$P11+2*PI(),0))))</f>
        <v>4.5679709300024198</v>
      </c>
    </row>
    <row r="12" spans="1:21">
      <c r="O12" t="e">
        <f t="shared" ref="O12:O18" si="13">COMPLEX(C3,B3*$D$2)</f>
        <v>#N/A</v>
      </c>
      <c r="P12" t="e">
        <f t="shared" ref="P12:P18" si="14">IMARGUMENT(O12)</f>
        <v>#N/A</v>
      </c>
      <c r="Q12" s="28" t="e">
        <f t="shared" ref="Q12:Q18" si="15">IF( AND($C3&gt;0, $B3&gt;0),$P12,IF( AND($C3&lt;0,$B3&gt;0),$P12+PI()/2,IF( AND($C3&gt;0,$B3&lt;0),$P12+2*PI(),IF( AND($C3&lt;0,$B3&lt;0),$P12+2*PI(),0))))</f>
        <v>#N/A</v>
      </c>
    </row>
    <row r="13" spans="1:21">
      <c r="O13" t="str">
        <f t="shared" si="13"/>
        <v>3,67241379310345-45,2612068965517i</v>
      </c>
      <c r="P13">
        <f t="shared" si="14"/>
        <v>-1.4898354614993488</v>
      </c>
      <c r="Q13" s="28">
        <f t="shared" si="15"/>
        <v>4.7933498456802379</v>
      </c>
    </row>
    <row r="14" spans="1:21">
      <c r="O14" t="str">
        <f t="shared" si="13"/>
        <v>-0,34375-16,41875i</v>
      </c>
      <c r="P14">
        <f t="shared" si="14"/>
        <v>-1.5917296979361701</v>
      </c>
      <c r="Q14" s="28">
        <f t="shared" si="15"/>
        <v>4.6914556092434161</v>
      </c>
    </row>
    <row r="15" spans="1:21">
      <c r="O15" t="str">
        <f t="shared" si="13"/>
        <v>-14,2604501607717+53,3704180064309i</v>
      </c>
      <c r="P15">
        <f t="shared" si="14"/>
        <v>1.8318943823800464</v>
      </c>
      <c r="Q15" s="28">
        <f t="shared" si="15"/>
        <v>3.402690709174943</v>
      </c>
    </row>
    <row r="16" spans="1:21">
      <c r="O16" t="str">
        <f t="shared" si="13"/>
        <v>-29,3876811594203+141,0625i</v>
      </c>
      <c r="P16">
        <f t="shared" si="14"/>
        <v>1.7761894081811083</v>
      </c>
      <c r="Q16" s="28">
        <f t="shared" si="15"/>
        <v>3.3469857349760046</v>
      </c>
    </row>
    <row r="17" spans="15:17">
      <c r="O17" t="e">
        <f t="shared" si="13"/>
        <v>#N/A</v>
      </c>
      <c r="P17" t="e">
        <f t="shared" si="14"/>
        <v>#N/A</v>
      </c>
      <c r="Q17" s="28" t="e">
        <f t="shared" si="15"/>
        <v>#N/A</v>
      </c>
    </row>
    <row r="18" spans="15:17">
      <c r="O18" t="str">
        <f t="shared" si="13"/>
        <v>-30,3639053254438-69,5556213017751i</v>
      </c>
      <c r="P18">
        <f t="shared" si="14"/>
        <v>-1.9824018538991237</v>
      </c>
      <c r="Q18" s="28">
        <f t="shared" si="15"/>
        <v>4.300783453280463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A1:AE1122"/>
  <sheetViews>
    <sheetView zoomScale="70" zoomScaleNormal="70" workbookViewId="0">
      <selection activeCell="P21" sqref="P21"/>
    </sheetView>
  </sheetViews>
  <sheetFormatPr baseColWidth="10" defaultRowHeight="15"/>
  <cols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 t="s">
        <v>0</v>
      </c>
      <c r="M1" s="30">
        <v>1.4990492230334603E-2</v>
      </c>
      <c r="N1" s="1" t="s">
        <v>1</v>
      </c>
      <c r="O1" s="30">
        <v>4.7716218756768064E-3</v>
      </c>
    </row>
    <row r="2" spans="1:31" s="31" customFormat="1" ht="18.75">
      <c r="A2" s="31" t="s">
        <v>316</v>
      </c>
      <c r="M2" s="31" t="s">
        <v>317</v>
      </c>
      <c r="S2" s="32" t="s">
        <v>318</v>
      </c>
      <c r="T2" s="32" t="s">
        <v>321</v>
      </c>
      <c r="U2" s="31" t="s">
        <v>319</v>
      </c>
      <c r="X2" s="31" t="s">
        <v>320</v>
      </c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 t="array" ref="M3:O5">SVDD(B3:K5)</f>
        <v>2.311952759258312</v>
      </c>
      <c r="N3">
        <v>0</v>
      </c>
      <c r="O3">
        <v>0</v>
      </c>
      <c r="Q3">
        <f>MAX(M3,N4,O5)/MIN(M3,N4,O5)</f>
        <v>4.1355852183090951</v>
      </c>
      <c r="S3" s="3">
        <f ca="1">OFFSET($Q$3,4*(ROW(A1)-1),0,1,1)</f>
        <v>4.1355852183090951</v>
      </c>
      <c r="T3" s="3">
        <f ca="1">S3/$U$3</f>
        <v>1.5336782812660701E-2</v>
      </c>
      <c r="U3">
        <f ca="1">MAX(S3:S282)</f>
        <v>269.6514170426355</v>
      </c>
      <c r="X3" s="3">
        <f ca="1">OFFSET($S3,(COLUMN(A1)-1)*35,0,1,1)/$U$3</f>
        <v>1.5336782812660701E-2</v>
      </c>
      <c r="Y3" s="3">
        <f ca="1">OFFSET($S3,(COLUMN(B1)-1)*35,0,1,1)/$U$3</f>
        <v>1.5004110023245382E-2</v>
      </c>
      <c r="Z3" s="3">
        <f ca="1">OFFSET($S3,(COLUMN(C1)-1)*35,0,1,1)/$U$3</f>
        <v>2.4262381951518065E-2</v>
      </c>
      <c r="AA3" s="3">
        <f ca="1">OFFSET($S3,(COLUMN(D1)-1)*35,0,1,1)/$U$3</f>
        <v>1.9362250914312061E-2</v>
      </c>
      <c r="AB3" s="3">
        <f ca="1">OFFSET($S3,(COLUMN(E1)-1)*35,0,1,1)/$U$3</f>
        <v>2.1962840362186178E-2</v>
      </c>
      <c r="AC3" s="3">
        <f ca="1">OFFSET($S3,(COLUMN(F1)-1)*35,0,1,1)/$U$3</f>
        <v>2.5010007206860682E-2</v>
      </c>
      <c r="AD3" s="3">
        <f ca="1">OFFSET($S3,(COLUMN(G1)-1)*35,0,1,1)/$U$3</f>
        <v>2.3341724401396424E-2</v>
      </c>
      <c r="AE3" s="3">
        <f ca="1">OFFSET($S3,(COLUMN(H1)-1)*35,0,1,1)/$U$3</f>
        <v>2.597480451106688E-2</v>
      </c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M4">
        <v>0</v>
      </c>
      <c r="N4">
        <v>1.1385817859715293</v>
      </c>
      <c r="O4">
        <v>0</v>
      </c>
      <c r="S4" s="3">
        <f ca="1">OFFSET($Q$3,4*(ROW(A2)-1),0,1,1)</f>
        <v>3.6952824527412931</v>
      </c>
      <c r="T4" s="3">
        <f t="shared" ref="T4:T67" ca="1" si="0">S4/$U$3</f>
        <v>1.3703923729638771E-2</v>
      </c>
      <c r="U4">
        <f ca="1">MIN(S4:S283)</f>
        <v>2.2220771841939322</v>
      </c>
      <c r="X4" s="3">
        <f ca="1">OFFSET($S4,(COLUMN(A2)-1)*35,0,1,1)/$U$3</f>
        <v>1.3703923729638771E-2</v>
      </c>
      <c r="Y4" s="3">
        <f ca="1">OFFSET($S4,(COLUMN(B2)-1)*35,0,1,1)/$U$3</f>
        <v>2.430594412855628E-2</v>
      </c>
      <c r="Z4" s="3">
        <f ca="1">OFFSET($S4,(COLUMN(C2)-1)*35,0,1,1)/$U$3</f>
        <v>1.4099934575997819E-2</v>
      </c>
      <c r="AA4" s="3">
        <f ca="1">OFFSET($S4,(COLUMN(D2)-1)*35,0,1,1)/$U$3</f>
        <v>2.5555664588939285E-2</v>
      </c>
      <c r="AB4" s="3">
        <f ca="1">OFFSET($S4,(COLUMN(E2)-1)*35,0,1,1)/$U$3</f>
        <v>3.892277227524156E-2</v>
      </c>
      <c r="AC4" s="3">
        <f ca="1">OFFSET($S4,(COLUMN(F2)-1)*35,0,1,1)/$U$3</f>
        <v>9.2173598574872215E-2</v>
      </c>
      <c r="AD4" s="3">
        <f ca="1">OFFSET($S4,(COLUMN(G2)-1)*35,0,1,1)/$U$3</f>
        <v>5.5384402535239102E-2</v>
      </c>
      <c r="AE4" s="3">
        <f ca="1">OFFSET($S4,(COLUMN(H2)-1)*35,0,1,1)/$U$3</f>
        <v>0.20787065149449493</v>
      </c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M5">
        <v>0</v>
      </c>
      <c r="N5">
        <v>0</v>
      </c>
      <c r="O5">
        <v>0.55903883905542961</v>
      </c>
      <c r="S5" s="3">
        <f t="shared" ref="S5:S68" ca="1" si="1">OFFSET($Q$3,4*(ROW(A3)-1),0,1,1)</f>
        <v>2.653614125037143</v>
      </c>
      <c r="T5" s="3">
        <f t="shared" ca="1" si="0"/>
        <v>9.8409055444257914E-3</v>
      </c>
      <c r="X5" s="3">
        <f ca="1">OFFSET($S5,(COLUMN(A3)-1)*35,0,1,1)/$U$3</f>
        <v>9.8409055444257914E-3</v>
      </c>
      <c r="Y5" s="3">
        <f ca="1">OFFSET($S5,(COLUMN(B3)-1)*35,0,1,1)/$U$3</f>
        <v>1.4948686652881996E-2</v>
      </c>
      <c r="Z5" s="3">
        <f ca="1">OFFSET($S5,(COLUMN(C3)-1)*35,0,1,1)/$U$3</f>
        <v>1.9815873627349826E-2</v>
      </c>
      <c r="AA5" s="3">
        <f ca="1">OFFSET($S5,(COLUMN(D3)-1)*35,0,1,1)/$U$3</f>
        <v>3.6748329675407206E-2</v>
      </c>
      <c r="AB5" s="3">
        <f ca="1">OFFSET($S5,(COLUMN(E3)-1)*35,0,1,1)/$U$3</f>
        <v>2.6048568045796396E-2</v>
      </c>
      <c r="AC5" s="3">
        <f ca="1">OFFSET($S5,(COLUMN(F3)-1)*35,0,1,1)/$U$3</f>
        <v>2.5069499977497037E-2</v>
      </c>
      <c r="AD5" s="3">
        <f ca="1">OFFSET($S5,(COLUMN(G3)-1)*35,0,1,1)/$U$3</f>
        <v>2.3842428961043022E-2</v>
      </c>
      <c r="AE5" s="3">
        <f ca="1">OFFSET($S5,(COLUMN(H3)-1)*35,0,1,1)/$U$3</f>
        <v>2.0097929563129127E-2</v>
      </c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S6" s="3">
        <f t="shared" ca="1" si="1"/>
        <v>2.3781197096209636</v>
      </c>
      <c r="T6" s="3">
        <f t="shared" ca="1" si="0"/>
        <v>8.819236834364386E-3</v>
      </c>
      <c r="X6" s="3">
        <f ca="1">OFFSET($S6,(COLUMN(A4)-1)*35,0,1,1)/$U$3</f>
        <v>8.819236834364386E-3</v>
      </c>
      <c r="Y6" s="3">
        <f ca="1">OFFSET($S6,(COLUMN(B4)-1)*35,0,1,1)/$U$3</f>
        <v>1.9714123157769166E-2</v>
      </c>
      <c r="Z6" s="3">
        <f ca="1">OFFSET($S6,(COLUMN(C4)-1)*35,0,1,1)/$U$3</f>
        <v>1.4469727406152539E-2</v>
      </c>
      <c r="AA6" s="3">
        <f ca="1">OFFSET($S6,(COLUMN(D4)-1)*35,0,1,1)/$U$3</f>
        <v>2.8005797822053164E-2</v>
      </c>
      <c r="AB6" s="3">
        <f ca="1">OFFSET($S6,(COLUMN(E4)-1)*35,0,1,1)/$U$3</f>
        <v>2.0868158521525047E-2</v>
      </c>
      <c r="AC6" s="3">
        <f ca="1">OFFSET($S6,(COLUMN(F4)-1)*35,0,1,1)/$U$3</f>
        <v>2.8345044464716026E-2</v>
      </c>
      <c r="AD6" s="3">
        <f ca="1">OFFSET($S6,(COLUMN(G4)-1)*35,0,1,1)/$U$3</f>
        <v>3.2792985086490992E-2</v>
      </c>
      <c r="AE6" s="3">
        <f ca="1">OFFSET($S6,(COLUMN(H4)-1)*35,0,1,1)/$U$3</f>
        <v>0.13377779964876377</v>
      </c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array" ref="M7:O9">SVDD(B7:K9)</f>
        <v>2.3789873859091597</v>
      </c>
      <c r="N7">
        <v>0</v>
      </c>
      <c r="O7">
        <v>0</v>
      </c>
      <c r="Q7">
        <f t="shared" ref="Q7" si="2">MAX(M7,N8,O9)/MIN(M7,N8,O9)</f>
        <v>3.6952824527412931</v>
      </c>
      <c r="S7" s="3">
        <f t="shared" ca="1" si="1"/>
        <v>2.2220771841939322</v>
      </c>
      <c r="T7" s="3">
        <f t="shared" ca="1" si="0"/>
        <v>8.2405544482734606E-3</v>
      </c>
      <c r="X7" s="3">
        <f ca="1">OFFSET($S7,(COLUMN(A5)-1)*35,0,1,1)/$U$3</f>
        <v>8.2405544482734606E-3</v>
      </c>
      <c r="Y7" s="3">
        <f ca="1">OFFSET($S7,(COLUMN(B5)-1)*35,0,1,1)/$U$3</f>
        <v>1.918500900523681E-2</v>
      </c>
      <c r="Z7" s="3">
        <f ca="1">OFFSET($S7,(COLUMN(C5)-1)*35,0,1,1)/$U$3</f>
        <v>1.789671945876245E-2</v>
      </c>
      <c r="AA7" s="3">
        <f ca="1">OFFSET($S7,(COLUMN(D5)-1)*35,0,1,1)/$U$3</f>
        <v>9.5450856301941625E-2</v>
      </c>
      <c r="AB7" s="3">
        <f ca="1">OFFSET($S7,(COLUMN(E5)-1)*35,0,1,1)/$U$3</f>
        <v>1.8170519031720771E-2</v>
      </c>
      <c r="AC7" s="3">
        <f ca="1">OFFSET($S7,(COLUMN(F5)-1)*35,0,1,1)/$U$3</f>
        <v>0.11276387152576128</v>
      </c>
      <c r="AD7" s="3">
        <f ca="1">OFFSET($S7,(COLUMN(G5)-1)*35,0,1,1)/$U$3</f>
        <v>1.4548917644954664E-2</v>
      </c>
      <c r="AE7" s="3">
        <f ca="1">OFFSET($S7,(COLUMN(H5)-1)*35,0,1,1)/$U$3</f>
        <v>1.5884781103247064E-2</v>
      </c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M8">
        <v>0</v>
      </c>
      <c r="N8">
        <v>1.2334662939177181</v>
      </c>
      <c r="O8">
        <v>0</v>
      </c>
      <c r="S8" s="3">
        <f t="shared" ca="1" si="1"/>
        <v>5.3774344742877576</v>
      </c>
      <c r="T8" s="3">
        <f t="shared" ca="1" si="0"/>
        <v>1.9942170277701576E-2</v>
      </c>
      <c r="X8" s="3">
        <f ca="1">OFFSET($S8,(COLUMN(A6)-1)*35,0,1,1)/$U$3</f>
        <v>1.9942170277701576E-2</v>
      </c>
      <c r="Y8" s="3">
        <f ca="1">OFFSET($S8,(COLUMN(B6)-1)*35,0,1,1)/$U$3</f>
        <v>1.972536015117031E-2</v>
      </c>
      <c r="Z8" s="3">
        <f ca="1">OFFSET($S8,(COLUMN(C6)-1)*35,0,1,1)/$U$3</f>
        <v>1.5648549031082402E-2</v>
      </c>
      <c r="AA8" s="3">
        <f ca="1">OFFSET($S8,(COLUMN(D6)-1)*35,0,1,1)/$U$3</f>
        <v>3.0562749313218177E-2</v>
      </c>
      <c r="AB8" s="3">
        <f ca="1">OFFSET($S8,(COLUMN(E6)-1)*35,0,1,1)/$U$3</f>
        <v>2.442459690561612E-2</v>
      </c>
      <c r="AC8" s="3">
        <f ca="1">OFFSET($S8,(COLUMN(F6)-1)*35,0,1,1)/$U$3</f>
        <v>2.7395696671057335E-2</v>
      </c>
      <c r="AD8" s="3">
        <f ca="1">OFFSET($S8,(COLUMN(G6)-1)*35,0,1,1)/$U$3</f>
        <v>2.2384001864481501E-2</v>
      </c>
      <c r="AE8" s="3">
        <f ca="1">OFFSET($S8,(COLUMN(H6)-1)*35,0,1,1)/$U$3</f>
        <v>2.1660776571855587E-2</v>
      </c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M9">
        <v>0</v>
      </c>
      <c r="N9">
        <v>0</v>
      </c>
      <c r="O9">
        <v>0.64379040474817872</v>
      </c>
      <c r="S9" s="3">
        <f t="shared" ca="1" si="1"/>
        <v>24.118324901702923</v>
      </c>
      <c r="T9" s="3">
        <f t="shared" ca="1" si="0"/>
        <v>8.9442603959650216E-2</v>
      </c>
      <c r="X9" s="3">
        <f ca="1">OFFSET($S9,(COLUMN(A7)-1)*35,0,1,1)/$U$3</f>
        <v>8.9442603959650216E-2</v>
      </c>
      <c r="Y9" s="3">
        <f ca="1">OFFSET($S9,(COLUMN(B7)-1)*35,0,1,1)/$U$3</f>
        <v>5.5090514329588038E-2</v>
      </c>
      <c r="Z9" s="3">
        <f ca="1">OFFSET($S9,(COLUMN(C7)-1)*35,0,1,1)/$U$3</f>
        <v>2.7072591763625069E-2</v>
      </c>
      <c r="AA9" s="3">
        <f ca="1">OFFSET($S9,(COLUMN(D7)-1)*35,0,1,1)/$U$3</f>
        <v>1.9054127624452848E-2</v>
      </c>
      <c r="AB9" s="3">
        <f ca="1">OFFSET($S9,(COLUMN(E7)-1)*35,0,1,1)/$U$3</f>
        <v>2.4852049241858729E-2</v>
      </c>
      <c r="AC9" s="3">
        <f ca="1">OFFSET($S9,(COLUMN(F7)-1)*35,0,1,1)/$U$3</f>
        <v>4.230282868225306E-2</v>
      </c>
      <c r="AD9" s="3">
        <f ca="1">OFFSET($S9,(COLUMN(G7)-1)*35,0,1,1)/$U$3</f>
        <v>4.7660501653429659E-2</v>
      </c>
      <c r="AE9" s="3">
        <f ca="1">OFFSET($S9,(COLUMN(H7)-1)*35,0,1,1)/$U$3</f>
        <v>9.950010775389849E-2</v>
      </c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S10" s="3">
        <f t="shared" ca="1" si="1"/>
        <v>8.7955826152157766</v>
      </c>
      <c r="T10" s="3">
        <f t="shared" ca="1" si="0"/>
        <v>3.2618343755356854E-2</v>
      </c>
      <c r="X10" s="3">
        <f ca="1">OFFSET($S10,(COLUMN(A8)-1)*35,0,1,1)/$U$3</f>
        <v>3.2618343755356854E-2</v>
      </c>
      <c r="Y10" s="3">
        <f ca="1">OFFSET($S10,(COLUMN(B8)-1)*35,0,1,1)/$U$3</f>
        <v>2.9231422237427546E-2</v>
      </c>
      <c r="Z10" s="3">
        <f ca="1">OFFSET($S10,(COLUMN(C8)-1)*35,0,1,1)/$U$3</f>
        <v>1.7293523903019282E-2</v>
      </c>
      <c r="AA10" s="3">
        <f ca="1">OFFSET($S10,(COLUMN(D8)-1)*35,0,1,1)/$U$3</f>
        <v>2.1547678242081508E-2</v>
      </c>
      <c r="AB10" s="3">
        <f ca="1">OFFSET($S10,(COLUMN(E8)-1)*35,0,1,1)/$U$3</f>
        <v>2.6078578952299498E-2</v>
      </c>
      <c r="AC10" s="3">
        <f ca="1">OFFSET($S10,(COLUMN(F8)-1)*35,0,1,1)/$U$3</f>
        <v>2.857110263425184E-2</v>
      </c>
      <c r="AD10" s="3">
        <f ca="1">OFFSET($S10,(COLUMN(G8)-1)*35,0,1,1)/$U$3</f>
        <v>2.1459542910633806E-2</v>
      </c>
      <c r="AE10" s="3">
        <f ca="1">OFFSET($S10,(COLUMN(H8)-1)*35,0,1,1)/$U$3</f>
        <v>1.6179639175729368E-2</v>
      </c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array" ref="M11:O13">SVDD(B11:K13)</f>
        <v>2.6463681824810363</v>
      </c>
      <c r="N11">
        <v>0</v>
      </c>
      <c r="O11">
        <v>0</v>
      </c>
      <c r="Q11">
        <f t="shared" ref="Q11" si="3">MAX(M11,N12,O13)/MIN(M11,N12,O13)</f>
        <v>2.653614125037143</v>
      </c>
      <c r="S11" s="3">
        <f t="shared" ca="1" si="1"/>
        <v>36.310273693650416</v>
      </c>
      <c r="T11" s="3">
        <f t="shared" ca="1" si="0"/>
        <v>0.13465634296262302</v>
      </c>
      <c r="X11" s="3">
        <f ca="1">OFFSET($S11,(COLUMN(A9)-1)*35,0,1,1)/$U$3</f>
        <v>0.13465634296262302</v>
      </c>
      <c r="Y11" s="3">
        <f ca="1">OFFSET($S11,(COLUMN(B9)-1)*35,0,1,1)/$U$3</f>
        <v>0.11552301599668371</v>
      </c>
      <c r="Z11" s="3">
        <f ca="1">OFFSET($S11,(COLUMN(C9)-1)*35,0,1,1)/$U$3</f>
        <v>1.7792531684204322E-2</v>
      </c>
      <c r="AA11" s="3">
        <f ca="1">OFFSET($S11,(COLUMN(D9)-1)*35,0,1,1)/$U$3</f>
        <v>1.7468874982632849E-2</v>
      </c>
      <c r="AB11" s="3">
        <f ca="1">OFFSET($S11,(COLUMN(E9)-1)*35,0,1,1)/$U$3</f>
        <v>5.1485403731096113E-2</v>
      </c>
      <c r="AC11" s="3">
        <f ca="1">OFFSET($S11,(COLUMN(F9)-1)*35,0,1,1)/$U$3</f>
        <v>1.7191487820803077E-2</v>
      </c>
      <c r="AD11" s="3">
        <f ca="1">OFFSET($S11,(COLUMN(G9)-1)*35,0,1,1)/$U$3</f>
        <v>7.3184635344138674E-2</v>
      </c>
      <c r="AE11" s="3">
        <f ca="1">OFFSET($S11,(COLUMN(H9)-1)*35,0,1,1)/$U$3</f>
        <v>9.0335027987372432E-2</v>
      </c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M12">
        <v>0</v>
      </c>
      <c r="N12">
        <v>1.41120736544468</v>
      </c>
      <c r="O12">
        <v>0</v>
      </c>
      <c r="S12" s="3">
        <f t="shared" ca="1" si="1"/>
        <v>3.6561838643533173</v>
      </c>
      <c r="T12" s="3">
        <f t="shared" ca="1" si="0"/>
        <v>1.355892694520951E-2</v>
      </c>
      <c r="X12" s="3">
        <f ca="1">OFFSET($S12,(COLUMN(A10)-1)*35,0,1,1)/$U$3</f>
        <v>1.355892694520951E-2</v>
      </c>
      <c r="Y12" s="3">
        <f ca="1">OFFSET($S12,(COLUMN(B10)-1)*35,0,1,1)/$U$3</f>
        <v>1.9171596037393906E-2</v>
      </c>
      <c r="Z12" s="3">
        <f ca="1">OFFSET($S12,(COLUMN(C10)-1)*35,0,1,1)/$U$3</f>
        <v>2.0248897982786965E-2</v>
      </c>
      <c r="AA12" s="3">
        <f ca="1">OFFSET($S12,(COLUMN(D10)-1)*35,0,1,1)/$U$3</f>
        <v>2.5271796590221867E-2</v>
      </c>
      <c r="AB12" s="3">
        <f ca="1">OFFSET($S12,(COLUMN(E10)-1)*35,0,1,1)/$U$3</f>
        <v>4.0578725315396108E-2</v>
      </c>
      <c r="AC12" s="3">
        <f ca="1">OFFSET($S12,(COLUMN(F10)-1)*35,0,1,1)/$U$3</f>
        <v>3.2153409820854795E-2</v>
      </c>
      <c r="AD12" s="3">
        <f ca="1">OFFSET($S12,(COLUMN(G10)-1)*35,0,1,1)/$U$3</f>
        <v>2.508710546058562E-2</v>
      </c>
      <c r="AE12" s="3">
        <f ca="1">OFFSET($S12,(COLUMN(H10)-1)*35,0,1,1)/$U$3</f>
        <v>1.5401193422517572E-2</v>
      </c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M13">
        <v>0</v>
      </c>
      <c r="N13">
        <v>0</v>
      </c>
      <c r="O13">
        <v>0.99726940609497805</v>
      </c>
      <c r="S13" s="3">
        <f t="shared" ca="1" si="1"/>
        <v>4.4963071940262225</v>
      </c>
      <c r="T13" s="3">
        <f t="shared" ca="1" si="0"/>
        <v>1.6674517209435975E-2</v>
      </c>
      <c r="X13" s="3">
        <f ca="1">OFFSET($S13,(COLUMN(A11)-1)*35,0,1,1)/$U$3</f>
        <v>1.6674517209435975E-2</v>
      </c>
      <c r="Y13" s="3">
        <f ca="1">OFFSET($S13,(COLUMN(B11)-1)*35,0,1,1)/$U$3</f>
        <v>2.657182496218673E-2</v>
      </c>
      <c r="Z13" s="3">
        <f ca="1">OFFSET($S13,(COLUMN(C11)-1)*35,0,1,1)/$U$3</f>
        <v>2.994297221707172E-2</v>
      </c>
      <c r="AA13" s="3">
        <f ca="1">OFFSET($S13,(COLUMN(D11)-1)*35,0,1,1)/$U$3</f>
        <v>3.3352825251033107E-2</v>
      </c>
      <c r="AB13" s="3">
        <f ca="1">OFFSET($S13,(COLUMN(E11)-1)*35,0,1,1)/$U$3</f>
        <v>2.5831762995424664E-2</v>
      </c>
      <c r="AC13" s="3">
        <f ca="1">OFFSET($S13,(COLUMN(F11)-1)*35,0,1,1)/$U$3</f>
        <v>4.0127816326724443E-2</v>
      </c>
      <c r="AD13" s="3">
        <f ca="1">OFFSET($S13,(COLUMN(G11)-1)*35,0,1,1)/$U$3</f>
        <v>5.5504702010778076E-2</v>
      </c>
      <c r="AE13" s="3">
        <f ca="1">OFFSET($S13,(COLUMN(H11)-1)*35,0,1,1)/$U$3</f>
        <v>6.3757318749568581E-2</v>
      </c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S14" s="3">
        <f t="shared" ca="1" si="1"/>
        <v>2.7089396753921831</v>
      </c>
      <c r="T14" s="3">
        <f t="shared" ca="1" si="0"/>
        <v>1.0046079880098919E-2</v>
      </c>
      <c r="X14" s="3">
        <f ca="1">OFFSET($S14,(COLUMN(A12)-1)*35,0,1,1)/$U$3</f>
        <v>1.0046079880098919E-2</v>
      </c>
      <c r="Y14" s="3">
        <f ca="1">OFFSET($S14,(COLUMN(B12)-1)*35,0,1,1)/$U$3</f>
        <v>1.8615339614409417E-2</v>
      </c>
      <c r="Z14" s="3">
        <f ca="1">OFFSET($S14,(COLUMN(C12)-1)*35,0,1,1)/$U$3</f>
        <v>5.4979172080853671E-2</v>
      </c>
      <c r="AA14" s="3">
        <f ca="1">OFFSET($S14,(COLUMN(D12)-1)*35,0,1,1)/$U$3</f>
        <v>1.5909665639637201E-2</v>
      </c>
      <c r="AB14" s="3">
        <f ca="1">OFFSET($S14,(COLUMN(E12)-1)*35,0,1,1)/$U$3</f>
        <v>1.648345872287494E-2</v>
      </c>
      <c r="AC14" s="3">
        <f ca="1">OFFSET($S14,(COLUMN(F12)-1)*35,0,1,1)/$U$3</f>
        <v>4.6322824862731198E-2</v>
      </c>
      <c r="AD14" s="3">
        <f ca="1">OFFSET($S14,(COLUMN(G12)-1)*35,0,1,1)/$U$3</f>
        <v>1.3855473107336369E-2</v>
      </c>
      <c r="AE14" s="3">
        <f ca="1">OFFSET($S14,(COLUMN(H12)-1)*35,0,1,1)/$U$3</f>
        <v>1.3049591060688084E-2</v>
      </c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array" ref="M15:O17">SVDD(B15:K17)</f>
        <v>2.3705322474041357</v>
      </c>
      <c r="N15">
        <v>0</v>
      </c>
      <c r="O15">
        <v>0</v>
      </c>
      <c r="Q15">
        <f t="shared" ref="Q15" si="4">MAX(M15,N16,O17)/MIN(M15,N16,O17)</f>
        <v>2.3781197096209636</v>
      </c>
      <c r="S15" s="3">
        <f t="shared" ca="1" si="1"/>
        <v>7.6365391312743336</v>
      </c>
      <c r="T15" s="3">
        <f t="shared" ca="1" si="0"/>
        <v>2.8320040795731825E-2</v>
      </c>
      <c r="X15" s="3">
        <f ca="1">OFFSET($S15,(COLUMN(A13)-1)*35,0,1,1)/$U$3</f>
        <v>2.8320040795731825E-2</v>
      </c>
      <c r="Y15" s="3">
        <f ca="1">OFFSET($S15,(COLUMN(B13)-1)*35,0,1,1)/$U$3</f>
        <v>2.9716789763527488E-2</v>
      </c>
      <c r="Z15" s="3">
        <f ca="1">OFFSET($S15,(COLUMN(C13)-1)*35,0,1,1)/$U$3</f>
        <v>2.3691503944813942E-2</v>
      </c>
      <c r="AA15" s="3">
        <f ca="1">OFFSET($S15,(COLUMN(D13)-1)*35,0,1,1)/$U$3</f>
        <v>4.0032065060613756E-2</v>
      </c>
      <c r="AB15" s="3">
        <f ca="1">OFFSET($S15,(COLUMN(E13)-1)*35,0,1,1)/$U$3</f>
        <v>4.0410519638896636E-2</v>
      </c>
      <c r="AC15" s="3">
        <f ca="1">OFFSET($S15,(COLUMN(F13)-1)*35,0,1,1)/$U$3</f>
        <v>5.1918473603133668E-2</v>
      </c>
      <c r="AD15" s="3">
        <f ca="1">OFFSET($S15,(COLUMN(G13)-1)*35,0,1,1)/$U$3</f>
        <v>2.6806885055392846E-2</v>
      </c>
      <c r="AE15" s="3">
        <f ca="1">OFFSET($S15,(COLUMN(H13)-1)*35,0,1,1)/$U$3</f>
        <v>1.0843799329409515E-2</v>
      </c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M16">
        <v>0</v>
      </c>
      <c r="N16">
        <v>1.5623478708879228</v>
      </c>
      <c r="O16">
        <v>0</v>
      </c>
      <c r="S16" s="3">
        <f t="shared" ca="1" si="1"/>
        <v>35.126245864185961</v>
      </c>
      <c r="T16" s="3">
        <f t="shared" ca="1" si="0"/>
        <v>0.13026538576888708</v>
      </c>
      <c r="X16" s="3">
        <f ca="1">OFFSET($S16,(COLUMN(A14)-1)*35,0,1,1)/$U$3</f>
        <v>0.13026538576888708</v>
      </c>
      <c r="Y16" s="3">
        <f ca="1">OFFSET($S16,(COLUMN(B14)-1)*35,0,1,1)/$U$3</f>
        <v>0.13136597818387966</v>
      </c>
      <c r="Z16" s="3">
        <f ca="1">OFFSET($S16,(COLUMN(C14)-1)*35,0,1,1)/$U$3</f>
        <v>1.7459801323122286E-2</v>
      </c>
      <c r="AA16" s="3">
        <f ca="1">OFFSET($S16,(COLUMN(D14)-1)*35,0,1,1)/$U$3</f>
        <v>4.831593181272522E-2</v>
      </c>
      <c r="AB16" s="3">
        <f ca="1">OFFSET($S16,(COLUMN(E14)-1)*35,0,1,1)/$U$3</f>
        <v>1.6999562983922491E-2</v>
      </c>
      <c r="AC16" s="3">
        <f ca="1">OFFSET($S16,(COLUMN(F14)-1)*35,0,1,1)/$U$3</f>
        <v>1.5018858654001056E-2</v>
      </c>
      <c r="AD16" s="3">
        <f ca="1">OFFSET($S16,(COLUMN(G14)-1)*35,0,1,1)/$U$3</f>
        <v>2.344258462831458E-2</v>
      </c>
      <c r="AE16" s="3">
        <f ca="1">OFFSET($S16,(COLUMN(H14)-1)*35,0,1,1)/$U$3</f>
        <v>3.7147025463066023E-2</v>
      </c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M17">
        <v>0</v>
      </c>
      <c r="N17">
        <v>0</v>
      </c>
      <c r="O17">
        <v>0.99680947002536002</v>
      </c>
      <c r="S17" s="3">
        <f t="shared" ca="1" si="1"/>
        <v>4.8590344003529484</v>
      </c>
      <c r="T17" s="3">
        <f t="shared" ca="1" si="0"/>
        <v>1.801968798697123E-2</v>
      </c>
      <c r="X17" s="3">
        <f ca="1">OFFSET($S17,(COLUMN(A15)-1)*35,0,1,1)/$U$3</f>
        <v>1.801968798697123E-2</v>
      </c>
      <c r="Y17" s="3">
        <f ca="1">OFFSET($S17,(COLUMN(B15)-1)*35,0,1,1)/$U$3</f>
        <v>2.2342776624725558E-2</v>
      </c>
      <c r="Z17" s="3">
        <f ca="1">OFFSET($S17,(COLUMN(C15)-1)*35,0,1,1)/$U$3</f>
        <v>9.5866849071662555E-2</v>
      </c>
      <c r="AA17" s="3">
        <f ca="1">OFFSET($S17,(COLUMN(D15)-1)*35,0,1,1)/$U$3</f>
        <v>1.8985530615708787E-2</v>
      </c>
      <c r="AB17" s="3">
        <f ca="1">OFFSET($S17,(COLUMN(E15)-1)*35,0,1,1)/$U$3</f>
        <v>3.4487660100739788E-2</v>
      </c>
      <c r="AC17" s="3">
        <f ca="1">OFFSET($S17,(COLUMN(F15)-1)*35,0,1,1)/$U$3</f>
        <v>1.6203189428448256E-2</v>
      </c>
      <c r="AD17" s="3">
        <f ca="1">OFFSET($S17,(COLUMN(G15)-1)*35,0,1,1)/$U$3</f>
        <v>1.2281577148058649E-2</v>
      </c>
      <c r="AE17" s="3">
        <f ca="1">OFFSET($S17,(COLUMN(H15)-1)*35,0,1,1)/$U$3</f>
        <v>9.7798148907344857E-3</v>
      </c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S18" s="3">
        <f t="shared" ca="1" si="1"/>
        <v>4.1072441892278677</v>
      </c>
      <c r="T18" s="3">
        <f t="shared" ca="1" si="0"/>
        <v>1.5231680345957378E-2</v>
      </c>
      <c r="X18" s="3">
        <f ca="1">OFFSET($S18,(COLUMN(A16)-1)*35,0,1,1)/$U$3</f>
        <v>1.5231680345957378E-2</v>
      </c>
      <c r="Y18" s="3">
        <f ca="1">OFFSET($S18,(COLUMN(B16)-1)*35,0,1,1)/$U$3</f>
        <v>0.60793491221522156</v>
      </c>
      <c r="Z18" s="3">
        <f ca="1">OFFSET($S18,(COLUMN(C16)-1)*35,0,1,1)/$U$3</f>
        <v>0.59772310963732833</v>
      </c>
      <c r="AA18" s="3">
        <f ca="1">OFFSET($S18,(COLUMN(D16)-1)*35,0,1,1)/$U$3</f>
        <v>0.65864537986320526</v>
      </c>
      <c r="AB18" s="3">
        <f ca="1">OFFSET($S18,(COLUMN(E16)-1)*35,0,1,1)/$U$3</f>
        <v>0.73227083674382443</v>
      </c>
      <c r="AC18" s="3">
        <f ca="1">OFFSET($S18,(COLUMN(F16)-1)*35,0,1,1)/$U$3</f>
        <v>0.29166087142131808</v>
      </c>
      <c r="AD18" s="3">
        <f ca="1">OFFSET($S18,(COLUMN(G16)-1)*35,0,1,1)/$U$3</f>
        <v>0.83231410122923211</v>
      </c>
      <c r="AE18" s="3">
        <f ca="1">OFFSET($S18,(COLUMN(H16)-1)*35,0,1,1)/$U$3</f>
        <v>9.3220902659601271E-2</v>
      </c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array" ref="M19:O21">SVDD(B19:K21)</f>
        <v>2.3681165245401301</v>
      </c>
      <c r="N19">
        <v>0</v>
      </c>
      <c r="O19">
        <v>0</v>
      </c>
      <c r="Q19">
        <f t="shared" ref="Q19" si="5">MAX(M19,N20,O21)/MIN(M19,N20,O21)</f>
        <v>2.2220771841939322</v>
      </c>
      <c r="S19" s="3">
        <f t="shared" ca="1" si="1"/>
        <v>4.6541230593082208</v>
      </c>
      <c r="T19" s="3">
        <f t="shared" ca="1" si="0"/>
        <v>1.7259776011384141E-2</v>
      </c>
      <c r="X19" s="3">
        <f ca="1">OFFSET($S19,(COLUMN(A17)-1)*35,0,1,1)/$U$3</f>
        <v>1.7259776011384141E-2</v>
      </c>
      <c r="Y19" s="3">
        <f ca="1">OFFSET($S19,(COLUMN(B17)-1)*35,0,1,1)/$U$3</f>
        <v>0.1750559082305424</v>
      </c>
      <c r="Z19" s="3">
        <f ca="1">OFFSET($S19,(COLUMN(C17)-1)*35,0,1,1)/$U$3</f>
        <v>0.37361439863664958</v>
      </c>
      <c r="AA19" s="3">
        <f ca="1">OFFSET($S19,(COLUMN(D17)-1)*35,0,1,1)/$U$3</f>
        <v>0.14970911663691269</v>
      </c>
      <c r="AB19" s="3">
        <f ca="1">OFFSET($S19,(COLUMN(E17)-1)*35,0,1,1)/$U$3</f>
        <v>0.48778549025408341</v>
      </c>
      <c r="AC19" s="3">
        <f ca="1">OFFSET($S19,(COLUMN(F17)-1)*35,0,1,1)/$U$3</f>
        <v>0.60925967236998224</v>
      </c>
      <c r="AD19" s="3">
        <f ca="1">OFFSET($S19,(COLUMN(G17)-1)*35,0,1,1)/$U$3</f>
        <v>0.58817011971193511</v>
      </c>
      <c r="AE19" s="3">
        <f ca="1">OFFSET($S19,(COLUMN(H17)-1)*35,0,1,1)/$U$3</f>
        <v>6.6102215324609331E-2</v>
      </c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M20">
        <v>0</v>
      </c>
      <c r="N20">
        <v>1.6331251873820525</v>
      </c>
      <c r="O20">
        <v>0</v>
      </c>
      <c r="S20" s="3">
        <f t="shared" ca="1" si="1"/>
        <v>3.0887111273633301</v>
      </c>
      <c r="T20" s="3">
        <f t="shared" ca="1" si="0"/>
        <v>1.145445909848478E-2</v>
      </c>
      <c r="X20" s="3">
        <f ca="1">OFFSET($S20,(COLUMN(A18)-1)*35,0,1,1)/$U$3</f>
        <v>1.145445909848478E-2</v>
      </c>
      <c r="Y20" s="3">
        <f ca="1">OFFSET($S20,(COLUMN(B18)-1)*35,0,1,1)/$U$3</f>
        <v>0.67466101632144204</v>
      </c>
      <c r="Z20" s="3">
        <f ca="1">OFFSET($S20,(COLUMN(C18)-1)*35,0,1,1)/$U$3</f>
        <v>0.77454773871610005</v>
      </c>
      <c r="AA20" s="3">
        <f ca="1">OFFSET($S20,(COLUMN(D18)-1)*35,0,1,1)/$U$3</f>
        <v>0.63789107528408984</v>
      </c>
      <c r="AB20" s="3">
        <f ca="1">OFFSET($S20,(COLUMN(E18)-1)*35,0,1,1)/$U$3</f>
        <v>0.46414217656235307</v>
      </c>
      <c r="AC20" s="3">
        <f ca="1">OFFSET($S20,(COLUMN(F18)-1)*35,0,1,1)/$U$3</f>
        <v>0.17870488480945407</v>
      </c>
      <c r="AD20" s="3">
        <f ca="1">OFFSET($S20,(COLUMN(G18)-1)*35,0,1,1)/$U$3</f>
        <v>0.16726641483211668</v>
      </c>
      <c r="AE20" s="3">
        <f ca="1">OFFSET($S20,(COLUMN(H18)-1)*35,0,1,1)/$U$3</f>
        <v>2.3556093362609387E-2</v>
      </c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M21">
        <v>0</v>
      </c>
      <c r="N21">
        <v>0</v>
      </c>
      <c r="O21">
        <v>1.0657219926404915</v>
      </c>
      <c r="S21" s="3">
        <f t="shared" ca="1" si="1"/>
        <v>2.574791744766602</v>
      </c>
      <c r="T21" s="3">
        <f t="shared" ca="1" si="0"/>
        <v>9.5485934136941425E-3</v>
      </c>
      <c r="X21" s="3">
        <f ca="1">OFFSET($S21,(COLUMN(A19)-1)*35,0,1,1)/$U$3</f>
        <v>9.5485934136941425E-3</v>
      </c>
      <c r="Y21" s="3">
        <f ca="1">OFFSET($S21,(COLUMN(B19)-1)*35,0,1,1)/$U$3</f>
        <v>5.7258708676589498E-2</v>
      </c>
      <c r="Z21" s="3">
        <f ca="1">OFFSET($S21,(COLUMN(C19)-1)*35,0,1,1)/$U$3</f>
        <v>9.2033477169074077E-2</v>
      </c>
      <c r="AA21" s="3">
        <f ca="1">OFFSET($S21,(COLUMN(D19)-1)*35,0,1,1)/$U$3</f>
        <v>4.8152451358483651E-2</v>
      </c>
      <c r="AB21" s="3">
        <f ca="1">OFFSET($S21,(COLUMN(E19)-1)*35,0,1,1)/$U$3</f>
        <v>4.1992345101478749E-2</v>
      </c>
      <c r="AC21" s="3">
        <f ca="1">OFFSET($S21,(COLUMN(F19)-1)*35,0,1,1)/$U$3</f>
        <v>1.9971109014539093E-2</v>
      </c>
      <c r="AD21" s="3">
        <f ca="1">OFFSET($S21,(COLUMN(G19)-1)*35,0,1,1)/$U$3</f>
        <v>1.9527748813789415E-2</v>
      </c>
      <c r="AE21" s="3">
        <f ca="1">OFFSET($S21,(COLUMN(H19)-1)*35,0,1,1)/$U$3</f>
        <v>2.5062365623137801E-2</v>
      </c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S22" s="3">
        <f t="shared" ca="1" si="1"/>
        <v>6.0429167939989181</v>
      </c>
      <c r="T22" s="3">
        <f t="shared" ca="1" si="0"/>
        <v>2.2410105833204103E-2</v>
      </c>
      <c r="X22" s="3">
        <f ca="1">OFFSET($S22,(COLUMN(A20)-1)*35,0,1,1)/$U$3</f>
        <v>2.2410105833204103E-2</v>
      </c>
      <c r="Y22" s="3">
        <f ca="1">OFFSET($S22,(COLUMN(B20)-1)*35,0,1,1)/$U$3</f>
        <v>0.5419187639002091</v>
      </c>
      <c r="Z22" s="3">
        <f ca="1">OFFSET($S22,(COLUMN(C20)-1)*35,0,1,1)/$U$3</f>
        <v>0.4383326341475472</v>
      </c>
      <c r="AA22" s="3">
        <f ca="1">OFFSET($S22,(COLUMN(D20)-1)*35,0,1,1)/$U$3</f>
        <v>0.15162279072084342</v>
      </c>
      <c r="AB22" s="3">
        <f ca="1">OFFSET($S22,(COLUMN(E20)-1)*35,0,1,1)/$U$3</f>
        <v>0.37673919277628115</v>
      </c>
      <c r="AC22" s="3">
        <f ca="1">OFFSET($S22,(COLUMN(F20)-1)*35,0,1,1)/$U$3</f>
        <v>0.22541967703557822</v>
      </c>
      <c r="AD22" s="3">
        <f ca="1">OFFSET($S22,(COLUMN(G20)-1)*35,0,1,1)/$U$3</f>
        <v>0.8895341647228705</v>
      </c>
      <c r="AE22" s="3">
        <f ca="1">OFFSET($S22,(COLUMN(H20)-1)*35,0,1,1)/$U$3</f>
        <v>5.9125878436778453E-2</v>
      </c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array" ref="M23:O25">SVDD(B23:K25)</f>
        <v>2.4042993001859552</v>
      </c>
      <c r="N23">
        <v>0</v>
      </c>
      <c r="O23">
        <v>0</v>
      </c>
      <c r="Q23">
        <f t="shared" ref="Q23" si="6">MAX(M23,N24,O25)/MIN(M23,N24,O25)</f>
        <v>5.3774344742877576</v>
      </c>
      <c r="S23" s="3">
        <f t="shared" ca="1" si="1"/>
        <v>12.113961763885378</v>
      </c>
      <c r="T23" s="3">
        <f t="shared" ca="1" si="0"/>
        <v>4.4924524768842573E-2</v>
      </c>
      <c r="X23" s="3">
        <f ca="1">OFFSET($S23,(COLUMN(A21)-1)*35,0,1,1)/$U$3</f>
        <v>4.4924524768842573E-2</v>
      </c>
      <c r="Y23" s="3">
        <f ca="1">OFFSET($S23,(COLUMN(B21)-1)*35,0,1,1)/$U$3</f>
        <v>0.80815354961439589</v>
      </c>
      <c r="Z23" s="3">
        <f ca="1">OFFSET($S23,(COLUMN(C21)-1)*35,0,1,1)/$U$3</f>
        <v>0.42458566350062293</v>
      </c>
      <c r="AA23" s="3">
        <f ca="1">OFFSET($S23,(COLUMN(D21)-1)*35,0,1,1)/$U$3</f>
        <v>0.87940584063251204</v>
      </c>
      <c r="AB23" s="3">
        <f ca="1">OFFSET($S23,(COLUMN(E21)-1)*35,0,1,1)/$U$3</f>
        <v>1</v>
      </c>
      <c r="AC23" s="3">
        <f ca="1">OFFSET($S23,(COLUMN(F21)-1)*35,0,1,1)/$U$3</f>
        <v>0.16181692781849299</v>
      </c>
      <c r="AD23" s="3">
        <f ca="1">OFFSET($S23,(COLUMN(G21)-1)*35,0,1,1)/$U$3</f>
        <v>0.26461568854962608</v>
      </c>
      <c r="AE23" s="3">
        <f ca="1">OFFSET($S23,(COLUMN(H21)-1)*35,0,1,1)/$U$3</f>
        <v>9.0846358434435087E-2</v>
      </c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M24">
        <v>0</v>
      </c>
      <c r="N24">
        <v>1.7551100975894958</v>
      </c>
      <c r="O24">
        <v>0</v>
      </c>
      <c r="S24" s="3">
        <f t="shared" ca="1" si="1"/>
        <v>17.744699360444759</v>
      </c>
      <c r="T24" s="3">
        <f t="shared" ca="1" si="0"/>
        <v>6.5806067533622808E-2</v>
      </c>
      <c r="X24" s="3">
        <f ca="1">OFFSET($S24,(COLUMN(A22)-1)*35,0,1,1)/$U$3</f>
        <v>6.5806067533622808E-2</v>
      </c>
      <c r="Y24" s="3">
        <f ca="1">OFFSET($S24,(COLUMN(B22)-1)*35,0,1,1)/$U$3</f>
        <v>7.1672177386395905E-2</v>
      </c>
      <c r="Z24" s="3">
        <f ca="1">OFFSET($S24,(COLUMN(C22)-1)*35,0,1,1)/$U$3</f>
        <v>4.1606878152651461E-2</v>
      </c>
      <c r="AA24" s="3">
        <f ca="1">OFFSET($S24,(COLUMN(D22)-1)*35,0,1,1)/$U$3</f>
        <v>3.9941119727580875E-2</v>
      </c>
      <c r="AB24" s="3">
        <f ca="1">OFFSET($S24,(COLUMN(E22)-1)*35,0,1,1)/$U$3</f>
        <v>7.2405904742255153E-2</v>
      </c>
      <c r="AC24" s="3">
        <f ca="1">OFFSET($S24,(COLUMN(F22)-1)*35,0,1,1)/$U$3</f>
        <v>5.8755103727122351E-2</v>
      </c>
      <c r="AD24" s="3">
        <f ca="1">OFFSET($S24,(COLUMN(G22)-1)*35,0,1,1)/$U$3</f>
        <v>3.9257640353950386E-2</v>
      </c>
      <c r="AE24" s="3">
        <f ca="1">OFFSET($S24,(COLUMN(H22)-1)*35,0,1,1)/$U$3</f>
        <v>3.5894953664488839E-2</v>
      </c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M25">
        <v>0</v>
      </c>
      <c r="N25">
        <v>0</v>
      </c>
      <c r="O25">
        <v>0.44710899066871573</v>
      </c>
      <c r="S25" s="3">
        <f t="shared" ca="1" si="1"/>
        <v>5.8800936891376248</v>
      </c>
      <c r="T25" s="3">
        <f t="shared" ca="1" si="0"/>
        <v>2.1806277725616042E-2</v>
      </c>
      <c r="X25" s="3">
        <f ca="1">OFFSET($S25,(COLUMN(A23)-1)*35,0,1,1)/$U$3</f>
        <v>2.1806277725616042E-2</v>
      </c>
      <c r="Y25" s="3">
        <f ca="1">OFFSET($S25,(COLUMN(B23)-1)*35,0,1,1)/$U$3</f>
        <v>0.20643962444156405</v>
      </c>
      <c r="Z25" s="3">
        <f ca="1">OFFSET($S25,(COLUMN(C23)-1)*35,0,1,1)/$U$3</f>
        <v>0.21886993930156612</v>
      </c>
      <c r="AA25" s="3">
        <f ca="1">OFFSET($S25,(COLUMN(D23)-1)*35,0,1,1)/$U$3</f>
        <v>0.11899908264968116</v>
      </c>
      <c r="AB25" s="3">
        <f ca="1">OFFSET($S25,(COLUMN(E23)-1)*35,0,1,1)/$U$3</f>
        <v>0.21252256666386157</v>
      </c>
      <c r="AC25" s="3">
        <f ca="1">OFFSET($S25,(COLUMN(F23)-1)*35,0,1,1)/$U$3</f>
        <v>0.17460915510679409</v>
      </c>
      <c r="AD25" s="3">
        <f ca="1">OFFSET($S25,(COLUMN(G23)-1)*35,0,1,1)/$U$3</f>
        <v>0.13460430823580563</v>
      </c>
      <c r="AE25" s="3">
        <f ca="1">OFFSET($S25,(COLUMN(H23)-1)*35,0,1,1)/$U$3</f>
        <v>1.6180061132722912E-2</v>
      </c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S26" s="3">
        <f t="shared" ca="1" si="1"/>
        <v>3.879698490595195</v>
      </c>
      <c r="T26" s="3">
        <f t="shared" ca="1" si="0"/>
        <v>1.4387829046645664E-2</v>
      </c>
      <c r="X26" s="3">
        <f ca="1">OFFSET($S26,(COLUMN(A24)-1)*35,0,1,1)/$U$3</f>
        <v>1.4387829046645664E-2</v>
      </c>
      <c r="Y26" s="3">
        <f ca="1">OFFSET($S26,(COLUMN(B24)-1)*35,0,1,1)/$U$3</f>
        <v>2.6267786047992282E-2</v>
      </c>
      <c r="Z26" s="3">
        <f ca="1">OFFSET($S26,(COLUMN(C24)-1)*35,0,1,1)/$U$3</f>
        <v>3.2347584499998847E-2</v>
      </c>
      <c r="AA26" s="3">
        <f ca="1">OFFSET($S26,(COLUMN(D24)-1)*35,0,1,1)/$U$3</f>
        <v>4.0578130937060662E-2</v>
      </c>
      <c r="AB26" s="3">
        <f ca="1">OFFSET($S26,(COLUMN(E24)-1)*35,0,1,1)/$U$3</f>
        <v>2.7184304062169474E-2</v>
      </c>
      <c r="AC26" s="3">
        <f ca="1">OFFSET($S26,(COLUMN(F24)-1)*35,0,1,1)/$U$3</f>
        <v>1.569293436344138E-2</v>
      </c>
      <c r="AD26" s="3">
        <f ca="1">OFFSET($S26,(COLUMN(G24)-1)*35,0,1,1)/$U$3</f>
        <v>1.7988935441623929E-2</v>
      </c>
      <c r="AE26" s="3">
        <f ca="1">OFFSET($S26,(COLUMN(H24)-1)*35,0,1,1)/$U$3</f>
        <v>2.6525812314482047E-2</v>
      </c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array" ref="M27:O29">SVDD(B27:K29)</f>
        <v>3.1236605058387763</v>
      </c>
      <c r="N27">
        <v>0</v>
      </c>
      <c r="O27">
        <v>0</v>
      </c>
      <c r="Q27">
        <f t="shared" ref="Q27" si="7">MAX(M27,N28,O29)/MIN(M27,N28,O29)</f>
        <v>24.118324901702923</v>
      </c>
      <c r="S27" s="3">
        <f t="shared" ca="1" si="1"/>
        <v>24.685611450250331</v>
      </c>
      <c r="T27" s="3">
        <f t="shared" ca="1" si="0"/>
        <v>9.1546381328110008E-2</v>
      </c>
      <c r="X27" s="3">
        <f ca="1">OFFSET($S27,(COLUMN(A25)-1)*35,0,1,1)/$U$3</f>
        <v>9.1546381328110008E-2</v>
      </c>
      <c r="Y27" s="3">
        <f ca="1">OFFSET($S27,(COLUMN(B25)-1)*35,0,1,1)/$U$3</f>
        <v>3.6030552847745478E-2</v>
      </c>
      <c r="Z27" s="3">
        <f ca="1">OFFSET($S27,(COLUMN(C25)-1)*35,0,1,1)/$U$3</f>
        <v>3.030796813915583E-2</v>
      </c>
      <c r="AA27" s="3">
        <f ca="1">OFFSET($S27,(COLUMN(D25)-1)*35,0,1,1)/$U$3</f>
        <v>2.6706464988649242E-2</v>
      </c>
      <c r="AB27" s="3">
        <f ca="1">OFFSET($S27,(COLUMN(E25)-1)*35,0,1,1)/$U$3</f>
        <v>3.1508468548462294E-2</v>
      </c>
      <c r="AC27" s="3">
        <f ca="1">OFFSET($S27,(COLUMN(F25)-1)*35,0,1,1)/$U$3</f>
        <v>1.3876872694516344E-2</v>
      </c>
      <c r="AD27" s="3">
        <f ca="1">OFFSET($S27,(COLUMN(G25)-1)*35,0,1,1)/$U$3</f>
        <v>1.7985407414187721E-2</v>
      </c>
      <c r="AE27" s="3">
        <f ca="1">OFFSET($S27,(COLUMN(H25)-1)*35,0,1,1)/$U$3</f>
        <v>1.2705495299507265E-2</v>
      </c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M28">
        <v>0</v>
      </c>
      <c r="N28">
        <v>1.2964471017497203</v>
      </c>
      <c r="O28">
        <v>0</v>
      </c>
      <c r="S28" s="3">
        <f t="shared" ca="1" si="1"/>
        <v>7.3489080575917889</v>
      </c>
      <c r="T28" s="3">
        <f t="shared" ca="1" si="0"/>
        <v>2.7253363391114047E-2</v>
      </c>
      <c r="X28" s="3">
        <f ca="1">OFFSET($S28,(COLUMN(A26)-1)*35,0,1,1)/$U$3</f>
        <v>2.7253363391114047E-2</v>
      </c>
      <c r="Y28" s="3">
        <f ca="1">OFFSET($S28,(COLUMN(B26)-1)*35,0,1,1)/$U$3</f>
        <v>0.22639701414612359</v>
      </c>
      <c r="Z28" s="3">
        <f ca="1">OFFSET($S28,(COLUMN(C26)-1)*35,0,1,1)/$U$3</f>
        <v>0.25089064374917386</v>
      </c>
      <c r="AA28" s="3">
        <f ca="1">OFFSET($S28,(COLUMN(D26)-1)*35,0,1,1)/$U$3</f>
        <v>0.25748703149278518</v>
      </c>
      <c r="AB28" s="3">
        <f ca="1">OFFSET($S28,(COLUMN(E26)-1)*35,0,1,1)/$U$3</f>
        <v>0.2513022090295477</v>
      </c>
      <c r="AC28" s="3">
        <f ca="1">OFFSET($S28,(COLUMN(F26)-1)*35,0,1,1)/$U$3</f>
        <v>0.27323799408201355</v>
      </c>
      <c r="AD28" s="3">
        <f ca="1">OFFSET($S28,(COLUMN(G26)-1)*35,0,1,1)/$U$3</f>
        <v>0.52212909871340785</v>
      </c>
      <c r="AE28" s="3">
        <f ca="1">OFFSET($S28,(COLUMN(H26)-1)*35,0,1,1)/$U$3</f>
        <v>4.4698354057810204E-2</v>
      </c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M29">
        <v>0</v>
      </c>
      <c r="N29">
        <v>0</v>
      </c>
      <c r="O29">
        <v>0.12951399065107644</v>
      </c>
      <c r="S29" s="3">
        <f t="shared" ca="1" si="1"/>
        <v>6.5789103410788252</v>
      </c>
      <c r="T29" s="3">
        <f t="shared" ca="1" si="0"/>
        <v>2.4397833370327186E-2</v>
      </c>
      <c r="X29" s="3">
        <f ca="1">OFFSET($S29,(COLUMN(A27)-1)*35,0,1,1)/$U$3</f>
        <v>2.4397833370327186E-2</v>
      </c>
      <c r="Y29" s="3">
        <f ca="1">OFFSET($S29,(COLUMN(B27)-1)*35,0,1,1)/$U$3</f>
        <v>0.96471261314730661</v>
      </c>
      <c r="Z29" s="3">
        <f ca="1">OFFSET($S29,(COLUMN(C27)-1)*35,0,1,1)/$U$3</f>
        <v>0.5736762821779684</v>
      </c>
      <c r="AA29" s="3">
        <f ca="1">OFFSET($S29,(COLUMN(D27)-1)*35,0,1,1)/$U$3</f>
        <v>0.84655852150073518</v>
      </c>
      <c r="AB29" s="3">
        <f ca="1">OFFSET($S29,(COLUMN(E27)-1)*35,0,1,1)/$U$3</f>
        <v>0.51165120458658575</v>
      </c>
      <c r="AC29" s="3">
        <f ca="1">OFFSET($S29,(COLUMN(F27)-1)*35,0,1,1)/$U$3</f>
        <v>0.12125549801415815</v>
      </c>
      <c r="AD29" s="3">
        <f ca="1">OFFSET($S29,(COLUMN(G27)-1)*35,0,1,1)/$U$3</f>
        <v>0.12307522391520889</v>
      </c>
      <c r="AE29" s="3">
        <f ca="1">OFFSET($S29,(COLUMN(H27)-1)*35,0,1,1)/$U$3</f>
        <v>2.4883189416143571E-2</v>
      </c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S30" s="3">
        <f t="shared" ca="1" si="1"/>
        <v>3.1635782706465303</v>
      </c>
      <c r="T30" s="3">
        <f t="shared" ca="1" si="0"/>
        <v>1.1732103266293335E-2</v>
      </c>
      <c r="X30" s="3">
        <f ca="1">OFFSET($S30,(COLUMN(A28)-1)*35,0,1,1)/$U$3</f>
        <v>1.1732103266293335E-2</v>
      </c>
      <c r="Y30" s="3">
        <f ca="1">OFFSET($S30,(COLUMN(B28)-1)*35,0,1,1)/$U$3</f>
        <v>5.2873302258695784E-2</v>
      </c>
      <c r="Z30" s="3">
        <f ca="1">OFFSET($S30,(COLUMN(C28)-1)*35,0,1,1)/$U$3</f>
        <v>3.8865493922581019E-2</v>
      </c>
      <c r="AA30" s="3">
        <f ca="1">OFFSET($S30,(COLUMN(D28)-1)*35,0,1,1)/$U$3</f>
        <v>5.2853725022231381E-2</v>
      </c>
      <c r="AB30" s="3">
        <f ca="1">OFFSET($S30,(COLUMN(E28)-1)*35,0,1,1)/$U$3</f>
        <v>3.3217200832355034E-2</v>
      </c>
      <c r="AC30" s="3">
        <f ca="1">OFFSET($S30,(COLUMN(F28)-1)*35,0,1,1)/$U$3</f>
        <v>1.9093245093403738E-2</v>
      </c>
      <c r="AD30" s="3">
        <f ca="1">OFFSET($S30,(COLUMN(G28)-1)*35,0,1,1)/$U$3</f>
        <v>1.5648464984812552E-2</v>
      </c>
      <c r="AE30" s="3">
        <f ca="1">OFFSET($S30,(COLUMN(H28)-1)*35,0,1,1)/$U$3</f>
        <v>1.9709027480147207E-2</v>
      </c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array" ref="M31:O33">SVDD(B31:K33)</f>
        <v>2.4880519302933388</v>
      </c>
      <c r="N31">
        <v>0</v>
      </c>
      <c r="O31">
        <v>0</v>
      </c>
      <c r="Q31">
        <f t="shared" ref="Q31" si="8">MAX(M31,N32,O33)/MIN(M31,N32,O33)</f>
        <v>8.7955826152157766</v>
      </c>
      <c r="S31" s="3">
        <f t="shared" ca="1" si="1"/>
        <v>16.194013576122387</v>
      </c>
      <c r="T31" s="3">
        <f t="shared" ca="1" si="0"/>
        <v>6.0055362414661063E-2</v>
      </c>
      <c r="X31" s="3">
        <f ca="1">OFFSET($S31,(COLUMN(A29)-1)*35,0,1,1)/$U$3</f>
        <v>6.0055362414661063E-2</v>
      </c>
      <c r="Y31" s="3">
        <f ca="1">OFFSET($S31,(COLUMN(B29)-1)*35,0,1,1)/$U$3</f>
        <v>0.21349574641802063</v>
      </c>
      <c r="Z31" s="3">
        <f ca="1">OFFSET($S31,(COLUMN(C29)-1)*35,0,1,1)/$U$3</f>
        <v>0.19945550665518111</v>
      </c>
      <c r="AA31" s="3">
        <f ca="1">OFFSET($S31,(COLUMN(D29)-1)*35,0,1,1)/$U$3</f>
        <v>0.13941840026981189</v>
      </c>
      <c r="AB31" s="3">
        <f ca="1">OFFSET($S31,(COLUMN(E29)-1)*35,0,1,1)/$U$3</f>
        <v>0.2011014919711801</v>
      </c>
      <c r="AC31" s="3">
        <f ca="1">OFFSET($S31,(COLUMN(F29)-1)*35,0,1,1)/$U$3</f>
        <v>0.35955397995403837</v>
      </c>
      <c r="AD31" s="3">
        <f ca="1">OFFSET($S31,(COLUMN(G29)-1)*35,0,1,1)/$U$3</f>
        <v>0.18766812099091879</v>
      </c>
      <c r="AE31" s="3">
        <f ca="1">OFFSET($S31,(COLUMN(H29)-1)*35,0,1,1)/$U$3</f>
        <v>2.4342321627775467E-2</v>
      </c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M32">
        <v>0</v>
      </c>
      <c r="N32">
        <v>2.061322201560595</v>
      </c>
      <c r="O32">
        <v>0</v>
      </c>
      <c r="S32" s="3">
        <f t="shared" ca="1" si="1"/>
        <v>21.15355593936761</v>
      </c>
      <c r="T32" s="3">
        <f t="shared" ca="1" si="0"/>
        <v>7.8447783332148968E-2</v>
      </c>
      <c r="X32" s="3">
        <f ca="1">OFFSET($S32,(COLUMN(A30)-1)*35,0,1,1)/$U$3</f>
        <v>7.8447783332148968E-2</v>
      </c>
      <c r="Y32" s="3">
        <f ca="1">OFFSET($S32,(COLUMN(B30)-1)*35,0,1,1)/$U$3</f>
        <v>7.8191236532930336E-2</v>
      </c>
      <c r="Z32" s="3">
        <f ca="1">OFFSET($S32,(COLUMN(C30)-1)*35,0,1,1)/$U$3</f>
        <v>4.0499916396391965E-2</v>
      </c>
      <c r="AA32" s="3">
        <f ca="1">OFFSET($S32,(COLUMN(D30)-1)*35,0,1,1)/$U$3</f>
        <v>2.319630119141312E-2</v>
      </c>
      <c r="AB32" s="3">
        <f ca="1">OFFSET($S32,(COLUMN(E30)-1)*35,0,1,1)/$U$3</f>
        <v>2.209867156618953E-2</v>
      </c>
      <c r="AC32" s="3">
        <f ca="1">OFFSET($S32,(COLUMN(F30)-1)*35,0,1,1)/$U$3</f>
        <v>3.1490959924010874E-2</v>
      </c>
      <c r="AD32" s="3">
        <f ca="1">OFFSET($S32,(COLUMN(G30)-1)*35,0,1,1)/$U$3</f>
        <v>2.4327217524234036E-2</v>
      </c>
      <c r="AE32" s="3">
        <f ca="1">OFFSET($S32,(COLUMN(H30)-1)*35,0,1,1)/$U$3</f>
        <v>4.2171202231574667E-2</v>
      </c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M33">
        <v>0</v>
      </c>
      <c r="N33">
        <v>0</v>
      </c>
      <c r="O33">
        <v>0.28287517031437731</v>
      </c>
      <c r="S33" s="3">
        <f t="shared" ca="1" si="1"/>
        <v>5.3120058983562757</v>
      </c>
      <c r="T33" s="3">
        <f t="shared" ca="1" si="0"/>
        <v>1.9699528957106784E-2</v>
      </c>
      <c r="X33" s="3">
        <f ca="1">OFFSET($S33,(COLUMN(A31)-1)*35,0,1,1)/$U$3</f>
        <v>1.9699528957106784E-2</v>
      </c>
      <c r="Y33" s="3">
        <f ca="1">OFFSET($S33,(COLUMN(B31)-1)*35,0,1,1)/$U$3</f>
        <v>3.7564548402984371E-2</v>
      </c>
      <c r="Z33" s="3">
        <f ca="1">OFFSET($S33,(COLUMN(C31)-1)*35,0,1,1)/$U$3</f>
        <v>3.1902171896247125E-2</v>
      </c>
      <c r="AA33" s="3">
        <f ca="1">OFFSET($S33,(COLUMN(D31)-1)*35,0,1,1)/$U$3</f>
        <v>2.9392592055362154E-2</v>
      </c>
      <c r="AB33" s="3">
        <f ca="1">OFFSET($S33,(COLUMN(E31)-1)*35,0,1,1)/$U$3</f>
        <v>2.8075792636970399E-2</v>
      </c>
      <c r="AC33" s="3">
        <f ca="1">OFFSET($S33,(COLUMN(F31)-1)*35,0,1,1)/$U$3</f>
        <v>2.369548951173462E-2</v>
      </c>
      <c r="AD33" s="3">
        <f ca="1">OFFSET($S33,(COLUMN(G31)-1)*35,0,1,1)/$U$3</f>
        <v>1.281220911030421E-2</v>
      </c>
      <c r="AE33" s="3">
        <f ca="1">OFFSET($S33,(COLUMN(H31)-1)*35,0,1,1)/$U$3</f>
        <v>1.5548454557733824E-2</v>
      </c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S34" s="3">
        <f t="shared" ca="1" si="1"/>
        <v>13.882516621605925</v>
      </c>
      <c r="T34" s="3">
        <f t="shared" ca="1" si="0"/>
        <v>5.1483195504256937E-2</v>
      </c>
      <c r="X34" s="3">
        <f ca="1">OFFSET($S34,(COLUMN(A32)-1)*35,0,1,1)/$U$3</f>
        <v>5.1483195504256937E-2</v>
      </c>
      <c r="Y34" s="3">
        <f ca="1">OFFSET($S34,(COLUMN(B32)-1)*35,0,1,1)/$U$3</f>
        <v>0.25843338961505929</v>
      </c>
      <c r="Z34" s="3">
        <f ca="1">OFFSET($S34,(COLUMN(C32)-1)*35,0,1,1)/$U$3</f>
        <v>0.30758559532981433</v>
      </c>
      <c r="AA34" s="3">
        <f ca="1">OFFSET($S34,(COLUMN(D32)-1)*35,0,1,1)/$U$3</f>
        <v>0.18480644062785115</v>
      </c>
      <c r="AB34" s="3">
        <f ca="1">OFFSET($S34,(COLUMN(E32)-1)*35,0,1,1)/$U$3</f>
        <v>0.19278277628652071</v>
      </c>
      <c r="AC34" s="3">
        <f ca="1">OFFSET($S34,(COLUMN(F32)-1)*35,0,1,1)/$U$3</f>
        <v>0.13453730374554668</v>
      </c>
      <c r="AD34" s="3">
        <f ca="1">OFFSET($S34,(COLUMN(G32)-1)*35,0,1,1)/$U$3</f>
        <v>0.11229969358682459</v>
      </c>
      <c r="AE34" s="3">
        <f ca="1">OFFSET($S34,(COLUMN(H32)-1)*35,0,1,1)/$U$3</f>
        <v>1.641288666792869E-2</v>
      </c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array" ref="M35:O37">SVDD(B35:K37)</f>
        <v>2.6516336580337656</v>
      </c>
      <c r="N35">
        <v>0</v>
      </c>
      <c r="O35">
        <v>0</v>
      </c>
      <c r="Q35">
        <f t="shared" ref="Q35" si="9">MAX(M35,N36,O37)/MIN(M35,N36,O37)</f>
        <v>36.310273693650416</v>
      </c>
      <c r="S35" s="3">
        <f t="shared" ca="1" si="1"/>
        <v>4.7226020324850646</v>
      </c>
      <c r="T35" s="3">
        <f t="shared" ca="1" si="0"/>
        <v>1.7513729704369988E-2</v>
      </c>
      <c r="X35" s="3">
        <f ca="1">OFFSET($S35,(COLUMN(A33)-1)*35,0,1,1)/$U$3</f>
        <v>1.7513729704369988E-2</v>
      </c>
      <c r="Y35" s="3">
        <f ca="1">OFFSET($S35,(COLUMN(B33)-1)*35,0,1,1)/$U$3</f>
        <v>2.7888913274089527E-2</v>
      </c>
      <c r="Z35" s="3">
        <f ca="1">OFFSET($S35,(COLUMN(C33)-1)*35,0,1,1)/$U$3</f>
        <v>3.0046911810632397E-2</v>
      </c>
      <c r="AA35" s="3">
        <f ca="1">OFFSET($S35,(COLUMN(D33)-1)*35,0,1,1)/$U$3</f>
        <v>2.5029163578922573E-2</v>
      </c>
      <c r="AB35" s="3">
        <f ca="1">OFFSET($S35,(COLUMN(E33)-1)*35,0,1,1)/$U$3</f>
        <v>3.2399379973522317E-2</v>
      </c>
      <c r="AC35" s="3">
        <f ca="1">OFFSET($S35,(COLUMN(F33)-1)*35,0,1,1)/$U$3</f>
        <v>1.5424698692479847E-2</v>
      </c>
      <c r="AD35" s="3">
        <f ca="1">OFFSET($S35,(COLUMN(G33)-1)*35,0,1,1)/$U$3</f>
        <v>1.4948746899190457E-2</v>
      </c>
      <c r="AE35" s="3">
        <f ca="1">OFFSET($S35,(COLUMN(H33)-1)*35,0,1,1)/$U$3</f>
        <v>2.0272471410022648E-2</v>
      </c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M36">
        <v>0</v>
      </c>
      <c r="N36">
        <v>1.9595484091787814</v>
      </c>
      <c r="O36">
        <v>0</v>
      </c>
      <c r="S36" s="3">
        <f t="shared" ca="1" si="1"/>
        <v>13.789128369163835</v>
      </c>
      <c r="T36" s="3">
        <f t="shared" ca="1" si="0"/>
        <v>5.1136865959742352E-2</v>
      </c>
      <c r="X36" s="3">
        <f ca="1">OFFSET($S36,(COLUMN(A34)-1)*35,0,1,1)/$U$3</f>
        <v>5.1136865959742352E-2</v>
      </c>
      <c r="Y36" s="3">
        <f ca="1">OFFSET($S36,(COLUMN(B34)-1)*35,0,1,1)/$U$3</f>
        <v>4.8187362799926178E-2</v>
      </c>
      <c r="Z36" s="3">
        <f ca="1">OFFSET($S36,(COLUMN(C34)-1)*35,0,1,1)/$U$3</f>
        <v>4.5552785562294688E-2</v>
      </c>
      <c r="AA36" s="3">
        <f ca="1">OFFSET($S36,(COLUMN(D34)-1)*35,0,1,1)/$U$3</f>
        <v>4.0493045478177732E-2</v>
      </c>
      <c r="AB36" s="3">
        <f ca="1">OFFSET($S36,(COLUMN(E34)-1)*35,0,1,1)/$U$3</f>
        <v>3.2705768170894309E-2</v>
      </c>
      <c r="AC36" s="3">
        <f ca="1">OFFSET($S36,(COLUMN(F34)-1)*35,0,1,1)/$U$3</f>
        <v>1.2387959479199174E-2</v>
      </c>
      <c r="AD36" s="3">
        <f ca="1">OFFSET($S36,(COLUMN(G34)-1)*35,0,1,1)/$U$3</f>
        <v>1.8253236958906145E-2</v>
      </c>
      <c r="AE36" s="3">
        <f ca="1">OFFSET($S36,(COLUMN(H34)-1)*35,0,1,1)/$U$3</f>
        <v>1.3672314884193609E-2</v>
      </c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M37">
        <v>0</v>
      </c>
      <c r="N37">
        <v>0</v>
      </c>
      <c r="O37">
        <v>7.3027090911117462E-2</v>
      </c>
      <c r="S37" s="3">
        <f t="shared" ca="1" si="1"/>
        <v>6.4208801705859262</v>
      </c>
      <c r="T37" s="3">
        <f t="shared" ca="1" si="0"/>
        <v>2.3811779819316502E-2</v>
      </c>
      <c r="X37" s="3">
        <f ca="1">OFFSET($S37,(COLUMN(A35)-1)*35,0,1,1)/$U$3</f>
        <v>2.3811779819316502E-2</v>
      </c>
      <c r="Y37" s="3">
        <f ca="1">OFFSET($S37,(COLUMN(B35)-1)*35,0,1,1)/$U$3</f>
        <v>2.8349083335173924E-2</v>
      </c>
      <c r="Z37" s="3">
        <f ca="1">OFFSET($S37,(COLUMN(C35)-1)*35,0,1,1)/$U$3</f>
        <v>3.1766095061888357E-2</v>
      </c>
      <c r="AA37" s="3">
        <f ca="1">OFFSET($S37,(COLUMN(D35)-1)*35,0,1,1)/$U$3</f>
        <v>2.2066168261391506E-2</v>
      </c>
      <c r="AB37" s="3">
        <f ca="1">OFFSET($S37,(COLUMN(E35)-1)*35,0,1,1)/$U$3</f>
        <v>3.3735806337950536E-2</v>
      </c>
      <c r="AC37" s="3">
        <f ca="1">OFFSET($S37,(COLUMN(F35)-1)*35,0,1,1)/$U$3</f>
        <v>3.2476833988909069E-2</v>
      </c>
      <c r="AD37" s="3">
        <f ca="1">OFFSET($S37,(COLUMN(G35)-1)*35,0,1,1)/$U$3</f>
        <v>1.1840049678925628E-2</v>
      </c>
      <c r="AE37" s="3">
        <f ca="1">OFFSET($S37,(COLUMN(H35)-1)*35,0,1,1)/$U$3</f>
        <v>2.1341099073656038E-2</v>
      </c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  <c r="S38" s="3">
        <f t="shared" ca="1" si="1"/>
        <v>4.045879529231728</v>
      </c>
      <c r="T38" s="3">
        <f t="shared" ca="1" si="0"/>
        <v>1.5004110023245382E-2</v>
      </c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array" ref="M39:O41">SVDD(B39:K41)</f>
        <v>2.6696636545156753</v>
      </c>
      <c r="N39">
        <v>0</v>
      </c>
      <c r="O39">
        <v>0</v>
      </c>
      <c r="Q39">
        <f t="shared" ref="Q39" si="10">MAX(M39,N40,O41)/MIN(M39,N40,O41)</f>
        <v>3.6561838643533173</v>
      </c>
      <c r="S39" s="3">
        <f t="shared" ca="1" si="1"/>
        <v>6.5541322768243271</v>
      </c>
      <c r="T39" s="3">
        <f t="shared" ca="1" si="0"/>
        <v>2.430594412855628E-2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M40">
        <v>0</v>
      </c>
      <c r="N40">
        <v>2.1061833303717443</v>
      </c>
      <c r="O40">
        <v>0</v>
      </c>
      <c r="S40" s="3">
        <f t="shared" ca="1" si="1"/>
        <v>4.0309345388759619</v>
      </c>
      <c r="T40" s="3">
        <f t="shared" ca="1" si="0"/>
        <v>1.4948686652881996E-2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M41">
        <v>0</v>
      </c>
      <c r="N41">
        <v>0</v>
      </c>
      <c r="O41">
        <v>0.73017762606090064</v>
      </c>
      <c r="S41" s="3">
        <f t="shared" ca="1" si="1"/>
        <v>5.3159412452454919</v>
      </c>
      <c r="T41" s="3">
        <f t="shared" ca="1" si="0"/>
        <v>1.9714123157769166E-2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  <c r="S42" s="3">
        <f t="shared" ca="1" si="1"/>
        <v>5.1732648642378285</v>
      </c>
      <c r="T42" s="3">
        <f t="shared" ca="1" si="0"/>
        <v>1.918500900523681E-2</v>
      </c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array" ref="M43:O45">SVDD(B43:K45)</f>
        <v>2.8914644355276322</v>
      </c>
      <c r="N43">
        <v>0</v>
      </c>
      <c r="O43">
        <v>0</v>
      </c>
      <c r="Q43">
        <f t="shared" ref="Q43" si="11">MAX(M43,N44,O45)/MIN(M43,N44,O45)</f>
        <v>4.4963071940262225</v>
      </c>
      <c r="S43" s="3">
        <f t="shared" ca="1" si="1"/>
        <v>5.3189713164394092</v>
      </c>
      <c r="T43" s="3">
        <f t="shared" ca="1" si="0"/>
        <v>1.972536015117031E-2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M44">
        <v>0</v>
      </c>
      <c r="N44">
        <v>1.5449353275352375</v>
      </c>
      <c r="O44">
        <v>0</v>
      </c>
      <c r="S44" s="3">
        <f t="shared" ca="1" si="1"/>
        <v>14.85523525458103</v>
      </c>
      <c r="T44" s="3">
        <f t="shared" ca="1" si="0"/>
        <v>5.5090514329588038E-2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M45">
        <v>0</v>
      </c>
      <c r="N45">
        <v>0</v>
      </c>
      <c r="O45">
        <v>0.64307537513656121</v>
      </c>
      <c r="S45" s="3">
        <f t="shared" ca="1" si="1"/>
        <v>7.8822944284939442</v>
      </c>
      <c r="T45" s="3">
        <f t="shared" ca="1" si="0"/>
        <v>2.9231422237427546E-2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  <c r="S46" s="3">
        <f t="shared" ca="1" si="1"/>
        <v>31.150944964544813</v>
      </c>
      <c r="T46" s="3">
        <f t="shared" ca="1" si="0"/>
        <v>0.11552301599668371</v>
      </c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array" ref="M47:O49">SVDD(B47:K49)</f>
        <v>2.7282133019273802</v>
      </c>
      <c r="N47">
        <v>0</v>
      </c>
      <c r="O47">
        <v>0</v>
      </c>
      <c r="Q47">
        <f t="shared" ref="Q47" si="12">MAX(M47,N48,O49)/MIN(M47,N48,O49)</f>
        <v>2.7089396753921831</v>
      </c>
      <c r="S47" s="3">
        <f t="shared" ca="1" si="1"/>
        <v>5.1696480384522427</v>
      </c>
      <c r="T47" s="3">
        <f t="shared" ca="1" si="0"/>
        <v>1.9171596037393906E-2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M48">
        <v>0</v>
      </c>
      <c r="N48">
        <v>1.749389490788718</v>
      </c>
      <c r="O48">
        <v>0</v>
      </c>
      <c r="S48" s="3">
        <f t="shared" ca="1" si="1"/>
        <v>7.1651302544625262</v>
      </c>
      <c r="T48" s="3">
        <f t="shared" ca="1" si="0"/>
        <v>2.657182496218673E-2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M49">
        <v>0</v>
      </c>
      <c r="N49">
        <v>0</v>
      </c>
      <c r="O49">
        <v>1.0071148230838352</v>
      </c>
      <c r="S49" s="3">
        <f t="shared" ca="1" si="1"/>
        <v>5.0196527057554077</v>
      </c>
      <c r="T49" s="3">
        <f t="shared" ca="1" si="0"/>
        <v>1.8615339614409417E-2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  <c r="S50" s="3">
        <f t="shared" ca="1" si="1"/>
        <v>8.0131744696932721</v>
      </c>
      <c r="T50" s="3">
        <f t="shared" ca="1" si="0"/>
        <v>2.9716789763527488E-2</v>
      </c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array" ref="M51:O53">SVDD(B51:K53)</f>
        <v>3.2137201420560024</v>
      </c>
      <c r="N51">
        <v>0</v>
      </c>
      <c r="O51">
        <v>0</v>
      </c>
      <c r="Q51">
        <f t="shared" ref="Q51" si="13">MAX(M51,N52,O53)/MIN(M51,N52,O53)</f>
        <v>7.6365391312743336</v>
      </c>
      <c r="S51" s="3">
        <f t="shared" ca="1" si="1"/>
        <v>35.423022168475093</v>
      </c>
      <c r="T51" s="3">
        <f t="shared" ca="1" si="0"/>
        <v>0.13136597818387966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M52">
        <v>0</v>
      </c>
      <c r="N52">
        <v>1.7463303337717475</v>
      </c>
      <c r="O52">
        <v>0</v>
      </c>
      <c r="S52" s="3">
        <f t="shared" ca="1" si="1"/>
        <v>6.0247613775243192</v>
      </c>
      <c r="T52" s="3">
        <f t="shared" ca="1" si="0"/>
        <v>2.2342776624725558E-2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M53">
        <v>0</v>
      </c>
      <c r="N53">
        <v>0</v>
      </c>
      <c r="O53">
        <v>0.42083463291567247</v>
      </c>
      <c r="S53" s="3">
        <f t="shared" ca="1" si="1"/>
        <v>163.93051054852472</v>
      </c>
      <c r="T53" s="3">
        <f t="shared" ca="1" si="0"/>
        <v>0.60793491221522156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  <c r="S54" s="3">
        <f t="shared" ca="1" si="1"/>
        <v>47.204073716051319</v>
      </c>
      <c r="T54" s="3">
        <f t="shared" ca="1" si="0"/>
        <v>0.1750559082305424</v>
      </c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array" ref="M55:O57">SVDD(B55:K57)</f>
        <v>3.3413239820230762</v>
      </c>
      <c r="N55">
        <v>0</v>
      </c>
      <c r="O55">
        <v>0</v>
      </c>
      <c r="Q55">
        <f t="shared" ref="Q55" si="14">MAX(M55,N56,O57)/MIN(M55,N56,O57)</f>
        <v>35.126245864185961</v>
      </c>
      <c r="S55" s="3">
        <f t="shared" ca="1" si="1"/>
        <v>181.92329907450147</v>
      </c>
      <c r="T55" s="3">
        <f t="shared" ca="1" si="0"/>
        <v>0.67466101632144204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M56">
        <v>0</v>
      </c>
      <c r="N56">
        <v>1.6547290332828757</v>
      </c>
      <c r="O56">
        <v>0</v>
      </c>
      <c r="S56" s="3">
        <f t="shared" ca="1" si="1"/>
        <v>15.439891932673806</v>
      </c>
      <c r="T56" s="3">
        <f t="shared" ca="1" si="0"/>
        <v>5.7258708676589498E-2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M57">
        <v>0</v>
      </c>
      <c r="N57">
        <v>0</v>
      </c>
      <c r="O57">
        <v>9.5123287439886239E-2</v>
      </c>
      <c r="S57" s="3">
        <f t="shared" ca="1" si="1"/>
        <v>146.1291626076848</v>
      </c>
      <c r="T57" s="3">
        <f t="shared" ca="1" si="0"/>
        <v>0.5419187639002091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  <c r="S58" s="3">
        <f t="shared" ca="1" si="1"/>
        <v>217.91974984155769</v>
      </c>
      <c r="T58" s="3">
        <f t="shared" ca="1" si="0"/>
        <v>0.80815354961439589</v>
      </c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array" ref="M59:O61">SVDD(B59:K61)</f>
        <v>3.2249664637898579</v>
      </c>
      <c r="N59">
        <v>0</v>
      </c>
      <c r="O59">
        <v>0</v>
      </c>
      <c r="Q59">
        <f t="shared" ref="Q59" si="15">MAX(M59,N60,O61)/MIN(M59,N60,O61)</f>
        <v>4.8590344003529484</v>
      </c>
      <c r="S59" s="3">
        <f t="shared" ca="1" si="1"/>
        <v>19.326504194772792</v>
      </c>
      <c r="T59" s="3">
        <f t="shared" ca="1" si="0"/>
        <v>7.1672177386395905E-2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M60">
        <v>0</v>
      </c>
      <c r="N60">
        <v>1.461292350848288</v>
      </c>
      <c r="O60">
        <v>0</v>
      </c>
      <c r="S60" s="3">
        <f t="shared" ca="1" si="1"/>
        <v>55.666737264417236</v>
      </c>
      <c r="T60" s="3">
        <f t="shared" ca="1" si="0"/>
        <v>0.20643962444156405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M61">
        <v>0</v>
      </c>
      <c r="N61">
        <v>0</v>
      </c>
      <c r="O61">
        <v>0.66370521343820987</v>
      </c>
      <c r="S61" s="3">
        <f t="shared" ca="1" si="1"/>
        <v>7.0831457304138894</v>
      </c>
      <c r="T61" s="3">
        <f t="shared" ca="1" si="0"/>
        <v>2.6267786047992282E-2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S62" s="3">
        <f t="shared" ca="1" si="1"/>
        <v>9.7156896322241337</v>
      </c>
      <c r="T62" s="3">
        <f t="shared" ca="1" si="0"/>
        <v>3.6030552847745478E-2</v>
      </c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array" ref="M63:O65">SVDD(B63:K65)</f>
        <v>2.3453558416962657</v>
      </c>
      <c r="N63">
        <v>0</v>
      </c>
      <c r="O63">
        <v>0</v>
      </c>
      <c r="Q63">
        <f t="shared" ref="Q63" si="16">MAX(M63,N64,O65)/MIN(M63,N64,O65)</f>
        <v>4.1072441892278677</v>
      </c>
      <c r="S63" s="3">
        <f t="shared" ca="1" si="1"/>
        <v>61.048275678723819</v>
      </c>
      <c r="T63" s="3">
        <f t="shared" ca="1" si="0"/>
        <v>0.22639701414612359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M64">
        <v>0</v>
      </c>
      <c r="N64">
        <v>1.6736179544030982</v>
      </c>
      <c r="O64">
        <v>0</v>
      </c>
      <c r="S64" s="3">
        <f t="shared" ca="1" si="1"/>
        <v>260.13612317407507</v>
      </c>
      <c r="T64" s="3">
        <f t="shared" ca="1" si="0"/>
        <v>0.96471261314730661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M65">
        <v>0</v>
      </c>
      <c r="N65">
        <v>0</v>
      </c>
      <c r="O65">
        <v>0.57102907293592775</v>
      </c>
      <c r="S65" s="3">
        <f t="shared" ca="1" si="1"/>
        <v>14.257360877780899</v>
      </c>
      <c r="T65" s="3">
        <f t="shared" ca="1" si="0"/>
        <v>5.2873302258695784E-2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S66" s="3">
        <f t="shared" ca="1" si="1"/>
        <v>57.569430554194433</v>
      </c>
      <c r="T66" s="3">
        <f t="shared" ca="1" si="0"/>
        <v>0.21349574641802063</v>
      </c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array" ref="M67:O69">SVDD(B67:K69)</f>
        <v>2.9756612385365608</v>
      </c>
      <c r="N67">
        <v>0</v>
      </c>
      <c r="O67">
        <v>0</v>
      </c>
      <c r="Q67">
        <f t="shared" ref="Q67" si="17">MAX(M67,N68,O69)/MIN(M67,N68,O69)</f>
        <v>4.6541230593082208</v>
      </c>
      <c r="S67" s="3">
        <f t="shared" ca="1" si="1"/>
        <v>21.084377731420556</v>
      </c>
      <c r="T67" s="3">
        <f t="shared" ca="1" si="0"/>
        <v>7.8191236532930336E-2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M68">
        <v>0</v>
      </c>
      <c r="N68">
        <v>1.3259887960702066</v>
      </c>
      <c r="O68">
        <v>0</v>
      </c>
      <c r="S68" s="3">
        <f t="shared" ca="1" si="1"/>
        <v>10.129333707431407</v>
      </c>
      <c r="T68" s="3">
        <f t="shared" ref="T68:T131" ca="1" si="18">S68/$U$3</f>
        <v>3.7564548402984371E-2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M69">
        <v>0</v>
      </c>
      <c r="N69">
        <v>0</v>
      </c>
      <c r="O69">
        <v>0.63936024050443929</v>
      </c>
      <c r="S69" s="3">
        <f t="shared" ref="S69:S132" ca="1" si="19">OFFSET($Q$3,4*(ROW(A67)-1),0,1,1)</f>
        <v>69.686929720832254</v>
      </c>
      <c r="T69" s="3">
        <f t="shared" ca="1" si="18"/>
        <v>0.25843338961505929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S70" s="3">
        <f t="shared" ca="1" si="19"/>
        <v>7.5202849841374082</v>
      </c>
      <c r="T70" s="3">
        <f t="shared" ca="1" si="18"/>
        <v>2.7888913274089527E-2</v>
      </c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array" ref="M71:O73">SVDD(B71:K73)</f>
        <v>2.4591744987112403</v>
      </c>
      <c r="N71">
        <v>0</v>
      </c>
      <c r="O71">
        <v>0</v>
      </c>
      <c r="Q71">
        <f t="shared" ref="Q71" si="20">MAX(M71,N72,O73)/MIN(M71,N72,O73)</f>
        <v>3.0887111273633301</v>
      </c>
      <c r="S71" s="3">
        <f t="shared" ca="1" si="19"/>
        <v>12.993790662547674</v>
      </c>
      <c r="T71" s="3">
        <f t="shared" ca="1" si="18"/>
        <v>4.8187362799926178E-2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M72">
        <v>0</v>
      </c>
      <c r="N72">
        <v>1.8444795919402464</v>
      </c>
      <c r="O72">
        <v>0</v>
      </c>
      <c r="S72" s="3">
        <f t="shared" ca="1" si="19"/>
        <v>7.6443704931894123</v>
      </c>
      <c r="T72" s="3">
        <f t="shared" ca="1" si="18"/>
        <v>2.8349083335173924E-2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M73">
        <v>0</v>
      </c>
      <c r="N73">
        <v>0</v>
      </c>
      <c r="O73">
        <v>0.79618144828276893</v>
      </c>
      <c r="S73" s="3">
        <f t="shared" ca="1" si="19"/>
        <v>6.5423856740565105</v>
      </c>
      <c r="T73" s="3">
        <f t="shared" ca="1" si="18"/>
        <v>2.4262381951518065E-2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S74" s="3">
        <f t="shared" ca="1" si="19"/>
        <v>3.8020673386262636</v>
      </c>
      <c r="T74" s="3">
        <f t="shared" ca="1" si="18"/>
        <v>1.4099934575997819E-2</v>
      </c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array" ref="M75:O77">SVDD(B75:K77)</f>
        <v>2.6057224801416079</v>
      </c>
      <c r="N75">
        <v>0</v>
      </c>
      <c r="O75">
        <v>0</v>
      </c>
      <c r="Q75">
        <f t="shared" ref="Q75" si="21">MAX(M75,N76,O77)/MIN(M75,N76,O77)</f>
        <v>2.574791744766602</v>
      </c>
      <c r="S75" s="3">
        <f t="shared" ca="1" si="19"/>
        <v>5.3433784035526699</v>
      </c>
      <c r="T75" s="3">
        <f t="shared" ca="1" si="18"/>
        <v>1.9815873627349826E-2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M76">
        <v>0</v>
      </c>
      <c r="N76">
        <v>1.6215159537250357</v>
      </c>
      <c r="O76">
        <v>0</v>
      </c>
      <c r="S76" s="3">
        <f t="shared" ca="1" si="19"/>
        <v>3.9017824992896908</v>
      </c>
      <c r="T76" s="3">
        <f t="shared" ca="1" si="18"/>
        <v>1.4469727406152539E-2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M77">
        <v>0</v>
      </c>
      <c r="N77">
        <v>0</v>
      </c>
      <c r="O77">
        <v>1.0120129076217035</v>
      </c>
      <c r="S77" s="3">
        <f t="shared" ca="1" si="19"/>
        <v>4.8258757624698037</v>
      </c>
      <c r="T77" s="3">
        <f t="shared" ca="1" si="18"/>
        <v>1.789671945876245E-2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S78" s="3">
        <f t="shared" ca="1" si="19"/>
        <v>4.2196534208925307</v>
      </c>
      <c r="T78" s="3">
        <f t="shared" ca="1" si="18"/>
        <v>1.5648549031082402E-2</v>
      </c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array" ref="M79:O81">SVDD(B79:K81)</f>
        <v>2.6141234364863388</v>
      </c>
      <c r="N79">
        <v>0</v>
      </c>
      <c r="O79">
        <v>0</v>
      </c>
      <c r="Q79">
        <f t="shared" ref="Q79" si="22">MAX(M79,N80,O81)/MIN(M79,N80,O81)</f>
        <v>6.0429167939989181</v>
      </c>
      <c r="S79" s="3">
        <f t="shared" ca="1" si="19"/>
        <v>7.3001627320782827</v>
      </c>
      <c r="T79" s="3">
        <f t="shared" ca="1" si="18"/>
        <v>2.7072591763625069E-2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M80">
        <v>0</v>
      </c>
      <c r="N80">
        <v>2.1545393395724823</v>
      </c>
      <c r="O80">
        <v>0</v>
      </c>
      <c r="S80" s="3">
        <f t="shared" ca="1" si="19"/>
        <v>4.6632232261098379</v>
      </c>
      <c r="T80" s="3">
        <f t="shared" ca="1" si="18"/>
        <v>1.7293523903019282E-2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M81">
        <v>0</v>
      </c>
      <c r="N81">
        <v>0</v>
      </c>
      <c r="O81">
        <v>0.43259298871736324</v>
      </c>
      <c r="S81" s="3">
        <f t="shared" ca="1" si="19"/>
        <v>4.797781381421685</v>
      </c>
      <c r="T81" s="3">
        <f t="shared" ca="1" si="18"/>
        <v>1.7792531684204322E-2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S82" s="3">
        <f t="shared" ca="1" si="19"/>
        <v>5.4601440346102681</v>
      </c>
      <c r="T82" s="3">
        <f t="shared" ca="1" si="18"/>
        <v>2.0248897982786965E-2</v>
      </c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array" ref="M83:O85">SVDD(B83:K85)</f>
        <v>2.9773515182496122</v>
      </c>
      <c r="N83">
        <v>0</v>
      </c>
      <c r="O83">
        <v>0</v>
      </c>
      <c r="Q83">
        <f t="shared" ref="Q83" si="23">MAX(M83,N84,O85)/MIN(M83,N84,O85)</f>
        <v>12.113961763885378</v>
      </c>
      <c r="S83" s="3">
        <f t="shared" ca="1" si="19"/>
        <v>8.0741648888016542</v>
      </c>
      <c r="T83" s="3">
        <f t="shared" ca="1" si="18"/>
        <v>2.994297221707172E-2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M84">
        <v>0</v>
      </c>
      <c r="N84">
        <v>1.3416361785372508</v>
      </c>
      <c r="O84">
        <v>0</v>
      </c>
      <c r="S84" s="3">
        <f t="shared" ca="1" si="19"/>
        <v>14.825211659433096</v>
      </c>
      <c r="T84" s="3">
        <f t="shared" ca="1" si="18"/>
        <v>5.4979172080853671E-2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M85">
        <v>0</v>
      </c>
      <c r="N85">
        <v>0</v>
      </c>
      <c r="O85">
        <v>0.24577851377456136</v>
      </c>
      <c r="S85" s="3">
        <f t="shared" ca="1" si="19"/>
        <v>6.3884476105902683</v>
      </c>
      <c r="T85" s="3">
        <f t="shared" ca="1" si="18"/>
        <v>2.3691503944813942E-2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S86" s="3">
        <f t="shared" ca="1" si="19"/>
        <v>4.7080601680628069</v>
      </c>
      <c r="T86" s="3">
        <f t="shared" ca="1" si="18"/>
        <v>1.7459801323122286E-2</v>
      </c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array" ref="M87:O89">SVDD(B87:K89)</f>
        <v>2.7532634853436684</v>
      </c>
      <c r="N87">
        <v>0</v>
      </c>
      <c r="O87">
        <v>0</v>
      </c>
      <c r="Q87">
        <f t="shared" ref="Q87" si="24">MAX(M87,N88,O89)/MIN(M87,N88,O89)</f>
        <v>17.744699360444759</v>
      </c>
      <c r="S87" s="3">
        <f t="shared" ca="1" si="19"/>
        <v>25.850631699586273</v>
      </c>
      <c r="T87" s="3">
        <f t="shared" ca="1" si="18"/>
        <v>9.5866849071662555E-2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M88">
        <v>0</v>
      </c>
      <c r="N88">
        <v>1.8654676551918379</v>
      </c>
      <c r="O88">
        <v>0</v>
      </c>
      <c r="S88" s="3">
        <f t="shared" ca="1" si="19"/>
        <v>161.17688351283616</v>
      </c>
      <c r="T88" s="3">
        <f t="shared" ca="1" si="18"/>
        <v>0.59772310963732833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M89">
        <v>0</v>
      </c>
      <c r="N89">
        <v>0</v>
      </c>
      <c r="O89">
        <v>0.15515977078096069</v>
      </c>
      <c r="S89" s="3">
        <f t="shared" ca="1" si="19"/>
        <v>100.74565201990467</v>
      </c>
      <c r="T89" s="3">
        <f t="shared" ca="1" si="18"/>
        <v>0.37361439863664958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S90" s="3">
        <f t="shared" ca="1" si="19"/>
        <v>208.85789531196536</v>
      </c>
      <c r="T90" s="3">
        <f t="shared" ca="1" si="18"/>
        <v>0.77454773871610005</v>
      </c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array" ref="M91:O93">SVDD(B91:K93)</f>
        <v>3.1875207933206289</v>
      </c>
      <c r="N91">
        <v>0</v>
      </c>
      <c r="O91">
        <v>0</v>
      </c>
      <c r="Q91">
        <f t="shared" ref="Q91" si="25">MAX(M91,N92,O93)/MIN(M91,N92,O93)</f>
        <v>5.8800936891376248</v>
      </c>
      <c r="S91" s="3">
        <f t="shared" ca="1" si="19"/>
        <v>24.816957534001865</v>
      </c>
      <c r="T91" s="3">
        <f t="shared" ca="1" si="18"/>
        <v>9.2033477169074077E-2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M92">
        <v>0</v>
      </c>
      <c r="N92">
        <v>1.6323911381347769</v>
      </c>
      <c r="O92">
        <v>0</v>
      </c>
      <c r="S92" s="3">
        <f t="shared" ca="1" si="19"/>
        <v>118.19701593391721</v>
      </c>
      <c r="T92" s="3">
        <f t="shared" ca="1" si="18"/>
        <v>0.4383326341475472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M93">
        <v>0</v>
      </c>
      <c r="N93">
        <v>0</v>
      </c>
      <c r="O93">
        <v>0.54208673566017807</v>
      </c>
      <c r="S93" s="3">
        <f t="shared" ca="1" si="19"/>
        <v>114.49012581893058</v>
      </c>
      <c r="T93" s="3">
        <f t="shared" ca="1" si="18"/>
        <v>0.42458566350062293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S94" s="3">
        <f t="shared" ca="1" si="19"/>
        <v>11.219353652582738</v>
      </c>
      <c r="T94" s="3">
        <f t="shared" ca="1" si="18"/>
        <v>4.1606878152651461E-2</v>
      </c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array" ref="M95:O97">SVDD(B95:K97)</f>
        <v>3.3141392741405959</v>
      </c>
      <c r="N95">
        <v>0</v>
      </c>
      <c r="O95">
        <v>0</v>
      </c>
      <c r="Q95">
        <f t="shared" ref="Q95" si="26">MAX(M95,N96,O97)/MIN(M95,N96,O97)</f>
        <v>3.879698490595195</v>
      </c>
      <c r="S95" s="3">
        <f t="shared" ca="1" si="19"/>
        <v>59.018589280702926</v>
      </c>
      <c r="T95" s="3">
        <f t="shared" ca="1" si="18"/>
        <v>0.21886993930156612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M96">
        <v>0</v>
      </c>
      <c r="N96">
        <v>1.3285725829167481</v>
      </c>
      <c r="O96">
        <v>0</v>
      </c>
      <c r="S96" s="3">
        <f t="shared" ca="1" si="19"/>
        <v>8.7225719983310803</v>
      </c>
      <c r="T96" s="3">
        <f t="shared" ca="1" si="18"/>
        <v>3.2347584499998847E-2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M97">
        <v>0</v>
      </c>
      <c r="N97">
        <v>0</v>
      </c>
      <c r="O97">
        <v>0.85422598745093847</v>
      </c>
      <c r="S97" s="3">
        <f t="shared" ca="1" si="19"/>
        <v>8.1725865564064186</v>
      </c>
      <c r="T97" s="3">
        <f t="shared" ca="1" si="18"/>
        <v>3.030796813915583E-2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S98" s="3">
        <f t="shared" ca="1" si="19"/>
        <v>67.653017609703767</v>
      </c>
      <c r="T98" s="3">
        <f t="shared" ca="1" si="18"/>
        <v>0.25089064374917386</v>
      </c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array" ref="M99:O101">SVDD(B99:K101)</f>
        <v>3.2334888937160873</v>
      </c>
      <c r="N99">
        <v>0</v>
      </c>
      <c r="O99">
        <v>0</v>
      </c>
      <c r="Q99">
        <f t="shared" ref="Q99" si="27">MAX(M99,N100,O101)/MIN(M99,N100,O101)</f>
        <v>24.685611450250331</v>
      </c>
      <c r="S99" s="3">
        <f t="shared" ca="1" si="19"/>
        <v>154.69262241304</v>
      </c>
      <c r="T99" s="3">
        <f t="shared" ca="1" si="18"/>
        <v>0.5736762821779684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M100">
        <v>0</v>
      </c>
      <c r="N100">
        <v>1.4379707104473813</v>
      </c>
      <c r="O100">
        <v>0</v>
      </c>
      <c r="S100" s="3">
        <f t="shared" ca="1" si="19"/>
        <v>10.48013551028591</v>
      </c>
      <c r="T100" s="3">
        <f t="shared" ca="1" si="18"/>
        <v>3.8865493922581019E-2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M101">
        <v>0</v>
      </c>
      <c r="N101">
        <v>0</v>
      </c>
      <c r="O101">
        <v>0.13098678557072149</v>
      </c>
      <c r="S101" s="3">
        <f t="shared" ca="1" si="19"/>
        <v>53.783460006526404</v>
      </c>
      <c r="T101" s="3">
        <f t="shared" ca="1" si="18"/>
        <v>0.19945550665518111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S102" s="3">
        <f t="shared" ca="1" si="19"/>
        <v>10.920859846395361</v>
      </c>
      <c r="T102" s="3">
        <f t="shared" ca="1" si="18"/>
        <v>4.0499916396391965E-2</v>
      </c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array" ref="M103:O105">SVDD(B103:K105)</f>
        <v>2.9753574607779782</v>
      </c>
      <c r="N103">
        <v>0</v>
      </c>
      <c r="O103">
        <v>0</v>
      </c>
      <c r="Q103">
        <f t="shared" ref="Q103" si="28">MAX(M103,N104,O105)/MIN(M103,N104,O105)</f>
        <v>7.3489080575917889</v>
      </c>
      <c r="S103" s="3">
        <f t="shared" ca="1" si="19"/>
        <v>8.6024658585607803</v>
      </c>
      <c r="T103" s="3">
        <f t="shared" ca="1" si="18"/>
        <v>3.1902171896247125E-2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M104">
        <v>0</v>
      </c>
      <c r="N104">
        <v>2.027710621926528</v>
      </c>
      <c r="O104">
        <v>0</v>
      </c>
      <c r="S104" s="3">
        <f t="shared" ca="1" si="19"/>
        <v>82.940891642587076</v>
      </c>
      <c r="T104" s="3">
        <f t="shared" ca="1" si="18"/>
        <v>0.30758559532981433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M105">
        <v>0</v>
      </c>
      <c r="N105">
        <v>0</v>
      </c>
      <c r="O105">
        <v>0.40487068792543751</v>
      </c>
      <c r="S105" s="3">
        <f t="shared" ca="1" si="19"/>
        <v>8.1021923474921262</v>
      </c>
      <c r="T105" s="3">
        <f t="shared" ca="1" si="18"/>
        <v>3.0046911810632397E-2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S106" s="3">
        <f t="shared" ca="1" si="19"/>
        <v>12.28337317711207</v>
      </c>
      <c r="T106" s="3">
        <f t="shared" ca="1" si="18"/>
        <v>4.5552785562294688E-2</v>
      </c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array" ref="M107:O109">SVDD(B107:K109)</f>
        <v>2.8821837219768947</v>
      </c>
      <c r="N107">
        <v>0</v>
      </c>
      <c r="O107">
        <v>0</v>
      </c>
      <c r="Q107">
        <f t="shared" ref="Q107" si="29">MAX(M107,N108,O109)/MIN(M107,N108,O109)</f>
        <v>6.5789103410788252</v>
      </c>
      <c r="S107" s="3">
        <f t="shared" ca="1" si="19"/>
        <v>8.5657725473492619</v>
      </c>
      <c r="T107" s="3">
        <f t="shared" ca="1" si="18"/>
        <v>3.1766095061888357E-2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M108">
        <v>0</v>
      </c>
      <c r="N108">
        <v>1.9213521116360994</v>
      </c>
      <c r="O108">
        <v>0</v>
      </c>
      <c r="S108" s="3">
        <f t="shared" ca="1" si="19"/>
        <v>5.2210583961793118</v>
      </c>
      <c r="T108" s="3">
        <f t="shared" ca="1" si="18"/>
        <v>1.9362250914312061E-2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M109">
        <v>0</v>
      </c>
      <c r="N109">
        <v>0</v>
      </c>
      <c r="O109">
        <v>0.43809439140407369</v>
      </c>
      <c r="S109" s="3">
        <f t="shared" ca="1" si="19"/>
        <v>6.8911211698737791</v>
      </c>
      <c r="T109" s="3">
        <f t="shared" ca="1" si="18"/>
        <v>2.5555664588939285E-2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S110" s="3">
        <f t="shared" ca="1" si="19"/>
        <v>9.9092391709234864</v>
      </c>
      <c r="T110" s="3">
        <f t="shared" ca="1" si="18"/>
        <v>3.6748329675407206E-2</v>
      </c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array" ref="M111:O113">SVDD(B111:K113)</f>
        <v>2.7845138134029295</v>
      </c>
      <c r="N111">
        <v>0</v>
      </c>
      <c r="O111">
        <v>0</v>
      </c>
      <c r="Q111">
        <f t="shared" ref="Q111" si="30">MAX(M111,N112,O113)/MIN(M111,N112,O113)</f>
        <v>3.1635782706465303</v>
      </c>
      <c r="S111" s="3">
        <f t="shared" ca="1" si="19"/>
        <v>7.5518030681261905</v>
      </c>
      <c r="T111" s="3">
        <f t="shared" ca="1" si="18"/>
        <v>2.8005797822053164E-2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M112">
        <v>0</v>
      </c>
      <c r="N112">
        <v>2.0054269632784743</v>
      </c>
      <c r="O112">
        <v>0</v>
      </c>
      <c r="S112" s="3">
        <f t="shared" ca="1" si="19"/>
        <v>25.738458659751533</v>
      </c>
      <c r="T112" s="3">
        <f t="shared" ca="1" si="18"/>
        <v>9.5450856301941625E-2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M113">
        <v>0</v>
      </c>
      <c r="N113">
        <v>0</v>
      </c>
      <c r="O113">
        <v>0.8801785747611256</v>
      </c>
      <c r="S113" s="3">
        <f t="shared" ca="1" si="19"/>
        <v>8.2412886610281166</v>
      </c>
      <c r="T113" s="3">
        <f t="shared" ca="1" si="18"/>
        <v>3.0562749313218177E-2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S114" s="3">
        <f t="shared" ca="1" si="19"/>
        <v>5.1379725144449369</v>
      </c>
      <c r="T114" s="3">
        <f t="shared" ca="1" si="18"/>
        <v>1.9054127624452848E-2</v>
      </c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array" ref="M115:O117">SVDD(B115:K117)</f>
        <v>3.4360681998087372</v>
      </c>
      <c r="N115">
        <v>0</v>
      </c>
      <c r="O115">
        <v>0</v>
      </c>
      <c r="Q115">
        <f t="shared" ref="Q115" si="31">MAX(M115,N116,O117)/MIN(M115,N116,O117)</f>
        <v>16.194013576122387</v>
      </c>
      <c r="S115" s="3">
        <f t="shared" ca="1" si="19"/>
        <v>5.810361971956044</v>
      </c>
      <c r="T115" s="3">
        <f t="shared" ca="1" si="18"/>
        <v>2.1547678242081508E-2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M116">
        <v>0</v>
      </c>
      <c r="N116">
        <v>1.6531028143665127</v>
      </c>
      <c r="O116">
        <v>0</v>
      </c>
      <c r="S116" s="3">
        <f t="shared" ca="1" si="19"/>
        <v>4.710506893207592</v>
      </c>
      <c r="T116" s="3">
        <f t="shared" ca="1" si="18"/>
        <v>1.7468874982632849E-2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M117">
        <v>0</v>
      </c>
      <c r="N117">
        <v>0</v>
      </c>
      <c r="O117">
        <v>0.21218138317946839</v>
      </c>
      <c r="S117" s="3">
        <f t="shared" ca="1" si="19"/>
        <v>6.8145757617665703</v>
      </c>
      <c r="T117" s="3">
        <f t="shared" ca="1" si="18"/>
        <v>2.5271796590221867E-2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S118" s="3">
        <f t="shared" ca="1" si="19"/>
        <v>8.9936365913164718</v>
      </c>
      <c r="T118" s="3">
        <f t="shared" ca="1" si="18"/>
        <v>3.3352825251033107E-2</v>
      </c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array" ref="M119:O121">SVDD(B119:K121)</f>
        <v>3.5704860045564057</v>
      </c>
      <c r="N119">
        <v>0</v>
      </c>
      <c r="O119">
        <v>0</v>
      </c>
      <c r="Q119">
        <f t="shared" ref="Q119" si="32">MAX(M119,N120,O121)/MIN(M119,N120,O121)</f>
        <v>21.15355593936761</v>
      </c>
      <c r="S119" s="3">
        <f t="shared" ca="1" si="19"/>
        <v>4.2900638844026995</v>
      </c>
      <c r="T119" s="3">
        <f t="shared" ca="1" si="18"/>
        <v>1.5909665639637201E-2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M120">
        <v>0</v>
      </c>
      <c r="N120">
        <v>1.4720499727800069</v>
      </c>
      <c r="O120">
        <v>0</v>
      </c>
      <c r="S120" s="3">
        <f t="shared" ca="1" si="19"/>
        <v>10.794703070737476</v>
      </c>
      <c r="T120" s="3">
        <f t="shared" ca="1" si="18"/>
        <v>4.0032065060613756E-2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M121">
        <v>0</v>
      </c>
      <c r="N121">
        <v>0</v>
      </c>
      <c r="O121">
        <v>0.16878892677857479</v>
      </c>
      <c r="S121" s="3">
        <f t="shared" ca="1" si="19"/>
        <v>13.028459479036709</v>
      </c>
      <c r="T121" s="3">
        <f t="shared" ca="1" si="18"/>
        <v>4.831593181272522E-2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S122" s="3">
        <f t="shared" ca="1" si="19"/>
        <v>5.1194752338322145</v>
      </c>
      <c r="T122" s="3">
        <f t="shared" ca="1" si="18"/>
        <v>1.8985530615708787E-2</v>
      </c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array" ref="M123:O125">SVDD(B123:K125)</f>
        <v>3.3374688467950961</v>
      </c>
      <c r="N123">
        <v>0</v>
      </c>
      <c r="O123">
        <v>0</v>
      </c>
      <c r="Q123">
        <f t="shared" ref="Q123" si="33">MAX(M123,N124,O125)/MIN(M123,N124,O125)</f>
        <v>5.3120058983562757</v>
      </c>
      <c r="S123" s="3">
        <f t="shared" ca="1" si="19"/>
        <v>177.60466000869823</v>
      </c>
      <c r="T123" s="3">
        <f t="shared" ca="1" si="18"/>
        <v>0.65864537986320526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M124">
        <v>0</v>
      </c>
      <c r="N124">
        <v>1.5723901061903838</v>
      </c>
      <c r="O124">
        <v>0</v>
      </c>
      <c r="S124" s="3">
        <f t="shared" ca="1" si="19"/>
        <v>40.369275445344705</v>
      </c>
      <c r="T124" s="3">
        <f t="shared" ca="1" si="18"/>
        <v>0.14970911663691269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M125">
        <v>0</v>
      </c>
      <c r="N125">
        <v>0</v>
      </c>
      <c r="O125">
        <v>0.62828786538580994</v>
      </c>
      <c r="S125" s="3">
        <f t="shared" ca="1" si="19"/>
        <v>172.0082323692053</v>
      </c>
      <c r="T125" s="3">
        <f t="shared" ca="1" si="18"/>
        <v>0.63789107528408984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S126" s="3">
        <f t="shared" ca="1" si="19"/>
        <v>12.984376742891696</v>
      </c>
      <c r="T126" s="3">
        <f t="shared" ca="1" si="18"/>
        <v>4.8152451358483651E-2</v>
      </c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array" ref="M127:O129">SVDD(B127:K129)</f>
        <v>3.418748904550704</v>
      </c>
      <c r="N127">
        <v>0</v>
      </c>
      <c r="O127">
        <v>0</v>
      </c>
      <c r="Q127">
        <f t="shared" ref="Q127" si="34">MAX(M127,N128,O129)/MIN(M127,N128,O129)</f>
        <v>13.882516621605925</v>
      </c>
      <c r="S127" s="3">
        <f t="shared" ca="1" si="19"/>
        <v>40.88530037383439</v>
      </c>
      <c r="T127" s="3">
        <f t="shared" ca="1" si="18"/>
        <v>0.15162279072084342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M128">
        <v>0</v>
      </c>
      <c r="N128">
        <v>1.8647554085992226</v>
      </c>
      <c r="O128">
        <v>0</v>
      </c>
      <c r="S128" s="3">
        <f t="shared" ca="1" si="19"/>
        <v>237.13303108212696</v>
      </c>
      <c r="T128" s="3">
        <f t="shared" ca="1" si="18"/>
        <v>0.87940584063251204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M129">
        <v>0</v>
      </c>
      <c r="N129">
        <v>0</v>
      </c>
      <c r="O129">
        <v>0.246262907348511</v>
      </c>
      <c r="S129" s="3">
        <f t="shared" ca="1" si="19"/>
        <v>10.770179532811747</v>
      </c>
      <c r="T129" s="3">
        <f t="shared" ca="1" si="18"/>
        <v>3.9941119727580875E-2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S130" s="3">
        <f t="shared" ca="1" si="19"/>
        <v>32.088271263260225</v>
      </c>
      <c r="T130" s="3">
        <f t="shared" ca="1" si="18"/>
        <v>0.11899908264968116</v>
      </c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array" ref="M131:O133">SVDD(B131:K133)</f>
        <v>3.4450092607058704</v>
      </c>
      <c r="N131">
        <v>0</v>
      </c>
      <c r="O131">
        <v>0</v>
      </c>
      <c r="Q131">
        <f t="shared" ref="Q131" si="35">MAX(M131,N132,O133)/MIN(M131,N132,O133)</f>
        <v>4.7226020324850646</v>
      </c>
      <c r="S131" s="3">
        <f t="shared" ca="1" si="19"/>
        <v>10.941950508120014</v>
      </c>
      <c r="T131" s="3">
        <f t="shared" ca="1" si="18"/>
        <v>4.0578130937060662E-2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M132">
        <v>0</v>
      </c>
      <c r="N132">
        <v>1.7846013826103262</v>
      </c>
      <c r="O132">
        <v>0</v>
      </c>
      <c r="S132" s="3">
        <f t="shared" ca="1" si="19"/>
        <v>7.2014361283888002</v>
      </c>
      <c r="T132" s="3">
        <f t="shared" ref="T132:T195" ca="1" si="36">S132/$U$3</f>
        <v>2.6706464988649242E-2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M133">
        <v>0</v>
      </c>
      <c r="N133">
        <v>0</v>
      </c>
      <c r="O133">
        <v>0.72947270106794992</v>
      </c>
      <c r="S133" s="3">
        <f t="shared" ref="S133:S196" ca="1" si="37">OFFSET($Q$3,4*(ROW(A131)-1),0,1,1)</f>
        <v>69.431742912131241</v>
      </c>
      <c r="T133" s="3">
        <f t="shared" ca="1" si="36"/>
        <v>0.25748703149278518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S134" s="3">
        <f t="shared" ca="1" si="37"/>
        <v>228.27570493219164</v>
      </c>
      <c r="T134" s="3">
        <f t="shared" ca="1" si="36"/>
        <v>0.84655852150073518</v>
      </c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array" ref="M135:O137">SVDD(B135:K137)</f>
        <v>3.5387380821554189</v>
      </c>
      <c r="N135">
        <v>0</v>
      </c>
      <c r="O135">
        <v>0</v>
      </c>
      <c r="Q135">
        <f t="shared" ref="Q135" si="38">MAX(M135,N136,O137)/MIN(M135,N136,O137)</f>
        <v>13.789128369163835</v>
      </c>
      <c r="S135" s="3">
        <f t="shared" ca="1" si="37"/>
        <v>14.252081848226494</v>
      </c>
      <c r="T135" s="3">
        <f t="shared" ca="1" si="36"/>
        <v>5.2853725022231381E-2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M136">
        <v>0</v>
      </c>
      <c r="N136">
        <v>1.4348501140821788</v>
      </c>
      <c r="O136">
        <v>0</v>
      </c>
      <c r="S136" s="3">
        <f t="shared" ca="1" si="37"/>
        <v>37.594369194572131</v>
      </c>
      <c r="T136" s="3">
        <f t="shared" ca="1" si="36"/>
        <v>0.13941840026981189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M137">
        <v>0</v>
      </c>
      <c r="N137">
        <v>0</v>
      </c>
      <c r="O137">
        <v>0.25663247069836409</v>
      </c>
      <c r="S137" s="3">
        <f t="shared" ca="1" si="37"/>
        <v>6.2549154864123224</v>
      </c>
      <c r="T137" s="3">
        <f t="shared" ca="1" si="36"/>
        <v>2.319630119141312E-2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S138" s="3">
        <f t="shared" ca="1" si="37"/>
        <v>7.9257540982845152</v>
      </c>
      <c r="T138" s="3">
        <f t="shared" ca="1" si="36"/>
        <v>2.9392592055362154E-2</v>
      </c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array" ref="M139:O141">SVDD(B139:K141)</f>
        <v>3.9134147348340691</v>
      </c>
      <c r="N139">
        <v>0</v>
      </c>
      <c r="O139">
        <v>0</v>
      </c>
      <c r="Q139">
        <f t="shared" ref="Q139" si="39">MAX(M139,N140,O141)/MIN(M139,N140,O141)</f>
        <v>6.4208801705859262</v>
      </c>
      <c r="S139" s="3">
        <f t="shared" ca="1" si="37"/>
        <v>49.833318593905744</v>
      </c>
      <c r="T139" s="3">
        <f t="shared" ca="1" si="36"/>
        <v>0.18480644062785115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M140">
        <v>0</v>
      </c>
      <c r="N140">
        <v>1.1639885101048859</v>
      </c>
      <c r="O140">
        <v>0</v>
      </c>
      <c r="S140" s="3">
        <f t="shared" ca="1" si="37"/>
        <v>6.749149426448394</v>
      </c>
      <c r="T140" s="3">
        <f t="shared" ca="1" si="36"/>
        <v>2.5029163578922573E-2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M141">
        <v>0</v>
      </c>
      <c r="N141">
        <v>0</v>
      </c>
      <c r="O141">
        <v>0.60948259909310176</v>
      </c>
      <c r="S141" s="3">
        <f t="shared" ca="1" si="37"/>
        <v>10.919007093562509</v>
      </c>
      <c r="T141" s="3">
        <f t="shared" ca="1" si="36"/>
        <v>4.0493045478177732E-2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S142" s="3">
        <f t="shared" ca="1" si="37"/>
        <v>5.9501735403854479</v>
      </c>
      <c r="T142" s="3">
        <f t="shared" ca="1" si="36"/>
        <v>2.2066168261391506E-2</v>
      </c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array" ref="M143:O145">SVDD(B143:K145)</f>
        <v>2.6417157160495068</v>
      </c>
      <c r="N143">
        <v>0</v>
      </c>
      <c r="O143">
        <v>0</v>
      </c>
      <c r="Q143">
        <f t="shared" ref="Q143" si="40">MAX(M143,N144,O145)/MIN(M143,N144,O145)</f>
        <v>4.045879529231728</v>
      </c>
      <c r="S143" s="3">
        <f t="shared" ca="1" si="37"/>
        <v>5.9223110259446923</v>
      </c>
      <c r="T143" s="3">
        <f t="shared" ca="1" si="36"/>
        <v>2.1962840362186178E-2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M144">
        <v>0</v>
      </c>
      <c r="N144">
        <v>0.85312275329735721</v>
      </c>
      <c r="O144">
        <v>0</v>
      </c>
      <c r="S144" s="3">
        <f t="shared" ca="1" si="37"/>
        <v>10.495580699246693</v>
      </c>
      <c r="T144" s="3">
        <f t="shared" ca="1" si="36"/>
        <v>3.892277227524156E-2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M145">
        <v>0</v>
      </c>
      <c r="N145">
        <v>0</v>
      </c>
      <c r="O145">
        <v>0.65293978650697548</v>
      </c>
      <c r="S145" s="3">
        <f t="shared" ca="1" si="37"/>
        <v>7.0240332854805123</v>
      </c>
      <c r="T145" s="3">
        <f t="shared" ca="1" si="36"/>
        <v>2.6048568045796396E-2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S146" s="3">
        <f t="shared" ca="1" si="37"/>
        <v>5.6271285163995781</v>
      </c>
      <c r="T146" s="3">
        <f t="shared" ca="1" si="36"/>
        <v>2.0868158521525047E-2</v>
      </c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array" ref="M147:O149">SVDD(B147:K149)</f>
        <v>3.8436971521941241</v>
      </c>
      <c r="N147">
        <v>0</v>
      </c>
      <c r="O147">
        <v>0</v>
      </c>
      <c r="Q147">
        <f t="shared" ref="Q147" si="41">MAX(M147,N148,O149)/MIN(M147,N148,O149)</f>
        <v>6.5541322768243271</v>
      </c>
      <c r="S147" s="3">
        <f t="shared" ca="1" si="37"/>
        <v>4.8997062053036835</v>
      </c>
      <c r="T147" s="3">
        <f t="shared" ca="1" si="36"/>
        <v>1.8170519031720771E-2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M148">
        <v>0</v>
      </c>
      <c r="N148">
        <v>0.83817950598003177</v>
      </c>
      <c r="O148">
        <v>0</v>
      </c>
      <c r="S148" s="3">
        <f t="shared" ca="1" si="37"/>
        <v>6.5861271662945571</v>
      </c>
      <c r="T148" s="3">
        <f t="shared" ca="1" si="36"/>
        <v>2.442459690561612E-2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M149">
        <v>0</v>
      </c>
      <c r="N149">
        <v>0</v>
      </c>
      <c r="O149">
        <v>0.586454009447687</v>
      </c>
      <c r="S149" s="3">
        <f t="shared" ca="1" si="37"/>
        <v>6.7013902944805617</v>
      </c>
      <c r="T149" s="3">
        <f t="shared" ca="1" si="36"/>
        <v>2.4852049241858729E-2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S150" s="3">
        <f t="shared" ca="1" si="37"/>
        <v>7.0321257689458081</v>
      </c>
      <c r="T150" s="3">
        <f t="shared" ca="1" si="36"/>
        <v>2.6078578952299498E-2</v>
      </c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array" ref="M151:O153">SVDD(B151:K153)</f>
        <v>2.6615519805018564</v>
      </c>
      <c r="N151">
        <v>0</v>
      </c>
      <c r="O151">
        <v>0</v>
      </c>
      <c r="Q151">
        <f t="shared" ref="Q151" si="42">MAX(M151,N152,O153)/MIN(M151,N152,O153)</f>
        <v>4.0309345388759619</v>
      </c>
      <c r="S151" s="3">
        <f t="shared" ca="1" si="37"/>
        <v>13.883112073102259</v>
      </c>
      <c r="T151" s="3">
        <f t="shared" ca="1" si="36"/>
        <v>5.1485403731096113E-2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M152">
        <v>0</v>
      </c>
      <c r="N152">
        <v>2.1195252843004391</v>
      </c>
      <c r="O152">
        <v>0</v>
      </c>
      <c r="S152" s="3">
        <f t="shared" ca="1" si="37"/>
        <v>10.942110783080427</v>
      </c>
      <c r="T152" s="3">
        <f t="shared" ca="1" si="36"/>
        <v>4.0578725315396108E-2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M153">
        <v>0</v>
      </c>
      <c r="N153">
        <v>0</v>
      </c>
      <c r="O153">
        <v>0.66028161827803789</v>
      </c>
      <c r="S153" s="3">
        <f t="shared" ca="1" si="37"/>
        <v>6.9655714964257749</v>
      </c>
      <c r="T153" s="3">
        <f t="shared" ca="1" si="36"/>
        <v>2.5831762995424664E-2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S154" s="3">
        <f t="shared" ca="1" si="37"/>
        <v>4.4447880023870185</v>
      </c>
      <c r="T154" s="3">
        <f t="shared" ca="1" si="36"/>
        <v>1.648345872287494E-2</v>
      </c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array" ref="M155:O157">SVDD(B155:K157)</f>
        <v>3.499753427348701</v>
      </c>
      <c r="N155">
        <v>0</v>
      </c>
      <c r="O155">
        <v>0</v>
      </c>
      <c r="Q155">
        <f t="shared" ref="Q155" si="43">MAX(M155,N156,O157)/MIN(M155,N156,O157)</f>
        <v>5.3159412452454919</v>
      </c>
      <c r="S155" s="3">
        <f t="shared" ca="1" si="37"/>
        <v>10.896753884057729</v>
      </c>
      <c r="T155" s="3">
        <f t="shared" ca="1" si="36"/>
        <v>4.0410519638896636E-2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M156">
        <v>0</v>
      </c>
      <c r="N156">
        <v>1.6025029892292972</v>
      </c>
      <c r="O156">
        <v>0</v>
      </c>
      <c r="S156" s="3">
        <f t="shared" ca="1" si="37"/>
        <v>4.5839562477202325</v>
      </c>
      <c r="T156" s="3">
        <f t="shared" ca="1" si="36"/>
        <v>1.6999562983922491E-2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M157">
        <v>0</v>
      </c>
      <c r="N157">
        <v>0</v>
      </c>
      <c r="O157">
        <v>0.65835066000378284</v>
      </c>
      <c r="S157" s="3">
        <f t="shared" ca="1" si="37"/>
        <v>9.2996464166492459</v>
      </c>
      <c r="T157" s="3">
        <f t="shared" ca="1" si="36"/>
        <v>3.4487660100739788E-2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S158" s="3">
        <f t="shared" ca="1" si="37"/>
        <v>197.45786878696865</v>
      </c>
      <c r="T158" s="3">
        <f t="shared" ca="1" si="36"/>
        <v>0.73227083674382443</v>
      </c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array" ref="M159:O161">SVDD(B159:K161)</f>
        <v>3.2921984873994838</v>
      </c>
      <c r="N159">
        <v>0</v>
      </c>
      <c r="O159">
        <v>0</v>
      </c>
      <c r="Q159">
        <f t="shared" ref="Q159" si="44">MAX(M159,N160,O161)/MIN(M159,N160,O161)</f>
        <v>5.1732648642378285</v>
      </c>
      <c r="S159" s="3">
        <f t="shared" ca="1" si="37"/>
        <v>131.53204865985026</v>
      </c>
      <c r="T159" s="3">
        <f t="shared" ca="1" si="36"/>
        <v>0.48778549025408341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M160">
        <v>0</v>
      </c>
      <c r="N160">
        <v>1.9675547628399761</v>
      </c>
      <c r="O160">
        <v>0</v>
      </c>
      <c r="S160" s="3">
        <f t="shared" ca="1" si="37"/>
        <v>125.15659561929162</v>
      </c>
      <c r="T160" s="3">
        <f t="shared" ca="1" si="36"/>
        <v>0.46414217656235307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M161">
        <v>0</v>
      </c>
      <c r="N161">
        <v>0</v>
      </c>
      <c r="O161">
        <v>0.63638699618070294</v>
      </c>
      <c r="S161" s="3">
        <f t="shared" ca="1" si="37"/>
        <v>11.323295361557118</v>
      </c>
      <c r="T161" s="3">
        <f t="shared" ca="1" si="36"/>
        <v>4.1992345101478749E-2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S162" s="3">
        <f t="shared" ca="1" si="37"/>
        <v>101.58825718762284</v>
      </c>
      <c r="T162" s="3">
        <f t="shared" ca="1" si="36"/>
        <v>0.37673919277628115</v>
      </c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array" ref="M163:O165">SVDD(B163:K165)</f>
        <v>3.1487274990450986</v>
      </c>
      <c r="N163">
        <v>0</v>
      </c>
      <c r="O163">
        <v>0</v>
      </c>
      <c r="Q163">
        <f t="shared" ref="Q163" si="45">MAX(M163,N164,O165)/MIN(M163,N164,O165)</f>
        <v>5.3189713164394092</v>
      </c>
      <c r="S163" s="3">
        <f t="shared" ca="1" si="37"/>
        <v>269.6514170426355</v>
      </c>
      <c r="T163" s="3">
        <f t="shared" ca="1" si="36"/>
        <v>1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M164">
        <v>0</v>
      </c>
      <c r="N164">
        <v>1.0120154315166527</v>
      </c>
      <c r="O164">
        <v>0</v>
      </c>
      <c r="S164" s="3">
        <f t="shared" ca="1" si="37"/>
        <v>19.524354816003182</v>
      </c>
      <c r="T164" s="3">
        <f t="shared" ca="1" si="36"/>
        <v>7.2405904742255153E-2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M165">
        <v>0</v>
      </c>
      <c r="N165">
        <v>0</v>
      </c>
      <c r="O165">
        <v>0.59198053753613755</v>
      </c>
      <c r="S165" s="3">
        <f t="shared" ca="1" si="37"/>
        <v>57.307011254448241</v>
      </c>
      <c r="T165" s="3">
        <f t="shared" ca="1" si="36"/>
        <v>0.21252256666386157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S166" s="3">
        <f t="shared" ca="1" si="37"/>
        <v>7.3302861116818709</v>
      </c>
      <c r="T166" s="3">
        <f t="shared" ca="1" si="36"/>
        <v>2.7184304062169474E-2</v>
      </c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array" ref="M167:O169">SVDD(B167:K169)</f>
        <v>2.3072516226142086</v>
      </c>
      <c r="N167">
        <v>0</v>
      </c>
      <c r="O167">
        <v>0</v>
      </c>
      <c r="Q167">
        <f t="shared" ref="Q167" si="46">MAX(M167,N168,O169)/MIN(M167,N168,O169)</f>
        <v>14.85523525458103</v>
      </c>
      <c r="S167" s="3">
        <f t="shared" ca="1" si="37"/>
        <v>8.4963031929361694</v>
      </c>
      <c r="T167" s="3">
        <f t="shared" ca="1" si="36"/>
        <v>3.1508468548462294E-2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M168">
        <v>0</v>
      </c>
      <c r="N168">
        <v>1.4605838672752147</v>
      </c>
      <c r="O168">
        <v>0</v>
      </c>
      <c r="S168" s="3">
        <f t="shared" ca="1" si="37"/>
        <v>67.763996770762134</v>
      </c>
      <c r="T168" s="3">
        <f t="shared" ca="1" si="36"/>
        <v>0.2513022090295477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M169">
        <v>0</v>
      </c>
      <c r="N169">
        <v>0</v>
      </c>
      <c r="O169">
        <v>0.15531572425974893</v>
      </c>
      <c r="S169" s="3">
        <f t="shared" ca="1" si="37"/>
        <v>137.96747234834424</v>
      </c>
      <c r="T169" s="3">
        <f t="shared" ca="1" si="36"/>
        <v>0.51165120458658575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S170" s="3">
        <f t="shared" ca="1" si="37"/>
        <v>8.9570652746343455</v>
      </c>
      <c r="T170" s="3">
        <f t="shared" ca="1" si="36"/>
        <v>3.3217200832355034E-2</v>
      </c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array" ref="M171:O173">SVDD(B171:K173)</f>
        <v>2.9900320657414969</v>
      </c>
      <c r="N171">
        <v>0</v>
      </c>
      <c r="O171">
        <v>0</v>
      </c>
      <c r="Q171">
        <f t="shared" ref="Q171" si="47">MAX(M171,N172,O173)/MIN(M171,N172,O173)</f>
        <v>7.8822944284939442</v>
      </c>
      <c r="S171" s="3">
        <f t="shared" ca="1" si="37"/>
        <v>54.227302279416904</v>
      </c>
      <c r="T171" s="3">
        <f t="shared" ca="1" si="36"/>
        <v>0.2011014919711801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M172">
        <v>0</v>
      </c>
      <c r="N172">
        <v>1.278338202753706</v>
      </c>
      <c r="O172">
        <v>0</v>
      </c>
      <c r="S172" s="3">
        <f t="shared" ca="1" si="37"/>
        <v>5.9589381025828034</v>
      </c>
      <c r="T172" s="3">
        <f t="shared" ca="1" si="36"/>
        <v>2.209867156618953E-2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M173">
        <v>0</v>
      </c>
      <c r="N173">
        <v>0</v>
      </c>
      <c r="O173">
        <v>0.37933524215141468</v>
      </c>
      <c r="S173" s="3">
        <f t="shared" ca="1" si="37"/>
        <v>7.5706772691542605</v>
      </c>
      <c r="T173" s="3">
        <f t="shared" ca="1" si="36"/>
        <v>2.8075792636970399E-2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S174" s="3">
        <f t="shared" ca="1" si="37"/>
        <v>51.984148807073701</v>
      </c>
      <c r="T174" s="3">
        <f t="shared" ca="1" si="36"/>
        <v>0.19278277628652071</v>
      </c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array" ref="M175:O177">SVDD(B175:K177)</f>
        <v>2.9671005918613447</v>
      </c>
      <c r="N175">
        <v>0</v>
      </c>
      <c r="O175">
        <v>0</v>
      </c>
      <c r="Q175">
        <f t="shared" ref="Q175" si="48">MAX(M175,N176,O177)/MIN(M175,N176,O177)</f>
        <v>31.150944964544813</v>
      </c>
      <c r="S175" s="3">
        <f t="shared" ca="1" si="37"/>
        <v>8.7365387211630789</v>
      </c>
      <c r="T175" s="3">
        <f t="shared" ca="1" si="36"/>
        <v>3.2399379973522317E-2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M176">
        <v>0</v>
      </c>
      <c r="N176">
        <v>1.3306738069337203</v>
      </c>
      <c r="O176">
        <v>0</v>
      </c>
      <c r="S176" s="3">
        <f t="shared" ca="1" si="37"/>
        <v>8.8191567327495761</v>
      </c>
      <c r="T176" s="3">
        <f t="shared" ca="1" si="36"/>
        <v>3.2705768170894309E-2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M177">
        <v>0</v>
      </c>
      <c r="N177">
        <v>0</v>
      </c>
      <c r="O177">
        <v>9.5249135948794514E-2</v>
      </c>
      <c r="S177" s="3">
        <f t="shared" ca="1" si="37"/>
        <v>9.0969079841042859</v>
      </c>
      <c r="T177" s="3">
        <f t="shared" ca="1" si="36"/>
        <v>3.3735806337950536E-2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S178" s="3">
        <f t="shared" ca="1" si="37"/>
        <v>6.7439838835765089</v>
      </c>
      <c r="T178" s="3">
        <f t="shared" ca="1" si="36"/>
        <v>2.5010007206860682E-2</v>
      </c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array" ref="M179:O181">SVDD(B179:K181)</f>
        <v>3.3302603597440386</v>
      </c>
      <c r="N179">
        <v>0</v>
      </c>
      <c r="O179">
        <v>0</v>
      </c>
      <c r="Q179">
        <f t="shared" ref="Q179" si="49">MAX(M179,N180,O181)/MIN(M179,N180,O181)</f>
        <v>5.1696480384522427</v>
      </c>
      <c r="S179" s="3">
        <f t="shared" ca="1" si="37"/>
        <v>24.854741469633339</v>
      </c>
      <c r="T179" s="3">
        <f t="shared" ca="1" si="36"/>
        <v>9.2173598574872215E-2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M180">
        <v>0</v>
      </c>
      <c r="N180">
        <v>1.9138671650549792</v>
      </c>
      <c r="O180">
        <v>0</v>
      </c>
      <c r="S180" s="3">
        <f t="shared" ca="1" si="37"/>
        <v>6.7600261934823944</v>
      </c>
      <c r="T180" s="3">
        <f t="shared" ca="1" si="36"/>
        <v>2.5069499977497037E-2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M181">
        <v>0</v>
      </c>
      <c r="N181">
        <v>0</v>
      </c>
      <c r="O181">
        <v>0.6441947952690984</v>
      </c>
      <c r="S181" s="3">
        <f t="shared" ca="1" si="37"/>
        <v>7.6432814060471879</v>
      </c>
      <c r="T181" s="3">
        <f t="shared" ca="1" si="36"/>
        <v>2.8345044464716026E-2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S182" s="3">
        <f t="shared" ca="1" si="37"/>
        <v>30.406937748135228</v>
      </c>
      <c r="T182" s="3">
        <f t="shared" ca="1" si="36"/>
        <v>0.11276387152576128</v>
      </c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array" ref="M183:O185">SVDD(B183:K185)</f>
        <v>4.0661822175536635</v>
      </c>
      <c r="N183">
        <v>0</v>
      </c>
      <c r="O183">
        <v>0</v>
      </c>
      <c r="Q183">
        <f t="shared" ref="Q183" si="50">MAX(M183,N184,O185)/MIN(M183,N184,O185)</f>
        <v>7.1651302544625262</v>
      </c>
      <c r="S183" s="3">
        <f t="shared" ca="1" si="37"/>
        <v>7.3872884282208222</v>
      </c>
      <c r="T183" s="3">
        <f t="shared" ca="1" si="36"/>
        <v>2.7395696671057335E-2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M184">
        <v>0</v>
      </c>
      <c r="N184">
        <v>1.245036688580385</v>
      </c>
      <c r="O184">
        <v>0</v>
      </c>
      <c r="S184" s="3">
        <f t="shared" ca="1" si="37"/>
        <v>11.407017699081383</v>
      </c>
      <c r="T184" s="3">
        <f t="shared" ca="1" si="36"/>
        <v>4.230282868225306E-2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M185">
        <v>0</v>
      </c>
      <c r="N185">
        <v>0</v>
      </c>
      <c r="O185">
        <v>0.56749592444899355</v>
      </c>
      <c r="S185" s="3">
        <f t="shared" ca="1" si="37"/>
        <v>7.7042383117965842</v>
      </c>
      <c r="T185" s="3">
        <f t="shared" ca="1" si="36"/>
        <v>2.857110263425184E-2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S186" s="3">
        <f t="shared" ca="1" si="37"/>
        <v>4.6357090519507596</v>
      </c>
      <c r="T186" s="3">
        <f t="shared" ca="1" si="36"/>
        <v>1.7191487820803077E-2</v>
      </c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array" ref="M187:O189">SVDD(B187:K189)</f>
        <v>3.8892183765281794</v>
      </c>
      <c r="N187">
        <v>0</v>
      </c>
      <c r="O187">
        <v>0</v>
      </c>
      <c r="Q187">
        <f t="shared" ref="Q187" si="51">MAX(M187,N188,O189)/MIN(M187,N188,O189)</f>
        <v>5.0196527057554077</v>
      </c>
      <c r="S187" s="3">
        <f t="shared" ca="1" si="37"/>
        <v>8.6702125209460892</v>
      </c>
      <c r="T187" s="3">
        <f t="shared" ca="1" si="36"/>
        <v>3.2153409820854795E-2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M188">
        <v>0</v>
      </c>
      <c r="N188">
        <v>1.5952396003055305</v>
      </c>
      <c r="O188">
        <v>0</v>
      </c>
      <c r="S188" s="3">
        <f t="shared" ca="1" si="37"/>
        <v>10.82052253532785</v>
      </c>
      <c r="T188" s="3">
        <f t="shared" ca="1" si="36"/>
        <v>4.0127816326724443E-2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M189">
        <v>0</v>
      </c>
      <c r="N189">
        <v>0</v>
      </c>
      <c r="O189">
        <v>0.77479829870877304</v>
      </c>
      <c r="S189" s="3">
        <f t="shared" ca="1" si="37"/>
        <v>12.491015365653295</v>
      </c>
      <c r="T189" s="3">
        <f t="shared" ca="1" si="36"/>
        <v>4.6322824862731198E-2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S190" s="3">
        <f t="shared" ca="1" si="37"/>
        <v>13.999889977775659</v>
      </c>
      <c r="T190" s="3">
        <f t="shared" ca="1" si="36"/>
        <v>5.1918473603133668E-2</v>
      </c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array" ref="M191:O193">SVDD(B191:K193)</f>
        <v>3.4454962580752952</v>
      </c>
      <c r="N191">
        <v>0</v>
      </c>
      <c r="O191">
        <v>0</v>
      </c>
      <c r="Q191">
        <f t="shared" ref="Q191" si="52">MAX(M191,N192,O193)/MIN(M191,N192,O193)</f>
        <v>8.0131744696932721</v>
      </c>
      <c r="S191" s="3">
        <f t="shared" ca="1" si="37"/>
        <v>4.0498565184144342</v>
      </c>
      <c r="T191" s="3">
        <f t="shared" ca="1" si="36"/>
        <v>1.5018858654001056E-2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M192">
        <v>0</v>
      </c>
      <c r="N192">
        <v>1.5941821282006237</v>
      </c>
      <c r="O192">
        <v>0</v>
      </c>
      <c r="S192" s="3">
        <f t="shared" ca="1" si="37"/>
        <v>4.3692129899913237</v>
      </c>
      <c r="T192" s="3">
        <f t="shared" ca="1" si="36"/>
        <v>1.6203189428448256E-2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M193">
        <v>0</v>
      </c>
      <c r="N193">
        <v>0</v>
      </c>
      <c r="O193">
        <v>0.4299789391965132</v>
      </c>
      <c r="S193" s="3">
        <f t="shared" ca="1" si="37"/>
        <v>78.646767274648326</v>
      </c>
      <c r="T193" s="3">
        <f t="shared" ca="1" si="36"/>
        <v>0.29166087142131808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S194" s="3">
        <f t="shared" ca="1" si="37"/>
        <v>164.28773400149754</v>
      </c>
      <c r="T194" s="3">
        <f t="shared" ca="1" si="36"/>
        <v>0.60925967236998224</v>
      </c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array" ref="M195:O197">SVDD(B195:K197)</f>
        <v>3.4752349201230679</v>
      </c>
      <c r="N195">
        <v>0</v>
      </c>
      <c r="O195">
        <v>0</v>
      </c>
      <c r="Q195">
        <f t="shared" ref="Q195" si="53">MAX(M195,N196,O197)/MIN(M195,N196,O197)</f>
        <v>35.423022168475093</v>
      </c>
      <c r="S195" s="3">
        <f t="shared" ca="1" si="37"/>
        <v>48.188025421310236</v>
      </c>
      <c r="T195" s="3">
        <f t="shared" ca="1" si="36"/>
        <v>0.17870488480945407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M196">
        <v>0</v>
      </c>
      <c r="N196">
        <v>1.5414200921863905</v>
      </c>
      <c r="O196">
        <v>0</v>
      </c>
      <c r="S196" s="3">
        <f t="shared" ca="1" si="37"/>
        <v>5.3852378456834185</v>
      </c>
      <c r="T196" s="3">
        <f t="shared" ref="T196:T259" ca="1" si="54">S196/$U$3</f>
        <v>1.9971109014539093E-2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M197">
        <v>0</v>
      </c>
      <c r="N197">
        <v>0</v>
      </c>
      <c r="O197">
        <v>9.8106674907480707E-2</v>
      </c>
      <c r="S197" s="3">
        <f t="shared" ref="S197:S260" ca="1" si="55">OFFSET($Q$3,4*(ROW(A195)-1),0,1,1)</f>
        <v>60.784735341936909</v>
      </c>
      <c r="T197" s="3">
        <f t="shared" ca="1" si="54"/>
        <v>0.22541967703557822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S198" s="3">
        <f t="shared" ca="1" si="55"/>
        <v>43.634163887742503</v>
      </c>
      <c r="T198" s="3">
        <f t="shared" ca="1" si="54"/>
        <v>0.16181692781849299</v>
      </c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array" ref="M199:O201">SVDD(B199:K201)</f>
        <v>3.9812230661769319</v>
      </c>
      <c r="N199">
        <v>0</v>
      </c>
      <c r="O199">
        <v>0</v>
      </c>
      <c r="Q199">
        <f t="shared" ref="Q199" si="56">MAX(M199,N200,O201)/MIN(M199,N200,O201)</f>
        <v>6.0247613775243192</v>
      </c>
      <c r="S199" s="3">
        <f t="shared" ca="1" si="55"/>
        <v>15.843396978505577</v>
      </c>
      <c r="T199" s="3">
        <f t="shared" ca="1" si="54"/>
        <v>5.8755103727122351E-2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M200">
        <v>0</v>
      </c>
      <c r="N200">
        <v>1.1889275776559798</v>
      </c>
      <c r="O200">
        <v>0</v>
      </c>
      <c r="S200" s="3">
        <f t="shared" ca="1" si="55"/>
        <v>47.083606103164364</v>
      </c>
      <c r="T200" s="3">
        <f t="shared" ca="1" si="54"/>
        <v>0.17460915510679409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M201">
        <v>0</v>
      </c>
      <c r="N201">
        <v>0</v>
      </c>
      <c r="O201">
        <v>0.6608100830398177</v>
      </c>
      <c r="S201" s="3">
        <f t="shared" ca="1" si="55"/>
        <v>4.2316219886590369</v>
      </c>
      <c r="T201" s="3">
        <f t="shared" ca="1" si="54"/>
        <v>1.569293436344138E-2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S202" s="3">
        <f t="shared" ca="1" si="55"/>
        <v>3.7419183861965877</v>
      </c>
      <c r="T202" s="3">
        <f t="shared" ca="1" si="54"/>
        <v>1.3876872694516344E-2</v>
      </c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array" ref="M203:O205">SVDD(B203:K205)</f>
        <v>3.6377802542283053</v>
      </c>
      <c r="N203">
        <v>0</v>
      </c>
      <c r="O203">
        <v>0</v>
      </c>
      <c r="Q203">
        <f t="shared" ref="Q203" si="57">MAX(M203,N204,O205)/MIN(M203,N204,O205)</f>
        <v>163.93051054852472</v>
      </c>
      <c r="S203" s="3">
        <f t="shared" ca="1" si="55"/>
        <v>73.679012294102208</v>
      </c>
      <c r="T203" s="3">
        <f t="shared" ca="1" si="54"/>
        <v>0.27323799408201355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M204">
        <v>0</v>
      </c>
      <c r="N204">
        <v>1.0986683080343773</v>
      </c>
      <c r="O204">
        <v>0</v>
      </c>
      <c r="S204" s="3">
        <f t="shared" ca="1" si="55"/>
        <v>32.69671686372822</v>
      </c>
      <c r="T204" s="3">
        <f t="shared" ca="1" si="54"/>
        <v>0.12125549801415815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M205">
        <v>0</v>
      </c>
      <c r="N205">
        <v>0</v>
      </c>
      <c r="O205">
        <v>2.2190989597092078E-2</v>
      </c>
      <c r="S205" s="3">
        <f t="shared" ca="1" si="55"/>
        <v>5.148520595378665</v>
      </c>
      <c r="T205" s="3">
        <f t="shared" ca="1" si="54"/>
        <v>1.9093245093403738E-2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S206" s="3">
        <f t="shared" ca="1" si="55"/>
        <v>96.954240197925813</v>
      </c>
      <c r="T206" s="3">
        <f t="shared" ca="1" si="54"/>
        <v>0.35955397995403837</v>
      </c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array" ref="M207:O209">SVDD(B207:K209)</f>
        <v>2.3751718679337839</v>
      </c>
      <c r="N207">
        <v>0</v>
      </c>
      <c r="O207">
        <v>0</v>
      </c>
      <c r="Q207">
        <f t="shared" ref="Q207" si="58">MAX(M207,N208,O209)/MIN(M207,N208,O209)</f>
        <v>47.204073716051319</v>
      </c>
      <c r="S207" s="3">
        <f t="shared" ca="1" si="55"/>
        <v>8.4915819675423769</v>
      </c>
      <c r="T207" s="3">
        <f t="shared" ca="1" si="54"/>
        <v>3.1490959924010874E-2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M208">
        <v>0</v>
      </c>
      <c r="N208">
        <v>2.233556281085284</v>
      </c>
      <c r="O208">
        <v>0</v>
      </c>
      <c r="S208" s="3">
        <f t="shared" ca="1" si="55"/>
        <v>6.3895223243581478</v>
      </c>
      <c r="T208" s="3">
        <f t="shared" ca="1" si="54"/>
        <v>2.369548951173462E-2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M209">
        <v>0</v>
      </c>
      <c r="N209">
        <v>0</v>
      </c>
      <c r="O209">
        <v>5.0317095135077886E-2</v>
      </c>
      <c r="S209" s="3">
        <f t="shared" ca="1" si="55"/>
        <v>36.278174600082131</v>
      </c>
      <c r="T209" s="3">
        <f t="shared" ca="1" si="54"/>
        <v>0.13453730374554668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S210" s="3">
        <f t="shared" ca="1" si="55"/>
        <v>4.1592918598828774</v>
      </c>
      <c r="T210" s="3">
        <f t="shared" ca="1" si="54"/>
        <v>1.5424698692479847E-2</v>
      </c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array" ref="M211:O213">SVDD(B211:K213)</f>
        <v>3.3259671650553737</v>
      </c>
      <c r="N211">
        <v>0</v>
      </c>
      <c r="O211">
        <v>0</v>
      </c>
      <c r="Q211">
        <f t="shared" ref="Q211" si="59">MAX(M211,N212,O213)/MIN(M211,N212,O213)</f>
        <v>181.92329907450147</v>
      </c>
      <c r="S211" s="3">
        <f t="shared" ca="1" si="55"/>
        <v>3.3404308278328063</v>
      </c>
      <c r="T211" s="3">
        <f t="shared" ca="1" si="54"/>
        <v>1.2387959479199174E-2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M212">
        <v>0</v>
      </c>
      <c r="N212">
        <v>1.675664743468094</v>
      </c>
      <c r="O212">
        <v>0</v>
      </c>
      <c r="S212" s="3">
        <f t="shared" ca="1" si="55"/>
        <v>8.7574243061677581</v>
      </c>
      <c r="T212" s="3">
        <f t="shared" ca="1" si="54"/>
        <v>3.2476833988909069E-2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M213">
        <v>0</v>
      </c>
      <c r="N213">
        <v>0</v>
      </c>
      <c r="O213">
        <v>1.8282249618248838E-2</v>
      </c>
      <c r="S213" s="3">
        <f t="shared" ca="1" si="55"/>
        <v>6.2941290610552088</v>
      </c>
      <c r="T213" s="3">
        <f t="shared" ca="1" si="54"/>
        <v>2.3341724401396424E-2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S214" s="3">
        <f t="shared" ca="1" si="55"/>
        <v>14.934482625686957</v>
      </c>
      <c r="T214" s="3">
        <f t="shared" ca="1" si="54"/>
        <v>5.5384402535239102E-2</v>
      </c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array" ref="M215:O217">SVDD(B215:K217)</f>
        <v>3.1222579643854318</v>
      </c>
      <c r="N215">
        <v>0</v>
      </c>
      <c r="O215">
        <v>0</v>
      </c>
      <c r="Q215">
        <f t="shared" ref="Q215" si="60">MAX(M215,N216,O217)/MIN(M215,N216,O217)</f>
        <v>15.439891932673806</v>
      </c>
      <c r="S215" s="3">
        <f t="shared" ca="1" si="55"/>
        <v>6.4291447550836223</v>
      </c>
      <c r="T215" s="3">
        <f t="shared" ca="1" si="54"/>
        <v>2.3842428961043022E-2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M216">
        <v>0</v>
      </c>
      <c r="N216">
        <v>1.9864470575439508</v>
      </c>
      <c r="O216">
        <v>0</v>
      </c>
      <c r="S216" s="3">
        <f t="shared" ca="1" si="55"/>
        <v>8.8426748976303085</v>
      </c>
      <c r="T216" s="3">
        <f t="shared" ca="1" si="54"/>
        <v>3.2792985086490992E-2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M217">
        <v>0</v>
      </c>
      <c r="N217">
        <v>0</v>
      </c>
      <c r="O217">
        <v>0.20222019545215394</v>
      </c>
      <c r="S217" s="3">
        <f t="shared" ca="1" si="55"/>
        <v>3.9231362593986283</v>
      </c>
      <c r="T217" s="3">
        <f t="shared" ca="1" si="54"/>
        <v>1.4548917644954664E-2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S218" s="3">
        <f t="shared" ca="1" si="55"/>
        <v>6.0358778218424316</v>
      </c>
      <c r="T218" s="3">
        <f t="shared" ca="1" si="54"/>
        <v>2.2384001864481501E-2</v>
      </c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array" ref="M219:O221">SVDD(B219:K221)</f>
        <v>3.7358412624229818</v>
      </c>
      <c r="N219">
        <v>0</v>
      </c>
      <c r="O219">
        <v>0</v>
      </c>
      <c r="Q219">
        <f t="shared" ref="Q219" si="61">MAX(M219,N220,O221)/MIN(M219,N220,O221)</f>
        <v>146.1291626076848</v>
      </c>
      <c r="S219" s="3">
        <f t="shared" ca="1" si="55"/>
        <v>12.851721807810179</v>
      </c>
      <c r="T219" s="3">
        <f t="shared" ca="1" si="54"/>
        <v>4.7660501653429659E-2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M220">
        <v>0</v>
      </c>
      <c r="N220">
        <v>2.088840255835803</v>
      </c>
      <c r="O220">
        <v>0</v>
      </c>
      <c r="S220" s="3">
        <f t="shared" ca="1" si="55"/>
        <v>5.786596154939649</v>
      </c>
      <c r="T220" s="3">
        <f t="shared" ca="1" si="54"/>
        <v>2.1459542910633806E-2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M221">
        <v>0</v>
      </c>
      <c r="N221">
        <v>0</v>
      </c>
      <c r="O221">
        <v>2.5565336827753211E-2</v>
      </c>
      <c r="S221" s="3">
        <f t="shared" ca="1" si="55"/>
        <v>19.734340626295541</v>
      </c>
      <c r="T221" s="3">
        <f t="shared" ca="1" si="54"/>
        <v>7.3184635344138674E-2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S222" s="3">
        <f t="shared" ca="1" si="55"/>
        <v>6.7647735369449515</v>
      </c>
      <c r="T222" s="3">
        <f t="shared" ca="1" si="54"/>
        <v>2.508710546058562E-2</v>
      </c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array" ref="M223:O225">SVDD(B223:K225)</f>
        <v>4.3909321008022602</v>
      </c>
      <c r="N223">
        <v>0</v>
      </c>
      <c r="O223">
        <v>0</v>
      </c>
      <c r="Q223">
        <f t="shared" ref="Q223" si="62">MAX(M223,N224,O225)/MIN(M223,N224,O225)</f>
        <v>217.91974984155769</v>
      </c>
      <c r="S223" s="3">
        <f t="shared" ca="1" si="55"/>
        <v>14.966921549735527</v>
      </c>
      <c r="T223" s="3">
        <f t="shared" ca="1" si="54"/>
        <v>5.5504702010778076E-2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M224">
        <v>0</v>
      </c>
      <c r="N224">
        <v>1.5090472867106322</v>
      </c>
      <c r="O224">
        <v>0</v>
      </c>
      <c r="S224" s="3">
        <f t="shared" ca="1" si="55"/>
        <v>3.7361479571893801</v>
      </c>
      <c r="T224" s="3">
        <f t="shared" ca="1" si="54"/>
        <v>1.3855473107336369E-2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M225">
        <v>0</v>
      </c>
      <c r="N225">
        <v>0</v>
      </c>
      <c r="O225">
        <v>2.0149307733671514E-2</v>
      </c>
      <c r="S225" s="3">
        <f t="shared" ca="1" si="55"/>
        <v>7.2285145416857297</v>
      </c>
      <c r="T225" s="3">
        <f t="shared" ca="1" si="54"/>
        <v>2.6806885055392846E-2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S226" s="3">
        <f t="shared" ca="1" si="55"/>
        <v>6.3213261641669307</v>
      </c>
      <c r="T226" s="3">
        <f t="shared" ca="1" si="54"/>
        <v>2.344258462831458E-2</v>
      </c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array" ref="M227:O229">SVDD(B227:K229)</f>
        <v>4.173255001618184</v>
      </c>
      <c r="N227">
        <v>0</v>
      </c>
      <c r="O227">
        <v>0</v>
      </c>
      <c r="Q227">
        <f t="shared" ref="Q227" si="63">MAX(M227,N228,O229)/MIN(M227,N228,O229)</f>
        <v>19.326504194772792</v>
      </c>
      <c r="S227" s="3">
        <f t="shared" ca="1" si="55"/>
        <v>3.3117446814924647</v>
      </c>
      <c r="T227" s="3">
        <f t="shared" ca="1" si="54"/>
        <v>1.2281577148058649E-2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M228">
        <v>0</v>
      </c>
      <c r="N228">
        <v>1.9900615706110933</v>
      </c>
      <c r="O228">
        <v>0</v>
      </c>
      <c r="S228" s="3">
        <f t="shared" ca="1" si="55"/>
        <v>224.43467682103</v>
      </c>
      <c r="T228" s="3">
        <f t="shared" ca="1" si="54"/>
        <v>0.83231410122923211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M229">
        <v>0</v>
      </c>
      <c r="N229">
        <v>0</v>
      </c>
      <c r="O229">
        <v>0.21593429207683185</v>
      </c>
      <c r="S229" s="3">
        <f t="shared" ca="1" si="55"/>
        <v>158.60090624245987</v>
      </c>
      <c r="T229" s="3">
        <f t="shared" ca="1" si="54"/>
        <v>0.58817011971193511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S230" s="3">
        <f t="shared" ca="1" si="55"/>
        <v>45.103625783121565</v>
      </c>
      <c r="T230" s="3">
        <f t="shared" ca="1" si="54"/>
        <v>0.16726641483211668</v>
      </c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array" ref="M231:O233">SVDD(B231:K233)</f>
        <v>3.6353661072990926</v>
      </c>
      <c r="N231">
        <v>0</v>
      </c>
      <c r="O231">
        <v>0</v>
      </c>
      <c r="Q231">
        <f t="shared" ref="Q231" si="64">MAX(M231,N232,O233)/MIN(M231,N232,O233)</f>
        <v>55.666737264417236</v>
      </c>
      <c r="S231" s="3">
        <f t="shared" ca="1" si="55"/>
        <v>5.2656851392909605</v>
      </c>
      <c r="T231" s="3">
        <f t="shared" ca="1" si="54"/>
        <v>1.9527748813789415E-2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M232">
        <v>0</v>
      </c>
      <c r="N232">
        <v>2.1282622093756625</v>
      </c>
      <c r="O232">
        <v>0</v>
      </c>
      <c r="S232" s="3">
        <f t="shared" ca="1" si="55"/>
        <v>239.86414802535919</v>
      </c>
      <c r="T232" s="3">
        <f t="shared" ca="1" si="54"/>
        <v>0.8895341647228705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M233">
        <v>0</v>
      </c>
      <c r="N233">
        <v>0</v>
      </c>
      <c r="O233">
        <v>6.5305895152990345E-2</v>
      </c>
      <c r="S233" s="3">
        <f t="shared" ca="1" si="55"/>
        <v>71.353995389119376</v>
      </c>
      <c r="T233" s="3">
        <f t="shared" ca="1" si="54"/>
        <v>0.26461568854962608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S234" s="3">
        <f t="shared" ca="1" si="55"/>
        <v>10.585878351192873</v>
      </c>
      <c r="T234" s="3">
        <f t="shared" ca="1" si="54"/>
        <v>3.9257640353950386E-2</v>
      </c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array" ref="M235:O237">SVDD(B235:K237)</f>
        <v>3.5503219103127788</v>
      </c>
      <c r="N235">
        <v>0</v>
      </c>
      <c r="O235">
        <v>0</v>
      </c>
      <c r="Q235">
        <f t="shared" ref="Q235" si="65">MAX(M235,N236,O237)/MIN(M235,N236,O237)</f>
        <v>7.0831457304138894</v>
      </c>
      <c r="S235" s="3">
        <f t="shared" ca="1" si="55"/>
        <v>36.296242455828683</v>
      </c>
      <c r="T235" s="3">
        <f t="shared" ca="1" si="54"/>
        <v>0.13460430823580563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M236">
        <v>0</v>
      </c>
      <c r="N236">
        <v>2.1814547442452348</v>
      </c>
      <c r="O236">
        <v>0</v>
      </c>
      <c r="S236" s="3">
        <f t="shared" ca="1" si="55"/>
        <v>4.8507419329223804</v>
      </c>
      <c r="T236" s="3">
        <f t="shared" ca="1" si="54"/>
        <v>1.7988935441623929E-2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M237">
        <v>0</v>
      </c>
      <c r="N237">
        <v>0</v>
      </c>
      <c r="O237">
        <v>0.5012351920232655</v>
      </c>
      <c r="S237" s="3">
        <f t="shared" ca="1" si="55"/>
        <v>4.8497905953248415</v>
      </c>
      <c r="T237" s="3">
        <f t="shared" ca="1" si="54"/>
        <v>1.7985407414187721E-2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S238" s="3">
        <f t="shared" ca="1" si="55"/>
        <v>140.79285134726453</v>
      </c>
      <c r="T238" s="3">
        <f t="shared" ca="1" si="54"/>
        <v>0.52212909871340785</v>
      </c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array" ref="M239:O241">SVDD(B239:K241)</f>
        <v>4.1446192284938004</v>
      </c>
      <c r="N239">
        <v>0</v>
      </c>
      <c r="O239">
        <v>0</v>
      </c>
      <c r="Q239">
        <f t="shared" ref="Q239" si="66">MAX(M239,N240,O241)/MIN(M239,N240,O241)</f>
        <v>9.7156896322241337</v>
      </c>
      <c r="S239" s="3">
        <f t="shared" ca="1" si="55"/>
        <v>33.187408531575741</v>
      </c>
      <c r="T239" s="3">
        <f t="shared" ca="1" si="54"/>
        <v>0.12307522391520889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M240">
        <v>0</v>
      </c>
      <c r="N240">
        <v>1.8688008485652368</v>
      </c>
      <c r="O240">
        <v>0</v>
      </c>
      <c r="S240" s="3">
        <f t="shared" ca="1" si="55"/>
        <v>4.219630757696768</v>
      </c>
      <c r="T240" s="3">
        <f t="shared" ca="1" si="54"/>
        <v>1.5648464984812552E-2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M241">
        <v>0</v>
      </c>
      <c r="N241">
        <v>0</v>
      </c>
      <c r="O241">
        <v>0.4265903281582088</v>
      </c>
      <c r="S241" s="3">
        <f t="shared" ca="1" si="55"/>
        <v>50.60497475893002</v>
      </c>
      <c r="T241" s="3">
        <f t="shared" ca="1" si="54"/>
        <v>0.18766812099091879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S242" s="3">
        <f t="shared" ca="1" si="55"/>
        <v>6.5598686781141424</v>
      </c>
      <c r="T242" s="3">
        <f t="shared" ca="1" si="54"/>
        <v>2.4327217524234036E-2</v>
      </c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array" ref="M243:O245">SVDD(B243:K245)</f>
        <v>3.1887934281590558</v>
      </c>
      <c r="N243">
        <v>0</v>
      </c>
      <c r="O243">
        <v>0</v>
      </c>
      <c r="Q243">
        <f t="shared" ref="Q243" si="67">MAX(M243,N244,O245)/MIN(M243,N244,O245)</f>
        <v>61.048275678723819</v>
      </c>
      <c r="S243" s="3">
        <f t="shared" ca="1" si="55"/>
        <v>3.4548303420400943</v>
      </c>
      <c r="T243" s="3">
        <f t="shared" ca="1" si="54"/>
        <v>1.281220911030421E-2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M244">
        <v>0</v>
      </c>
      <c r="N244">
        <v>1.9020792020520054</v>
      </c>
      <c r="O244">
        <v>0</v>
      </c>
      <c r="S244" s="3">
        <f t="shared" ca="1" si="55"/>
        <v>30.281771509141016</v>
      </c>
      <c r="T244" s="3">
        <f t="shared" ca="1" si="54"/>
        <v>0.11229969358682459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M245">
        <v>0</v>
      </c>
      <c r="N245">
        <v>0</v>
      </c>
      <c r="O245">
        <v>5.2233963903265415E-2</v>
      </c>
      <c r="S245" s="3">
        <f t="shared" ca="1" si="55"/>
        <v>4.03095078437841</v>
      </c>
      <c r="T245" s="3">
        <f t="shared" ca="1" si="54"/>
        <v>1.4948746899190457E-2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S246" s="3">
        <f t="shared" ca="1" si="55"/>
        <v>4.9220112115840484</v>
      </c>
      <c r="T246" s="3">
        <f t="shared" ca="1" si="54"/>
        <v>1.8253236958906145E-2</v>
      </c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array" ref="M247:O249">SVDD(B247:K249)</f>
        <v>3.9391757108733039</v>
      </c>
      <c r="N247">
        <v>0</v>
      </c>
      <c r="O247">
        <v>0</v>
      </c>
      <c r="Q247">
        <f t="shared" ref="Q247" si="68">MAX(M247,N248,O249)/MIN(M247,N248,O249)</f>
        <v>260.13612317407507</v>
      </c>
      <c r="S247" s="3">
        <f t="shared" ca="1" si="55"/>
        <v>3.192686173777497</v>
      </c>
      <c r="T247" s="3">
        <f t="shared" ca="1" si="54"/>
        <v>1.1840049678925628E-2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M248">
        <v>0</v>
      </c>
      <c r="N248">
        <v>1.2284949753685592</v>
      </c>
      <c r="O248">
        <v>0</v>
      </c>
      <c r="S248" s="3">
        <f t="shared" ca="1" si="55"/>
        <v>7.0041428438146252</v>
      </c>
      <c r="T248" s="3">
        <f t="shared" ca="1" si="54"/>
        <v>2.597480451106688E-2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M249">
        <v>0</v>
      </c>
      <c r="N249">
        <v>0</v>
      </c>
      <c r="O249">
        <v>1.5142747815294106E-2</v>
      </c>
      <c r="S249" s="3">
        <f t="shared" ca="1" si="55"/>
        <v>56.052615737066397</v>
      </c>
      <c r="T249" s="3">
        <f t="shared" ca="1" si="54"/>
        <v>0.20787065149449493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S250" s="3">
        <f t="shared" ca="1" si="55"/>
        <v>5.419435186320845</v>
      </c>
      <c r="T250" s="3">
        <f t="shared" ca="1" si="54"/>
        <v>2.0097929563129127E-2</v>
      </c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array" ref="M251:O253">SVDD(B251:K253)</f>
        <v>3.7615285324250811</v>
      </c>
      <c r="N251">
        <v>0</v>
      </c>
      <c r="O251">
        <v>0</v>
      </c>
      <c r="Q251">
        <f t="shared" ref="Q251" si="69">MAX(M251,N252,O253)/MIN(M251,N252,O253)</f>
        <v>14.257360877780899</v>
      </c>
      <c r="S251" s="3">
        <f t="shared" ca="1" si="55"/>
        <v>36.073373244134935</v>
      </c>
      <c r="T251" s="3">
        <f t="shared" ca="1" si="54"/>
        <v>0.13377779964876377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M252">
        <v>0</v>
      </c>
      <c r="N252">
        <v>1.6349148435416814</v>
      </c>
      <c r="O252">
        <v>0</v>
      </c>
      <c r="S252" s="3">
        <f t="shared" ca="1" si="55"/>
        <v>4.2833537339026497</v>
      </c>
      <c r="T252" s="3">
        <f t="shared" ca="1" si="54"/>
        <v>1.5884781103247064E-2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M253">
        <v>0</v>
      </c>
      <c r="N253">
        <v>0</v>
      </c>
      <c r="O253">
        <v>0.26383063209735824</v>
      </c>
      <c r="S253" s="3">
        <f t="shared" ca="1" si="55"/>
        <v>5.8408590968447793</v>
      </c>
      <c r="T253" s="3">
        <f t="shared" ca="1" si="54"/>
        <v>2.1660776571855587E-2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S254" s="3">
        <f t="shared" ca="1" si="55"/>
        <v>26.830345051733651</v>
      </c>
      <c r="T254" s="3">
        <f t="shared" ca="1" si="54"/>
        <v>9.950010775389849E-2</v>
      </c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array" ref="M255:O257">SVDD(B255:K257)</f>
        <v>3.4478053409161822</v>
      </c>
      <c r="N255">
        <v>0</v>
      </c>
      <c r="O255">
        <v>0</v>
      </c>
      <c r="Q255">
        <f t="shared" ref="Q255" si="70">MAX(M255,N256,O257)/MIN(M255,N256,O257)</f>
        <v>57.569430554194433</v>
      </c>
      <c r="S255" s="3">
        <f t="shared" ca="1" si="55"/>
        <v>4.3628626309739627</v>
      </c>
      <c r="T255" s="3">
        <f t="shared" ca="1" si="54"/>
        <v>1.6179639175729368E-2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M256">
        <v>0</v>
      </c>
      <c r="N256">
        <v>1.1520951650654525</v>
      </c>
      <c r="O256">
        <v>0</v>
      </c>
      <c r="S256" s="3">
        <f t="shared" ca="1" si="55"/>
        <v>24.358968305381115</v>
      </c>
      <c r="T256" s="3">
        <f t="shared" ca="1" si="54"/>
        <v>9.0335027987372432E-2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M257">
        <v>0</v>
      </c>
      <c r="N257">
        <v>0</v>
      </c>
      <c r="O257">
        <v>5.9889516149903614E-2</v>
      </c>
      <c r="S257" s="3">
        <f t="shared" ca="1" si="55"/>
        <v>4.1529536305295807</v>
      </c>
      <c r="T257" s="3">
        <f t="shared" ca="1" si="54"/>
        <v>1.5401193422517572E-2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S258" s="3">
        <f t="shared" ca="1" si="55"/>
        <v>17.192251347660161</v>
      </c>
      <c r="T258" s="3">
        <f t="shared" ca="1" si="54"/>
        <v>6.3757318749568581E-2</v>
      </c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array" ref="M259:O261">SVDD(B259:K261)</f>
        <v>3.5060254604187979</v>
      </c>
      <c r="N259">
        <v>0</v>
      </c>
      <c r="O259">
        <v>0</v>
      </c>
      <c r="Q259">
        <f t="shared" ref="Q259" si="71">MAX(M259,N260,O261)/MIN(M259,N260,O261)</f>
        <v>21.084377731420556</v>
      </c>
      <c r="S259" s="3">
        <f t="shared" ca="1" si="55"/>
        <v>3.5188407213414505</v>
      </c>
      <c r="T259" s="3">
        <f t="shared" ca="1" si="54"/>
        <v>1.3049591060688084E-2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M260">
        <v>0</v>
      </c>
      <c r="N260">
        <v>0.87379738426364262</v>
      </c>
      <c r="O260">
        <v>0</v>
      </c>
      <c r="S260" s="3">
        <f t="shared" ca="1" si="55"/>
        <v>2.924045855301256</v>
      </c>
      <c r="T260" s="3">
        <f t="shared" ref="T260:T282" ca="1" si="72">S260/$U$3</f>
        <v>1.0843799329409515E-2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M261">
        <v>0</v>
      </c>
      <c r="N261">
        <v>0</v>
      </c>
      <c r="O261">
        <v>0.16628546049969578</v>
      </c>
      <c r="S261" s="3">
        <f t="shared" ref="S261:S282" ca="1" si="73">OFFSET($Q$3,4*(ROW(A259)-1),0,1,1)</f>
        <v>10.016748055034617</v>
      </c>
      <c r="T261" s="3">
        <f t="shared" ca="1" si="72"/>
        <v>3.7147025463066023E-2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S262" s="3">
        <f t="shared" ca="1" si="73"/>
        <v>2.6371409437012217</v>
      </c>
      <c r="T262" s="3">
        <f t="shared" ca="1" si="72"/>
        <v>9.7798148907344857E-3</v>
      </c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array" ref="M263:O265">SVDD(B263:K265)</f>
        <v>3.9376900015251026</v>
      </c>
      <c r="N263">
        <v>0</v>
      </c>
      <c r="O263">
        <v>0</v>
      </c>
      <c r="Q263">
        <f t="shared" ref="Q263" si="74">MAX(M263,N264,O265)/MIN(M263,N264,O265)</f>
        <v>10.129333707431407</v>
      </c>
      <c r="S263" s="3">
        <f t="shared" ca="1" si="73"/>
        <v>25.137148500155071</v>
      </c>
      <c r="T263" s="3">
        <f t="shared" ca="1" si="72"/>
        <v>9.3220902659601271E-2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M264">
        <v>0</v>
      </c>
      <c r="N264">
        <v>0.81508417720246762</v>
      </c>
      <c r="O264">
        <v>0</v>
      </c>
      <c r="S264" s="3">
        <f t="shared" ca="1" si="73"/>
        <v>17.824556031938322</v>
      </c>
      <c r="T264" s="3">
        <f t="shared" ca="1" si="72"/>
        <v>6.6102215324609331E-2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M265">
        <v>0</v>
      </c>
      <c r="N265">
        <v>0</v>
      </c>
      <c r="O265">
        <v>0.38874126524592711</v>
      </c>
      <c r="S265" s="3">
        <f t="shared" ca="1" si="73"/>
        <v>6.3519339552162419</v>
      </c>
      <c r="T265" s="3">
        <f t="shared" ca="1" si="72"/>
        <v>2.3556093362609387E-2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S266" s="3">
        <f t="shared" ca="1" si="73"/>
        <v>6.7581024047197422</v>
      </c>
      <c r="T266" s="3">
        <f t="shared" ca="1" si="72"/>
        <v>2.5062365623137801E-2</v>
      </c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array" ref="M267:O269">SVDD(B267:K269)</f>
        <v>4.208853480786293</v>
      </c>
      <c r="N267">
        <v>0</v>
      </c>
      <c r="O267">
        <v>0</v>
      </c>
      <c r="Q267">
        <f t="shared" ref="Q267" si="75">MAX(M267,N268,O269)/MIN(M267,N268,O269)</f>
        <v>69.686929720832254</v>
      </c>
      <c r="S267" s="3">
        <f t="shared" ca="1" si="73"/>
        <v>15.943376904367916</v>
      </c>
      <c r="T267" s="3">
        <f t="shared" ca="1" si="72"/>
        <v>5.9125878436778453E-2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M268">
        <v>0</v>
      </c>
      <c r="N268">
        <v>1.7854541681015512</v>
      </c>
      <c r="O268">
        <v>0</v>
      </c>
      <c r="S268" s="3">
        <f t="shared" ca="1" si="73"/>
        <v>24.496849285008604</v>
      </c>
      <c r="T268" s="3">
        <f t="shared" ca="1" si="72"/>
        <v>9.0846358434435087E-2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M269">
        <v>0</v>
      </c>
      <c r="N269">
        <v>0</v>
      </c>
      <c r="O269">
        <v>6.0396598008365054E-2</v>
      </c>
      <c r="S269" s="3">
        <f t="shared" ca="1" si="73"/>
        <v>9.6791251203091573</v>
      </c>
      <c r="T269" s="3">
        <f t="shared" ca="1" si="72"/>
        <v>3.5894953664488839E-2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S270" s="3">
        <f t="shared" ca="1" si="73"/>
        <v>4.3629764122752031</v>
      </c>
      <c r="T270" s="3">
        <f t="shared" ca="1" si="72"/>
        <v>1.6180061132722912E-2</v>
      </c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array" ref="M271:O273">SVDD(B271:K273)</f>
        <v>4.0916777949238137</v>
      </c>
      <c r="N271">
        <v>0</v>
      </c>
      <c r="O271">
        <v>0</v>
      </c>
      <c r="Q271">
        <f t="shared" ref="Q271" si="76">MAX(M271,N272,O273)/MIN(M271,N272,O273)</f>
        <v>7.5202849841374082</v>
      </c>
      <c r="S271" s="3">
        <f t="shared" ca="1" si="73"/>
        <v>7.1527228788070749</v>
      </c>
      <c r="T271" s="3">
        <f t="shared" ca="1" si="72"/>
        <v>2.6525812314482047E-2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M272">
        <v>0</v>
      </c>
      <c r="N272">
        <v>1.9321494096471494</v>
      </c>
      <c r="O272">
        <v>0</v>
      </c>
      <c r="S272" s="3">
        <f t="shared" ca="1" si="73"/>
        <v>3.4260548117406784</v>
      </c>
      <c r="T272" s="3">
        <f t="shared" ca="1" si="72"/>
        <v>1.2705495299507265E-2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M273">
        <v>0</v>
      </c>
      <c r="N273">
        <v>0</v>
      </c>
      <c r="O273">
        <v>0.54408547063767121</v>
      </c>
      <c r="S273" s="3">
        <f t="shared" ca="1" si="73"/>
        <v>12.052974511161958</v>
      </c>
      <c r="T273" s="3">
        <f t="shared" ca="1" si="72"/>
        <v>4.4698354057810204E-2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S274" s="3">
        <f t="shared" ca="1" si="73"/>
        <v>6.7097872866034241</v>
      </c>
      <c r="T274" s="3">
        <f t="shared" ca="1" si="72"/>
        <v>2.4883189416143571E-2</v>
      </c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array" ref="M275:O277">SVDD(B275:K277)</f>
        <v>4.6511626794770677</v>
      </c>
      <c r="N275">
        <v>0</v>
      </c>
      <c r="O275">
        <v>0</v>
      </c>
      <c r="Q275">
        <f t="shared" ref="Q275" si="77">MAX(M275,N276,O277)/MIN(M275,N276,O277)</f>
        <v>12.993790662547674</v>
      </c>
      <c r="S275" s="3">
        <f t="shared" ca="1" si="73"/>
        <v>5.3145671885539381</v>
      </c>
      <c r="T275" s="3">
        <f t="shared" ca="1" si="72"/>
        <v>1.9709027480147207E-2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M276">
        <v>0</v>
      </c>
      <c r="N276">
        <v>1.4990364845983688</v>
      </c>
      <c r="O276">
        <v>0</v>
      </c>
      <c r="S276" s="3">
        <f t="shared" ca="1" si="73"/>
        <v>6.5639415210372487</v>
      </c>
      <c r="T276" s="3">
        <f t="shared" ca="1" si="72"/>
        <v>2.4342321627775467E-2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M277">
        <v>0</v>
      </c>
      <c r="N277">
        <v>0</v>
      </c>
      <c r="O277">
        <v>0.3579527175917363</v>
      </c>
      <c r="S277" s="3">
        <f t="shared" ca="1" si="73"/>
        <v>11.371524440135662</v>
      </c>
      <c r="T277" s="3">
        <f t="shared" ca="1" si="72"/>
        <v>4.2171202231574667E-2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S278" s="3">
        <f t="shared" ca="1" si="73"/>
        <v>4.1926628043159502</v>
      </c>
      <c r="T278" s="3">
        <f t="shared" ca="1" si="72"/>
        <v>1.5548454557733824E-2</v>
      </c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array" ref="M279:O281">SVDD(B279:K281)</f>
        <v>4.3385735959426395</v>
      </c>
      <c r="N279">
        <v>0</v>
      </c>
      <c r="O279">
        <v>0</v>
      </c>
      <c r="Q279">
        <f t="shared" ref="Q279" si="78">MAX(M279,N280,O281)/MIN(M279,N280,O281)</f>
        <v>7.6443704931894123</v>
      </c>
      <c r="S279" s="3">
        <f t="shared" ca="1" si="73"/>
        <v>4.4257581477671515</v>
      </c>
      <c r="T279" s="3">
        <f t="shared" ca="1" si="72"/>
        <v>1.641288666792869E-2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M280">
        <v>0</v>
      </c>
      <c r="N280">
        <v>1.0271107552644356</v>
      </c>
      <c r="O280">
        <v>0</v>
      </c>
      <c r="S280" s="3">
        <f t="shared" ca="1" si="73"/>
        <v>5.4665006426689224</v>
      </c>
      <c r="T280" s="3">
        <f t="shared" ca="1" si="72"/>
        <v>2.0272471410022648E-2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M281">
        <v>0</v>
      </c>
      <c r="N281">
        <v>0</v>
      </c>
      <c r="O281">
        <v>0.56755145499658843</v>
      </c>
      <c r="S281" s="3">
        <f t="shared" ca="1" si="73"/>
        <v>3.6867590827759233</v>
      </c>
      <c r="T281" s="3">
        <f t="shared" ca="1" si="72"/>
        <v>1.3672314884193609E-2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S282" s="3">
        <f t="shared" ca="1" si="73"/>
        <v>5.7546576064586263</v>
      </c>
      <c r="T282" s="3">
        <f t="shared" ca="1" si="72"/>
        <v>2.1341099073656038E-2</v>
      </c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array" ref="M283:O285">SVDD(B283:K285)</f>
        <v>3.5781627058404011</v>
      </c>
      <c r="N283">
        <v>0</v>
      </c>
      <c r="O283">
        <v>0</v>
      </c>
      <c r="Q283">
        <f t="shared" ref="Q283" si="79">MAX(M283,N284,O285)/MIN(M283,N284,O285)</f>
        <v>6.5423856740565105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M284">
        <v>0</v>
      </c>
      <c r="N284">
        <v>0.75205823795785876</v>
      </c>
      <c r="O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M285">
        <v>0</v>
      </c>
      <c r="N285">
        <v>0</v>
      </c>
      <c r="O285">
        <v>0.54692017317618846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array" ref="M287:O289">SVDD(B287:K289)</f>
        <v>2.5828904892821356</v>
      </c>
      <c r="N287">
        <v>0</v>
      </c>
      <c r="O287">
        <v>0</v>
      </c>
      <c r="Q287">
        <f t="shared" ref="Q287" si="80">MAX(M287,N288,O289)/MIN(M287,N288,O289)</f>
        <v>3.8020673386262636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M288">
        <v>0</v>
      </c>
      <c r="N288">
        <v>1.0766349074191202</v>
      </c>
      <c r="O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M289">
        <v>0</v>
      </c>
      <c r="N289">
        <v>0</v>
      </c>
      <c r="O289">
        <v>0.67933843860202847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array" ref="M291:O293">SVDD(B291:K293)</f>
        <v>3.6205856125087741</v>
      </c>
      <c r="N291">
        <v>0</v>
      </c>
      <c r="O291">
        <v>0</v>
      </c>
      <c r="Q291">
        <f t="shared" ref="Q291" si="81">MAX(M291,N292,O293)/MIN(M291,N292,O293)</f>
        <v>5.3433784035526699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M292">
        <v>0</v>
      </c>
      <c r="N292">
        <v>1.5183173104512084</v>
      </c>
      <c r="O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M293">
        <v>0</v>
      </c>
      <c r="N293">
        <v>0</v>
      </c>
      <c r="O293">
        <v>0.67758360704934228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array" ref="M295:O297">SVDD(B295:K297)</f>
        <v>2.6664591742679331</v>
      </c>
      <c r="N295">
        <v>0</v>
      </c>
      <c r="O295">
        <v>0</v>
      </c>
      <c r="Q295">
        <f t="shared" ref="Q295" si="82">MAX(M295,N296,O297)/MIN(M295,N296,O297)</f>
        <v>3.9017824992896908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M296">
        <v>0</v>
      </c>
      <c r="N296">
        <v>2.0261631329436454</v>
      </c>
      <c r="O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M297">
        <v>0</v>
      </c>
      <c r="N297">
        <v>0</v>
      </c>
      <c r="O297">
        <v>0.68339513408380781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array" ref="M299:O301">SVDD(B299:K301)</f>
        <v>3.167136784636424</v>
      </c>
      <c r="N299">
        <v>0</v>
      </c>
      <c r="O299">
        <v>0</v>
      </c>
      <c r="Q299">
        <f t="shared" ref="Q299" si="83">MAX(M299,N300,O301)/MIN(M299,N300,O301)</f>
        <v>4.8258757624698037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M300">
        <v>0</v>
      </c>
      <c r="N300">
        <v>1.9832140888955183</v>
      </c>
      <c r="O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M301">
        <v>0</v>
      </c>
      <c r="N301">
        <v>0</v>
      </c>
      <c r="O301">
        <v>0.65628228751076167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array" ref="M303:O305">SVDD(B303:K305)</f>
        <v>2.7997319265066563</v>
      </c>
      <c r="N303">
        <v>0</v>
      </c>
      <c r="O303">
        <v>0</v>
      </c>
      <c r="Q303">
        <f t="shared" ref="Q303" si="84">MAX(M303,N304,O305)/MIN(M303,N304,O305)</f>
        <v>4.2196534208925307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M304">
        <v>0</v>
      </c>
      <c r="N304">
        <v>1.206540208062431</v>
      </c>
      <c r="O304">
        <v>0</v>
      </c>
      <c r="X304" s="3"/>
      <c r="Y304" s="3"/>
    </row>
    <row r="305" spans="1:17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M305">
        <v>0</v>
      </c>
      <c r="N305">
        <v>0</v>
      </c>
      <c r="O305">
        <v>0.66349807608475675</v>
      </c>
    </row>
    <row r="306" spans="1:17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7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array" ref="M307:O309">SVDD(B307:K309)</f>
        <v>3.9540228081390616</v>
      </c>
      <c r="N307">
        <v>0</v>
      </c>
      <c r="O307">
        <v>0</v>
      </c>
      <c r="Q307">
        <f t="shared" ref="Q307" si="85">MAX(M307,N308,O309)/MIN(M307,N308,O309)</f>
        <v>7.3001627320782827</v>
      </c>
    </row>
    <row r="308" spans="1:17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M308">
        <v>0</v>
      </c>
      <c r="N308">
        <v>1.1780810723203547</v>
      </c>
      <c r="O308">
        <v>0</v>
      </c>
    </row>
    <row r="309" spans="1:17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M309">
        <v>0</v>
      </c>
      <c r="N309">
        <v>0</v>
      </c>
      <c r="O309">
        <v>0.54163488585868702</v>
      </c>
    </row>
    <row r="310" spans="1:17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7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array" ref="M311:O313">SVDD(B311:K313)</f>
        <v>3.0994871746547727</v>
      </c>
      <c r="N311">
        <v>0</v>
      </c>
      <c r="O311">
        <v>0</v>
      </c>
      <c r="Q311">
        <f t="shared" ref="Q311" si="86">MAX(M311,N312,O313)/MIN(M311,N312,O313)</f>
        <v>4.6632232261098379</v>
      </c>
    </row>
    <row r="312" spans="1:17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M312">
        <v>0</v>
      </c>
      <c r="N312">
        <v>1.7531287343967841</v>
      </c>
      <c r="O312">
        <v>0</v>
      </c>
    </row>
    <row r="313" spans="1:17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M313">
        <v>0</v>
      </c>
      <c r="N313">
        <v>0</v>
      </c>
      <c r="O313">
        <v>0.66466626716483235</v>
      </c>
    </row>
    <row r="314" spans="1:17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7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array" ref="M315:O317">SVDD(B315:K317)</f>
        <v>3.5582854006363558</v>
      </c>
      <c r="N315">
        <v>0</v>
      </c>
      <c r="O315">
        <v>0</v>
      </c>
      <c r="Q315">
        <f t="shared" ref="Q315" si="87">MAX(M315,N316,O317)/MIN(M315,N316,O317)</f>
        <v>4.797781381421685</v>
      </c>
    </row>
    <row r="316" spans="1:17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M316">
        <v>0</v>
      </c>
      <c r="N316">
        <v>1.6204368377801341</v>
      </c>
      <c r="O316">
        <v>0</v>
      </c>
    </row>
    <row r="317" spans="1:17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M317">
        <v>0</v>
      </c>
      <c r="N317">
        <v>0</v>
      </c>
      <c r="O317">
        <v>0.74165225919109301</v>
      </c>
    </row>
    <row r="318" spans="1:17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7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array" ref="M319:O321">SVDD(B319:K321)</f>
        <v>3.1228359284522536</v>
      </c>
      <c r="N319">
        <v>0</v>
      </c>
      <c r="O319">
        <v>0</v>
      </c>
      <c r="Q319">
        <f t="shared" ref="Q319" si="88">MAX(M319,N320,O321)/MIN(M319,N320,O321)</f>
        <v>5.4601440346102681</v>
      </c>
    </row>
    <row r="320" spans="1:17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M320">
        <v>0</v>
      </c>
      <c r="N320">
        <v>1.3638533133522461</v>
      </c>
      <c r="O320">
        <v>0</v>
      </c>
    </row>
    <row r="321" spans="1:17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M321">
        <v>0</v>
      </c>
      <c r="N321">
        <v>0</v>
      </c>
      <c r="O321">
        <v>0.57193288467437908</v>
      </c>
    </row>
    <row r="322" spans="1:17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7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array" ref="M323:O325">SVDD(B323:K325)</f>
        <v>2.403456327075459</v>
      </c>
      <c r="N323">
        <v>0</v>
      </c>
      <c r="O323">
        <v>0</v>
      </c>
      <c r="Q323">
        <f t="shared" ref="Q323" si="89">MAX(M323,N324,O325)/MIN(M323,N324,O325)</f>
        <v>8.0741648888016542</v>
      </c>
    </row>
    <row r="324" spans="1:17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M324">
        <v>0</v>
      </c>
      <c r="N324">
        <v>1.3714431289681188</v>
      </c>
      <c r="O324">
        <v>0</v>
      </c>
    </row>
    <row r="325" spans="1:17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M325">
        <v>0</v>
      </c>
      <c r="N325">
        <v>0</v>
      </c>
      <c r="O325">
        <v>0.2976724354996636</v>
      </c>
    </row>
    <row r="326" spans="1:17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7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array" ref="M327:O329">SVDD(B327:K329)</f>
        <v>2.9145923117229162</v>
      </c>
      <c r="N327">
        <v>0</v>
      </c>
      <c r="O327">
        <v>0</v>
      </c>
      <c r="Q327">
        <f t="shared" ref="Q327" si="90">MAX(M327,N328,O329)/MIN(M327,N328,O329)</f>
        <v>14.825211659433096</v>
      </c>
    </row>
    <row r="328" spans="1:17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M328">
        <v>0</v>
      </c>
      <c r="N328">
        <v>1.388354232066086</v>
      </c>
      <c r="O328">
        <v>0</v>
      </c>
    </row>
    <row r="329" spans="1:17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M329">
        <v>0</v>
      </c>
      <c r="N329">
        <v>0</v>
      </c>
      <c r="O329">
        <v>0.19659701181186157</v>
      </c>
    </row>
    <row r="330" spans="1:17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7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array" ref="M331:O333">SVDD(B331:K333)</f>
        <v>3.6220463245794257</v>
      </c>
      <c r="N331">
        <v>0</v>
      </c>
      <c r="O331">
        <v>0</v>
      </c>
      <c r="Q331">
        <f t="shared" ref="Q331" si="91">MAX(M331,N332,O333)/MIN(M331,N332,O333)</f>
        <v>6.3884476105902683</v>
      </c>
    </row>
    <row r="332" spans="1:17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M332">
        <v>0</v>
      </c>
      <c r="N332">
        <v>1.3734902438113761</v>
      </c>
      <c r="O332">
        <v>0</v>
      </c>
    </row>
    <row r="333" spans="1:17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M333">
        <v>0</v>
      </c>
      <c r="N333">
        <v>0</v>
      </c>
      <c r="O333">
        <v>0.56696815022402014</v>
      </c>
    </row>
    <row r="334" spans="1:17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7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array" ref="M335:O337">SVDD(B335:K337)</f>
        <v>4.0133098134000074</v>
      </c>
      <c r="N335">
        <v>0</v>
      </c>
      <c r="O335">
        <v>0</v>
      </c>
      <c r="Q335">
        <f t="shared" ref="Q335" si="92">MAX(M335,N336,O337)/MIN(M335,N336,O337)</f>
        <v>4.7080601680628069</v>
      </c>
    </row>
    <row r="336" spans="1:17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M336">
        <v>0</v>
      </c>
      <c r="N336">
        <v>1.0994539505250531</v>
      </c>
      <c r="O336">
        <v>0</v>
      </c>
    </row>
    <row r="337" spans="1:17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M337">
        <v>0</v>
      </c>
      <c r="N337">
        <v>0</v>
      </c>
      <c r="O337">
        <v>0.85243384114424703</v>
      </c>
    </row>
    <row r="338" spans="1:17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7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array" ref="M339:O341">SVDD(B339:K341)</f>
        <v>3.4861989983343715</v>
      </c>
      <c r="N339">
        <v>0</v>
      </c>
      <c r="O339">
        <v>0</v>
      </c>
      <c r="Q339">
        <f t="shared" ref="Q339" si="93">MAX(M339,N340,O341)/MIN(M339,N340,O341)</f>
        <v>25.850631699586273</v>
      </c>
    </row>
    <row r="340" spans="1:17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M340">
        <v>0</v>
      </c>
      <c r="N340">
        <v>1.2949634021999765</v>
      </c>
      <c r="O340">
        <v>0</v>
      </c>
    </row>
    <row r="341" spans="1:17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M341">
        <v>0</v>
      </c>
      <c r="N341">
        <v>0</v>
      </c>
      <c r="O341">
        <v>0.13485933492256463</v>
      </c>
    </row>
    <row r="342" spans="1:17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7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array" ref="M343:O345">SVDD(B343:K345)</f>
        <v>3.4203716232923873</v>
      </c>
      <c r="N343">
        <v>0</v>
      </c>
      <c r="O343">
        <v>0</v>
      </c>
      <c r="Q343">
        <f t="shared" ref="Q343" si="94">MAX(M343,N344,O345)/MIN(M343,N344,O345)</f>
        <v>161.17688351283616</v>
      </c>
    </row>
    <row r="344" spans="1:17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M344">
        <v>0</v>
      </c>
      <c r="N344">
        <v>1.2728298134833331</v>
      </c>
      <c r="O344">
        <v>0</v>
      </c>
    </row>
    <row r="345" spans="1:17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M345">
        <v>0</v>
      </c>
      <c r="N345">
        <v>0</v>
      </c>
      <c r="O345">
        <v>2.1221229426613079E-2</v>
      </c>
    </row>
    <row r="346" spans="1:17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7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array" ref="M347:O349">SVDD(B347:K349)</f>
        <v>4.3323360095675199</v>
      </c>
      <c r="N347">
        <v>0</v>
      </c>
      <c r="O347">
        <v>0</v>
      </c>
      <c r="Q347">
        <f t="shared" ref="Q347" si="95">MAX(M347,N348,O349)/MIN(M347,N348,O349)</f>
        <v>100.74565201990467</v>
      </c>
    </row>
    <row r="348" spans="1:17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M348">
        <v>0</v>
      </c>
      <c r="N348">
        <v>1.4593094404121394</v>
      </c>
      <c r="O348">
        <v>0</v>
      </c>
    </row>
    <row r="349" spans="1:17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M349">
        <v>0</v>
      </c>
      <c r="N349">
        <v>0</v>
      </c>
      <c r="O349">
        <v>4.3002709523499487E-2</v>
      </c>
    </row>
    <row r="350" spans="1:17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7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array" ref="M351:O353">SVDD(B351:K353)</f>
        <v>3.5683779853606548</v>
      </c>
      <c r="N351">
        <v>0</v>
      </c>
      <c r="O351">
        <v>0</v>
      </c>
      <c r="Q351">
        <f t="shared" ref="Q351" si="96">MAX(M351,N352,O353)/MIN(M351,N352,O353)</f>
        <v>208.85789531196536</v>
      </c>
    </row>
    <row r="352" spans="1:17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M352">
        <v>0</v>
      </c>
      <c r="N352">
        <v>1.9940608132019717</v>
      </c>
      <c r="O352">
        <v>0</v>
      </c>
    </row>
    <row r="353" spans="1:17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M353">
        <v>0</v>
      </c>
      <c r="N353">
        <v>0</v>
      </c>
      <c r="O353">
        <v>1.7085195558591001E-2</v>
      </c>
    </row>
    <row r="354" spans="1:17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7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array" ref="M355:O357">SVDD(B355:K357)</f>
        <v>3.8955295061534159</v>
      </c>
      <c r="N355">
        <v>0</v>
      </c>
      <c r="O355">
        <v>0</v>
      </c>
      <c r="Q355">
        <f t="shared" ref="Q355" si="97">MAX(M355,N356,O357)/MIN(M355,N356,O357)</f>
        <v>24.816957534001865</v>
      </c>
    </row>
    <row r="356" spans="1:17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M356">
        <v>0</v>
      </c>
      <c r="N356">
        <v>2.0548312612799013</v>
      </c>
      <c r="O356">
        <v>0</v>
      </c>
    </row>
    <row r="357" spans="1:17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M357">
        <v>0</v>
      </c>
      <c r="N357">
        <v>0</v>
      </c>
      <c r="O357">
        <v>0.15697047072817558</v>
      </c>
    </row>
    <row r="358" spans="1:17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7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array" ref="M359:O361">SVDD(B359:K361)</f>
        <v>3.5016802451953954</v>
      </c>
      <c r="N359">
        <v>0</v>
      </c>
      <c r="O359">
        <v>0</v>
      </c>
      <c r="Q359">
        <f t="shared" ref="Q359" si="98">MAX(M359,N360,O361)/MIN(M359,N360,O361)</f>
        <v>118.19701593391721</v>
      </c>
    </row>
    <row r="360" spans="1:17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M360">
        <v>0</v>
      </c>
      <c r="N360">
        <v>1.8060817942777854</v>
      </c>
      <c r="O360">
        <v>0</v>
      </c>
    </row>
    <row r="361" spans="1:17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M361">
        <v>0</v>
      </c>
      <c r="N361">
        <v>0</v>
      </c>
      <c r="O361">
        <v>2.9625792305561675E-2</v>
      </c>
    </row>
    <row r="362" spans="1:17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7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array" ref="M363:O365">SVDD(B363:K365)</f>
        <v>2.4952773603072469</v>
      </c>
      <c r="N363">
        <v>0</v>
      </c>
      <c r="O363">
        <v>0</v>
      </c>
      <c r="Q363">
        <f t="shared" ref="Q363" si="99">MAX(M363,N364,O365)/MIN(M363,N364,O365)</f>
        <v>114.49012581893058</v>
      </c>
    </row>
    <row r="364" spans="1:17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M364">
        <v>0</v>
      </c>
      <c r="N364">
        <v>2.2598700986029021</v>
      </c>
      <c r="O364">
        <v>0</v>
      </c>
    </row>
    <row r="365" spans="1:17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M365">
        <v>0</v>
      </c>
      <c r="N365">
        <v>0</v>
      </c>
      <c r="O365">
        <v>2.1794694891449414E-2</v>
      </c>
    </row>
    <row r="366" spans="1:17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7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array" ref="M367:O369">SVDD(B367:K369)</f>
        <v>3.051405407168466</v>
      </c>
      <c r="N367">
        <v>0</v>
      </c>
      <c r="O367">
        <v>0</v>
      </c>
      <c r="Q367">
        <f t="shared" ref="Q367" si="100">MAX(M367,N368,O369)/MIN(M367,N368,O369)</f>
        <v>11.219353652582738</v>
      </c>
    </row>
    <row r="368" spans="1:17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M368">
        <v>0</v>
      </c>
      <c r="N368">
        <v>2.1589534645102919</v>
      </c>
      <c r="O368">
        <v>0</v>
      </c>
    </row>
    <row r="369" spans="1:17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M369">
        <v>0</v>
      </c>
      <c r="N369">
        <v>0</v>
      </c>
      <c r="O369">
        <v>0.27197693393558559</v>
      </c>
    </row>
    <row r="370" spans="1:17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7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array" ref="M371:O373">SVDD(B371:K373)</f>
        <v>3.8617411336739358</v>
      </c>
      <c r="N371">
        <v>0</v>
      </c>
      <c r="O371">
        <v>0</v>
      </c>
      <c r="Q371">
        <f t="shared" ref="Q371" si="101">MAX(M371,N372,O373)/MIN(M371,N372,O373)</f>
        <v>59.018589280702926</v>
      </c>
    </row>
    <row r="372" spans="1:17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M372">
        <v>0</v>
      </c>
      <c r="N372">
        <v>1.9994127697949529</v>
      </c>
      <c r="O372">
        <v>0</v>
      </c>
    </row>
    <row r="373" spans="1:17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M373">
        <v>0</v>
      </c>
      <c r="N373">
        <v>0</v>
      </c>
      <c r="O373">
        <v>6.5432623529966247E-2</v>
      </c>
    </row>
    <row r="374" spans="1:17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7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array" ref="M375:O377">SVDD(B375:K377)</f>
        <v>4.2139497017071497</v>
      </c>
      <c r="N375">
        <v>0</v>
      </c>
      <c r="O375">
        <v>0</v>
      </c>
      <c r="Q375">
        <f t="shared" ref="Q375" si="102">MAX(M375,N376,O377)/MIN(M375,N376,O377)</f>
        <v>8.7225719983310803</v>
      </c>
    </row>
    <row r="376" spans="1:17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M376">
        <v>0</v>
      </c>
      <c r="N376">
        <v>1.9069454391543625</v>
      </c>
      <c r="O376">
        <v>0</v>
      </c>
    </row>
    <row r="377" spans="1:17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M377">
        <v>0</v>
      </c>
      <c r="N377">
        <v>0</v>
      </c>
      <c r="O377">
        <v>0.48310861779225428</v>
      </c>
    </row>
    <row r="378" spans="1:17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7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array" ref="M379:O381">SVDD(B379:K381)</f>
        <v>3.5753464816348881</v>
      </c>
      <c r="N379">
        <v>0</v>
      </c>
      <c r="O379">
        <v>0</v>
      </c>
      <c r="Q379">
        <f t="shared" ref="Q379" si="103">MAX(M379,N380,O381)/MIN(M379,N380,O381)</f>
        <v>8.1725865564064186</v>
      </c>
    </row>
    <row r="380" spans="1:17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M380">
        <v>0</v>
      </c>
      <c r="N380">
        <v>2.1123538210585493</v>
      </c>
      <c r="O380">
        <v>0</v>
      </c>
    </row>
    <row r="381" spans="1:17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M381">
        <v>0</v>
      </c>
      <c r="N381">
        <v>0</v>
      </c>
      <c r="O381">
        <v>0.43748040561677565</v>
      </c>
    </row>
    <row r="382" spans="1:17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7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array" ref="M383:O385">SVDD(B383:K385)</f>
        <v>3.8604376761221704</v>
      </c>
      <c r="N383">
        <v>0</v>
      </c>
      <c r="O383">
        <v>0</v>
      </c>
      <c r="Q383">
        <f t="shared" ref="Q383" si="104">MAX(M383,N384,O385)/MIN(M383,N384,O385)</f>
        <v>67.653017609703767</v>
      </c>
    </row>
    <row r="384" spans="1:17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M384">
        <v>0</v>
      </c>
      <c r="N384">
        <v>1.4354858389957794</v>
      </c>
      <c r="O384">
        <v>0</v>
      </c>
    </row>
    <row r="385" spans="1:17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M385">
        <v>0</v>
      </c>
      <c r="N385">
        <v>0</v>
      </c>
      <c r="O385">
        <v>5.7062313146079846E-2</v>
      </c>
    </row>
    <row r="386" spans="1:17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7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array" ref="M387:O389">SVDD(B387:K389)</f>
        <v>3.0031947180279759</v>
      </c>
      <c r="N387">
        <v>0</v>
      </c>
      <c r="O387">
        <v>0</v>
      </c>
      <c r="Q387">
        <f t="shared" ref="Q387" si="105">MAX(M387,N388,O389)/MIN(M387,N388,O389)</f>
        <v>154.69262241304</v>
      </c>
    </row>
    <row r="388" spans="1:17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M388">
        <v>0</v>
      </c>
      <c r="N388">
        <v>1.9375328213033645</v>
      </c>
      <c r="O388">
        <v>0</v>
      </c>
    </row>
    <row r="389" spans="1:17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M389">
        <v>0</v>
      </c>
      <c r="N389">
        <v>0</v>
      </c>
      <c r="O389">
        <v>1.9413949231588033E-2</v>
      </c>
    </row>
    <row r="390" spans="1:17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7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array" ref="M391:O393">SVDD(B391:K393)</f>
        <v>3.4683444754726636</v>
      </c>
      <c r="N391">
        <v>0</v>
      </c>
      <c r="O391">
        <v>0</v>
      </c>
      <c r="Q391">
        <f t="shared" ref="Q391" si="106">MAX(M391,N392,O393)/MIN(M391,N392,O393)</f>
        <v>10.48013551028591</v>
      </c>
    </row>
    <row r="392" spans="1:17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M392">
        <v>0</v>
      </c>
      <c r="N392">
        <v>1.8302010521652259</v>
      </c>
      <c r="O392">
        <v>0</v>
      </c>
    </row>
    <row r="393" spans="1:17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M393">
        <v>0</v>
      </c>
      <c r="N393">
        <v>0</v>
      </c>
      <c r="O393">
        <v>0.33094462109469835</v>
      </c>
    </row>
    <row r="394" spans="1:17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7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array" ref="M395:O397">SVDD(B395:K397)</f>
        <v>4.2072240697322645</v>
      </c>
      <c r="N395">
        <v>0</v>
      </c>
      <c r="O395">
        <v>0</v>
      </c>
      <c r="Q395">
        <f t="shared" ref="Q395" si="107">MAX(M395,N396,O397)/MIN(M395,N396,O397)</f>
        <v>53.783460006526404</v>
      </c>
    </row>
    <row r="396" spans="1:17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M396">
        <v>0</v>
      </c>
      <c r="N396">
        <v>1.627211033619145</v>
      </c>
      <c r="O396">
        <v>0</v>
      </c>
    </row>
    <row r="397" spans="1:17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M397">
        <v>0</v>
      </c>
      <c r="N397">
        <v>0</v>
      </c>
      <c r="O397">
        <v>7.8225240050040196E-2</v>
      </c>
    </row>
    <row r="398" spans="1:17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7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array" ref="M399:O401">SVDD(B399:K401)</f>
        <v>4.532200928348221</v>
      </c>
      <c r="N399">
        <v>0</v>
      </c>
      <c r="O399">
        <v>0</v>
      </c>
      <c r="Q399">
        <f t="shared" ref="Q399" si="108">MAX(M399,N400,O401)/MIN(M399,N400,O401)</f>
        <v>10.920859846395361</v>
      </c>
    </row>
    <row r="400" spans="1:17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M400">
        <v>0</v>
      </c>
      <c r="N400">
        <v>1.5351130013804362</v>
      </c>
      <c r="O400">
        <v>0</v>
      </c>
    </row>
    <row r="401" spans="1:17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M401">
        <v>0</v>
      </c>
      <c r="N401">
        <v>0</v>
      </c>
      <c r="O401">
        <v>0.4150040374196507</v>
      </c>
    </row>
    <row r="402" spans="1:17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7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array" ref="M403:O405">SVDD(B403:K405)</f>
        <v>3.9220546980693092</v>
      </c>
      <c r="N403">
        <v>0</v>
      </c>
      <c r="O403">
        <v>0</v>
      </c>
      <c r="Q403">
        <f t="shared" ref="Q403" si="109">MAX(M403,N404,O405)/MIN(M403,N404,O405)</f>
        <v>8.6024658585607803</v>
      </c>
    </row>
    <row r="404" spans="1:17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M404">
        <v>0</v>
      </c>
      <c r="N404">
        <v>1.8126897278636604</v>
      </c>
      <c r="O404">
        <v>0</v>
      </c>
    </row>
    <row r="405" spans="1:17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M405">
        <v>0</v>
      </c>
      <c r="N405">
        <v>0</v>
      </c>
      <c r="O405">
        <v>0.45592214634205841</v>
      </c>
    </row>
    <row r="406" spans="1:17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7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array" ref="M407:O409">SVDD(B407:K409)</f>
        <v>3.6353288888160766</v>
      </c>
      <c r="N407">
        <v>0</v>
      </c>
      <c r="O407">
        <v>0</v>
      </c>
      <c r="Q407">
        <f t="shared" ref="Q407" si="110">MAX(M407,N408,O409)/MIN(M407,N408,O409)</f>
        <v>82.940891642587076</v>
      </c>
    </row>
    <row r="408" spans="1:17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M408">
        <v>0</v>
      </c>
      <c r="N408">
        <v>1.3270784370484456</v>
      </c>
      <c r="O408">
        <v>0</v>
      </c>
    </row>
    <row r="409" spans="1:17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M409">
        <v>0</v>
      </c>
      <c r="N409">
        <v>0</v>
      </c>
      <c r="O409">
        <v>4.3830356978577137E-2</v>
      </c>
    </row>
    <row r="410" spans="1:17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7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array" ref="M411:O413">SVDD(B411:K413)</f>
        <v>4.0006844133280532</v>
      </c>
      <c r="N411">
        <v>0</v>
      </c>
      <c r="O411">
        <v>0</v>
      </c>
      <c r="Q411">
        <f t="shared" ref="Q411" si="111">MAX(M411,N412,O413)/MIN(M411,N412,O413)</f>
        <v>8.1021923474921262</v>
      </c>
    </row>
    <row r="412" spans="1:17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M412">
        <v>0</v>
      </c>
      <c r="N412">
        <v>1.2017157009875414</v>
      </c>
      <c r="O412">
        <v>0</v>
      </c>
    </row>
    <row r="413" spans="1:17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M413">
        <v>0</v>
      </c>
      <c r="N413">
        <v>0</v>
      </c>
      <c r="O413">
        <v>0.49377800991930115</v>
      </c>
    </row>
    <row r="414" spans="1:17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7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array" ref="M415:O417">SVDD(B415:K417)</f>
        <v>3.5591046412893106</v>
      </c>
      <c r="N415">
        <v>0</v>
      </c>
      <c r="O415">
        <v>0</v>
      </c>
      <c r="Q415">
        <f t="shared" ref="Q415" si="112">MAX(M415,N416,O417)/MIN(M415,N416,O417)</f>
        <v>12.28337317711207</v>
      </c>
    </row>
    <row r="416" spans="1:17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M416">
        <v>0</v>
      </c>
      <c r="N416">
        <v>0.86547468231479951</v>
      </c>
      <c r="O416">
        <v>0</v>
      </c>
    </row>
    <row r="417" spans="1:17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M417">
        <v>0</v>
      </c>
      <c r="N417">
        <v>0</v>
      </c>
      <c r="O417">
        <v>0.28974977719646938</v>
      </c>
    </row>
    <row r="418" spans="1:17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7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array" ref="M419:O421">SVDD(B419:K421)</f>
        <v>4.4365388970593376</v>
      </c>
      <c r="N419">
        <v>0</v>
      </c>
      <c r="O419">
        <v>0</v>
      </c>
      <c r="Q419">
        <f t="shared" ref="Q419" si="113">MAX(M419,N420,O421)/MIN(M419,N420,O421)</f>
        <v>8.5657725473492619</v>
      </c>
    </row>
    <row r="420" spans="1:17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M420">
        <v>0</v>
      </c>
      <c r="N420">
        <v>1.0630947907588151</v>
      </c>
      <c r="O420">
        <v>0</v>
      </c>
    </row>
    <row r="421" spans="1:17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M421">
        <v>0</v>
      </c>
      <c r="N421">
        <v>0</v>
      </c>
      <c r="O421">
        <v>0.51793797611778236</v>
      </c>
    </row>
    <row r="422" spans="1:17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7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array" ref="M423:O425">SVDD(B423:K425)</f>
        <v>3.1000490347421481</v>
      </c>
      <c r="N423">
        <v>0</v>
      </c>
      <c r="O423">
        <v>0</v>
      </c>
      <c r="Q423">
        <f t="shared" ref="Q423" si="114">MAX(M423,N424,O425)/MIN(M423,N424,O425)</f>
        <v>5.2210583961793118</v>
      </c>
    </row>
    <row r="424" spans="1:17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M424">
        <v>0</v>
      </c>
      <c r="N424">
        <v>0.79950928308892</v>
      </c>
      <c r="O424">
        <v>0</v>
      </c>
    </row>
    <row r="425" spans="1:17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M425">
        <v>0</v>
      </c>
      <c r="N425">
        <v>0</v>
      </c>
      <c r="O425">
        <v>0.59375873616175512</v>
      </c>
    </row>
    <row r="426" spans="1:17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7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array" ref="M427:O429">SVDD(B427:K429)</f>
        <v>3.1941622630803188</v>
      </c>
      <c r="N427">
        <v>0</v>
      </c>
      <c r="O427">
        <v>0</v>
      </c>
      <c r="Q427">
        <f t="shared" ref="Q427" si="115">MAX(M427,N428,O429)/MIN(M427,N428,O429)</f>
        <v>6.8911211698737791</v>
      </c>
    </row>
    <row r="428" spans="1:17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M428">
        <v>0</v>
      </c>
      <c r="N428">
        <v>1.2743120534648371</v>
      </c>
      <c r="O428">
        <v>0</v>
      </c>
    </row>
    <row r="429" spans="1:17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M429">
        <v>0</v>
      </c>
      <c r="N429">
        <v>0</v>
      </c>
      <c r="O429">
        <v>0.46351851670296845</v>
      </c>
    </row>
    <row r="430" spans="1:17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7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array" ref="M431:O433">SVDD(B431:K433)</f>
        <v>1.968533755421108</v>
      </c>
      <c r="N431">
        <v>0</v>
      </c>
      <c r="O431">
        <v>0</v>
      </c>
      <c r="Q431">
        <f t="shared" ref="Q431" si="116">MAX(M431,N432,O433)/MIN(M431,N432,O433)</f>
        <v>9.9092391709234864</v>
      </c>
    </row>
    <row r="432" spans="1:17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M432">
        <v>0</v>
      </c>
      <c r="N432">
        <v>1.3360018444647443</v>
      </c>
      <c r="O432">
        <v>0</v>
      </c>
    </row>
    <row r="433" spans="1:17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M433">
        <v>0</v>
      </c>
      <c r="N433">
        <v>0</v>
      </c>
      <c r="O433">
        <v>0.19865639747573594</v>
      </c>
    </row>
    <row r="434" spans="1:17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7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array" ref="M435:O437">SVDD(B435:K437)</f>
        <v>2.5449231945165121</v>
      </c>
      <c r="N435">
        <v>0</v>
      </c>
      <c r="O435">
        <v>0</v>
      </c>
      <c r="Q435">
        <f t="shared" ref="Q435" si="117">MAX(M435,N436,O437)/MIN(M435,N436,O437)</f>
        <v>7.5518030681261905</v>
      </c>
    </row>
    <row r="436" spans="1:17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M436">
        <v>0</v>
      </c>
      <c r="N436">
        <v>1.6909318631866728</v>
      </c>
      <c r="O436">
        <v>0</v>
      </c>
    </row>
    <row r="437" spans="1:17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M437">
        <v>0</v>
      </c>
      <c r="N437">
        <v>0</v>
      </c>
      <c r="O437">
        <v>0.33699543957360867</v>
      </c>
    </row>
    <row r="438" spans="1:17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7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array" ref="M439:O441">SVDD(B439:K441)</f>
        <v>2.3272250715935363</v>
      </c>
      <c r="N439">
        <v>0</v>
      </c>
      <c r="O439">
        <v>0</v>
      </c>
      <c r="Q439">
        <f t="shared" ref="Q439" si="118">MAX(M439,N440,O441)/MIN(M439,N440,O441)</f>
        <v>25.738458659751533</v>
      </c>
    </row>
    <row r="440" spans="1:17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M440">
        <v>0</v>
      </c>
      <c r="N440">
        <v>1.7896485522680985</v>
      </c>
      <c r="O440">
        <v>0</v>
      </c>
    </row>
    <row r="441" spans="1:17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M441">
        <v>0</v>
      </c>
      <c r="N441">
        <v>0</v>
      </c>
      <c r="O441">
        <v>9.0418198787976772E-2</v>
      </c>
    </row>
    <row r="442" spans="1:17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7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array" ref="M443:O445">SVDD(B443:K445)</f>
        <v>4.0646665916045936</v>
      </c>
      <c r="N443">
        <v>0</v>
      </c>
      <c r="O443">
        <v>0</v>
      </c>
      <c r="Q443">
        <f t="shared" ref="Q443" si="119">MAX(M443,N444,O445)/MIN(M443,N444,O445)</f>
        <v>8.2412886610281166</v>
      </c>
    </row>
    <row r="444" spans="1:17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M444">
        <v>0</v>
      </c>
      <c r="N444">
        <v>1.1182405561107773</v>
      </c>
      <c r="O444">
        <v>0</v>
      </c>
    </row>
    <row r="445" spans="1:17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M445">
        <v>0</v>
      </c>
      <c r="N445">
        <v>0</v>
      </c>
      <c r="O445">
        <v>0.49320764734595746</v>
      </c>
    </row>
    <row r="446" spans="1:17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7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array" ref="M447:O449">SVDD(B447:K449)</f>
        <v>3.0699832473537496</v>
      </c>
      <c r="N447">
        <v>0</v>
      </c>
      <c r="O447">
        <v>0</v>
      </c>
      <c r="Q447">
        <f t="shared" ref="Q447" si="120">MAX(M447,N448,O449)/MIN(M447,N448,O449)</f>
        <v>5.1379725144449369</v>
      </c>
    </row>
    <row r="448" spans="1:17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M448">
        <v>0</v>
      </c>
      <c r="N448">
        <v>1.3753200127465139</v>
      </c>
      <c r="O448">
        <v>0</v>
      </c>
    </row>
    <row r="449" spans="1:17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M449">
        <v>0</v>
      </c>
      <c r="N449">
        <v>0</v>
      </c>
      <c r="O449">
        <v>0.59750869408560947</v>
      </c>
    </row>
    <row r="450" spans="1:17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7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array" ref="M451:O453">SVDD(B451:K453)</f>
        <v>3.4659208627283102</v>
      </c>
      <c r="N451">
        <v>0</v>
      </c>
      <c r="O451">
        <v>0</v>
      </c>
      <c r="Q451">
        <f t="shared" ref="Q451" si="121">MAX(M451,N452,O453)/MIN(M451,N452,O453)</f>
        <v>5.810361971956044</v>
      </c>
    </row>
    <row r="452" spans="1:17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M452">
        <v>0</v>
      </c>
      <c r="N452">
        <v>1.7470244664546632</v>
      </c>
      <c r="O452">
        <v>0</v>
      </c>
    </row>
    <row r="453" spans="1:17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M453">
        <v>0</v>
      </c>
      <c r="N453">
        <v>0</v>
      </c>
      <c r="O453">
        <v>0.59650687503751454</v>
      </c>
    </row>
    <row r="454" spans="1:17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7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array" ref="M455:O457">SVDD(B455:K457)</f>
        <v>3.215357916652982</v>
      </c>
      <c r="N455">
        <v>0</v>
      </c>
      <c r="O455">
        <v>0</v>
      </c>
      <c r="Q455">
        <f t="shared" ref="Q455" si="122">MAX(M455,N456,O457)/MIN(M455,N456,O457)</f>
        <v>4.710506893207592</v>
      </c>
    </row>
    <row r="456" spans="1:17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M456">
        <v>0</v>
      </c>
      <c r="N456">
        <v>1.9484683914121583</v>
      </c>
      <c r="O456">
        <v>0</v>
      </c>
    </row>
    <row r="457" spans="1:17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M457">
        <v>0</v>
      </c>
      <c r="N457">
        <v>0</v>
      </c>
      <c r="O457">
        <v>0.68259276327340279</v>
      </c>
    </row>
    <row r="458" spans="1:17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7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array" ref="M459:O461">SVDD(B459:K461)</f>
        <v>3.2031805218950069</v>
      </c>
      <c r="N459">
        <v>0</v>
      </c>
      <c r="O459">
        <v>0</v>
      </c>
      <c r="Q459">
        <f t="shared" ref="Q459" si="123">MAX(M459,N460,O461)/MIN(M459,N460,O461)</f>
        <v>6.8145757617665703</v>
      </c>
    </row>
    <row r="460" spans="1:17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M460">
        <v>0</v>
      </c>
      <c r="N460">
        <v>1.6220582839885735</v>
      </c>
      <c r="O460">
        <v>0</v>
      </c>
    </row>
    <row r="461" spans="1:17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M461">
        <v>0</v>
      </c>
      <c r="N461">
        <v>0</v>
      </c>
      <c r="O461">
        <v>0.4700484129718786</v>
      </c>
    </row>
    <row r="462" spans="1:17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7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array" ref="M463:O465">SVDD(B463:K465)</f>
        <v>3.7920167605431443</v>
      </c>
      <c r="N463">
        <v>0</v>
      </c>
      <c r="O463">
        <v>0</v>
      </c>
      <c r="Q463">
        <f t="shared" ref="Q463" si="124">MAX(M463,N464,O465)/MIN(M463,N464,O465)</f>
        <v>8.9936365913164718</v>
      </c>
    </row>
    <row r="464" spans="1:17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M464">
        <v>0</v>
      </c>
      <c r="N464">
        <v>1.5174588115078376</v>
      </c>
      <c r="O464">
        <v>0</v>
      </c>
    </row>
    <row r="465" spans="1:17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M465">
        <v>0</v>
      </c>
      <c r="N465">
        <v>0</v>
      </c>
      <c r="O465">
        <v>0.42163330951179512</v>
      </c>
    </row>
    <row r="466" spans="1:17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7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array" ref="M467:O469">SVDD(B467:K469)</f>
        <v>3.5391143713954811</v>
      </c>
      <c r="N467">
        <v>0</v>
      </c>
      <c r="O467">
        <v>0</v>
      </c>
      <c r="Q467">
        <f t="shared" ref="Q467" si="125">MAX(M467,N468,O469)/MIN(M467,N468,O469)</f>
        <v>4.2900638844026995</v>
      </c>
    </row>
    <row r="468" spans="1:17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M468">
        <v>0</v>
      </c>
      <c r="N468">
        <v>1.6834994835354689</v>
      </c>
      <c r="O468">
        <v>0</v>
      </c>
    </row>
    <row r="469" spans="1:17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M469">
        <v>0</v>
      </c>
      <c r="N469">
        <v>0</v>
      </c>
      <c r="O469">
        <v>0.82495610013234755</v>
      </c>
    </row>
    <row r="470" spans="1:17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7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array" ref="M471:O473">SVDD(B471:K473)</f>
        <v>2.6741733243460852</v>
      </c>
      <c r="N471">
        <v>0</v>
      </c>
      <c r="O471">
        <v>0</v>
      </c>
      <c r="Q471">
        <f t="shared" ref="Q471" si="126">MAX(M471,N472,O473)/MIN(M471,N472,O473)</f>
        <v>10.794703070737476</v>
      </c>
    </row>
    <row r="472" spans="1:17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M472">
        <v>0</v>
      </c>
      <c r="N472">
        <v>1.8180679480558535</v>
      </c>
      <c r="O472">
        <v>0</v>
      </c>
    </row>
    <row r="473" spans="1:17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M473">
        <v>0</v>
      </c>
      <c r="N473">
        <v>0</v>
      </c>
      <c r="O473">
        <v>0.24773014198003224</v>
      </c>
    </row>
    <row r="474" spans="1:17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7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array" ref="M475:O477">SVDD(B475:K477)</f>
        <v>2.5057675661185117</v>
      </c>
      <c r="N475">
        <v>0</v>
      </c>
      <c r="O475">
        <v>0</v>
      </c>
      <c r="Q475">
        <f t="shared" ref="Q475" si="127">MAX(M475,N476,O477)/MIN(M475,N476,O477)</f>
        <v>13.028459479036709</v>
      </c>
    </row>
    <row r="476" spans="1:17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M476">
        <v>0</v>
      </c>
      <c r="N476">
        <v>1.839097675852053</v>
      </c>
      <c r="O476">
        <v>0</v>
      </c>
    </row>
    <row r="477" spans="1:17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M477">
        <v>0</v>
      </c>
      <c r="N477">
        <v>0</v>
      </c>
      <c r="O477">
        <v>0.19233030352900801</v>
      </c>
    </row>
    <row r="478" spans="1:17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7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array" ref="M479:O481">SVDD(B479:K481)</f>
        <v>3.2290883682453795</v>
      </c>
      <c r="N479">
        <v>0</v>
      </c>
      <c r="O479">
        <v>0</v>
      </c>
      <c r="Q479">
        <f t="shared" ref="Q479" si="128">MAX(M479,N480,O481)/MIN(M479,N480,O481)</f>
        <v>5.1194752338322145</v>
      </c>
    </row>
    <row r="480" spans="1:17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M480">
        <v>0</v>
      </c>
      <c r="N480">
        <v>1.6188253686775587</v>
      </c>
      <c r="O480">
        <v>0</v>
      </c>
    </row>
    <row r="481" spans="1:17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M481">
        <v>0</v>
      </c>
      <c r="N481">
        <v>0</v>
      </c>
      <c r="O481">
        <v>0.63074596921689285</v>
      </c>
    </row>
    <row r="482" spans="1:17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7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array" ref="M483:O485">SVDD(B483:K485)</f>
        <v>3.7806119373512796</v>
      </c>
      <c r="N483">
        <v>0</v>
      </c>
      <c r="O483">
        <v>0</v>
      </c>
      <c r="Q483">
        <f t="shared" ref="Q483" si="129">MAX(M483,N484,O485)/MIN(M483,N484,O485)</f>
        <v>177.60466000869823</v>
      </c>
    </row>
    <row r="484" spans="1:17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M484">
        <v>0</v>
      </c>
      <c r="N484">
        <v>1.1445295888592837</v>
      </c>
      <c r="O484">
        <v>0</v>
      </c>
    </row>
    <row r="485" spans="1:17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M485">
        <v>0</v>
      </c>
      <c r="N485">
        <v>0</v>
      </c>
      <c r="O485">
        <v>2.1286670840540575E-2</v>
      </c>
    </row>
    <row r="486" spans="1:17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7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array" ref="M487:O489">SVDD(B487:K489)</f>
        <v>2.6330277225418111</v>
      </c>
      <c r="N487">
        <v>0</v>
      </c>
      <c r="O487">
        <v>0</v>
      </c>
      <c r="Q487">
        <f t="shared" ref="Q487" si="130">MAX(M487,N488,O489)/MIN(M487,N488,O489)</f>
        <v>40.369275445344705</v>
      </c>
    </row>
    <row r="488" spans="1:17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M488">
        <v>0</v>
      </c>
      <c r="N488">
        <v>1.524610072787949</v>
      </c>
      <c r="O488">
        <v>0</v>
      </c>
    </row>
    <row r="489" spans="1:17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M489">
        <v>0</v>
      </c>
      <c r="N489">
        <v>0</v>
      </c>
      <c r="O489">
        <v>6.5223556615640124E-2</v>
      </c>
    </row>
    <row r="490" spans="1:17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7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array" ref="M491:O493">SVDD(B491:K493)</f>
        <v>3.1563834301796154</v>
      </c>
      <c r="N491">
        <v>0</v>
      </c>
      <c r="O491">
        <v>0</v>
      </c>
      <c r="Q491">
        <f t="shared" ref="Q491" si="131">MAX(M491,N492,O493)/MIN(M491,N492,O493)</f>
        <v>172.0082323692053</v>
      </c>
    </row>
    <row r="492" spans="1:17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M492">
        <v>0</v>
      </c>
      <c r="N492">
        <v>1.7459644915225256</v>
      </c>
      <c r="O492">
        <v>0</v>
      </c>
    </row>
    <row r="493" spans="1:17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M493">
        <v>0</v>
      </c>
      <c r="N493">
        <v>0</v>
      </c>
      <c r="O493">
        <v>1.8350188166602565E-2</v>
      </c>
    </row>
    <row r="494" spans="1:17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7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array" ref="M495:O497">SVDD(B495:K497)</f>
        <v>2.8241029340368531</v>
      </c>
      <c r="N495">
        <v>0</v>
      </c>
      <c r="O495">
        <v>0</v>
      </c>
      <c r="Q495">
        <f t="shared" ref="Q495" si="132">MAX(M495,N496,O497)/MIN(M495,N496,O497)</f>
        <v>12.984376742891696</v>
      </c>
    </row>
    <row r="496" spans="1:17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M496">
        <v>0</v>
      </c>
      <c r="N496">
        <v>2.0411185156747829</v>
      </c>
      <c r="O496">
        <v>0</v>
      </c>
    </row>
    <row r="497" spans="1:17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M497">
        <v>0</v>
      </c>
      <c r="N497">
        <v>0</v>
      </c>
      <c r="O497">
        <v>0.21750007643477456</v>
      </c>
    </row>
    <row r="498" spans="1:17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7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array" ref="M499:O501">SVDD(B499:K501)</f>
        <v>2.9027304056991063</v>
      </c>
      <c r="N499">
        <v>0</v>
      </c>
      <c r="O499">
        <v>0</v>
      </c>
      <c r="Q499">
        <f t="shared" ref="Q499" si="133">MAX(M499,N500,O501)/MIN(M499,N500,O501)</f>
        <v>40.88530037383439</v>
      </c>
    </row>
    <row r="500" spans="1:17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M500">
        <v>0</v>
      </c>
      <c r="N500">
        <v>1.5066403826782795</v>
      </c>
      <c r="O500">
        <v>0</v>
      </c>
    </row>
    <row r="501" spans="1:17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M501">
        <v>0</v>
      </c>
      <c r="N501">
        <v>0</v>
      </c>
      <c r="O501">
        <v>7.0996920143866285E-2</v>
      </c>
    </row>
    <row r="502" spans="1:17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7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array" ref="M503:O505">SVDD(B503:K505)</f>
        <v>3.5981149678483084</v>
      </c>
      <c r="N503">
        <v>0</v>
      </c>
      <c r="O503">
        <v>0</v>
      </c>
      <c r="Q503">
        <f t="shared" ref="Q503" si="134">MAX(M503,N504,O505)/MIN(M503,N504,O505)</f>
        <v>237.13303108212696</v>
      </c>
    </row>
    <row r="504" spans="1:17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M504">
        <v>0</v>
      </c>
      <c r="N504">
        <v>1.2264371891263504</v>
      </c>
      <c r="O504">
        <v>0</v>
      </c>
    </row>
    <row r="505" spans="1:17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M505">
        <v>0</v>
      </c>
      <c r="N505">
        <v>0</v>
      </c>
      <c r="O505">
        <v>1.5173402673717619E-2</v>
      </c>
    </row>
    <row r="506" spans="1:17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7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array" ref="M507:O509">SVDD(B507:K509)</f>
        <v>3.3199106987661589</v>
      </c>
      <c r="N507">
        <v>0</v>
      </c>
      <c r="O507">
        <v>0</v>
      </c>
      <c r="Q507">
        <f t="shared" ref="Q507" si="135">MAX(M507,N508,O509)/MIN(M507,N508,O509)</f>
        <v>10.770179532811747</v>
      </c>
    </row>
    <row r="508" spans="1:17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M508">
        <v>0</v>
      </c>
      <c r="N508">
        <v>1.5847800560169603</v>
      </c>
      <c r="O508">
        <v>0</v>
      </c>
    </row>
    <row r="509" spans="1:17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M509">
        <v>0</v>
      </c>
      <c r="N509">
        <v>0</v>
      </c>
      <c r="O509">
        <v>0.30825026534162492</v>
      </c>
    </row>
    <row r="510" spans="1:17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7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array" ref="M511:O513">SVDD(B511:K513)</f>
        <v>2.6311864818408437</v>
      </c>
      <c r="N511">
        <v>0</v>
      </c>
      <c r="O511">
        <v>0</v>
      </c>
      <c r="Q511">
        <f t="shared" ref="Q511" si="136">MAX(M511,N512,O513)/MIN(M511,N512,O513)</f>
        <v>32.088271263260225</v>
      </c>
    </row>
    <row r="512" spans="1:17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M512">
        <v>0</v>
      </c>
      <c r="N512">
        <v>1.0858365191336974</v>
      </c>
      <c r="O512">
        <v>0</v>
      </c>
    </row>
    <row r="513" spans="1:17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M513">
        <v>0</v>
      </c>
      <c r="N513">
        <v>0</v>
      </c>
      <c r="O513">
        <v>8.1998386895134667E-2</v>
      </c>
    </row>
    <row r="514" spans="1:17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7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array" ref="M515:O517">SVDD(B515:K517)</f>
        <v>2.5494307406836874</v>
      </c>
      <c r="N515">
        <v>0</v>
      </c>
      <c r="O515">
        <v>0</v>
      </c>
      <c r="Q515">
        <f t="shared" ref="Q515" si="137">MAX(M515,N516,O517)/MIN(M515,N516,O517)</f>
        <v>10.941950508120014</v>
      </c>
    </row>
    <row r="516" spans="1:17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M516">
        <v>0</v>
      </c>
      <c r="N516">
        <v>0.8559007603879828</v>
      </c>
      <c r="O516">
        <v>0</v>
      </c>
    </row>
    <row r="517" spans="1:17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M517">
        <v>0</v>
      </c>
      <c r="N517">
        <v>0</v>
      </c>
      <c r="O517">
        <v>0.23299600366422391</v>
      </c>
    </row>
    <row r="518" spans="1:17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7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array" ref="M519:O521">SVDD(B519:K521)</f>
        <v>3.169002022010226</v>
      </c>
      <c r="N519">
        <v>0</v>
      </c>
      <c r="O519">
        <v>0</v>
      </c>
      <c r="Q519">
        <f t="shared" ref="Q519" si="138">MAX(M519,N520,O521)/MIN(M519,N520,O521)</f>
        <v>7.2014361283888002</v>
      </c>
    </row>
    <row r="520" spans="1:17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M520">
        <v>0</v>
      </c>
      <c r="N520">
        <v>0.89453419360503439</v>
      </c>
      <c r="O520">
        <v>0</v>
      </c>
    </row>
    <row r="521" spans="1:17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M521">
        <v>0</v>
      </c>
      <c r="N521">
        <v>0</v>
      </c>
      <c r="O521">
        <v>0.44005139607052751</v>
      </c>
    </row>
    <row r="522" spans="1:17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7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array" ref="M523:O525">SVDD(B523:K525)</f>
        <v>3.7809367792948021</v>
      </c>
      <c r="N523">
        <v>0</v>
      </c>
      <c r="O523">
        <v>0</v>
      </c>
      <c r="Q523">
        <f t="shared" ref="Q523" si="139">MAX(M523,N524,O525)/MIN(M523,N524,O525)</f>
        <v>69.431742912131241</v>
      </c>
    </row>
    <row r="524" spans="1:17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M524">
        <v>0</v>
      </c>
      <c r="N524">
        <v>1.5414338425816609</v>
      </c>
      <c r="O524">
        <v>0</v>
      </c>
    </row>
    <row r="525" spans="1:17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M525">
        <v>0</v>
      </c>
      <c r="N525">
        <v>0</v>
      </c>
      <c r="O525">
        <v>5.4455449636050972E-2</v>
      </c>
    </row>
    <row r="526" spans="1:17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7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array" ref="M527:O529">SVDD(B527:K529)</f>
        <v>4.2544009210453151</v>
      </c>
      <c r="N527">
        <v>0</v>
      </c>
      <c r="O527">
        <v>0</v>
      </c>
      <c r="Q527">
        <f t="shared" ref="Q527" si="140">MAX(M527,N528,O529)/MIN(M527,N528,O529)</f>
        <v>228.27570493219164</v>
      </c>
    </row>
    <row r="528" spans="1:17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M528">
        <v>0</v>
      </c>
      <c r="N528">
        <v>1.5236820536457096</v>
      </c>
      <c r="O528">
        <v>0</v>
      </c>
    </row>
    <row r="529" spans="1:17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M529">
        <v>0</v>
      </c>
      <c r="N529">
        <v>0</v>
      </c>
      <c r="O529">
        <v>1.8637116561786841E-2</v>
      </c>
    </row>
    <row r="530" spans="1:17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7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array" ref="M531:O533">SVDD(B531:K533)</f>
        <v>4.0041722448246819</v>
      </c>
      <c r="N531">
        <v>0</v>
      </c>
      <c r="O531">
        <v>0</v>
      </c>
      <c r="Q531">
        <f t="shared" ref="Q531" si="141">MAX(M531,N532,O533)/MIN(M531,N532,O533)</f>
        <v>14.252081848226494</v>
      </c>
    </row>
    <row r="532" spans="1:17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M532">
        <v>0</v>
      </c>
      <c r="N532">
        <v>1.8681022324716761</v>
      </c>
      <c r="O532">
        <v>0</v>
      </c>
    </row>
    <row r="533" spans="1:17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M533">
        <v>0</v>
      </c>
      <c r="N533">
        <v>0</v>
      </c>
      <c r="O533">
        <v>0.28095349770412348</v>
      </c>
    </row>
    <row r="534" spans="1:17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7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array" ref="M535:O537">SVDD(B535:K537)</f>
        <v>3.1932642704025693</v>
      </c>
      <c r="N535">
        <v>0</v>
      </c>
      <c r="O535">
        <v>0</v>
      </c>
      <c r="Q535">
        <f t="shared" ref="Q535" si="142">MAX(M535,N536,O537)/MIN(M535,N536,O537)</f>
        <v>37.594369194572131</v>
      </c>
    </row>
    <row r="536" spans="1:17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M536">
        <v>0</v>
      </c>
      <c r="N536">
        <v>1.9687120899486117</v>
      </c>
      <c r="O536">
        <v>0</v>
      </c>
    </row>
    <row r="537" spans="1:17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M537">
        <v>0</v>
      </c>
      <c r="N537">
        <v>0</v>
      </c>
      <c r="O537">
        <v>8.4939961457409216E-2</v>
      </c>
    </row>
    <row r="538" spans="1:17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7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array" ref="M539:O541">SVDD(B539:K541)</f>
        <v>2.8624011439984605</v>
      </c>
      <c r="N539">
        <v>0</v>
      </c>
      <c r="O539">
        <v>0</v>
      </c>
      <c r="Q539">
        <f t="shared" ref="Q539" si="143">MAX(M539,N540,O541)/MIN(M539,N540,O541)</f>
        <v>6.2549154864123224</v>
      </c>
    </row>
    <row r="540" spans="1:17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M540">
        <v>0</v>
      </c>
      <c r="N540">
        <v>2.2039656513238914</v>
      </c>
      <c r="O540">
        <v>0</v>
      </c>
    </row>
    <row r="541" spans="1:17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M541">
        <v>0</v>
      </c>
      <c r="N541">
        <v>0</v>
      </c>
      <c r="O541">
        <v>0.45762427169743725</v>
      </c>
    </row>
    <row r="542" spans="1:17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7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array" ref="M543:O545">SVDD(B543:K545)</f>
        <v>3.5686884159553864</v>
      </c>
      <c r="N543">
        <v>0</v>
      </c>
      <c r="O543">
        <v>0</v>
      </c>
      <c r="Q543">
        <f t="shared" ref="Q543" si="144">MAX(M543,N544,O545)/MIN(M543,N544,O545)</f>
        <v>7.9257540982845152</v>
      </c>
    </row>
    <row r="544" spans="1:17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M544">
        <v>0</v>
      </c>
      <c r="N544">
        <v>2.0172275129566191</v>
      </c>
      <c r="O544">
        <v>0</v>
      </c>
    </row>
    <row r="545" spans="1:17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M545">
        <v>0</v>
      </c>
      <c r="N545">
        <v>0</v>
      </c>
      <c r="O545">
        <v>0.45026484189407401</v>
      </c>
    </row>
    <row r="546" spans="1:17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7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array" ref="M547:O549">SVDD(B547:K549)</f>
        <v>3.6733079897967915</v>
      </c>
      <c r="N547">
        <v>0</v>
      </c>
      <c r="O547">
        <v>0</v>
      </c>
      <c r="Q547">
        <f t="shared" ref="Q547" si="145">MAX(M547,N548,O549)/MIN(M547,N548,O549)</f>
        <v>49.833318593905744</v>
      </c>
    </row>
    <row r="548" spans="1:17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M548">
        <v>0</v>
      </c>
      <c r="N548">
        <v>1.4215056806008231</v>
      </c>
      <c r="O548">
        <v>0</v>
      </c>
    </row>
    <row r="549" spans="1:17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M549">
        <v>0</v>
      </c>
      <c r="N549">
        <v>0</v>
      </c>
      <c r="O549">
        <v>7.3711887818083438E-2</v>
      </c>
    </row>
    <row r="550" spans="1:17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7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array" ref="M551:O553">SVDD(B551:K553)</f>
        <v>3.4118677853260082</v>
      </c>
      <c r="N551">
        <v>0</v>
      </c>
      <c r="O551">
        <v>0</v>
      </c>
      <c r="Q551">
        <f t="shared" ref="Q551" si="146">MAX(M551,N552,O553)/MIN(M551,N552,O553)</f>
        <v>6.749149426448394</v>
      </c>
    </row>
    <row r="552" spans="1:17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M552">
        <v>0</v>
      </c>
      <c r="N552">
        <v>1.6741840071671419</v>
      </c>
      <c r="O552">
        <v>0</v>
      </c>
    </row>
    <row r="553" spans="1:17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M553">
        <v>0</v>
      </c>
      <c r="N553">
        <v>0</v>
      </c>
      <c r="O553">
        <v>0.50552559585592638</v>
      </c>
    </row>
    <row r="554" spans="1:17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7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array" ref="M555:O557">SVDD(B555:K557)</f>
        <v>4.0388080932126647</v>
      </c>
      <c r="N555">
        <v>0</v>
      </c>
      <c r="O555">
        <v>0</v>
      </c>
      <c r="Q555">
        <f t="shared" ref="Q555" si="147">MAX(M555,N556,O557)/MIN(M555,N556,O557)</f>
        <v>10.919007093562509</v>
      </c>
    </row>
    <row r="556" spans="1:17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M556">
        <v>0</v>
      </c>
      <c r="N556">
        <v>1.4135130274543235</v>
      </c>
      <c r="O556">
        <v>0</v>
      </c>
    </row>
    <row r="557" spans="1:17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M557">
        <v>0</v>
      </c>
      <c r="N557">
        <v>0</v>
      </c>
      <c r="O557">
        <v>0.36988785322740692</v>
      </c>
    </row>
    <row r="558" spans="1:17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7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array" ref="M559:O561">SVDD(B559:K561)</f>
        <v>3.330466781756154</v>
      </c>
      <c r="N559">
        <v>0</v>
      </c>
      <c r="O559">
        <v>0</v>
      </c>
      <c r="Q559">
        <f t="shared" ref="Q559" si="148">MAX(M559,N560,O561)/MIN(M559,N560,O561)</f>
        <v>5.9501735403854479</v>
      </c>
    </row>
    <row r="560" spans="1:17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M560">
        <v>0</v>
      </c>
      <c r="N560">
        <v>0.8364221411498175</v>
      </c>
      <c r="O560">
        <v>0</v>
      </c>
    </row>
    <row r="561" spans="1:17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M561">
        <v>0</v>
      </c>
      <c r="N561">
        <v>0</v>
      </c>
      <c r="O561">
        <v>0.55972599104065945</v>
      </c>
    </row>
    <row r="562" spans="1:17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7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array" ref="M563:O565">SVDD(B563:K565)</f>
        <v>3.5193726797098783</v>
      </c>
      <c r="N563">
        <v>0</v>
      </c>
      <c r="O563">
        <v>0</v>
      </c>
      <c r="Q563">
        <f t="shared" ref="Q563" si="149">MAX(M563,N564,O565)/MIN(M563,N564,O565)</f>
        <v>5.9223110259446923</v>
      </c>
    </row>
    <row r="564" spans="1:17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M564">
        <v>0</v>
      </c>
      <c r="N564">
        <v>0.90337511171812201</v>
      </c>
      <c r="O564">
        <v>0</v>
      </c>
    </row>
    <row r="565" spans="1:17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M565">
        <v>0</v>
      </c>
      <c r="N565">
        <v>0</v>
      </c>
      <c r="O565">
        <v>0.59425664479492424</v>
      </c>
    </row>
    <row r="566" spans="1:17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7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array" ref="M567:O569">SVDD(B567:K569)</f>
        <v>4.3731561374196266</v>
      </c>
      <c r="N567">
        <v>0</v>
      </c>
      <c r="O567">
        <v>0</v>
      </c>
      <c r="Q567">
        <f t="shared" ref="Q567" si="150">MAX(M567,N568,O569)/MIN(M567,N568,O569)</f>
        <v>10.495580699246693</v>
      </c>
    </row>
    <row r="568" spans="1:17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M568">
        <v>0</v>
      </c>
      <c r="N568">
        <v>1.0355798547576964</v>
      </c>
      <c r="O568">
        <v>0</v>
      </c>
    </row>
    <row r="569" spans="1:17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M569">
        <v>0</v>
      </c>
      <c r="N569">
        <v>0</v>
      </c>
      <c r="O569">
        <v>0.41666642968440082</v>
      </c>
    </row>
    <row r="570" spans="1:17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7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array" ref="M571:O573">SVDD(B571:K573)</f>
        <v>3.9812770492284471</v>
      </c>
      <c r="N571">
        <v>0</v>
      </c>
      <c r="O571">
        <v>0</v>
      </c>
      <c r="Q571">
        <f t="shared" ref="Q571" si="151">MAX(M571,N572,O573)/MIN(M571,N572,O573)</f>
        <v>7.0240332854805123</v>
      </c>
    </row>
    <row r="572" spans="1:17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M572">
        <v>0</v>
      </c>
      <c r="N572">
        <v>1.8196311681378323</v>
      </c>
      <c r="O572">
        <v>0</v>
      </c>
    </row>
    <row r="573" spans="1:17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M573">
        <v>0</v>
      </c>
      <c r="N573">
        <v>0</v>
      </c>
      <c r="O573">
        <v>0.56680782784133532</v>
      </c>
    </row>
    <row r="574" spans="1:17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7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array" ref="M575:O577">SVDD(B575:K577)</f>
        <v>3.4335094711081235</v>
      </c>
      <c r="N575">
        <v>0</v>
      </c>
      <c r="O575">
        <v>0</v>
      </c>
      <c r="Q575">
        <f t="shared" ref="Q575" si="152">MAX(M575,N576,O577)/MIN(M575,N576,O577)</f>
        <v>5.6271285163995781</v>
      </c>
    </row>
    <row r="576" spans="1:17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M576">
        <v>0</v>
      </c>
      <c r="N576">
        <v>1.371251956893665</v>
      </c>
      <c r="O576">
        <v>0</v>
      </c>
    </row>
    <row r="577" spans="1:17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M577">
        <v>0</v>
      </c>
      <c r="N577">
        <v>0</v>
      </c>
      <c r="O577">
        <v>0.61017079334541235</v>
      </c>
    </row>
    <row r="578" spans="1:17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7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array" ref="M579:O581">SVDD(B579:K581)</f>
        <v>3.5589980016821059</v>
      </c>
      <c r="N579">
        <v>0</v>
      </c>
      <c r="O579">
        <v>0</v>
      </c>
      <c r="Q579">
        <f t="shared" ref="Q579" si="153">MAX(M579,N580,O581)/MIN(M579,N580,O581)</f>
        <v>4.8997062053036835</v>
      </c>
    </row>
    <row r="580" spans="1:17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M580">
        <v>0</v>
      </c>
      <c r="N580">
        <v>1.8595087610335768</v>
      </c>
      <c r="O580">
        <v>0</v>
      </c>
    </row>
    <row r="581" spans="1:17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M581">
        <v>0</v>
      </c>
      <c r="N581">
        <v>0</v>
      </c>
      <c r="O581">
        <v>0.72636967453878576</v>
      </c>
    </row>
    <row r="582" spans="1:17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7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array" ref="M583:O585">SVDD(B583:K585)</f>
        <v>3.3641646937815253</v>
      </c>
      <c r="N583">
        <v>0</v>
      </c>
      <c r="O583">
        <v>0</v>
      </c>
      <c r="Q583">
        <f t="shared" ref="Q583" si="154">MAX(M583,N584,O585)/MIN(M583,N584,O585)</f>
        <v>6.5861271662945571</v>
      </c>
    </row>
    <row r="584" spans="1:17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M584">
        <v>0</v>
      </c>
      <c r="N584">
        <v>1.3044967565173173</v>
      </c>
      <c r="O584">
        <v>0</v>
      </c>
    </row>
    <row r="585" spans="1:17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M585">
        <v>0</v>
      </c>
      <c r="N585">
        <v>0</v>
      </c>
      <c r="O585">
        <v>0.51079558727595131</v>
      </c>
    </row>
    <row r="586" spans="1:17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7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array" ref="M587:O589">SVDD(B587:K589)</f>
        <v>2.9291314559447588</v>
      </c>
      <c r="N587">
        <v>0</v>
      </c>
      <c r="O587">
        <v>0</v>
      </c>
      <c r="Q587">
        <f t="shared" ref="Q587" si="155">MAX(M587,N588,O589)/MIN(M587,N588,O589)</f>
        <v>6.7013902944805617</v>
      </c>
    </row>
    <row r="588" spans="1:17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M588">
        <v>0</v>
      </c>
      <c r="N588">
        <v>1.9030199596895538</v>
      </c>
      <c r="O588">
        <v>0</v>
      </c>
    </row>
    <row r="589" spans="1:17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M589">
        <v>0</v>
      </c>
      <c r="N589">
        <v>0</v>
      </c>
      <c r="O589">
        <v>0.43709309967474469</v>
      </c>
    </row>
    <row r="590" spans="1:17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7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array" ref="M591:O593">SVDD(B591:K593)</f>
        <v>2.1660967000867681</v>
      </c>
      <c r="N591">
        <v>0</v>
      </c>
      <c r="O591">
        <v>0</v>
      </c>
      <c r="Q591">
        <f t="shared" ref="Q591" si="156">MAX(M591,N592,O593)/MIN(M591,N592,O593)</f>
        <v>7.0321257689458081</v>
      </c>
    </row>
    <row r="592" spans="1:17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M592">
        <v>0</v>
      </c>
      <c r="N592">
        <v>1.470434509970393</v>
      </c>
      <c r="O592">
        <v>0</v>
      </c>
    </row>
    <row r="593" spans="1:17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M593">
        <v>0</v>
      </c>
      <c r="N593">
        <v>0</v>
      </c>
      <c r="O593">
        <v>0.30802872008523385</v>
      </c>
    </row>
    <row r="594" spans="1:17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7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array" ref="M595:O597">SVDD(B595:K597)</f>
        <v>2.3487051125019511</v>
      </c>
      <c r="N595">
        <v>0</v>
      </c>
      <c r="O595">
        <v>0</v>
      </c>
      <c r="Q595">
        <f t="shared" ref="Q595" si="157">MAX(M595,N596,O597)/MIN(M595,N596,O597)</f>
        <v>13.883112073102259</v>
      </c>
    </row>
    <row r="596" spans="1:17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M596">
        <v>0</v>
      </c>
      <c r="N596">
        <v>2.00410398269729</v>
      </c>
      <c r="O596">
        <v>0</v>
      </c>
    </row>
    <row r="597" spans="1:17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M597">
        <v>0</v>
      </c>
      <c r="N597">
        <v>0</v>
      </c>
      <c r="O597">
        <v>0.16917713407013646</v>
      </c>
    </row>
    <row r="598" spans="1:17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7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array" ref="M599:O601">SVDD(B599:K601)</f>
        <v>4.0521872158398438</v>
      </c>
      <c r="N599">
        <v>0</v>
      </c>
      <c r="O599">
        <v>0</v>
      </c>
      <c r="Q599">
        <f t="shared" ref="Q599" si="158">MAX(M599,N600,O601)/MIN(M599,N600,O601)</f>
        <v>10.942110783080427</v>
      </c>
    </row>
    <row r="600" spans="1:17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M600">
        <v>0</v>
      </c>
      <c r="N600">
        <v>1.6279676722537397</v>
      </c>
      <c r="O600">
        <v>0</v>
      </c>
    </row>
    <row r="601" spans="1:17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M601">
        <v>0</v>
      </c>
      <c r="N601">
        <v>0</v>
      </c>
      <c r="O601">
        <v>0.37032957316660164</v>
      </c>
    </row>
    <row r="602" spans="1:17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7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array" ref="M603:O605">SVDD(B603:K605)</f>
        <v>3.3604620940967318</v>
      </c>
      <c r="N603">
        <v>0</v>
      </c>
      <c r="O603">
        <v>0</v>
      </c>
      <c r="Q603">
        <f t="shared" ref="Q603" si="159">MAX(M603,N604,O605)/MIN(M603,N604,O605)</f>
        <v>6.9655714964257749</v>
      </c>
    </row>
    <row r="604" spans="1:17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M604">
        <v>0</v>
      </c>
      <c r="N604">
        <v>1.4962957909598082</v>
      </c>
      <c r="O604">
        <v>0</v>
      </c>
    </row>
    <row r="605" spans="1:17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M605">
        <v>0</v>
      </c>
      <c r="N605">
        <v>0</v>
      </c>
      <c r="O605">
        <v>0.48243882010558314</v>
      </c>
    </row>
    <row r="606" spans="1:17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7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array" ref="M607:O609">SVDD(B607:K609)</f>
        <v>3.5813838663196682</v>
      </c>
      <c r="N607">
        <v>0</v>
      </c>
      <c r="O607">
        <v>0</v>
      </c>
      <c r="Q607">
        <f t="shared" ref="Q607" si="160">MAX(M607,N608,O609)/MIN(M607,N608,O609)</f>
        <v>4.4447880023870185</v>
      </c>
    </row>
    <row r="608" spans="1:17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M608">
        <v>0</v>
      </c>
      <c r="N608">
        <v>1.703298250898494</v>
      </c>
      <c r="O608">
        <v>0</v>
      </c>
    </row>
    <row r="609" spans="1:17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M609">
        <v>0</v>
      </c>
      <c r="N609">
        <v>0</v>
      </c>
      <c r="O609">
        <v>0.80574908508489729</v>
      </c>
    </row>
    <row r="610" spans="1:17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7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array" ref="M611:O613">SVDD(B611:K613)</f>
        <v>3.1089515050275374</v>
      </c>
      <c r="N611">
        <v>0</v>
      </c>
      <c r="O611">
        <v>0</v>
      </c>
      <c r="Q611">
        <f t="shared" ref="Q611" si="161">MAX(M611,N612,O613)/MIN(M611,N612,O613)</f>
        <v>10.896753884057729</v>
      </c>
    </row>
    <row r="612" spans="1:17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M612">
        <v>0</v>
      </c>
      <c r="N612">
        <v>1.769106300316508</v>
      </c>
      <c r="O612">
        <v>0</v>
      </c>
    </row>
    <row r="613" spans="1:17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M613">
        <v>0</v>
      </c>
      <c r="N613">
        <v>0</v>
      </c>
      <c r="O613">
        <v>0.28530987651065742</v>
      </c>
    </row>
    <row r="614" spans="1:17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7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array" ref="M615:O617">SVDD(B615:K617)</f>
        <v>3.4596700393710584</v>
      </c>
      <c r="N615">
        <v>0</v>
      </c>
      <c r="O615">
        <v>0</v>
      </c>
      <c r="Q615">
        <f t="shared" ref="Q615" si="162">MAX(M615,N616,O617)/MIN(M615,N616,O617)</f>
        <v>4.5839562477202325</v>
      </c>
    </row>
    <row r="616" spans="1:17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M616">
        <v>0</v>
      </c>
      <c r="N616">
        <v>1.7175402056330671</v>
      </c>
      <c r="O616">
        <v>0</v>
      </c>
    </row>
    <row r="617" spans="1:17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M617">
        <v>0</v>
      </c>
      <c r="N617">
        <v>0</v>
      </c>
      <c r="O617">
        <v>0.75473452459143298</v>
      </c>
    </row>
    <row r="618" spans="1:17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7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array" ref="M619:O621">SVDD(B619:K621)</f>
        <v>2.5724899493528528</v>
      </c>
      <c r="N619">
        <v>0</v>
      </c>
      <c r="O619">
        <v>0</v>
      </c>
      <c r="Q619">
        <f t="shared" ref="Q619" si="163">MAX(M619,N620,O621)/MIN(M619,N620,O621)</f>
        <v>9.2996464166492459</v>
      </c>
    </row>
    <row r="620" spans="1:17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M620">
        <v>0</v>
      </c>
      <c r="N620">
        <v>1.8306967792962749</v>
      </c>
      <c r="O620">
        <v>0</v>
      </c>
    </row>
    <row r="621" spans="1:17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M621">
        <v>0</v>
      </c>
      <c r="N621">
        <v>0</v>
      </c>
      <c r="O621">
        <v>0.27662233961361149</v>
      </c>
    </row>
    <row r="622" spans="1:17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7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array" ref="M623:O625">SVDD(B623:K625)</f>
        <v>4.0796659512304752</v>
      </c>
      <c r="N623">
        <v>0</v>
      </c>
      <c r="O623">
        <v>0</v>
      </c>
      <c r="Q623">
        <f t="shared" ref="Q623" si="164">MAX(M623,N624,O625)/MIN(M623,N624,O625)</f>
        <v>197.45786878696865</v>
      </c>
    </row>
    <row r="624" spans="1:17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M624">
        <v>0</v>
      </c>
      <c r="N624">
        <v>1.1273872181432438</v>
      </c>
      <c r="O624">
        <v>0</v>
      </c>
    </row>
    <row r="625" spans="1:17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M625">
        <v>0</v>
      </c>
      <c r="N625">
        <v>0</v>
      </c>
      <c r="O625">
        <v>2.0660943908150372E-2</v>
      </c>
    </row>
    <row r="626" spans="1:17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7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array" ref="M627:O629">SVDD(B627:K629)</f>
        <v>3.6898334995247244</v>
      </c>
      <c r="N627">
        <v>0</v>
      </c>
      <c r="O627">
        <v>0</v>
      </c>
      <c r="Q627">
        <f t="shared" ref="Q627" si="165">MAX(M627,N628,O629)/MIN(M627,N628,O629)</f>
        <v>131.53204865985026</v>
      </c>
    </row>
    <row r="628" spans="1:17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M628">
        <v>0</v>
      </c>
      <c r="N628">
        <v>1.8471083809062694</v>
      </c>
      <c r="O628">
        <v>0</v>
      </c>
    </row>
    <row r="629" spans="1:17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M629">
        <v>0</v>
      </c>
      <c r="N629">
        <v>0</v>
      </c>
      <c r="O629">
        <v>2.8052733437360609E-2</v>
      </c>
    </row>
    <row r="630" spans="1:17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7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array" ref="M631:O633">SVDD(B631:K633)</f>
        <v>3.0330357237067953</v>
      </c>
      <c r="N631">
        <v>0</v>
      </c>
      <c r="O631">
        <v>0</v>
      </c>
      <c r="Q631">
        <f t="shared" ref="Q631" si="166">MAX(M631,N632,O633)/MIN(M631,N632,O633)</f>
        <v>125.15659561929162</v>
      </c>
    </row>
    <row r="632" spans="1:17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M632">
        <v>0</v>
      </c>
      <c r="N632">
        <v>1.5447674797408222</v>
      </c>
      <c r="O632">
        <v>0</v>
      </c>
    </row>
    <row r="633" spans="1:17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M633">
        <v>0</v>
      </c>
      <c r="N633">
        <v>0</v>
      </c>
      <c r="O633">
        <v>2.4233926375984642E-2</v>
      </c>
    </row>
    <row r="634" spans="1:17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7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array" ref="M635:O637">SVDD(B635:K637)</f>
        <v>3.1647164222415443</v>
      </c>
      <c r="N635">
        <v>0</v>
      </c>
      <c r="O635">
        <v>0</v>
      </c>
      <c r="Q635">
        <f t="shared" ref="Q635" si="167">MAX(M635,N636,O637)/MIN(M635,N636,O637)</f>
        <v>11.323295361557118</v>
      </c>
    </row>
    <row r="636" spans="1:17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M636">
        <v>0</v>
      </c>
      <c r="N636">
        <v>2.0255570358590562</v>
      </c>
      <c r="O636">
        <v>0</v>
      </c>
    </row>
    <row r="637" spans="1:17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M637">
        <v>0</v>
      </c>
      <c r="N637">
        <v>0</v>
      </c>
      <c r="O637">
        <v>0.27948722710049928</v>
      </c>
    </row>
    <row r="638" spans="1:17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7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array" ref="M639:O641">SVDD(B639:K641)</f>
        <v>4.6417792736934533</v>
      </c>
      <c r="N639">
        <v>0</v>
      </c>
      <c r="O639">
        <v>0</v>
      </c>
      <c r="Q639">
        <f t="shared" ref="Q639" si="168">MAX(M639,N640,O641)/MIN(M639,N640,O641)</f>
        <v>101.58825718762284</v>
      </c>
    </row>
    <row r="640" spans="1:17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M640">
        <v>0</v>
      </c>
      <c r="N640">
        <v>1.514788608678566</v>
      </c>
      <c r="O640">
        <v>0</v>
      </c>
    </row>
    <row r="641" spans="1:17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M641">
        <v>0</v>
      </c>
      <c r="N641">
        <v>0</v>
      </c>
      <c r="O641">
        <v>4.5692084914111426E-2</v>
      </c>
    </row>
    <row r="642" spans="1:17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7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array" ref="M643:O645">SVDD(B643:K645)</f>
        <v>4.0744107145404431</v>
      </c>
      <c r="N643">
        <v>0</v>
      </c>
      <c r="O643">
        <v>0</v>
      </c>
      <c r="Q643">
        <f t="shared" ref="Q643" si="169">MAX(M643,N644,O645)/MIN(M643,N644,O645)</f>
        <v>269.6514170426355</v>
      </c>
    </row>
    <row r="644" spans="1:17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M644">
        <v>0</v>
      </c>
      <c r="N644">
        <v>1.341815229818762</v>
      </c>
      <c r="O644">
        <v>0</v>
      </c>
    </row>
    <row r="645" spans="1:17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M645">
        <v>0</v>
      </c>
      <c r="N645">
        <v>0</v>
      </c>
      <c r="O645">
        <v>1.5109917682710432E-2</v>
      </c>
    </row>
    <row r="646" spans="1:17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7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array" ref="M647:O649">SVDD(B647:K649)</f>
        <v>4.2176827892746216</v>
      </c>
      <c r="N647">
        <v>0</v>
      </c>
      <c r="O647">
        <v>0</v>
      </c>
      <c r="Q647">
        <f t="shared" ref="Q647" si="170">MAX(M647,N648,O649)/MIN(M647,N648,O649)</f>
        <v>19.524354816003182</v>
      </c>
    </row>
    <row r="648" spans="1:17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M648">
        <v>0</v>
      </c>
      <c r="N648">
        <v>1.7821982317577501</v>
      </c>
      <c r="O648">
        <v>0</v>
      </c>
    </row>
    <row r="649" spans="1:17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M649">
        <v>0</v>
      </c>
      <c r="N649">
        <v>0</v>
      </c>
      <c r="O649">
        <v>0.21602162166288785</v>
      </c>
    </row>
    <row r="650" spans="1:17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7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array" ref="M651:O653">SVDD(B651:K653)</f>
        <v>3.7653909283792641</v>
      </c>
      <c r="N651">
        <v>0</v>
      </c>
      <c r="O651">
        <v>0</v>
      </c>
      <c r="Q651">
        <f t="shared" ref="Q651" si="171">MAX(M651,N652,O653)/MIN(M651,N652,O653)</f>
        <v>57.307011254448241</v>
      </c>
    </row>
    <row r="652" spans="1:17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M652">
        <v>0</v>
      </c>
      <c r="N652">
        <v>1.8252116360625719</v>
      </c>
      <c r="O652">
        <v>0</v>
      </c>
    </row>
    <row r="653" spans="1:17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M653">
        <v>0</v>
      </c>
      <c r="N653">
        <v>0</v>
      </c>
      <c r="O653">
        <v>6.5705589001328168E-2</v>
      </c>
    </row>
    <row r="654" spans="1:17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7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array" ref="M655:O657">SVDD(B655:K657)</f>
        <v>3.9864580499741806</v>
      </c>
      <c r="N655">
        <v>0</v>
      </c>
      <c r="O655">
        <v>0</v>
      </c>
      <c r="Q655">
        <f t="shared" ref="Q655" si="172">MAX(M655,N656,O657)/MIN(M655,N656,O657)</f>
        <v>7.3302861116818709</v>
      </c>
    </row>
    <row r="656" spans="1:17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M656">
        <v>0</v>
      </c>
      <c r="N656">
        <v>1.9840628499008901</v>
      </c>
      <c r="O656">
        <v>0</v>
      </c>
    </row>
    <row r="657" spans="1:17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M657">
        <v>0</v>
      </c>
      <c r="N657">
        <v>0</v>
      </c>
      <c r="O657">
        <v>0.54383389532656623</v>
      </c>
    </row>
    <row r="658" spans="1:17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7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array" ref="M659:O661">SVDD(B659:K661)</f>
        <v>3.2116602111561612</v>
      </c>
      <c r="N659">
        <v>0</v>
      </c>
      <c r="O659">
        <v>0</v>
      </c>
      <c r="Q659">
        <f t="shared" ref="Q659" si="173">MAX(M659,N660,O661)/MIN(M659,N660,O661)</f>
        <v>8.4963031929361694</v>
      </c>
    </row>
    <row r="660" spans="1:17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M660">
        <v>0</v>
      </c>
      <c r="N660">
        <v>2.0555267000776274</v>
      </c>
      <c r="O660">
        <v>0</v>
      </c>
    </row>
    <row r="661" spans="1:17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M661">
        <v>0</v>
      </c>
      <c r="N661">
        <v>0</v>
      </c>
      <c r="O661">
        <v>0.37800677991650966</v>
      </c>
    </row>
    <row r="662" spans="1:17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7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array" ref="M663:O665">SVDD(B663:K665)</f>
        <v>3.8193246124950964</v>
      </c>
      <c r="N663">
        <v>0</v>
      </c>
      <c r="O663">
        <v>0</v>
      </c>
      <c r="Q663">
        <f t="shared" ref="Q663" si="174">MAX(M663,N664,O665)/MIN(M663,N664,O665)</f>
        <v>67.763996770762134</v>
      </c>
    </row>
    <row r="664" spans="1:17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M664">
        <v>0</v>
      </c>
      <c r="N664">
        <v>1.4703219897366007</v>
      </c>
      <c r="O664">
        <v>0</v>
      </c>
    </row>
    <row r="665" spans="1:17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M665">
        <v>0</v>
      </c>
      <c r="N665">
        <v>0</v>
      </c>
      <c r="O665">
        <v>5.6362150913492247E-2</v>
      </c>
    </row>
    <row r="666" spans="1:17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7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array" ref="M667:O669">SVDD(B667:K669)</f>
        <v>3.0004487744890627</v>
      </c>
      <c r="N667">
        <v>0</v>
      </c>
      <c r="O667">
        <v>0</v>
      </c>
      <c r="Q667">
        <f t="shared" ref="Q667" si="175">MAX(M667,N668,O669)/MIN(M667,N668,O669)</f>
        <v>137.96747234834424</v>
      </c>
    </row>
    <row r="668" spans="1:17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M668">
        <v>0</v>
      </c>
      <c r="N668">
        <v>1.5184728937325007</v>
      </c>
      <c r="O668">
        <v>0</v>
      </c>
    </row>
    <row r="669" spans="1:17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M669">
        <v>0</v>
      </c>
      <c r="N669">
        <v>0</v>
      </c>
      <c r="O669">
        <v>2.1747508477312997E-2</v>
      </c>
    </row>
    <row r="670" spans="1:17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7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array" ref="M671:O673">SVDD(B671:K673)</f>
        <v>3.2698798387410131</v>
      </c>
      <c r="N671">
        <v>0</v>
      </c>
      <c r="O671">
        <v>0</v>
      </c>
      <c r="Q671">
        <f t="shared" ref="Q671" si="176">MAX(M671,N672,O673)/MIN(M671,N672,O673)</f>
        <v>8.9570652746343455</v>
      </c>
    </row>
    <row r="672" spans="1:17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M672">
        <v>0</v>
      </c>
      <c r="N672">
        <v>1.7595461973796735</v>
      </c>
      <c r="O672">
        <v>0</v>
      </c>
    </row>
    <row r="673" spans="1:17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M673">
        <v>0</v>
      </c>
      <c r="N673">
        <v>0</v>
      </c>
      <c r="O673">
        <v>0.3650615171914664</v>
      </c>
    </row>
    <row r="674" spans="1:17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7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array" ref="M675:O677">SVDD(B675:K677)</f>
        <v>2.965738765290284</v>
      </c>
      <c r="N675">
        <v>0</v>
      </c>
      <c r="O675">
        <v>0</v>
      </c>
      <c r="Q675">
        <f t="shared" ref="Q675" si="177">MAX(M675,N676,O677)/MIN(M675,N676,O677)</f>
        <v>54.227302279416904</v>
      </c>
    </row>
    <row r="676" spans="1:17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M676">
        <v>0</v>
      </c>
      <c r="N676">
        <v>1.2738495627072632</v>
      </c>
      <c r="O676">
        <v>0</v>
      </c>
    </row>
    <row r="677" spans="1:17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M677">
        <v>0</v>
      </c>
      <c r="N677">
        <v>0</v>
      </c>
      <c r="O677">
        <v>5.469087785353452E-2</v>
      </c>
    </row>
    <row r="678" spans="1:17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7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array" ref="M679:O681">SVDD(B679:K681)</f>
        <v>3.3310745585555277</v>
      </c>
      <c r="N679">
        <v>0</v>
      </c>
      <c r="O679">
        <v>0</v>
      </c>
      <c r="Q679">
        <f t="shared" ref="Q679" si="178">MAX(M679,N680,O681)/MIN(M679,N680,O681)</f>
        <v>5.9589381025828034</v>
      </c>
    </row>
    <row r="680" spans="1:17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M680">
        <v>0</v>
      </c>
      <c r="N680">
        <v>1.2747397061174912</v>
      </c>
      <c r="O680">
        <v>0</v>
      </c>
    </row>
    <row r="681" spans="1:17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M681">
        <v>0</v>
      </c>
      <c r="N681">
        <v>0</v>
      </c>
      <c r="O681">
        <v>0.55900472554190961</v>
      </c>
    </row>
    <row r="682" spans="1:17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7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array" ref="M683:O685">SVDD(B683:K685)</f>
        <v>2.5193180939797442</v>
      </c>
      <c r="N683">
        <v>0</v>
      </c>
      <c r="O683">
        <v>0</v>
      </c>
      <c r="Q683">
        <f t="shared" ref="Q683" si="179">MAX(M683,N684,O685)/MIN(M683,N684,O685)</f>
        <v>7.5706772691542605</v>
      </c>
    </row>
    <row r="684" spans="1:17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M684">
        <v>0</v>
      </c>
      <c r="N684">
        <v>1.0642111946979997</v>
      </c>
      <c r="O684">
        <v>0</v>
      </c>
    </row>
    <row r="685" spans="1:17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M685">
        <v>0</v>
      </c>
      <c r="N685">
        <v>0</v>
      </c>
      <c r="O685">
        <v>0.33277314623413917</v>
      </c>
    </row>
    <row r="686" spans="1:17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7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array" ref="M687:O689">SVDD(B687:K689)</f>
        <v>3.9480566400038</v>
      </c>
      <c r="N687">
        <v>0</v>
      </c>
      <c r="O687">
        <v>0</v>
      </c>
      <c r="Q687">
        <f t="shared" ref="Q687" si="180">MAX(M687,N688,O689)/MIN(M687,N688,O689)</f>
        <v>51.984148807073701</v>
      </c>
    </row>
    <row r="688" spans="1:17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M688">
        <v>0</v>
      </c>
      <c r="N688">
        <v>1.2820649504677553</v>
      </c>
      <c r="O688">
        <v>0</v>
      </c>
    </row>
    <row r="689" spans="1:17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M689">
        <v>0</v>
      </c>
      <c r="N689">
        <v>0</v>
      </c>
      <c r="O689">
        <v>7.5947317222717928E-2</v>
      </c>
    </row>
    <row r="690" spans="1:17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7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array" ref="M691:O693">SVDD(B691:K693)</f>
        <v>4.1896225600936701</v>
      </c>
      <c r="N691">
        <v>0</v>
      </c>
      <c r="O691">
        <v>0</v>
      </c>
      <c r="Q691">
        <f t="shared" ref="Q691" si="181">MAX(M691,N692,O693)/MIN(M691,N692,O693)</f>
        <v>8.7365387211630789</v>
      </c>
    </row>
    <row r="692" spans="1:17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M692">
        <v>0</v>
      </c>
      <c r="N692">
        <v>1.4373224276899192</v>
      </c>
      <c r="O692">
        <v>0</v>
      </c>
    </row>
    <row r="693" spans="1:17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M693">
        <v>0</v>
      </c>
      <c r="N693">
        <v>0</v>
      </c>
      <c r="O693">
        <v>0.47955176458439747</v>
      </c>
    </row>
    <row r="694" spans="1:17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7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array" ref="M695:O697">SVDD(B695:K697)</f>
        <v>3.426054768284196</v>
      </c>
      <c r="N695">
        <v>0</v>
      </c>
      <c r="O695">
        <v>0</v>
      </c>
      <c r="Q695">
        <f t="shared" ref="Q695" si="182">MAX(M695,N696,O697)/MIN(M695,N696,O697)</f>
        <v>8.8191567327495761</v>
      </c>
    </row>
    <row r="696" spans="1:17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M696">
        <v>0</v>
      </c>
      <c r="N696">
        <v>1.5864424469002112</v>
      </c>
      <c r="O696">
        <v>0</v>
      </c>
    </row>
    <row r="697" spans="1:17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M697">
        <v>0</v>
      </c>
      <c r="N697">
        <v>0</v>
      </c>
      <c r="O697">
        <v>0.38847872558627766</v>
      </c>
    </row>
    <row r="698" spans="1:17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7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array" ref="M699:O701">SVDD(B699:K701)</f>
        <v>3.5592168525117991</v>
      </c>
      <c r="N699">
        <v>0</v>
      </c>
      <c r="O699">
        <v>0</v>
      </c>
      <c r="Q699">
        <f t="shared" ref="Q699" si="183">MAX(M699,N700,O701)/MIN(M699,N700,O701)</f>
        <v>9.0969079841042859</v>
      </c>
    </row>
    <row r="700" spans="1:17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M700">
        <v>0</v>
      </c>
      <c r="N700">
        <v>0.83476075690084917</v>
      </c>
      <c r="O700">
        <v>0</v>
      </c>
    </row>
    <row r="701" spans="1:17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M701">
        <v>0</v>
      </c>
      <c r="N701">
        <v>0</v>
      </c>
      <c r="O701">
        <v>0.39125567266714001</v>
      </c>
    </row>
    <row r="702" spans="1:17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7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array" ref="M703:O705">SVDD(B703:K705)</f>
        <v>4.1489202191957677</v>
      </c>
      <c r="N703">
        <v>0</v>
      </c>
      <c r="O703">
        <v>0</v>
      </c>
      <c r="Q703">
        <f t="shared" ref="Q703" si="184">MAX(M703,N704,O705)/MIN(M703,N704,O705)</f>
        <v>6.7439838835765089</v>
      </c>
    </row>
    <row r="704" spans="1:17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M704">
        <v>0</v>
      </c>
      <c r="N704">
        <v>1.4593992754227505</v>
      </c>
      <c r="O704">
        <v>0</v>
      </c>
    </row>
    <row r="705" spans="1:17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M705">
        <v>0</v>
      </c>
      <c r="N705">
        <v>0</v>
      </c>
      <c r="O705">
        <v>0.61520316341495884</v>
      </c>
    </row>
    <row r="706" spans="1:17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7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array" ref="M707:O709">SVDD(B707:K709)</f>
        <v>3.3550147159618895</v>
      </c>
      <c r="N707">
        <v>0</v>
      </c>
      <c r="O707">
        <v>0</v>
      </c>
      <c r="Q707">
        <f t="shared" ref="Q707" si="185">MAX(M707,N708,O709)/MIN(M707,N708,O709)</f>
        <v>24.854741469633339</v>
      </c>
    </row>
    <row r="708" spans="1:17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M708">
        <v>0</v>
      </c>
      <c r="N708">
        <v>1.1575196878679113</v>
      </c>
      <c r="O708">
        <v>0</v>
      </c>
    </row>
    <row r="709" spans="1:17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M709">
        <v>0</v>
      </c>
      <c r="N709">
        <v>0</v>
      </c>
      <c r="O709">
        <v>0.13498489694857338</v>
      </c>
    </row>
    <row r="710" spans="1:17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7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array" ref="M711:O713">SVDD(B711:K713)</f>
        <v>3.6894179517983803</v>
      </c>
      <c r="N711">
        <v>0</v>
      </c>
      <c r="O711">
        <v>0</v>
      </c>
      <c r="Q711">
        <f t="shared" ref="Q711" si="186">MAX(M711,N712,O713)/MIN(M711,N712,O713)</f>
        <v>6.7600261934823944</v>
      </c>
    </row>
    <row r="712" spans="1:17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M712">
        <v>0</v>
      </c>
      <c r="N712">
        <v>2.0393122050796921</v>
      </c>
      <c r="O712">
        <v>0</v>
      </c>
    </row>
    <row r="713" spans="1:17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M713">
        <v>0</v>
      </c>
      <c r="N713">
        <v>0</v>
      </c>
      <c r="O713">
        <v>0.54576977162536622</v>
      </c>
    </row>
    <row r="714" spans="1:17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7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array" ref="M715:O717">SVDD(B715:K717)</f>
        <v>3.1632314240864905</v>
      </c>
      <c r="N715">
        <v>0</v>
      </c>
      <c r="O715">
        <v>0</v>
      </c>
      <c r="Q715">
        <f t="shared" ref="Q715" si="187">MAX(M715,N716,O717)/MIN(M715,N716,O717)</f>
        <v>7.6432814060471879</v>
      </c>
    </row>
    <row r="716" spans="1:17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M716">
        <v>0</v>
      </c>
      <c r="N716">
        <v>1.8041488486084338</v>
      </c>
      <c r="O716">
        <v>0</v>
      </c>
    </row>
    <row r="717" spans="1:17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M717">
        <v>0</v>
      </c>
      <c r="N717">
        <v>0</v>
      </c>
      <c r="O717">
        <v>0.41385777338824853</v>
      </c>
    </row>
    <row r="718" spans="1:17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7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array" ref="M719:O721">SVDD(B719:K721)</f>
        <v>3.1361618279408292</v>
      </c>
      <c r="N719">
        <v>0</v>
      </c>
      <c r="O719">
        <v>0</v>
      </c>
      <c r="Q719">
        <f t="shared" ref="Q719" si="188">MAX(M719,N720,O721)/MIN(M719,N720,O721)</f>
        <v>30.406937748135228</v>
      </c>
    </row>
    <row r="720" spans="1:17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M720">
        <v>0</v>
      </c>
      <c r="N720">
        <v>1.6228736542654225</v>
      </c>
      <c r="O720">
        <v>0</v>
      </c>
    </row>
    <row r="721" spans="1:17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M721">
        <v>0</v>
      </c>
      <c r="N721">
        <v>0</v>
      </c>
      <c r="O721">
        <v>0.10313967996113522</v>
      </c>
    </row>
    <row r="722" spans="1:17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7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array" ref="M723:O725">SVDD(B723:K725)</f>
        <v>3.8879047782897094</v>
      </c>
      <c r="N723">
        <v>0</v>
      </c>
      <c r="O723">
        <v>0</v>
      </c>
      <c r="Q723">
        <f t="shared" ref="Q723" si="189">MAX(M723,N724,O725)/MIN(M723,N724,O725)</f>
        <v>7.3872884282208222</v>
      </c>
    </row>
    <row r="724" spans="1:17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M724">
        <v>0</v>
      </c>
      <c r="N724">
        <v>1.2330528162575796</v>
      </c>
      <c r="O724">
        <v>0</v>
      </c>
    </row>
    <row r="725" spans="1:17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M725">
        <v>0</v>
      </c>
      <c r="N725">
        <v>0</v>
      </c>
      <c r="O725">
        <v>0.52629659936346695</v>
      </c>
    </row>
    <row r="726" spans="1:17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7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array" ref="M727:O729">SVDD(B727:K729)</f>
        <v>4.5104342225386187</v>
      </c>
      <c r="N727">
        <v>0</v>
      </c>
      <c r="O727">
        <v>0</v>
      </c>
      <c r="Q727">
        <f t="shared" ref="Q727" si="190">MAX(M727,N728,O729)/MIN(M727,N728,O729)</f>
        <v>11.407017699081383</v>
      </c>
    </row>
    <row r="728" spans="1:17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M728">
        <v>0</v>
      </c>
      <c r="N728">
        <v>1.366336608823806</v>
      </c>
      <c r="O728">
        <v>0</v>
      </c>
    </row>
    <row r="729" spans="1:17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M729">
        <v>0</v>
      </c>
      <c r="N729">
        <v>0</v>
      </c>
      <c r="O729">
        <v>0.39540871606623773</v>
      </c>
    </row>
    <row r="730" spans="1:17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7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array" ref="M731:O733">SVDD(B731:K733)</f>
        <v>3.9373491207493854</v>
      </c>
      <c r="N731">
        <v>0</v>
      </c>
      <c r="O731">
        <v>0</v>
      </c>
      <c r="Q731">
        <f t="shared" ref="Q731" si="191">MAX(M731,N732,O733)/MIN(M731,N732,O733)</f>
        <v>7.7042383117965842</v>
      </c>
    </row>
    <row r="732" spans="1:17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M732">
        <v>0</v>
      </c>
      <c r="N732">
        <v>1.4018241838749699</v>
      </c>
      <c r="O732">
        <v>0</v>
      </c>
    </row>
    <row r="733" spans="1:17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M733">
        <v>0</v>
      </c>
      <c r="N733">
        <v>0</v>
      </c>
      <c r="O733">
        <v>0.51106273734037932</v>
      </c>
    </row>
    <row r="734" spans="1:17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7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array" ref="M735:O737">SVDD(B735:K737)</f>
        <v>3.832198555940614</v>
      </c>
      <c r="N735">
        <v>0</v>
      </c>
      <c r="O735">
        <v>0</v>
      </c>
      <c r="Q735">
        <f t="shared" ref="Q735" si="192">MAX(M735,N736,O737)/MIN(M735,N736,O737)</f>
        <v>4.6357090519507596</v>
      </c>
    </row>
    <row r="736" spans="1:17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M736">
        <v>0</v>
      </c>
      <c r="N736">
        <v>1.1872970017643976</v>
      </c>
      <c r="O736">
        <v>0</v>
      </c>
    </row>
    <row r="737" spans="1:17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M737">
        <v>0</v>
      </c>
      <c r="N737">
        <v>0</v>
      </c>
      <c r="O737">
        <v>0.82666934291917671</v>
      </c>
    </row>
    <row r="738" spans="1:17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7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array" ref="M739:O741">SVDD(B739:K741)</f>
        <v>3.459710741252604</v>
      </c>
      <c r="N739">
        <v>0</v>
      </c>
      <c r="O739">
        <v>0</v>
      </c>
      <c r="Q739">
        <f t="shared" ref="Q739" si="193">MAX(M739,N740,O741)/MIN(M739,N740,O741)</f>
        <v>8.6702125209460892</v>
      </c>
    </row>
    <row r="740" spans="1:17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M740">
        <v>0</v>
      </c>
      <c r="N740">
        <v>1.7693864280300766</v>
      </c>
      <c r="O740">
        <v>0</v>
      </c>
    </row>
    <row r="741" spans="1:17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M741">
        <v>0</v>
      </c>
      <c r="N741">
        <v>0</v>
      </c>
      <c r="O741">
        <v>0.39903413358027839</v>
      </c>
    </row>
    <row r="742" spans="1:17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7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array" ref="M743:O745">SVDD(B743:K745)</f>
        <v>2.7690386856575802</v>
      </c>
      <c r="N743">
        <v>0</v>
      </c>
      <c r="O743">
        <v>0</v>
      </c>
      <c r="Q743">
        <f t="shared" ref="Q743" si="194">MAX(M743,N744,O745)/MIN(M743,N744,O745)</f>
        <v>10.82052253532785</v>
      </c>
    </row>
    <row r="744" spans="1:17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M744">
        <v>0</v>
      </c>
      <c r="N744">
        <v>1.6994962119075425</v>
      </c>
      <c r="O744">
        <v>0</v>
      </c>
    </row>
    <row r="745" spans="1:17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M745">
        <v>0</v>
      </c>
      <c r="N745">
        <v>0</v>
      </c>
      <c r="O745">
        <v>0.25590618906036788</v>
      </c>
    </row>
    <row r="746" spans="1:17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7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array" ref="M747:O749">SVDD(B747:K749)</f>
        <v>2.7148885064037662</v>
      </c>
      <c r="N747">
        <v>0</v>
      </c>
      <c r="O747">
        <v>0</v>
      </c>
      <c r="Q747">
        <f t="shared" ref="Q747" si="195">MAX(M747,N748,O749)/MIN(M747,N748,O749)</f>
        <v>12.491015365653295</v>
      </c>
    </row>
    <row r="748" spans="1:17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M748">
        <v>0</v>
      </c>
      <c r="N748">
        <v>1.5010852807134771</v>
      </c>
      <c r="O748">
        <v>0</v>
      </c>
    </row>
    <row r="749" spans="1:17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M749">
        <v>0</v>
      </c>
      <c r="N749">
        <v>0</v>
      </c>
      <c r="O749">
        <v>0.2173473033960818</v>
      </c>
    </row>
    <row r="750" spans="1:17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7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array" ref="M751:O753">SVDD(B751:K753)</f>
        <v>3.6417717737491806</v>
      </c>
      <c r="N751">
        <v>0</v>
      </c>
      <c r="O751">
        <v>0</v>
      </c>
      <c r="Q751">
        <f t="shared" ref="Q751" si="196">MAX(M751,N752,O753)/MIN(M751,N752,O753)</f>
        <v>13.999889977775659</v>
      </c>
    </row>
    <row r="752" spans="1:17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M752">
        <v>0</v>
      </c>
      <c r="N752">
        <v>1.656939738224898</v>
      </c>
      <c r="O752">
        <v>0</v>
      </c>
    </row>
    <row r="753" spans="1:17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M753">
        <v>0</v>
      </c>
      <c r="N753">
        <v>0</v>
      </c>
      <c r="O753">
        <v>0.26012859954830841</v>
      </c>
    </row>
    <row r="754" spans="1:17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7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array" ref="M755:O757">SVDD(B755:K757)</f>
        <v>3.4856664570889011</v>
      </c>
      <c r="N755">
        <v>0</v>
      </c>
      <c r="O755">
        <v>0</v>
      </c>
      <c r="Q755">
        <f t="shared" ref="Q755" si="197">MAX(M755,N756,O757)/MIN(M755,N756,O757)</f>
        <v>4.0498565184144342</v>
      </c>
    </row>
    <row r="756" spans="1:17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M756">
        <v>0</v>
      </c>
      <c r="N756">
        <v>1.4948211311465829</v>
      </c>
      <c r="O756">
        <v>0</v>
      </c>
    </row>
    <row r="757" spans="1:17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M757">
        <v>0</v>
      </c>
      <c r="N757">
        <v>0</v>
      </c>
      <c r="O757">
        <v>0.86068887656631843</v>
      </c>
    </row>
    <row r="758" spans="1:17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7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array" ref="M759:O761">SVDD(B759:K761)</f>
        <v>2.7272620716358018</v>
      </c>
      <c r="N759">
        <v>0</v>
      </c>
      <c r="O759">
        <v>0</v>
      </c>
      <c r="Q759">
        <f t="shared" ref="Q759" si="198">MAX(M759,N760,O761)/MIN(M759,N760,O761)</f>
        <v>4.3692129899913237</v>
      </c>
    </row>
    <row r="760" spans="1:17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M760">
        <v>0</v>
      </c>
      <c r="N760">
        <v>1.6307783259309152</v>
      </c>
      <c r="O760">
        <v>0</v>
      </c>
    </row>
    <row r="761" spans="1:17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M761">
        <v>0</v>
      </c>
      <c r="N761">
        <v>0</v>
      </c>
      <c r="O761">
        <v>0.62419984511700755</v>
      </c>
    </row>
    <row r="762" spans="1:17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7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array" ref="M763:O765">SVDD(B763:K765)</f>
        <v>3.5220151475287409</v>
      </c>
      <c r="N763">
        <v>0</v>
      </c>
      <c r="O763">
        <v>0</v>
      </c>
      <c r="Q763">
        <f t="shared" ref="Q763" si="199">MAX(M763,N764,O765)/MIN(M763,N764,O765)</f>
        <v>78.646767274648326</v>
      </c>
    </row>
    <row r="764" spans="1:17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M764">
        <v>0</v>
      </c>
      <c r="N764">
        <v>1.7144742086664073</v>
      </c>
      <c r="O764">
        <v>0</v>
      </c>
    </row>
    <row r="765" spans="1:17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M765">
        <v>0</v>
      </c>
      <c r="N765">
        <v>0</v>
      </c>
      <c r="O765">
        <v>4.478270715475495E-2</v>
      </c>
    </row>
    <row r="766" spans="1:17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7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array" ref="M767:O769">SVDD(B767:K769)</f>
        <v>4.1252639081333768</v>
      </c>
      <c r="N767">
        <v>0</v>
      </c>
      <c r="O767">
        <v>0</v>
      </c>
      <c r="Q767">
        <f t="shared" ref="Q767" si="200">MAX(M767,N768,O769)/MIN(M767,N768,O769)</f>
        <v>164.28773400149754</v>
      </c>
    </row>
    <row r="768" spans="1:17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M768">
        <v>0</v>
      </c>
      <c r="N768">
        <v>1.9446985424180059</v>
      </c>
      <c r="O768">
        <v>0</v>
      </c>
    </row>
    <row r="769" spans="1:17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M769">
        <v>0</v>
      </c>
      <c r="N769">
        <v>0</v>
      </c>
      <c r="O769">
        <v>2.5109993349203864E-2</v>
      </c>
    </row>
    <row r="770" spans="1:17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7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array" ref="M771:O773">SVDD(B771:K773)</f>
        <v>3.4999483196745347</v>
      </c>
      <c r="N771">
        <v>0</v>
      </c>
      <c r="O771">
        <v>0</v>
      </c>
      <c r="Q771">
        <f t="shared" ref="Q771" si="201">MAX(M771,N772,O773)/MIN(M771,N772,O773)</f>
        <v>48.188025421310236</v>
      </c>
    </row>
    <row r="772" spans="1:17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M772">
        <v>0</v>
      </c>
      <c r="N772">
        <v>1.977162704647615</v>
      </c>
      <c r="O772">
        <v>0</v>
      </c>
    </row>
    <row r="773" spans="1:17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M773">
        <v>0</v>
      </c>
      <c r="N773">
        <v>0</v>
      </c>
      <c r="O773">
        <v>7.2631079797819423E-2</v>
      </c>
    </row>
    <row r="774" spans="1:17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7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array" ref="M775:O777">SVDD(B775:K777)</f>
        <v>3.3948390540763</v>
      </c>
      <c r="N775">
        <v>0</v>
      </c>
      <c r="O775">
        <v>0</v>
      </c>
      <c r="Q775">
        <f t="shared" ref="Q775" si="202">MAX(M775,N776,O777)/MIN(M775,N776,O777)</f>
        <v>5.3852378456834185</v>
      </c>
    </row>
    <row r="776" spans="1:17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M776">
        <v>0</v>
      </c>
      <c r="N776">
        <v>1.8136582731595969</v>
      </c>
      <c r="O776">
        <v>0</v>
      </c>
    </row>
    <row r="777" spans="1:17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M777">
        <v>0</v>
      </c>
      <c r="N777">
        <v>0</v>
      </c>
      <c r="O777">
        <v>0.63039723617731414</v>
      </c>
    </row>
    <row r="778" spans="1:17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7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array" ref="M779:O781">SVDD(B779:K781)</f>
        <v>2.934398020244267</v>
      </c>
      <c r="N779">
        <v>0</v>
      </c>
      <c r="O779">
        <v>0</v>
      </c>
      <c r="Q779">
        <f t="shared" ref="Q779" si="203">MAX(M779,N780,O781)/MIN(M779,N780,O781)</f>
        <v>60.784735341936909</v>
      </c>
    </row>
    <row r="780" spans="1:17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M780">
        <v>0</v>
      </c>
      <c r="N780">
        <v>2.2537966491571235</v>
      </c>
      <c r="O780">
        <v>0</v>
      </c>
    </row>
    <row r="781" spans="1:17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M781">
        <v>0</v>
      </c>
      <c r="N781">
        <v>0</v>
      </c>
      <c r="O781">
        <v>4.8275245482886101E-2</v>
      </c>
    </row>
    <row r="782" spans="1:17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7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array" ref="M783:O785">SVDD(B783:K785)</f>
        <v>2.5431826630348828</v>
      </c>
      <c r="N783">
        <v>0</v>
      </c>
      <c r="O783">
        <v>0</v>
      </c>
      <c r="Q783">
        <f t="shared" ref="Q783" si="204">MAX(M783,N784,O785)/MIN(M783,N784,O785)</f>
        <v>43.634163887742503</v>
      </c>
    </row>
    <row r="784" spans="1:17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M784">
        <v>0</v>
      </c>
      <c r="N784">
        <v>1.6078703617774532</v>
      </c>
      <c r="O784">
        <v>0</v>
      </c>
    </row>
    <row r="785" spans="1:17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M785">
        <v>0</v>
      </c>
      <c r="N785">
        <v>0</v>
      </c>
      <c r="O785">
        <v>5.8284207520916911E-2</v>
      </c>
    </row>
    <row r="786" spans="1:17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7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array" ref="M787:O789">SVDD(B787:K789)</f>
        <v>2.5625610732062736</v>
      </c>
      <c r="N787">
        <v>0</v>
      </c>
      <c r="O787">
        <v>0</v>
      </c>
      <c r="Q787">
        <f t="shared" ref="Q787" si="205">MAX(M787,N788,O789)/MIN(M787,N788,O789)</f>
        <v>15.843396978505577</v>
      </c>
    </row>
    <row r="788" spans="1:17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M788">
        <v>0</v>
      </c>
      <c r="N788">
        <v>1.2292865568413724</v>
      </c>
      <c r="O788">
        <v>0</v>
      </c>
    </row>
    <row r="789" spans="1:17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M789">
        <v>0</v>
      </c>
      <c r="N789">
        <v>0</v>
      </c>
      <c r="O789">
        <v>0.16174315878613971</v>
      </c>
    </row>
    <row r="790" spans="1:17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7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array" ref="M791:O793">SVDD(B791:K793)</f>
        <v>3.1535663512814698</v>
      </c>
      <c r="N791">
        <v>0</v>
      </c>
      <c r="O791">
        <v>0</v>
      </c>
      <c r="Q791">
        <f t="shared" ref="Q791" si="206">MAX(M791,N792,O793)/MIN(M791,N792,O793)</f>
        <v>47.083606103164364</v>
      </c>
    </row>
    <row r="792" spans="1:17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M792">
        <v>0</v>
      </c>
      <c r="N792">
        <v>2.135701913317599</v>
      </c>
      <c r="O792">
        <v>0</v>
      </c>
    </row>
    <row r="793" spans="1:17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M793">
        <v>0</v>
      </c>
      <c r="N793">
        <v>0</v>
      </c>
      <c r="O793">
        <v>6.6978012354697844E-2</v>
      </c>
    </row>
    <row r="794" spans="1:17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7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array" ref="M795:O797">SVDD(B795:K797)</f>
        <v>2.9282141148024849</v>
      </c>
      <c r="N795">
        <v>0</v>
      </c>
      <c r="O795">
        <v>0</v>
      </c>
      <c r="Q795">
        <f t="shared" ref="Q795" si="207">MAX(M795,N796,O797)/MIN(M795,N796,O797)</f>
        <v>4.2316219886590369</v>
      </c>
    </row>
    <row r="796" spans="1:17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M796">
        <v>0</v>
      </c>
      <c r="N796">
        <v>2.122501642032804</v>
      </c>
      <c r="O796">
        <v>0</v>
      </c>
    </row>
    <row r="797" spans="1:17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M797">
        <v>0</v>
      </c>
      <c r="N797">
        <v>0</v>
      </c>
      <c r="O797">
        <v>0.69198385929798267</v>
      </c>
    </row>
    <row r="798" spans="1:17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7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array" ref="M799:O801">SVDD(B799:K801)</f>
        <v>2.247096213665488</v>
      </c>
      <c r="N799">
        <v>0</v>
      </c>
      <c r="O799">
        <v>0</v>
      </c>
      <c r="Q799">
        <f t="shared" ref="Q799" si="208">MAX(M799,N800,O801)/MIN(M799,N800,O801)</f>
        <v>3.7419183861965877</v>
      </c>
    </row>
    <row r="800" spans="1:17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M800">
        <v>0</v>
      </c>
      <c r="N800">
        <v>1.8740405407062291</v>
      </c>
      <c r="O800">
        <v>0</v>
      </c>
    </row>
    <row r="801" spans="1:17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M801">
        <v>0</v>
      </c>
      <c r="N801">
        <v>0</v>
      </c>
      <c r="O801">
        <v>0.60051983548190435</v>
      </c>
    </row>
    <row r="802" spans="1:17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7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array" ref="M803:O805">SVDD(B803:K805)</f>
        <v>3.9740013876078035</v>
      </c>
      <c r="N803">
        <v>0</v>
      </c>
      <c r="O803">
        <v>0</v>
      </c>
      <c r="Q803">
        <f t="shared" ref="Q803" si="209">MAX(M803,N804,O805)/MIN(M803,N804,O805)</f>
        <v>73.679012294102208</v>
      </c>
    </row>
    <row r="804" spans="1:17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M804">
        <v>0</v>
      </c>
      <c r="N804">
        <v>1.4818327625416834</v>
      </c>
      <c r="O804">
        <v>0</v>
      </c>
    </row>
    <row r="805" spans="1:17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M805">
        <v>0</v>
      </c>
      <c r="N805">
        <v>0</v>
      </c>
      <c r="O805">
        <v>5.3936681069296999E-2</v>
      </c>
    </row>
    <row r="806" spans="1:17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7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array" ref="M807:O809">SVDD(B807:K809)</f>
        <v>3.2723678567739087</v>
      </c>
      <c r="N807">
        <v>0</v>
      </c>
      <c r="O807">
        <v>0</v>
      </c>
      <c r="Q807">
        <f t="shared" ref="Q807" si="210">MAX(M807,N808,O809)/MIN(M807,N808,O809)</f>
        <v>32.69671686372822</v>
      </c>
    </row>
    <row r="808" spans="1:17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M808">
        <v>0</v>
      </c>
      <c r="N808">
        <v>1.6231956794089213</v>
      </c>
      <c r="O808">
        <v>0</v>
      </c>
    </row>
    <row r="809" spans="1:17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M809">
        <v>0</v>
      </c>
      <c r="N809">
        <v>0</v>
      </c>
      <c r="O809">
        <v>0.10008245997334607</v>
      </c>
    </row>
    <row r="810" spans="1:17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7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array" ref="M811:O813">SVDD(B811:K813)</f>
        <v>3.1115612987926271</v>
      </c>
      <c r="N811">
        <v>0</v>
      </c>
      <c r="O811">
        <v>0</v>
      </c>
      <c r="Q811">
        <f t="shared" ref="Q811" si="211">MAX(M811,N812,O813)/MIN(M811,N812,O813)</f>
        <v>5.148520595378665</v>
      </c>
    </row>
    <row r="812" spans="1:17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M812">
        <v>0</v>
      </c>
      <c r="N812">
        <v>1.5349009628633139</v>
      </c>
      <c r="O812">
        <v>0</v>
      </c>
    </row>
    <row r="813" spans="1:17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M813">
        <v>0</v>
      </c>
      <c r="N813">
        <v>0</v>
      </c>
      <c r="O813">
        <v>0.60436027032417394</v>
      </c>
    </row>
    <row r="814" spans="1:17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7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array" ref="M815:O817">SVDD(B815:K817)</f>
        <v>4.1728211380623321</v>
      </c>
      <c r="N815">
        <v>0</v>
      </c>
      <c r="O815">
        <v>0</v>
      </c>
      <c r="Q815">
        <f t="shared" ref="Q815" si="212">MAX(M815,N816,O817)/MIN(M815,N816,O817)</f>
        <v>96.954240197925813</v>
      </c>
    </row>
    <row r="816" spans="1:17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M816">
        <v>0</v>
      </c>
      <c r="N816">
        <v>1.1803180638719184</v>
      </c>
      <c r="O816">
        <v>0</v>
      </c>
    </row>
    <row r="817" spans="1:17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M817">
        <v>0</v>
      </c>
      <c r="N817">
        <v>0</v>
      </c>
      <c r="O817">
        <v>4.3039078327505711E-2</v>
      </c>
    </row>
    <row r="818" spans="1:17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7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array" ref="M819:O821">SVDD(B819:K821)</f>
        <v>4.007288799300647</v>
      </c>
      <c r="N819">
        <v>0</v>
      </c>
      <c r="O819">
        <v>0</v>
      </c>
      <c r="Q819">
        <f t="shared" ref="Q819" si="213">MAX(M819,N820,O821)/MIN(M819,N820,O821)</f>
        <v>8.4915819675423769</v>
      </c>
    </row>
    <row r="820" spans="1:17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M820">
        <v>0</v>
      </c>
      <c r="N820">
        <v>1.2553685729991417</v>
      </c>
      <c r="O820">
        <v>0</v>
      </c>
    </row>
    <row r="821" spans="1:17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M821">
        <v>0</v>
      </c>
      <c r="N821">
        <v>0</v>
      </c>
      <c r="O821">
        <v>0.47191310342617249</v>
      </c>
    </row>
    <row r="822" spans="1:17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7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array" ref="M823:O825">SVDD(B823:K825)</f>
        <v>3.3018547927820099</v>
      </c>
      <c r="N823">
        <v>0</v>
      </c>
      <c r="O823">
        <v>0</v>
      </c>
      <c r="Q823">
        <f t="shared" ref="Q823" si="214">MAX(M823,N824,O825)/MIN(M823,N824,O825)</f>
        <v>6.3895223243581478</v>
      </c>
    </row>
    <row r="824" spans="1:17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M824">
        <v>0</v>
      </c>
      <c r="N824">
        <v>1.4316272186100758</v>
      </c>
      <c r="O824">
        <v>0</v>
      </c>
    </row>
    <row r="825" spans="1:17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M825">
        <v>0</v>
      </c>
      <c r="N825">
        <v>0</v>
      </c>
      <c r="O825">
        <v>0.51676081953648922</v>
      </c>
    </row>
    <row r="826" spans="1:17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7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array" ref="M827:O829">SVDD(B827:K829)</f>
        <v>3.0983569154263262</v>
      </c>
      <c r="N827">
        <v>0</v>
      </c>
      <c r="O827">
        <v>0</v>
      </c>
      <c r="Q827">
        <f t="shared" ref="Q827" si="215">MAX(M827,N828,O829)/MIN(M827,N828,O829)</f>
        <v>36.278174600082131</v>
      </c>
    </row>
    <row r="828" spans="1:17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M828">
        <v>0</v>
      </c>
      <c r="N828">
        <v>1.4466049894559621</v>
      </c>
      <c r="O828">
        <v>0</v>
      </c>
    </row>
    <row r="829" spans="1:17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M829">
        <v>0</v>
      </c>
      <c r="N829">
        <v>0</v>
      </c>
      <c r="O829">
        <v>8.5405535134596089E-2</v>
      </c>
    </row>
    <row r="830" spans="1:17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7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array" ref="M831:O833">SVDD(B831:K833)</f>
        <v>2.8403207223003211</v>
      </c>
      <c r="N831">
        <v>0</v>
      </c>
      <c r="O831">
        <v>0</v>
      </c>
      <c r="Q831">
        <f t="shared" ref="Q831" si="216">MAX(M831,N832,O833)/MIN(M831,N832,O833)</f>
        <v>4.1592918598828774</v>
      </c>
    </row>
    <row r="832" spans="1:17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M832">
        <v>0</v>
      </c>
      <c r="N832">
        <v>1.4884809250135445</v>
      </c>
      <c r="O832">
        <v>0</v>
      </c>
    </row>
    <row r="833" spans="1:17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M833">
        <v>0</v>
      </c>
      <c r="N833">
        <v>0</v>
      </c>
      <c r="O833">
        <v>0.68288564928461226</v>
      </c>
    </row>
    <row r="834" spans="1:17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7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array" ref="M835:O837">SVDD(B835:K837)</f>
        <v>2.0475501881679454</v>
      </c>
      <c r="N835">
        <v>0</v>
      </c>
      <c r="O835">
        <v>0</v>
      </c>
      <c r="Q835">
        <f t="shared" ref="Q835" si="217">MAX(M835,N836,O837)/MIN(M835,N836,O837)</f>
        <v>3.3404308278328063</v>
      </c>
    </row>
    <row r="836" spans="1:17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M836">
        <v>0</v>
      </c>
      <c r="N836">
        <v>1.2421747118276041</v>
      </c>
      <c r="O836">
        <v>0</v>
      </c>
    </row>
    <row r="837" spans="1:17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M837">
        <v>0</v>
      </c>
      <c r="N837">
        <v>0</v>
      </c>
      <c r="O837">
        <v>0.61295991256802895</v>
      </c>
    </row>
    <row r="838" spans="1:17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7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array" ref="M839:O841">SVDD(B839:K841)</f>
        <v>3.238230903292135</v>
      </c>
      <c r="N839">
        <v>0</v>
      </c>
      <c r="O839">
        <v>0</v>
      </c>
      <c r="Q839">
        <f t="shared" ref="Q839" si="218">MAX(M839,N840,O841)/MIN(M839,N840,O841)</f>
        <v>8.7574243061677581</v>
      </c>
    </row>
    <row r="840" spans="1:17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M840">
        <v>0</v>
      </c>
      <c r="N840">
        <v>0.97086446383899627</v>
      </c>
      <c r="O840">
        <v>0</v>
      </c>
    </row>
    <row r="841" spans="1:17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M841">
        <v>0</v>
      </c>
      <c r="N841">
        <v>0</v>
      </c>
      <c r="O841">
        <v>0.36976978505100916</v>
      </c>
    </row>
    <row r="842" spans="1:17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7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array" ref="M843:O845">SVDD(B843:K845)</f>
        <v>3.8828544856106966</v>
      </c>
      <c r="N843">
        <v>0</v>
      </c>
      <c r="O843">
        <v>0</v>
      </c>
      <c r="Q843">
        <f t="shared" ref="Q843" si="219">MAX(M843,N844,O845)/MIN(M843,N844,O845)</f>
        <v>6.2941290610552088</v>
      </c>
    </row>
    <row r="844" spans="1:17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M844">
        <v>0</v>
      </c>
      <c r="N844">
        <v>1.5414996021256311</v>
      </c>
      <c r="O844">
        <v>0</v>
      </c>
    </row>
    <row r="845" spans="1:17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M845">
        <v>0</v>
      </c>
      <c r="N845">
        <v>0</v>
      </c>
      <c r="O845">
        <v>0.61690099582415259</v>
      </c>
    </row>
    <row r="846" spans="1:17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7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array" ref="M847:O849">SVDD(B847:K849)</f>
        <v>4.1179386799472066</v>
      </c>
      <c r="N847">
        <v>0</v>
      </c>
      <c r="O847">
        <v>0</v>
      </c>
      <c r="Q847">
        <f t="shared" ref="Q847" si="220">MAX(M847,N848,O849)/MIN(M847,N848,O849)</f>
        <v>14.934482625686957</v>
      </c>
    </row>
    <row r="848" spans="1:17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M848">
        <v>0</v>
      </c>
      <c r="N848">
        <v>1.2778387916764899</v>
      </c>
      <c r="O848">
        <v>0</v>
      </c>
    </row>
    <row r="849" spans="1:17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M849">
        <v>0</v>
      </c>
      <c r="N849">
        <v>0</v>
      </c>
      <c r="O849">
        <v>0.27573360143487324</v>
      </c>
    </row>
    <row r="850" spans="1:17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7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array" ref="M851:O853">SVDD(B851:K853)</f>
        <v>3.523596888332694</v>
      </c>
      <c r="N851">
        <v>0</v>
      </c>
      <c r="O851">
        <v>0</v>
      </c>
      <c r="Q851">
        <f t="shared" ref="Q851" si="221">MAX(M851,N852,O853)/MIN(M851,N852,O853)</f>
        <v>6.4291447550836223</v>
      </c>
    </row>
    <row r="852" spans="1:17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M852">
        <v>0</v>
      </c>
      <c r="N852">
        <v>1.4876987187867667</v>
      </c>
      <c r="O852">
        <v>0</v>
      </c>
    </row>
    <row r="853" spans="1:17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M853">
        <v>0</v>
      </c>
      <c r="N853">
        <v>0</v>
      </c>
      <c r="O853">
        <v>0.54806619271506252</v>
      </c>
    </row>
    <row r="854" spans="1:17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7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array" ref="M855:O857">SVDD(B855:K857)</f>
        <v>3.6026225121354085</v>
      </c>
      <c r="N855">
        <v>0</v>
      </c>
      <c r="O855">
        <v>0</v>
      </c>
      <c r="Q855">
        <f t="shared" ref="Q855" si="222">MAX(M855,N856,O857)/MIN(M855,N856,O857)</f>
        <v>8.8426748976303085</v>
      </c>
    </row>
    <row r="856" spans="1:17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M856">
        <v>0</v>
      </c>
      <c r="N856">
        <v>1.6092088856136673</v>
      </c>
      <c r="O856">
        <v>0</v>
      </c>
    </row>
    <row r="857" spans="1:17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M857">
        <v>0</v>
      </c>
      <c r="N857">
        <v>0</v>
      </c>
      <c r="O857">
        <v>0.40741320401826059</v>
      </c>
    </row>
    <row r="858" spans="1:17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7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array" ref="M859:O861">SVDD(B859:K861)</f>
        <v>3.4972293693549439</v>
      </c>
      <c r="N859">
        <v>0</v>
      </c>
      <c r="O859">
        <v>0</v>
      </c>
      <c r="Q859">
        <f t="shared" ref="Q859" si="223">MAX(M859,N860,O861)/MIN(M859,N860,O861)</f>
        <v>3.9231362593986283</v>
      </c>
    </row>
    <row r="860" spans="1:17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M860">
        <v>0</v>
      </c>
      <c r="N860">
        <v>1.0032247717817879</v>
      </c>
      <c r="O860">
        <v>0</v>
      </c>
    </row>
    <row r="861" spans="1:17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M861">
        <v>0</v>
      </c>
      <c r="N861">
        <v>0</v>
      </c>
      <c r="O861">
        <v>0.89143714062356549</v>
      </c>
    </row>
    <row r="862" spans="1:17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7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array" ref="M863:O865">SVDD(B863:K865)</f>
        <v>3.4342843170844772</v>
      </c>
      <c r="N863">
        <v>0</v>
      </c>
      <c r="O863">
        <v>0</v>
      </c>
      <c r="Q863">
        <f t="shared" ref="Q863" si="224">MAX(M863,N864,O865)/MIN(M863,N864,O865)</f>
        <v>6.0358778218424316</v>
      </c>
    </row>
    <row r="864" spans="1:17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M864">
        <v>0</v>
      </c>
      <c r="N864">
        <v>1.848472518657176</v>
      </c>
      <c r="O864">
        <v>0</v>
      </c>
    </row>
    <row r="865" spans="1:17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M865">
        <v>0</v>
      </c>
      <c r="N865">
        <v>0</v>
      </c>
      <c r="O865">
        <v>0.56897843502673373</v>
      </c>
    </row>
    <row r="866" spans="1:17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7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array" ref="M867:O869">SVDD(B867:K869)</f>
        <v>3.1950974862528394</v>
      </c>
      <c r="N867">
        <v>0</v>
      </c>
      <c r="O867">
        <v>0</v>
      </c>
      <c r="Q867">
        <f t="shared" ref="Q867" si="225">MAX(M867,N868,O869)/MIN(M867,N868,O869)</f>
        <v>12.851721807810179</v>
      </c>
    </row>
    <row r="868" spans="1:17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M868">
        <v>0</v>
      </c>
      <c r="N868">
        <v>1.2359121731222968</v>
      </c>
      <c r="O868">
        <v>0</v>
      </c>
    </row>
    <row r="869" spans="1:17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M869">
        <v>0</v>
      </c>
      <c r="N869">
        <v>0</v>
      </c>
      <c r="O869">
        <v>0.24861240649569089</v>
      </c>
    </row>
    <row r="870" spans="1:17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7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array" ref="M871:O873">SVDD(B871:K873)</f>
        <v>3.0237188004990947</v>
      </c>
      <c r="N871">
        <v>0</v>
      </c>
      <c r="O871">
        <v>0</v>
      </c>
      <c r="Q871">
        <f t="shared" ref="Q871" si="226">MAX(M871,N872,O873)/MIN(M871,N872,O873)</f>
        <v>5.786596154939649</v>
      </c>
    </row>
    <row r="872" spans="1:17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M872">
        <v>0</v>
      </c>
      <c r="N872">
        <v>1.7852399985847409</v>
      </c>
      <c r="O872">
        <v>0</v>
      </c>
    </row>
    <row r="873" spans="1:17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M873">
        <v>0</v>
      </c>
      <c r="N873">
        <v>0</v>
      </c>
      <c r="O873">
        <v>0.52253841801590706</v>
      </c>
    </row>
    <row r="874" spans="1:17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7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array" ref="M875:O877">SVDD(B875:K877)</f>
        <v>3.0268724442867496</v>
      </c>
      <c r="N875">
        <v>0</v>
      </c>
      <c r="O875">
        <v>0</v>
      </c>
      <c r="Q875">
        <f t="shared" ref="Q875" si="227">MAX(M875,N876,O877)/MIN(M875,N876,O877)</f>
        <v>19.734340626295541</v>
      </c>
    </row>
    <row r="876" spans="1:17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M876">
        <v>0</v>
      </c>
      <c r="N876">
        <v>1.3095139465704968</v>
      </c>
      <c r="O876">
        <v>0</v>
      </c>
    </row>
    <row r="877" spans="1:17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M877">
        <v>0</v>
      </c>
      <c r="N877">
        <v>0</v>
      </c>
      <c r="O877">
        <v>0.15338097692777805</v>
      </c>
    </row>
    <row r="878" spans="1:17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7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array" ref="M879:O881">SVDD(B879:K881)</f>
        <v>3.0559182767354285</v>
      </c>
      <c r="N879">
        <v>0</v>
      </c>
      <c r="O879">
        <v>0</v>
      </c>
      <c r="Q879">
        <f t="shared" ref="Q879" si="228">MAX(M879,N880,O881)/MIN(M879,N880,O881)</f>
        <v>6.7647735369449515</v>
      </c>
    </row>
    <row r="880" spans="1:17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M880">
        <v>0</v>
      </c>
      <c r="N880">
        <v>1.7573282711891305</v>
      </c>
      <c r="O880">
        <v>0</v>
      </c>
    </row>
    <row r="881" spans="1:17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M881">
        <v>0</v>
      </c>
      <c r="N881">
        <v>0</v>
      </c>
      <c r="O881">
        <v>0.45173992300642718</v>
      </c>
    </row>
    <row r="882" spans="1:17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7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array" ref="M883:O885">SVDD(B883:K885)</f>
        <v>3.2181258246388151</v>
      </c>
      <c r="N883">
        <v>0</v>
      </c>
      <c r="O883">
        <v>0</v>
      </c>
      <c r="Q883">
        <f t="shared" ref="Q883" si="229">MAX(M883,N884,O885)/MIN(M883,N884,O885)</f>
        <v>14.966921549735527</v>
      </c>
    </row>
    <row r="884" spans="1:17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M884">
        <v>0</v>
      </c>
      <c r="N884">
        <v>1.741669065250445</v>
      </c>
      <c r="O884">
        <v>0</v>
      </c>
    </row>
    <row r="885" spans="1:17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M885">
        <v>0</v>
      </c>
      <c r="N885">
        <v>0</v>
      </c>
      <c r="O885">
        <v>0.21501588111789635</v>
      </c>
    </row>
    <row r="886" spans="1:17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7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array" ref="M887:O889">SVDD(B887:K889)</f>
        <v>3.0526216263621446</v>
      </c>
      <c r="N887">
        <v>0</v>
      </c>
      <c r="O887">
        <v>0</v>
      </c>
      <c r="Q887">
        <f t="shared" ref="Q887" si="230">MAX(M887,N888,O889)/MIN(M887,N888,O889)</f>
        <v>3.7361479571893801</v>
      </c>
    </row>
    <row r="888" spans="1:17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M888">
        <v>0</v>
      </c>
      <c r="N888">
        <v>1.3218215085009399</v>
      </c>
      <c r="O888">
        <v>0</v>
      </c>
    </row>
    <row r="889" spans="1:17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M889">
        <v>0</v>
      </c>
      <c r="N889">
        <v>0</v>
      </c>
      <c r="O889">
        <v>0.81705051870016498</v>
      </c>
    </row>
    <row r="890" spans="1:17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7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array" ref="M891:O893">SVDD(B891:K893)</f>
        <v>2.4357260869474175</v>
      </c>
      <c r="N891">
        <v>0</v>
      </c>
      <c r="O891">
        <v>0</v>
      </c>
      <c r="Q891">
        <f t="shared" ref="Q891" si="231">MAX(M891,N892,O893)/MIN(M891,N892,O893)</f>
        <v>7.2285145416857297</v>
      </c>
    </row>
    <row r="892" spans="1:17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M892">
        <v>0</v>
      </c>
      <c r="N892">
        <v>1.9112068758681606</v>
      </c>
      <c r="O892">
        <v>0</v>
      </c>
    </row>
    <row r="893" spans="1:17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M893">
        <v>0</v>
      </c>
      <c r="N893">
        <v>0</v>
      </c>
      <c r="O893">
        <v>0.33696080611043394</v>
      </c>
    </row>
    <row r="894" spans="1:17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7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array" ref="M895:O897">SVDD(B895:K897)</f>
        <v>2.4307643591470276</v>
      </c>
      <c r="N895">
        <v>0</v>
      </c>
      <c r="O895">
        <v>0</v>
      </c>
      <c r="Q895">
        <f t="shared" ref="Q895" si="232">MAX(M895,N896,O897)/MIN(M895,N896,O897)</f>
        <v>6.3213261641669307</v>
      </c>
    </row>
    <row r="896" spans="1:17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M896">
        <v>0</v>
      </c>
      <c r="N896">
        <v>1.3927813281012618</v>
      </c>
      <c r="O896">
        <v>0</v>
      </c>
    </row>
    <row r="897" spans="1:17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M897">
        <v>0</v>
      </c>
      <c r="N897">
        <v>0</v>
      </c>
      <c r="O897">
        <v>0.38453392468910375</v>
      </c>
    </row>
    <row r="898" spans="1:17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7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array" ref="M899:O901">SVDD(B899:K901)</f>
        <v>2.3588095798862412</v>
      </c>
      <c r="N899">
        <v>0</v>
      </c>
      <c r="O899">
        <v>0</v>
      </c>
      <c r="Q899">
        <f t="shared" ref="Q899" si="233">MAX(M899,N900,O901)/MIN(M899,N900,O901)</f>
        <v>3.3117446814924647</v>
      </c>
    </row>
    <row r="900" spans="1:17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M900">
        <v>0</v>
      </c>
      <c r="N900">
        <v>1.6523011658718973</v>
      </c>
      <c r="O900">
        <v>0</v>
      </c>
    </row>
    <row r="901" spans="1:17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M901">
        <v>0</v>
      </c>
      <c r="N901">
        <v>0</v>
      </c>
      <c r="O901">
        <v>0.71225586714710887</v>
      </c>
    </row>
    <row r="902" spans="1:17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7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array" ref="M903:O905">SVDD(B903:K905)</f>
        <v>3.8368947488050971</v>
      </c>
      <c r="N903">
        <v>0</v>
      </c>
      <c r="O903">
        <v>0</v>
      </c>
      <c r="Q903">
        <f t="shared" ref="Q903" si="234">MAX(M903,N904,O905)/MIN(M903,N904,O905)</f>
        <v>224.43467682103</v>
      </c>
    </row>
    <row r="904" spans="1:17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M904">
        <v>0</v>
      </c>
      <c r="N904">
        <v>1.8495256488643119</v>
      </c>
      <c r="O904">
        <v>0</v>
      </c>
    </row>
    <row r="905" spans="1:17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M905">
        <v>0</v>
      </c>
      <c r="N905">
        <v>0</v>
      </c>
      <c r="O905">
        <v>1.7095819608414328E-2</v>
      </c>
    </row>
    <row r="906" spans="1:17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7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array" ref="M907:O909">SVDD(B907:K909)</f>
        <v>3.2740597952082382</v>
      </c>
      <c r="N907">
        <v>0</v>
      </c>
      <c r="O907">
        <v>0</v>
      </c>
      <c r="Q907">
        <f t="shared" ref="Q907" si="235">MAX(M907,N908,O909)/MIN(M907,N908,O909)</f>
        <v>158.60090624245987</v>
      </c>
    </row>
    <row r="908" spans="1:17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M908">
        <v>0</v>
      </c>
      <c r="N908">
        <v>1.9198812741747824</v>
      </c>
      <c r="O908">
        <v>0</v>
      </c>
    </row>
    <row r="909" spans="1:17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M909">
        <v>0</v>
      </c>
      <c r="N909">
        <v>0</v>
      </c>
      <c r="O909">
        <v>2.0643386426828138E-2</v>
      </c>
    </row>
    <row r="910" spans="1:17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7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array" ref="M911:O913">SVDD(B911:K913)</f>
        <v>3.2872589401920935</v>
      </c>
      <c r="N911">
        <v>0</v>
      </c>
      <c r="O911">
        <v>0</v>
      </c>
      <c r="Q911">
        <f t="shared" ref="Q911" si="236">MAX(M911,N912,O913)/MIN(M911,N912,O913)</f>
        <v>45.103625783121565</v>
      </c>
    </row>
    <row r="912" spans="1:17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M912">
        <v>0</v>
      </c>
      <c r="N912">
        <v>2.0975040596385708</v>
      </c>
      <c r="O912">
        <v>0</v>
      </c>
    </row>
    <row r="913" spans="1:17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M913">
        <v>0</v>
      </c>
      <c r="N913">
        <v>0</v>
      </c>
      <c r="O913">
        <v>7.2882365510894997E-2</v>
      </c>
    </row>
    <row r="914" spans="1:17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7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array" ref="M915:O917">SVDD(B915:K917)</f>
        <v>3.2045307022485212</v>
      </c>
      <c r="N915">
        <v>0</v>
      </c>
      <c r="O915">
        <v>0</v>
      </c>
      <c r="Q915">
        <f t="shared" ref="Q915" si="237">MAX(M915,N916,O917)/MIN(M915,N916,O917)</f>
        <v>5.2656851392909605</v>
      </c>
    </row>
    <row r="916" spans="1:17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M916">
        <v>0</v>
      </c>
      <c r="N916">
        <v>1.6937648419296409</v>
      </c>
      <c r="O916">
        <v>0</v>
      </c>
    </row>
    <row r="917" spans="1:17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M917">
        <v>0</v>
      </c>
      <c r="N917">
        <v>0</v>
      </c>
      <c r="O917">
        <v>0.60856861310169796</v>
      </c>
    </row>
    <row r="918" spans="1:17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7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array" ref="M919:O921">SVDD(B919:K921)</f>
        <v>3.6268994874580609</v>
      </c>
      <c r="N919">
        <v>0</v>
      </c>
      <c r="O919">
        <v>0</v>
      </c>
      <c r="Q919">
        <f t="shared" ref="Q919" si="238">MAX(M919,N920,O921)/MIN(M919,N920,O921)</f>
        <v>239.86414802535919</v>
      </c>
    </row>
    <row r="920" spans="1:17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M920">
        <v>0</v>
      </c>
      <c r="N920">
        <v>1.4436697762625244</v>
      </c>
      <c r="O920">
        <v>0</v>
      </c>
    </row>
    <row r="921" spans="1:17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M921">
        <v>0</v>
      </c>
      <c r="N921">
        <v>0</v>
      </c>
      <c r="O921">
        <v>1.5120640234548991E-2</v>
      </c>
    </row>
    <row r="922" spans="1:17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7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array" ref="M923:O925">SVDD(B923:K925)</f>
        <v>3.8317381160552735</v>
      </c>
      <c r="N923">
        <v>0</v>
      </c>
      <c r="O923">
        <v>0</v>
      </c>
      <c r="Q923">
        <f t="shared" ref="Q923" si="239">MAX(M923,N924,O925)/MIN(M923,N924,O925)</f>
        <v>71.353995389119376</v>
      </c>
    </row>
    <row r="924" spans="1:17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M924">
        <v>0</v>
      </c>
      <c r="N924">
        <v>1.1656667131306473</v>
      </c>
      <c r="O924">
        <v>0</v>
      </c>
    </row>
    <row r="925" spans="1:17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M925">
        <v>0</v>
      </c>
      <c r="N925">
        <v>0</v>
      </c>
      <c r="O925">
        <v>5.3700400309182508E-2</v>
      </c>
    </row>
    <row r="926" spans="1:17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7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array" ref="M927:O929">SVDD(B927:K929)</f>
        <v>3.6366925661488776</v>
      </c>
      <c r="N927">
        <v>0</v>
      </c>
      <c r="O927">
        <v>0</v>
      </c>
      <c r="Q927">
        <f t="shared" ref="Q927" si="240">MAX(M927,N928,O929)/MIN(M927,N928,O929)</f>
        <v>10.585878351192873</v>
      </c>
    </row>
    <row r="928" spans="1:17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M928">
        <v>0</v>
      </c>
      <c r="N928">
        <v>0.99881500943966395</v>
      </c>
      <c r="O928">
        <v>0</v>
      </c>
    </row>
    <row r="929" spans="1:17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M929">
        <v>0</v>
      </c>
      <c r="N929">
        <v>0</v>
      </c>
      <c r="O929">
        <v>0.34354188150471954</v>
      </c>
    </row>
    <row r="930" spans="1:17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7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array" ref="M931:O933">SVDD(B931:K933)</f>
        <v>3.0284329709957052</v>
      </c>
      <c r="N931">
        <v>0</v>
      </c>
      <c r="O931">
        <v>0</v>
      </c>
      <c r="Q931">
        <f t="shared" ref="Q931" si="241">MAX(M931,N932,O933)/MIN(M931,N932,O933)</f>
        <v>36.296242455828683</v>
      </c>
    </row>
    <row r="932" spans="1:17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M932">
        <v>0</v>
      </c>
      <c r="N932">
        <v>1.7687709816075488</v>
      </c>
      <c r="O932">
        <v>0</v>
      </c>
    </row>
    <row r="933" spans="1:17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M933">
        <v>0</v>
      </c>
      <c r="N933">
        <v>0</v>
      </c>
      <c r="O933">
        <v>8.3436542355071794E-2</v>
      </c>
    </row>
    <row r="934" spans="1:17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7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array" ref="M935:O937">SVDD(B935:K937)</f>
        <v>2.8195556756618378</v>
      </c>
      <c r="N935">
        <v>0</v>
      </c>
      <c r="O935">
        <v>0</v>
      </c>
      <c r="Q935">
        <f t="shared" ref="Q935" si="242">MAX(M935,N936,O937)/MIN(M935,N936,O937)</f>
        <v>4.8507419329223804</v>
      </c>
    </row>
    <row r="936" spans="1:17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M936">
        <v>0</v>
      </c>
      <c r="N936">
        <v>1.5219933471816687</v>
      </c>
      <c r="O936">
        <v>0</v>
      </c>
    </row>
    <row r="937" spans="1:17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M937">
        <v>0</v>
      </c>
      <c r="N937">
        <v>0</v>
      </c>
      <c r="O937">
        <v>0.58126276653171016</v>
      </c>
    </row>
    <row r="938" spans="1:17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7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array" ref="M939:O941">SVDD(B939:K941)</f>
        <v>3.0433725253317965</v>
      </c>
      <c r="N939">
        <v>0</v>
      </c>
      <c r="O939">
        <v>0</v>
      </c>
      <c r="Q939">
        <f t="shared" ref="Q939" si="243">MAX(M939,N940,O941)/MIN(M939,N940,O941)</f>
        <v>4.8497905953248415</v>
      </c>
    </row>
    <row r="940" spans="1:17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M940">
        <v>0</v>
      </c>
      <c r="N940">
        <v>1.324155232429749</v>
      </c>
      <c r="O940">
        <v>0</v>
      </c>
    </row>
    <row r="941" spans="1:17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M941">
        <v>0</v>
      </c>
      <c r="N941">
        <v>0</v>
      </c>
      <c r="O941">
        <v>0.62752658398603489</v>
      </c>
    </row>
    <row r="942" spans="1:17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7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array" ref="M943:O945">SVDD(B943:K945)</f>
        <v>2.7171698538366678</v>
      </c>
      <c r="N943">
        <v>0</v>
      </c>
      <c r="O943">
        <v>0</v>
      </c>
      <c r="Q943">
        <f t="shared" ref="Q943" si="244">MAX(M943,N944,O945)/MIN(M943,N944,O945)</f>
        <v>140.79285134726453</v>
      </c>
    </row>
    <row r="944" spans="1:17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M944">
        <v>0</v>
      </c>
      <c r="N944">
        <v>2.1734770287414253</v>
      </c>
      <c r="O944">
        <v>0</v>
      </c>
    </row>
    <row r="945" spans="1:17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M945">
        <v>0</v>
      </c>
      <c r="N945">
        <v>0</v>
      </c>
      <c r="O945">
        <v>1.9299061194057276E-2</v>
      </c>
    </row>
    <row r="946" spans="1:17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7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array" ref="M947:O949">SVDD(B947:K949)</f>
        <v>2.829021770898863</v>
      </c>
      <c r="N947">
        <v>0</v>
      </c>
      <c r="O947">
        <v>0</v>
      </c>
      <c r="Q947">
        <f t="shared" ref="Q947" si="245">MAX(M947,N948,O949)/MIN(M947,N948,O949)</f>
        <v>33.187408531575741</v>
      </c>
    </row>
    <row r="948" spans="1:17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M948">
        <v>0</v>
      </c>
      <c r="N948">
        <v>2.2140065114195302</v>
      </c>
      <c r="O948">
        <v>0</v>
      </c>
    </row>
    <row r="949" spans="1:17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M949">
        <v>0</v>
      </c>
      <c r="N949">
        <v>0</v>
      </c>
      <c r="O949">
        <v>8.5243828791489576E-2</v>
      </c>
    </row>
    <row r="950" spans="1:17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7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array" ref="M951:O953">SVDD(B951:K953)</f>
        <v>2.6419860265100858</v>
      </c>
      <c r="N951">
        <v>0</v>
      </c>
      <c r="O951">
        <v>0</v>
      </c>
      <c r="Q951">
        <f t="shared" ref="Q951" si="246">MAX(M951,N952,O953)/MIN(M951,N952,O953)</f>
        <v>4.219630757696768</v>
      </c>
    </row>
    <row r="952" spans="1:17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M952">
        <v>0</v>
      </c>
      <c r="N952">
        <v>1.9589914468487857</v>
      </c>
      <c r="O952">
        <v>0</v>
      </c>
    </row>
    <row r="953" spans="1:17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M953">
        <v>0</v>
      </c>
      <c r="N953">
        <v>0</v>
      </c>
      <c r="O953">
        <v>0.62611782362497059</v>
      </c>
    </row>
    <row r="954" spans="1:17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7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array" ref="M955:O957">SVDD(B955:K957)</f>
        <v>2.5956853689026773</v>
      </c>
      <c r="N955">
        <v>0</v>
      </c>
      <c r="O955">
        <v>0</v>
      </c>
      <c r="Q955">
        <f t="shared" ref="Q955" si="247">MAX(M955,N956,O957)/MIN(M955,N956,O957)</f>
        <v>50.60497475893002</v>
      </c>
    </row>
    <row r="956" spans="1:17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M956">
        <v>0</v>
      </c>
      <c r="N956">
        <v>1.5605387213201778</v>
      </c>
      <c r="O956">
        <v>0</v>
      </c>
    </row>
    <row r="957" spans="1:17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M957">
        <v>0</v>
      </c>
      <c r="N957">
        <v>0</v>
      </c>
      <c r="O957">
        <v>5.1293086920167451E-2</v>
      </c>
    </row>
    <row r="958" spans="1:17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7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array" ref="M959:O961">SVDD(B959:K961)</f>
        <v>2.5523907042948664</v>
      </c>
      <c r="N959">
        <v>0</v>
      </c>
      <c r="O959">
        <v>0</v>
      </c>
      <c r="Q959">
        <f t="shared" ref="Q959" si="248">MAX(M959,N960,O961)/MIN(M959,N960,O961)</f>
        <v>6.5598686781141424</v>
      </c>
    </row>
    <row r="960" spans="1:17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M960">
        <v>0</v>
      </c>
      <c r="N960">
        <v>0.89817013252686984</v>
      </c>
      <c r="O960">
        <v>0</v>
      </c>
    </row>
    <row r="961" spans="1:17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M961">
        <v>0</v>
      </c>
      <c r="N961">
        <v>0</v>
      </c>
      <c r="O961">
        <v>0.38909173788958196</v>
      </c>
    </row>
    <row r="962" spans="1:17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7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array" ref="M963:O965">SVDD(B963:K965)</f>
        <v>2.3008184037529125</v>
      </c>
      <c r="N963">
        <v>0</v>
      </c>
      <c r="O963">
        <v>0</v>
      </c>
      <c r="Q963">
        <f t="shared" ref="Q963" si="249">MAX(M963,N964,O965)/MIN(M963,N964,O965)</f>
        <v>3.4548303420400943</v>
      </c>
    </row>
    <row r="964" spans="1:17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M964">
        <v>0</v>
      </c>
      <c r="N964">
        <v>1.5939214609951582</v>
      </c>
      <c r="O964">
        <v>0</v>
      </c>
    </row>
    <row r="965" spans="1:17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M965">
        <v>0</v>
      </c>
      <c r="N965">
        <v>0</v>
      </c>
      <c r="O965">
        <v>0.66597145907728361</v>
      </c>
    </row>
    <row r="966" spans="1:17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7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array" ref="M967:O969">SVDD(B967:K969)</f>
        <v>2.7934158607629329</v>
      </c>
      <c r="N967">
        <v>0</v>
      </c>
      <c r="O967">
        <v>0</v>
      </c>
      <c r="Q967">
        <f t="shared" ref="Q967" si="250">MAX(M967,N968,O969)/MIN(M967,N968,O969)</f>
        <v>30.281771509141016</v>
      </c>
    </row>
    <row r="968" spans="1:17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M968">
        <v>0</v>
      </c>
      <c r="N968">
        <v>1.4821558637954233</v>
      </c>
      <c r="O968">
        <v>0</v>
      </c>
    </row>
    <row r="969" spans="1:17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M969">
        <v>0</v>
      </c>
      <c r="N969">
        <v>0</v>
      </c>
      <c r="O969">
        <v>9.2247438691613448E-2</v>
      </c>
    </row>
    <row r="970" spans="1:17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7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array" ref="M971:O973">SVDD(B971:K973)</f>
        <v>2.4064663700026512</v>
      </c>
      <c r="N971">
        <v>0</v>
      </c>
      <c r="O971">
        <v>0</v>
      </c>
      <c r="Q971">
        <f t="shared" ref="Q971" si="251">MAX(M971,N972,O973)/MIN(M971,N972,O973)</f>
        <v>4.03095078437841</v>
      </c>
    </row>
    <row r="972" spans="1:17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M972">
        <v>0</v>
      </c>
      <c r="N972">
        <v>1.4691110803966738</v>
      </c>
      <c r="O972">
        <v>0</v>
      </c>
    </row>
    <row r="973" spans="1:17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M973">
        <v>0</v>
      </c>
      <c r="N973">
        <v>0</v>
      </c>
      <c r="O973">
        <v>0.59699720952404001</v>
      </c>
    </row>
    <row r="974" spans="1:17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7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array" ref="M975:O977">SVDD(B975:K977)</f>
        <v>2.7975547532542189</v>
      </c>
      <c r="N975">
        <v>0</v>
      </c>
      <c r="O975">
        <v>0</v>
      </c>
      <c r="Q975">
        <f t="shared" ref="Q975" si="252">MAX(M975,N976,O977)/MIN(M975,N976,O977)</f>
        <v>4.9220112115840484</v>
      </c>
    </row>
    <row r="976" spans="1:17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M976">
        <v>0</v>
      </c>
      <c r="N976">
        <v>0.98054975168366398</v>
      </c>
      <c r="O976">
        <v>0</v>
      </c>
    </row>
    <row r="977" spans="1:17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M977">
        <v>0</v>
      </c>
      <c r="N977">
        <v>0</v>
      </c>
      <c r="O977">
        <v>0.56837634718712537</v>
      </c>
    </row>
    <row r="978" spans="1:17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7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array" ref="M979:O981">SVDD(B979:K981)</f>
        <v>2.0432116640493305</v>
      </c>
      <c r="N979">
        <v>0</v>
      </c>
      <c r="O979">
        <v>0</v>
      </c>
      <c r="Q979">
        <f t="shared" ref="Q979" si="253">MAX(M979,N980,O981)/MIN(M979,N980,O981)</f>
        <v>3.192686173777497</v>
      </c>
    </row>
    <row r="980" spans="1:17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M980">
        <v>0</v>
      </c>
      <c r="N980">
        <v>0.88860022834202512</v>
      </c>
      <c r="O980">
        <v>0</v>
      </c>
    </row>
    <row r="981" spans="1:17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M981">
        <v>0</v>
      </c>
      <c r="N981">
        <v>0</v>
      </c>
      <c r="O981">
        <v>0.63996633331232167</v>
      </c>
    </row>
    <row r="982" spans="1:17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7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array" ref="M983:O985">SVDD(B983:K985)</f>
        <v>4.2146441044840675</v>
      </c>
      <c r="N983">
        <v>0</v>
      </c>
      <c r="O983">
        <v>0</v>
      </c>
      <c r="Q983">
        <f t="shared" ref="Q983" si="254">MAX(M983,N984,O985)/MIN(M983,N984,O985)</f>
        <v>7.0041428438146252</v>
      </c>
    </row>
    <row r="984" spans="1:17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M984">
        <v>0</v>
      </c>
      <c r="N984">
        <v>1.6254952668844009</v>
      </c>
      <c r="O984">
        <v>0</v>
      </c>
    </row>
    <row r="985" spans="1:17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M985">
        <v>0</v>
      </c>
      <c r="N985">
        <v>0</v>
      </c>
      <c r="O985">
        <v>0.60173588666970568</v>
      </c>
    </row>
    <row r="986" spans="1:17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7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array" ref="M987:O989">SVDD(B987:K989)</f>
        <v>4.046089612382179</v>
      </c>
      <c r="N987">
        <v>0</v>
      </c>
      <c r="O987">
        <v>0</v>
      </c>
      <c r="Q987">
        <f t="shared" ref="Q987" si="255">MAX(M987,N988,O989)/MIN(M987,N988,O989)</f>
        <v>56.052615737066397</v>
      </c>
    </row>
    <row r="988" spans="1:17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M988">
        <v>0</v>
      </c>
      <c r="N988">
        <v>1.2999158578985208</v>
      </c>
      <c r="O988">
        <v>0</v>
      </c>
    </row>
    <row r="989" spans="1:17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M989">
        <v>0</v>
      </c>
      <c r="N989">
        <v>0</v>
      </c>
      <c r="O989">
        <v>7.2183778743916613E-2</v>
      </c>
    </row>
    <row r="990" spans="1:17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7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array" ref="M991:O993">SVDD(B991:K993)</f>
        <v>3.6956760750892719</v>
      </c>
      <c r="N991">
        <v>0</v>
      </c>
      <c r="O991">
        <v>0</v>
      </c>
      <c r="Q991">
        <f t="shared" ref="Q991" si="256">MAX(M991,N992,O993)/MIN(M991,N992,O993)</f>
        <v>5.419435186320845</v>
      </c>
    </row>
    <row r="992" spans="1:17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M992">
        <v>0</v>
      </c>
      <c r="N992">
        <v>1.9074860872407533</v>
      </c>
      <c r="O992">
        <v>0</v>
      </c>
    </row>
    <row r="993" spans="1:17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M993">
        <v>0</v>
      </c>
      <c r="N993">
        <v>0</v>
      </c>
      <c r="O993">
        <v>0.6819301178132916</v>
      </c>
    </row>
    <row r="994" spans="1:17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7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array" ref="M995:O997">SVDD(B995:K997)</f>
        <v>3.5780628275159021</v>
      </c>
      <c r="N995">
        <v>0</v>
      </c>
      <c r="O995">
        <v>0</v>
      </c>
      <c r="Q995">
        <f t="shared" ref="Q995" si="257">MAX(M995,N996,O997)/MIN(M995,N996,O997)</f>
        <v>36.073373244134935</v>
      </c>
    </row>
    <row r="996" spans="1:17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M996">
        <v>0</v>
      </c>
      <c r="N996">
        <v>1.480415028822246</v>
      </c>
      <c r="O996">
        <v>0</v>
      </c>
    </row>
    <row r="997" spans="1:17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M997">
        <v>0</v>
      </c>
      <c r="N997">
        <v>0</v>
      </c>
      <c r="O997">
        <v>9.9188473539763816E-2</v>
      </c>
    </row>
    <row r="998" spans="1:17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7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array" ref="M999:O1001">SVDD(B999:K1001)</f>
        <v>3.5231017081578893</v>
      </c>
      <c r="N999">
        <v>0</v>
      </c>
      <c r="O999">
        <v>0</v>
      </c>
      <c r="Q999">
        <f t="shared" ref="Q999" si="258">MAX(M999,N1000,O1001)/MIN(M999,N1000,O1001)</f>
        <v>4.2833537339026497</v>
      </c>
    </row>
    <row r="1000" spans="1:17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M1000">
        <v>0</v>
      </c>
      <c r="N1000">
        <v>1.0793212780874408</v>
      </c>
      <c r="O1000">
        <v>0</v>
      </c>
    </row>
    <row r="1001" spans="1:17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M1001">
        <v>0</v>
      </c>
      <c r="N1001">
        <v>0</v>
      </c>
      <c r="O1001">
        <v>0.82251010003507707</v>
      </c>
    </row>
    <row r="1002" spans="1:17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7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array" ref="M1003:O1005">SVDD(B1003:K1005)</f>
        <v>3.7845732145956372</v>
      </c>
      <c r="N1003">
        <v>0</v>
      </c>
      <c r="O1003">
        <v>0</v>
      </c>
      <c r="Q1003">
        <f t="shared" ref="Q1003" si="259">MAX(M1003,N1004,O1005)/MIN(M1003,N1004,O1005)</f>
        <v>5.8408590968447793</v>
      </c>
    </row>
    <row r="1004" spans="1:17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M1004">
        <v>0</v>
      </c>
      <c r="N1004">
        <v>1.743976616216165</v>
      </c>
      <c r="O1004">
        <v>0</v>
      </c>
    </row>
    <row r="1005" spans="1:17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M1005">
        <v>0</v>
      </c>
      <c r="N1005">
        <v>0</v>
      </c>
      <c r="O1005">
        <v>0.64794804186255006</v>
      </c>
    </row>
    <row r="1006" spans="1:17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7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array" ref="M1007:O1009">SVDD(B1007:K1009)</f>
        <v>3.9459199946703007</v>
      </c>
      <c r="N1007">
        <v>0</v>
      </c>
      <c r="O1007">
        <v>0</v>
      </c>
      <c r="Q1007">
        <f t="shared" ref="Q1007" si="260">MAX(M1007,N1008,O1009)/MIN(M1007,N1008,O1009)</f>
        <v>26.830345051733651</v>
      </c>
    </row>
    <row r="1008" spans="1:17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M1008">
        <v>0</v>
      </c>
      <c r="N1008">
        <v>1.3739922316370752</v>
      </c>
      <c r="O1008">
        <v>0</v>
      </c>
    </row>
    <row r="1009" spans="1:17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M1009">
        <v>0</v>
      </c>
      <c r="N1009">
        <v>0</v>
      </c>
      <c r="O1009">
        <v>0.14706929735945881</v>
      </c>
    </row>
    <row r="1010" spans="1:17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7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array" ref="M1011:O1013">SVDD(B1011:K1013)</f>
        <v>3.506401170316765</v>
      </c>
      <c r="N1011">
        <v>0</v>
      </c>
      <c r="O1011">
        <v>0</v>
      </c>
      <c r="Q1011">
        <f t="shared" ref="Q1011" si="261">MAX(M1011,N1012,O1013)/MIN(M1011,N1012,O1013)</f>
        <v>4.3628626309739627</v>
      </c>
    </row>
    <row r="1012" spans="1:17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M1012">
        <v>0</v>
      </c>
      <c r="N1012">
        <v>1.3347044355330813</v>
      </c>
      <c r="O1012">
        <v>0</v>
      </c>
    </row>
    <row r="1013" spans="1:17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M1013">
        <v>0</v>
      </c>
      <c r="N1013">
        <v>0</v>
      </c>
      <c r="O1013">
        <v>0.80369277396524363</v>
      </c>
    </row>
    <row r="1014" spans="1:17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7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array" ref="M1015:O1017">SVDD(B1015:K1017)</f>
        <v>3.5433669766161588</v>
      </c>
      <c r="N1015">
        <v>0</v>
      </c>
      <c r="O1015">
        <v>0</v>
      </c>
      <c r="Q1015">
        <f t="shared" ref="Q1015" si="262">MAX(M1015,N1016,O1017)/MIN(M1015,N1016,O1017)</f>
        <v>24.358968305381115</v>
      </c>
    </row>
    <row r="1016" spans="1:17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M1016">
        <v>0</v>
      </c>
      <c r="N1016">
        <v>1.1801624082554965</v>
      </c>
      <c r="O1016">
        <v>0</v>
      </c>
    </row>
    <row r="1017" spans="1:17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M1017">
        <v>0</v>
      </c>
      <c r="N1017">
        <v>0</v>
      </c>
      <c r="O1017">
        <v>0.14546457519029643</v>
      </c>
    </row>
    <row r="1018" spans="1:17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7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array" ref="M1019:O1021">SVDD(B1019:K1021)</f>
        <v>3.1828410459889236</v>
      </c>
      <c r="N1019">
        <v>0</v>
      </c>
      <c r="O1019">
        <v>0</v>
      </c>
      <c r="Q1019">
        <f t="shared" ref="Q1019" si="263">MAX(M1019,N1020,O1021)/MIN(M1019,N1020,O1021)</f>
        <v>4.1529536305295807</v>
      </c>
    </row>
    <row r="1020" spans="1:17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M1020">
        <v>0</v>
      </c>
      <c r="N1020">
        <v>2.0149891191029061</v>
      </c>
      <c r="O1020">
        <v>0</v>
      </c>
    </row>
    <row r="1021" spans="1:17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M1021">
        <v>0</v>
      </c>
      <c r="N1021">
        <v>0</v>
      </c>
      <c r="O1021">
        <v>0.76640418582835246</v>
      </c>
    </row>
    <row r="1022" spans="1:17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7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array" ref="M1023:O1025">SVDD(B1023:K1025)</f>
        <v>3.0501577070661474</v>
      </c>
      <c r="N1023">
        <v>0</v>
      </c>
      <c r="O1023">
        <v>0</v>
      </c>
      <c r="Q1023">
        <f t="shared" ref="Q1023" si="264">MAX(M1023,N1024,O1025)/MIN(M1023,N1024,O1025)</f>
        <v>17.192251347660161</v>
      </c>
    </row>
    <row r="1024" spans="1:17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M1024">
        <v>0</v>
      </c>
      <c r="N1024">
        <v>1.6387599525411234</v>
      </c>
      <c r="O1024">
        <v>0</v>
      </c>
    </row>
    <row r="1025" spans="1:17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M1025">
        <v>0</v>
      </c>
      <c r="N1025">
        <v>0</v>
      </c>
      <c r="O1025">
        <v>0.17741467626235405</v>
      </c>
    </row>
    <row r="1026" spans="1:17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7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array" ref="M1027:O1029">SVDD(B1027:K1029)</f>
        <v>2.9711628446510798</v>
      </c>
      <c r="N1027">
        <v>0</v>
      </c>
      <c r="O1027">
        <v>0</v>
      </c>
      <c r="Q1027">
        <f t="shared" ref="Q1027" si="265">MAX(M1027,N1028,O1029)/MIN(M1027,N1028,O1029)</f>
        <v>3.5188407213414505</v>
      </c>
    </row>
    <row r="1028" spans="1:17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M1028">
        <v>0</v>
      </c>
      <c r="N1028">
        <v>1.3141270816490431</v>
      </c>
      <c r="O1028">
        <v>0</v>
      </c>
    </row>
    <row r="1029" spans="1:17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M1029">
        <v>0</v>
      </c>
      <c r="N1029">
        <v>0</v>
      </c>
      <c r="O1029">
        <v>0.8443584350468738</v>
      </c>
    </row>
    <row r="1030" spans="1:17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7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array" ref="M1031:O1033">SVDD(B1031:K1033)</f>
        <v>2.863484042782356</v>
      </c>
      <c r="N1031">
        <v>0</v>
      </c>
      <c r="O1031">
        <v>0</v>
      </c>
      <c r="Q1031">
        <f t="shared" ref="Q1031" si="266">MAX(M1031,N1032,O1033)/MIN(M1031,N1032,O1033)</f>
        <v>2.924045855301256</v>
      </c>
    </row>
    <row r="1032" spans="1:17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M1032">
        <v>0</v>
      </c>
      <c r="N1032">
        <v>1.5991900343966334</v>
      </c>
      <c r="O1032">
        <v>0</v>
      </c>
    </row>
    <row r="1033" spans="1:17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M1033">
        <v>0</v>
      </c>
      <c r="N1033">
        <v>0</v>
      </c>
      <c r="O1033">
        <v>0.97928835062244246</v>
      </c>
    </row>
    <row r="1034" spans="1:17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7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array" ref="M1035:O1037">SVDD(B1035:K1037)</f>
        <v>2.9238463296669908</v>
      </c>
      <c r="N1035">
        <v>0</v>
      </c>
      <c r="O1035">
        <v>0</v>
      </c>
      <c r="Q1035">
        <f t="shared" ref="Q1035" si="267">MAX(M1035,N1036,O1037)/MIN(M1035,N1036,O1037)</f>
        <v>10.016748055034617</v>
      </c>
    </row>
    <row r="1036" spans="1:17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M1036">
        <v>0</v>
      </c>
      <c r="N1036">
        <v>1.526210971615104</v>
      </c>
      <c r="O1036">
        <v>0</v>
      </c>
    </row>
    <row r="1037" spans="1:17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M1037">
        <v>0</v>
      </c>
      <c r="N1037">
        <v>0</v>
      </c>
      <c r="O1037">
        <v>0.29189576433415509</v>
      </c>
    </row>
    <row r="1038" spans="1:17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7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array" ref="M1039:O1041">SVDD(B1039:K1041)</f>
        <v>2.4008845435505832</v>
      </c>
      <c r="N1039">
        <v>0</v>
      </c>
      <c r="O1039">
        <v>0</v>
      </c>
      <c r="Q1039">
        <f t="shared" ref="Q1039" si="268">MAX(M1039,N1040,O1041)/MIN(M1039,N1040,O1041)</f>
        <v>2.6371409437012217</v>
      </c>
    </row>
    <row r="1040" spans="1:17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M1040">
        <v>0</v>
      </c>
      <c r="N1040">
        <v>1.2699413661093379</v>
      </c>
      <c r="O1040">
        <v>0</v>
      </c>
    </row>
    <row r="1041" spans="1:17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M1041">
        <v>0</v>
      </c>
      <c r="N1041">
        <v>0</v>
      </c>
      <c r="O1041">
        <v>0.91041191760533924</v>
      </c>
    </row>
    <row r="1042" spans="1:17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7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array" ref="M1043:O1045">SVDD(B1043:K1045)</f>
        <v>3.9942321951393978</v>
      </c>
      <c r="N1043">
        <v>0</v>
      </c>
      <c r="O1043">
        <v>0</v>
      </c>
      <c r="Q1043">
        <f t="shared" ref="Q1043" si="269">MAX(M1043,N1044,O1045)/MIN(M1043,N1044,O1045)</f>
        <v>25.137148500155071</v>
      </c>
    </row>
    <row r="1044" spans="1:17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M1044">
        <v>0</v>
      </c>
      <c r="N1044">
        <v>1.9795322323879938</v>
      </c>
      <c r="O1044">
        <v>0</v>
      </c>
    </row>
    <row r="1045" spans="1:17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M1045">
        <v>0</v>
      </c>
      <c r="N1045">
        <v>0</v>
      </c>
      <c r="O1045">
        <v>0.15889758518611438</v>
      </c>
    </row>
    <row r="1046" spans="1:17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7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array" ref="M1047:O1049">SVDD(B1047:K1049)</f>
        <v>3.8746680902235555</v>
      </c>
      <c r="N1047">
        <v>0</v>
      </c>
      <c r="O1047">
        <v>0</v>
      </c>
      <c r="Q1047">
        <f t="shared" ref="Q1047" si="270">MAX(M1047,N1048,O1049)/MIN(M1047,N1048,O1049)</f>
        <v>17.824556031938322</v>
      </c>
    </row>
    <row r="1048" spans="1:17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M1048">
        <v>0</v>
      </c>
      <c r="N1048">
        <v>2.1291081952344371</v>
      </c>
      <c r="O1048">
        <v>0</v>
      </c>
    </row>
    <row r="1049" spans="1:17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M1049">
        <v>0</v>
      </c>
      <c r="N1049">
        <v>0</v>
      </c>
      <c r="O1049">
        <v>0.21737809812939318</v>
      </c>
    </row>
    <row r="1050" spans="1:17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7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array" ref="M1051:O1053">SVDD(B1051:K1053)</f>
        <v>3.5802602766756029</v>
      </c>
      <c r="N1051">
        <v>0</v>
      </c>
      <c r="O1051">
        <v>0</v>
      </c>
      <c r="Q1051">
        <f t="shared" ref="Q1051" si="271">MAX(M1051,N1052,O1053)/MIN(M1051,N1052,O1053)</f>
        <v>6.3519339552162419</v>
      </c>
    </row>
    <row r="1052" spans="1:17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M1052">
        <v>0</v>
      </c>
      <c r="N1052">
        <v>1.9235101184249714</v>
      </c>
      <c r="O1052">
        <v>0</v>
      </c>
    </row>
    <row r="1053" spans="1:17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M1053">
        <v>0</v>
      </c>
      <c r="N1053">
        <v>0</v>
      </c>
      <c r="O1053">
        <v>0.56364885118735752</v>
      </c>
    </row>
    <row r="1054" spans="1:17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7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array" ref="M1055:O1057">SVDD(B1055:K1057)</f>
        <v>3.5682332739806615</v>
      </c>
      <c r="N1055">
        <v>0</v>
      </c>
      <c r="O1055">
        <v>0</v>
      </c>
      <c r="Q1055">
        <f t="shared" ref="Q1055" si="272">MAX(M1055,N1056,O1057)/MIN(M1055,N1056,O1057)</f>
        <v>6.7581024047197422</v>
      </c>
    </row>
    <row r="1056" spans="1:17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M1056">
        <v>0</v>
      </c>
      <c r="N1056">
        <v>1.7534227891301106</v>
      </c>
      <c r="O1056">
        <v>0</v>
      </c>
    </row>
    <row r="1057" spans="1:17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M1057">
        <v>0</v>
      </c>
      <c r="N1057">
        <v>0</v>
      </c>
      <c r="O1057">
        <v>0.5279933715548123</v>
      </c>
    </row>
    <row r="1058" spans="1:17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7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array" ref="M1059:O1061">SVDD(B1059:K1061)</f>
        <v>3.558732078887743</v>
      </c>
      <c r="N1059">
        <v>0</v>
      </c>
      <c r="O1059">
        <v>0</v>
      </c>
      <c r="Q1059">
        <f t="shared" ref="Q1059" si="273">MAX(M1059,N1060,O1061)/MIN(M1059,N1060,O1061)</f>
        <v>15.943376904367916</v>
      </c>
    </row>
    <row r="1060" spans="1:17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M1060">
        <v>0</v>
      </c>
      <c r="N1060">
        <v>2.0438438674007013</v>
      </c>
      <c r="O1060">
        <v>0</v>
      </c>
    </row>
    <row r="1061" spans="1:17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M1061">
        <v>0</v>
      </c>
      <c r="N1061">
        <v>0</v>
      </c>
      <c r="O1061">
        <v>0.22321068492790744</v>
      </c>
    </row>
    <row r="1062" spans="1:17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7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array" ref="M1063:O1065">SVDD(B1063:K1065)</f>
        <v>3.6358051187513949</v>
      </c>
      <c r="N1063">
        <v>0</v>
      </c>
      <c r="O1063">
        <v>0</v>
      </c>
      <c r="Q1063">
        <f t="shared" ref="Q1063" si="274">MAX(M1063,N1064,O1065)/MIN(M1063,N1064,O1065)</f>
        <v>24.496849285008604</v>
      </c>
    </row>
    <row r="1064" spans="1:17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M1064">
        <v>0</v>
      </c>
      <c r="N1064">
        <v>0.94500514416958337</v>
      </c>
      <c r="O1064">
        <v>0</v>
      </c>
    </row>
    <row r="1065" spans="1:17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M1065">
        <v>0</v>
      </c>
      <c r="N1065">
        <v>0</v>
      </c>
      <c r="O1065">
        <v>0.14841929574087748</v>
      </c>
    </row>
    <row r="1066" spans="1:17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7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array" ref="M1067:O1069">SVDD(B1067:K1069)</f>
        <v>3.5052054773789694</v>
      </c>
      <c r="N1067">
        <v>0</v>
      </c>
      <c r="O1067">
        <v>0</v>
      </c>
      <c r="Q1067">
        <f t="shared" ref="Q1067" si="275">MAX(M1067,N1068,O1069)/MIN(M1067,N1068,O1069)</f>
        <v>9.6791251203091573</v>
      </c>
    </row>
    <row r="1068" spans="1:17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M1068">
        <v>0</v>
      </c>
      <c r="N1068">
        <v>0.98297143646566354</v>
      </c>
      <c r="O1068">
        <v>0</v>
      </c>
    </row>
    <row r="1069" spans="1:17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M1069">
        <v>0</v>
      </c>
      <c r="N1069">
        <v>0</v>
      </c>
      <c r="O1069">
        <v>0.36214073418931181</v>
      </c>
    </row>
    <row r="1070" spans="1:17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7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array" ref="M1071:O1073">SVDD(B1071:K1073)</f>
        <v>3.0165692287336228</v>
      </c>
      <c r="N1071">
        <v>0</v>
      </c>
      <c r="O1071">
        <v>0</v>
      </c>
      <c r="Q1071">
        <f t="shared" ref="Q1071" si="276">MAX(M1071,N1072,O1073)/MIN(M1071,N1072,O1073)</f>
        <v>4.3629764122752031</v>
      </c>
    </row>
    <row r="1072" spans="1:17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M1072">
        <v>0</v>
      </c>
      <c r="N1072">
        <v>2.0620708760370774</v>
      </c>
      <c r="O1072">
        <v>0</v>
      </c>
    </row>
    <row r="1073" spans="1:17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M1073">
        <v>0</v>
      </c>
      <c r="N1073">
        <v>0</v>
      </c>
      <c r="O1073">
        <v>0.69140168171584115</v>
      </c>
    </row>
    <row r="1074" spans="1:17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7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array" ref="M1075:O1077">SVDD(B1075:K1077)</f>
        <v>2.9534494444417687</v>
      </c>
      <c r="N1075">
        <v>0</v>
      </c>
      <c r="O1075">
        <v>0</v>
      </c>
      <c r="Q1075">
        <f t="shared" ref="Q1075" si="277">MAX(M1075,N1076,O1077)/MIN(M1075,N1076,O1077)</f>
        <v>7.1527228788070749</v>
      </c>
    </row>
    <row r="1076" spans="1:17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M1076">
        <v>0</v>
      </c>
      <c r="N1076">
        <v>2.0460215974937617</v>
      </c>
      <c r="O1076">
        <v>0</v>
      </c>
    </row>
    <row r="1077" spans="1:17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M1077">
        <v>0</v>
      </c>
      <c r="N1077">
        <v>0</v>
      </c>
      <c r="O1077">
        <v>0.4129126060779727</v>
      </c>
    </row>
    <row r="1078" spans="1:17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7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array" ref="M1079:O1081">SVDD(B1079:K1081)</f>
        <v>2.9274565521773006</v>
      </c>
      <c r="N1079">
        <v>0</v>
      </c>
      <c r="O1079">
        <v>0</v>
      </c>
      <c r="Q1079">
        <f t="shared" ref="Q1079" si="278">MAX(M1079,N1080,O1081)/MIN(M1079,N1080,O1081)</f>
        <v>3.4260548117406784</v>
      </c>
    </row>
    <row r="1080" spans="1:17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M1080">
        <v>0</v>
      </c>
      <c r="N1080">
        <v>1.010887390711815</v>
      </c>
      <c r="O1080">
        <v>0</v>
      </c>
    </row>
    <row r="1081" spans="1:17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M1081">
        <v>0</v>
      </c>
      <c r="N1081">
        <v>0</v>
      </c>
      <c r="O1081">
        <v>0.85446868571549373</v>
      </c>
    </row>
    <row r="1082" spans="1:17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7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array" ref="M1083:O1085">SVDD(B1083:K1085)</f>
        <v>3.5003142004673378</v>
      </c>
      <c r="N1083">
        <v>0</v>
      </c>
      <c r="O1083">
        <v>0</v>
      </c>
      <c r="Q1083">
        <f t="shared" ref="Q1083" si="279">MAX(M1083,N1084,O1085)/MIN(M1083,N1084,O1085)</f>
        <v>12.052974511161958</v>
      </c>
    </row>
    <row r="1084" spans="1:17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M1084">
        <v>0</v>
      </c>
      <c r="N1084">
        <v>2.0672198687113013</v>
      </c>
      <c r="O1084">
        <v>0</v>
      </c>
    </row>
    <row r="1085" spans="1:17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M1085">
        <v>0</v>
      </c>
      <c r="N1085">
        <v>0</v>
      </c>
      <c r="O1085">
        <v>0.2904108191074149</v>
      </c>
    </row>
    <row r="1086" spans="1:17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7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array" ref="M1087:O1089">SVDD(B1087:K1089)</f>
        <v>3.0614663241153286</v>
      </c>
      <c r="N1087">
        <v>0</v>
      </c>
      <c r="O1087">
        <v>0</v>
      </c>
      <c r="Q1087">
        <f t="shared" ref="Q1087" si="280">MAX(M1087,N1088,O1089)/MIN(M1087,N1088,O1089)</f>
        <v>6.7097872866034241</v>
      </c>
    </row>
    <row r="1088" spans="1:17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M1088">
        <v>0</v>
      </c>
      <c r="N1088">
        <v>2.0667891120591313</v>
      </c>
      <c r="O1088">
        <v>0</v>
      </c>
    </row>
    <row r="1089" spans="1:17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M1089">
        <v>0</v>
      </c>
      <c r="N1089">
        <v>0</v>
      </c>
      <c r="O1089">
        <v>0.45626875984992366</v>
      </c>
    </row>
    <row r="1090" spans="1:17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7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array" ref="M1091:O1093">SVDD(B1091:K1093)</f>
        <v>3.0707854997653463</v>
      </c>
      <c r="N1091">
        <v>0</v>
      </c>
      <c r="O1091">
        <v>0</v>
      </c>
      <c r="Q1091">
        <f t="shared" ref="Q1091" si="281">MAX(M1091,N1092,O1093)/MIN(M1091,N1092,O1093)</f>
        <v>5.3145671885539381</v>
      </c>
    </row>
    <row r="1092" spans="1:17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M1092">
        <v>0</v>
      </c>
      <c r="N1092">
        <v>1.8264587065458084</v>
      </c>
      <c r="O1092">
        <v>0</v>
      </c>
    </row>
    <row r="1093" spans="1:17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M1093">
        <v>0</v>
      </c>
      <c r="N1093">
        <v>0</v>
      </c>
      <c r="O1093">
        <v>0.57780537733701864</v>
      </c>
    </row>
    <row r="1094" spans="1:17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7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array" ref="M1095:O1097">SVDD(B1095:K1097)</f>
        <v>3.37960274956512</v>
      </c>
      <c r="N1095">
        <v>0</v>
      </c>
      <c r="O1095">
        <v>0</v>
      </c>
      <c r="Q1095">
        <f t="shared" ref="Q1095" si="282">MAX(M1095,N1096,O1097)/MIN(M1095,N1096,O1097)</f>
        <v>6.5639415210372487</v>
      </c>
    </row>
    <row r="1096" spans="1:17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M1096">
        <v>0</v>
      </c>
      <c r="N1096">
        <v>1.3642021901672681</v>
      </c>
      <c r="O1096">
        <v>0</v>
      </c>
    </row>
    <row r="1097" spans="1:17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M1097">
        <v>0</v>
      </c>
      <c r="N1097">
        <v>0</v>
      </c>
      <c r="O1097">
        <v>0.51487398824830899</v>
      </c>
    </row>
    <row r="1098" spans="1:17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7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array" ref="M1099:O1101">SVDD(B1099:K1101)</f>
        <v>3.462035508288265</v>
      </c>
      <c r="N1099">
        <v>0</v>
      </c>
      <c r="O1099">
        <v>0</v>
      </c>
      <c r="Q1099">
        <f t="shared" ref="Q1099" si="283">MAX(M1099,N1100,O1101)/MIN(M1099,N1100,O1101)</f>
        <v>11.371524440135662</v>
      </c>
    </row>
    <row r="1100" spans="1:17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M1100">
        <v>0</v>
      </c>
      <c r="N1100">
        <v>0.84668550905747353</v>
      </c>
      <c r="O1100">
        <v>0</v>
      </c>
    </row>
    <row r="1101" spans="1:17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M1101">
        <v>0</v>
      </c>
      <c r="N1101">
        <v>0</v>
      </c>
      <c r="O1101">
        <v>0.30444779207166378</v>
      </c>
    </row>
    <row r="1102" spans="1:17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7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array" ref="M1103:O1105">SVDD(B1103:K1105)</f>
        <v>2.8129835264101297</v>
      </c>
      <c r="N1103">
        <v>0</v>
      </c>
      <c r="O1103">
        <v>0</v>
      </c>
      <c r="Q1103">
        <f t="shared" ref="Q1103" si="284">MAX(M1103,N1104,O1105)/MIN(M1103,N1104,O1105)</f>
        <v>4.1926628043159502</v>
      </c>
    </row>
    <row r="1104" spans="1:17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M1104">
        <v>0</v>
      </c>
      <c r="N1104">
        <v>1.2940936196359041</v>
      </c>
      <c r="O1104">
        <v>0</v>
      </c>
    </row>
    <row r="1105" spans="1:17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M1105">
        <v>0</v>
      </c>
      <c r="N1105">
        <v>0</v>
      </c>
      <c r="O1105">
        <v>0.67093006466306548</v>
      </c>
    </row>
    <row r="1106" spans="1:17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7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array" ref="M1107:O1109">SVDD(B1107:K1109)</f>
        <v>2.4478556055782037</v>
      </c>
      <c r="N1107">
        <v>0</v>
      </c>
      <c r="O1107">
        <v>0</v>
      </c>
      <c r="Q1107">
        <f t="shared" ref="Q1107" si="285">MAX(M1107,N1108,O1109)/MIN(M1107,N1108,O1109)</f>
        <v>4.4257581477671515</v>
      </c>
    </row>
    <row r="1108" spans="1:17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M1108">
        <v>0</v>
      </c>
      <c r="N1108">
        <v>2.1326541511257737</v>
      </c>
      <c r="O1108">
        <v>0</v>
      </c>
    </row>
    <row r="1109" spans="1:17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M1109">
        <v>0</v>
      </c>
      <c r="N1109">
        <v>0</v>
      </c>
      <c r="O1109">
        <v>0.55309294449656643</v>
      </c>
    </row>
    <row r="1110" spans="1:17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7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array" ref="M1111:O1113">SVDD(B1111:K1113)</f>
        <v>2.3427672470143448</v>
      </c>
      <c r="N1111">
        <v>0</v>
      </c>
      <c r="O1111">
        <v>0</v>
      </c>
      <c r="Q1111">
        <f t="shared" ref="Q1111" si="286">MAX(M1111,N1112,O1113)/MIN(M1111,N1112,O1113)</f>
        <v>5.4665006426689224</v>
      </c>
    </row>
    <row r="1112" spans="1:17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M1112">
        <v>0</v>
      </c>
      <c r="N1112">
        <v>2.1026917951226913</v>
      </c>
      <c r="O1112">
        <v>0</v>
      </c>
    </row>
    <row r="1113" spans="1:17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M1113">
        <v>0</v>
      </c>
      <c r="N1113">
        <v>0</v>
      </c>
      <c r="O1113">
        <v>0.42856799992445077</v>
      </c>
    </row>
    <row r="1114" spans="1:17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7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array" ref="M1115:O1117">SVDD(B1115:K1117)</f>
        <v>2.4433200514849269</v>
      </c>
      <c r="N1115">
        <v>0</v>
      </c>
      <c r="O1115">
        <v>0</v>
      </c>
      <c r="Q1115">
        <f t="shared" ref="Q1115" si="287">MAX(M1115,N1116,O1117)/MIN(M1115,N1116,O1117)</f>
        <v>3.6867590827759233</v>
      </c>
    </row>
    <row r="1116" spans="1:17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M1116">
        <v>0</v>
      </c>
      <c r="N1116">
        <v>0.9627912256101242</v>
      </c>
      <c r="O1116">
        <v>0</v>
      </c>
    </row>
    <row r="1117" spans="1:17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M1117">
        <v>0</v>
      </c>
      <c r="N1117">
        <v>0</v>
      </c>
      <c r="O1117">
        <v>0.66272842803854803</v>
      </c>
    </row>
    <row r="1118" spans="1:17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7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array" ref="M1119:O1121">SVDD(B1119:K1121)</f>
        <v>2.2912523003304912</v>
      </c>
      <c r="N1119">
        <v>0</v>
      </c>
      <c r="O1119">
        <v>0</v>
      </c>
      <c r="Q1119">
        <f t="shared" ref="Q1119" si="288">MAX(M1119,N1120,O1121)/MIN(M1119,N1120,O1121)</f>
        <v>5.7546576064586263</v>
      </c>
    </row>
    <row r="1120" spans="1:17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M1120">
        <v>0</v>
      </c>
      <c r="N1120">
        <v>1.2741051722030583</v>
      </c>
      <c r="O1120">
        <v>0</v>
      </c>
    </row>
    <row r="1121" spans="1:15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M1121">
        <v>0</v>
      </c>
      <c r="N1121">
        <v>0</v>
      </c>
      <c r="O1121">
        <v>0.39815614707623082</v>
      </c>
    </row>
    <row r="1122" spans="1:1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5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8" baseType="lpstr">
      <vt:lpstr>Matrix_Konfiguration</vt:lpstr>
      <vt:lpstr>SolutionViaSolver</vt:lpstr>
      <vt:lpstr>Auswertung</vt:lpstr>
      <vt:lpstr>NormeriungsPlayground</vt:lpstr>
      <vt:lpstr>Konditionsbetrachtung</vt:lpstr>
      <vt:lpstr>KonditionsplotA</vt:lpstr>
      <vt:lpstr>KonditionsplotB</vt:lpstr>
      <vt:lpstr>Matrix_Konfiguration!Druckbereich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2013-06-12T12:23:29Z</dcterms:created>
  <dcterms:modified xsi:type="dcterms:W3CDTF">2013-06-18T11:18:50Z</dcterms:modified>
</cp:coreProperties>
</file>